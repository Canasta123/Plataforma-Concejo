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User\Documents\SECRETARIA GENERAL 2025\10. FURAG RECOMENDACIONES\PLAN DE MEJORAMIENTO MIPG\"/>
    </mc:Choice>
  </mc:AlternateContent>
  <xr:revisionPtr revIDLastSave="0" documentId="13_ncr:1_{C5F46AF5-031B-48A1-96F7-D880ABE3061D}" xr6:coauthVersionLast="47" xr6:coauthVersionMax="47" xr10:uidLastSave="{00000000-0000-0000-0000-000000000000}"/>
  <bookViews>
    <workbookView xWindow="-120" yWindow="-120" windowWidth="29040" windowHeight="15720" activeTab="1" xr2:uid="{00000000-000D-0000-FFFF-FFFF00000000}"/>
  </bookViews>
  <sheets>
    <sheet name="POLITICA" sheetId="38" r:id="rId1"/>
    <sheet name="POLITICA (2)" sheetId="39" r:id="rId2"/>
  </sheets>
  <definedNames>
    <definedName name="_xlnm._FilterDatabase" localSheetId="0" hidden="1">POLITICA!$D$13:$D$16</definedName>
    <definedName name="_xlnm._FilterDatabase" localSheetId="1" hidden="1">'POLITICA (2)'!$D$12:$D$64</definedName>
    <definedName name="_xlnm.Print_Titles" localSheetId="0">POLITICA!$12:$13</definedName>
    <definedName name="_xlnm.Print_Titles" localSheetId="1">'POLITICA (2)'!$11:$12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39" l="1"/>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F53" i="39"/>
  <c r="F54" i="39"/>
  <c r="F55" i="39"/>
  <c r="F56" i="39"/>
  <c r="F57" i="39"/>
  <c r="F58" i="39"/>
  <c r="F59" i="39"/>
  <c r="F60" i="39"/>
  <c r="F61" i="39"/>
  <c r="F62" i="39"/>
  <c r="F63" i="39"/>
  <c r="F64" i="39"/>
  <c r="F14" i="39"/>
  <c r="F13" i="39"/>
</calcChain>
</file>

<file path=xl/sharedStrings.xml><?xml version="1.0" encoding="utf-8"?>
<sst xmlns="http://schemas.openxmlformats.org/spreadsheetml/2006/main" count="256" uniqueCount="153">
  <si>
    <t>No.</t>
  </si>
  <si>
    <t>TOTAL COMPROMISOS</t>
  </si>
  <si>
    <t>RECOMENDACIÓN</t>
  </si>
  <si>
    <t xml:space="preserve">ACCIONES PARA IMPLEMENTACIÓN </t>
  </si>
  <si>
    <t>EVIDENCIA O UNIDAD DE MEDIDA</t>
  </si>
  <si>
    <t>FECHA DE INICIO</t>
  </si>
  <si>
    <t>FECHA DE CUMPLIMIENTO</t>
  </si>
  <si>
    <t>DEPENDENCIA RESPONSABLE</t>
  </si>
  <si>
    <t xml:space="preserve">SEGUIMIENTO A POLÍTICA: </t>
  </si>
  <si>
    <t xml:space="preserve">PUNTAJE OBTENIDO: </t>
  </si>
  <si>
    <t>SISTEMA DE GESTIÓN DE CALIDAD
CONCEJO MUNICIPAL DE CHÍA</t>
  </si>
  <si>
    <t>PROCESO DE GESTION DE EVALUACION INDEPENDIENTE</t>
  </si>
  <si>
    <t xml:space="preserve">Fecha de presentación del plan: </t>
  </si>
  <si>
    <t>Fecha de Elaboración del plan:</t>
  </si>
  <si>
    <t>ÍNDICE GESTIÓN DE DESEMPEÑO POLÍTICA:</t>
  </si>
  <si>
    <t>Elaborado por : _________________________________</t>
  </si>
  <si>
    <t>Aprobado por: ___________________________</t>
  </si>
  <si>
    <t xml:space="preserve">FORMATO:  PLAN DE MEJORAMIENTO FURAG - MIPG </t>
  </si>
  <si>
    <t>RECOMENDACIONES DAFP</t>
  </si>
  <si>
    <t xml:space="preserve">PERÍODO: </t>
  </si>
  <si>
    <t>Versión: 01</t>
  </si>
  <si>
    <t>FECHA: 27/10/2025</t>
  </si>
  <si>
    <t xml:space="preserve">VIGENCIA: </t>
  </si>
  <si>
    <t>Formular e implementar acciones de diálogo con las ciudadanías, como parte del proceso de rendición de cuentas en la fase de evaluación y seguimiento.</t>
  </si>
  <si>
    <t>Formular e implemente acciones de responsabilidad en la entidad, para asumir compromisos de mejora institucional con la ciudadanía.</t>
  </si>
  <si>
    <t>Convocar y promover la participación de diferentes actores como: comunidades, ciudadanías y/o representantes de los grupos de valor, entre otros; en los espacios de diálogo presenciales y/o virtuales que se ejecuten.</t>
  </si>
  <si>
    <t>Promover la conformación de nodos interinstitucionales para la rendición de cuentas conjunta sobre temas comunes y de interés ciudadano en el marco del Sistema Nacional de Rendición de Cuentas (SNRdC).</t>
  </si>
  <si>
    <t>Realizar espacios de diálogo con grupos motor, veedurías, representantes de pueblos étnicos y espacios comunitarios, entre otros para la rendición de cuentas sobre cumplimiento del acuerdo de paz.</t>
  </si>
  <si>
    <t>Implementar acciones de mejora institucional como resultado de la documentación y sistematización de lecciones aprendidas sobre las experiencias y la implementación de la política de participación ciudadana en la entidad.</t>
  </si>
  <si>
    <t>Involucrar diferentes grupos de valor en las acciones de diálogo presenciales y/o virtuales en la rendición de cuentas, de conformidad con la caracterización de ciudadanos, usuarios y grupos de interés.</t>
  </si>
  <si>
    <t>Establecer objetivos, metas, responsables y fechas para la planeación de la estrategia anual de servicio o relacionamiento con la ciudadanía.</t>
  </si>
  <si>
    <t>En  la planeación de la estrategia anual de servicio de la entidad, asigne recursos para su desarrollo y ejecución.</t>
  </si>
  <si>
    <t>Generar espacios participativos con las diferentes áreas de la entidad y grupos de valor externos, para la construcción y priorización de las acciones en el marco de la planeación de la estrategia anual de servicio o relacionamiento con la ciudadanía.</t>
  </si>
  <si>
    <t>Analizar y tomar como insumo los resultados de los informes emitidos por entes de control, veedurías ciudadanas u otros actores, para la elaboración del diagnóstico base que sirve para la planeación de la estrategia anual de servicio a las ciudadanías.</t>
  </si>
  <si>
    <t>Tomar como insumo otros estudios nacionales (encuestas de percepción de ambiente y desempeño institucional) para la elaboración del diagnóstico base que sirve para la planeación de la estrategia anual de servicio a las ciudadanías.</t>
  </si>
  <si>
    <t>Definir la oferta institucional de información pública, tramites, servicios, espacios de dialogo, control social, participación y construcción con la ciudadanía para el desarrollo anual de la estrategia de servicio a las ciudadanías.</t>
  </si>
  <si>
    <t>Emplear actividades que integren y articulen los servicios y tramites para facilitar el acceso de las ciudadanías, a través de ferias  y centros integrados de servicios, como parte del desarrollo anual de la estrategia de servicio a las ciudadanías, en el marco del plan institucional.</t>
  </si>
  <si>
    <t>Documentar las buenas practicas, como parte de las acciones para el desarrollo anual de la estrategia de servicio a las ciudadanías, en el marco del plan institucional.</t>
  </si>
  <si>
    <t>Incorporar lenguaje claro, comprensible e incluyente en la estrategia de comunicaciones, como parte de las acciones de la estrategia anual de servicio o relacionamiento con las ciudadanías.</t>
  </si>
  <si>
    <t>Diseñar incentivos y estímulos para exaltar el desempeño de servidores/as y contratistas como parte de  las acciones de fortalecimiento del talento humano para el relacionamiento con las ciudadanías.</t>
  </si>
  <si>
    <t>Desarrollar acciones de promoción del Código de Integridad y Cultura de Servicio como parte de  las acciones de fortalecimiento del talento humano para el relacionamiento con las ciudadanías.</t>
  </si>
  <si>
    <t>Incluir el tema de enfoque diferencial en el Plan Institucional de Capacitación  (PIC) y en los espacios de inducción y reinducción.</t>
  </si>
  <si>
    <t>Incluir el tema de prevención y lucha contra la corrupción en el Plan Institucional de Capacitación  (PIC) y en los espacios de inducción y reinducción.</t>
  </si>
  <si>
    <t>Disponer, de acuerdo con las capacidades de la entidad, de un canal de atención itinerante (ejemplo, puntos móviles de atención, ferias, caravanas de servicio, etc.) para las ciudadanías.</t>
  </si>
  <si>
    <t>Disponer, de acuerdo con las capacidades de la entidad, de un canal de atención  de centros integrados de servicio para las ciudadanías.</t>
  </si>
  <si>
    <t>Permitir el acceso de la oferta institucional de información publica, desde el menú de "Atención y servicios a la ciudadanía".</t>
  </si>
  <si>
    <t>Permitir el acceso a canales habilitados para la atención a las ciudadanías y demás grupos caracterizados, desde el menú de "Atención y servicios a la ciudadanía" .</t>
  </si>
  <si>
    <t xml:space="preserve">Permitir el acceso a mecanismos para el agendamiento de citas de atención presencial a usuarios, e información de horarios de atención en sedes físicas  desde el menú de "Atención y servicios a la ciudadanía". </t>
  </si>
  <si>
    <t>Disponer de un mensaje de confirmación de recibido por la entidad, en el formulario (PQRSD) del Menú de atención y servicios a las ciudadanías.</t>
  </si>
  <si>
    <t>Disponer, de forma visible y accesible en el formulario  (PQRSD) del "Menú de Atención y servicios a la ciudadanía" mecanismos de validación de campos que alerten a las ciudadanías por errores o falta de información en el diligenciamiento.</t>
  </si>
  <si>
    <t>Disponer en el formulario (PQRSD) del Menú de atención y servicios a las ciudadanías mecanismos para que los correos electrónicos remitidos de manera automática no se categoricen como no deseados o spam.</t>
  </si>
  <si>
    <t>Disponer en el formulario (PQRSD) del Menú de atención y servicios a las ciudadanías, mecanismos de seguimiento en línea, para que  las ciudadanías verifiquen el estado de respuesta de su petición.</t>
  </si>
  <si>
    <t>Disponer  en el formulario (PQRSD) del Menú de atención y servicios a las ciudadanías, de mecanismos para informar a las ciudadanías el motivo y las opciones para hacer nuevamente su solicitud, en caso de que el sistema presente errores durante el diligenciamiento del formulario</t>
  </si>
  <si>
    <t xml:space="preserve">Vincular en el formulario (PQRS) del Menú de atención a las ciudadanías, las solicitudes de información pública como una tipología en el sistema de (PQRSD) para gestionarlas y hacerles seguimiento. </t>
  </si>
  <si>
    <t>Disponer en el formulario (PQRS) del Menú de atención a las ciudadanías, opciones para diligenciar y enviar los formularios  a través de dispositivos móviles .</t>
  </si>
  <si>
    <t>Disponer en el formulario (PQRSD) del Menú de atención y servicios a la ciudadanía, de medidas de seguridad digital y de la información, acorde a los lineamientos del anexo 3 de la resolución 1519 de 2020.</t>
  </si>
  <si>
    <t>Identificar las debilidades y fortalezas en los escenarios de relacionamiento con las ciudadanías, con base en los resultados de la evaluación del servicio y medición de la experiencia ciudadana.</t>
  </si>
  <si>
    <t>Definir acciones de mejora continua de cada escenario de relacionamiento con la ciudadanía, con base en los resultados de la evaluación del servicio y medición de la experiencia ciudadana.</t>
  </si>
  <si>
    <t>Implementar acciones para la gestión y mejora continua de cada escenario de relacionamiento con las ciudadanías, teniendo como base los resultados de la evaluación del servicio y medición de la experiencia ciudadana.</t>
  </si>
  <si>
    <t>Documentar las buenas prácticas de relacionamiento con la ciudadanía, a partir de los resultados de la evaluación del servicio y medición de la experiencia ciudadana.</t>
  </si>
  <si>
    <t>Realizar ajustes razonables para facilitar el acceso de personas en condición de discapacidad y grupos de valor a la oferta institucional.</t>
  </si>
  <si>
    <t>Implementar ayudas a través de la página web y otros recursos tecnológicos que faciliten la comunicación y el acceso a la información a personas en condición de discapacidad visual.</t>
  </si>
  <si>
    <t>Generar ayudas visuales y textuales que faciliten la comunicación y el acceso a la información a personas en condición de discapacidad auditiva.</t>
  </si>
  <si>
    <t>Promover talento humano propio y suficiente o realizar convenios y alianzas con otras entidades para atender las necesidades de personas en condición de discapacidad en los canales presenciales.</t>
  </si>
  <si>
    <t>Realizar ejercicios de participación ciudadana que faciliten el acceso y la comunicación con personas en condición de discapacidad visual y auditiva.</t>
  </si>
  <si>
    <t>Implementar un acceso con espacio libre de maniobra, antes y después de la puerta, de al menos 1,50 metros para garantizar la accesibilidad a la infraestructura física de la entidad.</t>
  </si>
  <si>
    <t>Implementar señalización inclusiva (alto relieve, braille, pictogramas, otras lenguas, entre otros) para garantizar las condiciones de acceso a la infraestructura física de la entidad.</t>
  </si>
  <si>
    <t>Implementar espacios de libre paso entre objetos o muebles con un mínimo de 80 cm de ancho para el tránsito de personas con discapacidad física o con movilidad reducida (silla de ruedas) para garantizar las condiciones de acceso a la infraestructura física de la entidad.</t>
  </si>
  <si>
    <t>Implementar baños con baterías sanitarias-baños acondicionados para personas con discapacidad.</t>
  </si>
  <si>
    <t>Implementar paraderos y estacionamientos para personas con discapacidad para garantizar las condiciones de acceso a la infraestructura física de la entidad.</t>
  </si>
  <si>
    <t>Implementar anfitriones o talento humano que acompañe en el recorrido por la entidad a las personas en condición de discapacidad para garantizar las condiciones de acceso a la infraestructura física de la entidad.</t>
  </si>
  <si>
    <t>Implementar dispositivos tecnológicos para facilitar la movilidad de las personas con discapacidad en la entidad para garantizar las condiciones de acceso a la infraestructura física de la entidad.</t>
  </si>
  <si>
    <t>Crear e implementar  la oficina, dependencia o grupo de trabajo de relacionamiento con la ciudadanías, de acuerdo con el artículo 17 de la Ley 2052, que articule las políticas de servicio al ciudadano, participación ciudadana incluyendo rendición de cuentas, racionalización, estandarización y simplificación de trámites y gobierno digital.</t>
  </si>
  <si>
    <t>Incluir a la mayor cantidad posible grupos de valor en la elaboración de la estrategia anual de servicio y/o relacionamiento con las ciudadanías.</t>
  </si>
  <si>
    <t>SEGUIMIENTO A POLÍTICA: 
Participacion Ciudadana en la Gestion 
-Servicio a las ciudadanias</t>
  </si>
  <si>
    <t>PUNTAJE OBTENIDO: 
57,1
57,1</t>
  </si>
  <si>
    <t>VIGENCIA: 2024</t>
  </si>
  <si>
    <t>PERÍODO: SEGUNDO SEMESTRE 2025</t>
  </si>
  <si>
    <t>Se cambia la sede, por lo tanto la infraestructura generara cambios acordes a la norma.</t>
  </si>
  <si>
    <t>Grupo Interdisciplinario Relacionamiento con la ciudadania</t>
  </si>
  <si>
    <t>Actualizacion de caracterizacion, formatos, adopcion del manual de ventanilla unica, creacion y socializacion de la carta de trato digno al ciudadano.</t>
  </si>
  <si>
    <t>Divulgacion de informacion a traves de piezas graficas, videos y demas productos informativos,transmisiones en vivo,invitaciones a los diferentes grupos poblacionales,intervencion de la comunidad en redes sociales y presencial en las sesiones.</t>
  </si>
  <si>
    <t>Para la presente vigencia se programo 2 audiencias publicas de rendicion de cuentas. La correspondiente al primer semestre de 2025 se realizo el dia 11 de julio y para el segundo semestre esta programada para el dia 12 de diciembre. (link sesion, pieza grafica)</t>
  </si>
  <si>
    <t>Verificar que se incluya en al menos 1 control politico el seguimiento realizado por parte de la administracion municipal a las mesas de trabajo de cumplimiento del acuerdo de paz.</t>
  </si>
  <si>
    <t>Se esta implementando la politica de participacion ciudadana de acuerdo con los lineamientos del MIPG, sin embargo se recomienda para la vigencia 2026 revisarla y actualizarla de acuerdo a los cambios normativos ( MIPG II)</t>
  </si>
  <si>
    <t xml:space="preserve">Para la presente vigencia se programo 2 audiencias publicas de rendicion de cuentas. La correspondiente al primer semestre de 2025 se realizo el dia 11 de julio y para el segundo semestre esta programada para el dia 12 de diciembre, dichas rendiciones se realizan con la participacion ciudadana y con la encuesta de satisfaccion del proceso de rendicion. </t>
  </si>
  <si>
    <t>Se realizo actualizacion de la caracterizacion del proceso, se cuenta con las actas de reunion, se establecieron indicadores y riesgos y se realizan reuniones periodicas para el monitoreo del cumplimieto de la estrategia.</t>
  </si>
  <si>
    <t>Se cuenta con talento humano, funcionarios de planta y de prestacion de servicios enfocado en brindar atencion a la ciudadania, se realizaron ajustes y se brindaron soluciones integrales para el desarrollo de la pagina WEB de la entidad, adiconalmente el plan de accion tiene proyectos enfocados a la participacion ciudadana que involucran grupos de valor externos.</t>
  </si>
  <si>
    <t>Se brindaron espacios de participacion para la construccion del Plan de Accion y el Programa de Transparencia y Etica Publica de la vigencia 2025. (prensa)</t>
  </si>
  <si>
    <t>Se toma como base para la construccion del Programa de Transparencia y etica Publica asi como la estrategia anual del servicio al ciudadano, los resultados de la evaluacion del plan de accion de la vigencia anterior, las recomendaciones devrivadas del proceso de empalme, informes de entes de control si aplica, y el informe de las PQRSDF derivadas de la participacion ciudadana entre otras.</t>
  </si>
  <si>
    <t>Se toman los resultados del FURAG y la politica de atencion al ciudadano del orden nacional.</t>
  </si>
  <si>
    <t>Toda la informacion se encuentra publicada en la pagina web de la entidad.</t>
  </si>
  <si>
    <t>Se ha realizado la ejecucion del plan de accion de la vigencia que involucra la oferta de servicios del concejo municipal (Tramite a Proyectos de Acuerdo y Control Politico), adicionalmente se han llevado a cabo ferias de servicio para publico interno y externo y jornadas de induccion y reinduccion que dan a conocer la oferta institucional.</t>
  </si>
  <si>
    <t>Se realizara en el informe final de gestion las buenas practicas ejecutadas para la estrategia de servicio al ciudadano.</t>
  </si>
  <si>
    <t>La informacion que se publica a traves de los diferentes medios de comunicación se utiliza el lenguaje claro, comprensible e incluyente. En la rendicion de cuentas se tuvo la presencia de dos traductores de lenguaje de señas.(pagina web, link transmision de rendi cuentas,)</t>
  </si>
  <si>
    <t>Se realizo reconocmiento a los funcionarios y contratistas exaltando su labor y compromiso con la corporacion, el dia 26 de septiembre de 2025 .</t>
  </si>
  <si>
    <t>Se construyo participativamente el PTEP, que reemplazo el Plan Anticorrupcion y atencion al ciudadano, al cual se le hizo seguimiento por parte de la oficina de Control Internno y en los espacion de induccion y reinduccion se trabajaron temas como principios y valores de la entidad, marco estrategico institucional y controles preventivos y correctivos enfocados a la prevencion de  la corrupcion.</t>
  </si>
  <si>
    <t>Se conto con la atencion directa en los diferentes sectores, veredas, instituciones educativas oficales, comerciantes formales, presidentes de JAC, del municipio por parte de los concejales, quienes de primera mano escucharon las necesidades de la ciudadania para ejercer el control politico posterior.
Se realizaron dos foros de mujer y sesion conjunta con la Asamblea de Cundinamarca.</t>
  </si>
  <si>
    <t>Se implemento en la pagina WEB de la corporacion el boton de radicacion y seguimiento de PQRSDF, con el objetivo de facilitar los tramites y servicios a la ciudadania.</t>
  </si>
  <si>
    <t>La oferta institucional se encuentra publicada en la pagina WEB de la entidad y se realiza divulgacion constante por las redes sociales de la corporacion.</t>
  </si>
  <si>
    <t>La pagina Web tiene habilitados los canales para la atencion y servicio a las ciudadanias.</t>
  </si>
  <si>
    <t>La atencion se realiza de manera permanente sin necesidad de agendamiento de citas y se cuenta con un horario establecido que esta publicado en los diferentes canales de atencion.</t>
  </si>
  <si>
    <t>Se cuenta con el software de correspondencia Corrycom.</t>
  </si>
  <si>
    <t>La pagina Web de la corporacion cuenta con el formulario PQRSDF el cual contiene la validacion de la informacion en las casillas a diligenciar.</t>
  </si>
  <si>
    <t>La pagina Web de la entidad cuenta con un mecanismo directo para que los correos electronicos vayan directamente a la bandeja de entrada de el sistema Corrycom.</t>
  </si>
  <si>
    <t>El sistema de correspondencia esta asociado con la pagina Web de la tal forma que el usuario pueda realizar el seguimiento en linea del estado de su peticion.</t>
  </si>
  <si>
    <t>Si la peticion no puede ser radicada en linea el peticionario puede remimtir su solicitud al correo institucional publicado en la pagina web contactenos@concejomunicpalchia.gov.co</t>
  </si>
  <si>
    <t>El sistema de correpondencia cuenta con la tipologia documental que clasifica las PQRSDF que ingresasn  a la corporacion, lo que genera un seguimiento optimo de su tramite.</t>
  </si>
  <si>
    <t>El formulario se puede diligenciar y enviar desde dispositivos moviles.</t>
  </si>
  <si>
    <t>Formato de evaluacion de  rendicion de cuentas.</t>
  </si>
  <si>
    <t>sistemas</t>
  </si>
  <si>
    <t>Se cuenta con el DOFA actualizado del proceso de  Realacionamiento con el Ciudadano y se realiza el analisis de los informes de PQRSDF y de las encuestas aplicadas.</t>
  </si>
  <si>
    <t>Se realiza analisis de las encuestas de ssatisfaccion y se emite el respectivo informe, para la seguna audiencia de rendicion publica de rencion de cuentas se aplicara la aplicación de la evaluacion y según los resultados se ejecutaran las acciones de mejora correspondientes.</t>
  </si>
  <si>
    <t>Se presentara en el informe de gestion de la vigencia 2025.</t>
  </si>
  <si>
    <t>Las ofertas institucionales ofrecidas por el CMC facilitan el acceso de personas en condicion de discapacidad y grupos de valor.(rendicion publica de cuentas con leguaje de señas, instalaciones adecuadas para personas en condicion de discapacidad)</t>
  </si>
  <si>
    <t>En la actualidad no se cuenta con este tipo de ayudas, por lo cual se deja como accion de mejora para la proxima vigencia.</t>
  </si>
  <si>
    <t>Se ejecuto el primer semestre la audiencia de rendicion publica de cuentas teniendo por primera vez un traductor de lenguaje de señas.</t>
  </si>
  <si>
    <t>Se cuenta con la infraestructura adecuada para garantizar la accesibilidad a la entidad.</t>
  </si>
  <si>
    <t>Se cuenta con el talento humano respectivo.</t>
  </si>
  <si>
    <t>Se cuenta con el grupo interdisciplinario de relacionamiento con el ciudadano</t>
  </si>
  <si>
    <t>Se cuenta con la identifiacion de los grupos del municipio de Chia</t>
  </si>
  <si>
    <t>https://www.concejomunicipalchia.gov.co/views/index.php#gsc.tab=0</t>
  </si>
  <si>
    <t>\\10.10.12.157\compartida\SGC CONCEJO CHIA 2025\5. Procesos  SGC\3. RELACIONAMIENTO CON LA CIUDADANÍA 2025</t>
  </si>
  <si>
    <t>https://youtu.be/PCO7tOdNtJI</t>
  </si>
  <si>
    <t>\\10.10.12.157\compartida\SGC CONCEJO CHIA 2025\5. Procesos  SGC\3. RELACIONAMIENTO CON LA CIUDADANÍA 2025\1. Caracterización  del Proceso
\\10.10.12.157\secretaria\RELACIONAMIENTO CON LA CIUDADANÍA 2025\5. Productos\9. Actas Reunion Relacionamiento con el Ciudadano\2025
\\10.10.12.157\compartida\SGC CONCEJO CHIA 2025\8. Indicadores\Ind. relacionamiento
\\10.10.12.157\compartida\SGC CONCEJO CHIA 2025\6. Riesgos y oportunidades\Riesgos Relacionamiento con la Ciudadanía</t>
  </si>
  <si>
    <t>http://200.122.252.21:8085/webcorrycom/Proceso/PQRs.aspx</t>
  </si>
  <si>
    <t>Se actualizo el codigo de integridad bajo la Resolucion N°072 de 2025 y se socializo interna y externamente.</t>
  </si>
  <si>
    <t>https://concejomunicipalchia.gov.co/views/noticias-detalle.php?idnot=505#gsc.tab=0</t>
  </si>
  <si>
    <t>https://www.concejomunicipalchia.gov.co/views/publicacion-detalle.php?iddoc=1355#gsc.tab=0</t>
  </si>
  <si>
    <t xml:space="preserve">\\10.10.12.157\compartida\SGC CONCEJO CHIA 2025
</t>
  </si>
  <si>
    <t>https://www.concejomunicipalchia.gov.co/views/publicacion-detalle.php?iddoc=1350#gsc.tab=0</t>
  </si>
  <si>
    <t>\\10.10.12.157\compartida\SGC CONCEJO CHIA 2025\1 Plan de Acción CMC\SEGUIMIENTO A PLANES INSTITUCIONALES\12. Seguimiento Planes Institucionales 2025</t>
  </si>
  <si>
    <t>Se han realizado inducciones y reinducciones, socializaron rutas de atencion con charla de la Personeria Municipal , Sec de salud.</t>
  </si>
  <si>
    <t>https://concejomunicipalchia.gov.co/views/noticias-detalle.php?idnot=505#gsc.tab=0c
\\10.10.12.157\compartida\SGC CONCEJO CHIA 2025\1 Plan de Acción CMC\SEGUIMIENTO A PLANES INSTITUCIONALES\12. Seguimiento Planes Institucionales 2025\Evidencias PTEP 2025
\\10.10.12.157\compartida\SGC CONCEJO CHIA 2025\1 Plan de Acción CMC\SEGUIMIENTO A PLANES INSTITUCIONALES\12. Seguimiento Planes Institucionales 2025</t>
  </si>
  <si>
    <t>https://www.concejomunicipalchia.gov.co/views/manualv.php#gsc.tab=0</t>
  </si>
  <si>
    <t>https://www.concejomunicipalchia.gov.co/views/publicacion-detalle.php?iddoc=1350#gsc.tab=0&amp;gsc.sort=</t>
  </si>
  <si>
    <t>\\10.10.12.157\secretaria\RELACIONAMIENTO CON LA CIUDADANÍA 2025\5. Productos\6. Matriz DOFA
\\10.10.12.157\secretaria\RELACIONAMIENTO CON LA CIUDADANÍA 2025\5. Productos\4. Encuestas\2025</t>
  </si>
  <si>
    <t>Se realiza analisis de las encuestas de ssatisfaccion y se emite el respectivo informe, para la segunda audiencia de rendicion publica de rencion de cuentas se realizara la aplicación de la evaluacion y según los resultados se ejecutaran las acciones de mejora correspondientes.</t>
  </si>
  <si>
    <t>\\10.10.12.157\secretaria\RELACIONAMIENTO CON LA CIUDADANÍA 2025\5. Productos\4. Encuestas\2025</t>
  </si>
  <si>
    <t>\\10.10.12.157\secretaria\RELACIONAMIENTO CON LA CIUDADANÍA 2025\5. Productos\9. Actas Reunion Relacionamiento con el Ciudadano</t>
  </si>
  <si>
    <t>\\10.10.12.157\secretaria\RELACIONAMIENTO CON LA CIUDADANÍA 2025\5. Productos\1. Caracterización Ciudadano y grupos de valor</t>
  </si>
  <si>
    <t>\\10.10.12.157\compartida\SGC CONCEJO CHIA 2025\1 Plan de Acción CMC\SEGUIMIENTO A PLANES INSTITUCIONALES\12. Seguimiento Planes Institucionales 2025\Evidencias PTEP 2025</t>
  </si>
  <si>
    <t>Elaborado por : YIZZA YOLANDA OBREGON TRIVIÑO_________________________________</t>
  </si>
  <si>
    <t xml:space="preserve">Formato evaluacion de la APRC 2025
</t>
  </si>
  <si>
    <t>Aprobado por: JOHN EDWIN FUENTES CORREA___________________________</t>
  </si>
  <si>
    <t>https://www.concejomunicipalchia.gov.co/views/index.php#gsc.tab=0
https://youtu.be/PCO7tOdNtJI</t>
  </si>
  <si>
    <t>Fecha de Elaboración del plan: 5 de noviembre de 2025 con el gurpo interdisciplinario de el proceso Relacionamiento con el Ciudadano</t>
  </si>
  <si>
    <t>A la fecha no se ha implementado esta recomendación, dado que la planta del CMC esta compuesta por 19 funcionarios, de los cuales 12 pertenecen a carrera administrativa, y no se cuenta actualmente con vacantes disponibles que permitan incorporar acciones de inclusion laboral dirigidas a personas con discapacidad.</t>
  </si>
  <si>
    <t xml:space="preserve"> Resolución 015 de 2021, se establece el manual de funciones del Concejo Municipal de Chía. 
https://www.concejomunicipalchia.gov.co/views/manual.php#gsc.tab=0</t>
  </si>
  <si>
    <t>https://concejomunicipalchia.gov.co/views/noticias-detalle.php?idnot=518#gsc.tab=0
https://concejomunicipalchia.gov.co/views/noticias-detalle.php?idnot=524#gsc.tab=0
https://concejomunicipalchia.gov.co/views/noticias-detalle.php?idnot=481#gsc.tab=0
https://youtu.be/Z2sNUE91VPA</t>
  </si>
  <si>
    <r>
      <rPr>
        <b/>
        <sz val="11"/>
        <color theme="1"/>
        <rFont val="Calibri"/>
        <family val="2"/>
        <scheme val="minor"/>
      </rPr>
      <t xml:space="preserve"> Resolución 015 de 2021, se establece el manual de funciones del Concejo Municipal de Chía. </t>
    </r>
    <r>
      <rPr>
        <u/>
        <sz val="11"/>
        <color theme="10"/>
        <rFont val="Calibri"/>
        <family val="2"/>
        <scheme val="minor"/>
      </rPr>
      <t xml:space="preserve">
https://www.concejomunicipalchia.gov.co/views/manual.php#gsc.tab=0</t>
    </r>
  </si>
  <si>
    <t>SECRETARIA GENERAL (E)</t>
  </si>
  <si>
    <t>PRESIDENTE CONCEJO MUNICIPAL DE CHIA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</si>
</sst>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25"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sz val="9"/>
      <color theme="1"/>
      <name val="Calibri Light"/>
      <family val="2"/>
    </font>
    <font>
      <sz val="9"/>
      <name val="Calibri Light"/>
      <family val="2"/>
    </font>
    <font>
      <b/>
      <sz val="10"/>
      <name val="Arial Narrow"/>
      <family val="2"/>
    </font>
    <font>
      <sz val="10"/>
      <name val="Arial Narrow"/>
      <family val="2"/>
    </font>
    <font>
      <b/>
      <sz val="11"/>
      <name val="Arial"/>
      <family val="2"/>
    </font>
    <font>
      <b/>
      <sz val="8"/>
      <name val="Arial"/>
      <family val="2"/>
    </font>
    <font>
      <sz val="10"/>
      <name val="Arial"/>
      <family val="2"/>
    </font>
    <font>
      <b/>
      <sz val="10"/>
      <name val="Arial"/>
      <family val="2"/>
    </font>
    <font>
      <sz val="11"/>
      <color indexed="8"/>
      <name val="Calibri"/>
      <family val="2"/>
    </font>
    <font>
      <sz val="10"/>
      <color indexed="8"/>
      <name val="Arial"/>
      <family val="2"/>
    </font>
    <font>
      <b/>
      <sz val="10"/>
      <color indexed="8"/>
      <name val="Arial"/>
      <family val="2"/>
    </font>
    <font>
      <sz val="11"/>
      <name val="Arial"/>
      <family val="2"/>
    </font>
    <font>
      <b/>
      <sz val="10"/>
      <color rgb="FF000000"/>
      <name val="Arial"/>
      <family val="2"/>
    </font>
    <font>
      <u/>
      <sz val="11"/>
      <color theme="10"/>
      <name val="Calibri"/>
      <family val="2"/>
      <scheme val="minor"/>
    </font>
    <font>
      <b/>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top style="medium">
        <color indexed="64"/>
      </top>
      <bottom style="medium">
        <color indexed="64"/>
      </bottom>
      <diagonal/>
    </border>
    <border>
      <left style="thin">
        <color indexed="64"/>
      </left>
      <right style="thin">
        <color indexed="64"/>
      </right>
      <top/>
      <bottom/>
      <diagonal/>
    </border>
  </borders>
  <cellStyleXfs count="6">
    <xf numFmtId="0" fontId="0" fillId="0" borderId="0"/>
    <xf numFmtId="0" fontId="16" fillId="0" borderId="0"/>
    <xf numFmtId="164" fontId="18" fillId="0" borderId="0" applyFont="0" applyFill="0" applyBorder="0" applyAlignment="0" applyProtection="0"/>
    <xf numFmtId="164" fontId="18" fillId="0" borderId="0" applyFont="0" applyFill="0" applyBorder="0" applyAlignment="0" applyProtection="0"/>
    <xf numFmtId="0" fontId="8" fillId="0" borderId="0"/>
    <xf numFmtId="0" fontId="23" fillId="0" borderId="0" applyNumberFormat="0" applyFill="0" applyBorder="0" applyAlignment="0" applyProtection="0"/>
  </cellStyleXfs>
  <cellXfs count="83">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5" xfId="0" applyFont="1" applyFill="1" applyBorder="1" applyAlignment="1">
      <alignment vertical="center"/>
    </xf>
    <xf numFmtId="0" fontId="7" fillId="2" borderId="0" xfId="0" applyFont="1" applyFill="1" applyAlignment="1">
      <alignment vertical="center"/>
    </xf>
    <xf numFmtId="0" fontId="7" fillId="0" borderId="5" xfId="0"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2" fillId="2" borderId="0" xfId="0" applyFont="1" applyFill="1" applyAlignment="1">
      <alignment horizontal="center" vertical="center" wrapText="1"/>
    </xf>
    <xf numFmtId="0" fontId="5" fillId="0" borderId="2" xfId="0" applyFont="1" applyBorder="1" applyAlignment="1">
      <alignment horizontal="center" vertical="center"/>
    </xf>
    <xf numFmtId="0" fontId="12"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10" fillId="2" borderId="8" xfId="0" applyFont="1" applyFill="1" applyBorder="1" applyAlignment="1">
      <alignment horizontal="left" vertical="center" wrapText="1"/>
    </xf>
    <xf numFmtId="17" fontId="10" fillId="2" borderId="1" xfId="0" applyNumberFormat="1" applyFont="1" applyFill="1" applyBorder="1" applyAlignment="1">
      <alignment horizontal="center" vertical="center" wrapText="1"/>
    </xf>
    <xf numFmtId="0" fontId="10" fillId="2" borderId="1" xfId="0" quotePrefix="1" applyFont="1" applyFill="1" applyBorder="1" applyAlignment="1">
      <alignment horizontal="center" vertical="center" wrapText="1"/>
    </xf>
    <xf numFmtId="0" fontId="10" fillId="2" borderId="1" xfId="0" applyFont="1" applyFill="1" applyBorder="1" applyAlignment="1">
      <alignment horizontal="left" vertical="center" wrapText="1"/>
    </xf>
    <xf numFmtId="17" fontId="10" fillId="2" borderId="1" xfId="0" quotePrefix="1" applyNumberFormat="1" applyFont="1" applyFill="1" applyBorder="1" applyAlignment="1">
      <alignment horizontal="center" vertical="center" wrapText="1"/>
    </xf>
    <xf numFmtId="0" fontId="11" fillId="2" borderId="1" xfId="0" quotePrefix="1" applyFont="1" applyFill="1" applyBorder="1" applyAlignment="1">
      <alignment horizontal="left" vertical="center" wrapText="1"/>
    </xf>
    <xf numFmtId="0" fontId="11" fillId="2" borderId="1" xfId="0" applyFont="1" applyFill="1" applyBorder="1" applyAlignment="1">
      <alignment horizontal="left" vertical="center" wrapText="1"/>
    </xf>
    <xf numFmtId="14" fontId="16" fillId="4" borderId="13" xfId="0" applyNumberFormat="1" applyFont="1" applyFill="1" applyBorder="1" applyAlignment="1">
      <alignment horizontal="center" vertical="center" wrapText="1"/>
    </xf>
    <xf numFmtId="0" fontId="17" fillId="3" borderId="13" xfId="0" applyFont="1" applyFill="1" applyBorder="1" applyAlignment="1">
      <alignment vertical="center" wrapText="1"/>
    </xf>
    <xf numFmtId="0" fontId="22" fillId="2" borderId="0" xfId="4" applyFont="1" applyFill="1"/>
    <xf numFmtId="0" fontId="19" fillId="2" borderId="0" xfId="4" applyFont="1" applyFill="1"/>
    <xf numFmtId="0" fontId="21" fillId="2" borderId="0" xfId="0" applyFont="1" applyFill="1" applyAlignment="1">
      <alignment wrapText="1"/>
    </xf>
    <xf numFmtId="0" fontId="20" fillId="2" borderId="0" xfId="4" applyFont="1" applyFill="1"/>
    <xf numFmtId="0" fontId="16" fillId="5" borderId="0" xfId="0" applyFont="1" applyFill="1" applyAlignment="1">
      <alignment vertical="top" wrapText="1"/>
    </xf>
    <xf numFmtId="0" fontId="16" fillId="5" borderId="12" xfId="0" applyFont="1" applyFill="1" applyBorder="1" applyAlignment="1">
      <alignment vertical="top" wrapText="1"/>
    </xf>
    <xf numFmtId="0" fontId="17" fillId="3" borderId="0" xfId="0" applyFont="1" applyFill="1" applyAlignment="1">
      <alignment horizontal="left" vertical="center" wrapText="1"/>
    </xf>
    <xf numFmtId="0" fontId="16" fillId="2" borderId="0" xfId="0" applyFont="1" applyFill="1"/>
    <xf numFmtId="14" fontId="16" fillId="4" borderId="0" xfId="0" applyNumberFormat="1" applyFont="1" applyFill="1" applyAlignment="1">
      <alignment horizontal="center" vertical="center" wrapText="1"/>
    </xf>
    <xf numFmtId="0" fontId="17" fillId="3" borderId="0" xfId="0" applyFont="1" applyFill="1" applyAlignment="1">
      <alignment vertical="center" wrapText="1"/>
    </xf>
    <xf numFmtId="0" fontId="13" fillId="0" borderId="0" xfId="0" applyFont="1" applyAlignment="1">
      <alignment horizontal="center" vertical="center" wrapText="1"/>
    </xf>
    <xf numFmtId="0" fontId="9" fillId="0" borderId="0" xfId="0" applyFont="1" applyAlignment="1">
      <alignment horizontal="center" vertical="center" wrapText="1"/>
    </xf>
    <xf numFmtId="0" fontId="7" fillId="0" borderId="16" xfId="0" applyFont="1" applyBorder="1"/>
    <xf numFmtId="0" fontId="13" fillId="0" borderId="9" xfId="0" applyFont="1" applyBorder="1" applyAlignment="1">
      <alignment horizontal="center" vertical="center" wrapText="1"/>
    </xf>
    <xf numFmtId="0" fontId="12" fillId="0" borderId="1" xfId="0" applyFont="1" applyBorder="1" applyAlignment="1">
      <alignment horizontal="center" vertical="center" wrapText="1"/>
    </xf>
    <xf numFmtId="0" fontId="6" fillId="0" borderId="1" xfId="0" applyFont="1" applyBorder="1" applyAlignment="1">
      <alignment horizontal="center" vertical="center"/>
    </xf>
    <xf numFmtId="0" fontId="0" fillId="0" borderId="1" xfId="0" applyBorder="1" applyAlignment="1">
      <alignment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0" borderId="8" xfId="0" applyFont="1" applyBorder="1" applyAlignment="1">
      <alignment horizontal="center" vertical="center"/>
    </xf>
    <xf numFmtId="0" fontId="0" fillId="0" borderId="8" xfId="0" applyBorder="1" applyAlignment="1">
      <alignment wrapText="1"/>
    </xf>
    <xf numFmtId="0" fontId="6" fillId="0" borderId="8" xfId="0" applyFont="1" applyBorder="1" applyAlignment="1">
      <alignment horizontal="center" vertical="center" wrapText="1"/>
    </xf>
    <xf numFmtId="0" fontId="6" fillId="0" borderId="17" xfId="0" applyFont="1" applyBorder="1" applyAlignment="1">
      <alignment horizontal="center" vertical="center"/>
    </xf>
    <xf numFmtId="0" fontId="0" fillId="0" borderId="17" xfId="0" applyBorder="1" applyAlignment="1">
      <alignment wrapText="1"/>
    </xf>
    <xf numFmtId="0" fontId="6" fillId="0" borderId="17" xfId="0" applyFont="1" applyBorder="1" applyAlignment="1">
      <alignment horizontal="center" vertical="center" wrapText="1"/>
    </xf>
    <xf numFmtId="14" fontId="16" fillId="4" borderId="20" xfId="0" applyNumberFormat="1" applyFont="1" applyFill="1" applyBorder="1" applyAlignment="1">
      <alignment horizontal="center" vertical="center" wrapText="1"/>
    </xf>
    <xf numFmtId="14" fontId="16" fillId="4" borderId="21" xfId="0" applyNumberFormat="1" applyFont="1" applyFill="1" applyBorder="1" applyAlignment="1">
      <alignment horizontal="center" vertical="center" wrapText="1"/>
    </xf>
    <xf numFmtId="14" fontId="4" fillId="0" borderId="8" xfId="0" applyNumberFormat="1" applyFont="1" applyBorder="1" applyAlignment="1">
      <alignment horizontal="center" vertical="center" wrapText="1"/>
    </xf>
    <xf numFmtId="0" fontId="17" fillId="3" borderId="22" xfId="0" applyFont="1" applyFill="1" applyBorder="1" applyAlignment="1">
      <alignment vertical="center" wrapText="1"/>
    </xf>
    <xf numFmtId="0" fontId="17" fillId="3" borderId="19" xfId="0" applyFont="1" applyFill="1" applyBorder="1" applyAlignment="1">
      <alignment vertical="center" wrapText="1"/>
    </xf>
    <xf numFmtId="14" fontId="4" fillId="0" borderId="23" xfId="0" applyNumberFormat="1" applyFont="1" applyBorder="1" applyAlignment="1">
      <alignment horizontal="center" vertical="center" wrapText="1"/>
    </xf>
    <xf numFmtId="14" fontId="4" fillId="0" borderId="2" xfId="0" applyNumberFormat="1" applyFont="1" applyBorder="1" applyAlignment="1">
      <alignment horizontal="center" vertical="center" wrapText="1"/>
    </xf>
    <xf numFmtId="0" fontId="23" fillId="0" borderId="8" xfId="5" applyBorder="1" applyAlignment="1">
      <alignment horizontal="center" vertical="center" wrapText="1"/>
    </xf>
    <xf numFmtId="0" fontId="23" fillId="0" borderId="1" xfId="5" applyBorder="1" applyAlignment="1">
      <alignment horizontal="center" vertical="center" wrapText="1"/>
    </xf>
    <xf numFmtId="0" fontId="6" fillId="2" borderId="1" xfId="0" applyFont="1" applyFill="1" applyBorder="1" applyAlignment="1">
      <alignment horizontal="center" vertical="center" wrapText="1"/>
    </xf>
    <xf numFmtId="0" fontId="23" fillId="0" borderId="0" xfId="5" applyAlignment="1">
      <alignment horizontal="center" vertical="center"/>
    </xf>
    <xf numFmtId="0" fontId="23" fillId="0" borderId="0" xfId="5" applyFill="1" applyAlignment="1">
      <alignment horizontal="center" vertical="center"/>
    </xf>
    <xf numFmtId="0" fontId="23" fillId="0" borderId="17" xfId="5" applyBorder="1" applyAlignment="1">
      <alignment horizontal="center" vertical="center" wrapText="1"/>
    </xf>
    <xf numFmtId="0" fontId="17" fillId="3" borderId="15" xfId="0" applyFont="1" applyFill="1" applyBorder="1" applyAlignment="1">
      <alignment horizontal="left" vertical="center" wrapText="1"/>
    </xf>
    <xf numFmtId="0" fontId="16" fillId="2" borderId="14" xfId="0" applyFont="1" applyFill="1" applyBorder="1"/>
    <xf numFmtId="0" fontId="14" fillId="2" borderId="1"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17" fillId="3" borderId="18" xfId="0" applyFont="1" applyFill="1" applyBorder="1" applyAlignment="1">
      <alignment horizontal="left" vertical="center" wrapText="1"/>
    </xf>
    <xf numFmtId="0" fontId="16" fillId="2" borderId="19" xfId="0" applyFont="1" applyFill="1" applyBorder="1"/>
    <xf numFmtId="0" fontId="19" fillId="2" borderId="0" xfId="4" applyFont="1" applyFill="1" applyAlignment="1">
      <alignment horizontal="left"/>
    </xf>
  </cellXfs>
  <cellStyles count="6">
    <cellStyle name="Hipervínculo" xfId="5" builtinId="8"/>
    <cellStyle name="Millares 2" xfId="2" xr:uid="{1191C5C3-6297-4A40-BBBD-7C1B0A395B29}"/>
    <cellStyle name="Millares 3" xfId="3" xr:uid="{B79B1F39-0DED-4FB4-B3BA-F83194C648A1}"/>
    <cellStyle name="Normal" xfId="0" builtinId="0"/>
    <cellStyle name="Normal 2" xfId="4" xr:uid="{08EE2828-64FC-4CAA-8DFF-257BF91537A8}"/>
    <cellStyle name="Normal 3" xfId="1" xr:uid="{B64D379A-D800-4D9F-9E70-702A90B61D45}"/>
  </cellStyles>
  <dxfs count="0"/>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34016</xdr:colOff>
      <xdr:row>0</xdr:row>
      <xdr:rowOff>178593</xdr:rowOff>
    </xdr:from>
    <xdr:to>
      <xdr:col>0</xdr:col>
      <xdr:colOff>1080066</xdr:colOff>
      <xdr:row>2</xdr:row>
      <xdr:rowOff>119060</xdr:rowOff>
    </xdr:to>
    <xdr:pic>
      <xdr:nvPicPr>
        <xdr:cNvPr id="5" name="Imagen 2">
          <a:extLst>
            <a:ext uri="{FF2B5EF4-FFF2-40B4-BE49-F238E27FC236}">
              <a16:creationId xmlns:a16="http://schemas.microsoft.com/office/drawing/2014/main" id="{CA154955-3725-4A72-AE47-F10C54C7F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016" y="178593"/>
          <a:ext cx="1046050" cy="61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34016</xdr:colOff>
      <xdr:row>0</xdr:row>
      <xdr:rowOff>1</xdr:rowOff>
    </xdr:from>
    <xdr:to>
      <xdr:col>1</xdr:col>
      <xdr:colOff>13030</xdr:colOff>
      <xdr:row>0</xdr:row>
      <xdr:rowOff>381002</xdr:rowOff>
    </xdr:to>
    <xdr:pic>
      <xdr:nvPicPr>
        <xdr:cNvPr id="2" name="Imagen 2">
          <a:extLst>
            <a:ext uri="{FF2B5EF4-FFF2-40B4-BE49-F238E27FC236}">
              <a16:creationId xmlns:a16="http://schemas.microsoft.com/office/drawing/2014/main" id="{F8373167-B036-48D4-B2F2-E8CDE4A357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16" y="1"/>
          <a:ext cx="656347"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concejomunicipalchia.gov.co/views/noticias-detalle.php?idnot=505" TargetMode="External"/><Relationship Id="rId13" Type="http://schemas.openxmlformats.org/officeDocument/2006/relationships/hyperlink" Target="https://youtu.be/PCO7tOdNtJI" TargetMode="External"/><Relationship Id="rId3" Type="http://schemas.openxmlformats.org/officeDocument/2006/relationships/hyperlink" Target="https://youtu.be/PCO7tOdNtJI" TargetMode="External"/><Relationship Id="rId7" Type="http://schemas.openxmlformats.org/officeDocument/2006/relationships/hyperlink" Target="https://youtu.be/PCO7tOdNtJI" TargetMode="External"/><Relationship Id="rId12" Type="http://schemas.openxmlformats.org/officeDocument/2006/relationships/hyperlink" Target="https://youtu.be/PCO7tOdNtJI" TargetMode="External"/><Relationship Id="rId2" Type="http://schemas.openxmlformats.org/officeDocument/2006/relationships/hyperlink" Target="https://www.concejomunicipalchia.gov.co/views/index.php" TargetMode="External"/><Relationship Id="rId16" Type="http://schemas.openxmlformats.org/officeDocument/2006/relationships/drawing" Target="../drawings/drawing2.xml"/><Relationship Id="rId1" Type="http://schemas.openxmlformats.org/officeDocument/2006/relationships/hyperlink" Target="file:///\\10.10.12.157\compartida\SGC%20CONCEJO%20CHIA%202025\5.%20Procesos%20%20SGC\1.%20DIRECCIONAMIENTO%20ESTRAT&#201;GICO%20Y%20COMUNICACIONES%202025\3.%20Formatos%202025\3.1%20Formatos%20Direcc%20estrategico%202025\Formato%20Rendici&#243;n%20de%20Cuentas%202025\Formatos%20procedimiento%20rend" TargetMode="External"/><Relationship Id="rId6" Type="http://schemas.openxmlformats.org/officeDocument/2006/relationships/hyperlink" Target="file:///\\10.10.12.157\compartida\SGC%20CONCEJO%20CHIA%202025%0a" TargetMode="External"/><Relationship Id="rId11" Type="http://schemas.openxmlformats.org/officeDocument/2006/relationships/hyperlink" Target="http://200.122.252.21:8085/webcorrycom/Proceso/PQRs.aspx" TargetMode="External"/><Relationship Id="rId5" Type="http://schemas.openxmlformats.org/officeDocument/2006/relationships/hyperlink" Target="https://www.concejomunicipalchia.gov.co/views/index.php" TargetMode="External"/><Relationship Id="rId15" Type="http://schemas.openxmlformats.org/officeDocument/2006/relationships/printerSettings" Target="../printerSettings/printerSettings2.bin"/><Relationship Id="rId10" Type="http://schemas.openxmlformats.org/officeDocument/2006/relationships/hyperlink" Target="file:///\\10.10.12.157\secretaria\RELACIONAMIENTO%20CON%20LA%20CIUDADAN&#205;A%202025\5.%20Productos\6.%20Matriz%20DOFA" TargetMode="External"/><Relationship Id="rId4" Type="http://schemas.openxmlformats.org/officeDocument/2006/relationships/hyperlink" Target="https://youtu.be/PCO7tOdNtJI" TargetMode="External"/><Relationship Id="rId9" Type="http://schemas.openxmlformats.org/officeDocument/2006/relationships/hyperlink" Target="file:///\\10.10.12.157\compartida\SGC%20CONCEJO%20CHIA%202025\1%20Plan%20de%20Acci&#243;n%20CMC\SEGUIMIENTO%20A%20PLANES%20INSTITUCIONALES\12.%20Seguimiento%20Planes%20Institucionales%202025" TargetMode="External"/><Relationship Id="rId14" Type="http://schemas.openxmlformats.org/officeDocument/2006/relationships/hyperlink" Target="https://concejomunicipalchia.gov.co/views/noticias-detalle.php?idnot=5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3"/>
  <sheetViews>
    <sheetView zoomScale="112" zoomScaleNormal="112" zoomScaleSheetLayoutView="100" workbookViewId="0">
      <pane xSplit="1" topLeftCell="B1" activePane="topRight" state="frozen"/>
      <selection pane="topRight" activeCell="D15" sqref="D15"/>
    </sheetView>
  </sheetViews>
  <sheetFormatPr baseColWidth="10" defaultColWidth="11.42578125" defaultRowHeight="16.5" x14ac:dyDescent="0.3"/>
  <cols>
    <col min="1" max="1" width="17.5703125" style="2" customWidth="1"/>
    <col min="2" max="2" width="43" style="1" customWidth="1"/>
    <col min="3" max="3" width="31.42578125" style="1" customWidth="1"/>
    <col min="4" max="4" width="38.5703125" style="1" customWidth="1"/>
    <col min="5" max="5" width="18.85546875" style="1" customWidth="1"/>
    <col min="6" max="6" width="19" style="1" customWidth="1"/>
    <col min="7" max="7" width="18.42578125" style="1" customWidth="1"/>
    <col min="8" max="16384" width="11.42578125" style="1"/>
  </cols>
  <sheetData>
    <row r="1" spans="1:8" ht="36" customHeight="1" x14ac:dyDescent="0.3">
      <c r="A1" s="65"/>
      <c r="B1" s="66" t="s">
        <v>10</v>
      </c>
      <c r="C1" s="67"/>
      <c r="D1" s="67"/>
      <c r="E1" s="67"/>
      <c r="F1" s="67"/>
      <c r="G1" s="68"/>
    </row>
    <row r="2" spans="1:8" ht="16.5" customHeight="1" x14ac:dyDescent="0.3">
      <c r="A2" s="65"/>
      <c r="B2" s="66" t="s">
        <v>11</v>
      </c>
      <c r="C2" s="67"/>
      <c r="D2" s="67"/>
      <c r="E2" s="67"/>
      <c r="F2" s="67"/>
      <c r="G2" s="68"/>
    </row>
    <row r="3" spans="1:8" ht="16.5" customHeight="1" x14ac:dyDescent="0.3">
      <c r="A3" s="65"/>
      <c r="B3" s="66" t="s">
        <v>17</v>
      </c>
      <c r="C3" s="67"/>
      <c r="D3" s="67"/>
      <c r="E3" s="67"/>
      <c r="F3" s="67"/>
      <c r="G3" s="68"/>
    </row>
    <row r="4" spans="1:8" ht="12.75" customHeight="1" x14ac:dyDescent="0.3">
      <c r="A4" s="65"/>
      <c r="B4" s="70" t="s">
        <v>20</v>
      </c>
      <c r="C4" s="71"/>
      <c r="D4" s="69" t="s">
        <v>21</v>
      </c>
      <c r="E4" s="69"/>
      <c r="F4" s="69"/>
      <c r="G4" s="70"/>
      <c r="H4" s="37"/>
    </row>
    <row r="5" spans="1:8" ht="15.6" customHeight="1" thickBot="1" x14ac:dyDescent="0.35">
      <c r="A5" s="4"/>
      <c r="B5" s="5"/>
      <c r="C5" s="5"/>
      <c r="D5" s="9"/>
      <c r="E5" s="9"/>
      <c r="F5" s="9"/>
      <c r="G5" s="9"/>
      <c r="H5" s="37"/>
    </row>
    <row r="6" spans="1:8" ht="13.5" customHeight="1" thickBot="1" x14ac:dyDescent="0.35">
      <c r="A6" s="6"/>
      <c r="B6" s="2"/>
      <c r="C6" s="3"/>
      <c r="D6" s="3"/>
      <c r="E6" s="3"/>
      <c r="F6" s="72" t="s">
        <v>18</v>
      </c>
      <c r="G6" s="73"/>
      <c r="H6" s="37"/>
    </row>
    <row r="7" spans="1:8" ht="24" customHeight="1" thickBot="1" x14ac:dyDescent="0.35">
      <c r="A7" s="6"/>
      <c r="B7" s="12" t="s">
        <v>8</v>
      </c>
      <c r="C7" s="11"/>
      <c r="D7" s="12" t="s">
        <v>9</v>
      </c>
      <c r="E7" s="13"/>
      <c r="F7" s="39" t="s">
        <v>1</v>
      </c>
      <c r="G7" s="38">
        <v>0</v>
      </c>
      <c r="H7" s="37"/>
    </row>
    <row r="8" spans="1:8" ht="21" customHeight="1" thickBot="1" x14ac:dyDescent="0.35">
      <c r="A8" s="6"/>
      <c r="B8" s="14"/>
      <c r="C8" s="15"/>
      <c r="D8" s="13"/>
      <c r="E8" s="13"/>
      <c r="F8" s="13"/>
      <c r="G8" s="35"/>
      <c r="H8" s="37"/>
    </row>
    <row r="9" spans="1:8" ht="21.6" customHeight="1" thickBot="1" x14ac:dyDescent="0.35">
      <c r="A9" s="6"/>
      <c r="B9" s="10" t="s">
        <v>19</v>
      </c>
      <c r="C9" s="14"/>
      <c r="D9" s="12" t="s">
        <v>22</v>
      </c>
      <c r="E9" s="13"/>
      <c r="F9" s="13"/>
      <c r="G9" s="35"/>
      <c r="H9" s="37"/>
    </row>
    <row r="10" spans="1:8" ht="25.5" customHeight="1" x14ac:dyDescent="0.3">
      <c r="A10" s="6"/>
      <c r="B10" s="14"/>
      <c r="C10" s="15"/>
      <c r="D10" s="15"/>
      <c r="E10" s="15"/>
      <c r="F10" s="36"/>
      <c r="G10" s="35"/>
      <c r="H10" s="37"/>
    </row>
    <row r="11" spans="1:8" ht="12.6" customHeight="1" thickBot="1" x14ac:dyDescent="0.35">
      <c r="A11" s="6"/>
      <c r="B11" s="2"/>
      <c r="C11" s="3"/>
      <c r="D11" s="3"/>
      <c r="E11" s="3"/>
      <c r="F11" s="3"/>
      <c r="G11" s="3"/>
      <c r="H11" s="37"/>
    </row>
    <row r="12" spans="1:8" ht="18" customHeight="1" x14ac:dyDescent="0.3">
      <c r="A12" s="74" t="s">
        <v>0</v>
      </c>
      <c r="B12" s="74" t="s">
        <v>2</v>
      </c>
      <c r="C12" s="76" t="s">
        <v>3</v>
      </c>
      <c r="D12" s="76" t="s">
        <v>4</v>
      </c>
      <c r="E12" s="78" t="s">
        <v>5</v>
      </c>
      <c r="F12" s="78" t="s">
        <v>6</v>
      </c>
      <c r="G12" s="78" t="s">
        <v>7</v>
      </c>
    </row>
    <row r="13" spans="1:8" ht="16.899999999999999" customHeight="1" thickBot="1" x14ac:dyDescent="0.35">
      <c r="A13" s="75"/>
      <c r="B13" s="75"/>
      <c r="C13" s="77"/>
      <c r="D13" s="77"/>
      <c r="E13" s="79"/>
      <c r="F13" s="79"/>
      <c r="G13" s="79"/>
    </row>
    <row r="14" spans="1:8" ht="63.75" customHeight="1" x14ac:dyDescent="0.3">
      <c r="A14" s="8">
        <v>1</v>
      </c>
      <c r="B14" s="16"/>
      <c r="C14" s="21"/>
      <c r="D14" s="21"/>
      <c r="E14" s="17"/>
      <c r="F14" s="17"/>
      <c r="G14" s="18"/>
    </row>
    <row r="15" spans="1:8" ht="78" customHeight="1" x14ac:dyDescent="0.3">
      <c r="A15" s="7">
        <v>2</v>
      </c>
      <c r="B15" s="19"/>
      <c r="C15" s="21"/>
      <c r="D15" s="21"/>
      <c r="E15" s="17"/>
      <c r="F15" s="17"/>
      <c r="G15" s="18"/>
    </row>
    <row r="16" spans="1:8" ht="90.75" customHeight="1" x14ac:dyDescent="0.3">
      <c r="A16" s="7">
        <v>3</v>
      </c>
      <c r="B16" s="19"/>
      <c r="C16" s="21"/>
      <c r="D16" s="21"/>
      <c r="E16" s="17"/>
      <c r="F16" s="20"/>
      <c r="G16" s="18"/>
    </row>
    <row r="17" spans="1:7" ht="85.15" customHeight="1" x14ac:dyDescent="0.3">
      <c r="A17" s="7">
        <v>4</v>
      </c>
      <c r="B17" s="19"/>
      <c r="C17" s="21"/>
      <c r="D17" s="21"/>
      <c r="E17" s="17"/>
      <c r="F17" s="20"/>
      <c r="G17" s="18"/>
    </row>
    <row r="18" spans="1:7" ht="72.599999999999994" customHeight="1" thickBot="1" x14ac:dyDescent="0.35">
      <c r="A18" s="7">
        <v>5</v>
      </c>
      <c r="B18" s="19"/>
      <c r="C18" s="21"/>
      <c r="D18" s="22"/>
      <c r="E18" s="17"/>
      <c r="F18" s="20"/>
      <c r="G18" s="18"/>
    </row>
    <row r="19" spans="1:7" ht="39" thickBot="1" x14ac:dyDescent="0.35">
      <c r="A19" s="63" t="s">
        <v>14</v>
      </c>
      <c r="B19" s="64"/>
      <c r="C19" s="23"/>
      <c r="D19" s="24" t="s">
        <v>13</v>
      </c>
      <c r="E19" s="23"/>
      <c r="F19" s="24" t="s">
        <v>12</v>
      </c>
      <c r="G19" s="23"/>
    </row>
    <row r="20" spans="1:7" x14ac:dyDescent="0.3">
      <c r="A20" s="31"/>
      <c r="B20" s="32"/>
      <c r="C20" s="33"/>
      <c r="D20" s="34"/>
      <c r="E20" s="33"/>
      <c r="F20" s="34"/>
      <c r="G20" s="33"/>
    </row>
    <row r="21" spans="1:7" x14ac:dyDescent="0.3">
      <c r="A21" s="31"/>
      <c r="B21" s="32"/>
      <c r="C21" s="33"/>
      <c r="D21" s="34"/>
      <c r="E21" s="33"/>
      <c r="F21" s="34"/>
      <c r="G21" s="33"/>
    </row>
    <row r="22" spans="1:7" ht="39" customHeight="1" x14ac:dyDescent="0.3">
      <c r="A22" s="25" t="s">
        <v>15</v>
      </c>
      <c r="B22" s="26"/>
      <c r="C22" s="27"/>
      <c r="D22" s="28"/>
      <c r="E22" s="28" t="s">
        <v>16</v>
      </c>
      <c r="F22" s="29"/>
      <c r="G22" s="29"/>
    </row>
    <row r="23" spans="1:7" x14ac:dyDescent="0.3">
      <c r="A23" s="28"/>
      <c r="B23" s="26"/>
      <c r="C23" s="29"/>
      <c r="D23" s="29"/>
      <c r="E23" s="28"/>
      <c r="F23" s="30"/>
      <c r="G23" s="30"/>
    </row>
  </sheetData>
  <dataConsolidate/>
  <mergeCells count="15">
    <mergeCell ref="A19:B19"/>
    <mergeCell ref="A1:A4"/>
    <mergeCell ref="B3:G3"/>
    <mergeCell ref="D4:G4"/>
    <mergeCell ref="B1:G1"/>
    <mergeCell ref="B2:G2"/>
    <mergeCell ref="B4:C4"/>
    <mergeCell ref="F6:G6"/>
    <mergeCell ref="A12:A13"/>
    <mergeCell ref="B12:B13"/>
    <mergeCell ref="C12:C13"/>
    <mergeCell ref="D12:D13"/>
    <mergeCell ref="E12:E13"/>
    <mergeCell ref="F12:F13"/>
    <mergeCell ref="G12:G13"/>
  </mergeCells>
  <printOptions horizontalCentered="1"/>
  <pageMargins left="0.70866141732283472" right="0.47244094488188981" top="0.74803149606299213" bottom="0.74803149606299213" header="0.31496062992125984" footer="0.31496062992125984"/>
  <pageSetup scale="6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2152-3238-44BE-83AC-D4D2B48974A4}">
  <dimension ref="A1:H72"/>
  <sheetViews>
    <sheetView tabSelected="1" topLeftCell="A55" zoomScale="70" zoomScaleNormal="70" zoomScaleSheetLayoutView="100" workbookViewId="0">
      <selection activeCell="A69" sqref="A69"/>
    </sheetView>
  </sheetViews>
  <sheetFormatPr baseColWidth="10" defaultColWidth="11.42578125" defaultRowHeight="16.5" x14ac:dyDescent="0.3"/>
  <cols>
    <col min="1" max="1" width="10.140625" style="2" customWidth="1"/>
    <col min="2" max="2" width="75" style="1" customWidth="1"/>
    <col min="3" max="3" width="113.140625" style="1" customWidth="1"/>
    <col min="4" max="4" width="181.7109375" style="1" customWidth="1"/>
    <col min="5" max="5" width="18.85546875" style="1" customWidth="1"/>
    <col min="6" max="6" width="19" style="1" customWidth="1"/>
    <col min="7" max="7" width="31.42578125" style="1" customWidth="1"/>
    <col min="8" max="16384" width="11.42578125" style="1"/>
  </cols>
  <sheetData>
    <row r="1" spans="1:8" ht="51" customHeight="1" x14ac:dyDescent="0.3">
      <c r="A1" s="65"/>
      <c r="B1" s="66" t="s">
        <v>10</v>
      </c>
      <c r="C1" s="67"/>
      <c r="D1" s="67"/>
      <c r="E1" s="67"/>
      <c r="F1" s="67"/>
      <c r="G1" s="68"/>
    </row>
    <row r="2" spans="1:8" ht="27.75" customHeight="1" x14ac:dyDescent="0.3">
      <c r="A2" s="65"/>
      <c r="B2" s="66" t="s">
        <v>11</v>
      </c>
      <c r="C2" s="67"/>
      <c r="D2" s="67"/>
      <c r="E2" s="67"/>
      <c r="F2" s="67"/>
      <c r="G2" s="68"/>
    </row>
    <row r="3" spans="1:8" ht="33.75" customHeight="1" x14ac:dyDescent="0.3">
      <c r="A3" s="65"/>
      <c r="B3" s="66" t="s">
        <v>17</v>
      </c>
      <c r="C3" s="67"/>
      <c r="D3" s="67"/>
      <c r="E3" s="67"/>
      <c r="F3" s="67"/>
      <c r="G3" s="68"/>
    </row>
    <row r="4" spans="1:8" ht="27" customHeight="1" x14ac:dyDescent="0.3">
      <c r="A4" s="65"/>
      <c r="B4" s="70" t="s">
        <v>20</v>
      </c>
      <c r="C4" s="71"/>
      <c r="D4" s="69" t="s">
        <v>21</v>
      </c>
      <c r="E4" s="69"/>
      <c r="F4" s="69"/>
      <c r="G4" s="70"/>
      <c r="H4" s="37"/>
    </row>
    <row r="5" spans="1:8" ht="18.75" customHeight="1" thickBot="1" x14ac:dyDescent="0.35">
      <c r="A5" s="4"/>
      <c r="B5" s="5"/>
      <c r="C5" s="5"/>
      <c r="D5" s="9"/>
      <c r="E5" s="9"/>
      <c r="F5" s="9"/>
      <c r="G5" s="9"/>
      <c r="H5" s="37"/>
    </row>
    <row r="6" spans="1:8" ht="39" customHeight="1" thickBot="1" x14ac:dyDescent="0.35">
      <c r="A6" s="6"/>
      <c r="B6" s="2"/>
      <c r="C6" s="3"/>
      <c r="D6" s="3"/>
      <c r="E6" s="3"/>
      <c r="F6" s="72" t="s">
        <v>18</v>
      </c>
      <c r="G6" s="73"/>
      <c r="H6" s="37"/>
    </row>
    <row r="7" spans="1:8" ht="81" customHeight="1" thickBot="1" x14ac:dyDescent="0.35">
      <c r="A7" s="6"/>
      <c r="B7" s="12" t="s">
        <v>74</v>
      </c>
      <c r="C7" s="11"/>
      <c r="D7" s="12" t="s">
        <v>75</v>
      </c>
      <c r="E7" s="13"/>
      <c r="F7" s="39" t="s">
        <v>1</v>
      </c>
      <c r="G7" s="38">
        <v>52</v>
      </c>
      <c r="H7" s="37"/>
    </row>
    <row r="8" spans="1:8" ht="18.75" customHeight="1" thickBot="1" x14ac:dyDescent="0.35">
      <c r="A8" s="6"/>
      <c r="B8" s="14"/>
      <c r="C8" s="15"/>
      <c r="D8" s="13"/>
      <c r="E8" s="13"/>
      <c r="F8" s="13"/>
      <c r="G8" s="35"/>
      <c r="H8" s="37"/>
    </row>
    <row r="9" spans="1:8" ht="87.75" customHeight="1" thickBot="1" x14ac:dyDescent="0.35">
      <c r="A9" s="6"/>
      <c r="B9" s="10" t="s">
        <v>77</v>
      </c>
      <c r="C9" s="14"/>
      <c r="D9" s="12" t="s">
        <v>76</v>
      </c>
      <c r="E9" s="13"/>
      <c r="F9" s="13"/>
      <c r="G9" s="35"/>
      <c r="H9" s="37"/>
    </row>
    <row r="10" spans="1:8" ht="12.75" customHeight="1" thickBot="1" x14ac:dyDescent="0.35">
      <c r="A10" s="6"/>
      <c r="B10" s="14"/>
      <c r="C10" s="15"/>
      <c r="D10" s="15"/>
      <c r="E10" s="15"/>
      <c r="F10" s="36"/>
      <c r="G10" s="35"/>
      <c r="H10" s="37"/>
    </row>
    <row r="11" spans="1:8" ht="22.5" customHeight="1" x14ac:dyDescent="0.3">
      <c r="A11" s="74" t="s">
        <v>0</v>
      </c>
      <c r="B11" s="74" t="s">
        <v>2</v>
      </c>
      <c r="C11" s="76" t="s">
        <v>3</v>
      </c>
      <c r="D11" s="76" t="s">
        <v>4</v>
      </c>
      <c r="E11" s="78" t="s">
        <v>5</v>
      </c>
      <c r="F11" s="78" t="s">
        <v>6</v>
      </c>
      <c r="G11" s="78" t="s">
        <v>7</v>
      </c>
    </row>
    <row r="12" spans="1:8" ht="48.75" customHeight="1" thickBot="1" x14ac:dyDescent="0.35">
      <c r="A12" s="75"/>
      <c r="B12" s="75"/>
      <c r="C12" s="77"/>
      <c r="D12" s="77"/>
      <c r="E12" s="79"/>
      <c r="F12" s="79"/>
      <c r="G12" s="79"/>
    </row>
    <row r="13" spans="1:8" ht="43.5" customHeight="1" x14ac:dyDescent="0.3">
      <c r="A13" s="44">
        <v>1</v>
      </c>
      <c r="B13" s="45" t="s">
        <v>23</v>
      </c>
      <c r="C13" s="46" t="s">
        <v>109</v>
      </c>
      <c r="D13" s="57" t="s">
        <v>143</v>
      </c>
      <c r="E13" s="52">
        <v>45972</v>
      </c>
      <c r="F13" s="52">
        <f>+E13+180</f>
        <v>46152</v>
      </c>
      <c r="G13" s="43" t="s">
        <v>79</v>
      </c>
    </row>
    <row r="14" spans="1:8" ht="58.5" customHeight="1" x14ac:dyDescent="0.3">
      <c r="A14" s="40">
        <v>2</v>
      </c>
      <c r="B14" s="41" t="s">
        <v>24</v>
      </c>
      <c r="C14" s="42" t="s">
        <v>80</v>
      </c>
      <c r="D14" s="60" t="s">
        <v>122</v>
      </c>
      <c r="E14" s="52">
        <v>45972</v>
      </c>
      <c r="F14" s="52">
        <f>+E14+180</f>
        <v>46152</v>
      </c>
      <c r="G14" s="43" t="s">
        <v>79</v>
      </c>
    </row>
    <row r="15" spans="1:8" ht="60" customHeight="1" x14ac:dyDescent="0.3">
      <c r="A15" s="40">
        <v>3</v>
      </c>
      <c r="B15" s="41" t="s">
        <v>25</v>
      </c>
      <c r="C15" s="42" t="s">
        <v>81</v>
      </c>
      <c r="D15" s="58" t="s">
        <v>121</v>
      </c>
      <c r="E15" s="52">
        <v>45972</v>
      </c>
      <c r="F15" s="52">
        <f t="shared" ref="F15:F64" si="0">+E15+180</f>
        <v>46152</v>
      </c>
      <c r="G15" s="43" t="s">
        <v>79</v>
      </c>
    </row>
    <row r="16" spans="1:8" ht="49.5" x14ac:dyDescent="0.3">
      <c r="A16" s="40">
        <v>4</v>
      </c>
      <c r="B16" s="41" t="s">
        <v>26</v>
      </c>
      <c r="C16" s="42" t="s">
        <v>82</v>
      </c>
      <c r="D16" s="58" t="s">
        <v>123</v>
      </c>
      <c r="E16" s="52">
        <v>45972</v>
      </c>
      <c r="F16" s="52">
        <f t="shared" si="0"/>
        <v>46152</v>
      </c>
      <c r="G16" s="43" t="s">
        <v>79</v>
      </c>
    </row>
    <row r="17" spans="1:7" ht="49.5" x14ac:dyDescent="0.3">
      <c r="A17" s="40">
        <v>5</v>
      </c>
      <c r="B17" s="41" t="s">
        <v>27</v>
      </c>
      <c r="C17" s="42" t="s">
        <v>83</v>
      </c>
      <c r="D17" s="42" t="s">
        <v>83</v>
      </c>
      <c r="E17" s="52">
        <v>45972</v>
      </c>
      <c r="F17" s="52">
        <f t="shared" si="0"/>
        <v>46152</v>
      </c>
      <c r="G17" s="43" t="s">
        <v>79</v>
      </c>
    </row>
    <row r="18" spans="1:7" ht="49.5" x14ac:dyDescent="0.3">
      <c r="A18" s="40">
        <v>6</v>
      </c>
      <c r="B18" s="41" t="s">
        <v>27</v>
      </c>
      <c r="C18" s="42" t="s">
        <v>83</v>
      </c>
      <c r="D18" s="42" t="s">
        <v>83</v>
      </c>
      <c r="E18" s="52">
        <v>45972</v>
      </c>
      <c r="F18" s="52">
        <f t="shared" si="0"/>
        <v>46152</v>
      </c>
      <c r="G18" s="43" t="s">
        <v>79</v>
      </c>
    </row>
    <row r="19" spans="1:7" ht="61.5" customHeight="1" x14ac:dyDescent="0.3">
      <c r="A19" s="40">
        <v>7</v>
      </c>
      <c r="B19" s="41" t="s">
        <v>28</v>
      </c>
      <c r="C19" s="42" t="s">
        <v>84</v>
      </c>
      <c r="D19" s="58" t="s">
        <v>122</v>
      </c>
      <c r="E19" s="52">
        <v>45972</v>
      </c>
      <c r="F19" s="52">
        <f t="shared" si="0"/>
        <v>46152</v>
      </c>
      <c r="G19" s="43" t="s">
        <v>79</v>
      </c>
    </row>
    <row r="20" spans="1:7" ht="66.75" customHeight="1" x14ac:dyDescent="0.3">
      <c r="A20" s="40">
        <v>8</v>
      </c>
      <c r="B20" s="41" t="s">
        <v>29</v>
      </c>
      <c r="C20" s="42" t="s">
        <v>85</v>
      </c>
      <c r="D20" s="58" t="s">
        <v>123</v>
      </c>
      <c r="E20" s="52">
        <v>45972</v>
      </c>
      <c r="F20" s="52">
        <f t="shared" si="0"/>
        <v>46152</v>
      </c>
      <c r="G20" s="43" t="s">
        <v>79</v>
      </c>
    </row>
    <row r="21" spans="1:7" ht="181.5" customHeight="1" x14ac:dyDescent="0.3">
      <c r="A21" s="40">
        <v>9</v>
      </c>
      <c r="B21" s="41" t="s">
        <v>30</v>
      </c>
      <c r="C21" s="42" t="s">
        <v>86</v>
      </c>
      <c r="D21" s="58" t="s">
        <v>124</v>
      </c>
      <c r="E21" s="52">
        <v>45972</v>
      </c>
      <c r="F21" s="52">
        <f t="shared" si="0"/>
        <v>46152</v>
      </c>
      <c r="G21" s="43" t="s">
        <v>79</v>
      </c>
    </row>
    <row r="22" spans="1:7" ht="94.5" customHeight="1" x14ac:dyDescent="0.3">
      <c r="A22" s="40">
        <v>10</v>
      </c>
      <c r="B22" s="41" t="s">
        <v>31</v>
      </c>
      <c r="C22" s="42" t="s">
        <v>87</v>
      </c>
      <c r="D22" s="58" t="s">
        <v>121</v>
      </c>
      <c r="E22" s="52">
        <v>45972</v>
      </c>
      <c r="F22" s="52">
        <f t="shared" si="0"/>
        <v>46152</v>
      </c>
      <c r="G22" s="43" t="s">
        <v>79</v>
      </c>
    </row>
    <row r="23" spans="1:7" ht="61.5" customHeight="1" x14ac:dyDescent="0.3">
      <c r="A23" s="40">
        <v>11</v>
      </c>
      <c r="B23" s="41" t="s">
        <v>32</v>
      </c>
      <c r="C23" s="42" t="s">
        <v>88</v>
      </c>
      <c r="D23" s="58" t="s">
        <v>127</v>
      </c>
      <c r="E23" s="52">
        <v>45972</v>
      </c>
      <c r="F23" s="52">
        <f t="shared" si="0"/>
        <v>46152</v>
      </c>
      <c r="G23" s="43" t="s">
        <v>79</v>
      </c>
    </row>
    <row r="24" spans="1:7" ht="91.5" customHeight="1" x14ac:dyDescent="0.3">
      <c r="A24" s="40">
        <v>12</v>
      </c>
      <c r="B24" s="41" t="s">
        <v>33</v>
      </c>
      <c r="C24" s="42" t="s">
        <v>89</v>
      </c>
      <c r="D24" s="58" t="s">
        <v>141</v>
      </c>
      <c r="E24" s="52">
        <v>45972</v>
      </c>
      <c r="F24" s="52">
        <f t="shared" si="0"/>
        <v>46152</v>
      </c>
      <c r="G24" s="43" t="s">
        <v>79</v>
      </c>
    </row>
    <row r="25" spans="1:7" ht="62.25" customHeight="1" x14ac:dyDescent="0.3">
      <c r="A25" s="40">
        <v>13</v>
      </c>
      <c r="B25" s="41" t="s">
        <v>34</v>
      </c>
      <c r="C25" s="42" t="s">
        <v>90</v>
      </c>
      <c r="D25" s="58" t="s">
        <v>128</v>
      </c>
      <c r="E25" s="52">
        <v>45972</v>
      </c>
      <c r="F25" s="52">
        <f t="shared" si="0"/>
        <v>46152</v>
      </c>
      <c r="G25" s="43" t="s">
        <v>79</v>
      </c>
    </row>
    <row r="26" spans="1:7" ht="59.25" customHeight="1" x14ac:dyDescent="0.3">
      <c r="A26" s="40">
        <v>14</v>
      </c>
      <c r="B26" s="41" t="s">
        <v>35</v>
      </c>
      <c r="C26" s="42" t="s">
        <v>91</v>
      </c>
      <c r="D26" s="58" t="s">
        <v>121</v>
      </c>
      <c r="E26" s="52">
        <v>45972</v>
      </c>
      <c r="F26" s="52">
        <f t="shared" si="0"/>
        <v>46152</v>
      </c>
      <c r="G26" s="43" t="s">
        <v>79</v>
      </c>
    </row>
    <row r="27" spans="1:7" ht="60.75" x14ac:dyDescent="0.3">
      <c r="A27" s="40">
        <v>15</v>
      </c>
      <c r="B27" s="41" t="s">
        <v>36</v>
      </c>
      <c r="C27" s="42" t="s">
        <v>92</v>
      </c>
      <c r="D27" s="58" t="s">
        <v>129</v>
      </c>
      <c r="E27" s="52">
        <v>45972</v>
      </c>
      <c r="F27" s="52">
        <f t="shared" si="0"/>
        <v>46152</v>
      </c>
      <c r="G27" s="43" t="s">
        <v>79</v>
      </c>
    </row>
    <row r="28" spans="1:7" ht="49.5" customHeight="1" x14ac:dyDescent="0.3">
      <c r="A28" s="40">
        <v>16</v>
      </c>
      <c r="B28" s="41" t="s">
        <v>37</v>
      </c>
      <c r="C28" s="42" t="s">
        <v>93</v>
      </c>
      <c r="D28" s="42" t="s">
        <v>93</v>
      </c>
      <c r="E28" s="52">
        <v>45972</v>
      </c>
      <c r="F28" s="52">
        <f t="shared" si="0"/>
        <v>46152</v>
      </c>
      <c r="G28" s="43" t="s">
        <v>79</v>
      </c>
    </row>
    <row r="29" spans="1:7" ht="45.75" customHeight="1" x14ac:dyDescent="0.3">
      <c r="A29" s="40">
        <v>17</v>
      </c>
      <c r="B29" s="41" t="s">
        <v>38</v>
      </c>
      <c r="C29" s="42" t="s">
        <v>94</v>
      </c>
      <c r="D29" s="58" t="s">
        <v>123</v>
      </c>
      <c r="E29" s="52">
        <v>45972</v>
      </c>
      <c r="F29" s="52">
        <f t="shared" si="0"/>
        <v>46152</v>
      </c>
      <c r="G29" s="43" t="s">
        <v>79</v>
      </c>
    </row>
    <row r="30" spans="1:7" ht="60" customHeight="1" x14ac:dyDescent="0.3">
      <c r="A30" s="40">
        <v>18</v>
      </c>
      <c r="B30" s="41" t="s">
        <v>39</v>
      </c>
      <c r="C30" s="42" t="s">
        <v>95</v>
      </c>
      <c r="D30" s="58" t="s">
        <v>125</v>
      </c>
      <c r="E30" s="52">
        <v>45972</v>
      </c>
      <c r="F30" s="52">
        <f t="shared" si="0"/>
        <v>46152</v>
      </c>
      <c r="G30" s="43" t="s">
        <v>79</v>
      </c>
    </row>
    <row r="31" spans="1:7" ht="50.25" customHeight="1" x14ac:dyDescent="0.3">
      <c r="A31" s="40">
        <v>19</v>
      </c>
      <c r="B31" s="41" t="s">
        <v>40</v>
      </c>
      <c r="C31" s="42" t="s">
        <v>126</v>
      </c>
      <c r="D31" s="58" t="s">
        <v>130</v>
      </c>
      <c r="E31" s="52">
        <v>45972</v>
      </c>
      <c r="F31" s="52">
        <f t="shared" si="0"/>
        <v>46152</v>
      </c>
      <c r="G31" s="43" t="s">
        <v>79</v>
      </c>
    </row>
    <row r="32" spans="1:7" ht="39" customHeight="1" x14ac:dyDescent="0.3">
      <c r="A32" s="40">
        <v>20</v>
      </c>
      <c r="B32" s="41" t="s">
        <v>41</v>
      </c>
      <c r="C32" s="59" t="s">
        <v>132</v>
      </c>
      <c r="D32" s="58" t="s">
        <v>131</v>
      </c>
      <c r="E32" s="52">
        <v>45972</v>
      </c>
      <c r="F32" s="52">
        <f t="shared" si="0"/>
        <v>46152</v>
      </c>
      <c r="G32" s="43" t="s">
        <v>79</v>
      </c>
    </row>
    <row r="33" spans="1:7" ht="81" customHeight="1" x14ac:dyDescent="0.3">
      <c r="A33" s="40">
        <v>21</v>
      </c>
      <c r="B33" s="41" t="s">
        <v>42</v>
      </c>
      <c r="C33" s="42" t="s">
        <v>96</v>
      </c>
      <c r="D33" s="58" t="s">
        <v>133</v>
      </c>
      <c r="E33" s="52">
        <v>45972</v>
      </c>
      <c r="F33" s="52">
        <f t="shared" si="0"/>
        <v>46152</v>
      </c>
      <c r="G33" s="43" t="s">
        <v>79</v>
      </c>
    </row>
    <row r="34" spans="1:7" ht="89.25" customHeight="1" x14ac:dyDescent="0.3">
      <c r="A34" s="40">
        <v>22</v>
      </c>
      <c r="B34" s="41" t="s">
        <v>43</v>
      </c>
      <c r="C34" s="42" t="s">
        <v>97</v>
      </c>
      <c r="D34" s="58" t="s">
        <v>149</v>
      </c>
      <c r="E34" s="52">
        <v>45972</v>
      </c>
      <c r="F34" s="52">
        <f t="shared" si="0"/>
        <v>46152</v>
      </c>
      <c r="G34" s="43" t="s">
        <v>79</v>
      </c>
    </row>
    <row r="35" spans="1:7" ht="49.5" x14ac:dyDescent="0.3">
      <c r="A35" s="40">
        <v>23</v>
      </c>
      <c r="B35" s="41" t="s">
        <v>44</v>
      </c>
      <c r="C35" s="42" t="s">
        <v>98</v>
      </c>
      <c r="D35" s="58" t="s">
        <v>125</v>
      </c>
      <c r="E35" s="52">
        <v>45972</v>
      </c>
      <c r="F35" s="52">
        <f t="shared" si="0"/>
        <v>46152</v>
      </c>
      <c r="G35" s="43" t="s">
        <v>79</v>
      </c>
    </row>
    <row r="36" spans="1:7" ht="40.5" customHeight="1" x14ac:dyDescent="0.3">
      <c r="A36" s="40">
        <v>24</v>
      </c>
      <c r="B36" s="41" t="s">
        <v>45</v>
      </c>
      <c r="C36" s="42" t="s">
        <v>99</v>
      </c>
      <c r="D36" s="58" t="s">
        <v>130</v>
      </c>
      <c r="E36" s="52">
        <v>45972</v>
      </c>
      <c r="F36" s="52">
        <f t="shared" si="0"/>
        <v>46152</v>
      </c>
      <c r="G36" s="43" t="s">
        <v>79</v>
      </c>
    </row>
    <row r="37" spans="1:7" ht="45" customHeight="1" x14ac:dyDescent="0.3">
      <c r="A37" s="40">
        <v>25</v>
      </c>
      <c r="B37" s="41" t="s">
        <v>46</v>
      </c>
      <c r="C37" s="42" t="s">
        <v>100</v>
      </c>
      <c r="D37" s="58" t="s">
        <v>130</v>
      </c>
      <c r="E37" s="52">
        <v>45972</v>
      </c>
      <c r="F37" s="52">
        <f t="shared" si="0"/>
        <v>46152</v>
      </c>
      <c r="G37" s="43" t="s">
        <v>79</v>
      </c>
    </row>
    <row r="38" spans="1:7" ht="49.5" x14ac:dyDescent="0.3">
      <c r="A38" s="40">
        <v>26</v>
      </c>
      <c r="B38" s="41" t="s">
        <v>47</v>
      </c>
      <c r="C38" s="42" t="s">
        <v>101</v>
      </c>
      <c r="D38" s="58" t="s">
        <v>134</v>
      </c>
      <c r="E38" s="52">
        <v>45972</v>
      </c>
      <c r="F38" s="52">
        <f t="shared" si="0"/>
        <v>46152</v>
      </c>
      <c r="G38" s="43" t="s">
        <v>79</v>
      </c>
    </row>
    <row r="39" spans="1:7" ht="49.5" x14ac:dyDescent="0.3">
      <c r="A39" s="40">
        <v>27</v>
      </c>
      <c r="B39" s="41" t="s">
        <v>48</v>
      </c>
      <c r="C39" s="42" t="s">
        <v>102</v>
      </c>
      <c r="D39" s="58" t="s">
        <v>125</v>
      </c>
      <c r="E39" s="52">
        <v>45972</v>
      </c>
      <c r="F39" s="52">
        <f t="shared" si="0"/>
        <v>46152</v>
      </c>
      <c r="G39" s="43" t="s">
        <v>79</v>
      </c>
    </row>
    <row r="40" spans="1:7" ht="58.5" customHeight="1" x14ac:dyDescent="0.3">
      <c r="A40" s="40">
        <v>28</v>
      </c>
      <c r="B40" s="41" t="s">
        <v>49</v>
      </c>
      <c r="C40" s="42" t="s">
        <v>103</v>
      </c>
      <c r="D40" s="58" t="s">
        <v>125</v>
      </c>
      <c r="E40" s="52">
        <v>45972</v>
      </c>
      <c r="F40" s="52">
        <f t="shared" si="0"/>
        <v>46152</v>
      </c>
      <c r="G40" s="43" t="s">
        <v>79</v>
      </c>
    </row>
    <row r="41" spans="1:7" ht="49.5" x14ac:dyDescent="0.3">
      <c r="A41" s="40">
        <v>29</v>
      </c>
      <c r="B41" s="41" t="s">
        <v>50</v>
      </c>
      <c r="C41" s="42" t="s">
        <v>104</v>
      </c>
      <c r="D41" s="58" t="s">
        <v>125</v>
      </c>
      <c r="E41" s="52">
        <v>45972</v>
      </c>
      <c r="F41" s="52">
        <f t="shared" si="0"/>
        <v>46152</v>
      </c>
      <c r="G41" s="43" t="s">
        <v>79</v>
      </c>
    </row>
    <row r="42" spans="1:7" ht="42.75" customHeight="1" x14ac:dyDescent="0.3">
      <c r="A42" s="40">
        <v>30</v>
      </c>
      <c r="B42" s="41" t="s">
        <v>51</v>
      </c>
      <c r="C42" s="42" t="s">
        <v>105</v>
      </c>
      <c r="D42" s="58" t="s">
        <v>125</v>
      </c>
      <c r="E42" s="52">
        <v>45972</v>
      </c>
      <c r="F42" s="52">
        <f t="shared" si="0"/>
        <v>46152</v>
      </c>
      <c r="G42" s="43" t="s">
        <v>79</v>
      </c>
    </row>
    <row r="43" spans="1:7" ht="60.75" x14ac:dyDescent="0.3">
      <c r="A43" s="40">
        <v>31</v>
      </c>
      <c r="B43" s="41" t="s">
        <v>52</v>
      </c>
      <c r="C43" s="42" t="s">
        <v>106</v>
      </c>
      <c r="D43" s="58" t="s">
        <v>135</v>
      </c>
      <c r="E43" s="52">
        <v>45972</v>
      </c>
      <c r="F43" s="52">
        <f t="shared" si="0"/>
        <v>46152</v>
      </c>
      <c r="G43" s="43" t="s">
        <v>79</v>
      </c>
    </row>
    <row r="44" spans="1:7" ht="49.5" x14ac:dyDescent="0.3">
      <c r="A44" s="40">
        <v>32</v>
      </c>
      <c r="B44" s="41" t="s">
        <v>53</v>
      </c>
      <c r="C44" s="42" t="s">
        <v>107</v>
      </c>
      <c r="D44" s="58" t="s">
        <v>125</v>
      </c>
      <c r="E44" s="52">
        <v>45972</v>
      </c>
      <c r="F44" s="52">
        <f t="shared" si="0"/>
        <v>46152</v>
      </c>
      <c r="G44" s="43" t="s">
        <v>79</v>
      </c>
    </row>
    <row r="45" spans="1:7" ht="50.25" customHeight="1" x14ac:dyDescent="0.3">
      <c r="A45" s="40">
        <v>33</v>
      </c>
      <c r="B45" s="41" t="s">
        <v>54</v>
      </c>
      <c r="C45" s="42" t="s">
        <v>108</v>
      </c>
      <c r="D45" s="58" t="s">
        <v>125</v>
      </c>
      <c r="E45" s="52">
        <v>45972</v>
      </c>
      <c r="F45" s="52">
        <f t="shared" si="0"/>
        <v>46152</v>
      </c>
      <c r="G45" s="43" t="s">
        <v>79</v>
      </c>
    </row>
    <row r="46" spans="1:7" ht="49.5" customHeight="1" x14ac:dyDescent="0.3">
      <c r="A46" s="40">
        <v>34</v>
      </c>
      <c r="B46" s="41" t="s">
        <v>55</v>
      </c>
      <c r="C46" s="42" t="s">
        <v>110</v>
      </c>
      <c r="D46" s="58" t="s">
        <v>125</v>
      </c>
      <c r="E46" s="52">
        <v>45972</v>
      </c>
      <c r="F46" s="52">
        <f t="shared" si="0"/>
        <v>46152</v>
      </c>
      <c r="G46" s="43" t="s">
        <v>79</v>
      </c>
    </row>
    <row r="47" spans="1:7" ht="44.25" customHeight="1" x14ac:dyDescent="0.3">
      <c r="A47" s="40">
        <v>35</v>
      </c>
      <c r="B47" s="41" t="s">
        <v>56</v>
      </c>
      <c r="C47" s="42" t="s">
        <v>111</v>
      </c>
      <c r="D47" s="58" t="s">
        <v>136</v>
      </c>
      <c r="E47" s="52">
        <v>45972</v>
      </c>
      <c r="F47" s="52">
        <f t="shared" si="0"/>
        <v>46152</v>
      </c>
      <c r="G47" s="43" t="s">
        <v>79</v>
      </c>
    </row>
    <row r="48" spans="1:7" ht="49.5" x14ac:dyDescent="0.3">
      <c r="A48" s="40">
        <v>36</v>
      </c>
      <c r="B48" s="41" t="s">
        <v>57</v>
      </c>
      <c r="C48" s="42" t="s">
        <v>137</v>
      </c>
      <c r="D48" s="58" t="s">
        <v>138</v>
      </c>
      <c r="E48" s="52">
        <v>45972</v>
      </c>
      <c r="F48" s="52">
        <f t="shared" si="0"/>
        <v>46152</v>
      </c>
      <c r="G48" s="43" t="s">
        <v>79</v>
      </c>
    </row>
    <row r="49" spans="1:7" ht="59.25" customHeight="1" x14ac:dyDescent="0.3">
      <c r="A49" s="40">
        <v>37</v>
      </c>
      <c r="B49" s="41" t="s">
        <v>58</v>
      </c>
      <c r="C49" s="42" t="s">
        <v>112</v>
      </c>
      <c r="D49" s="58" t="s">
        <v>138</v>
      </c>
      <c r="E49" s="52">
        <v>45972</v>
      </c>
      <c r="F49" s="52">
        <f t="shared" si="0"/>
        <v>46152</v>
      </c>
      <c r="G49" s="43" t="s">
        <v>79</v>
      </c>
    </row>
    <row r="50" spans="1:7" ht="45.75" customHeight="1" x14ac:dyDescent="0.3">
      <c r="A50" s="40">
        <v>38</v>
      </c>
      <c r="B50" s="41" t="s">
        <v>59</v>
      </c>
      <c r="C50" s="42" t="s">
        <v>113</v>
      </c>
      <c r="D50" s="42" t="s">
        <v>113</v>
      </c>
      <c r="E50" s="52">
        <v>45972</v>
      </c>
      <c r="F50" s="52">
        <f t="shared" si="0"/>
        <v>46152</v>
      </c>
      <c r="G50" s="43" t="s">
        <v>79</v>
      </c>
    </row>
    <row r="51" spans="1:7" ht="48" customHeight="1" x14ac:dyDescent="0.3">
      <c r="A51" s="40">
        <v>39</v>
      </c>
      <c r="B51" s="41" t="s">
        <v>60</v>
      </c>
      <c r="C51" s="42" t="s">
        <v>114</v>
      </c>
      <c r="D51" s="58" t="s">
        <v>145</v>
      </c>
      <c r="E51" s="52">
        <v>45972</v>
      </c>
      <c r="F51" s="52">
        <f t="shared" si="0"/>
        <v>46152</v>
      </c>
      <c r="G51" s="43" t="s">
        <v>79</v>
      </c>
    </row>
    <row r="52" spans="1:7" ht="43.5" customHeight="1" x14ac:dyDescent="0.3">
      <c r="A52" s="40">
        <v>40</v>
      </c>
      <c r="B52" s="41" t="s">
        <v>61</v>
      </c>
      <c r="C52" s="42" t="s">
        <v>115</v>
      </c>
      <c r="D52" s="42" t="s">
        <v>115</v>
      </c>
      <c r="E52" s="52">
        <v>45972</v>
      </c>
      <c r="F52" s="52">
        <f t="shared" si="0"/>
        <v>46152</v>
      </c>
      <c r="G52" s="43" t="s">
        <v>79</v>
      </c>
    </row>
    <row r="53" spans="1:7" ht="42.75" customHeight="1" x14ac:dyDescent="0.3">
      <c r="A53" s="40">
        <v>41</v>
      </c>
      <c r="B53" s="41" t="s">
        <v>62</v>
      </c>
      <c r="C53" s="42" t="s">
        <v>115</v>
      </c>
      <c r="D53" s="42" t="s">
        <v>115</v>
      </c>
      <c r="E53" s="52">
        <v>45972</v>
      </c>
      <c r="F53" s="52">
        <f t="shared" si="0"/>
        <v>46152</v>
      </c>
      <c r="G53" s="43" t="s">
        <v>79</v>
      </c>
    </row>
    <row r="54" spans="1:7" ht="76.5" customHeight="1" x14ac:dyDescent="0.3">
      <c r="A54" s="40">
        <v>42</v>
      </c>
      <c r="B54" s="41" t="s">
        <v>63</v>
      </c>
      <c r="C54" s="42" t="s">
        <v>147</v>
      </c>
      <c r="D54" s="58" t="s">
        <v>150</v>
      </c>
      <c r="E54" s="52">
        <v>45972</v>
      </c>
      <c r="F54" s="52">
        <f t="shared" si="0"/>
        <v>46152</v>
      </c>
      <c r="G54" s="43" t="s">
        <v>79</v>
      </c>
    </row>
    <row r="55" spans="1:7" ht="45" customHeight="1" x14ac:dyDescent="0.3">
      <c r="A55" s="40">
        <v>43</v>
      </c>
      <c r="B55" s="41" t="s">
        <v>64</v>
      </c>
      <c r="C55" s="42" t="s">
        <v>116</v>
      </c>
      <c r="D55" s="58" t="s">
        <v>123</v>
      </c>
      <c r="E55" s="52">
        <v>45972</v>
      </c>
      <c r="F55" s="52">
        <f t="shared" si="0"/>
        <v>46152</v>
      </c>
      <c r="G55" s="43" t="s">
        <v>79</v>
      </c>
    </row>
    <row r="56" spans="1:7" ht="51.75" customHeight="1" x14ac:dyDescent="0.3">
      <c r="A56" s="40">
        <v>44</v>
      </c>
      <c r="B56" s="41" t="s">
        <v>65</v>
      </c>
      <c r="C56" s="42" t="s">
        <v>117</v>
      </c>
      <c r="D56" s="42" t="s">
        <v>117</v>
      </c>
      <c r="E56" s="52">
        <v>45972</v>
      </c>
      <c r="F56" s="52">
        <f t="shared" si="0"/>
        <v>46152</v>
      </c>
      <c r="G56" s="43" t="s">
        <v>79</v>
      </c>
    </row>
    <row r="57" spans="1:7" ht="56.25" customHeight="1" x14ac:dyDescent="0.3">
      <c r="A57" s="40">
        <v>45</v>
      </c>
      <c r="B57" s="41" t="s">
        <v>66</v>
      </c>
      <c r="C57" s="42" t="s">
        <v>115</v>
      </c>
      <c r="D57" s="42" t="s">
        <v>115</v>
      </c>
      <c r="E57" s="52">
        <v>45972</v>
      </c>
      <c r="F57" s="52">
        <f t="shared" si="0"/>
        <v>46152</v>
      </c>
      <c r="G57" s="43" t="s">
        <v>79</v>
      </c>
    </row>
    <row r="58" spans="1:7" ht="64.5" customHeight="1" x14ac:dyDescent="0.3">
      <c r="A58" s="40">
        <v>46</v>
      </c>
      <c r="B58" s="41" t="s">
        <v>67</v>
      </c>
      <c r="C58" s="42" t="s">
        <v>117</v>
      </c>
      <c r="D58" s="42" t="s">
        <v>117</v>
      </c>
      <c r="E58" s="52">
        <v>45972</v>
      </c>
      <c r="F58" s="52">
        <f t="shared" si="0"/>
        <v>46152</v>
      </c>
      <c r="G58" s="43" t="s">
        <v>79</v>
      </c>
    </row>
    <row r="59" spans="1:7" ht="31.5" customHeight="1" x14ac:dyDescent="0.3">
      <c r="A59" s="40">
        <v>47</v>
      </c>
      <c r="B59" s="41" t="s">
        <v>68</v>
      </c>
      <c r="C59" s="42" t="s">
        <v>78</v>
      </c>
      <c r="D59" s="42" t="s">
        <v>78</v>
      </c>
      <c r="E59" s="52">
        <v>45972</v>
      </c>
      <c r="F59" s="52">
        <f t="shared" si="0"/>
        <v>46152</v>
      </c>
      <c r="G59" s="43" t="s">
        <v>79</v>
      </c>
    </row>
    <row r="60" spans="1:7" ht="49.5" customHeight="1" x14ac:dyDescent="0.3">
      <c r="A60" s="40">
        <v>48</v>
      </c>
      <c r="B60" s="41" t="s">
        <v>69</v>
      </c>
      <c r="C60" s="42" t="s">
        <v>78</v>
      </c>
      <c r="D60" s="42" t="s">
        <v>78</v>
      </c>
      <c r="E60" s="52">
        <v>45972</v>
      </c>
      <c r="F60" s="52">
        <f t="shared" si="0"/>
        <v>46152</v>
      </c>
      <c r="G60" s="43" t="s">
        <v>79</v>
      </c>
    </row>
    <row r="61" spans="1:7" ht="61.5" customHeight="1" x14ac:dyDescent="0.3">
      <c r="A61" s="40">
        <v>49</v>
      </c>
      <c r="B61" s="41" t="s">
        <v>70</v>
      </c>
      <c r="C61" s="42" t="s">
        <v>118</v>
      </c>
      <c r="D61" s="42" t="s">
        <v>148</v>
      </c>
      <c r="E61" s="52">
        <v>45972</v>
      </c>
      <c r="F61" s="52">
        <f t="shared" si="0"/>
        <v>46152</v>
      </c>
      <c r="G61" s="43" t="s">
        <v>79</v>
      </c>
    </row>
    <row r="62" spans="1:7" ht="43.5" customHeight="1" x14ac:dyDescent="0.3">
      <c r="A62" s="40">
        <v>50</v>
      </c>
      <c r="B62" s="41" t="s">
        <v>71</v>
      </c>
      <c r="C62" s="42" t="s">
        <v>78</v>
      </c>
      <c r="D62" s="42" t="s">
        <v>78</v>
      </c>
      <c r="E62" s="52">
        <v>45972</v>
      </c>
      <c r="F62" s="52">
        <f t="shared" si="0"/>
        <v>46152</v>
      </c>
      <c r="G62" s="43" t="s">
        <v>79</v>
      </c>
    </row>
    <row r="63" spans="1:7" ht="90.75" customHeight="1" x14ac:dyDescent="0.3">
      <c r="A63" s="40">
        <v>51</v>
      </c>
      <c r="B63" s="41" t="s">
        <v>72</v>
      </c>
      <c r="C63" s="42" t="s">
        <v>119</v>
      </c>
      <c r="D63" s="61" t="s">
        <v>139</v>
      </c>
      <c r="E63" s="52">
        <v>45972</v>
      </c>
      <c r="F63" s="52">
        <f t="shared" si="0"/>
        <v>46152</v>
      </c>
      <c r="G63" s="43" t="s">
        <v>79</v>
      </c>
    </row>
    <row r="64" spans="1:7" ht="50.25" thickBot="1" x14ac:dyDescent="0.35">
      <c r="A64" s="47">
        <v>52</v>
      </c>
      <c r="B64" s="48" t="s">
        <v>73</v>
      </c>
      <c r="C64" s="49" t="s">
        <v>120</v>
      </c>
      <c r="D64" s="62" t="s">
        <v>140</v>
      </c>
      <c r="E64" s="55">
        <v>45972</v>
      </c>
      <c r="F64" s="52">
        <f t="shared" si="0"/>
        <v>46152</v>
      </c>
      <c r="G64" s="43" t="s">
        <v>79</v>
      </c>
    </row>
    <row r="65" spans="1:7" ht="39" thickBot="1" x14ac:dyDescent="0.35">
      <c r="A65" s="80" t="s">
        <v>14</v>
      </c>
      <c r="B65" s="81"/>
      <c r="C65" s="50"/>
      <c r="D65" s="53" t="s">
        <v>146</v>
      </c>
      <c r="E65" s="56">
        <v>45972</v>
      </c>
      <c r="F65" s="54" t="s">
        <v>12</v>
      </c>
      <c r="G65" s="51">
        <v>45972</v>
      </c>
    </row>
    <row r="66" spans="1:7" x14ac:dyDescent="0.3">
      <c r="A66" s="31"/>
      <c r="B66" s="32"/>
      <c r="C66" s="33"/>
      <c r="D66" s="34"/>
      <c r="E66" s="33"/>
      <c r="F66" s="34"/>
      <c r="G66" s="33"/>
    </row>
    <row r="67" spans="1:7" x14ac:dyDescent="0.3">
      <c r="A67" s="31"/>
      <c r="B67" s="32"/>
      <c r="C67" s="33"/>
      <c r="D67" s="34"/>
      <c r="E67" s="33"/>
      <c r="F67" s="34"/>
      <c r="G67" s="33"/>
    </row>
    <row r="68" spans="1:7" ht="39" customHeight="1" x14ac:dyDescent="0.3">
      <c r="A68" s="25" t="s">
        <v>142</v>
      </c>
      <c r="B68" s="26"/>
      <c r="C68" s="27"/>
      <c r="D68" s="28"/>
      <c r="E68" s="28" t="s">
        <v>144</v>
      </c>
      <c r="F68" s="29"/>
      <c r="G68" s="29"/>
    </row>
    <row r="69" spans="1:7" x14ac:dyDescent="0.3">
      <c r="B69" s="1" t="s">
        <v>151</v>
      </c>
      <c r="C69" s="29"/>
      <c r="D69" s="29"/>
      <c r="E69" s="82" t="s">
        <v>152</v>
      </c>
      <c r="F69" s="82"/>
      <c r="G69" s="82"/>
    </row>
    <row r="72" spans="1:7" x14ac:dyDescent="0.3">
      <c r="A72" s="25"/>
    </row>
  </sheetData>
  <dataConsolidate/>
  <mergeCells count="16">
    <mergeCell ref="E69:G69"/>
    <mergeCell ref="A65:B65"/>
    <mergeCell ref="F6:G6"/>
    <mergeCell ref="A11:A12"/>
    <mergeCell ref="B11:B12"/>
    <mergeCell ref="C11:C12"/>
    <mergeCell ref="D11:D12"/>
    <mergeCell ref="E11:E12"/>
    <mergeCell ref="F11:F12"/>
    <mergeCell ref="G11:G12"/>
    <mergeCell ref="A1:A4"/>
    <mergeCell ref="B1:G1"/>
    <mergeCell ref="B2:G2"/>
    <mergeCell ref="B3:G3"/>
    <mergeCell ref="B4:C4"/>
    <mergeCell ref="D4:G4"/>
  </mergeCells>
  <hyperlinks>
    <hyperlink ref="D13" r:id="rId1" display="\\10.10.12.157\compartida\SGC CONCEJO CHIA 2025\5. Procesos  SGC\1. DIRECCIONAMIENTO ESTRATÉGICO Y COMUNICACIONES 2025\3. Formatos 2025\3.1 Formatos Direcc estrategico 2025\Formato Rendición de Cuentas 2025\Formatos procedimiento rend" xr:uid="{CE0A1E3B-5ABB-499B-8356-A2A9D9DCE2F9}"/>
    <hyperlink ref="D15" r:id="rId2" location="gsc.tab=0" xr:uid="{860FDCEA-1F46-4982-9098-495A082F30E3}"/>
    <hyperlink ref="D16" r:id="rId3" xr:uid="{2A1A469D-F299-4482-9D12-7F73911681C0}"/>
    <hyperlink ref="D20" r:id="rId4" xr:uid="{601A57EE-241E-4C71-BFD4-F3DD6F0D4696}"/>
    <hyperlink ref="D22" r:id="rId5" location="gsc.tab=0" xr:uid="{50F92068-FDCE-4BC7-8481-17B51128DAA7}"/>
    <hyperlink ref="D27" r:id="rId6" xr:uid="{AAC5AB58-6229-4406-B91C-FFA5B369B7E8}"/>
    <hyperlink ref="D29" r:id="rId7" xr:uid="{9D23E9A5-A02D-4763-B873-899F7C591CE0}"/>
    <hyperlink ref="D23" r:id="rId8" location="gsc.tab=0" xr:uid="{9E0E0CE5-486F-4D17-9654-B8B886D9D59A}"/>
    <hyperlink ref="D32" r:id="rId9" xr:uid="{E3EBCEE6-2A4A-4CFF-B32F-1C9E1D07EB4E}"/>
    <hyperlink ref="D47" r:id="rId10" display="\\10.10.12.157\secretaria\RELACIONAMIENTO CON LA CIUDADANÍA 2025\5. Productos\6. Matriz DOFA" xr:uid="{BB00DF5B-49A3-4792-8556-B41F05ECF1A1}"/>
    <hyperlink ref="D45" r:id="rId11" xr:uid="{E5A60EA2-385A-4EF9-84E4-F1E975D93970}"/>
    <hyperlink ref="D55" r:id="rId12" xr:uid="{8366A70B-E3A0-42FC-8D5B-F7AA278D61BF}"/>
    <hyperlink ref="D51" r:id="rId13" display="https://youtu.be/PCO7tOdNtJI" xr:uid="{62C67CC7-C886-48F4-A205-90EAB8AB051B}"/>
    <hyperlink ref="D63" location="'POLITICA (2)'!A1" display="\\10.10.12.157\secretaria\RELACIONAMIENTO CON LA CIUDADANÍA 2025\5. Productos\9. Actas Reunion Relacionamiento con el Ciudadano" xr:uid="{288BB618-D6A6-4331-9D39-2FF8328C2959}"/>
    <hyperlink ref="D64" location="'POLITICA (2)'!A1" display="\\10.10.12.157\secretaria\RELACIONAMIENTO CON LA CIUDADANÍA 2025\5. Productos\1. Caracterización Ciudadano y grupos de valor" xr:uid="{7B645F07-966C-46B9-93ED-F26B138F40BF}"/>
    <hyperlink ref="D34" r:id="rId14" location="gsc.tab=0" display="https://concejomunicipalchia.gov.co/views/noticias-detalle.php?idnot=518#gsc.tab=0" xr:uid="{67C70C13-11C6-48AD-86F5-15DF91C23F14}"/>
  </hyperlinks>
  <printOptions horizontalCentered="1"/>
  <pageMargins left="0.70866141732283472" right="0.47244094488188981" top="0.74803149606299213" bottom="0.74803149606299213" header="0.31496062992125984" footer="0.31496062992125984"/>
  <pageSetup paperSize="41" scale="27" orientation="landscape" r:id="rId15"/>
  <drawing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POLITICA</vt:lpstr>
      <vt:lpstr>POLITICA (2)</vt:lpstr>
      <vt:lpstr>POLITICA!Títulos_a_imprimir</vt:lpstr>
      <vt:lpstr>'POLITICA (2)'!Títulos_a_imprimir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concejo chia</cp:lastModifiedBy>
  <cp:lastPrinted>2025-11-11T17:51:00Z</cp:lastPrinted>
  <dcterms:created xsi:type="dcterms:W3CDTF">2014-12-09T04:54:47Z</dcterms:created>
  <dcterms:modified xsi:type="dcterms:W3CDTF">2025-11-11T18:02:51Z</dcterms:modified>
</cp:coreProperties>
</file>