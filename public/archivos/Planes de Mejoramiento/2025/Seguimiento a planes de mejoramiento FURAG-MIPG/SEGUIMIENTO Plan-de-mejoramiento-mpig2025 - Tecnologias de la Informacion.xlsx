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30.30.30.51\compartida\SGC CONCEJO CHIA\7. Planes de Mejoramiento\2025\Seguimiento a planes de mejoramiento FURAG-MIPG\"/>
    </mc:Choice>
  </mc:AlternateContent>
  <xr:revisionPtr revIDLastSave="0" documentId="13_ncr:1_{E4A0E5A7-CCBB-4DD2-A4B7-48D251CE94C5}" xr6:coauthVersionLast="47" xr6:coauthVersionMax="47" xr10:uidLastSave="{00000000-0000-0000-0000-000000000000}"/>
  <bookViews>
    <workbookView xWindow="-120" yWindow="-120" windowWidth="29040" windowHeight="15720" xr2:uid="{00000000-000D-0000-FFFF-FFFF00000000}"/>
  </bookViews>
  <sheets>
    <sheet name="POLITICA MIPG" sheetId="37" r:id="rId1"/>
  </sheets>
  <definedNames>
    <definedName name="_xlnm._FilterDatabase" localSheetId="0" hidden="1">'POLITICA MIPG'!$D$13:$D$16</definedName>
    <definedName name="_xlnm.Print_Area" localSheetId="0">'POLITICA MIPG'!$A$1:$H$61</definedName>
    <definedName name="_xlnm.Print_Titles" localSheetId="0">'POLITICA MIPG'!$12:$13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37" l="1"/>
  <c r="H7" i="37"/>
  <c r="H8" i="37"/>
  <c r="H10" i="37" l="1"/>
</calcChain>
</file>

<file path=xl/sharedStrings.xml><?xml version="1.0" encoding="utf-8"?>
<sst xmlns="http://schemas.openxmlformats.org/spreadsheetml/2006/main" count="270" uniqueCount="137">
  <si>
    <t>No.</t>
  </si>
  <si>
    <t>SIN AVANCE</t>
  </si>
  <si>
    <t>EN GESTIÓN</t>
  </si>
  <si>
    <t>CUMPLIDAS</t>
  </si>
  <si>
    <t>TOTAL COMPROMISOS</t>
  </si>
  <si>
    <t>RECOMENDACIÓN</t>
  </si>
  <si>
    <t xml:space="preserve">ACCIONES PARA IMPLEMENTACIÓN </t>
  </si>
  <si>
    <t>EVIDENCIA O UNIDAD DE MEDIDA</t>
  </si>
  <si>
    <t>FECHA DE INICIO</t>
  </si>
  <si>
    <t>FECHA DE CUMPLIMIENTO</t>
  </si>
  <si>
    <t>DEPENDENCIA RESPONSABLE</t>
  </si>
  <si>
    <t>ESTADO DE ACCIONES</t>
  </si>
  <si>
    <t>Si</t>
  </si>
  <si>
    <t>No</t>
  </si>
  <si>
    <t>EN GESTION</t>
  </si>
  <si>
    <t>SEGUIMIENTO A ESTADO</t>
  </si>
  <si>
    <t xml:space="preserve">PERÍODO: </t>
  </si>
  <si>
    <t xml:space="preserve">SEGUIMIENTO A POLÍTICA: </t>
  </si>
  <si>
    <t>SISTEMA DE GESTIÓN DE CALIDAD
CONCEJO MUNICIPAL DE CHÍA</t>
  </si>
  <si>
    <t>PROCESO DE GESTION DE EVALUACION INDEPENDIENTE</t>
  </si>
  <si>
    <t xml:space="preserve">FORMATO:  SEGUIMIENTO PLAN DE MEJORAMIENTO FURAG - MIPG </t>
  </si>
  <si>
    <t>Fecha de Elaboración del plan:</t>
  </si>
  <si>
    <t xml:space="preserve">Fecha de presentación del plan: </t>
  </si>
  <si>
    <t xml:space="preserve">Fecha de seguimiento del plan: </t>
  </si>
  <si>
    <t xml:space="preserve">% avance  </t>
  </si>
  <si>
    <t>Líder del Proceso</t>
  </si>
  <si>
    <t>Jefe Oficina de Control Interno</t>
  </si>
  <si>
    <t>Jefe Oficina Control Interno</t>
  </si>
  <si>
    <t>ÍNDICE GESTIÓN DE DESEMPEÑO POLÍTICA:</t>
  </si>
  <si>
    <t>Versión: 01</t>
  </si>
  <si>
    <t>FECHA: 27/10/2025</t>
  </si>
  <si>
    <t xml:space="preserve">VIGENCIA: </t>
  </si>
  <si>
    <t>Implementar el Modelo de Arquitectura Empresarial (MAE) del Marco de Referencia de Arquitectura Empresarial (MRAE)</t>
  </si>
  <si>
    <t>Se implementa el Modelo de Arquitectura Empresarial (MAE) del MRAE en concordancia con las metas establecidas en el Plan Estratégico de Tecnologías de la Información (PETI), asegurando su alineación con los objetivos estratégicos de la entidad.</t>
  </si>
  <si>
    <t>Publicación en la pagina web de la entidad https://www.concejomunicipalchia.gov.co/views/planesins.php?pagina=1</t>
  </si>
  <si>
    <t xml:space="preserve">Tecnologias de la información - Contratista ING. Sistemas </t>
  </si>
  <si>
    <t>Implementar el Modelo de Gestión de Proyectos de Tecnologías de la Información (MGPTI) del Marco de Referencia de Arquitectura Empresarial (MRAE).</t>
  </si>
  <si>
    <t>Elaborar un tablero de control con indicadores para hacer seguimiento a la implementación del Plan Estratégico de Tecnologías de la Información (PETI).</t>
  </si>
  <si>
    <t>Se realiza indicador para establecer metas del  Plan Estratégico de Tecnologías de la Información (PETI).</t>
  </si>
  <si>
    <t>Publicar en la sede electrónica de la entidad el Plan Estratégico de Tecnologías de la Información (PETI).</t>
  </si>
  <si>
    <t>Se encuntra piblicado en la pagina web de la entidad https://www.concejomunicipalchia.gov.co/views/planesins.php?pagina=1</t>
  </si>
  <si>
    <t>Definir un catálogo de servicios de Tecnologías de la Información de la entidad.</t>
  </si>
  <si>
    <t>No se ha considerado establecer un catálogo formal de servicios de TI, dado que la comunicación de las funciones y actividades institucionales se realiza por medios digitales de divulgación general.</t>
  </si>
  <si>
    <t>Desarrollar e implementar una estrategia de uso y apropiación de tecnologías actuales y emergentes (blockchain, inteligencia artificial, internet de las cosas, automatización robótica de procesos).</t>
  </si>
  <si>
    <t>Actualmente se utilizan herramientas convencionales como página web y redes sociales para la gestión y divulgación de información.
Se realizara una estrategia para evaluar y adoptar tecnologías emergentes - profesional especializado - disponibilidad presupuestal</t>
  </si>
  <si>
    <t xml:space="preserve">feb-25
dic-25
</t>
  </si>
  <si>
    <t>Establecer estrategias para consolidar el conocimiento y las lecciones aprendidas del área de Tecnologías de la Información.</t>
  </si>
  <si>
    <t xml:space="preserve">Se realizan socializaciones periódicas en el área de Tecnologías de la Información, donde se comparten buenas prácticas y lecciones aprendidas, con el fin de fortalecer los procesos internos </t>
  </si>
  <si>
    <t xml:space="preserve"> Correos electronicos de la socializacion y listados de asistencia</t>
  </si>
  <si>
    <t>Registrar a la entidad en la Tienda Virtual del Estado Colombiano (TVEC).</t>
  </si>
  <si>
    <t>La entidad cuenta con registro activo en la Tienda Virtual del Estado Colombiano (TVEC), cuya administración y gestión se realiza desde el área de Contratación, conforme a los lineamientos establecidos para la adquisición de bienes y servicios.</t>
  </si>
  <si>
    <t>Usuarios activos de la corporación en la pagina</t>
  </si>
  <si>
    <t>Elaborar un diagnóstico de seguridad y privacidad de la información para la entidad a través de la herramienta de autodiagnóstico del Modelo de Seguridad y Privacidad de la Información (MSPI). Posteriormente, presentar y lograr la aprobación del diagnóstico en el Comité de Gestión y Desempeño Institucional.</t>
  </si>
  <si>
    <t xml:space="preserve">Se realiza y se aprueba Modelo de Seguridad y Privacidad de la Información </t>
  </si>
  <si>
    <t>Definir, aprobar, implementar y actualizar los procedimientos de seguridad y privacidad de la información, mediante un proceso de mejora continua.</t>
  </si>
  <si>
    <t>'Se encuntra piblicado en la pagina web de la entidad https://www.concejomunicipalchia.gov.co/views/planesins.php?pagina=1</t>
  </si>
  <si>
    <t>Aprobar, clasificar y actualizar el inventario de activos de seguridad y privacidad de la información de la entidad, mendiante un proceso de mejora continua.</t>
  </si>
  <si>
    <t>Se mantiene actualizado el inventario de activos de equipos de cómputo de la entidad, mediante procesos periódicos de revisión y control, garantizando su adecuada gestión y seguimiento.</t>
  </si>
  <si>
    <t xml:space="preserve">documento en carpeta compartida </t>
  </si>
  <si>
    <t>Elaborar el plan operacional de seguridad y privacidad de la información de la entidad, aprobarlo mediante el comité de gestión y desempeño institucional, implementarlo y actualizarlo mediante un proceso de mejora continua.</t>
  </si>
  <si>
    <t>Se realiza plan de seguridad y privacidad de la información de la corporacion y se aprueba en el comité de gestión y desempeño institucional y se publica en la página web  https://www.concejomunicipalchia.gov.co/views/planesins.php?pagina=1</t>
  </si>
  <si>
    <t>Se publica en la página web  https://www.concejomunicipalchia.gov.co/views/planesins.php?pagina=1</t>
  </si>
  <si>
    <t>Definir indicadores para medir la eficiencia y eficacia del sistema de gestión de seguridad y privacidad de la información (MSPI) de la entidad, aprobarlos mediante el comité de gestión y desempeño institucional, implementarlos y actualizarlos mediante un proceso de mejora continua.</t>
  </si>
  <si>
    <t xml:space="preserve">Se realiza indicador para establecer metas Modelo de Seguridad y Privacidad de la Información </t>
  </si>
  <si>
    <t>Se encuentra en la carpeta compartida \\30.30.30.51\compartida\SGC CONCEJO CHIA 2025\8. Indicadores</t>
  </si>
  <si>
    <t>Utilizar datos externos a la entidad para apoyar la toma de decisiones relacionadas con su misionalidad.</t>
  </si>
  <si>
    <t>Se realiza el uso de datos externos a la entidad como apoyo para la toma de decisiones relacionadas con su misionalidad, contribuyendo al análisis, planeación y fortalecimiento de la gestión institucional.</t>
  </si>
  <si>
    <t>planes institucionales - 
Se publica en la página web  https://www.concejomunicipalchia.gov.co/views/planesins.php?pagina=1</t>
  </si>
  <si>
    <t xml:space="preserve">Implementar procesos de analítica de datos que permitan soportar las decisiones del nivel estratégico de la entidad. En este nivel se definen las políticas, estrategias y prioridades para el desarrollo de la infraestructura de datos. También, se determinan los objetivos a largo plazo y el modo en que las partes interesadas han de interactuar entre sí. </t>
  </si>
  <si>
    <t>Se elaborará un documento técnico y estratégico orientado a la implementación de procesos de analítica de datos que soporten la toma de decisiones del nivel estratégico de la entidad.
Con este documento se establecerá una hoja de ruta clara que permita estructurar, organizar y fortalecer la analítica de datos como apoyo fundamental en la toma de decisiones estratégicas de la entidad.</t>
  </si>
  <si>
    <t>Documento en la carpeta compartida</t>
  </si>
  <si>
    <t>Implementar procesos de analítica de datos que permitan soportar las decisiones del nivel táctico de la entidad. En este nivel se elaboran los planes, programas, iniciativas, proyectos, procesos y procedimientos que permitan alcanzar los objetivos definidos en el nivel estratégico. También se efectúa el control de la gestión realizada por el nivel operacional.</t>
  </si>
  <si>
    <t>Se elaborará un documento técnico y metodológico orientado a la implementación de procesos de analítica de datos que respalden la toma de decisiones en el nivel táctico de la entidad.
Con este documento se establecerá un marco de referencia que permita fortalecer la gestión táctica mediante el uso eficiente de la información garantizando un adecuado seguimiento</t>
  </si>
  <si>
    <t>Implementar la fase de 'creación' del ciclo de vida del dato en la entidad.</t>
  </si>
  <si>
    <t>Se elaborará un documento técnico que tendrá como finalidad establecer los lineamientos, procedimientos y responsabilidades para garantizar que los datos se generen de manera estructurada, confiable y alineada con las necesidades institucionales.</t>
  </si>
  <si>
    <t>Implementar la fase de 'procesamiento' del ciclo de vida del dato en la entidad.</t>
  </si>
  <si>
    <t>Se elaborará un documento técnico donde se establecerá los lineamientos, metodologías y controles necesarios para garantizar que los datos sean transformados, organizados y preparados adecuadamente para su análisis y uso institucional.</t>
  </si>
  <si>
    <t>Implementar la fase de 'intercambio' del ciclo de vida del dato en la entidad.</t>
  </si>
  <si>
    <t>Se elaborará un documento técnico que tendrá como propósito establecer los lineamientos, protocolos y controles necesarios para garantizar el intercambio seguro, oportuno y estandarizado de la información, tanto al interior de la entidad como con otras entidades o partes interesadas externas.</t>
  </si>
  <si>
    <t>Implementar la fase de 'uso y análisis de datos' del ciclo de vida del dato en la entidad.</t>
  </si>
  <si>
    <t>Se elaborará un documento técnico que tendrá como objetivo establecer los lineamientos, metodologías y herramientas necesarias para garantizar que los datos sean utilizados de manera estratégica, segura y orientada a la generación de valor institucional.</t>
  </si>
  <si>
    <t>Implementar la fase de 'archivo y preservación' del ciclo de vida del dato en la entidad.</t>
  </si>
  <si>
    <t>Se elaborará un documento técnico donde tendrá como propósito establecer los lineamientos, procedimientos y controles necesarios para garantizar la conservación, integridad, disponibilidad y consulta futura de los datos institucionales, conforme a la normatividad vigente y las políticas internas de gestión documental y seguridad de la información.</t>
  </si>
  <si>
    <t>Utilizar conjuntos de datos consistentes para el desarrollo o mantenimiento de soluciones basadas en datos en la entidad. La característica de consistencia en los datos hace referencia a que son coherentes con otros datos de su mismo contexto de uso y utilizan la misma codificación de variables y etiquetas.</t>
  </si>
  <si>
    <t>Se elaborará un documento técnico y metodológico orientado a establecer lineamientos para el uso de conjuntos de datos consistentes en el desarrollo y mantenimiento de soluciones basadas en datos en la entidad.
Este documento tendrá como finalidad definir los criterios y estándares que garanticen la coherencia, homogeneidad y correcta codificación de la información utilizada en los diferentes sistemas, reportes y procesos analíticos institucionales.</t>
  </si>
  <si>
    <t xml:space="preserve">Documento socializado a las diferentes dependencias de la corporación
Carpeta compartida 
</t>
  </si>
  <si>
    <t>Utilizar conjuntos de datos precisos para el desarrollo o mantenimiento de soluciones basadas en datos en la entidad. La caracterísitica de precisión en los datos hace referencia a que se presentan desde su fuente primeria y representan la realidad.</t>
  </si>
  <si>
    <t>Se elaborará un documento técnico dirigido a las dependencias de la entidad, en el cual se establecerán los lineamientos y procedimientos para garantizar el uso de conjuntos de datos precisos en el desarrollo y mantenimiento de soluciones basadas en datos.</t>
  </si>
  <si>
    <t>Utilizar conjuntos de datos completos para el desarrollo o mantenimiento de soluciones basadas en datos en la entidad. La caracterísitica de completitud en los datos hace referencia a que están diligenciados a cabalidad y disponibles para su uso.</t>
  </si>
  <si>
    <t>Se elaborará un documento técnico donde explicará de manera detallada cómo asegurar la completitud de la información, entendida como el diligenciamiento total de los campos requeridos y la disponibilidad íntegra de los datos para su uso institucional.</t>
  </si>
  <si>
    <t>Utilizar conjuntos de datos que estén disponibles cuando se requieran para el desarrollo o mantenimiento de soluciones basadas en datos en la entidad.</t>
  </si>
  <si>
    <t>Se elaborará un documento técnico donde explicará cómo asegurar la disponibilidad de la información, entendida como el acceso oportuno, continuo y controlado a los datos necesarios para la gestión institucional y la toma de decisiones.</t>
  </si>
  <si>
    <t>Utilizar conjuntos de datos válidos para el desarrollo o mantenimiento de soluciones basadas en datos en la entidad. La característica de validez en los datos hace referencia a que están diseñados con los requisitos adecuados para ser utilizados.</t>
  </si>
  <si>
    <t>Se elaborará un documento técnico para asegurar la validez de los datos, entendida como el cumplimiento de requisitos previamente definidos que permitan que la información sea adecuada, pertinente y estructurada correctamente para su utilización institucional.</t>
  </si>
  <si>
    <t>Utilizar conjuntos de datos únicos para el desarrollo o mantenimiento de soluciones basadas en datos en la entidad. La caracterísitica de unicidad en los datos hace referencia a que no se encuentran duplicados y no pueden confundirse.</t>
  </si>
  <si>
    <t>Se elaborará un documento técnico donde explicará cómo asegurar la unicidad de los datos, entendida como la ausencia de duplicidades y la correcta identificación de cada registro, evitando confusiones o inconsistencias en los sistemas de información.</t>
  </si>
  <si>
    <t>Implementar la técnica de 'análisis descriptivo' para el análisis de datos en la entidad. El uso de esta técnica permite describir una situación pasada o actual en la entidad.</t>
  </si>
  <si>
    <t>Se elaborará un documento técnico donde explicará cómo aplicar el análisis descriptivo, entendido como la técnica que permite describir situaciones pasadas o actuales de la entidad a partir de la organización, consolidación y visualización de datos.</t>
  </si>
  <si>
    <t>Implementar la técnica de 'análisis de causalidad' para el análisis de datos de la entidad. El uso de esta técnica permite analizar como un conjunto de variables puede afectar el comportamiento de otra variable.</t>
  </si>
  <si>
    <t>Se elaborará un documento técnico donde explicará cómo aplicar el análisis de causalidad, entendido como la técnica que permite identificar y evaluar cómo un conjunto de variables puede influir o afectar el comportamiento de otra variable dentro de los procesos de la entidad.</t>
  </si>
  <si>
    <t>Implementar la técnica de 'análisis predictivo' para el análisis de datos de la entidad. El uso de esta técnica permite predecir las tendencias o posibles comportamientos futuros de una variable.</t>
  </si>
  <si>
    <t>Se elaborará un documento técnico donde explicará cómo aplicar el análisis predictivo, entendido como la técnica que permite estimar tendencias o posibles comportamientos futuros de una variable, a partir del análisis de datos históricos y actuales.</t>
  </si>
  <si>
    <t>Implementar la técnica de 'análisis prescriptivo' para el análisis de datos de la entidad. El uso de esta técnica permite establecer cuál es la mejor acción a tomar bajo un contexto específico.</t>
  </si>
  <si>
    <t>Se elaborará un documento técnico donde explicará cómo aplicar el análisis prescriptivo, entendido como la técnica que permite determinar la mejor acción a tomar frente a un contexto específico, a partir del análisis de datos, escenarios y posibles alternativas de decisión.</t>
  </si>
  <si>
    <t>Elaborar un catálogo interno de datos maestros de la entidad.</t>
  </si>
  <si>
    <t>Se elaborará un catálogo interno este proceso se desarrollará de manera articulada, garantizando que cada dependencia identifique, defina y valide los datos maestros bajo su responsabilidad, tales como: terceros, dependencias, funcionarios, procesos, proyectos, conceptos presupuestales, entre otros.</t>
  </si>
  <si>
    <t>Identificar cuáles de los datos maestros de la entidad son datos de referencia.</t>
  </si>
  <si>
    <t>Se realizará la identificación de los datos maestros y de manera articulada, permitiendo que cada dependencia aporte en la revisión y clasificación de los datos bajo su responsabilidad, con el fin de determinar cuáles cumplen la función de datos de referencia, es decir, aquellos que sirven como base común para garantizar uniformidad y coherencia en los diferentes sistemas y procesos institucionales.</t>
  </si>
  <si>
    <t>Implementar una plataforma para la gestión y distribución de datos maestros en la entidad.</t>
  </si>
  <si>
    <t>La corporación ya cuenta con usuario en la Datos Abiertos Colombia, lo cual permitirá articular la gestión interna de los datos maestros con los lineamientos nacionales de publicación y aprovechamiento de datos.</t>
  </si>
  <si>
    <t xml:space="preserve">Usuarios activos de la corporación acceso desde la pagina web instituicional </t>
  </si>
  <si>
    <t>enero</t>
  </si>
  <si>
    <t>Implementar un proceso para la gestión de datos maestros en la entidad.</t>
  </si>
  <si>
    <t>Se elaborará un proceso formal para la gestión de datos maestros en la entidad, con el fin de establecer lineamientos claros para su creación, actualización, validación, distribución y control.</t>
  </si>
  <si>
    <t>Aprobar y publicar la licencia de datos abiertos de la entidad, mediante la cual se determina el alcance, uso y aprovechamiento que los particulares o terceros interesados puedan efectuar sobre los mismos.</t>
  </si>
  <si>
    <t>Utilizar los Acuerdos Marco de Precios (AMP)  o Instrumentos de Agregación de demanda (IAD) disponibles en la Tienda Virtual del Estado Colombiano (TVEC); las grandes superficies disponibles en la Tienda Virtual del Estado Colombiano (TVEC); entre otras modalidades de adquisición de productos, bienes y servicios de TI en la entidad.</t>
  </si>
  <si>
    <t>La entidad cuenta con registro activo en la Tienda Virtual del Estado Colombiano y con sus respectivos funcionamientos , cuya administración y gestión se realiza desde el área de Contratación, conforme a los lineamientos establecidos para la adquisición de bienes y servicios.</t>
  </si>
  <si>
    <t>La corporación cuenta con registro activo en la Tienda Virtual del Estado Colombiano y con sus respectivos funcionamientos , cuya administración y gestión se realiza desde el área de Contratación, conforme a los lineamientos establecidos para la adquisición de bienes y servicios.</t>
  </si>
  <si>
    <t>Realizar auditorías internas, externas y de certificación o recertificación respecto al estándar ISO 27001 en la entidad.</t>
  </si>
  <si>
    <t>Desde el area TI se  asistio a las auditorias internas y se recertificación de la norma ISO 27001</t>
  </si>
  <si>
    <t>Informe final de auditorias internas y certificación.</t>
  </si>
  <si>
    <t>Implementar el servicio de interoperabilidad en la entidad a través de la plataforma X-ROAD para reducir los tiempos de respuesta de los trámites, reducir los costos de operación, entre otros.</t>
  </si>
  <si>
    <t>Se elaborará un documento técnico donde explicará cómo se llevará a cabo la integración de sistemas mediante esta plataforma, con el propósito de reducir los tiempos de respuesta en los trámites, optimizar los costos de operación y fortalecer el intercambio seguro de información entre entidades.</t>
  </si>
  <si>
    <t>Publicar los conjuntos de datos abiertos estratégicos identificados por la entidad (por ej. aquellos que contribuyen al logro de la misión institucional, de alto impacto social, más demandados) en el catálogo de datos del Estado Colombiano www.datos.gov.co</t>
  </si>
  <si>
    <t>Actualmente se está adelantando el proceso de recopilación y consolidación de información con las diferentes dependencias de la entidad, con el fin de identificar y estructurar los conjuntos de datos abiertos estratégicos que serán publicados.</t>
  </si>
  <si>
    <t>Archivo para el cargar en la plataforma www.datos.gov.co</t>
  </si>
  <si>
    <t>Publicar actualizar y difundir los conjuntos de datos abiertos estratégicos de la entidad.</t>
  </si>
  <si>
    <t>Actualmente se está adelantando el proceso de actualización, publicación y difusión de los conjuntos de datos abiertos estratégicos de la entidad para garantizar transparencia, acceso a la información y fortalecimiento del Gobierno Digital en la entidad.</t>
  </si>
  <si>
    <t>Desarrollar conjuntos de datos abiertos estratégicos de la entidad en procesos de cocreación o consulta pública.</t>
  </si>
  <si>
    <t>Actualmente se está adelantando el proceso de desarrollo de conjuntos de datos abiertos estratégicos mediante ejercicios de cocreación y consulta pública, con el fin de garantizar que la información publicada responda a las necesidades reales de la ciudadanía y los grupos de interés.</t>
  </si>
  <si>
    <t>Implementar estrategias de mejora de los conjuntos de datos publicados por la entidad para aumentar el número de usuarios satisfechos con su uso.</t>
  </si>
  <si>
    <t>Se implementará una estrategia de mejora continua de los conjuntos de datos abiertos de la entidad, orientada a fortalecer su calidad, actualización, usabilidad y pertinencia.</t>
  </si>
  <si>
    <t>Gobierno Digital</t>
  </si>
  <si>
    <t>I SEMESTRE 2026</t>
  </si>
  <si>
    <t>26/03/2026</t>
  </si>
  <si>
    <t>PUNTAJE OBTENIDO: 49%</t>
  </si>
  <si>
    <t>15/11/2025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</si>
</sst>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2"/>
      <color theme="1"/>
      <name val="Arial Narrow"/>
      <family val="2"/>
    </font>
    <font>
      <b/>
      <sz val="14"/>
      <color theme="1"/>
      <name val="Arial Narrow"/>
      <family val="2"/>
    </font>
    <font>
      <sz val="10"/>
      <color theme="1"/>
      <name val="Arial Narrow"/>
      <family val="2"/>
    </font>
    <font>
      <b/>
      <sz val="11"/>
      <name val="Arial Narrow"/>
      <family val="2"/>
    </font>
    <font>
      <b/>
      <sz val="10"/>
      <color theme="1"/>
      <name val="Arial Narrow"/>
      <family val="2"/>
    </font>
    <font>
      <b/>
      <sz val="11"/>
      <color theme="1"/>
      <name val="Arial Narrow"/>
      <family val="2"/>
    </font>
    <font>
      <sz val="11"/>
      <color theme="1"/>
      <name val="Arial Narrow"/>
      <family val="2"/>
    </font>
    <font>
      <sz val="11"/>
      <color theme="1"/>
      <name val="Calibri"/>
      <family val="2"/>
      <scheme val="minor"/>
    </font>
    <font>
      <b/>
      <sz val="10"/>
      <color theme="0"/>
      <name val="Arial Narrow"/>
      <family val="2"/>
    </font>
    <font>
      <b/>
      <sz val="10"/>
      <name val="Arial Narrow"/>
      <family val="2"/>
    </font>
    <font>
      <sz val="10"/>
      <name val="Arial Narrow"/>
      <family val="2"/>
    </font>
    <font>
      <sz val="9"/>
      <color theme="1"/>
      <name val="Arial Narrow"/>
      <family val="2"/>
    </font>
    <font>
      <b/>
      <sz val="11"/>
      <name val="Arial"/>
      <family val="2"/>
    </font>
    <font>
      <b/>
      <sz val="8"/>
      <name val="Arial"/>
      <family val="2"/>
    </font>
    <font>
      <b/>
      <sz val="10"/>
      <name val="Arial"/>
      <family val="2"/>
    </font>
    <font>
      <sz val="10"/>
      <name val="Arial"/>
      <family val="2"/>
    </font>
    <font>
      <b/>
      <sz val="9"/>
      <name val="Arial"/>
      <family val="2"/>
    </font>
    <font>
      <b/>
      <sz val="10"/>
      <color indexed="8"/>
      <name val="Arial"/>
      <family val="2"/>
    </font>
    <font>
      <sz val="11"/>
      <name val="Arial Narrow"/>
      <family val="2"/>
    </font>
    <font>
      <sz val="10"/>
      <color indexed="8"/>
      <name val="Arial"/>
      <family val="2"/>
    </font>
  </fonts>
  <fills count="12">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rgb="FF00B050"/>
        <bgColor indexed="64"/>
      </patternFill>
    </fill>
    <fill>
      <patternFill patternType="solid">
        <fgColor rgb="FF0070C0"/>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0"/>
        <bgColor rgb="FF262626"/>
      </patternFill>
    </fill>
    <fill>
      <patternFill patternType="solid">
        <fgColor theme="0"/>
        <bgColor rgb="FF7F7F7F"/>
      </patternFill>
    </fill>
    <fill>
      <patternFill patternType="solid">
        <fgColor indexed="9"/>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right style="thin">
        <color indexed="64"/>
      </right>
      <top/>
      <bottom style="thin">
        <color indexed="64"/>
      </bottom>
      <diagonal/>
    </border>
    <border>
      <left/>
      <right style="medium">
        <color rgb="FF000000"/>
      </right>
      <top style="medium">
        <color rgb="FF000000"/>
      </top>
      <bottom style="medium">
        <color rgb="FF000000"/>
      </bottom>
      <diagonal/>
    </border>
    <border>
      <left/>
      <right/>
      <top style="thin">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style="thin">
        <color theme="0" tint="-0.14999847407452621"/>
      </bottom>
      <diagonal/>
    </border>
    <border>
      <left style="thin">
        <color theme="0" tint="-0.14999847407452621"/>
      </left>
      <right style="thin">
        <color indexed="64"/>
      </right>
      <top style="thin">
        <color indexed="64"/>
      </top>
      <bottom style="thin">
        <color theme="0" tint="-0.14999847407452621"/>
      </bottom>
      <diagonal/>
    </border>
    <border>
      <left style="thin">
        <color indexed="64"/>
      </left>
      <right/>
      <top style="thin">
        <color indexed="64"/>
      </top>
      <bottom style="thin">
        <color theme="0" tint="-0.14999847407452621"/>
      </bottom>
      <diagonal/>
    </border>
    <border>
      <left style="thin">
        <color theme="0" tint="-0.14999847407452621"/>
      </left>
      <right style="thin">
        <color theme="0" tint="-0.14999847407452621"/>
      </right>
      <top style="thin">
        <color indexed="64"/>
      </top>
      <bottom style="thin">
        <color theme="0" tint="-0.14999847407452621"/>
      </bottom>
      <diagonal/>
    </border>
    <border>
      <left style="thin">
        <color theme="0" tint="-0.14999847407452621"/>
      </left>
      <right/>
      <top style="thin">
        <color theme="0" tint="-0.14999847407452621"/>
      </top>
      <bottom style="thin">
        <color indexed="64"/>
      </bottom>
      <diagonal/>
    </border>
    <border>
      <left style="thin">
        <color theme="0" tint="-0.14999847407452621"/>
      </left>
      <right style="thin">
        <color theme="0" tint="-0.14999847407452621"/>
      </right>
      <top style="thin">
        <color theme="0" tint="-0.14999847407452621"/>
      </top>
      <bottom style="thin">
        <color indexed="64"/>
      </bottom>
      <diagonal/>
    </border>
    <border>
      <left style="thin">
        <color theme="0" tint="-0.14999847407452621"/>
      </left>
      <right/>
      <top/>
      <bottom/>
      <diagonal/>
    </border>
    <border>
      <left style="thin">
        <color indexed="64"/>
      </left>
      <right style="thin">
        <color theme="0" tint="-0.14999847407452621"/>
      </right>
      <top style="thin">
        <color indexed="64"/>
      </top>
      <bottom style="thin">
        <color theme="0" tint="-0.14999847407452621"/>
      </bottom>
      <diagonal/>
    </border>
    <border>
      <left/>
      <right style="thin">
        <color theme="0" tint="-0.14999847407452621"/>
      </right>
      <top style="thin">
        <color indexed="64"/>
      </top>
      <bottom style="thin">
        <color theme="0" tint="-0.14999847407452621"/>
      </bottom>
      <diagonal/>
    </border>
    <border>
      <left style="thin">
        <color indexed="64"/>
      </left>
      <right style="thin">
        <color theme="0" tint="-0.14999847407452621"/>
      </right>
      <top style="thin">
        <color theme="0" tint="-0.14999847407452621"/>
      </top>
      <bottom style="thin">
        <color theme="0" tint="-0.14999847407452621"/>
      </bottom>
      <diagonal/>
    </border>
    <border>
      <left style="thin">
        <color indexed="64"/>
      </left>
      <right style="thin">
        <color indexed="64"/>
      </right>
      <top style="thin">
        <color theme="0" tint="-0.14999847407452621"/>
      </top>
      <bottom style="thin">
        <color theme="0" tint="-0.14999847407452621"/>
      </bottom>
      <diagonal/>
    </border>
    <border>
      <left/>
      <right/>
      <top style="thin">
        <color theme="0" tint="-0.14999847407452621"/>
      </top>
      <bottom/>
      <diagonal/>
    </border>
    <border>
      <left style="thin">
        <color indexed="64"/>
      </left>
      <right style="thin">
        <color indexed="64"/>
      </right>
      <top style="thin">
        <color theme="0" tint="-0.14999847407452621"/>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indexed="64"/>
      </left>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style="thin">
        <color theme="0" tint="-0.14999847407452621"/>
      </left>
      <right/>
      <top style="thin">
        <color theme="0" tint="-0.14999847407452621"/>
      </top>
      <bottom/>
      <diagonal/>
    </border>
    <border>
      <left style="thin">
        <color indexed="64"/>
      </left>
      <right style="thin">
        <color theme="0" tint="-0.14999847407452621"/>
      </right>
      <top style="thin">
        <color theme="0" tint="-0.14999847407452621"/>
      </top>
      <bottom/>
      <diagonal/>
    </border>
    <border>
      <left/>
      <right/>
      <top/>
      <bottom style="thin">
        <color theme="0" tint="-0.14999847407452621"/>
      </bottom>
      <diagonal/>
    </border>
    <border>
      <left style="medium">
        <color indexed="64"/>
      </left>
      <right style="thin">
        <color indexed="64"/>
      </right>
      <top/>
      <bottom/>
      <diagonal/>
    </border>
  </borders>
  <cellStyleXfs count="3">
    <xf numFmtId="0" fontId="0" fillId="0" borderId="0"/>
    <xf numFmtId="9" fontId="8" fillId="0" borderId="0" applyFont="0" applyFill="0" applyBorder="0" applyAlignment="0" applyProtection="0"/>
    <xf numFmtId="0" fontId="8" fillId="0" borderId="0"/>
  </cellStyleXfs>
  <cellXfs count="89">
    <xf numFmtId="0" fontId="0" fillId="0" borderId="0" xfId="0"/>
    <xf numFmtId="0" fontId="7" fillId="0" borderId="0" xfId="0" applyFont="1"/>
    <xf numFmtId="0" fontId="7" fillId="0" borderId="0" xfId="0" applyFont="1" applyAlignment="1">
      <alignment horizontal="center" vertical="center"/>
    </xf>
    <xf numFmtId="0" fontId="1" fillId="0" borderId="0" xfId="0" applyFont="1" applyAlignment="1">
      <alignment horizontal="center" vertical="center" wrapText="1"/>
    </xf>
    <xf numFmtId="0" fontId="7" fillId="2" borderId="7" xfId="0" applyFont="1" applyFill="1" applyBorder="1" applyAlignment="1">
      <alignment vertical="center"/>
    </xf>
    <xf numFmtId="0" fontId="7" fillId="2" borderId="0" xfId="0" applyFont="1" applyFill="1" applyAlignment="1">
      <alignment vertical="center"/>
    </xf>
    <xf numFmtId="0" fontId="1" fillId="2" borderId="0" xfId="0" applyFont="1" applyFill="1" applyAlignment="1">
      <alignment horizontal="left" vertical="center" wrapText="1"/>
    </xf>
    <xf numFmtId="0" fontId="7" fillId="0" borderId="7" xfId="0" applyFont="1" applyBorder="1" applyAlignment="1">
      <alignment horizontal="center" vertical="center"/>
    </xf>
    <xf numFmtId="0" fontId="7" fillId="8" borderId="0" xfId="0" applyFont="1" applyFill="1"/>
    <xf numFmtId="0" fontId="3" fillId="0" borderId="1" xfId="0" applyFont="1" applyBorder="1" applyAlignment="1">
      <alignment horizontal="center" vertical="center"/>
    </xf>
    <xf numFmtId="0" fontId="3" fillId="0" borderId="14" xfId="0" applyFont="1" applyBorder="1" applyAlignment="1">
      <alignment horizontal="center" vertical="center"/>
    </xf>
    <xf numFmtId="0" fontId="2" fillId="2" borderId="0" xfId="0" applyFont="1" applyFill="1" applyAlignment="1">
      <alignment horizontal="center" vertical="center" wrapText="1"/>
    </xf>
    <xf numFmtId="0" fontId="5" fillId="3" borderId="3"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5" fillId="0" borderId="3" xfId="0" applyFont="1" applyBorder="1" applyAlignment="1">
      <alignment horizontal="center" vertical="center"/>
    </xf>
    <xf numFmtId="0" fontId="10" fillId="0" borderId="0" xfId="0" applyFont="1" applyAlignment="1">
      <alignment horizontal="center" vertical="center" wrapTex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3" fillId="0" borderId="0" xfId="0" applyFont="1" applyAlignment="1">
      <alignment horizontal="left" vertical="center"/>
    </xf>
    <xf numFmtId="0" fontId="5" fillId="4" borderId="3" xfId="0" applyFont="1" applyFill="1" applyBorder="1" applyAlignment="1">
      <alignment horizontal="center" vertical="center" wrapText="1"/>
    </xf>
    <xf numFmtId="0" fontId="9" fillId="6" borderId="3" xfId="0" applyFont="1" applyFill="1" applyBorder="1" applyAlignment="1">
      <alignment horizontal="center" vertical="center" wrapText="1"/>
    </xf>
    <xf numFmtId="0" fontId="11" fillId="0" borderId="16" xfId="0" applyFont="1" applyBorder="1" applyAlignment="1">
      <alignment horizontal="center" vertical="center" wrapText="1"/>
    </xf>
    <xf numFmtId="9" fontId="11" fillId="0" borderId="12" xfId="1" applyFont="1" applyBorder="1" applyAlignment="1">
      <alignment horizontal="center" vertical="center"/>
    </xf>
    <xf numFmtId="0" fontId="11" fillId="0" borderId="1" xfId="0" applyFont="1" applyBorder="1" applyAlignment="1">
      <alignment horizontal="center" vertical="center" wrapText="1"/>
    </xf>
    <xf numFmtId="9" fontId="11" fillId="0" borderId="11" xfId="1" applyFont="1" applyBorder="1" applyAlignment="1">
      <alignment horizontal="center" vertical="center"/>
    </xf>
    <xf numFmtId="0" fontId="11" fillId="0" borderId="13" xfId="0" applyFont="1" applyBorder="1" applyAlignment="1">
      <alignment horizontal="center" vertical="center" wrapText="1"/>
    </xf>
    <xf numFmtId="0" fontId="10" fillId="0" borderId="17" xfId="0" applyFont="1" applyBorder="1" applyAlignment="1">
      <alignment horizontal="center" vertical="center" wrapText="1"/>
    </xf>
    <xf numFmtId="9" fontId="10" fillId="0" borderId="18" xfId="1" applyFont="1" applyBorder="1" applyAlignment="1">
      <alignment horizontal="center" vertical="center"/>
    </xf>
    <xf numFmtId="0" fontId="12" fillId="0" borderId="2" xfId="0" applyFont="1" applyBorder="1" applyAlignment="1">
      <alignment horizontal="center" vertical="center" wrapText="1"/>
    </xf>
    <xf numFmtId="0" fontId="12" fillId="0" borderId="9" xfId="0" applyFont="1" applyBorder="1" applyAlignment="1">
      <alignment horizontal="center" vertical="center" wrapText="1"/>
    </xf>
    <xf numFmtId="0" fontId="16" fillId="10" borderId="21" xfId="0" applyFont="1" applyFill="1" applyBorder="1" applyAlignment="1">
      <alignment horizontal="center" vertical="center" wrapText="1"/>
    </xf>
    <xf numFmtId="0" fontId="16" fillId="11" borderId="0" xfId="0" applyFont="1" applyFill="1" applyAlignment="1">
      <alignment vertical="top" wrapText="1"/>
    </xf>
    <xf numFmtId="14" fontId="16" fillId="10" borderId="21" xfId="0" applyNumberFormat="1" applyFont="1" applyFill="1" applyBorder="1" applyAlignment="1">
      <alignment horizontal="center" vertical="center" wrapText="1"/>
    </xf>
    <xf numFmtId="0" fontId="3" fillId="0" borderId="13" xfId="0" applyFont="1" applyBorder="1" applyAlignment="1">
      <alignment horizontal="center" vertical="center"/>
    </xf>
    <xf numFmtId="0" fontId="12" fillId="0" borderId="23" xfId="0" applyFont="1" applyBorder="1" applyAlignment="1">
      <alignment horizontal="center" vertical="center" wrapText="1"/>
    </xf>
    <xf numFmtId="0" fontId="15" fillId="9" borderId="23" xfId="0" applyFont="1" applyFill="1" applyBorder="1" applyAlignment="1">
      <alignment horizontal="left" vertical="center" wrapText="1"/>
    </xf>
    <xf numFmtId="0" fontId="15" fillId="9" borderId="19" xfId="0" applyFont="1" applyFill="1" applyBorder="1" applyAlignment="1">
      <alignment vertical="center" wrapText="1"/>
    </xf>
    <xf numFmtId="0" fontId="17" fillId="9" borderId="19" xfId="0" applyFont="1" applyFill="1" applyBorder="1" applyAlignment="1">
      <alignment vertical="center" wrapText="1"/>
    </xf>
    <xf numFmtId="0" fontId="16" fillId="11" borderId="25" xfId="0" applyFont="1" applyFill="1" applyBorder="1" applyAlignment="1">
      <alignment vertical="top" wrapText="1"/>
    </xf>
    <xf numFmtId="0" fontId="16" fillId="11" borderId="28" xfId="0" applyFont="1" applyFill="1" applyBorder="1" applyAlignment="1">
      <alignment vertical="top" wrapText="1"/>
    </xf>
    <xf numFmtId="0" fontId="18" fillId="2" borderId="29" xfId="2" applyFont="1" applyFill="1" applyBorder="1"/>
    <xf numFmtId="0" fontId="16" fillId="11" borderId="30" xfId="0" applyFont="1" applyFill="1" applyBorder="1" applyAlignment="1">
      <alignment vertical="top" wrapText="1"/>
    </xf>
    <xf numFmtId="0" fontId="7" fillId="0" borderId="31" xfId="0" applyFont="1" applyBorder="1"/>
    <xf numFmtId="0" fontId="16" fillId="11" borderId="22" xfId="0" applyFont="1" applyFill="1" applyBorder="1" applyAlignment="1">
      <alignment vertical="top" wrapText="1"/>
    </xf>
    <xf numFmtId="0" fontId="16" fillId="11" borderId="32" xfId="0" applyFont="1" applyFill="1" applyBorder="1" applyAlignment="1">
      <alignment vertical="top" wrapText="1"/>
    </xf>
    <xf numFmtId="0" fontId="16" fillId="11" borderId="33" xfId="0" applyFont="1" applyFill="1" applyBorder="1" applyAlignment="1">
      <alignment vertical="top" wrapText="1"/>
    </xf>
    <xf numFmtId="0" fontId="7" fillId="0" borderId="37" xfId="0" applyFont="1" applyBorder="1" applyAlignment="1">
      <alignment horizontal="center" vertical="center"/>
    </xf>
    <xf numFmtId="0" fontId="7" fillId="0" borderId="36" xfId="0" applyFont="1" applyBorder="1" applyAlignment="1">
      <alignment horizontal="center" vertical="center"/>
    </xf>
    <xf numFmtId="0" fontId="16" fillId="11" borderId="38" xfId="0" applyFont="1" applyFill="1" applyBorder="1" applyAlignment="1">
      <alignment vertical="top" wrapText="1"/>
    </xf>
    <xf numFmtId="0" fontId="18" fillId="2" borderId="38" xfId="2" applyFont="1" applyFill="1" applyBorder="1"/>
    <xf numFmtId="0" fontId="7" fillId="0" borderId="36" xfId="0" applyFont="1" applyBorder="1"/>
    <xf numFmtId="0" fontId="7" fillId="0" borderId="38" xfId="0" applyFont="1" applyBorder="1"/>
    <xf numFmtId="0" fontId="7" fillId="0" borderId="41" xfId="0" applyFont="1" applyBorder="1"/>
    <xf numFmtId="0" fontId="18" fillId="2" borderId="38" xfId="2" applyFont="1" applyFill="1" applyBorder="1" applyAlignment="1">
      <alignment horizontal="center"/>
    </xf>
    <xf numFmtId="0" fontId="7" fillId="0" borderId="40" xfId="0" applyFont="1" applyBorder="1"/>
    <xf numFmtId="0" fontId="7" fillId="0" borderId="39" xfId="0" applyFont="1" applyBorder="1" applyAlignment="1">
      <alignment horizontal="center" vertical="center"/>
    </xf>
    <xf numFmtId="0" fontId="7" fillId="0" borderId="34" xfId="0" applyFont="1" applyBorder="1"/>
    <xf numFmtId="0" fontId="7" fillId="0" borderId="43" xfId="0" applyFont="1" applyBorder="1"/>
    <xf numFmtId="0" fontId="18" fillId="2" borderId="33" xfId="2" applyFont="1" applyFill="1" applyBorder="1" applyAlignment="1">
      <alignment horizontal="center"/>
    </xf>
    <xf numFmtId="0" fontId="12" fillId="0" borderId="44" xfId="0" applyFont="1" applyBorder="1" applyAlignment="1">
      <alignment horizontal="center" vertical="center" wrapText="1"/>
    </xf>
    <xf numFmtId="17" fontId="7" fillId="2" borderId="1" xfId="0" applyNumberFormat="1" applyFont="1" applyFill="1" applyBorder="1" applyAlignment="1">
      <alignment horizontal="center" vertical="center" wrapText="1"/>
    </xf>
    <xf numFmtId="0" fontId="7" fillId="2" borderId="1" xfId="0" quotePrefix="1"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19" fillId="2" borderId="1" xfId="0" quotePrefix="1" applyFont="1" applyFill="1" applyBorder="1" applyAlignment="1">
      <alignment horizontal="center" vertical="center" wrapText="1"/>
    </xf>
    <xf numFmtId="0" fontId="18" fillId="2" borderId="26" xfId="2" applyFont="1" applyFill="1" applyBorder="1" applyAlignment="1">
      <alignment horizontal="center"/>
    </xf>
    <xf numFmtId="0" fontId="18" fillId="2" borderId="25" xfId="2" applyFont="1" applyFill="1" applyBorder="1" applyAlignment="1">
      <alignment horizontal="center"/>
    </xf>
    <xf numFmtId="0" fontId="18" fillId="2" borderId="27" xfId="2" applyFont="1" applyFill="1" applyBorder="1" applyAlignment="1">
      <alignment horizontal="center"/>
    </xf>
    <xf numFmtId="0" fontId="14" fillId="2" borderId="14" xfId="0" applyFont="1" applyFill="1" applyBorder="1" applyAlignment="1">
      <alignment horizontal="center" vertical="center" wrapText="1"/>
    </xf>
    <xf numFmtId="0" fontId="14" fillId="2" borderId="15"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5" fillId="7" borderId="4" xfId="0" applyFont="1" applyFill="1" applyBorder="1" applyAlignment="1">
      <alignment horizontal="center" vertical="center"/>
    </xf>
    <xf numFmtId="0" fontId="5" fillId="7" borderId="5" xfId="0" applyFont="1" applyFill="1" applyBorder="1" applyAlignment="1">
      <alignment horizontal="center" vertical="center"/>
    </xf>
    <xf numFmtId="0" fontId="5" fillId="7" borderId="6" xfId="0" applyFont="1" applyFill="1" applyBorder="1" applyAlignment="1">
      <alignment horizontal="center" vertical="center"/>
    </xf>
    <xf numFmtId="0" fontId="6" fillId="0" borderId="10" xfId="0" applyFont="1" applyBorder="1" applyAlignment="1">
      <alignment horizontal="center" vertical="center"/>
    </xf>
    <xf numFmtId="0" fontId="6" fillId="0" borderId="8" xfId="0" applyFont="1" applyBorder="1" applyAlignment="1">
      <alignment horizontal="center" vertical="center"/>
    </xf>
    <xf numFmtId="0" fontId="6" fillId="0" borderId="10" xfId="0" applyFont="1" applyBorder="1" applyAlignment="1">
      <alignment horizontal="center" vertical="center" wrapText="1"/>
    </xf>
    <xf numFmtId="0" fontId="6" fillId="0" borderId="8"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8" xfId="0" applyFont="1" applyBorder="1" applyAlignment="1">
      <alignment horizontal="center" vertical="center" wrapText="1"/>
    </xf>
    <xf numFmtId="0" fontId="14" fillId="2" borderId="20" xfId="0" applyFont="1" applyFill="1" applyBorder="1" applyAlignment="1">
      <alignment horizontal="center" vertical="center" wrapText="1"/>
    </xf>
    <xf numFmtId="0" fontId="15" fillId="11" borderId="0" xfId="0" applyFont="1" applyFill="1" applyAlignment="1">
      <alignment horizontal="center" vertical="top" wrapText="1"/>
    </xf>
    <xf numFmtId="0" fontId="16" fillId="11" borderId="0" xfId="0" applyFont="1" applyFill="1" applyAlignment="1">
      <alignment horizontal="center" vertical="top" wrapText="1"/>
    </xf>
    <xf numFmtId="0" fontId="15" fillId="9" borderId="19" xfId="0" applyFont="1" applyFill="1" applyBorder="1" applyAlignment="1">
      <alignment horizontal="center" vertical="center" wrapText="1"/>
    </xf>
    <xf numFmtId="0" fontId="17" fillId="9" borderId="24" xfId="0" applyFont="1" applyFill="1" applyBorder="1" applyAlignment="1">
      <alignment horizontal="center" vertical="center" wrapText="1"/>
    </xf>
    <xf numFmtId="0" fontId="20" fillId="2" borderId="35" xfId="2" applyFont="1" applyFill="1" applyBorder="1" applyAlignment="1">
      <alignment horizontal="center"/>
    </xf>
    <xf numFmtId="0" fontId="20" fillId="2" borderId="42" xfId="2" applyFont="1" applyFill="1" applyBorder="1" applyAlignment="1">
      <alignment horizontal="center"/>
    </xf>
    <xf numFmtId="0" fontId="15" fillId="2" borderId="19" xfId="0" applyFont="1" applyFill="1" applyBorder="1" applyAlignment="1">
      <alignment horizontal="center" vertical="center"/>
    </xf>
  </cellXfs>
  <cellStyles count="3">
    <cellStyle name="Normal" xfId="0" builtinId="0"/>
    <cellStyle name="Normal 2" xfId="2" xr:uid="{3FD3047E-80D1-48EA-9306-9348F3D55B6C}"/>
    <cellStyle name="Porcentaje" xfId="1" builtinId="5"/>
  </cellStyles>
  <dxfs count="5">
    <dxf>
      <fill>
        <patternFill>
          <bgColor rgb="FFFF0000"/>
        </patternFill>
      </fill>
    </dxf>
    <dxf>
      <font>
        <b val="0"/>
        <i val="0"/>
      </font>
      <fill>
        <patternFill patternType="solid">
          <bgColor rgb="FFFF0000"/>
        </patternFill>
      </fill>
    </dxf>
    <dxf>
      <fill>
        <patternFill>
          <bgColor rgb="FF00B050"/>
        </patternFill>
      </fill>
    </dxf>
    <dxf>
      <fill>
        <patternFill>
          <bgColor rgb="FFFF0000"/>
        </patternFill>
      </fill>
    </dxf>
    <dxf>
      <fill>
        <patternFill>
          <bgColor rgb="FFFFFF00"/>
        </patternFill>
      </fill>
    </dxf>
  </dxfs>
  <tableStyles count="0" defaultTableStyle="TableStyleMedium9" defaultPivotStyle="PivotStyleLight16"/>
  <colors>
    <mruColors>
      <color rgb="FFFFFFCC"/>
      <color rgb="FFFFFF99"/>
      <color rgb="FFA7D971"/>
      <color rgb="FFFFFF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82613</xdr:colOff>
      <xdr:row>0</xdr:row>
      <xdr:rowOff>256348</xdr:rowOff>
    </xdr:from>
    <xdr:to>
      <xdr:col>0</xdr:col>
      <xdr:colOff>1176046</xdr:colOff>
      <xdr:row>2</xdr:row>
      <xdr:rowOff>203036</xdr:rowOff>
    </xdr:to>
    <xdr:pic>
      <xdr:nvPicPr>
        <xdr:cNvPr id="5" name="Imagen 2">
          <a:extLst>
            <a:ext uri="{FF2B5EF4-FFF2-40B4-BE49-F238E27FC236}">
              <a16:creationId xmlns:a16="http://schemas.microsoft.com/office/drawing/2014/main" id="{DBEA73AE-2B06-463F-A66A-010817B83E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613" y="256348"/>
          <a:ext cx="1093433" cy="6076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65"/>
  <sheetViews>
    <sheetView tabSelected="1" zoomScale="98" zoomScaleNormal="98" zoomScaleSheetLayoutView="96" workbookViewId="0">
      <pane xSplit="1" topLeftCell="B1" activePane="topRight" state="frozen"/>
      <selection pane="topRight" activeCell="N14" sqref="N14"/>
    </sheetView>
  </sheetViews>
  <sheetFormatPr baseColWidth="10" defaultColWidth="11.42578125" defaultRowHeight="16.5" x14ac:dyDescent="0.3"/>
  <cols>
    <col min="1" max="1" width="19.85546875" style="2" customWidth="1"/>
    <col min="2" max="2" width="43" style="1" customWidth="1"/>
    <col min="3" max="3" width="31.42578125" style="1" customWidth="1"/>
    <col min="4" max="4" width="46.5703125" style="1" customWidth="1"/>
    <col min="5" max="5" width="18.85546875" style="1" customWidth="1"/>
    <col min="6" max="6" width="19" style="1" customWidth="1"/>
    <col min="7" max="7" width="21.28515625" style="1" customWidth="1"/>
    <col min="8" max="8" width="18.85546875" style="1" customWidth="1"/>
    <col min="9" max="9" width="0.7109375" style="1" hidden="1" customWidth="1"/>
    <col min="10" max="10" width="11.42578125" style="1" hidden="1" customWidth="1"/>
    <col min="11" max="11" width="15.7109375" style="1" hidden="1" customWidth="1"/>
    <col min="12" max="16384" width="11.42578125" style="1"/>
  </cols>
  <sheetData>
    <row r="1" spans="1:11" ht="34.5" customHeight="1" x14ac:dyDescent="0.3">
      <c r="A1" s="71"/>
      <c r="B1" s="71" t="s">
        <v>18</v>
      </c>
      <c r="C1" s="71"/>
      <c r="D1" s="71"/>
      <c r="E1" s="71"/>
      <c r="F1" s="71"/>
      <c r="G1" s="71"/>
      <c r="H1" s="71"/>
    </row>
    <row r="2" spans="1:11" ht="17.25" customHeight="1" x14ac:dyDescent="0.3">
      <c r="A2" s="71"/>
      <c r="B2" s="71" t="s">
        <v>19</v>
      </c>
      <c r="C2" s="71"/>
      <c r="D2" s="71"/>
      <c r="E2" s="71"/>
      <c r="F2" s="71"/>
      <c r="G2" s="71"/>
      <c r="H2" s="71"/>
    </row>
    <row r="3" spans="1:11" ht="17.25" customHeight="1" x14ac:dyDescent="0.3">
      <c r="A3" s="71"/>
      <c r="B3" s="71" t="s">
        <v>20</v>
      </c>
      <c r="C3" s="71"/>
      <c r="D3" s="71"/>
      <c r="E3" s="71"/>
      <c r="F3" s="71"/>
      <c r="G3" s="71"/>
      <c r="H3" s="71"/>
    </row>
    <row r="4" spans="1:11" ht="12.75" customHeight="1" x14ac:dyDescent="0.3">
      <c r="A4" s="71"/>
      <c r="B4" s="70" t="s">
        <v>29</v>
      </c>
      <c r="C4" s="81"/>
      <c r="D4" s="69" t="s">
        <v>30</v>
      </c>
      <c r="E4" s="69"/>
      <c r="F4" s="69"/>
      <c r="G4" s="70"/>
    </row>
    <row r="5" spans="1:11" ht="15.6" customHeight="1" thickBot="1" x14ac:dyDescent="0.35">
      <c r="A5" s="4"/>
      <c r="B5" s="5"/>
      <c r="C5" s="5"/>
      <c r="D5" s="11"/>
      <c r="E5" s="11"/>
      <c r="F5" s="11"/>
      <c r="G5" s="11"/>
      <c r="H5" s="6"/>
      <c r="I5" s="8"/>
      <c r="J5" s="8"/>
      <c r="K5" s="8"/>
    </row>
    <row r="6" spans="1:11" ht="13.5" customHeight="1" thickBot="1" x14ac:dyDescent="0.35">
      <c r="A6" s="7"/>
      <c r="B6" s="2"/>
      <c r="C6" s="3"/>
      <c r="D6" s="3"/>
      <c r="E6" s="3"/>
      <c r="F6" s="72" t="s">
        <v>11</v>
      </c>
      <c r="G6" s="73"/>
      <c r="H6" s="74"/>
      <c r="I6" s="8"/>
      <c r="J6" s="8"/>
      <c r="K6" s="8"/>
    </row>
    <row r="7" spans="1:11" ht="22.9" customHeight="1" thickBot="1" x14ac:dyDescent="0.35">
      <c r="A7" s="7"/>
      <c r="B7" s="16" t="s">
        <v>17</v>
      </c>
      <c r="C7" s="15" t="s">
        <v>132</v>
      </c>
      <c r="D7" s="16" t="s">
        <v>135</v>
      </c>
      <c r="E7" s="17"/>
      <c r="F7" s="12" t="s">
        <v>1</v>
      </c>
      <c r="G7" s="22">
        <v>2</v>
      </c>
      <c r="H7" s="23">
        <f>G7/$G$10</f>
        <v>4.6511627906976744E-2</v>
      </c>
      <c r="I7" s="8"/>
      <c r="J7" s="8"/>
      <c r="K7" s="8"/>
    </row>
    <row r="8" spans="1:11" ht="19.899999999999999" customHeight="1" thickBot="1" x14ac:dyDescent="0.35">
      <c r="A8" s="7"/>
      <c r="B8" s="18"/>
      <c r="C8" s="19"/>
      <c r="D8" s="17"/>
      <c r="E8" s="17"/>
      <c r="F8" s="20" t="s">
        <v>2</v>
      </c>
      <c r="G8" s="24">
        <v>20</v>
      </c>
      <c r="H8" s="25">
        <f t="shared" ref="H8:H9" si="0">G8/$G$10</f>
        <v>0.46511627906976744</v>
      </c>
      <c r="I8" s="8"/>
      <c r="J8" s="8" t="s">
        <v>12</v>
      </c>
      <c r="K8" s="8" t="s">
        <v>1</v>
      </c>
    </row>
    <row r="9" spans="1:11" ht="19.5" customHeight="1" thickBot="1" x14ac:dyDescent="0.35">
      <c r="A9" s="7"/>
      <c r="B9" s="14" t="s">
        <v>16</v>
      </c>
      <c r="C9" s="18" t="s">
        <v>133</v>
      </c>
      <c r="D9" s="16" t="s">
        <v>31</v>
      </c>
      <c r="E9" s="17">
        <v>2025</v>
      </c>
      <c r="F9" s="13" t="s">
        <v>3</v>
      </c>
      <c r="G9" s="26">
        <v>21</v>
      </c>
      <c r="H9" s="25">
        <f t="shared" si="0"/>
        <v>0.48837209302325579</v>
      </c>
      <c r="I9" s="8"/>
      <c r="J9" s="8" t="s">
        <v>13</v>
      </c>
      <c r="K9" s="8" t="s">
        <v>14</v>
      </c>
    </row>
    <row r="10" spans="1:11" ht="25.5" customHeight="1" thickBot="1" x14ac:dyDescent="0.35">
      <c r="A10" s="7"/>
      <c r="B10" s="18"/>
      <c r="C10" s="19"/>
      <c r="D10" s="19"/>
      <c r="E10" s="19"/>
      <c r="F10" s="21" t="s">
        <v>4</v>
      </c>
      <c r="G10" s="27">
        <v>43</v>
      </c>
      <c r="H10" s="28">
        <f>SUM(H7:H9)</f>
        <v>1</v>
      </c>
      <c r="I10" s="8"/>
      <c r="J10" s="8"/>
      <c r="K10" s="8" t="s">
        <v>3</v>
      </c>
    </row>
    <row r="11" spans="1:11" ht="12.6" customHeight="1" thickBot="1" x14ac:dyDescent="0.35">
      <c r="A11" s="7"/>
      <c r="B11" s="2"/>
      <c r="C11" s="3"/>
      <c r="D11" s="3"/>
      <c r="E11" s="3"/>
      <c r="F11" s="3"/>
      <c r="G11" s="3"/>
      <c r="H11" s="3"/>
      <c r="I11" s="8"/>
      <c r="J11" s="8"/>
      <c r="K11" s="8"/>
    </row>
    <row r="12" spans="1:11" ht="18" customHeight="1" x14ac:dyDescent="0.3">
      <c r="A12" s="75" t="s">
        <v>0</v>
      </c>
      <c r="B12" s="75" t="s">
        <v>5</v>
      </c>
      <c r="C12" s="77" t="s">
        <v>6</v>
      </c>
      <c r="D12" s="77" t="s">
        <v>7</v>
      </c>
      <c r="E12" s="79" t="s">
        <v>8</v>
      </c>
      <c r="F12" s="79" t="s">
        <v>9</v>
      </c>
      <c r="G12" s="79" t="s">
        <v>10</v>
      </c>
      <c r="H12" s="79" t="s">
        <v>15</v>
      </c>
      <c r="I12" s="8"/>
      <c r="J12" s="8"/>
      <c r="K12" s="8"/>
    </row>
    <row r="13" spans="1:11" ht="26.25" customHeight="1" thickBot="1" x14ac:dyDescent="0.35">
      <c r="A13" s="76"/>
      <c r="B13" s="76"/>
      <c r="C13" s="78"/>
      <c r="D13" s="78"/>
      <c r="E13" s="80"/>
      <c r="F13" s="80"/>
      <c r="G13" s="80"/>
      <c r="H13" s="80"/>
      <c r="I13" s="8"/>
      <c r="J13" s="8"/>
      <c r="K13" s="8"/>
    </row>
    <row r="14" spans="1:11" ht="111" customHeight="1" x14ac:dyDescent="0.3">
      <c r="A14" s="10">
        <v>1</v>
      </c>
      <c r="B14" s="63" t="s">
        <v>32</v>
      </c>
      <c r="C14" s="64" t="s">
        <v>33</v>
      </c>
      <c r="D14" s="65" t="s">
        <v>34</v>
      </c>
      <c r="E14" s="61">
        <v>45658</v>
      </c>
      <c r="F14" s="61">
        <v>45658</v>
      </c>
      <c r="G14" s="62" t="s">
        <v>35</v>
      </c>
      <c r="H14" s="29" t="s">
        <v>3</v>
      </c>
      <c r="I14" s="8"/>
      <c r="J14" s="8"/>
      <c r="K14" s="8"/>
    </row>
    <row r="15" spans="1:11" ht="104.45" customHeight="1" x14ac:dyDescent="0.3">
      <c r="A15" s="9">
        <v>2</v>
      </c>
      <c r="B15" s="63" t="s">
        <v>36</v>
      </c>
      <c r="C15" s="64" t="s">
        <v>33</v>
      </c>
      <c r="D15" s="65" t="s">
        <v>34</v>
      </c>
      <c r="E15" s="61">
        <v>45658</v>
      </c>
      <c r="F15" s="61">
        <v>45658</v>
      </c>
      <c r="G15" s="62" t="s">
        <v>35</v>
      </c>
      <c r="H15" s="30" t="s">
        <v>3</v>
      </c>
      <c r="I15" s="8"/>
      <c r="J15" s="8"/>
      <c r="K15" s="8"/>
    </row>
    <row r="16" spans="1:11" ht="90.75" customHeight="1" x14ac:dyDescent="0.3">
      <c r="A16" s="9">
        <v>3</v>
      </c>
      <c r="B16" s="63" t="s">
        <v>37</v>
      </c>
      <c r="C16" s="65" t="s">
        <v>38</v>
      </c>
      <c r="D16" s="65" t="s">
        <v>34</v>
      </c>
      <c r="E16" s="61">
        <v>45658</v>
      </c>
      <c r="F16" s="61">
        <v>45658</v>
      </c>
      <c r="G16" s="62" t="s">
        <v>35</v>
      </c>
      <c r="H16" s="30" t="s">
        <v>3</v>
      </c>
      <c r="I16" s="8"/>
      <c r="J16" s="8"/>
      <c r="K16" s="8"/>
    </row>
    <row r="17" spans="1:11" ht="85.15" customHeight="1" x14ac:dyDescent="0.3">
      <c r="A17" s="9">
        <v>4</v>
      </c>
      <c r="B17" s="63" t="s">
        <v>39</v>
      </c>
      <c r="C17" s="65" t="s">
        <v>40</v>
      </c>
      <c r="D17" s="65" t="s">
        <v>34</v>
      </c>
      <c r="E17" s="61">
        <v>45658</v>
      </c>
      <c r="F17" s="61">
        <v>45658</v>
      </c>
      <c r="G17" s="62" t="s">
        <v>35</v>
      </c>
      <c r="H17" s="30" t="s">
        <v>3</v>
      </c>
      <c r="I17" s="8"/>
      <c r="J17" s="8"/>
      <c r="K17" s="8"/>
    </row>
    <row r="18" spans="1:11" ht="85.15" customHeight="1" x14ac:dyDescent="0.3">
      <c r="A18" s="34">
        <v>5</v>
      </c>
      <c r="B18" s="63" t="s">
        <v>41</v>
      </c>
      <c r="C18" s="64" t="s">
        <v>42</v>
      </c>
      <c r="D18" s="64" t="s">
        <v>42</v>
      </c>
      <c r="E18" s="61">
        <v>45658</v>
      </c>
      <c r="F18" s="61">
        <v>45658</v>
      </c>
      <c r="G18" s="62" t="s">
        <v>35</v>
      </c>
      <c r="H18" s="60" t="s">
        <v>1</v>
      </c>
      <c r="I18" s="8"/>
      <c r="J18" s="8"/>
      <c r="K18" s="8"/>
    </row>
    <row r="19" spans="1:11" ht="124.15" customHeight="1" x14ac:dyDescent="0.3">
      <c r="A19" s="34">
        <v>6</v>
      </c>
      <c r="B19" s="63" t="s">
        <v>43</v>
      </c>
      <c r="C19" s="64" t="s">
        <v>44</v>
      </c>
      <c r="D19" s="64" t="s">
        <v>44</v>
      </c>
      <c r="E19" s="61" t="s">
        <v>45</v>
      </c>
      <c r="F19" s="61" t="s">
        <v>45</v>
      </c>
      <c r="G19" s="62" t="s">
        <v>35</v>
      </c>
      <c r="H19" s="60" t="s">
        <v>3</v>
      </c>
      <c r="I19" s="8"/>
      <c r="J19" s="8"/>
      <c r="K19" s="8"/>
    </row>
    <row r="20" spans="1:11" ht="85.15" customHeight="1" x14ac:dyDescent="0.3">
      <c r="A20" s="34">
        <v>7</v>
      </c>
      <c r="B20" s="63" t="s">
        <v>46</v>
      </c>
      <c r="C20" s="65" t="s">
        <v>47</v>
      </c>
      <c r="D20" s="65" t="s">
        <v>48</v>
      </c>
      <c r="E20" s="61" t="s">
        <v>45</v>
      </c>
      <c r="F20" s="61" t="s">
        <v>45</v>
      </c>
      <c r="G20" s="62" t="s">
        <v>35</v>
      </c>
      <c r="H20" s="60" t="s">
        <v>3</v>
      </c>
      <c r="I20" s="8"/>
      <c r="J20" s="8"/>
      <c r="K20" s="8"/>
    </row>
    <row r="21" spans="1:11" ht="97.9" customHeight="1" x14ac:dyDescent="0.3">
      <c r="A21" s="34">
        <v>8</v>
      </c>
      <c r="B21" s="63" t="s">
        <v>49</v>
      </c>
      <c r="C21" s="65" t="s">
        <v>50</v>
      </c>
      <c r="D21" s="65" t="s">
        <v>51</v>
      </c>
      <c r="E21" s="61" t="s">
        <v>45</v>
      </c>
      <c r="F21" s="61" t="s">
        <v>45</v>
      </c>
      <c r="G21" s="62" t="s">
        <v>35</v>
      </c>
      <c r="H21" s="60" t="s">
        <v>3</v>
      </c>
      <c r="I21" s="8"/>
      <c r="J21" s="8"/>
      <c r="K21" s="8"/>
    </row>
    <row r="22" spans="1:11" ht="85.15" customHeight="1" x14ac:dyDescent="0.3">
      <c r="A22" s="34">
        <v>9</v>
      </c>
      <c r="B22" s="63" t="s">
        <v>52</v>
      </c>
      <c r="C22" s="65" t="s">
        <v>53</v>
      </c>
      <c r="D22" s="65" t="s">
        <v>34</v>
      </c>
      <c r="E22" s="61">
        <v>45658</v>
      </c>
      <c r="F22" s="61">
        <v>45658</v>
      </c>
      <c r="G22" s="62" t="s">
        <v>35</v>
      </c>
      <c r="H22" s="60" t="s">
        <v>3</v>
      </c>
      <c r="I22" s="8"/>
      <c r="J22" s="8"/>
      <c r="K22" s="8"/>
    </row>
    <row r="23" spans="1:11" ht="85.15" customHeight="1" x14ac:dyDescent="0.3">
      <c r="A23" s="34">
        <v>10</v>
      </c>
      <c r="B23" s="63" t="s">
        <v>54</v>
      </c>
      <c r="C23" s="65" t="s">
        <v>55</v>
      </c>
      <c r="D23" s="65" t="s">
        <v>40</v>
      </c>
      <c r="E23" s="61">
        <v>45658</v>
      </c>
      <c r="F23" s="61">
        <v>45658</v>
      </c>
      <c r="G23" s="62" t="s">
        <v>35</v>
      </c>
      <c r="H23" s="60" t="s">
        <v>3</v>
      </c>
      <c r="I23" s="8"/>
      <c r="J23" s="8"/>
      <c r="K23" s="8"/>
    </row>
    <row r="24" spans="1:11" ht="85.15" customHeight="1" x14ac:dyDescent="0.3">
      <c r="A24" s="34">
        <v>11</v>
      </c>
      <c r="B24" s="63" t="s">
        <v>56</v>
      </c>
      <c r="C24" s="65" t="s">
        <v>57</v>
      </c>
      <c r="D24" s="65" t="s">
        <v>58</v>
      </c>
      <c r="E24" s="61" t="s">
        <v>45</v>
      </c>
      <c r="F24" s="61" t="s">
        <v>45</v>
      </c>
      <c r="G24" s="62" t="s">
        <v>35</v>
      </c>
      <c r="H24" s="60" t="s">
        <v>3</v>
      </c>
      <c r="I24" s="8"/>
      <c r="J24" s="8"/>
      <c r="K24" s="8"/>
    </row>
    <row r="25" spans="1:11" ht="109.9" customHeight="1" x14ac:dyDescent="0.3">
      <c r="A25" s="34">
        <v>12</v>
      </c>
      <c r="B25" s="63" t="s">
        <v>59</v>
      </c>
      <c r="C25" s="65" t="s">
        <v>60</v>
      </c>
      <c r="D25" s="65" t="s">
        <v>61</v>
      </c>
      <c r="E25" s="61">
        <v>45658</v>
      </c>
      <c r="F25" s="61">
        <v>45658</v>
      </c>
      <c r="G25" s="62" t="s">
        <v>35</v>
      </c>
      <c r="H25" s="60" t="s">
        <v>3</v>
      </c>
      <c r="I25" s="8"/>
      <c r="J25" s="8"/>
      <c r="K25" s="8"/>
    </row>
    <row r="26" spans="1:11" ht="85.15" customHeight="1" x14ac:dyDescent="0.3">
      <c r="A26" s="34">
        <v>13</v>
      </c>
      <c r="B26" s="63" t="s">
        <v>62</v>
      </c>
      <c r="C26" s="65" t="s">
        <v>63</v>
      </c>
      <c r="D26" s="65" t="s">
        <v>64</v>
      </c>
      <c r="E26" s="61">
        <v>45658</v>
      </c>
      <c r="F26" s="61">
        <v>45658</v>
      </c>
      <c r="G26" s="62" t="s">
        <v>35</v>
      </c>
      <c r="H26" s="60" t="s">
        <v>3</v>
      </c>
      <c r="I26" s="8"/>
      <c r="J26" s="8"/>
      <c r="K26" s="8"/>
    </row>
    <row r="27" spans="1:11" ht="91.15" customHeight="1" x14ac:dyDescent="0.3">
      <c r="A27" s="34">
        <v>14</v>
      </c>
      <c r="B27" s="63" t="s">
        <v>65</v>
      </c>
      <c r="C27" s="64" t="s">
        <v>66</v>
      </c>
      <c r="D27" s="64" t="s">
        <v>67</v>
      </c>
      <c r="E27" s="61">
        <v>45658</v>
      </c>
      <c r="F27" s="61">
        <v>45658</v>
      </c>
      <c r="G27" s="62" t="s">
        <v>35</v>
      </c>
      <c r="H27" s="60" t="s">
        <v>3</v>
      </c>
      <c r="I27" s="8"/>
      <c r="J27" s="8"/>
      <c r="K27" s="8"/>
    </row>
    <row r="28" spans="1:11" ht="159" customHeight="1" x14ac:dyDescent="0.3">
      <c r="A28" s="34">
        <v>15</v>
      </c>
      <c r="B28" s="63" t="s">
        <v>68</v>
      </c>
      <c r="C28" s="64" t="s">
        <v>69</v>
      </c>
      <c r="D28" s="64" t="s">
        <v>70</v>
      </c>
      <c r="E28" s="61">
        <v>46357</v>
      </c>
      <c r="F28" s="61">
        <v>46357</v>
      </c>
      <c r="G28" s="62" t="s">
        <v>35</v>
      </c>
      <c r="H28" s="60" t="s">
        <v>3</v>
      </c>
      <c r="I28" s="8"/>
      <c r="J28" s="8"/>
      <c r="K28" s="8"/>
    </row>
    <row r="29" spans="1:11" ht="158.44999999999999" customHeight="1" x14ac:dyDescent="0.3">
      <c r="A29" s="34">
        <v>16</v>
      </c>
      <c r="B29" s="63" t="s">
        <v>71</v>
      </c>
      <c r="C29" s="64" t="s">
        <v>72</v>
      </c>
      <c r="D29" s="64" t="s">
        <v>70</v>
      </c>
      <c r="E29" s="61">
        <v>46357</v>
      </c>
      <c r="F29" s="61">
        <v>46357</v>
      </c>
      <c r="G29" s="62" t="s">
        <v>35</v>
      </c>
      <c r="H29" s="60" t="s">
        <v>3</v>
      </c>
      <c r="I29" s="8"/>
      <c r="J29" s="8"/>
      <c r="K29" s="8"/>
    </row>
    <row r="30" spans="1:11" ht="109.15" customHeight="1" x14ac:dyDescent="0.3">
      <c r="A30" s="34">
        <v>17</v>
      </c>
      <c r="B30" s="63" t="s">
        <v>73</v>
      </c>
      <c r="C30" s="64" t="s">
        <v>74</v>
      </c>
      <c r="D30" s="64" t="s">
        <v>70</v>
      </c>
      <c r="E30" s="61">
        <v>46357</v>
      </c>
      <c r="F30" s="61">
        <v>46357</v>
      </c>
      <c r="G30" s="62" t="s">
        <v>35</v>
      </c>
      <c r="H30" s="60" t="s">
        <v>3</v>
      </c>
      <c r="I30" s="8"/>
      <c r="J30" s="8"/>
      <c r="K30" s="8"/>
    </row>
    <row r="31" spans="1:11" ht="102" customHeight="1" x14ac:dyDescent="0.3">
      <c r="A31" s="34">
        <v>18</v>
      </c>
      <c r="B31" s="63" t="s">
        <v>75</v>
      </c>
      <c r="C31" s="64" t="s">
        <v>76</v>
      </c>
      <c r="D31" s="64" t="s">
        <v>70</v>
      </c>
      <c r="E31" s="61">
        <v>46357</v>
      </c>
      <c r="F31" s="61">
        <v>46357</v>
      </c>
      <c r="G31" s="62" t="s">
        <v>35</v>
      </c>
      <c r="H31" s="60" t="s">
        <v>3</v>
      </c>
      <c r="I31" s="8"/>
      <c r="J31" s="8"/>
      <c r="K31" s="8"/>
    </row>
    <row r="32" spans="1:11" ht="118.9" customHeight="1" x14ac:dyDescent="0.3">
      <c r="A32" s="34">
        <v>19</v>
      </c>
      <c r="B32" s="63" t="s">
        <v>77</v>
      </c>
      <c r="C32" s="64" t="s">
        <v>78</v>
      </c>
      <c r="D32" s="64" t="s">
        <v>70</v>
      </c>
      <c r="E32" s="61">
        <v>46357</v>
      </c>
      <c r="F32" s="61">
        <v>46357</v>
      </c>
      <c r="G32" s="62" t="s">
        <v>35</v>
      </c>
      <c r="H32" s="60" t="s">
        <v>3</v>
      </c>
      <c r="I32" s="8"/>
      <c r="J32" s="8"/>
      <c r="K32" s="8"/>
    </row>
    <row r="33" spans="1:11" ht="117.6" customHeight="1" x14ac:dyDescent="0.3">
      <c r="A33" s="34">
        <v>20</v>
      </c>
      <c r="B33" s="63" t="s">
        <v>79</v>
      </c>
      <c r="C33" s="64" t="s">
        <v>80</v>
      </c>
      <c r="D33" s="64" t="s">
        <v>70</v>
      </c>
      <c r="E33" s="61">
        <v>46357</v>
      </c>
      <c r="F33" s="61">
        <v>46357</v>
      </c>
      <c r="G33" s="62" t="s">
        <v>35</v>
      </c>
      <c r="H33" s="60" t="s">
        <v>14</v>
      </c>
      <c r="I33" s="8"/>
      <c r="J33" s="8"/>
      <c r="K33" s="8"/>
    </row>
    <row r="34" spans="1:11" ht="144" customHeight="1" x14ac:dyDescent="0.3">
      <c r="A34" s="34">
        <v>21</v>
      </c>
      <c r="B34" s="63" t="s">
        <v>81</v>
      </c>
      <c r="C34" s="64" t="s">
        <v>82</v>
      </c>
      <c r="D34" s="64" t="s">
        <v>70</v>
      </c>
      <c r="E34" s="61">
        <v>46357</v>
      </c>
      <c r="F34" s="61">
        <v>46357</v>
      </c>
      <c r="G34" s="62" t="s">
        <v>35</v>
      </c>
      <c r="H34" s="60" t="s">
        <v>14</v>
      </c>
      <c r="I34" s="8"/>
      <c r="J34" s="8"/>
      <c r="K34" s="8"/>
    </row>
    <row r="35" spans="1:11" ht="192" customHeight="1" x14ac:dyDescent="0.3">
      <c r="A35" s="34">
        <v>22</v>
      </c>
      <c r="B35" s="63" t="s">
        <v>83</v>
      </c>
      <c r="C35" s="64" t="s">
        <v>84</v>
      </c>
      <c r="D35" s="64" t="s">
        <v>85</v>
      </c>
      <c r="E35" s="61">
        <v>46357</v>
      </c>
      <c r="F35" s="61">
        <v>46357</v>
      </c>
      <c r="G35" s="62" t="s">
        <v>35</v>
      </c>
      <c r="H35" s="60" t="s">
        <v>14</v>
      </c>
      <c r="I35" s="8"/>
      <c r="J35" s="8"/>
      <c r="K35" s="8"/>
    </row>
    <row r="36" spans="1:11" ht="118.15" customHeight="1" x14ac:dyDescent="0.3">
      <c r="A36" s="34">
        <v>23</v>
      </c>
      <c r="B36" s="63" t="s">
        <v>86</v>
      </c>
      <c r="C36" s="64" t="s">
        <v>87</v>
      </c>
      <c r="D36" s="64" t="s">
        <v>85</v>
      </c>
      <c r="E36" s="61">
        <v>46357</v>
      </c>
      <c r="F36" s="61">
        <v>46357</v>
      </c>
      <c r="G36" s="62" t="s">
        <v>35</v>
      </c>
      <c r="H36" s="60" t="s">
        <v>14</v>
      </c>
      <c r="I36" s="8"/>
      <c r="J36" s="8"/>
      <c r="K36" s="8"/>
    </row>
    <row r="37" spans="1:11" ht="112.15" customHeight="1" x14ac:dyDescent="0.3">
      <c r="A37" s="34">
        <v>24</v>
      </c>
      <c r="B37" s="63" t="s">
        <v>88</v>
      </c>
      <c r="C37" s="64" t="s">
        <v>89</v>
      </c>
      <c r="D37" s="64" t="s">
        <v>85</v>
      </c>
      <c r="E37" s="61">
        <v>46357</v>
      </c>
      <c r="F37" s="61">
        <v>46357</v>
      </c>
      <c r="G37" s="62" t="s">
        <v>35</v>
      </c>
      <c r="H37" s="60" t="s">
        <v>14</v>
      </c>
      <c r="I37" s="8"/>
      <c r="J37" s="8"/>
      <c r="K37" s="8"/>
    </row>
    <row r="38" spans="1:11" ht="109.9" customHeight="1" x14ac:dyDescent="0.3">
      <c r="A38" s="34">
        <v>25</v>
      </c>
      <c r="B38" s="63" t="s">
        <v>90</v>
      </c>
      <c r="C38" s="64" t="s">
        <v>91</v>
      </c>
      <c r="D38" s="64" t="s">
        <v>85</v>
      </c>
      <c r="E38" s="61">
        <v>46357</v>
      </c>
      <c r="F38" s="61">
        <v>46357</v>
      </c>
      <c r="G38" s="62" t="s">
        <v>35</v>
      </c>
      <c r="H38" s="60" t="s">
        <v>14</v>
      </c>
      <c r="I38" s="8"/>
      <c r="J38" s="8"/>
      <c r="K38" s="8"/>
    </row>
    <row r="39" spans="1:11" ht="104.45" customHeight="1" x14ac:dyDescent="0.3">
      <c r="A39" s="34">
        <v>26</v>
      </c>
      <c r="B39" s="63" t="s">
        <v>92</v>
      </c>
      <c r="C39" s="64" t="s">
        <v>93</v>
      </c>
      <c r="D39" s="64" t="s">
        <v>85</v>
      </c>
      <c r="E39" s="61">
        <v>46357</v>
      </c>
      <c r="F39" s="61">
        <v>46357</v>
      </c>
      <c r="G39" s="62" t="s">
        <v>35</v>
      </c>
      <c r="H39" s="60" t="s">
        <v>14</v>
      </c>
      <c r="I39" s="8"/>
      <c r="J39" s="8"/>
      <c r="K39" s="8"/>
    </row>
    <row r="40" spans="1:11" ht="112.9" customHeight="1" x14ac:dyDescent="0.3">
      <c r="A40" s="34">
        <v>27</v>
      </c>
      <c r="B40" s="63" t="s">
        <v>94</v>
      </c>
      <c r="C40" s="64" t="s">
        <v>95</v>
      </c>
      <c r="D40" s="64" t="s">
        <v>85</v>
      </c>
      <c r="E40" s="61">
        <v>46357</v>
      </c>
      <c r="F40" s="61">
        <v>46357</v>
      </c>
      <c r="G40" s="62" t="s">
        <v>35</v>
      </c>
      <c r="H40" s="60" t="s">
        <v>14</v>
      </c>
      <c r="I40" s="8"/>
      <c r="J40" s="8"/>
      <c r="K40" s="8"/>
    </row>
    <row r="41" spans="1:11" ht="110.45" customHeight="1" x14ac:dyDescent="0.3">
      <c r="A41" s="34">
        <v>28</v>
      </c>
      <c r="B41" s="63" t="s">
        <v>96</v>
      </c>
      <c r="C41" s="64" t="s">
        <v>97</v>
      </c>
      <c r="D41" s="64" t="s">
        <v>85</v>
      </c>
      <c r="E41" s="61">
        <v>46357</v>
      </c>
      <c r="F41" s="61">
        <v>46357</v>
      </c>
      <c r="G41" s="62" t="s">
        <v>35</v>
      </c>
      <c r="H41" s="60" t="s">
        <v>14</v>
      </c>
      <c r="I41" s="8"/>
      <c r="J41" s="8"/>
      <c r="K41" s="8"/>
    </row>
    <row r="42" spans="1:11" ht="108.6" customHeight="1" x14ac:dyDescent="0.3">
      <c r="A42" s="34">
        <v>29</v>
      </c>
      <c r="B42" s="63" t="s">
        <v>98</v>
      </c>
      <c r="C42" s="64" t="s">
        <v>99</v>
      </c>
      <c r="D42" s="64" t="s">
        <v>85</v>
      </c>
      <c r="E42" s="61">
        <v>46357</v>
      </c>
      <c r="F42" s="61">
        <v>46357</v>
      </c>
      <c r="G42" s="62" t="s">
        <v>35</v>
      </c>
      <c r="H42" s="60" t="s">
        <v>14</v>
      </c>
      <c r="I42" s="8"/>
      <c r="J42" s="8"/>
      <c r="K42" s="8"/>
    </row>
    <row r="43" spans="1:11" ht="103.15" customHeight="1" x14ac:dyDescent="0.3">
      <c r="A43" s="34">
        <v>30</v>
      </c>
      <c r="B43" s="63" t="s">
        <v>100</v>
      </c>
      <c r="C43" s="64" t="s">
        <v>101</v>
      </c>
      <c r="D43" s="64" t="s">
        <v>85</v>
      </c>
      <c r="E43" s="61">
        <v>46357</v>
      </c>
      <c r="F43" s="61">
        <v>46357</v>
      </c>
      <c r="G43" s="62" t="s">
        <v>35</v>
      </c>
      <c r="H43" s="60" t="s">
        <v>14</v>
      </c>
      <c r="I43" s="8"/>
      <c r="J43" s="8"/>
      <c r="K43" s="8"/>
    </row>
    <row r="44" spans="1:11" ht="105" customHeight="1" x14ac:dyDescent="0.3">
      <c r="A44" s="34">
        <v>31</v>
      </c>
      <c r="B44" s="63" t="s">
        <v>102</v>
      </c>
      <c r="C44" s="64" t="s">
        <v>103</v>
      </c>
      <c r="D44" s="64" t="s">
        <v>85</v>
      </c>
      <c r="E44" s="61">
        <v>46357</v>
      </c>
      <c r="F44" s="61">
        <v>46357</v>
      </c>
      <c r="G44" s="62" t="s">
        <v>35</v>
      </c>
      <c r="H44" s="60" t="s">
        <v>14</v>
      </c>
      <c r="I44" s="8"/>
      <c r="J44" s="8"/>
      <c r="K44" s="8"/>
    </row>
    <row r="45" spans="1:11" ht="127.15" customHeight="1" x14ac:dyDescent="0.3">
      <c r="A45" s="34">
        <v>32</v>
      </c>
      <c r="B45" s="63" t="s">
        <v>104</v>
      </c>
      <c r="C45" s="64" t="s">
        <v>105</v>
      </c>
      <c r="D45" s="64" t="s">
        <v>85</v>
      </c>
      <c r="E45" s="61">
        <v>46357</v>
      </c>
      <c r="F45" s="61">
        <v>46357</v>
      </c>
      <c r="G45" s="62" t="s">
        <v>35</v>
      </c>
      <c r="H45" s="60" t="s">
        <v>14</v>
      </c>
      <c r="I45" s="8"/>
      <c r="J45" s="8"/>
      <c r="K45" s="8"/>
    </row>
    <row r="46" spans="1:11" ht="152.44999999999999" customHeight="1" x14ac:dyDescent="0.3">
      <c r="A46" s="34">
        <v>33</v>
      </c>
      <c r="B46" s="63" t="s">
        <v>106</v>
      </c>
      <c r="C46" s="64" t="s">
        <v>107</v>
      </c>
      <c r="D46" s="64" t="s">
        <v>85</v>
      </c>
      <c r="E46" s="61">
        <v>46357</v>
      </c>
      <c r="F46" s="61">
        <v>46357</v>
      </c>
      <c r="G46" s="62" t="s">
        <v>35</v>
      </c>
      <c r="H46" s="60" t="s">
        <v>3</v>
      </c>
      <c r="I46" s="8"/>
      <c r="J46" s="8"/>
      <c r="K46" s="8"/>
    </row>
    <row r="47" spans="1:11" ht="93" customHeight="1" x14ac:dyDescent="0.3">
      <c r="A47" s="34">
        <v>34</v>
      </c>
      <c r="B47" s="63" t="s">
        <v>108</v>
      </c>
      <c r="C47" s="64" t="s">
        <v>109</v>
      </c>
      <c r="D47" s="64" t="s">
        <v>110</v>
      </c>
      <c r="E47" s="61" t="s">
        <v>111</v>
      </c>
      <c r="F47" s="61" t="s">
        <v>111</v>
      </c>
      <c r="G47" s="62" t="s">
        <v>35</v>
      </c>
      <c r="H47" s="60" t="s">
        <v>14</v>
      </c>
      <c r="I47" s="8"/>
      <c r="J47" s="8"/>
      <c r="K47" s="8"/>
    </row>
    <row r="48" spans="1:11" ht="85.15" customHeight="1" x14ac:dyDescent="0.3">
      <c r="A48" s="34">
        <v>35</v>
      </c>
      <c r="B48" s="63" t="s">
        <v>112</v>
      </c>
      <c r="C48" s="64" t="s">
        <v>113</v>
      </c>
      <c r="D48" s="64" t="s">
        <v>85</v>
      </c>
      <c r="E48" s="61">
        <v>46357</v>
      </c>
      <c r="F48" s="61">
        <v>46357</v>
      </c>
      <c r="G48" s="62" t="s">
        <v>35</v>
      </c>
      <c r="H48" s="60" t="s">
        <v>14</v>
      </c>
      <c r="I48" s="8"/>
      <c r="J48" s="8"/>
      <c r="K48" s="8"/>
    </row>
    <row r="49" spans="1:12" ht="95.45" customHeight="1" x14ac:dyDescent="0.3">
      <c r="A49" s="34">
        <v>36</v>
      </c>
      <c r="B49" s="63" t="s">
        <v>114</v>
      </c>
      <c r="C49" s="64" t="s">
        <v>109</v>
      </c>
      <c r="D49" s="64" t="s">
        <v>110</v>
      </c>
      <c r="E49" s="61" t="s">
        <v>111</v>
      </c>
      <c r="F49" s="61" t="s">
        <v>111</v>
      </c>
      <c r="G49" s="62" t="s">
        <v>35</v>
      </c>
      <c r="H49" s="60" t="s">
        <v>14</v>
      </c>
      <c r="I49" s="8"/>
      <c r="J49" s="8"/>
      <c r="K49" s="8"/>
    </row>
    <row r="50" spans="1:12" ht="118.9" customHeight="1" x14ac:dyDescent="0.3">
      <c r="A50" s="34">
        <v>37</v>
      </c>
      <c r="B50" s="63" t="s">
        <v>115</v>
      </c>
      <c r="C50" s="65" t="s">
        <v>116</v>
      </c>
      <c r="D50" s="65" t="s">
        <v>117</v>
      </c>
      <c r="E50" s="61" t="s">
        <v>45</v>
      </c>
      <c r="F50" s="61" t="s">
        <v>45</v>
      </c>
      <c r="G50" s="62" t="s">
        <v>35</v>
      </c>
      <c r="H50" s="60" t="s">
        <v>3</v>
      </c>
      <c r="I50" s="8"/>
      <c r="J50" s="8"/>
      <c r="K50" s="8"/>
    </row>
    <row r="51" spans="1:12" ht="85.15" customHeight="1" x14ac:dyDescent="0.3">
      <c r="A51" s="34">
        <v>38</v>
      </c>
      <c r="B51" s="63" t="s">
        <v>118</v>
      </c>
      <c r="C51" s="65" t="s">
        <v>119</v>
      </c>
      <c r="D51" s="65" t="s">
        <v>120</v>
      </c>
      <c r="E51" s="61">
        <v>45901</v>
      </c>
      <c r="F51" s="61">
        <v>45901</v>
      </c>
      <c r="G51" s="62" t="s">
        <v>35</v>
      </c>
      <c r="H51" s="60" t="s">
        <v>1</v>
      </c>
      <c r="I51" s="8"/>
      <c r="J51" s="8"/>
      <c r="K51" s="8"/>
    </row>
    <row r="52" spans="1:12" ht="141" customHeight="1" x14ac:dyDescent="0.3">
      <c r="A52" s="34">
        <v>39</v>
      </c>
      <c r="B52" s="63" t="s">
        <v>121</v>
      </c>
      <c r="C52" s="64" t="s">
        <v>122</v>
      </c>
      <c r="D52" s="64" t="s">
        <v>85</v>
      </c>
      <c r="E52" s="61">
        <v>46357</v>
      </c>
      <c r="F52" s="61">
        <v>46357</v>
      </c>
      <c r="G52" s="62" t="s">
        <v>35</v>
      </c>
      <c r="H52" s="60" t="s">
        <v>14</v>
      </c>
      <c r="I52" s="8"/>
      <c r="J52" s="8"/>
      <c r="K52" s="8"/>
    </row>
    <row r="53" spans="1:12" ht="125.45" customHeight="1" x14ac:dyDescent="0.3">
      <c r="A53" s="34">
        <v>40</v>
      </c>
      <c r="B53" s="63" t="s">
        <v>123</v>
      </c>
      <c r="C53" s="64" t="s">
        <v>124</v>
      </c>
      <c r="D53" s="64" t="s">
        <v>125</v>
      </c>
      <c r="E53" s="61">
        <v>46357</v>
      </c>
      <c r="F53" s="61">
        <v>46357</v>
      </c>
      <c r="G53" s="62" t="s">
        <v>35</v>
      </c>
      <c r="H53" s="60" t="s">
        <v>14</v>
      </c>
      <c r="I53" s="8"/>
      <c r="J53" s="8"/>
      <c r="K53" s="8"/>
    </row>
    <row r="54" spans="1:12" ht="108.6" customHeight="1" thickBot="1" x14ac:dyDescent="0.35">
      <c r="A54" s="34">
        <v>41</v>
      </c>
      <c r="B54" s="63" t="s">
        <v>126</v>
      </c>
      <c r="C54" s="64" t="s">
        <v>127</v>
      </c>
      <c r="D54" s="64" t="s">
        <v>125</v>
      </c>
      <c r="E54" s="61">
        <v>46357</v>
      </c>
      <c r="F54" s="61">
        <v>46357</v>
      </c>
      <c r="G54" s="62" t="s">
        <v>35</v>
      </c>
      <c r="H54" s="60" t="s">
        <v>3</v>
      </c>
      <c r="I54" s="8"/>
      <c r="J54" s="8"/>
      <c r="K54" s="8"/>
    </row>
    <row r="55" spans="1:12" ht="113.45" customHeight="1" thickBot="1" x14ac:dyDescent="0.35">
      <c r="A55" s="34">
        <v>42</v>
      </c>
      <c r="B55" s="63" t="s">
        <v>128</v>
      </c>
      <c r="C55" s="64" t="s">
        <v>129</v>
      </c>
      <c r="D55" s="64" t="s">
        <v>125</v>
      </c>
      <c r="E55" s="61">
        <v>46357</v>
      </c>
      <c r="F55" s="61">
        <v>46357</v>
      </c>
      <c r="G55" s="62" t="s">
        <v>35</v>
      </c>
      <c r="H55" s="35" t="s">
        <v>14</v>
      </c>
      <c r="I55" s="8"/>
      <c r="J55" s="8"/>
      <c r="K55" s="8"/>
    </row>
    <row r="56" spans="1:12" ht="72.599999999999994" customHeight="1" thickBot="1" x14ac:dyDescent="0.35">
      <c r="A56" s="34">
        <v>43</v>
      </c>
      <c r="B56" s="63" t="s">
        <v>130</v>
      </c>
      <c r="C56" s="64" t="s">
        <v>131</v>
      </c>
      <c r="D56" s="64" t="s">
        <v>85</v>
      </c>
      <c r="E56" s="61">
        <v>46357</v>
      </c>
      <c r="F56" s="61">
        <v>46357</v>
      </c>
      <c r="G56" s="62" t="s">
        <v>35</v>
      </c>
      <c r="H56" s="35" t="s">
        <v>14</v>
      </c>
      <c r="I56" s="8"/>
      <c r="J56" s="8"/>
      <c r="K56" s="8"/>
    </row>
    <row r="57" spans="1:12" ht="45" customHeight="1" thickBot="1" x14ac:dyDescent="0.35">
      <c r="A57" s="36" t="s">
        <v>28</v>
      </c>
      <c r="B57" s="88" t="s">
        <v>132</v>
      </c>
      <c r="C57" s="37" t="s">
        <v>21</v>
      </c>
      <c r="D57" s="84" t="s">
        <v>136</v>
      </c>
      <c r="E57" s="38" t="s">
        <v>22</v>
      </c>
      <c r="F57" s="84" t="s">
        <v>136</v>
      </c>
      <c r="G57" s="38" t="s">
        <v>23</v>
      </c>
      <c r="H57" s="85" t="s">
        <v>134</v>
      </c>
      <c r="I57" s="33"/>
      <c r="J57" s="31" t="s">
        <v>24</v>
      </c>
    </row>
    <row r="58" spans="1:12" x14ac:dyDescent="0.3">
      <c r="A58" s="39"/>
      <c r="B58" s="45"/>
      <c r="C58" s="46"/>
      <c r="D58" s="46"/>
      <c r="E58" s="44"/>
      <c r="F58" s="40"/>
      <c r="G58" s="40"/>
      <c r="H58" s="40"/>
      <c r="I58" s="32"/>
      <c r="J58" s="32"/>
      <c r="L58" s="43"/>
    </row>
    <row r="59" spans="1:12" ht="41.25" customHeight="1" x14ac:dyDescent="0.3">
      <c r="A59" s="86"/>
      <c r="B59" s="87"/>
      <c r="C59" s="49"/>
      <c r="D59" s="50"/>
      <c r="E59" s="42"/>
      <c r="F59" s="42"/>
      <c r="G59" s="41"/>
      <c r="H59" s="49"/>
      <c r="I59" s="82" t="s">
        <v>26</v>
      </c>
      <c r="J59" s="83"/>
    </row>
    <row r="60" spans="1:12" x14ac:dyDescent="0.3">
      <c r="A60" s="56"/>
      <c r="B60" s="59" t="s">
        <v>25</v>
      </c>
      <c r="C60" s="54"/>
      <c r="D60" s="53"/>
      <c r="E60" s="66" t="s">
        <v>27</v>
      </c>
      <c r="F60" s="67"/>
      <c r="G60" s="68"/>
      <c r="H60" s="52"/>
      <c r="L60" s="43"/>
    </row>
    <row r="61" spans="1:12" x14ac:dyDescent="0.3">
      <c r="A61" s="47"/>
      <c r="B61" s="57"/>
      <c r="C61" s="52"/>
      <c r="D61" s="51"/>
      <c r="E61" s="54"/>
      <c r="F61" s="52"/>
      <c r="G61" s="55"/>
      <c r="H61" s="52"/>
    </row>
    <row r="62" spans="1:12" x14ac:dyDescent="0.3">
      <c r="A62" s="48"/>
      <c r="C62" s="51"/>
      <c r="D62" s="51"/>
    </row>
    <row r="64" spans="1:12" x14ac:dyDescent="0.3">
      <c r="C64" s="58"/>
    </row>
    <row r="65" spans="3:3" x14ac:dyDescent="0.3">
      <c r="C65" s="51"/>
    </row>
  </sheetData>
  <dataConsolidate/>
  <mergeCells count="18">
    <mergeCell ref="A1:A4"/>
    <mergeCell ref="B4:C4"/>
    <mergeCell ref="I59:J59"/>
    <mergeCell ref="A59:B59"/>
    <mergeCell ref="A12:A13"/>
    <mergeCell ref="E60:G60"/>
    <mergeCell ref="D4:G4"/>
    <mergeCell ref="B1:H1"/>
    <mergeCell ref="B2:H2"/>
    <mergeCell ref="B3:H3"/>
    <mergeCell ref="F6:H6"/>
    <mergeCell ref="B12:B13"/>
    <mergeCell ref="C12:C13"/>
    <mergeCell ref="D12:D13"/>
    <mergeCell ref="E12:E13"/>
    <mergeCell ref="F12:F13"/>
    <mergeCell ref="G12:G13"/>
    <mergeCell ref="H12:H13"/>
  </mergeCells>
  <conditionalFormatting sqref="H14:H56">
    <cfRule type="containsText" dxfId="4" priority="1" operator="containsText" text="EN GESTION">
      <formula>NOT(ISERROR(SEARCH("EN GESTION",H14)))</formula>
    </cfRule>
    <cfRule type="containsText" dxfId="3" priority="2" operator="containsText" text="SIN AVANCE">
      <formula>NOT(ISERROR(SEARCH("SIN AVANCE",H14)))</formula>
    </cfRule>
    <cfRule type="containsText" dxfId="2" priority="3" operator="containsText" text="CUMPLIDAS">
      <formula>NOT(ISERROR(SEARCH("CUMPLIDAS",H14)))</formula>
    </cfRule>
    <cfRule type="containsText" dxfId="1" priority="4" operator="containsText" text="SIN AVANCE">
      <formula>NOT(ISERROR(SEARCH("SIN AVANCE",H14)))</formula>
    </cfRule>
    <cfRule type="expression" dxfId="0" priority="5">
      <formula>$H$14</formula>
    </cfRule>
  </conditionalFormatting>
  <dataValidations count="1">
    <dataValidation type="list" allowBlank="1" showInputMessage="1" showErrorMessage="1" sqref="H14:H56" xr:uid="{00000000-0002-0000-0000-000000000000}">
      <formula1>$K$7:$K$10</formula1>
    </dataValidation>
  </dataValidations>
  <printOptions horizontalCentered="1"/>
  <pageMargins left="0.70866141732283472" right="0.47244094488188981" top="0.74803149606299213" bottom="0.74803149606299213" header="0.31496062992125984" footer="0.31496062992125984"/>
  <pageSetup scale="57"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POLITICA MIPG</vt:lpstr>
      <vt:lpstr>'POLITICA MIPG'!Área_de_impresión</vt:lpstr>
      <vt:lpstr>'POLITICA MIPG'!Títulos_a_imprimir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Guillot</dc:creator>
  <cp:lastModifiedBy>concejo chia</cp:lastModifiedBy>
  <cp:lastPrinted>2025-10-27T17:25:47Z</cp:lastPrinted>
  <dcterms:created xsi:type="dcterms:W3CDTF">2014-12-09T04:54:47Z</dcterms:created>
  <dcterms:modified xsi:type="dcterms:W3CDTF">2026-04-13T17:36:21Z</dcterms:modified>
</cp:coreProperties>
</file>