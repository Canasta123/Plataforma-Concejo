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30.30.30.51\compartida\SGC CONCEJO CHIA\7. Planes de Mejoramiento\2025\Seguimiento a planes de mejoramiento FURAG-MIPG\"/>
    </mc:Choice>
  </mc:AlternateContent>
  <xr:revisionPtr revIDLastSave="0" documentId="13_ncr:1_{6BEBFA86-7F7F-4918-9B61-D4E4A83A0129}" xr6:coauthVersionLast="47" xr6:coauthVersionMax="47" xr10:uidLastSave="{00000000-0000-0000-0000-000000000000}"/>
  <bookViews>
    <workbookView xWindow="-108" yWindow="-108" windowWidth="23256" windowHeight="12456" xr2:uid="{00000000-000D-0000-FFFF-FFFF00000000}"/>
  </bookViews>
  <sheets>
    <sheet name="POLITICA MIPG" sheetId="37" r:id="rId1"/>
  </sheets>
  <definedNames>
    <definedName name="_xlnm._FilterDatabase" localSheetId="0" hidden="1">'POLITICA MIPG'!$D$13:$D$16</definedName>
    <definedName name="_xlnm.Print_Area" localSheetId="0">'POLITICA MIPG'!$A$1:$H$26</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7" l="1"/>
  <c r="H7" i="37"/>
  <c r="H8" i="37"/>
  <c r="H10" i="37" l="1"/>
</calcChain>
</file>

<file path=xl/sharedStrings.xml><?xml version="1.0" encoding="utf-8"?>
<sst xmlns="http://schemas.openxmlformats.org/spreadsheetml/2006/main" count="85" uniqueCount="62">
  <si>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</si>
  <si>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</si>
  <si>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</si>
  <si>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</si>
  <si>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</si>
  <si>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</si>
  <si>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</si>
  <si>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</si>
  <si>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</si>
  <si>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</si>
  <si>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</si>
  <si>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</si>
  <si>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</si>
  <si>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</si>
  <si>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</si>
  <si>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</si>
  <si>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PUNTAJE OBTENIDO: 0</t>
  </si>
  <si>
    <t xml:space="preserve">PERÍODO: </t>
  </si>
  <si>
    <t xml:space="preserve">SEGUIMIENTO A POLÍTICA: </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</si>
  <si>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</si>
  <si>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</si>
  <si>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</si>
  <si>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</si>
  <si>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</si>
  <si>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</si>
  <si>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</si>
  <si>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</si>
  <si>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</si>
  <si>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</si>
  <si>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</si>
  <si>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</si>
  <si>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</si>
  <si>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 xml:space="preserve">VIGENCIA: </t>
  </si>
  <si>
    <t xml:space="preserve">Defensa juridica </t>
  </si>
  <si>
    <t>PRIMER SEMESTRE 2026</t>
  </si>
  <si>
    <t>Formular la Política de Prevención del Daño Antijurídico - PPDA y realizar el trámite para su aprobación. Para esto, consultar los lineamientos dispuestos en la Caja de Herramientas y Biblioteca Jurídica en la página web de la ANDJE. 
Es importante que la PPDA se formule e implemente con la oportunidad que exige la metodología de la ANDJE y que tenga evidencia de esta actividad.</t>
  </si>
  <si>
    <t xml:space="preserve">Citar a comité de conciliacion y defensa judicial, exponer la situacion y tomar decisión frente a dicha recomendación. </t>
  </si>
  <si>
    <t xml:space="preserve">Citacion </t>
  </si>
  <si>
    <t>14/11/2025</t>
  </si>
  <si>
    <t>30/05/2026</t>
  </si>
  <si>
    <t>Gestion Jurídica y Contractual</t>
  </si>
  <si>
    <t xml:space="preserve">Hacer seguimiento efectivo a la Política de Prevención del Daño Antijurídico - PPDA vigente a través del Comité de Conciliación o el representante legal, según corresponda (artículo 120 de la Ley 2220 de 2022). 
Es necesario tener evidencia que el Comité de Conciliación o el representante legal, hacen un seguimiento al plan de acción propuesto en la PPDA vigente, en cuanto a las medidas, mecanismos y tiempo para ejecutar cada acción así como su responsable. </t>
  </si>
  <si>
    <t xml:space="preserve">Elaborar acta de las reuniones celebradas por el comité de conciliacion y defensa judicial y realizar seguimiento a los compromisos propuestos, determinar y tomar decisión frente a la implementacion y necesidad de una PPDA para la Corpoacion o no. </t>
  </si>
  <si>
    <t>Actas de reuniones celebradas</t>
  </si>
  <si>
    <t xml:space="preserve">Divulgar a sus servidores y contratistas la Política de Prevención del Daño Antijurídico  -PPDA a través de los diferentes medios de difusión con los que cuenta la entidad y contar con las evidencias. </t>
  </si>
  <si>
    <t xml:space="preserve">NA. Por el momento no es posible hacer seguimiento hasta tanto se determine si se implementa o no en esta Corporación. </t>
  </si>
  <si>
    <t>NA</t>
  </si>
  <si>
    <t>La entidad deberá expedir al menos un lineamiento o política que oriente la defensa técnica en casos relevantes. Para ello, pueden consultar el módulo Prevención del Daño Antijurídico disponible en la Caja de Herramientas de la ANDJE.</t>
  </si>
  <si>
    <t xml:space="preserve">Expedir circular de orientación, que prevenga el daño e indique recomendaciones para la prevencion del dao antijuridico. </t>
  </si>
  <si>
    <t xml:space="preserve">Circular expedida. </t>
  </si>
  <si>
    <t>Contestar las demandas que se admitan en su contra en los términos señalados en la Ley y además tener la evidencia.</t>
  </si>
  <si>
    <t xml:space="preserve">Teniendo en cuenta que esta Corporación no cuenta con personeria juridica para ser parte de los procesos judiciales, la accion que se ha tomado es emitir pronunciamiento sobre los hechos y hacerlo llegar al juzgado correspondiente. </t>
  </si>
  <si>
    <t xml:space="preserve">Documento o pronunciamiento enviado al Juzgado corespondiente. </t>
  </si>
  <si>
    <t>Adoptar una metodología para el cálculo de la provisión contable mediante un acto administrativo y guardar las evidencias. Para el efecto, puede consultar el modelo de resolución "Por la cual se adopta una metodología para el cálculo de la obligación contingente de los procesos judiciales, conciliaciones extrajudiciales y trámites arbitrales que se adelanten contra la entidad" que diseñó la ANDJE y que esta disponible en su página web.</t>
  </si>
  <si>
    <t xml:space="preserve">Citar e informar al comite de conciliacion  y defensa judicial para que en una de las sesiones se determine si se establecen o no lineamientos para la formulación, aprobación, implementación y seguimiento de las Políticas de Prevención del Daño Antijurídico del Concejo Municipal de Chía, toda vez que esta Corpoacion no cuenta con personeria Juridica por lo que su representacion judicial es elercida por la Administracion Municipal de Chía. 
</t>
  </si>
  <si>
    <t>Contar con un programa de capacitación y actualización para la totalidad de personas que intervienen en la defensa jurídica. La entidad debe incluir en su Plan de Capacitación estos programas de actualización. Lo invitamos a ser parte de la Comunidad Jurídica del Conocimiento.</t>
  </si>
  <si>
    <t xml:space="preserve">Realizar inscripción y enlace con la agencia nacional de defensa juridica del Estado, identificar una de las capacitaciones para que sea realizada por los integrantes del area juridica e informar al area de talento humano. </t>
  </si>
  <si>
    <t xml:space="preserve">Certificado de participacion en algun curso y/o capacitacion adelantado por la Agencia Nacional de defensa juridica del Estado. </t>
  </si>
  <si>
    <t>13/11/2026</t>
  </si>
  <si>
    <t>Realizar  estudios y/o análisis que incluyan los siguientes criterios: (i) Las causas generadoras de los conflictos con el fin de proponer correctivos, (ii) Los tipos de daño por los cuales resulta demandada o condenada la entidad, (iii) el índice de condenas, (iv) Las deficiencias en las actuaciones administrativas de la entidad, y (v) Las deficiencias de las actuaciones procesales por parte de los apoderados de la entidad.
Lo invitamos a consultar los lineamientos que ha expedido la Agencia, a través de la Biblioteca Jurídica.</t>
  </si>
  <si>
    <t xml:space="preserve">Se realiza el analisis de revicion y verificacion con los criterios correspondientes, de acuerdo a lo indicado por la agencia nacional de Defensa Juridica del Estado </t>
  </si>
  <si>
    <t>Documento con analisis procesos judiciales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</si>
</sst>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sz val="9"/>
      <color theme="1"/>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sz val="11"/>
      <name val="Arial Narrow"/>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indexed="64"/>
      </left>
      <right style="thin">
        <color theme="0" tint="-0.14999847407452621"/>
      </right>
      <top style="thin">
        <color theme="0" tint="-0.14999847407452621"/>
      </top>
      <bottom/>
      <diagonal/>
    </border>
    <border>
      <left/>
      <right/>
      <top/>
      <bottom style="thin">
        <color theme="0" tint="-0.14999847407452621"/>
      </bottom>
      <diagonal/>
    </border>
    <border>
      <left style="medium">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8" fillId="0" borderId="0" applyFont="0" applyFill="0" applyBorder="0" applyAlignment="0" applyProtection="0"/>
    <xf numFmtId="0" fontId="8" fillId="0" borderId="0"/>
  </cellStyleXfs>
  <cellXfs count="90">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7"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2" fillId="2"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0" borderId="3" xfId="0" applyFont="1" applyBorder="1" applyAlignment="1">
      <alignment horizontal="center" vertical="center"/>
    </xf>
    <xf numFmtId="0" fontId="10"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1" fillId="0" borderId="16" xfId="0" applyFont="1" applyBorder="1" applyAlignment="1">
      <alignment horizontal="center" vertical="center" wrapText="1"/>
    </xf>
    <xf numFmtId="9" fontId="11" fillId="0" borderId="12" xfId="1" applyFont="1" applyBorder="1" applyAlignment="1">
      <alignment horizontal="center" vertical="center"/>
    </xf>
    <xf numFmtId="0" fontId="11" fillId="0" borderId="1" xfId="0" applyFont="1" applyBorder="1" applyAlignment="1">
      <alignment horizontal="center" vertical="center" wrapText="1"/>
    </xf>
    <xf numFmtId="9" fontId="11" fillId="0" borderId="11" xfId="1" applyFont="1" applyBorder="1" applyAlignment="1">
      <alignment horizontal="center" vertical="center"/>
    </xf>
    <xf numFmtId="0" fontId="11" fillId="0" borderId="13" xfId="0" applyFont="1" applyBorder="1" applyAlignment="1">
      <alignment horizontal="center" vertical="center" wrapText="1"/>
    </xf>
    <xf numFmtId="0" fontId="10" fillId="0" borderId="17" xfId="0" applyFont="1" applyBorder="1" applyAlignment="1">
      <alignment horizontal="center" vertical="center" wrapText="1"/>
    </xf>
    <xf numFmtId="9" fontId="10" fillId="0" borderId="18" xfId="1" applyFont="1" applyBorder="1" applyAlignment="1">
      <alignment horizontal="center" vertical="center"/>
    </xf>
    <xf numFmtId="0" fontId="12"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6" fillId="10" borderId="21" xfId="0" applyFont="1" applyFill="1" applyBorder="1" applyAlignment="1">
      <alignment horizontal="center" vertical="center" wrapText="1"/>
    </xf>
    <xf numFmtId="0" fontId="16" fillId="11" borderId="0" xfId="0" applyFont="1" applyFill="1" applyAlignment="1">
      <alignment vertical="top" wrapText="1"/>
    </xf>
    <xf numFmtId="14" fontId="16" fillId="10" borderId="21" xfId="0" applyNumberFormat="1" applyFont="1" applyFill="1" applyBorder="1" applyAlignment="1">
      <alignment horizontal="center" vertical="center" wrapText="1"/>
    </xf>
    <xf numFmtId="0" fontId="3" fillId="0" borderId="13" xfId="0" applyFont="1" applyBorder="1" applyAlignment="1">
      <alignment horizontal="center" vertical="center"/>
    </xf>
    <xf numFmtId="0" fontId="12" fillId="0" borderId="23" xfId="0" applyFont="1" applyBorder="1" applyAlignment="1">
      <alignment horizontal="center" vertical="center" wrapText="1"/>
    </xf>
    <xf numFmtId="0" fontId="15" fillId="9" borderId="23" xfId="0" applyFont="1" applyFill="1" applyBorder="1" applyAlignment="1">
      <alignment horizontal="left" vertical="center" wrapText="1"/>
    </xf>
    <xf numFmtId="0" fontId="16" fillId="2" borderId="19" xfId="0" applyFont="1" applyFill="1" applyBorder="1"/>
    <xf numFmtId="0" fontId="15" fillId="9" borderId="19" xfId="0" applyFont="1" applyFill="1" applyBorder="1" applyAlignment="1">
      <alignment vertical="center" wrapText="1"/>
    </xf>
    <xf numFmtId="0" fontId="17" fillId="9" borderId="19" xfId="0" applyFont="1" applyFill="1" applyBorder="1" applyAlignment="1">
      <alignment vertical="center" wrapText="1"/>
    </xf>
    <xf numFmtId="0" fontId="17" fillId="9" borderId="24" xfId="0" applyFont="1" applyFill="1" applyBorder="1" applyAlignment="1">
      <alignment vertical="center" wrapText="1"/>
    </xf>
    <xf numFmtId="0" fontId="16" fillId="11" borderId="25" xfId="0" applyFont="1" applyFill="1" applyBorder="1" applyAlignment="1">
      <alignment vertical="top" wrapText="1"/>
    </xf>
    <xf numFmtId="0" fontId="16" fillId="11" borderId="28" xfId="0" applyFont="1" applyFill="1" applyBorder="1" applyAlignment="1">
      <alignment vertical="top" wrapText="1"/>
    </xf>
    <xf numFmtId="0" fontId="18" fillId="2" borderId="29" xfId="2" applyFont="1" applyFill="1" applyBorder="1"/>
    <xf numFmtId="0" fontId="16" fillId="11" borderId="30" xfId="0" applyFont="1" applyFill="1" applyBorder="1" applyAlignment="1">
      <alignment vertical="top" wrapText="1"/>
    </xf>
    <xf numFmtId="0" fontId="7" fillId="0" borderId="31" xfId="0" applyFont="1" applyBorder="1"/>
    <xf numFmtId="0" fontId="16" fillId="11" borderId="22" xfId="0" applyFont="1" applyFill="1" applyBorder="1" applyAlignment="1">
      <alignment vertical="top" wrapText="1"/>
    </xf>
    <xf numFmtId="0" fontId="16" fillId="11" borderId="32" xfId="0" applyFont="1" applyFill="1" applyBorder="1" applyAlignment="1">
      <alignment vertical="top" wrapText="1"/>
    </xf>
    <xf numFmtId="0" fontId="16" fillId="11" borderId="33" xfId="0" applyFont="1" applyFill="1" applyBorder="1" applyAlignment="1">
      <alignment vertical="top" wrapText="1"/>
    </xf>
    <xf numFmtId="0" fontId="7" fillId="0" borderId="37" xfId="0" applyFont="1" applyBorder="1" applyAlignment="1">
      <alignment horizontal="center" vertical="center"/>
    </xf>
    <xf numFmtId="0" fontId="7" fillId="0" borderId="36" xfId="0" applyFont="1" applyBorder="1" applyAlignment="1">
      <alignment horizontal="center" vertical="center"/>
    </xf>
    <xf numFmtId="0" fontId="16" fillId="11" borderId="38" xfId="0" applyFont="1" applyFill="1" applyBorder="1" applyAlignment="1">
      <alignment vertical="top" wrapText="1"/>
    </xf>
    <xf numFmtId="0" fontId="18" fillId="2" borderId="38" xfId="2" applyFont="1" applyFill="1" applyBorder="1"/>
    <xf numFmtId="0" fontId="7" fillId="0" borderId="36" xfId="0" applyFont="1" applyBorder="1"/>
    <xf numFmtId="0" fontId="7" fillId="0" borderId="38" xfId="0" applyFont="1" applyBorder="1"/>
    <xf numFmtId="0" fontId="7" fillId="0" borderId="41" xfId="0" applyFont="1" applyBorder="1"/>
    <xf numFmtId="0" fontId="18" fillId="2" borderId="38" xfId="2" applyFont="1" applyFill="1" applyBorder="1" applyAlignment="1">
      <alignment horizontal="center"/>
    </xf>
    <xf numFmtId="0" fontId="7" fillId="0" borderId="40" xfId="0" applyFont="1" applyBorder="1"/>
    <xf numFmtId="0" fontId="7" fillId="0" borderId="39" xfId="0" applyFont="1" applyBorder="1" applyAlignment="1">
      <alignment horizontal="center" vertical="center"/>
    </xf>
    <xf numFmtId="0" fontId="7" fillId="0" borderId="34" xfId="0" applyFont="1" applyBorder="1"/>
    <xf numFmtId="0" fontId="7" fillId="0" borderId="43" xfId="0" applyFont="1" applyBorder="1"/>
    <xf numFmtId="0" fontId="18" fillId="2" borderId="33" xfId="2" applyFont="1" applyFill="1" applyBorder="1" applyAlignment="1">
      <alignment horizontal="center"/>
    </xf>
    <xf numFmtId="0" fontId="18" fillId="2" borderId="26" xfId="2" applyFont="1" applyFill="1" applyBorder="1" applyAlignment="1">
      <alignment horizontal="center"/>
    </xf>
    <xf numFmtId="0" fontId="18" fillId="2" borderId="25" xfId="2" applyFont="1" applyFill="1" applyBorder="1" applyAlignment="1">
      <alignment horizontal="center"/>
    </xf>
    <xf numFmtId="0" fontId="18" fillId="2" borderId="27" xfId="2" applyFont="1" applyFill="1" applyBorder="1" applyAlignment="1">
      <alignment horizontal="center"/>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14" fillId="2" borderId="20" xfId="0" applyFont="1" applyFill="1" applyBorder="1" applyAlignment="1">
      <alignment horizontal="center" vertical="center" wrapText="1"/>
    </xf>
    <xf numFmtId="0" fontId="15" fillId="11" borderId="0" xfId="0" applyFont="1" applyFill="1" applyAlignment="1">
      <alignment horizontal="center" vertical="top" wrapText="1"/>
    </xf>
    <xf numFmtId="0" fontId="16" fillId="11" borderId="0" xfId="0" applyFont="1" applyFill="1" applyAlignment="1">
      <alignment horizontal="center" vertical="top" wrapText="1"/>
    </xf>
    <xf numFmtId="0" fontId="18" fillId="2" borderId="35" xfId="2" applyFont="1" applyFill="1" applyBorder="1" applyAlignment="1">
      <alignment horizontal="center"/>
    </xf>
    <xf numFmtId="0" fontId="18" fillId="2" borderId="42" xfId="2" applyFont="1" applyFill="1" applyBorder="1" applyAlignment="1">
      <alignment horizontal="center"/>
    </xf>
    <xf numFmtId="0" fontId="12" fillId="0" borderId="44" xfId="0" applyFont="1" applyBorder="1" applyAlignment="1">
      <alignment horizontal="center" vertical="center" wrapText="1"/>
    </xf>
    <xf numFmtId="0" fontId="19" fillId="2" borderId="1" xfId="0" quotePrefix="1" applyFont="1" applyFill="1" applyBorder="1" applyAlignment="1">
      <alignment horizontal="center" vertical="center" wrapText="1"/>
    </xf>
    <xf numFmtId="16" fontId="7" fillId="2" borderId="1" xfId="0" applyNumberFormat="1" applyFont="1" applyFill="1" applyBorder="1" applyAlignment="1">
      <alignment horizontal="center" vertical="center" wrapText="1"/>
    </xf>
    <xf numFmtId="17" fontId="7" fillId="2" borderId="1" xfId="0" applyNumberFormat="1"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17" fontId="7" fillId="2" borderId="1" xfId="0" quotePrefix="1" applyNumberFormat="1" applyFont="1" applyFill="1" applyBorder="1" applyAlignment="1">
      <alignment horizontal="center" vertical="center" wrapText="1"/>
    </xf>
    <xf numFmtId="0" fontId="7" fillId="0" borderId="45" xfId="0" applyFont="1" applyBorder="1" applyAlignment="1">
      <alignment horizontal="center" vertical="center" wrapText="1"/>
    </xf>
    <xf numFmtId="0" fontId="19" fillId="2" borderId="1" xfId="0" applyFont="1" applyFill="1" applyBorder="1" applyAlignment="1">
      <alignment horizontal="center" vertical="center" wrapText="1"/>
    </xf>
  </cellXfs>
  <cellStyles count="3">
    <cellStyle name="Normal" xfId="0" builtinId="0"/>
    <cellStyle name="Normal 2" xfId="2" xr:uid="{3FD3047E-80D1-48EA-9306-9348F3D55B6C}"/>
    <cellStyle name="Porcentaje" xfId="1" builtinId="5"/>
  </cellStyles>
  <dxfs count="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0"/>
  <sheetViews>
    <sheetView tabSelected="1" zoomScale="98" zoomScaleNormal="98" zoomScaleSheetLayoutView="96" workbookViewId="0">
      <pane xSplit="1" topLeftCell="B1" activePane="topRight" state="frozen"/>
      <selection pane="topRight" activeCell="B14" sqref="B14"/>
    </sheetView>
  </sheetViews>
  <sheetFormatPr baseColWidth="10" defaultColWidth="11.44140625" defaultRowHeight="13.8" x14ac:dyDescent="0.25"/>
  <cols>
    <col min="1" max="1" width="19.88671875" style="2" customWidth="1"/>
    <col min="2" max="2" width="43" style="1" customWidth="1"/>
    <col min="3" max="3" width="31.44140625" style="1" customWidth="1"/>
    <col min="4" max="4" width="46.5546875" style="1" customWidth="1"/>
    <col min="5" max="5" width="18.88671875" style="1" customWidth="1"/>
    <col min="6" max="6" width="19" style="1" customWidth="1"/>
    <col min="7" max="7" width="21.33203125" style="1" customWidth="1"/>
    <col min="8" max="8" width="18.88671875" style="1" customWidth="1"/>
    <col min="9" max="9" width="0.6640625" style="1" hidden="1" customWidth="1"/>
    <col min="10" max="10" width="11.44140625" style="1" hidden="1" customWidth="1"/>
    <col min="11" max="11" width="15.6640625" style="1" hidden="1" customWidth="1"/>
    <col min="12" max="16384" width="11.44140625" style="1"/>
  </cols>
  <sheetData>
    <row r="1" spans="1:11" ht="34.5" customHeight="1" x14ac:dyDescent="0.25">
      <c r="A1" s="67"/>
      <c r="B1" s="67" t="s">
        <v>19</v>
      </c>
      <c r="C1" s="67"/>
      <c r="D1" s="67"/>
      <c r="E1" s="67"/>
      <c r="F1" s="67"/>
      <c r="G1" s="67"/>
      <c r="H1" s="67"/>
    </row>
    <row r="2" spans="1:11" ht="17.25" customHeight="1" x14ac:dyDescent="0.25">
      <c r="A2" s="67"/>
      <c r="B2" s="67" t="s">
        <v>20</v>
      </c>
      <c r="C2" s="67"/>
      <c r="D2" s="67"/>
      <c r="E2" s="67"/>
      <c r="F2" s="67"/>
      <c r="G2" s="67"/>
      <c r="H2" s="67"/>
    </row>
    <row r="3" spans="1:11" ht="17.25" customHeight="1" x14ac:dyDescent="0.25">
      <c r="A3" s="67"/>
      <c r="B3" s="67" t="s">
        <v>21</v>
      </c>
      <c r="C3" s="67"/>
      <c r="D3" s="67"/>
      <c r="E3" s="67"/>
      <c r="F3" s="67"/>
      <c r="G3" s="67"/>
      <c r="H3" s="67"/>
    </row>
    <row r="4" spans="1:11" ht="12.75" customHeight="1" x14ac:dyDescent="0.25">
      <c r="A4" s="67"/>
      <c r="B4" s="66" t="s">
        <v>30</v>
      </c>
      <c r="C4" s="77"/>
      <c r="D4" s="65" t="s">
        <v>31</v>
      </c>
      <c r="E4" s="65"/>
      <c r="F4" s="65"/>
      <c r="G4" s="66"/>
    </row>
    <row r="5" spans="1:11" ht="15.6" customHeight="1" thickBot="1" x14ac:dyDescent="0.3">
      <c r="A5" s="4"/>
      <c r="B5" s="5"/>
      <c r="C5" s="5"/>
      <c r="D5" s="11"/>
      <c r="E5" s="11"/>
      <c r="F5" s="11"/>
      <c r="G5" s="11"/>
      <c r="H5" s="6"/>
      <c r="I5" s="8"/>
      <c r="J5" s="8"/>
      <c r="K5" s="8"/>
    </row>
    <row r="6" spans="1:11" ht="13.5" customHeight="1" thickBot="1" x14ac:dyDescent="0.3">
      <c r="A6" s="7"/>
      <c r="B6" s="2"/>
      <c r="C6" s="3"/>
      <c r="D6" s="3"/>
      <c r="E6" s="3"/>
      <c r="F6" s="68" t="s">
        <v>11</v>
      </c>
      <c r="G6" s="69"/>
      <c r="H6" s="70"/>
      <c r="I6" s="8"/>
      <c r="J6" s="8"/>
      <c r="K6" s="8"/>
    </row>
    <row r="7" spans="1:11" ht="22.95" customHeight="1" thickBot="1" x14ac:dyDescent="0.3">
      <c r="A7" s="7"/>
      <c r="B7" s="16" t="s">
        <v>18</v>
      </c>
      <c r="C7" s="15" t="s">
        <v>33</v>
      </c>
      <c r="D7" s="16" t="s">
        <v>16</v>
      </c>
      <c r="E7" s="17"/>
      <c r="F7" s="12" t="s">
        <v>1</v>
      </c>
      <c r="G7" s="22">
        <v>0</v>
      </c>
      <c r="H7" s="23" t="e">
        <f>G7/$G$10</f>
        <v>#DIV/0!</v>
      </c>
      <c r="I7" s="8"/>
      <c r="J7" s="8"/>
      <c r="K7" s="8"/>
    </row>
    <row r="8" spans="1:11" ht="19.95" customHeight="1" thickBot="1" x14ac:dyDescent="0.3">
      <c r="A8" s="7"/>
      <c r="B8" s="18"/>
      <c r="C8" s="19"/>
      <c r="D8" s="17"/>
      <c r="E8" s="17"/>
      <c r="F8" s="20" t="s">
        <v>2</v>
      </c>
      <c r="G8" s="24">
        <v>0</v>
      </c>
      <c r="H8" s="25" t="e">
        <f t="shared" ref="H8:H9" si="0">G8/$G$10</f>
        <v>#DIV/0!</v>
      </c>
      <c r="I8" s="8"/>
      <c r="J8" s="8" t="s">
        <v>12</v>
      </c>
      <c r="K8" s="8" t="s">
        <v>1</v>
      </c>
    </row>
    <row r="9" spans="1:11" ht="19.5" customHeight="1" thickBot="1" x14ac:dyDescent="0.3">
      <c r="A9" s="7"/>
      <c r="B9" s="14" t="s">
        <v>17</v>
      </c>
      <c r="C9" s="18" t="s">
        <v>34</v>
      </c>
      <c r="D9" s="16" t="s">
        <v>32</v>
      </c>
      <c r="E9" s="17">
        <v>2025</v>
      </c>
      <c r="F9" s="13" t="s">
        <v>3</v>
      </c>
      <c r="G9" s="26">
        <v>0</v>
      </c>
      <c r="H9" s="25" t="e">
        <f t="shared" si="0"/>
        <v>#DIV/0!</v>
      </c>
      <c r="I9" s="8"/>
      <c r="J9" s="8" t="s">
        <v>13</v>
      </c>
      <c r="K9" s="8" t="s">
        <v>14</v>
      </c>
    </row>
    <row r="10" spans="1:11" ht="25.5" customHeight="1" thickBot="1" x14ac:dyDescent="0.3">
      <c r="A10" s="7"/>
      <c r="B10" s="18"/>
      <c r="C10" s="19"/>
      <c r="D10" s="19"/>
      <c r="E10" s="19"/>
      <c r="F10" s="21" t="s">
        <v>4</v>
      </c>
      <c r="G10" s="27">
        <v>0</v>
      </c>
      <c r="H10" s="28" t="e">
        <f>SUM(H7:H9)</f>
        <v>#DIV/0!</v>
      </c>
      <c r="I10" s="8"/>
      <c r="J10" s="8"/>
      <c r="K10" s="8" t="s">
        <v>3</v>
      </c>
    </row>
    <row r="11" spans="1:11" ht="12.6" customHeight="1" thickBot="1" x14ac:dyDescent="0.3">
      <c r="A11" s="7"/>
      <c r="B11" s="2"/>
      <c r="C11" s="3"/>
      <c r="D11" s="3"/>
      <c r="E11" s="3"/>
      <c r="F11" s="3"/>
      <c r="G11" s="3"/>
      <c r="H11" s="3"/>
      <c r="I11" s="8"/>
      <c r="J11" s="8"/>
      <c r="K11" s="8"/>
    </row>
    <row r="12" spans="1:11" ht="18" customHeight="1" x14ac:dyDescent="0.25">
      <c r="A12" s="71" t="s">
        <v>0</v>
      </c>
      <c r="B12" s="71" t="s">
        <v>5</v>
      </c>
      <c r="C12" s="73" t="s">
        <v>6</v>
      </c>
      <c r="D12" s="73" t="s">
        <v>7</v>
      </c>
      <c r="E12" s="75" t="s">
        <v>8</v>
      </c>
      <c r="F12" s="75" t="s">
        <v>9</v>
      </c>
      <c r="G12" s="75" t="s">
        <v>10</v>
      </c>
      <c r="H12" s="75" t="s">
        <v>15</v>
      </c>
      <c r="I12" s="8"/>
      <c r="J12" s="8"/>
      <c r="K12" s="8"/>
    </row>
    <row r="13" spans="1:11" ht="26.25" customHeight="1" thickBot="1" x14ac:dyDescent="0.3">
      <c r="A13" s="72"/>
      <c r="B13" s="72"/>
      <c r="C13" s="74"/>
      <c r="D13" s="74"/>
      <c r="E13" s="76"/>
      <c r="F13" s="76"/>
      <c r="G13" s="76"/>
      <c r="H13" s="76"/>
      <c r="I13" s="8"/>
      <c r="J13" s="8"/>
      <c r="K13" s="8"/>
    </row>
    <row r="14" spans="1:11" ht="120" customHeight="1" x14ac:dyDescent="0.25">
      <c r="A14" s="10">
        <v>1</v>
      </c>
      <c r="B14" s="88" t="s">
        <v>35</v>
      </c>
      <c r="C14" s="83" t="s">
        <v>36</v>
      </c>
      <c r="D14" s="83" t="s">
        <v>37</v>
      </c>
      <c r="E14" s="84" t="s">
        <v>38</v>
      </c>
      <c r="F14" s="85" t="s">
        <v>39</v>
      </c>
      <c r="G14" s="86" t="s">
        <v>40</v>
      </c>
      <c r="H14" s="29"/>
      <c r="I14" s="8"/>
      <c r="J14" s="8"/>
      <c r="K14" s="8"/>
    </row>
    <row r="15" spans="1:11" ht="160.80000000000001" customHeight="1" x14ac:dyDescent="0.25">
      <c r="A15" s="9">
        <v>2</v>
      </c>
      <c r="B15" s="88" t="s">
        <v>41</v>
      </c>
      <c r="C15" s="83" t="s">
        <v>42</v>
      </c>
      <c r="D15" s="83" t="s">
        <v>43</v>
      </c>
      <c r="E15" s="84" t="s">
        <v>38</v>
      </c>
      <c r="F15" s="85" t="s">
        <v>39</v>
      </c>
      <c r="G15" s="86" t="s">
        <v>40</v>
      </c>
      <c r="H15" s="30"/>
      <c r="I15" s="8"/>
      <c r="J15" s="8"/>
      <c r="K15" s="8"/>
    </row>
    <row r="16" spans="1:11" ht="90.75" customHeight="1" x14ac:dyDescent="0.25">
      <c r="A16" s="9">
        <v>3</v>
      </c>
      <c r="B16" s="88" t="s">
        <v>44</v>
      </c>
      <c r="C16" s="83" t="s">
        <v>45</v>
      </c>
      <c r="D16" s="83" t="s">
        <v>46</v>
      </c>
      <c r="E16" s="83" t="s">
        <v>46</v>
      </c>
      <c r="F16" s="83" t="s">
        <v>46</v>
      </c>
      <c r="G16" s="83" t="s">
        <v>46</v>
      </c>
      <c r="H16" s="30"/>
      <c r="I16" s="8"/>
      <c r="J16" s="8"/>
      <c r="K16" s="8"/>
    </row>
    <row r="17" spans="1:12" ht="85.2" customHeight="1" x14ac:dyDescent="0.25">
      <c r="A17" s="9">
        <v>4</v>
      </c>
      <c r="B17" s="88" t="s">
        <v>47</v>
      </c>
      <c r="C17" s="83" t="s">
        <v>48</v>
      </c>
      <c r="D17" s="83" t="s">
        <v>49</v>
      </c>
      <c r="E17" s="84" t="s">
        <v>38</v>
      </c>
      <c r="F17" s="85" t="s">
        <v>39</v>
      </c>
      <c r="G17" s="86" t="s">
        <v>40</v>
      </c>
      <c r="H17" s="30"/>
      <c r="I17" s="8"/>
      <c r="J17" s="8"/>
      <c r="K17" s="8"/>
    </row>
    <row r="18" spans="1:12" ht="85.2" customHeight="1" x14ac:dyDescent="0.25">
      <c r="A18" s="34">
        <v>5</v>
      </c>
      <c r="B18" s="88" t="s">
        <v>50</v>
      </c>
      <c r="C18" s="83" t="s">
        <v>51</v>
      </c>
      <c r="D18" s="83" t="s">
        <v>52</v>
      </c>
      <c r="E18" s="83" t="s">
        <v>46</v>
      </c>
      <c r="F18" s="83" t="s">
        <v>46</v>
      </c>
      <c r="G18" s="86" t="s">
        <v>40</v>
      </c>
      <c r="H18" s="82"/>
      <c r="I18" s="8"/>
      <c r="J18" s="8"/>
      <c r="K18" s="8"/>
    </row>
    <row r="19" spans="1:12" ht="131.4" customHeight="1" x14ac:dyDescent="0.25">
      <c r="A19" s="34">
        <v>6</v>
      </c>
      <c r="B19" s="88" t="s">
        <v>53</v>
      </c>
      <c r="C19" s="83" t="s">
        <v>54</v>
      </c>
      <c r="D19" s="83" t="s">
        <v>37</v>
      </c>
      <c r="E19" s="84" t="s">
        <v>38</v>
      </c>
      <c r="F19" s="85" t="s">
        <v>39</v>
      </c>
      <c r="G19" s="86" t="s">
        <v>40</v>
      </c>
      <c r="H19" s="82"/>
      <c r="I19" s="8"/>
      <c r="J19" s="8"/>
      <c r="K19" s="8"/>
    </row>
    <row r="20" spans="1:12" ht="85.2" customHeight="1" thickBot="1" x14ac:dyDescent="0.3">
      <c r="A20" s="34">
        <v>7</v>
      </c>
      <c r="B20" s="88" t="s">
        <v>55</v>
      </c>
      <c r="C20" s="83" t="s">
        <v>56</v>
      </c>
      <c r="D20" s="83" t="s">
        <v>57</v>
      </c>
      <c r="E20" s="85" t="s">
        <v>38</v>
      </c>
      <c r="F20" s="87" t="s">
        <v>58</v>
      </c>
      <c r="G20" s="86" t="s">
        <v>40</v>
      </c>
      <c r="H20" s="82"/>
      <c r="I20" s="8"/>
      <c r="J20" s="8"/>
      <c r="K20" s="8"/>
    </row>
    <row r="21" spans="1:12" ht="174.6" customHeight="1" thickBot="1" x14ac:dyDescent="0.3">
      <c r="A21" s="34">
        <v>8</v>
      </c>
      <c r="B21" s="88" t="s">
        <v>59</v>
      </c>
      <c r="C21" s="83" t="s">
        <v>60</v>
      </c>
      <c r="D21" s="89" t="s">
        <v>61</v>
      </c>
      <c r="E21" s="85" t="s">
        <v>38</v>
      </c>
      <c r="F21" s="87" t="s">
        <v>58</v>
      </c>
      <c r="G21" s="86" t="s">
        <v>40</v>
      </c>
      <c r="H21" s="35"/>
      <c r="I21" s="8"/>
      <c r="J21" s="8"/>
      <c r="K21" s="8"/>
    </row>
    <row r="22" spans="1:12" ht="45" customHeight="1" thickBot="1" x14ac:dyDescent="0.3">
      <c r="A22" s="36" t="s">
        <v>29</v>
      </c>
      <c r="B22" s="37"/>
      <c r="C22" s="38" t="s">
        <v>22</v>
      </c>
      <c r="D22" s="38"/>
      <c r="E22" s="39" t="s">
        <v>23</v>
      </c>
      <c r="F22" s="39"/>
      <c r="G22" s="39" t="s">
        <v>24</v>
      </c>
      <c r="H22" s="40"/>
      <c r="I22" s="33"/>
      <c r="J22" s="31" t="s">
        <v>25</v>
      </c>
    </row>
    <row r="23" spans="1:12" x14ac:dyDescent="0.25">
      <c r="A23" s="41"/>
      <c r="B23" s="47"/>
      <c r="C23" s="48"/>
      <c r="D23" s="48"/>
      <c r="E23" s="46"/>
      <c r="F23" s="42"/>
      <c r="G23" s="42"/>
      <c r="H23" s="42"/>
      <c r="I23" s="32"/>
      <c r="J23" s="32"/>
      <c r="L23" s="45"/>
    </row>
    <row r="24" spans="1:12" ht="41.25" customHeight="1" x14ac:dyDescent="0.25">
      <c r="A24" s="80"/>
      <c r="B24" s="81"/>
      <c r="C24" s="51"/>
      <c r="D24" s="52"/>
      <c r="E24" s="44"/>
      <c r="F24" s="44"/>
      <c r="G24" s="43"/>
      <c r="H24" s="51"/>
      <c r="I24" s="78" t="s">
        <v>27</v>
      </c>
      <c r="J24" s="79"/>
    </row>
    <row r="25" spans="1:12" x14ac:dyDescent="0.25">
      <c r="A25" s="58"/>
      <c r="B25" s="61" t="s">
        <v>26</v>
      </c>
      <c r="C25" s="56"/>
      <c r="D25" s="55"/>
      <c r="E25" s="62" t="s">
        <v>28</v>
      </c>
      <c r="F25" s="63"/>
      <c r="G25" s="64"/>
      <c r="H25" s="54"/>
      <c r="L25" s="45"/>
    </row>
    <row r="26" spans="1:12" x14ac:dyDescent="0.25">
      <c r="A26" s="49"/>
      <c r="B26" s="59"/>
      <c r="C26" s="54"/>
      <c r="D26" s="53"/>
      <c r="E26" s="56"/>
      <c r="F26" s="54"/>
      <c r="G26" s="57"/>
      <c r="H26" s="54"/>
    </row>
    <row r="27" spans="1:12" x14ac:dyDescent="0.25">
      <c r="A27" s="50"/>
      <c r="C27" s="53"/>
      <c r="D27" s="53"/>
    </row>
    <row r="29" spans="1:12" x14ac:dyDescent="0.25">
      <c r="C29" s="60"/>
    </row>
    <row r="30" spans="1:12" x14ac:dyDescent="0.25">
      <c r="C30" s="53"/>
    </row>
  </sheetData>
  <dataConsolidate/>
  <mergeCells count="18">
    <mergeCell ref="A1:A4"/>
    <mergeCell ref="B4:C4"/>
    <mergeCell ref="I24:J24"/>
    <mergeCell ref="A24:B24"/>
    <mergeCell ref="A12:A13"/>
    <mergeCell ref="E25:G25"/>
    <mergeCell ref="D4:G4"/>
    <mergeCell ref="B1:H1"/>
    <mergeCell ref="B2:H2"/>
    <mergeCell ref="B3:H3"/>
    <mergeCell ref="F6:H6"/>
    <mergeCell ref="B12:B13"/>
    <mergeCell ref="C12:C13"/>
    <mergeCell ref="D12:D13"/>
    <mergeCell ref="E12:E13"/>
    <mergeCell ref="F12:F13"/>
    <mergeCell ref="G12:G13"/>
    <mergeCell ref="H12:H13"/>
  </mergeCells>
  <conditionalFormatting sqref="H14:H21">
    <cfRule type="containsText" dxfId="4" priority="1" operator="containsText" text="EN GESTION">
      <formula>NOT(ISERROR(SEARCH("EN GESTION",H14)))</formula>
    </cfRule>
    <cfRule type="containsText" dxfId="3" priority="2" operator="containsText" text="SIN AVANCE">
      <formula>NOT(ISERROR(SEARCH("SIN AVANCE",H14)))</formula>
    </cfRule>
    <cfRule type="containsText" dxfId="2" priority="3" operator="containsText" text="CUMPLIDAS">
      <formula>NOT(ISERROR(SEARCH("CUMPLIDAS",H14)))</formula>
    </cfRule>
    <cfRule type="containsText" dxfId="1" priority="4" operator="containsText" text="SIN AVANCE">
      <formula>NOT(ISERROR(SEARCH("SIN AVANCE",H14)))</formula>
    </cfRule>
    <cfRule type="expression" dxfId="0" priority="5">
      <formula>$H$14</formula>
    </cfRule>
  </conditionalFormatting>
  <dataValidations count="1">
    <dataValidation type="list" allowBlank="1" showInputMessage="1" showErrorMessage="1" sqref="H14:H21" xr:uid="{00000000-0002-0000-0000-00000000000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POLITICA MIPG</vt:lpstr>
      <vt:lpstr>'POLITICA MIPG'!Área_de_impresión</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Sara Lozano Hernandez</cp:lastModifiedBy>
  <cp:lastPrinted>2025-10-27T17:25:47Z</cp:lastPrinted>
  <dcterms:created xsi:type="dcterms:W3CDTF">2014-12-09T04:54:47Z</dcterms:created>
  <dcterms:modified xsi:type="dcterms:W3CDTF">2026-03-16T21:00:54Z</dcterms:modified>
</cp:coreProperties>
</file>