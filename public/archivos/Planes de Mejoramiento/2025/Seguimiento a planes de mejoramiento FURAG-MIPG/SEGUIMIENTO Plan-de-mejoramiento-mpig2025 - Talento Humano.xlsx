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6A221A76-1E0E-4E02-BD98-CBF49852914A}" xr6:coauthVersionLast="47" xr6:coauthVersionMax="47" xr10:uidLastSave="{00000000-0000-0000-0000-000000000000}"/>
  <bookViews>
    <workbookView xWindow="-120" yWindow="-120" windowWidth="29040" windowHeight="15720" activeTab="2" xr2:uid="{00000000-000D-0000-FFFF-FFFF00000000}"/>
  </bookViews>
  <sheets>
    <sheet name="POLITICA MIPG" sheetId="37" r:id="rId1"/>
    <sheet name="INTEGRIDAD " sheetId="38" r:id="rId2"/>
    <sheet name="ACOSO LABORAL" sheetId="39" r:id="rId3"/>
  </sheets>
  <definedNames>
    <definedName name="_xlnm._FilterDatabase" localSheetId="2" hidden="1">'ACOSO LABORAL'!$D$13:$D$16</definedName>
    <definedName name="_xlnm._FilterDatabase" localSheetId="1" hidden="1">'INTEGRIDAD '!$D$13:$D$16</definedName>
    <definedName name="_xlnm._FilterDatabase" localSheetId="0" hidden="1">'POLITICA MIPG'!$D$13:$D$16</definedName>
    <definedName name="_xlnm.Print_Area" localSheetId="2">'ACOSO LABORAL'!$A$1:$H$24</definedName>
    <definedName name="_xlnm.Print_Area" localSheetId="1">'INTEGRIDAD '!$A$1:$H$52</definedName>
    <definedName name="_xlnm.Print_Area" localSheetId="0">'POLITICA MIPG'!$A$1:$H$36</definedName>
    <definedName name="_xlnm.Print_Titles" localSheetId="2">'ACOSO LABORAL'!$12:$13</definedName>
    <definedName name="_xlnm.Print_Titles" localSheetId="1">'INTEGRIDAD '!$12:$13</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9" l="1"/>
  <c r="H8" i="39"/>
  <c r="H7" i="39"/>
  <c r="H9" i="38"/>
  <c r="H8" i="38"/>
  <c r="H7" i="38"/>
  <c r="H9" i="37"/>
  <c r="H7" i="37"/>
  <c r="H8" i="37"/>
  <c r="H10" i="38" l="1"/>
  <c r="H10" i="39"/>
  <c r="H10" i="37"/>
</calcChain>
</file>

<file path=xl/sharedStrings.xml><?xml version="1.0" encoding="utf-8"?>
<sst xmlns="http://schemas.openxmlformats.org/spreadsheetml/2006/main" count="466" uniqueCount="220">
  <si>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</si>
  <si>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</si>
  <si>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</si>
  <si>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</si>
  <si>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</si>
  <si>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</si>
  <si>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</si>
  <si>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</si>
  <si>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</si>
  <si>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</si>
  <si>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</si>
  <si>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</si>
  <si>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</si>
  <si>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</si>
  <si>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</si>
  <si>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</si>
  <si>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</si>
  <si>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</si>
  <si>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</si>
  <si>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</si>
  <si>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</si>
  <si>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</si>
  <si>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</si>
  <si>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</si>
  <si>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</si>
  <si>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</si>
  <si>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</si>
  <si>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</si>
  <si>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</si>
  <si>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Incorporar actividades que promuevan la inclusión y la diversidad (personas con discapacidad) en la planeación del talento humano de la entidad.</t>
  </si>
  <si>
    <t>A la fecha no se ha implementado esta recomendación, dado que la planta de personal del Concejo Municipal de Chía está compuesta por 19 funcionarios, de los cuales 12 pertenecen a carrera administrativa, y no se cuenta actualmente con vacantes disponibles que permitan incorporar acciones de inclusión laboral dirigidas a personas con discapacidad.</t>
  </si>
  <si>
    <t>Resolución No 015 de 2021 POR LA CUAL SE ADOPTA Y ESTABLECE EL MANUAL ESPECÍFICO DE FUNCIONES, REQUISITOS Y COMPETENCIAS LABORALES DE LA PLANTA DE EMPLEOS DEL CONCEJO MUNICIPAL DE CHÍA, Y SE DICTAN OTRAS DISPOSICIONES   https://www.concejomunicipalchia.gov.co/views/manual.php</t>
  </si>
  <si>
    <t>Talento Humano</t>
  </si>
  <si>
    <t>Incorporar actividades que promuevan la inclusión y la diversidad (jóvenes entre los 18 y 28 años y género) en la planeación del talento humano de la entidad.</t>
  </si>
  <si>
    <t>A la fecha, no se ha implementado la recomendación, dado que la planta de personal del Concejo Municipal de Chía está compuesta por 19 funcionarios (12 de carrera administrativa) y no se cuenta con vacantes disponibles que permitan incorporar nuevas acciones de inclusión laboral dirigidas a personas con discapacidad, jóvenes o enfoque de género.</t>
  </si>
  <si>
    <t>abril/2026</t>
  </si>
  <si>
    <t xml:space="preserve">Incorporar actividades para preparar a los servidores públicos que se retiran de la entidad por distintas causas en la planeación del talento humano de la entidad.
</t>
  </si>
  <si>
    <t>Se han generado charlas de preparación para el retiro laboral, con talleres de orientación pensional y diplomado  manejo del cambio.</t>
  </si>
  <si>
    <t>registros de asistencia a charlas y certificado de Diplomado. Las evidencias se encuentran en carpeta fisica de capacitación y Bienestar  Social y compartida  del sistema gestión de calidad  seguimiento de planes. \\10.10.12.157\compartida\SGC CONCEJO CHIA 2025\12. Seguimiento Planes Institucionales 2025\Segundo seguimiento 2025\Matrices de segundo seguimiento\2. TALENTO HUMANO</t>
  </si>
  <si>
    <t>abril/26</t>
  </si>
  <si>
    <t>Definir indicadores de desempeño que permitan medir el impacto de las nuevas funciones o metas asignadas a la entidad en relación con los productos y/o servicios prestados, así como en la ampliación de la cobertura institucional.</t>
  </si>
  <si>
    <t>Se establecieron para la vigencia 2025 los indicadores del Plan de Acción  y los indicadores del Sistema de Gestión de la Calidad, sobre los cuales se realiza seguimiento  para verificar su cumplimiento y avance en los objetivos estratégicos de la entidad.</t>
  </si>
  <si>
    <t>Las evidencias se encuentran disponibles en la carpeta compartida del Sistema de Gestión de la Calidad, donde reposan los reportes de seguimiento y cumplimiento de los indicadores institucionales.   \\10.10.12.157\compartida\SGC CONCEJO CHIA 2025\8. Indicadores\Ind. Gest. admin finan y TH</t>
  </si>
  <si>
    <t>Evaluar el modelo de operación de la entidad y las distintas modalidades legales, para la eficiente y eficaz prestación de los servicios para cumplir con lo establecido en el Decreto 1800 de 2019.</t>
  </si>
  <si>
    <t>Actualmente no se tiene prevista una reestructuración de la planta de personal; sin embargo, se han contratado funcionarios bajo el modelo OPS como apoyo a la gestión. Para evaluar la eficiencia, se han ajustado los procesos y procedimientos internos, garantizando la correcta prestación de los servicios</t>
  </si>
  <si>
    <t>Las evidencias se encuentran disponibles en la carpeta compartida del Sistema de Gestión de la Calidad, donde reposan procesos y procedimientos  y 'Resolución No 015 de 2021 POR LA CUAL SE ADOPTA Y ESTABLECE EL MANUAL ESPECÍFICO DE FUNCIONES, REQUISITOS Y COMPETENCIAS LABORALES DE LA PLANTA DE EMPLEOS DEL CONCEJO MUNICIPAL DE CHÍA, Y SE DICTAN OTRAS DISPOSICIONES   https://www.concejomunicipalchia.gov.co/views/manual.php</t>
  </si>
  <si>
    <t>Revisar los objetos de los contratos de prestación de servicios, cuando a ello hubiere lugar, garantizando que se ajusten a los parámetros señalados en Ley 80 de 1993 y a la jurisprudencia de las Altas Cortes.</t>
  </si>
  <si>
    <t>Para la vigencia 2025, el asesor de contratación verifica que los contratos cumplan con los requisitos mínimos establecidos por la Ley 80 de 1993, asegurando que los objetos contractuales se ajusten a la normatividad vigente y a los lineamientos  aplicables.</t>
  </si>
  <si>
    <t>Asesor de contratacion</t>
  </si>
  <si>
    <t>Adelantar los estudios técnicos que soporten la ampliación de la planta de personal en cumplimiento de lo establecido en el Decreto 1800 de 2019.</t>
  </si>
  <si>
    <t>Actualmente no se tiene prevista una reestructuración de la planta de personal. No obstante, esta decisión depende de la Mesa Directiva, quien podrá adelantar los estudios técnicos pertinentes en caso de considerarse necesaria la ampliación o modificación de la planta, conforme a las disposiciones del Decreto 1800 de 2019.</t>
  </si>
  <si>
    <t>Mesa Directiva</t>
  </si>
  <si>
    <t>Implementar un programa de inducción dirigido a todos los servidores que se ejecute preferiblemente por lo menos en los primeros dos meses o antes a partir de la posesión de estos e incluya obligatoriamente la realización del Curso Virtual Integridad, Transparencia y Lucha contra la Corrupción.</t>
  </si>
  <si>
    <t>Para la vigencia 2025, se llevaron a cabo jornadas de inducción dirigidas a los funcionarios que ingresaron a la corporación, así como sesiones de reinducción para todos los servidores, en las cuales se les orientó y se les indicó la obligatoriedad de realizar el Curso Virtual de Integridad, Transparencia y Lucha contra la Corrupción</t>
  </si>
  <si>
    <t>las evidencias reposan en la carpeta fisica de capacitación  y en la carpeta compartida  en seguimiento de planes \\10.10.12.157\compartida\SGC CONCEJO CHIA 2025\12. Seguimiento Planes Institucionales 2025</t>
  </si>
  <si>
    <t>Aplicar las pruebas necesarias para garantizar la idoneidad de los candidatos al empleo de modo que se pueda llevar a cabo la selección de un gerente público o de un servidor de libre nombramiento y remoción. Desde el sistema de control interno efectuar su verificación.</t>
  </si>
  <si>
    <t>Se realiza verificación de los actos administrativos y que se cumpla con los requisitos que estable  el manual de funciones para ocupar el cargo establecido</t>
  </si>
  <si>
    <t xml:space="preserve">Las evidencias actos administrativos se encuentran en las historias laborales de cada fuincionario y en la pagina web de la corporación </t>
  </si>
  <si>
    <t>Implementar acciones de mejora con base en los resultados de medición del clima laboral y documentar el proceso. Desde el sistema de control interno efectuar su verificación.</t>
  </si>
  <si>
    <t>Durante la vigencia 2025, se realizó la medición del clima laboral en la entidad a través de la Caja de Compensación, con el fin de identificar áreas de mejora en el ambiente organizacional y fortalecer el bienestar del personal. Con base en los resultados, se implementaron diversas acciones de mejora orientadas a mitigar los factores identificados. El Jefe de Control Interno realizó la verificación del cumplimiento de las acciones implementadas,</t>
  </si>
  <si>
    <t>las evidencias estan en la carpeta fisica de bienestar social y plan de incentivos institucionales  y en carpeta compartida en seguimiento de planes \\10.10.12.157\compartida\SGC CONCEJO CHIA 2025\12. Seguimiento Planes Institucionales 2025</t>
  </si>
  <si>
    <t>Implementar la estrategia salas amigas de la familia lactante, en cumplimiento a lo establecido en la Ley 1823 de 2017.</t>
  </si>
  <si>
    <t>No se ha implemetado estrategia salas amigas de la familia lactante, actualmente no hay espacio instalación,  ni recursos</t>
  </si>
  <si>
    <t>n/a</t>
  </si>
  <si>
    <t>abril/25</t>
  </si>
  <si>
    <t>Promover en la entidad el uso de la bicicleta por parte de los servidores públicos, en cumplimiento de lo establecido en la Ley 1811 de 2016.</t>
  </si>
  <si>
    <t>En la vigencia 2025 se promovio uso de la bicicleta  por medio de acto administrativo</t>
  </si>
  <si>
    <t>Evidencia Resolución Resolución 089 de 2025, del 03 de octubre, “Por medio de la cual se reglamenta el incentivo por el uso de la bicicleta o patineta eléctrica como medio de transporte hacia el lugar de trabajo para los funcionarios públicos del Concejo Municipal de Chía, y se dictan otras disposiciones”. se socializo por medio de correo electronico</t>
  </si>
  <si>
    <t>Elaborar un protocolo de atención dirigido a los servidores públicos frente a los casos de acoso laboral.</t>
  </si>
  <si>
    <t>En la vigencia 2025 el comité de convivencia  tuvo jornadas de capacitacion  para asi tener claro casos de acoso laboral.</t>
  </si>
  <si>
    <t>Las evidencias se encuentran en las carpeta fisica de comité de convivencia  y een el p´lan anual de capacitación del SG-SST carpeta compartida  en seguimiento de planes \\10.10.12.157\compartida\SGC CONCEJO CHIA 2025\12. Seguimiento Planes Institucionales 2025</t>
  </si>
  <si>
    <t>abril/2025</t>
  </si>
  <si>
    <t>asesor profesional SG-SST</t>
  </si>
  <si>
    <t>Desarrollar un diagnóstico de la accesibilidad y análisis de los puestos de trabajo con recomendaciones para la implementación de ajustes razonables de acuerdo con los servidores públicos vinculados, en especial aquellos con discapacidad.</t>
  </si>
  <si>
    <t>Para la elaboración de plan institucional de capacitación (PIC) teniendo en cuenta la priorización de recursos en materia de capacitación y formación.</t>
  </si>
  <si>
    <t>Durante la vigencia 2025, se proyectó y desarrolló el Plan Institucional de Capacitación, con el objetivo de fortalecer las competencias y habilidades del personal de la entidad.Se planificaron las actividades de capacitación teniendo en cuenta los recursos disponibles.nSe ejecutó un Diplomado como parte de la formación continua del personal, garantizando el desarrollo profesional y el cumplimiento de objetivos institucionales.</t>
  </si>
  <si>
    <t>Las evidencias  Registro del Plan Institucional de Capacitación 2025. Listados asistencia de participantes y certificaciones del diplomado. Documentación archivada en carpetas físicas y digitales de seguimiento de capacitación. carpeta compartida  en seguimiento de planes \\10.10.12.157\compartida\SGC CONCEJO CHIA 2025\12. Seguimiento Planes Institucionales 2025</t>
  </si>
  <si>
    <t>Incluir la vigilancia de la salud de los servidores en la aplicación del Sistema de Gestión de Seguridad y Salud en el Trabajo.</t>
  </si>
  <si>
    <t>'Durante la vigencia 2025 se ejecuto evaluaciones médicas ocupacionales, programa de vigilancia epidemiológica DME, ejecución de campañas y programas de prevención de riesgos laborales.</t>
  </si>
  <si>
    <t>Las evidencias se encuentran en las carpetas fisicas del SG-SST y la carpeta compartida 13.SG-SST</t>
  </si>
  <si>
    <t>Asesor profesional SG-SST</t>
  </si>
  <si>
    <t>Contemplar la prevención, preparación y respuestas ante emergencias para la aplicación del Sistema de Gestión de Seguridad y Salud en el Trabajo.</t>
  </si>
  <si>
    <t xml:space="preserve">Durante la vigencia 2025, se realiza actualizacion del Plan prevención, preparación y respuestas ante emergencias, conformación y capacitación de la Brigada de Emergencia, definición de rutas de evacuación, puntos de encuentro y señalización de seguridad, dotación de equipos de emergencia (extintores  y botiquines) con su respectivo mantenimiento y ejecución de simulacro de evacuación </t>
  </si>
  <si>
    <t>'Las evidencias se encuentran en las carpetas fisicas del SG-SST y la carpeta compartida 13.SG-SST</t>
  </si>
  <si>
    <t>Contemplar los cambios internos o externos que afecten las condiciones de trabajo o el entorno laboral en la aplicación del Sistema de Gestión de Seguridad y Salud en el Trabajo.</t>
  </si>
  <si>
    <t>Durante la vigencia 2025, se realiza seguimiento permanente a los factores de cambio que puedan influir en las condiciones laborales o de seguridad, definiendo las acciones preventivas o correctivas necesarias</t>
  </si>
  <si>
    <r>
      <t xml:space="preserve">Las evidencias se encuentran disponibles en los expedientes físicos de los contratos y en los registros publicados en el </t>
    </r>
    <r>
      <rPr>
        <b/>
        <sz val="11"/>
        <color theme="1"/>
        <rFont val="Arial Narrow"/>
        <family val="2"/>
      </rPr>
      <t>SECOP</t>
    </r>
  </si>
  <si>
    <t>VIGENCIA: 2025</t>
  </si>
  <si>
    <t>PERÍODO: Primer Semestre 2026</t>
  </si>
  <si>
    <t>SEGUIMIENTO A POLÍTICA: Gestión Estratégica del Talento Humano</t>
  </si>
  <si>
    <t>Designar un líder, área o grupo de trabajo responsable de la implementación de las acciones en materia de integridad.</t>
  </si>
  <si>
    <t>Durante la vigencia 2025, ha sido responsable de la implementación y seguimiento el técnico-administrativos del área de Talento Humano, garantizando el cumplimiento de las políticas institucionales y el fortalecimiento de la gestión del recurso humano</t>
  </si>
  <si>
    <t>la evidencia esta en la carpeta fisica de bienestar social e incentivos y carpeta compartida des sistema de gestión de calidad carpeta compartida  en seguimiento de planes \\10.10.12.157\compartida\SGC CONCEJO CHIA 2025\12. Seguimiento Planes Institucionales 2025</t>
  </si>
  <si>
    <t>ABRIL/2026</t>
  </si>
  <si>
    <t>TALENTO HUMANO</t>
  </si>
  <si>
    <t>Evaluar y hacer seguimiento a la implementación de las acciones en materia de integridad.</t>
  </si>
  <si>
    <t>Se realiza seguimiento por medio de PTEP 2025</t>
  </si>
  <si>
    <t>en las publicaciones  cuatrimestrales en la pagina web de la corporacion https://www.concejomunicipalchia.gov.co/views/infoley.php?pagina=1#gsc.tab=0</t>
  </si>
  <si>
    <t>Generar indicadores que permitan hacer seguimiento y evaluación a la implementación de las acciones en materia de integridad.</t>
  </si>
  <si>
    <t>Se encuentran en PTEP 2025</t>
  </si>
  <si>
    <t>en las publicaciones  cuatrimestrales en la pagina web de la corporacion hhttps://concejomunicipalchia.gov.co/documentos/trans/PROGRAMA%20DE%20TRANSPARENCIA%20Y%20ETICA%20PUBLICA%202025.pdf</t>
  </si>
  <si>
    <t>Tener en cuenta los resultados de las mediciones anteriores del Índice de Desempeño Institucional en la política de integridad pública u otras mediciones realizadas donde se hayan incluido temas de integridad como instrumento para evaluar el estado de la política de integridad pública.</t>
  </si>
  <si>
    <t>Los resultados del  FURAG 2024 para la politica de integridad fue de 36.3 dentro de las medidas adoptadas por la corporación fue la modificacion del codigo de integridad y buen gobierno la inclusión de conflicto de intereses</t>
  </si>
  <si>
    <t xml:space="preserve">Acto Administrativo RESOLUCIÓN No. 072 DE 2025 (01 de Agosto) “POR MEDIO DE LA CUAL SE ADOPTA EL CÓDIGO DE INTEGRIDAD DEL SERVIDOR PÚBLICO Y EL BUEN GOBIERNO DEL CONCEJO MUNICIPAL DE CHÍA, SE DEROGA LA RESOLUCIÓN No. 045 DE 2022 Y SE DICTAN OTRAS DISPOSICIONES se socializo por medio de correo elecyronico a los funcionarios y concejales </t>
  </si>
  <si>
    <t>Generar encuestas internas para evaluar la apropiación del Código de Integridad del Servicio Público, el desarrollo de la cultura de integridad pública y la gestión de conflictos de intereses.</t>
  </si>
  <si>
    <t>Se genero acta de compromiso de integridad y buen gobierno donde lo firmaron los funcionarios de planta</t>
  </si>
  <si>
    <t xml:space="preserve">formato que se encuentra en la carpeta  fisica SGC. </t>
  </si>
  <si>
    <t>Utilizar los informes internos sobre la gestión de riesgos; financieros; de control interno; planeación, entre otros, para evaluar el estado de la política de integridad pública.</t>
  </si>
  <si>
    <t xml:space="preserve">Se recomendara incluir en el mapa de riesgos de la corporación para la vigencia 2026 </t>
  </si>
  <si>
    <t>mapa de riesgo de corrupcion 2026</t>
  </si>
  <si>
    <t>Dirección administrativa y financiera</t>
  </si>
  <si>
    <t>Tener en cuenta el reporte del cumplimiento de la Ley 2013 de 2019 (Aplicativo por la Integridad Pública) y el Decreto 830 del 2021 para evaluar el estado de la política de integridad pública.</t>
  </si>
  <si>
    <t xml:space="preserve">Se revisa de forma periodica SIGEP II y plataforma de integridad publica </t>
  </si>
  <si>
    <t>plataforma sigep II y plataforma integridad publica https://www.funcionpublica.gov.co/fdci/login/auth</t>
  </si>
  <si>
    <t>Utilizar otros informes o estudios (Encuesta de percepción del Desempeño Institucional del Departamento Nacional de Estadística - DANE, lineamientos internacionales - OCDE, ONU, entre otros) para evaluar el estado de la política de integridad pública.</t>
  </si>
  <si>
    <t>se planteara a la mesa directiva 2026 y direccionamiento estrategico de medio de persepción y estadistica de esta politica</t>
  </si>
  <si>
    <t>Informe  o Encuesta</t>
  </si>
  <si>
    <t xml:space="preserve">Incluir capacitaciones sobre integridad pública en el Plan Institucional de Capacitación - PIC de la entidad, como mecanismo para fomentar la apropiación de los valores del Código de Integridad del Servicio Público.
</t>
  </si>
  <si>
    <t>Se realizaron las respectivas capacitaciones y el curso de Integridad del DAFP</t>
  </si>
  <si>
    <t>Evidencias expedientes contractuales y hojas de vida</t>
  </si>
  <si>
    <t>Desarrollar las actividades propuestas en materia de integridad utilizando la caja de herramientas dispuesta por Función Pública a los servidores públicos y contratistas.</t>
  </si>
  <si>
    <t>Se propondra realizar autoevaluación mediante la caja de harramientas</t>
  </si>
  <si>
    <t>autodiagnostico</t>
  </si>
  <si>
    <t>Capacitar a los servidores públicos y contratistas en la identificación, declaración y gestión de posibles conflictos de interés.</t>
  </si>
  <si>
    <t>Gestionar de acuerdo con el procedimiento interno las recusaciones y posibles conflictos de interés informados por los servidores públicos o contratistas de la entidad.</t>
  </si>
  <si>
    <t>Recepción de recusaciones y conflictos de interés reportados por servidores públicos o contratistas. Verificación de la información recibida y análisis preliminar según procedimiento interno. Remisión o coordinación con los entes de control cuando sea competencia de ellos (contraloría, procuraduría, comités de ética).</t>
  </si>
  <si>
    <t>Registro formal de recusaciones o conflictos de interés recibidos (formularios, correos electrónicos, actas).</t>
  </si>
  <si>
    <t>Incorporar elementos mínimos de integridad pública en los procesos de contratación con personas jurídicas, como la revisión de la constitución de las personas jurídicas para la verificación de posibles conflictos de intereses de sus socios, junta directiva y representante legal.</t>
  </si>
  <si>
    <t>La verificación estará a cargo del asesor de contratación, quien deberá efectuarla conforme a los parámetros y procedimientos establecidos para cada contrato.solicitar y revisar certificaciones o declaraciones sobre antecedentes éticos y legales de la persona jurídica y sus representantes.</t>
  </si>
  <si>
    <t>Declaraciones firmadas, certificaciones de no inhabilitación, constancias de antecedentes disciplinarios o judiciales.</t>
  </si>
  <si>
    <t>Incorporar elementos mínimos de integridad pública en los procesos de contratación con personas jurídicas, como la verificación de estados financieros con notas para identificar posibles riesgos de corrupción.</t>
  </si>
  <si>
    <t>Se incorporaran en la mapa de riesgos de corrupción 2026</t>
  </si>
  <si>
    <t>Difundir los resultados de la documentación y sistematización de las buenas prácticas en materia de integridad con sus grupos de valor y usuarios interesados.</t>
  </si>
  <si>
    <t>Se difundio los resultados a los grupos de valor y usuarios interesados mediante canales adecuados (correo electrónico, sitio web institucional, redes sociales, talleres o webinars).</t>
  </si>
  <si>
    <t>Evidencia de envío de boletines, publicaciones en web o redes sociales, registros de asistencia a talleres, actas de reuniones o webinars.</t>
  </si>
  <si>
    <t>Implementar acciones de mejora institucional como resultado de la documentación y sistematización de lecciones aprendidas en la mejora continua de la política de integridad pública.</t>
  </si>
  <si>
    <t>Se implementaron talleres, capacitaciones programas de formación para el personal sobre integridad, ética y transparencia, incorporando casos reales documentados</t>
  </si>
  <si>
    <t>Registros de asistencia, registros que estan en carpeta fisica de capacitación y bienestar social</t>
  </si>
  <si>
    <t>Llevar a cabo espacios internos de construcción, co-creación e implementación de lineamientos para la gestión adecuada de conflictos de intereses, y el fortalecimiento de los valores del servicio público.</t>
  </si>
  <si>
    <t>Talleres y sesiones participativas con funcionarios para identificar situaciones de riesgo y buenas prácticas. Socialización y adopción de estos lineamientos en la institución, reforzando los valores de ética, transparencia y responsabilidad en el servicio público.</t>
  </si>
  <si>
    <t xml:space="preserve">Registros de asistencia, registros que estan en carpeta fisica de capacitación y bienestar social  y acta de compromiso de integridad y buen gobierno firmada por funcionarios </t>
  </si>
  <si>
    <t>Adelantar acciones que permitan evaluar instrumentos para la gestión de conflictos de interés, entre las cuales se encuentran: la definición de un protocolo o procedimiento para las instancias internas (área, grupo trabajo, comité institucional) respecto al seguimiento y trazabilidad de las situaciones manifestadas como conflictos de interés.</t>
  </si>
  <si>
    <t xml:space="preserve"> dentro de las medidas adoptadas por la corporación fue la modificacion del codigo de integridad y buen gobierno la inclusión de conflicto de intereses, donde establece los lineamientos para conflicto de interes</t>
  </si>
  <si>
    <t xml:space="preserve">Adelantar acciones que permitan evaluar los instrumentos para la gestión de conflictos de interés, entre las cuales se encuentran: crear y/o actualizar y difundir los canales de consulta y orientación para el manejo de conflictos de intereses y su declaración. </t>
  </si>
  <si>
    <t>Se promovio  la participación y comprensión de los funcionarios  sobre el uso adecuado de los canales, fortaleciendo la cultura de transparencia y ética en la institución.</t>
  </si>
  <si>
    <t>evidencia planilla de asistencia de capacitación  Capacitacion desarrollada en Transparencia y ética publica, canales de denuncias</t>
  </si>
  <si>
    <t>ABRIL/2044</t>
  </si>
  <si>
    <t>Adelantar acciones que permitan evaluar los instrumentos para la gestión de conflictos de interés, entre las cuales se encuentran: crear y/o actualizar y difundir los canales internos y externos adecuados para la declaración de conflictos de intereses e impedimentos y recusaciones por parte de servidores públicos y contratistas de la entidad, así como de la ciudadanía.</t>
  </si>
  <si>
    <t>Se capacito  a los funcionarios y contratistas  sobre el uso correcto de los canales, reforzando la cultura de integridad y transparencia en la entidad.</t>
  </si>
  <si>
    <t>Adelantar acciones que permitan evaluar los instrumentos para la gestión de conflictos de interés, entre las cuales se encuentran: revisar las denuncias sobre hechos de corrupción asociados a conflictos de intereses recibidas a través del canal de PQRSD y de los canales internos dispuestos por la entidad con el fin de redireccionarlas según el procedimiento adoptado.</t>
  </si>
  <si>
    <t>Se revisa  las denuncias recibidas por los canales internos de la entidad (correo institucional, formulario web, línea ética, etc.), Identificar si la denuncia corresponde a un conflicto de interés o a otro tipo de conducta.  Según codigo de integridad</t>
  </si>
  <si>
    <t>si es el caso Registro de las denuncias recibidas a través del canal PQRSD y canales internos</t>
  </si>
  <si>
    <t>Adelantar acciones que permitan evaluar los instrumentos para la gestión de conflictos de interés, entre las cuales se encuentran: implementar mecanismos preventivos frente a potenciales conflictos de intereses.</t>
  </si>
  <si>
    <t>Uno de los  documentos  solicitados  periodicamente  es la Declaración de conflictos de interés por parte de los funcionarios. Y se capacitaron sobre identificación y manejo de conflictos de interés</t>
  </si>
  <si>
    <t>Adelantar acciones que permitan evaluar los instrumentos para la gestión de conflictos de interés, entre las cuales se encuentran: utilizar los  análisis de las declaraciones de conflictos de intereses e impedimentos y recusaciones como insumo para mejorar el protocolo o procedimiento establecido.</t>
  </si>
  <si>
    <t>Uno de los instrumentos  adoptados por la corporación es el codigo de integridad y buen gobierno la inclusión de conflicto de intereses  donde  nos da lineamientos  para identificar agun caso de conflicto de intereses</t>
  </si>
  <si>
    <t>Documentar las buenas prácticas y lecciones aprendidas sobre integridad pública.</t>
  </si>
  <si>
    <t>Se publico  codigo de integridad se realizo socialización  a grupo de interes ,Se realizaron capacitaciones  y talleres periódica sobre identificación y manejo de conflictos de interés.</t>
  </si>
  <si>
    <t>'evidencia planilla de asistencia de capacitación  Capacitacion desarrollada en Transparencia y ética publica</t>
  </si>
  <si>
    <t>Incorporar buenas prácticas y lecciones aprendidas del sector público o privado en temas de integridad.</t>
  </si>
  <si>
    <t xml:space="preserve">En el  marco del fortalecimiento institucional la entidad ha incorporado buenas practicas orientadas a la promocion de la integridad, como la socializacion y aplicación del Código de Etica fortaleciendo valores institucionales y reconocimiento de buenas practicas </t>
  </si>
  <si>
    <t>Participacion activa de los lideres como ejemplo y promotores de integridad. Mantener una comunicación constante y clara sobre los valoresa institucionales. Adopcion del Codigo de Integridad RESOLUCIÓN No. 072 DE 2025 (01 de Agosto)</t>
  </si>
  <si>
    <t>Verificar el registro de la información en el aplicativo por la integridad pública para el ingreso de los servidores públicos y contratistas obligados por la Ley 2013 de 2019.</t>
  </si>
  <si>
    <t>Verificacion del registro de informacion, asegurando que todo funcionario cumpla con lo establecido en la Ley 2013 de 2019. relacionada con las declaraciones de rentas y conflictos de interes.</t>
  </si>
  <si>
    <t xml:space="preserve">Registros actualizados de los servidores publicos, los cuales reposan en las carpetas de informacion personal y hojas de vida. Registro actualizado de los funcionarios en el aplicativo por la Integridad Publica. </t>
  </si>
  <si>
    <t>Verificar el registro de información en el aplicativo por la integridad pública en cuanto al registro periódico por parte de los servidores públicos y contratistas obligados por la Ley 2013 de 2019.</t>
  </si>
  <si>
    <t>Se realizó la verificación periódica del registro de la información en el aplicativo Por la Integridad Pública, garantizando el cumplimiento de la Ley 2013 de 2019</t>
  </si>
  <si>
    <t xml:space="preserve">Comunicaciones internas para informar sobre la obligacion legal y plazos de registro.  Reportes de cumplimiento, los cuales se encuentran en las carpetas hojas de vida funcionarios. </t>
  </si>
  <si>
    <t>Verificar el registro de información en el aplicativo por la integridad pública para el retiro de los servidores públicos y contratistas obligados por la Ley 2013 de 2019.</t>
  </si>
  <si>
    <t xml:space="preserve">Se realiza la verificacion del registro  de la informacionm en el aplicativo por la Integridad publica. </t>
  </si>
  <si>
    <t xml:space="preserve">Se realiza un control previo del registro, asegurando que el funcionario cumpliera con el registro o actualizacion de las declaraciones de bienes, rentas y conflictos de interes. </t>
  </si>
  <si>
    <t>Disponer los canales internos de denuncia con el fin de identificar las posibles situaciones que afecten la integridad pública.</t>
  </si>
  <si>
    <t>Disponer canales de internos de denuncias accesibles y confidenciales con el propocito de identificar y gestionar posibles situaciones que afecten la integridad publica</t>
  </si>
  <si>
    <t>Registro de canales de denuncia activos y accesibles (correo, teléfono, buzón, portal web).</t>
  </si>
  <si>
    <t>Disponer los canales externos de denuncia con el fin de identificar las posibles situaciones que afecten la integridad pública.</t>
  </si>
  <si>
    <t>Establecer y mantener líneas de denuncia externas (teléfono, correo electrónico, plataforma web, buzón físico) accesibles a ciudadanos, proveedores, empleados y terceros.</t>
  </si>
  <si>
    <t>Establecer e implementar un procedimiento para el procesamiento de las denuncias recibidas (internas y externas) con el fin de identificar las posibles situaciones que afecten la integridad pública.</t>
  </si>
  <si>
    <t>se implemento bajo el codigo deintegridad y buen gobierno y los canales se encuentran establecidos en el p´rograma de trasparencia y etica publica</t>
  </si>
  <si>
    <t>Difundir el procedimiento para las denuncias entre sus servidores públicos y contratistas con el fin de identificar las posibles situaciones que afecten la integridad pública.</t>
  </si>
  <si>
    <t>Se encuentra socializado y publicado para la comunidad y funcionarios en la pagina web de la corpporacion</t>
  </si>
  <si>
    <t>pagina web https://www.concejomunicipalchia.gov.co/views/directorio.php#gsc.tab=0</t>
  </si>
  <si>
    <t>Difundir el procedimiento para las denuncias entre la ciudadanía y grupos de valor con el fin de identificar las posibles situaciones que afecten la integridad pública.</t>
  </si>
  <si>
    <t>Incluir en los procesos de capacitación institucional escenarios para mejorar el conocimiento sobre el régimen disciplinario en lo relacionado con la obligación de denunciar irregularidades con el fin de identificar las posibles situaciones que afecten la integridad pública.</t>
  </si>
  <si>
    <t>Se generan espacios formativos orientados a fortalecer el conocimiento sobre el régimen disciplinario, haciendo énfasis en la obligación de denunciar irregularidades y en la identificación de situaciones que puedan afectar la integridad pública.</t>
  </si>
  <si>
    <t>evidencia planilla de asistencia de capacitación   desarrollada en Transparencia y ética publica, canales de denuncias, llevando a cabo la aplicación del Programa de capacitacion.</t>
  </si>
  <si>
    <t>ABRIL/2059</t>
  </si>
  <si>
    <t>SEGUIMIENTO A POLÍTICA: INTEGRIDAD</t>
  </si>
  <si>
    <t>Hacer seguimiento a los compromisos adquiridos en los planes de mejora suscritos en cada caso particular.</t>
  </si>
  <si>
    <t xml:space="preserve">En el Comité de Convivencia Laboral, no se han generado Plan de Mejora.  </t>
  </si>
  <si>
    <t>N/A</t>
  </si>
  <si>
    <t>14 de noviembre</t>
  </si>
  <si>
    <t>Presentar a la Alta Dirección de la entidad un informe de las estadísticas de las quejas y el seguimiento de los casos de acoso laboral.</t>
  </si>
  <si>
    <t xml:space="preserve">Se realiza un Informe trimestral del Comité de Convivencia Laboral, donde se da a conocer la gestión adelantada por el Comité. </t>
  </si>
  <si>
    <t xml:space="preserve">Carpeta Comité de Convivencia. Informe </t>
  </si>
  <si>
    <t>Integrantes COCOLA</t>
  </si>
  <si>
    <t>Hacer seguimiento al cumplimiento de las recomendaciones dadas al área gestión humana y a la Alta Dirección.</t>
  </si>
  <si>
    <t xml:space="preserve"> Competencia de la Mesa Directiva. </t>
  </si>
  <si>
    <t xml:space="preserve">Seguimiento Correspondiente </t>
  </si>
  <si>
    <t>Hacer seguimiento a las posibles intervenciones a partir de las recomendaciones entregadas al área gestión humana y a la Alta Dirección.</t>
  </si>
  <si>
    <t xml:space="preserve">' Competencia de la Mesa Directiva. </t>
  </si>
  <si>
    <t xml:space="preserve">'Seguimiento Correspondiente </t>
  </si>
  <si>
    <t>Articular con la Administradora de Riesgos Laborales acciones de asesoría y asistencia técnica para la intervención de factores psicosociales.</t>
  </si>
  <si>
    <t>Se contó con la implementacion e acciones de asesoría y asistencia técnica dirigidas a la intervención de factores de riesgo psicosocial, con el fin de fortalecer el bienestar, la salud mental y la convivencia laboral de los servidores públicos</t>
  </si>
  <si>
    <t>jornadas de sensibilización desarrolladas con apoyo de la ARL.</t>
  </si>
  <si>
    <t xml:space="preserve">Talento Humano. </t>
  </si>
  <si>
    <t>Remitir a la Procuraduría General de la Nación aquellos casos de acoso laboral en donde no se llegue a un acuerdo entre las partes, no se cumplan con los compromisos pactados o la conducta persista.</t>
  </si>
  <si>
    <t xml:space="preserve">En el momento no se ha presentado la situación. </t>
  </si>
  <si>
    <t xml:space="preserve">Cuando se presente la situación realizar la comunicación correspondiente. </t>
  </si>
  <si>
    <t>14 de noviembreabril 2026</t>
  </si>
  <si>
    <t>COCOLA</t>
  </si>
  <si>
    <t>26/03/2026</t>
  </si>
  <si>
    <t xml:space="preserve"> Gestión Estratégica del Talento Humano</t>
  </si>
  <si>
    <t xml:space="preserve"> INTEGRIDAD</t>
  </si>
  <si>
    <t>13/11/2025</t>
  </si>
  <si>
    <t>14/11/2025</t>
  </si>
  <si>
    <t>INTEGRIDAD</t>
  </si>
  <si>
    <t>integrante comité cocola</t>
  </si>
  <si>
    <t>25/11/2025</t>
  </si>
  <si>
    <t>PUNTAJE OBTENIDO: 100%</t>
  </si>
  <si>
    <t>PUNTAJE OBTENIDO: 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</si>
</sst>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
      <sz val="12"/>
      <color theme="1"/>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bottom style="thin">
        <color theme="0" tint="-0.14999847407452621"/>
      </bottom>
      <diagonal/>
    </border>
    <border>
      <left style="thin">
        <color indexed="64"/>
      </left>
      <right/>
      <top style="thin">
        <color theme="0" tint="-0.14999847407452621"/>
      </top>
      <bottom/>
      <diagonal/>
    </border>
    <border>
      <left/>
      <right style="thin">
        <color theme="0" tint="-0.14999847407452621"/>
      </right>
      <top style="thin">
        <color theme="0" tint="-0.14999847407452621"/>
      </top>
      <bottom/>
      <diagonal/>
    </border>
    <border>
      <left style="medium">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8" fillId="0" borderId="0" applyFont="0" applyFill="0" applyBorder="0" applyAlignment="0" applyProtection="0"/>
    <xf numFmtId="0" fontId="8" fillId="0" borderId="0"/>
  </cellStyleXfs>
  <cellXfs count="119">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7" fillId="9" borderId="24"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6" xfId="0" applyFont="1" applyBorder="1" applyAlignment="1">
      <alignment horizontal="center" vertical="center"/>
    </xf>
    <xf numFmtId="0" fontId="7" fillId="0" borderId="35" xfId="0" applyFont="1" applyBorder="1" applyAlignment="1">
      <alignment horizontal="center" vertical="center"/>
    </xf>
    <xf numFmtId="0" fontId="16" fillId="11" borderId="37" xfId="0" applyFont="1" applyFill="1" applyBorder="1" applyAlignment="1">
      <alignment vertical="top" wrapText="1"/>
    </xf>
    <xf numFmtId="0" fontId="18" fillId="2" borderId="37" xfId="2" applyFont="1" applyFill="1" applyBorder="1"/>
    <xf numFmtId="0" fontId="7" fillId="0" borderId="35" xfId="0" applyFont="1" applyBorder="1"/>
    <xf numFmtId="0" fontId="7" fillId="0" borderId="37" xfId="0" applyFont="1" applyBorder="1"/>
    <xf numFmtId="0" fontId="7" fillId="0" borderId="40" xfId="0" applyFont="1" applyBorder="1"/>
    <xf numFmtId="0" fontId="18" fillId="2" borderId="37" xfId="2" applyFont="1" applyFill="1" applyBorder="1" applyAlignment="1">
      <alignment horizontal="center"/>
    </xf>
    <xf numFmtId="0" fontId="7" fillId="0" borderId="39" xfId="0" applyFont="1" applyBorder="1"/>
    <xf numFmtId="0" fontId="7" fillId="0" borderId="38" xfId="0" applyFont="1" applyBorder="1" applyAlignment="1">
      <alignment horizontal="center" vertical="center"/>
    </xf>
    <xf numFmtId="0" fontId="7" fillId="0" borderId="34" xfId="0" applyFont="1" applyBorder="1"/>
    <xf numFmtId="0" fontId="7" fillId="0" borderId="41" xfId="0" applyFont="1" applyBorder="1"/>
    <xf numFmtId="0" fontId="18" fillId="2" borderId="33" xfId="2" applyFont="1" applyFill="1" applyBorder="1" applyAlignment="1">
      <alignment horizontal="center"/>
    </xf>
    <xf numFmtId="0" fontId="12" fillId="0" borderId="44" xfId="0" applyFont="1" applyBorder="1" applyAlignment="1">
      <alignment horizontal="center" vertical="center" wrapText="1"/>
    </xf>
    <xf numFmtId="0" fontId="7" fillId="8" borderId="0" xfId="0" applyFont="1" applyFill="1" applyAlignment="1">
      <alignment vertical="center"/>
    </xf>
    <xf numFmtId="0" fontId="7" fillId="0" borderId="0" xfId="0" applyFont="1" applyAlignment="1">
      <alignment vertical="center"/>
    </xf>
    <xf numFmtId="17" fontId="20" fillId="2" borderId="1" xfId="0" applyNumberFormat="1" applyFont="1" applyFill="1" applyBorder="1" applyAlignment="1">
      <alignment horizontal="center" vertical="center" wrapText="1"/>
    </xf>
    <xf numFmtId="0" fontId="20" fillId="2" borderId="1" xfId="0" quotePrefix="1" applyFont="1" applyFill="1" applyBorder="1" applyAlignment="1">
      <alignment horizontal="center" vertical="center" wrapText="1"/>
    </xf>
    <xf numFmtId="17" fontId="20" fillId="2" borderId="1" xfId="0" quotePrefix="1" applyNumberFormat="1" applyFont="1" applyFill="1" applyBorder="1" applyAlignment="1">
      <alignment horizontal="center" vertical="center" wrapText="1"/>
    </xf>
    <xf numFmtId="0" fontId="7" fillId="0" borderId="45" xfId="0" applyFont="1" applyBorder="1" applyAlignment="1">
      <alignment horizontal="center" vertical="center" wrapText="1"/>
    </xf>
    <xf numFmtId="0" fontId="7" fillId="0" borderId="0" xfId="0" applyFont="1" applyAlignment="1">
      <alignment horizontal="center" vertical="center" wrapText="1"/>
    </xf>
    <xf numFmtId="0" fontId="19" fillId="2" borderId="1" xfId="0" quotePrefix="1" applyFont="1" applyFill="1" applyBorder="1" applyAlignment="1">
      <alignment horizontal="center" vertical="center" wrapText="1"/>
    </xf>
    <xf numFmtId="0" fontId="7" fillId="0" borderId="46" xfId="0" applyFont="1" applyBorder="1" applyAlignment="1">
      <alignment horizontal="center" vertical="center" wrapText="1"/>
    </xf>
    <xf numFmtId="0" fontId="7" fillId="0" borderId="1" xfId="0" applyFont="1" applyBorder="1" applyAlignment="1">
      <alignment horizontal="center" vertical="center" wrapText="1"/>
    </xf>
    <xf numFmtId="0" fontId="19" fillId="2" borderId="13" xfId="0" quotePrefix="1" applyFont="1" applyFill="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17"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4" fontId="19" fillId="0" borderId="1" xfId="0" applyNumberFormat="1" applyFont="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17"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17" fontId="7" fillId="0" borderId="13"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7" fillId="0" borderId="13" xfId="0" quotePrefix="1" applyFont="1" applyBorder="1" applyAlignment="1">
      <alignment horizontal="center" vertical="center" wrapText="1"/>
    </xf>
    <xf numFmtId="0" fontId="19" fillId="0" borderId="1" xfId="0" quotePrefix="1" applyFont="1" applyBorder="1" applyAlignment="1">
      <alignment horizontal="center" vertical="center" wrapText="1"/>
    </xf>
    <xf numFmtId="0" fontId="7" fillId="0" borderId="13" xfId="0" applyFont="1" applyBorder="1" applyAlignment="1">
      <alignment horizontal="center" vertical="center" wrapText="1"/>
    </xf>
    <xf numFmtId="0" fontId="19" fillId="0" borderId="13" xfId="0" quotePrefix="1" applyFont="1" applyBorder="1" applyAlignment="1">
      <alignment horizontal="center" vertical="center" wrapText="1"/>
    </xf>
    <xf numFmtId="0" fontId="7" fillId="0" borderId="1" xfId="0" applyFont="1" applyBorder="1" applyAlignment="1">
      <alignment horizontal="center" vertical="center"/>
    </xf>
    <xf numFmtId="17" fontId="7" fillId="0" borderId="1" xfId="0" applyNumberFormat="1" applyFont="1" applyBorder="1" applyAlignment="1">
      <alignment horizontal="center" vertical="center"/>
    </xf>
    <xf numFmtId="0" fontId="20" fillId="2" borderId="49" xfId="0" quotePrefix="1" applyFont="1" applyFill="1" applyBorder="1" applyAlignment="1">
      <alignment horizontal="center" vertical="center" wrapText="1"/>
    </xf>
    <xf numFmtId="0" fontId="12" fillId="0" borderId="1" xfId="0" applyFont="1" applyBorder="1" applyAlignment="1">
      <alignment horizontal="center" vertical="center" wrapText="1"/>
    </xf>
    <xf numFmtId="0" fontId="19" fillId="0" borderId="49" xfId="0" applyFont="1" applyBorder="1" applyAlignment="1">
      <alignment horizontal="center" vertical="center" wrapText="1"/>
    </xf>
    <xf numFmtId="0" fontId="16" fillId="2" borderId="19" xfId="0" applyFont="1" applyFill="1" applyBorder="1" applyAlignment="1">
      <alignment horizontal="center" vertical="center"/>
    </xf>
    <xf numFmtId="0" fontId="17" fillId="9" borderId="50" xfId="0" applyFont="1" applyFill="1" applyBorder="1" applyAlignment="1">
      <alignment vertical="center" wrapText="1"/>
    </xf>
    <xf numFmtId="0" fontId="18" fillId="2" borderId="42" xfId="2" applyFont="1" applyFill="1" applyBorder="1" applyAlignment="1">
      <alignment horizontal="center"/>
    </xf>
    <xf numFmtId="0" fontId="18" fillId="2" borderId="43" xfId="2" applyFont="1" applyFill="1" applyBorder="1" applyAlignment="1">
      <alignment horizontal="center"/>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13" fillId="2" borderId="1"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7" fillId="9" borderId="19" xfId="0" applyFont="1" applyFill="1" applyBorder="1" applyAlignment="1">
      <alignment horizontal="center" vertical="center" wrapText="1"/>
    </xf>
    <xf numFmtId="0" fontId="17" fillId="9" borderId="24" xfId="0" applyFont="1" applyFill="1" applyBorder="1" applyAlignment="1">
      <alignment horizontal="center" vertical="center" wrapText="1"/>
    </xf>
    <xf numFmtId="0" fontId="16" fillId="2" borderId="19" xfId="0" applyFont="1" applyFill="1" applyBorder="1" applyAlignment="1">
      <alignment vertical="center"/>
    </xf>
  </cellXfs>
  <cellStyles count="3">
    <cellStyle name="Normal" xfId="0" builtinId="0"/>
    <cellStyle name="Normal 2" xfId="2" xr:uid="{3FD3047E-80D1-48EA-9306-9348F3D55B6C}"/>
    <cellStyle name="Porcentaje" xfId="1" builtinId="5"/>
  </cellStyles>
  <dxfs count="1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2" name="Imagen 2">
          <a:extLst>
            <a:ext uri="{FF2B5EF4-FFF2-40B4-BE49-F238E27FC236}">
              <a16:creationId xmlns:a16="http://schemas.microsoft.com/office/drawing/2014/main" id="{5E6BABC2-5BFB-494D-B171-E702B3A65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594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2" name="Imagen 2">
          <a:extLst>
            <a:ext uri="{FF2B5EF4-FFF2-40B4-BE49-F238E27FC236}">
              <a16:creationId xmlns:a16="http://schemas.microsoft.com/office/drawing/2014/main" id="{5E05C124-6FE8-480B-A9C4-D006D8AB9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594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zoomScale="83" zoomScaleNormal="98" zoomScaleSheetLayoutView="96" workbookViewId="0">
      <pane xSplit="1" topLeftCell="B1" activePane="topRight" state="frozen"/>
      <selection pane="topRight" activeCell="N14" sqref="N14"/>
    </sheetView>
  </sheetViews>
  <sheetFormatPr baseColWidth="10" defaultColWidth="11.42578125" defaultRowHeight="16.5" x14ac:dyDescent="0.3"/>
  <cols>
    <col min="1" max="1" width="19.85546875" style="2" customWidth="1"/>
    <col min="2" max="2" width="45.5703125" style="1" customWidth="1"/>
    <col min="3" max="3" width="31.42578125" style="1" customWidth="1"/>
    <col min="4" max="4" width="46.5703125" style="1" customWidth="1"/>
    <col min="5" max="5" width="18.8554687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111"/>
      <c r="B1" s="111" t="s">
        <v>16</v>
      </c>
      <c r="C1" s="111"/>
      <c r="D1" s="111"/>
      <c r="E1" s="111"/>
      <c r="F1" s="111"/>
      <c r="G1" s="111"/>
      <c r="H1" s="111"/>
    </row>
    <row r="2" spans="1:11" ht="17.25" customHeight="1" x14ac:dyDescent="0.3">
      <c r="A2" s="111"/>
      <c r="B2" s="111" t="s">
        <v>17</v>
      </c>
      <c r="C2" s="111"/>
      <c r="D2" s="111"/>
      <c r="E2" s="111"/>
      <c r="F2" s="111"/>
      <c r="G2" s="111"/>
      <c r="H2" s="111"/>
    </row>
    <row r="3" spans="1:11" ht="17.25" customHeight="1" x14ac:dyDescent="0.3">
      <c r="A3" s="111"/>
      <c r="B3" s="111" t="s">
        <v>18</v>
      </c>
      <c r="C3" s="111"/>
      <c r="D3" s="111"/>
      <c r="E3" s="111"/>
      <c r="F3" s="111"/>
      <c r="G3" s="111"/>
      <c r="H3" s="111"/>
    </row>
    <row r="4" spans="1:11" ht="12.75" customHeight="1" x14ac:dyDescent="0.3">
      <c r="A4" s="111"/>
      <c r="B4" s="112" t="s">
        <v>27</v>
      </c>
      <c r="C4" s="113"/>
      <c r="D4" s="114" t="s">
        <v>28</v>
      </c>
      <c r="E4" s="114"/>
      <c r="F4" s="114"/>
      <c r="G4" s="112"/>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102" t="s">
        <v>11</v>
      </c>
      <c r="G6" s="103"/>
      <c r="H6" s="104"/>
      <c r="I6" s="8"/>
      <c r="J6" s="8"/>
      <c r="K6" s="8"/>
    </row>
    <row r="7" spans="1:11" ht="25.9" customHeight="1" thickBot="1" x14ac:dyDescent="0.35">
      <c r="A7" s="7"/>
      <c r="B7" s="16" t="s">
        <v>89</v>
      </c>
      <c r="C7" s="15"/>
      <c r="D7" s="16" t="s">
        <v>219</v>
      </c>
      <c r="E7" s="17"/>
      <c r="F7" s="12" t="s">
        <v>1</v>
      </c>
      <c r="G7" s="22">
        <v>2</v>
      </c>
      <c r="H7" s="23">
        <f>G7/$G$10</f>
        <v>0.1111111111111111</v>
      </c>
      <c r="I7" s="8"/>
      <c r="J7" s="8"/>
      <c r="K7" s="8"/>
    </row>
    <row r="8" spans="1:11" ht="19.899999999999999" customHeight="1" thickBot="1" x14ac:dyDescent="0.35">
      <c r="A8" s="7"/>
      <c r="B8" s="18"/>
      <c r="C8" s="19"/>
      <c r="D8" s="17"/>
      <c r="E8" s="17"/>
      <c r="F8" s="20" t="s">
        <v>2</v>
      </c>
      <c r="G8" s="24">
        <v>1</v>
      </c>
      <c r="H8" s="25">
        <f t="shared" ref="H8:H9" si="0">G8/$G$10</f>
        <v>5.5555555555555552E-2</v>
      </c>
      <c r="I8" s="8"/>
      <c r="J8" s="8" t="s">
        <v>12</v>
      </c>
      <c r="K8" s="8" t="s">
        <v>1</v>
      </c>
    </row>
    <row r="9" spans="1:11" ht="19.5" customHeight="1" thickBot="1" x14ac:dyDescent="0.35">
      <c r="A9" s="7"/>
      <c r="B9" s="14" t="s">
        <v>88</v>
      </c>
      <c r="C9" s="18"/>
      <c r="D9" s="16" t="s">
        <v>87</v>
      </c>
      <c r="E9" s="17"/>
      <c r="F9" s="13" t="s">
        <v>3</v>
      </c>
      <c r="G9" s="26">
        <v>15</v>
      </c>
      <c r="H9" s="25">
        <f t="shared" si="0"/>
        <v>0.83333333333333337</v>
      </c>
      <c r="I9" s="8"/>
      <c r="J9" s="8" t="s">
        <v>13</v>
      </c>
      <c r="K9" s="8" t="s">
        <v>14</v>
      </c>
    </row>
    <row r="10" spans="1:11" ht="25.5" customHeight="1" thickBot="1" x14ac:dyDescent="0.35">
      <c r="A10" s="7"/>
      <c r="B10" s="18"/>
      <c r="C10" s="19"/>
      <c r="D10" s="19"/>
      <c r="E10" s="19"/>
      <c r="F10" s="21" t="s">
        <v>4</v>
      </c>
      <c r="G10" s="27">
        <v>18</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105" t="s">
        <v>0</v>
      </c>
      <c r="B12" s="105" t="s">
        <v>5</v>
      </c>
      <c r="C12" s="107" t="s">
        <v>6</v>
      </c>
      <c r="D12" s="107" t="s">
        <v>7</v>
      </c>
      <c r="E12" s="109" t="s">
        <v>8</v>
      </c>
      <c r="F12" s="109" t="s">
        <v>9</v>
      </c>
      <c r="G12" s="109" t="s">
        <v>10</v>
      </c>
      <c r="H12" s="109" t="s">
        <v>15</v>
      </c>
      <c r="I12" s="8"/>
      <c r="J12" s="8"/>
      <c r="K12" s="8"/>
    </row>
    <row r="13" spans="1:11" ht="26.25" customHeight="1" thickBot="1" x14ac:dyDescent="0.35">
      <c r="A13" s="106"/>
      <c r="B13" s="106"/>
      <c r="C13" s="108"/>
      <c r="D13" s="108"/>
      <c r="E13" s="110"/>
      <c r="F13" s="110"/>
      <c r="G13" s="110"/>
      <c r="H13" s="110"/>
      <c r="I13" s="8"/>
      <c r="J13" s="8"/>
      <c r="K13" s="8"/>
    </row>
    <row r="14" spans="1:11" s="63" customFormat="1" ht="158.44999999999999" customHeight="1" x14ac:dyDescent="0.25">
      <c r="A14" s="10">
        <v>1</v>
      </c>
      <c r="B14" s="67" t="s">
        <v>29</v>
      </c>
      <c r="C14" s="68" t="s">
        <v>30</v>
      </c>
      <c r="D14" s="69" t="s">
        <v>31</v>
      </c>
      <c r="E14" s="64">
        <v>45972</v>
      </c>
      <c r="F14" s="64">
        <v>46113</v>
      </c>
      <c r="G14" s="65" t="s">
        <v>32</v>
      </c>
      <c r="H14" s="29" t="s">
        <v>3</v>
      </c>
      <c r="I14" s="62"/>
      <c r="J14" s="62"/>
      <c r="K14" s="62"/>
    </row>
    <row r="15" spans="1:11" ht="148.9" customHeight="1" x14ac:dyDescent="0.3">
      <c r="A15" s="9">
        <v>2</v>
      </c>
      <c r="B15" s="70" t="s">
        <v>33</v>
      </c>
      <c r="C15" s="71" t="s">
        <v>34</v>
      </c>
      <c r="D15" s="72" t="s">
        <v>31</v>
      </c>
      <c r="E15" s="64">
        <v>45962</v>
      </c>
      <c r="F15" s="64" t="s">
        <v>35</v>
      </c>
      <c r="G15" s="65" t="s">
        <v>32</v>
      </c>
      <c r="H15" s="30" t="s">
        <v>3</v>
      </c>
      <c r="I15" s="8"/>
      <c r="J15" s="8"/>
      <c r="K15" s="8"/>
    </row>
    <row r="16" spans="1:11" ht="122.45" customHeight="1" x14ac:dyDescent="0.3">
      <c r="A16" s="9">
        <v>3</v>
      </c>
      <c r="B16" s="71" t="s">
        <v>36</v>
      </c>
      <c r="C16" s="71" t="s">
        <v>37</v>
      </c>
      <c r="D16" s="71" t="s">
        <v>38</v>
      </c>
      <c r="E16" s="64">
        <v>45962</v>
      </c>
      <c r="F16" s="66" t="s">
        <v>39</v>
      </c>
      <c r="G16" s="65" t="s">
        <v>32</v>
      </c>
      <c r="H16" s="30" t="s">
        <v>3</v>
      </c>
      <c r="I16" s="8"/>
      <c r="J16" s="8"/>
      <c r="K16" s="8"/>
    </row>
    <row r="17" spans="1:11" ht="120" customHeight="1" x14ac:dyDescent="0.3">
      <c r="A17" s="9">
        <v>4</v>
      </c>
      <c r="B17" s="73" t="s">
        <v>40</v>
      </c>
      <c r="C17" s="71" t="s">
        <v>41</v>
      </c>
      <c r="D17" s="71" t="s">
        <v>42</v>
      </c>
      <c r="E17" s="64">
        <v>45962</v>
      </c>
      <c r="F17" s="66" t="s">
        <v>39</v>
      </c>
      <c r="G17" s="65" t="s">
        <v>32</v>
      </c>
      <c r="H17" s="30" t="s">
        <v>3</v>
      </c>
      <c r="I17" s="8"/>
      <c r="J17" s="8"/>
      <c r="K17" s="8"/>
    </row>
    <row r="18" spans="1:11" ht="142.15" customHeight="1" x14ac:dyDescent="0.3">
      <c r="A18" s="34">
        <v>5</v>
      </c>
      <c r="B18" s="67" t="s">
        <v>43</v>
      </c>
      <c r="C18" s="69" t="s">
        <v>44</v>
      </c>
      <c r="D18" s="69" t="s">
        <v>45</v>
      </c>
      <c r="E18" s="64">
        <v>45962</v>
      </c>
      <c r="F18" s="66" t="s">
        <v>35</v>
      </c>
      <c r="G18" s="65" t="s">
        <v>32</v>
      </c>
      <c r="H18" s="61" t="s">
        <v>3</v>
      </c>
      <c r="I18" s="8"/>
      <c r="J18" s="8"/>
      <c r="K18" s="8"/>
    </row>
    <row r="19" spans="1:11" ht="110.45" customHeight="1" x14ac:dyDescent="0.3">
      <c r="A19" s="34">
        <v>6</v>
      </c>
      <c r="B19" s="74" t="s">
        <v>46</v>
      </c>
      <c r="C19" s="71" t="s">
        <v>47</v>
      </c>
      <c r="D19" s="68" t="s">
        <v>86</v>
      </c>
      <c r="E19" s="64">
        <v>45962</v>
      </c>
      <c r="F19" s="66" t="s">
        <v>35</v>
      </c>
      <c r="G19" s="65" t="s">
        <v>48</v>
      </c>
      <c r="H19" s="61" t="s">
        <v>3</v>
      </c>
      <c r="I19" s="8"/>
      <c r="J19" s="8"/>
      <c r="K19" s="8"/>
    </row>
    <row r="20" spans="1:11" ht="123.6" customHeight="1" x14ac:dyDescent="0.3">
      <c r="A20" s="34">
        <v>7</v>
      </c>
      <c r="B20" s="74" t="s">
        <v>49</v>
      </c>
      <c r="C20" s="71" t="s">
        <v>50</v>
      </c>
      <c r="D20" s="69" t="s">
        <v>31</v>
      </c>
      <c r="E20" s="64">
        <v>45962</v>
      </c>
      <c r="F20" s="66" t="s">
        <v>39</v>
      </c>
      <c r="G20" s="65" t="s">
        <v>51</v>
      </c>
      <c r="H20" s="61" t="s">
        <v>1</v>
      </c>
      <c r="I20" s="8"/>
      <c r="J20" s="8"/>
      <c r="K20" s="8"/>
    </row>
    <row r="21" spans="1:11" ht="132" customHeight="1" x14ac:dyDescent="0.3">
      <c r="A21" s="34">
        <v>8</v>
      </c>
      <c r="B21" s="67" t="s">
        <v>52</v>
      </c>
      <c r="C21" s="68" t="s">
        <v>53</v>
      </c>
      <c r="D21" s="69" t="s">
        <v>54</v>
      </c>
      <c r="E21" s="64">
        <v>45962</v>
      </c>
      <c r="F21" s="66" t="s">
        <v>35</v>
      </c>
      <c r="G21" s="65" t="s">
        <v>32</v>
      </c>
      <c r="H21" s="61" t="s">
        <v>3</v>
      </c>
      <c r="I21" s="8"/>
      <c r="J21" s="8"/>
      <c r="K21" s="8"/>
    </row>
    <row r="22" spans="1:11" ht="85.15" customHeight="1" x14ac:dyDescent="0.3">
      <c r="A22" s="34">
        <v>9</v>
      </c>
      <c r="B22" s="67" t="s">
        <v>55</v>
      </c>
      <c r="C22" s="69" t="s">
        <v>56</v>
      </c>
      <c r="D22" s="69" t="s">
        <v>57</v>
      </c>
      <c r="E22" s="64">
        <v>45962</v>
      </c>
      <c r="F22" s="66" t="s">
        <v>35</v>
      </c>
      <c r="G22" s="65" t="s">
        <v>32</v>
      </c>
      <c r="H22" s="61" t="s">
        <v>3</v>
      </c>
      <c r="I22" s="8"/>
      <c r="J22" s="8"/>
      <c r="K22" s="8"/>
    </row>
    <row r="23" spans="1:11" ht="172.15" customHeight="1" x14ac:dyDescent="0.3">
      <c r="A23" s="34">
        <v>10</v>
      </c>
      <c r="B23" s="67" t="s">
        <v>58</v>
      </c>
      <c r="C23" s="69" t="s">
        <v>59</v>
      </c>
      <c r="D23" s="69" t="s">
        <v>60</v>
      </c>
      <c r="E23" s="64">
        <v>45962</v>
      </c>
      <c r="F23" s="66" t="s">
        <v>39</v>
      </c>
      <c r="G23" s="65" t="s">
        <v>32</v>
      </c>
      <c r="H23" s="61" t="s">
        <v>3</v>
      </c>
      <c r="I23" s="8"/>
      <c r="J23" s="8"/>
      <c r="K23" s="8"/>
    </row>
    <row r="24" spans="1:11" ht="85.15" customHeight="1" x14ac:dyDescent="0.3">
      <c r="A24" s="34">
        <v>11</v>
      </c>
      <c r="B24" s="67" t="s">
        <v>61</v>
      </c>
      <c r="C24" s="69" t="s">
        <v>62</v>
      </c>
      <c r="D24" s="69" t="s">
        <v>63</v>
      </c>
      <c r="E24" s="64">
        <v>45962</v>
      </c>
      <c r="F24" s="66" t="s">
        <v>64</v>
      </c>
      <c r="G24" s="65" t="s">
        <v>32</v>
      </c>
      <c r="H24" s="61" t="s">
        <v>1</v>
      </c>
      <c r="I24" s="8"/>
      <c r="J24" s="8"/>
      <c r="K24" s="8"/>
    </row>
    <row r="25" spans="1:11" ht="91.9" customHeight="1" x14ac:dyDescent="0.3">
      <c r="A25" s="34">
        <v>12</v>
      </c>
      <c r="B25" s="67" t="s">
        <v>65</v>
      </c>
      <c r="C25" s="69" t="s">
        <v>66</v>
      </c>
      <c r="D25" s="69" t="s">
        <v>67</v>
      </c>
      <c r="E25" s="64">
        <v>45962</v>
      </c>
      <c r="F25" s="66" t="s">
        <v>64</v>
      </c>
      <c r="G25" s="65" t="s">
        <v>32</v>
      </c>
      <c r="H25" s="61" t="s">
        <v>3</v>
      </c>
      <c r="I25" s="8"/>
      <c r="J25" s="8"/>
      <c r="K25" s="8"/>
    </row>
    <row r="26" spans="1:11" ht="85.15" customHeight="1" x14ac:dyDescent="0.3">
      <c r="A26" s="34">
        <v>13</v>
      </c>
      <c r="B26" s="67" t="s">
        <v>68</v>
      </c>
      <c r="C26" s="69" t="s">
        <v>69</v>
      </c>
      <c r="D26" s="69" t="s">
        <v>70</v>
      </c>
      <c r="E26" s="64">
        <v>45962</v>
      </c>
      <c r="F26" s="66" t="s">
        <v>71</v>
      </c>
      <c r="G26" s="65" t="s">
        <v>72</v>
      </c>
      <c r="H26" s="61" t="s">
        <v>14</v>
      </c>
      <c r="I26" s="8"/>
      <c r="J26" s="8"/>
      <c r="K26" s="8"/>
    </row>
    <row r="27" spans="1:11" ht="85.15" customHeight="1" x14ac:dyDescent="0.3">
      <c r="A27" s="34">
        <v>14</v>
      </c>
      <c r="B27" s="67" t="s">
        <v>73</v>
      </c>
      <c r="C27" s="69" t="s">
        <v>69</v>
      </c>
      <c r="D27" s="69" t="s">
        <v>70</v>
      </c>
      <c r="E27" s="64">
        <v>45962</v>
      </c>
      <c r="F27" s="66" t="s">
        <v>71</v>
      </c>
      <c r="G27" s="90" t="s">
        <v>32</v>
      </c>
      <c r="H27" s="91" t="s">
        <v>3</v>
      </c>
      <c r="I27" s="8"/>
      <c r="J27" s="8"/>
      <c r="K27" s="8"/>
    </row>
    <row r="28" spans="1:11" ht="173.45" customHeight="1" x14ac:dyDescent="0.3">
      <c r="A28" s="34">
        <v>15</v>
      </c>
      <c r="B28" s="67" t="s">
        <v>74</v>
      </c>
      <c r="C28" s="69" t="s">
        <v>75</v>
      </c>
      <c r="D28" s="71" t="s">
        <v>76</v>
      </c>
      <c r="E28" s="64">
        <v>45962</v>
      </c>
      <c r="F28" s="66" t="s">
        <v>71</v>
      </c>
      <c r="G28" s="90" t="s">
        <v>32</v>
      </c>
      <c r="H28" s="91" t="s">
        <v>3</v>
      </c>
      <c r="I28" s="8"/>
      <c r="J28" s="8"/>
      <c r="K28" s="8"/>
    </row>
    <row r="29" spans="1:11" ht="93" customHeight="1" x14ac:dyDescent="0.3">
      <c r="A29" s="34">
        <v>16</v>
      </c>
      <c r="B29" s="67" t="s">
        <v>77</v>
      </c>
      <c r="C29" s="69" t="s">
        <v>78</v>
      </c>
      <c r="D29" s="71" t="s">
        <v>79</v>
      </c>
      <c r="E29" s="64">
        <v>45962</v>
      </c>
      <c r="F29" s="66" t="s">
        <v>71</v>
      </c>
      <c r="G29" s="90" t="s">
        <v>80</v>
      </c>
      <c r="H29" s="91" t="s">
        <v>3</v>
      </c>
      <c r="I29" s="8"/>
      <c r="J29" s="8"/>
      <c r="K29" s="8"/>
    </row>
    <row r="30" spans="1:11" ht="183" customHeight="1" x14ac:dyDescent="0.3">
      <c r="A30" s="34">
        <v>17</v>
      </c>
      <c r="B30" s="67" t="s">
        <v>81</v>
      </c>
      <c r="C30" s="69" t="s">
        <v>82</v>
      </c>
      <c r="D30" s="71" t="s">
        <v>83</v>
      </c>
      <c r="E30" s="64">
        <v>45962</v>
      </c>
      <c r="F30" s="66" t="s">
        <v>71</v>
      </c>
      <c r="G30" s="90" t="s">
        <v>80</v>
      </c>
      <c r="H30" s="91" t="s">
        <v>3</v>
      </c>
      <c r="I30" s="8"/>
      <c r="J30" s="8"/>
      <c r="K30" s="8"/>
    </row>
    <row r="31" spans="1:11" ht="109.15" customHeight="1" thickBot="1" x14ac:dyDescent="0.35">
      <c r="A31" s="34">
        <v>18</v>
      </c>
      <c r="B31" s="67" t="s">
        <v>84</v>
      </c>
      <c r="C31" s="69" t="s">
        <v>85</v>
      </c>
      <c r="D31" s="69" t="s">
        <v>79</v>
      </c>
      <c r="E31" s="64">
        <v>45962</v>
      </c>
      <c r="F31" s="66" t="s">
        <v>71</v>
      </c>
      <c r="G31" s="65" t="s">
        <v>80</v>
      </c>
      <c r="H31" s="61" t="s">
        <v>3</v>
      </c>
      <c r="I31" s="8"/>
      <c r="J31" s="8"/>
      <c r="K31" s="8"/>
    </row>
    <row r="32" spans="1:11" ht="45" customHeight="1" thickBot="1" x14ac:dyDescent="0.35">
      <c r="A32" s="36" t="s">
        <v>26</v>
      </c>
      <c r="B32" s="118" t="s">
        <v>211</v>
      </c>
      <c r="C32" s="37" t="s">
        <v>19</v>
      </c>
      <c r="D32" s="115" t="s">
        <v>213</v>
      </c>
      <c r="E32" s="38" t="s">
        <v>20</v>
      </c>
      <c r="F32" s="116" t="s">
        <v>214</v>
      </c>
      <c r="G32" s="38" t="s">
        <v>21</v>
      </c>
      <c r="H32" s="39" t="s">
        <v>210</v>
      </c>
      <c r="I32" s="33"/>
      <c r="J32" s="31" t="s">
        <v>22</v>
      </c>
    </row>
    <row r="33" spans="1:12" x14ac:dyDescent="0.3">
      <c r="A33" s="40"/>
      <c r="B33" s="46"/>
      <c r="C33" s="47"/>
      <c r="D33" s="47"/>
      <c r="E33" s="45"/>
      <c r="F33" s="41"/>
      <c r="G33" s="41"/>
      <c r="H33" s="41"/>
      <c r="I33" s="32"/>
      <c r="J33" s="32"/>
      <c r="L33" s="44"/>
    </row>
    <row r="34" spans="1:12" ht="41.25" customHeight="1" x14ac:dyDescent="0.3">
      <c r="A34" s="95"/>
      <c r="B34" s="96"/>
      <c r="C34" s="50"/>
      <c r="D34" s="51"/>
      <c r="E34" s="43"/>
      <c r="F34" s="43"/>
      <c r="G34" s="42"/>
      <c r="H34" s="50"/>
      <c r="I34" s="97" t="s">
        <v>24</v>
      </c>
      <c r="J34" s="98"/>
    </row>
    <row r="35" spans="1:12" x14ac:dyDescent="0.3">
      <c r="A35" s="57"/>
      <c r="B35" s="60" t="s">
        <v>23</v>
      </c>
      <c r="C35" s="55"/>
      <c r="D35" s="54"/>
      <c r="E35" s="99" t="s">
        <v>25</v>
      </c>
      <c r="F35" s="100"/>
      <c r="G35" s="101"/>
      <c r="H35" s="53"/>
      <c r="L35" s="44"/>
    </row>
    <row r="36" spans="1:12" x14ac:dyDescent="0.3">
      <c r="A36" s="48"/>
      <c r="B36" s="58"/>
      <c r="C36" s="53"/>
      <c r="D36" s="52"/>
      <c r="E36" s="55"/>
      <c r="F36" s="53"/>
      <c r="G36" s="56"/>
      <c r="H36" s="53"/>
    </row>
    <row r="37" spans="1:12" x14ac:dyDescent="0.3">
      <c r="A37" s="49"/>
      <c r="C37" s="52"/>
      <c r="D37" s="52"/>
    </row>
    <row r="39" spans="1:12" x14ac:dyDescent="0.3">
      <c r="C39" s="59"/>
    </row>
    <row r="40" spans="1:12" x14ac:dyDescent="0.3">
      <c r="C40" s="52"/>
    </row>
  </sheetData>
  <dataConsolidate/>
  <mergeCells count="18">
    <mergeCell ref="E35:G35"/>
    <mergeCell ref="D4:G4"/>
    <mergeCell ref="B1:H1"/>
    <mergeCell ref="B2:H2"/>
    <mergeCell ref="B3:H3"/>
    <mergeCell ref="F6:H6"/>
    <mergeCell ref="B12:B13"/>
    <mergeCell ref="C12:C13"/>
    <mergeCell ref="D12:D13"/>
    <mergeCell ref="E12:E13"/>
    <mergeCell ref="F12:F13"/>
    <mergeCell ref="G12:G13"/>
    <mergeCell ref="H12:H13"/>
    <mergeCell ref="A1:A4"/>
    <mergeCell ref="B4:C4"/>
    <mergeCell ref="I34:J34"/>
    <mergeCell ref="A34:B34"/>
    <mergeCell ref="A12:A13"/>
  </mergeCells>
  <conditionalFormatting sqref="H14:H31">
    <cfRule type="containsText" dxfId="14" priority="1" operator="containsText" text="EN GESTION">
      <formula>NOT(ISERROR(SEARCH("EN GESTION",H14)))</formula>
    </cfRule>
    <cfRule type="containsText" dxfId="13" priority="2" operator="containsText" text="SIN AVANCE">
      <formula>NOT(ISERROR(SEARCH("SIN AVANCE",H14)))</formula>
    </cfRule>
    <cfRule type="containsText" dxfId="12" priority="3" operator="containsText" text="CUMPLIDAS">
      <formula>NOT(ISERROR(SEARCH("CUMPLIDAS",H14)))</formula>
    </cfRule>
    <cfRule type="containsText" dxfId="11" priority="4" operator="containsText" text="SIN AVANCE">
      <formula>NOT(ISERROR(SEARCH("SIN AVANCE",H14)))</formula>
    </cfRule>
    <cfRule type="expression" dxfId="10" priority="5">
      <formula>$H$14</formula>
    </cfRule>
  </conditionalFormatting>
  <dataValidations count="1">
    <dataValidation type="list" allowBlank="1" showInputMessage="1" showErrorMessage="1" sqref="H14:H31"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AF61-40B0-4100-8A16-3181D1E42258}">
  <sheetPr>
    <pageSetUpPr fitToPage="1"/>
  </sheetPr>
  <dimension ref="A1:L56"/>
  <sheetViews>
    <sheetView zoomScale="83" zoomScaleNormal="98" zoomScaleSheetLayoutView="96" workbookViewId="0">
      <pane xSplit="1" topLeftCell="B1" activePane="topRight" state="frozen"/>
      <selection pane="topRight" activeCell="Q16" sqref="Q16"/>
    </sheetView>
  </sheetViews>
  <sheetFormatPr baseColWidth="10" defaultColWidth="11.42578125" defaultRowHeight="16.5" x14ac:dyDescent="0.3"/>
  <cols>
    <col min="1" max="1" width="19.85546875" style="2" customWidth="1"/>
    <col min="2" max="2" width="45.5703125" style="1" customWidth="1"/>
    <col min="3" max="3" width="31.42578125" style="1" customWidth="1"/>
    <col min="4" max="4" width="46.5703125" style="1" customWidth="1"/>
    <col min="5" max="5" width="18.8554687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111"/>
      <c r="B1" s="111" t="s">
        <v>16</v>
      </c>
      <c r="C1" s="111"/>
      <c r="D1" s="111"/>
      <c r="E1" s="111"/>
      <c r="F1" s="111"/>
      <c r="G1" s="111"/>
      <c r="H1" s="111"/>
    </row>
    <row r="2" spans="1:11" ht="17.25" customHeight="1" x14ac:dyDescent="0.3">
      <c r="A2" s="111"/>
      <c r="B2" s="111" t="s">
        <v>17</v>
      </c>
      <c r="C2" s="111"/>
      <c r="D2" s="111"/>
      <c r="E2" s="111"/>
      <c r="F2" s="111"/>
      <c r="G2" s="111"/>
      <c r="H2" s="111"/>
    </row>
    <row r="3" spans="1:11" ht="17.25" customHeight="1" x14ac:dyDescent="0.3">
      <c r="A3" s="111"/>
      <c r="B3" s="111" t="s">
        <v>18</v>
      </c>
      <c r="C3" s="111"/>
      <c r="D3" s="111"/>
      <c r="E3" s="111"/>
      <c r="F3" s="111"/>
      <c r="G3" s="111"/>
      <c r="H3" s="111"/>
    </row>
    <row r="4" spans="1:11" ht="12.75" customHeight="1" x14ac:dyDescent="0.3">
      <c r="A4" s="111"/>
      <c r="B4" s="112" t="s">
        <v>27</v>
      </c>
      <c r="C4" s="113"/>
      <c r="D4" s="114" t="s">
        <v>28</v>
      </c>
      <c r="E4" s="114"/>
      <c r="F4" s="114"/>
      <c r="G4" s="112"/>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102" t="s">
        <v>11</v>
      </c>
      <c r="G6" s="103"/>
      <c r="H6" s="104"/>
      <c r="I6" s="8"/>
      <c r="J6" s="8"/>
      <c r="K6" s="8"/>
    </row>
    <row r="7" spans="1:11" ht="25.9" customHeight="1" thickBot="1" x14ac:dyDescent="0.35">
      <c r="A7" s="7"/>
      <c r="B7" s="16" t="s">
        <v>186</v>
      </c>
      <c r="C7" s="15"/>
      <c r="D7" s="16" t="s">
        <v>218</v>
      </c>
      <c r="E7" s="17"/>
      <c r="F7" s="12" t="s">
        <v>1</v>
      </c>
      <c r="G7" s="22">
        <v>0</v>
      </c>
      <c r="H7" s="23">
        <f>G7/$G$10</f>
        <v>0</v>
      </c>
      <c r="I7" s="8"/>
      <c r="J7" s="8"/>
      <c r="K7" s="8"/>
    </row>
    <row r="8" spans="1:11" ht="19.899999999999999" customHeight="1" thickBot="1" x14ac:dyDescent="0.35">
      <c r="A8" s="7"/>
      <c r="B8" s="18"/>
      <c r="C8" s="19"/>
      <c r="D8" s="17"/>
      <c r="E8" s="17"/>
      <c r="F8" s="20" t="s">
        <v>2</v>
      </c>
      <c r="G8" s="24">
        <v>0</v>
      </c>
      <c r="H8" s="25">
        <f t="shared" ref="H8:H9" si="0">G8/$G$10</f>
        <v>0</v>
      </c>
      <c r="I8" s="8"/>
      <c r="J8" s="8" t="s">
        <v>12</v>
      </c>
      <c r="K8" s="8" t="s">
        <v>1</v>
      </c>
    </row>
    <row r="9" spans="1:11" ht="19.5" customHeight="1" thickBot="1" x14ac:dyDescent="0.35">
      <c r="A9" s="7"/>
      <c r="B9" s="14" t="s">
        <v>88</v>
      </c>
      <c r="C9" s="18"/>
      <c r="D9" s="16" t="s">
        <v>87</v>
      </c>
      <c r="E9" s="17"/>
      <c r="F9" s="13" t="s">
        <v>3</v>
      </c>
      <c r="G9" s="26">
        <v>34</v>
      </c>
      <c r="H9" s="25">
        <f t="shared" si="0"/>
        <v>1</v>
      </c>
      <c r="I9" s="8"/>
      <c r="J9" s="8" t="s">
        <v>13</v>
      </c>
      <c r="K9" s="8" t="s">
        <v>14</v>
      </c>
    </row>
    <row r="10" spans="1:11" ht="25.5" customHeight="1" thickBot="1" x14ac:dyDescent="0.35">
      <c r="A10" s="7"/>
      <c r="B10" s="18"/>
      <c r="C10" s="19"/>
      <c r="D10" s="19"/>
      <c r="E10" s="19"/>
      <c r="F10" s="21" t="s">
        <v>4</v>
      </c>
      <c r="G10" s="27">
        <v>34</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105" t="s">
        <v>0</v>
      </c>
      <c r="B12" s="105" t="s">
        <v>5</v>
      </c>
      <c r="C12" s="107" t="s">
        <v>6</v>
      </c>
      <c r="D12" s="107" t="s">
        <v>7</v>
      </c>
      <c r="E12" s="109" t="s">
        <v>8</v>
      </c>
      <c r="F12" s="109" t="s">
        <v>9</v>
      </c>
      <c r="G12" s="109" t="s">
        <v>10</v>
      </c>
      <c r="H12" s="109" t="s">
        <v>15</v>
      </c>
      <c r="I12" s="8"/>
      <c r="J12" s="8"/>
      <c r="K12" s="8"/>
    </row>
    <row r="13" spans="1:11" ht="26.25" customHeight="1" thickBot="1" x14ac:dyDescent="0.35">
      <c r="A13" s="106"/>
      <c r="B13" s="106"/>
      <c r="C13" s="108"/>
      <c r="D13" s="108"/>
      <c r="E13" s="110"/>
      <c r="F13" s="110"/>
      <c r="G13" s="110"/>
      <c r="H13" s="110"/>
      <c r="I13" s="8"/>
      <c r="J13" s="8"/>
      <c r="K13" s="8"/>
    </row>
    <row r="14" spans="1:11" s="63" customFormat="1" ht="158.44999999999999" customHeight="1" x14ac:dyDescent="0.25">
      <c r="A14" s="10">
        <v>1</v>
      </c>
      <c r="B14" s="71" t="s">
        <v>90</v>
      </c>
      <c r="C14" s="71" t="s">
        <v>91</v>
      </c>
      <c r="D14" s="71" t="s">
        <v>92</v>
      </c>
      <c r="E14" s="75">
        <v>45962</v>
      </c>
      <c r="F14" s="76" t="s">
        <v>93</v>
      </c>
      <c r="G14" s="76" t="s">
        <v>94</v>
      </c>
      <c r="H14" s="29" t="s">
        <v>3</v>
      </c>
      <c r="I14" s="62"/>
      <c r="J14" s="62"/>
      <c r="K14" s="62"/>
    </row>
    <row r="15" spans="1:11" ht="148.9" customHeight="1" x14ac:dyDescent="0.3">
      <c r="A15" s="9">
        <v>2</v>
      </c>
      <c r="B15" s="71" t="s">
        <v>95</v>
      </c>
      <c r="C15" s="71" t="s">
        <v>96</v>
      </c>
      <c r="D15" s="71" t="s">
        <v>97</v>
      </c>
      <c r="E15" s="77">
        <v>45962</v>
      </c>
      <c r="F15" s="76" t="s">
        <v>93</v>
      </c>
      <c r="G15" s="76" t="s">
        <v>94</v>
      </c>
      <c r="H15" s="30" t="s">
        <v>3</v>
      </c>
      <c r="I15" s="8"/>
      <c r="J15" s="8"/>
      <c r="K15" s="8"/>
    </row>
    <row r="16" spans="1:11" ht="122.45" customHeight="1" x14ac:dyDescent="0.3">
      <c r="A16" s="9">
        <v>3</v>
      </c>
      <c r="B16" s="71" t="s">
        <v>98</v>
      </c>
      <c r="C16" s="71" t="s">
        <v>99</v>
      </c>
      <c r="D16" s="71" t="s">
        <v>100</v>
      </c>
      <c r="E16" s="77">
        <v>45962</v>
      </c>
      <c r="F16" s="76" t="s">
        <v>93</v>
      </c>
      <c r="G16" s="76" t="s">
        <v>94</v>
      </c>
      <c r="H16" s="30" t="s">
        <v>3</v>
      </c>
      <c r="I16" s="8"/>
      <c r="J16" s="8"/>
      <c r="K16" s="8"/>
    </row>
    <row r="17" spans="1:11" ht="120" customHeight="1" x14ac:dyDescent="0.3">
      <c r="A17" s="9">
        <v>4</v>
      </c>
      <c r="B17" s="71" t="s">
        <v>101</v>
      </c>
      <c r="C17" s="71" t="s">
        <v>102</v>
      </c>
      <c r="D17" s="71" t="s">
        <v>103</v>
      </c>
      <c r="E17" s="75">
        <v>45962</v>
      </c>
      <c r="F17" s="76" t="s">
        <v>93</v>
      </c>
      <c r="G17" s="76" t="s">
        <v>94</v>
      </c>
      <c r="H17" s="30" t="s">
        <v>3</v>
      </c>
      <c r="I17" s="8"/>
      <c r="J17" s="8"/>
      <c r="K17" s="8"/>
    </row>
    <row r="18" spans="1:11" ht="142.15" customHeight="1" x14ac:dyDescent="0.3">
      <c r="A18" s="34">
        <v>5</v>
      </c>
      <c r="B18" s="71" t="s">
        <v>104</v>
      </c>
      <c r="C18" s="71" t="s">
        <v>105</v>
      </c>
      <c r="D18" s="71" t="s">
        <v>106</v>
      </c>
      <c r="E18" s="75">
        <v>45962</v>
      </c>
      <c r="F18" s="76" t="s">
        <v>93</v>
      </c>
      <c r="G18" s="92" t="s">
        <v>94</v>
      </c>
      <c r="H18" s="91" t="s">
        <v>3</v>
      </c>
      <c r="I18" s="8"/>
      <c r="J18" s="8"/>
      <c r="K18" s="8"/>
    </row>
    <row r="19" spans="1:11" ht="110.45" customHeight="1" x14ac:dyDescent="0.3">
      <c r="A19" s="34">
        <v>6</v>
      </c>
      <c r="B19" s="71" t="s">
        <v>107</v>
      </c>
      <c r="C19" s="71" t="s">
        <v>108</v>
      </c>
      <c r="D19" s="71" t="s">
        <v>109</v>
      </c>
      <c r="E19" s="75">
        <v>45962</v>
      </c>
      <c r="F19" s="76" t="s">
        <v>93</v>
      </c>
      <c r="G19" s="92" t="s">
        <v>110</v>
      </c>
      <c r="H19" s="91" t="s">
        <v>3</v>
      </c>
      <c r="I19" s="8"/>
      <c r="J19" s="8"/>
      <c r="K19" s="8"/>
    </row>
    <row r="20" spans="1:11" ht="123.6" customHeight="1" x14ac:dyDescent="0.3">
      <c r="A20" s="34">
        <v>7</v>
      </c>
      <c r="B20" s="71" t="s">
        <v>111</v>
      </c>
      <c r="C20" s="71" t="s">
        <v>112</v>
      </c>
      <c r="D20" s="71" t="s">
        <v>113</v>
      </c>
      <c r="E20" s="75">
        <v>45962</v>
      </c>
      <c r="F20" s="76" t="s">
        <v>93</v>
      </c>
      <c r="G20" s="92" t="s">
        <v>94</v>
      </c>
      <c r="H20" s="91" t="s">
        <v>3</v>
      </c>
      <c r="I20" s="8"/>
      <c r="J20" s="8"/>
      <c r="K20" s="8"/>
    </row>
    <row r="21" spans="1:11" ht="132" customHeight="1" x14ac:dyDescent="0.3">
      <c r="A21" s="34">
        <v>8</v>
      </c>
      <c r="B21" s="71" t="s">
        <v>114</v>
      </c>
      <c r="C21" s="71" t="s">
        <v>115</v>
      </c>
      <c r="D21" s="71" t="s">
        <v>116</v>
      </c>
      <c r="E21" s="75">
        <v>45962</v>
      </c>
      <c r="F21" s="76" t="s">
        <v>93</v>
      </c>
      <c r="G21" s="92" t="s">
        <v>94</v>
      </c>
      <c r="H21" s="91" t="s">
        <v>3</v>
      </c>
      <c r="I21" s="8"/>
      <c r="J21" s="8"/>
      <c r="K21" s="8"/>
    </row>
    <row r="22" spans="1:11" ht="85.15" customHeight="1" x14ac:dyDescent="0.3">
      <c r="A22" s="34">
        <v>9</v>
      </c>
      <c r="B22" s="71" t="s">
        <v>117</v>
      </c>
      <c r="C22" s="71" t="s">
        <v>118</v>
      </c>
      <c r="D22" s="71" t="s">
        <v>119</v>
      </c>
      <c r="E22" s="75">
        <v>45962</v>
      </c>
      <c r="F22" s="76" t="s">
        <v>93</v>
      </c>
      <c r="G22" s="92" t="s">
        <v>94</v>
      </c>
      <c r="H22" s="91" t="s">
        <v>3</v>
      </c>
      <c r="I22" s="8"/>
      <c r="J22" s="8"/>
      <c r="K22" s="8"/>
    </row>
    <row r="23" spans="1:11" ht="172.15" customHeight="1" x14ac:dyDescent="0.3">
      <c r="A23" s="34">
        <v>10</v>
      </c>
      <c r="B23" s="71" t="s">
        <v>120</v>
      </c>
      <c r="C23" s="71" t="s">
        <v>121</v>
      </c>
      <c r="D23" s="71" t="s">
        <v>122</v>
      </c>
      <c r="E23" s="75">
        <v>45962</v>
      </c>
      <c r="F23" s="76" t="s">
        <v>93</v>
      </c>
      <c r="G23" s="92" t="s">
        <v>94</v>
      </c>
      <c r="H23" s="91" t="s">
        <v>3</v>
      </c>
      <c r="I23" s="8"/>
      <c r="J23" s="8"/>
      <c r="K23" s="8"/>
    </row>
    <row r="24" spans="1:11" ht="85.15" customHeight="1" x14ac:dyDescent="0.3">
      <c r="A24" s="34">
        <v>11</v>
      </c>
      <c r="B24" s="71" t="s">
        <v>123</v>
      </c>
      <c r="C24" s="71" t="s">
        <v>118</v>
      </c>
      <c r="D24" s="71" t="s">
        <v>119</v>
      </c>
      <c r="E24" s="75">
        <v>45962</v>
      </c>
      <c r="F24" s="76" t="s">
        <v>93</v>
      </c>
      <c r="G24" s="92" t="s">
        <v>94</v>
      </c>
      <c r="H24" s="91" t="s">
        <v>3</v>
      </c>
      <c r="I24" s="8"/>
      <c r="J24" s="8"/>
      <c r="K24" s="8"/>
    </row>
    <row r="25" spans="1:11" ht="91.9" customHeight="1" x14ac:dyDescent="0.3">
      <c r="A25" s="34">
        <v>12</v>
      </c>
      <c r="B25" s="71" t="s">
        <v>124</v>
      </c>
      <c r="C25" s="71" t="s">
        <v>125</v>
      </c>
      <c r="D25" s="71" t="s">
        <v>126</v>
      </c>
      <c r="E25" s="75">
        <v>45962</v>
      </c>
      <c r="F25" s="76" t="s">
        <v>93</v>
      </c>
      <c r="G25" s="76" t="s">
        <v>94</v>
      </c>
      <c r="H25" s="61" t="s">
        <v>3</v>
      </c>
      <c r="I25" s="8"/>
      <c r="J25" s="8"/>
      <c r="K25" s="8"/>
    </row>
    <row r="26" spans="1:11" ht="85.15" customHeight="1" x14ac:dyDescent="0.3">
      <c r="A26" s="34">
        <v>13</v>
      </c>
      <c r="B26" s="71" t="s">
        <v>127</v>
      </c>
      <c r="C26" s="71" t="s">
        <v>128</v>
      </c>
      <c r="D26" s="71" t="s">
        <v>129</v>
      </c>
      <c r="E26" s="75">
        <v>45962</v>
      </c>
      <c r="F26" s="76" t="s">
        <v>93</v>
      </c>
      <c r="G26" s="76" t="s">
        <v>94</v>
      </c>
      <c r="H26" s="61" t="s">
        <v>3</v>
      </c>
      <c r="I26" s="8"/>
      <c r="J26" s="8"/>
      <c r="K26" s="8"/>
    </row>
    <row r="27" spans="1:11" ht="85.15" customHeight="1" x14ac:dyDescent="0.3">
      <c r="A27" s="34">
        <v>14</v>
      </c>
      <c r="B27" s="71" t="s">
        <v>130</v>
      </c>
      <c r="C27" s="71" t="s">
        <v>131</v>
      </c>
      <c r="D27" s="71" t="s">
        <v>109</v>
      </c>
      <c r="E27" s="75">
        <v>45962</v>
      </c>
      <c r="F27" s="76" t="s">
        <v>93</v>
      </c>
      <c r="G27" s="76" t="s">
        <v>94</v>
      </c>
      <c r="H27" s="61" t="s">
        <v>3</v>
      </c>
      <c r="I27" s="8"/>
      <c r="J27" s="8"/>
      <c r="K27" s="8"/>
    </row>
    <row r="28" spans="1:11" ht="173.45" customHeight="1" x14ac:dyDescent="0.3">
      <c r="A28" s="34">
        <v>15</v>
      </c>
      <c r="B28" s="71" t="s">
        <v>132</v>
      </c>
      <c r="C28" s="71" t="s">
        <v>133</v>
      </c>
      <c r="D28" s="71" t="s">
        <v>134</v>
      </c>
      <c r="E28" s="75">
        <v>45962</v>
      </c>
      <c r="F28" s="76" t="s">
        <v>93</v>
      </c>
      <c r="G28" s="76" t="s">
        <v>94</v>
      </c>
      <c r="H28" s="61" t="s">
        <v>3</v>
      </c>
      <c r="I28" s="8"/>
      <c r="J28" s="8"/>
      <c r="K28" s="8"/>
    </row>
    <row r="29" spans="1:11" ht="93" customHeight="1" x14ac:dyDescent="0.3">
      <c r="A29" s="34">
        <v>16</v>
      </c>
      <c r="B29" s="71" t="s">
        <v>135</v>
      </c>
      <c r="C29" s="71" t="s">
        <v>136</v>
      </c>
      <c r="D29" s="71" t="s">
        <v>137</v>
      </c>
      <c r="E29" s="75">
        <v>45962</v>
      </c>
      <c r="F29" s="76" t="s">
        <v>93</v>
      </c>
      <c r="G29" s="76" t="s">
        <v>94</v>
      </c>
      <c r="H29" s="61" t="s">
        <v>3</v>
      </c>
      <c r="I29" s="8"/>
      <c r="J29" s="8"/>
      <c r="K29" s="8"/>
    </row>
    <row r="30" spans="1:11" ht="183" customHeight="1" x14ac:dyDescent="0.3">
      <c r="A30" s="34">
        <v>17</v>
      </c>
      <c r="B30" s="71" t="s">
        <v>138</v>
      </c>
      <c r="C30" s="71" t="s">
        <v>139</v>
      </c>
      <c r="D30" s="71" t="s">
        <v>140</v>
      </c>
      <c r="E30" s="75">
        <v>45962</v>
      </c>
      <c r="F30" s="76" t="s">
        <v>93</v>
      </c>
      <c r="G30" s="76" t="s">
        <v>94</v>
      </c>
      <c r="H30" s="61" t="s">
        <v>3</v>
      </c>
      <c r="I30" s="8"/>
      <c r="J30" s="8"/>
      <c r="K30" s="8"/>
    </row>
    <row r="31" spans="1:11" ht="183" customHeight="1" x14ac:dyDescent="0.3">
      <c r="A31" s="34">
        <v>18</v>
      </c>
      <c r="B31" s="71" t="s">
        <v>141</v>
      </c>
      <c r="C31" s="71" t="s">
        <v>142</v>
      </c>
      <c r="D31" s="71" t="s">
        <v>103</v>
      </c>
      <c r="E31" s="75">
        <v>45962</v>
      </c>
      <c r="F31" s="76" t="s">
        <v>93</v>
      </c>
      <c r="G31" s="76" t="s">
        <v>94</v>
      </c>
      <c r="H31" s="61" t="s">
        <v>3</v>
      </c>
      <c r="I31" s="8"/>
      <c r="J31" s="8"/>
      <c r="K31" s="8"/>
    </row>
    <row r="32" spans="1:11" ht="183" customHeight="1" x14ac:dyDescent="0.3">
      <c r="A32" s="34">
        <v>19</v>
      </c>
      <c r="B32" s="71" t="s">
        <v>143</v>
      </c>
      <c r="C32" s="71" t="s">
        <v>144</v>
      </c>
      <c r="D32" s="71" t="s">
        <v>145</v>
      </c>
      <c r="E32" s="75">
        <v>45962</v>
      </c>
      <c r="F32" s="76" t="s">
        <v>146</v>
      </c>
      <c r="G32" s="76" t="s">
        <v>94</v>
      </c>
      <c r="H32" s="61" t="s">
        <v>3</v>
      </c>
      <c r="I32" s="8"/>
      <c r="J32" s="8"/>
      <c r="K32" s="8"/>
    </row>
    <row r="33" spans="1:11" ht="183" customHeight="1" x14ac:dyDescent="0.3">
      <c r="A33" s="34">
        <v>20</v>
      </c>
      <c r="B33" s="71" t="s">
        <v>147</v>
      </c>
      <c r="C33" s="71" t="s">
        <v>148</v>
      </c>
      <c r="D33" s="69" t="s">
        <v>145</v>
      </c>
      <c r="E33" s="78">
        <v>45962</v>
      </c>
      <c r="F33" s="76" t="s">
        <v>93</v>
      </c>
      <c r="G33" s="79" t="s">
        <v>94</v>
      </c>
      <c r="H33" s="61" t="s">
        <v>3</v>
      </c>
      <c r="I33" s="8"/>
      <c r="J33" s="8"/>
      <c r="K33" s="8"/>
    </row>
    <row r="34" spans="1:11" ht="183" customHeight="1" x14ac:dyDescent="0.3">
      <c r="A34" s="34">
        <v>21</v>
      </c>
      <c r="B34" s="71" t="s">
        <v>149</v>
      </c>
      <c r="C34" s="71" t="s">
        <v>150</v>
      </c>
      <c r="D34" s="69" t="s">
        <v>151</v>
      </c>
      <c r="E34" s="78">
        <v>45962</v>
      </c>
      <c r="F34" s="76" t="s">
        <v>93</v>
      </c>
      <c r="G34" s="79" t="s">
        <v>94</v>
      </c>
      <c r="H34" s="61" t="s">
        <v>3</v>
      </c>
      <c r="I34" s="8"/>
      <c r="J34" s="8"/>
      <c r="K34" s="8"/>
    </row>
    <row r="35" spans="1:11" ht="183" customHeight="1" x14ac:dyDescent="0.3">
      <c r="A35" s="34">
        <v>22</v>
      </c>
      <c r="B35" s="71" t="s">
        <v>152</v>
      </c>
      <c r="C35" s="71" t="s">
        <v>153</v>
      </c>
      <c r="D35" s="69" t="s">
        <v>145</v>
      </c>
      <c r="E35" s="78">
        <v>45962</v>
      </c>
      <c r="F35" s="76" t="s">
        <v>93</v>
      </c>
      <c r="G35" s="79" t="s">
        <v>94</v>
      </c>
      <c r="H35" s="61" t="s">
        <v>3</v>
      </c>
      <c r="I35" s="8"/>
      <c r="J35" s="8"/>
      <c r="K35" s="8"/>
    </row>
    <row r="36" spans="1:11" ht="183" customHeight="1" x14ac:dyDescent="0.3">
      <c r="A36" s="34">
        <v>23</v>
      </c>
      <c r="B36" s="71" t="s">
        <v>154</v>
      </c>
      <c r="C36" s="71" t="s">
        <v>155</v>
      </c>
      <c r="D36" s="69" t="s">
        <v>103</v>
      </c>
      <c r="E36" s="78">
        <v>45962</v>
      </c>
      <c r="F36" s="76" t="s">
        <v>93</v>
      </c>
      <c r="G36" s="79" t="s">
        <v>94</v>
      </c>
      <c r="H36" s="61" t="s">
        <v>3</v>
      </c>
      <c r="I36" s="8"/>
      <c r="J36" s="8"/>
      <c r="K36" s="8"/>
    </row>
    <row r="37" spans="1:11" ht="183" customHeight="1" x14ac:dyDescent="0.3">
      <c r="A37" s="34">
        <v>24</v>
      </c>
      <c r="B37" s="71" t="s">
        <v>156</v>
      </c>
      <c r="C37" s="71" t="s">
        <v>157</v>
      </c>
      <c r="D37" s="69" t="s">
        <v>158</v>
      </c>
      <c r="E37" s="78">
        <v>45962</v>
      </c>
      <c r="F37" s="76" t="s">
        <v>93</v>
      </c>
      <c r="G37" s="79" t="s">
        <v>94</v>
      </c>
      <c r="H37" s="61" t="s">
        <v>3</v>
      </c>
      <c r="I37" s="8"/>
      <c r="J37" s="8"/>
      <c r="K37" s="8"/>
    </row>
    <row r="38" spans="1:11" ht="183" customHeight="1" x14ac:dyDescent="0.3">
      <c r="A38" s="34">
        <v>25</v>
      </c>
      <c r="B38" s="71" t="s">
        <v>159</v>
      </c>
      <c r="C38" s="85" t="s">
        <v>160</v>
      </c>
      <c r="D38" s="85" t="s">
        <v>161</v>
      </c>
      <c r="E38" s="80">
        <v>45962</v>
      </c>
      <c r="F38" s="76" t="s">
        <v>93</v>
      </c>
      <c r="G38" s="81" t="s">
        <v>94</v>
      </c>
      <c r="H38" s="61" t="s">
        <v>3</v>
      </c>
      <c r="I38" s="8"/>
      <c r="J38" s="8"/>
      <c r="K38" s="8"/>
    </row>
    <row r="39" spans="1:11" ht="183" customHeight="1" x14ac:dyDescent="0.3">
      <c r="A39" s="34">
        <v>26</v>
      </c>
      <c r="B39" s="71" t="s">
        <v>162</v>
      </c>
      <c r="C39" s="85" t="s">
        <v>163</v>
      </c>
      <c r="D39" s="85" t="s">
        <v>164</v>
      </c>
      <c r="E39" s="80">
        <v>45962</v>
      </c>
      <c r="F39" s="76" t="s">
        <v>93</v>
      </c>
      <c r="G39" s="81" t="s">
        <v>94</v>
      </c>
      <c r="H39" s="61" t="s">
        <v>3</v>
      </c>
      <c r="I39" s="8"/>
      <c r="J39" s="8"/>
      <c r="K39" s="8"/>
    </row>
    <row r="40" spans="1:11" ht="183" customHeight="1" x14ac:dyDescent="0.3">
      <c r="A40" s="34">
        <v>27</v>
      </c>
      <c r="B40" s="71" t="s">
        <v>165</v>
      </c>
      <c r="C40" s="85" t="s">
        <v>166</v>
      </c>
      <c r="D40" s="85" t="s">
        <v>167</v>
      </c>
      <c r="E40" s="80">
        <v>45962</v>
      </c>
      <c r="F40" s="76" t="s">
        <v>93</v>
      </c>
      <c r="G40" s="81" t="s">
        <v>94</v>
      </c>
      <c r="H40" s="61" t="s">
        <v>3</v>
      </c>
      <c r="I40" s="8"/>
      <c r="J40" s="8"/>
      <c r="K40" s="8"/>
    </row>
    <row r="41" spans="1:11" ht="183" customHeight="1" x14ac:dyDescent="0.3">
      <c r="A41" s="34">
        <v>28</v>
      </c>
      <c r="B41" s="71" t="s">
        <v>168</v>
      </c>
      <c r="C41" s="85" t="s">
        <v>169</v>
      </c>
      <c r="D41" s="85" t="s">
        <v>170</v>
      </c>
      <c r="E41" s="80">
        <v>45962</v>
      </c>
      <c r="F41" s="76" t="s">
        <v>93</v>
      </c>
      <c r="G41" s="81" t="s">
        <v>94</v>
      </c>
      <c r="H41" s="61" t="s">
        <v>3</v>
      </c>
      <c r="I41" s="8"/>
      <c r="J41" s="8"/>
      <c r="K41" s="8"/>
    </row>
    <row r="42" spans="1:11" ht="183" customHeight="1" x14ac:dyDescent="0.3">
      <c r="A42" s="34">
        <v>29</v>
      </c>
      <c r="B42" s="71" t="s">
        <v>171</v>
      </c>
      <c r="C42" s="85" t="s">
        <v>172</v>
      </c>
      <c r="D42" s="71" t="s">
        <v>173</v>
      </c>
      <c r="E42" s="80">
        <v>45962</v>
      </c>
      <c r="F42" s="76" t="s">
        <v>93</v>
      </c>
      <c r="G42" s="81" t="s">
        <v>94</v>
      </c>
      <c r="H42" s="61" t="s">
        <v>3</v>
      </c>
      <c r="I42" s="8"/>
      <c r="J42" s="8"/>
      <c r="K42" s="8"/>
    </row>
    <row r="43" spans="1:11" ht="183" customHeight="1" x14ac:dyDescent="0.3">
      <c r="A43" s="34">
        <v>30</v>
      </c>
      <c r="B43" s="71" t="s">
        <v>174</v>
      </c>
      <c r="C43" s="71" t="s">
        <v>175</v>
      </c>
      <c r="D43" s="71" t="s">
        <v>173</v>
      </c>
      <c r="E43" s="78">
        <v>45962</v>
      </c>
      <c r="F43" s="76" t="s">
        <v>93</v>
      </c>
      <c r="G43" s="79" t="s">
        <v>94</v>
      </c>
      <c r="H43" s="61" t="s">
        <v>3</v>
      </c>
      <c r="I43" s="8"/>
      <c r="J43" s="8"/>
      <c r="K43" s="8"/>
    </row>
    <row r="44" spans="1:11" ht="183" customHeight="1" x14ac:dyDescent="0.3">
      <c r="A44" s="34">
        <v>31</v>
      </c>
      <c r="B44" s="71" t="s">
        <v>176</v>
      </c>
      <c r="C44" s="69" t="s">
        <v>177</v>
      </c>
      <c r="D44" s="69" t="s">
        <v>103</v>
      </c>
      <c r="E44" s="78">
        <v>45962</v>
      </c>
      <c r="F44" s="76" t="s">
        <v>93</v>
      </c>
      <c r="G44" s="79" t="s">
        <v>94</v>
      </c>
      <c r="H44" s="61" t="s">
        <v>3</v>
      </c>
      <c r="I44" s="8"/>
      <c r="J44" s="8"/>
      <c r="K44" s="8"/>
    </row>
    <row r="45" spans="1:11" ht="183" customHeight="1" x14ac:dyDescent="0.3">
      <c r="A45" s="34">
        <v>32</v>
      </c>
      <c r="B45" s="71" t="s">
        <v>178</v>
      </c>
      <c r="C45" s="69" t="s">
        <v>179</v>
      </c>
      <c r="D45" s="69" t="s">
        <v>180</v>
      </c>
      <c r="E45" s="78">
        <v>45962</v>
      </c>
      <c r="F45" s="76" t="s">
        <v>93</v>
      </c>
      <c r="G45" s="79" t="s">
        <v>94</v>
      </c>
      <c r="H45" s="61" t="s">
        <v>3</v>
      </c>
      <c r="I45" s="8"/>
      <c r="J45" s="8"/>
      <c r="K45" s="8"/>
    </row>
    <row r="46" spans="1:11" ht="183" customHeight="1" thickBot="1" x14ac:dyDescent="0.35">
      <c r="A46" s="34">
        <v>33</v>
      </c>
      <c r="B46" s="71" t="s">
        <v>181</v>
      </c>
      <c r="C46" s="85" t="s">
        <v>179</v>
      </c>
      <c r="D46" s="85" t="s">
        <v>180</v>
      </c>
      <c r="E46" s="80">
        <v>45962</v>
      </c>
      <c r="F46" s="76" t="s">
        <v>93</v>
      </c>
      <c r="G46" s="81" t="s">
        <v>94</v>
      </c>
      <c r="H46" s="61" t="s">
        <v>3</v>
      </c>
      <c r="I46" s="8"/>
      <c r="J46" s="8"/>
      <c r="K46" s="8"/>
    </row>
    <row r="47" spans="1:11" ht="109.15" customHeight="1" thickBot="1" x14ac:dyDescent="0.35">
      <c r="A47" s="34">
        <v>34</v>
      </c>
      <c r="B47" s="86" t="s">
        <v>182</v>
      </c>
      <c r="C47" s="86" t="s">
        <v>183</v>
      </c>
      <c r="D47" s="87" t="s">
        <v>184</v>
      </c>
      <c r="E47" s="82">
        <v>45962</v>
      </c>
      <c r="F47" s="83" t="s">
        <v>185</v>
      </c>
      <c r="G47" s="84" t="s">
        <v>94</v>
      </c>
      <c r="H47" s="35" t="s">
        <v>3</v>
      </c>
      <c r="I47" s="8"/>
      <c r="J47" s="8"/>
      <c r="K47" s="8"/>
    </row>
    <row r="48" spans="1:11" ht="45" customHeight="1" thickBot="1" x14ac:dyDescent="0.35">
      <c r="A48" s="36" t="s">
        <v>26</v>
      </c>
      <c r="B48" s="93" t="s">
        <v>215</v>
      </c>
      <c r="C48" s="37" t="s">
        <v>19</v>
      </c>
      <c r="D48" s="115" t="s">
        <v>213</v>
      </c>
      <c r="E48" s="38" t="s">
        <v>20</v>
      </c>
      <c r="F48" s="116" t="s">
        <v>214</v>
      </c>
      <c r="G48" s="38" t="s">
        <v>21</v>
      </c>
      <c r="H48" s="117" t="s">
        <v>210</v>
      </c>
      <c r="I48" s="33"/>
      <c r="J48" s="31" t="s">
        <v>22</v>
      </c>
    </row>
    <row r="49" spans="1:12" x14ac:dyDescent="0.3">
      <c r="A49" s="40"/>
      <c r="B49" s="46"/>
      <c r="C49" s="47"/>
      <c r="D49" s="47"/>
      <c r="E49" s="45"/>
      <c r="F49" s="41"/>
      <c r="G49" s="41"/>
      <c r="H49" s="41"/>
      <c r="I49" s="32"/>
      <c r="J49" s="32"/>
      <c r="L49" s="44"/>
    </row>
    <row r="50" spans="1:12" ht="41.25" customHeight="1" x14ac:dyDescent="0.3">
      <c r="A50" s="95"/>
      <c r="B50" s="96"/>
      <c r="C50" s="50"/>
      <c r="D50" s="51"/>
      <c r="E50" s="43"/>
      <c r="F50" s="43"/>
      <c r="G50" s="42"/>
      <c r="H50" s="50"/>
      <c r="I50" s="97" t="s">
        <v>24</v>
      </c>
      <c r="J50" s="98"/>
    </row>
    <row r="51" spans="1:12" x14ac:dyDescent="0.3">
      <c r="A51" s="57"/>
      <c r="B51" s="60" t="s">
        <v>23</v>
      </c>
      <c r="C51" s="55"/>
      <c r="D51" s="54"/>
      <c r="E51" s="99" t="s">
        <v>25</v>
      </c>
      <c r="F51" s="100"/>
      <c r="G51" s="101"/>
      <c r="H51" s="53"/>
      <c r="L51" s="44"/>
    </row>
    <row r="52" spans="1:12" x14ac:dyDescent="0.3">
      <c r="A52" s="48"/>
      <c r="B52" s="58"/>
      <c r="C52" s="53"/>
      <c r="D52" s="52"/>
      <c r="E52" s="55"/>
      <c r="F52" s="53"/>
      <c r="G52" s="56"/>
      <c r="H52" s="53"/>
    </row>
    <row r="53" spans="1:12" x14ac:dyDescent="0.3">
      <c r="A53" s="49"/>
      <c r="C53" s="52"/>
      <c r="D53" s="52"/>
    </row>
    <row r="55" spans="1:12" x14ac:dyDescent="0.3">
      <c r="C55" s="59"/>
    </row>
    <row r="56" spans="1:12" x14ac:dyDescent="0.3">
      <c r="C56" s="52"/>
    </row>
  </sheetData>
  <dataConsolidate/>
  <mergeCells count="18">
    <mergeCell ref="A1:A4"/>
    <mergeCell ref="B1:H1"/>
    <mergeCell ref="B2:H2"/>
    <mergeCell ref="B3:H3"/>
    <mergeCell ref="B4:C4"/>
    <mergeCell ref="D4:G4"/>
    <mergeCell ref="A50:B50"/>
    <mergeCell ref="I50:J50"/>
    <mergeCell ref="E51:G51"/>
    <mergeCell ref="F6:H6"/>
    <mergeCell ref="A12:A13"/>
    <mergeCell ref="B12:B13"/>
    <mergeCell ref="C12:C13"/>
    <mergeCell ref="D12:D13"/>
    <mergeCell ref="E12:E13"/>
    <mergeCell ref="F12:F13"/>
    <mergeCell ref="G12:G13"/>
    <mergeCell ref="H12:H13"/>
  </mergeCells>
  <conditionalFormatting sqref="H14:H47">
    <cfRule type="containsText" dxfId="9" priority="1" operator="containsText" text="EN GESTION">
      <formula>NOT(ISERROR(SEARCH("EN GESTION",H14)))</formula>
    </cfRule>
    <cfRule type="containsText" dxfId="8" priority="2" operator="containsText" text="SIN AVANCE">
      <formula>NOT(ISERROR(SEARCH("SIN AVANCE",H14)))</formula>
    </cfRule>
    <cfRule type="containsText" dxfId="7" priority="3" operator="containsText" text="CUMPLIDAS">
      <formula>NOT(ISERROR(SEARCH("CUMPLIDAS",H14)))</formula>
    </cfRule>
    <cfRule type="containsText" dxfId="6" priority="4" operator="containsText" text="SIN AVANCE">
      <formula>NOT(ISERROR(SEARCH("SIN AVANCE",H14)))</formula>
    </cfRule>
    <cfRule type="expression" dxfId="5" priority="5">
      <formula>$H$14</formula>
    </cfRule>
  </conditionalFormatting>
  <dataValidations count="1">
    <dataValidation type="list" allowBlank="1" showInputMessage="1" showErrorMessage="1" sqref="H14:H47" xr:uid="{1D62050E-3834-4274-8C35-F429FBD8584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8EF4-49D9-4DB2-B65C-4AD33CCD43BC}">
  <sheetPr>
    <pageSetUpPr fitToPage="1"/>
  </sheetPr>
  <dimension ref="A1:L29"/>
  <sheetViews>
    <sheetView tabSelected="1" topLeftCell="A8" zoomScale="83" zoomScaleNormal="98" zoomScaleSheetLayoutView="96" workbookViewId="0">
      <pane xSplit="1" topLeftCell="B1" activePane="topRight" state="frozen"/>
      <selection pane="topRight" activeCell="O31" sqref="O31"/>
    </sheetView>
  </sheetViews>
  <sheetFormatPr baseColWidth="10" defaultColWidth="11.42578125" defaultRowHeight="16.5" x14ac:dyDescent="0.3"/>
  <cols>
    <col min="1" max="1" width="19.85546875" style="2" customWidth="1"/>
    <col min="2" max="2" width="45.5703125" style="1" customWidth="1"/>
    <col min="3" max="3" width="31.42578125" style="1" customWidth="1"/>
    <col min="4" max="4" width="46.5703125" style="1" customWidth="1"/>
    <col min="5" max="5" width="18.8554687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111"/>
      <c r="B1" s="111" t="s">
        <v>16</v>
      </c>
      <c r="C1" s="111"/>
      <c r="D1" s="111"/>
      <c r="E1" s="111"/>
      <c r="F1" s="111"/>
      <c r="G1" s="111"/>
      <c r="H1" s="111"/>
    </row>
    <row r="2" spans="1:11" ht="17.25" customHeight="1" x14ac:dyDescent="0.3">
      <c r="A2" s="111"/>
      <c r="B2" s="111" t="s">
        <v>17</v>
      </c>
      <c r="C2" s="111"/>
      <c r="D2" s="111"/>
      <c r="E2" s="111"/>
      <c r="F2" s="111"/>
      <c r="G2" s="111"/>
      <c r="H2" s="111"/>
    </row>
    <row r="3" spans="1:11" ht="17.25" customHeight="1" x14ac:dyDescent="0.3">
      <c r="A3" s="111"/>
      <c r="B3" s="111" t="s">
        <v>18</v>
      </c>
      <c r="C3" s="111"/>
      <c r="D3" s="111"/>
      <c r="E3" s="111"/>
      <c r="F3" s="111"/>
      <c r="G3" s="111"/>
      <c r="H3" s="111"/>
    </row>
    <row r="4" spans="1:11" ht="12.75" customHeight="1" x14ac:dyDescent="0.3">
      <c r="A4" s="111"/>
      <c r="B4" s="112" t="s">
        <v>27</v>
      </c>
      <c r="C4" s="113"/>
      <c r="D4" s="114" t="s">
        <v>28</v>
      </c>
      <c r="E4" s="114"/>
      <c r="F4" s="114"/>
      <c r="G4" s="112"/>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102" t="s">
        <v>11</v>
      </c>
      <c r="G6" s="103"/>
      <c r="H6" s="104"/>
      <c r="I6" s="8"/>
      <c r="J6" s="8"/>
      <c r="K6" s="8"/>
    </row>
    <row r="7" spans="1:11" ht="25.9" customHeight="1" thickBot="1" x14ac:dyDescent="0.35">
      <c r="A7" s="7"/>
      <c r="B7" s="16" t="s">
        <v>186</v>
      </c>
      <c r="C7" s="15"/>
      <c r="D7" s="16" t="s">
        <v>219</v>
      </c>
      <c r="E7" s="17"/>
      <c r="F7" s="12" t="s">
        <v>1</v>
      </c>
      <c r="G7" s="22">
        <v>1</v>
      </c>
      <c r="H7" s="23">
        <f>G7/$G$10</f>
        <v>0.16666666666666666</v>
      </c>
      <c r="I7" s="8"/>
      <c r="J7" s="8"/>
      <c r="K7" s="8"/>
    </row>
    <row r="8" spans="1:11" ht="19.899999999999999" customHeight="1" thickBot="1" x14ac:dyDescent="0.35">
      <c r="A8" s="7"/>
      <c r="B8" s="18"/>
      <c r="C8" s="19"/>
      <c r="D8" s="17"/>
      <c r="E8" s="17"/>
      <c r="F8" s="20" t="s">
        <v>2</v>
      </c>
      <c r="G8" s="24">
        <v>0</v>
      </c>
      <c r="H8" s="25">
        <f t="shared" ref="H8:H9" si="0">G8/$G$10</f>
        <v>0</v>
      </c>
      <c r="I8" s="8"/>
      <c r="J8" s="8" t="s">
        <v>12</v>
      </c>
      <c r="K8" s="8" t="s">
        <v>1</v>
      </c>
    </row>
    <row r="9" spans="1:11" ht="19.5" customHeight="1" thickBot="1" x14ac:dyDescent="0.35">
      <c r="A9" s="7"/>
      <c r="B9" s="14" t="s">
        <v>88</v>
      </c>
      <c r="C9" s="18"/>
      <c r="D9" s="16" t="s">
        <v>87</v>
      </c>
      <c r="E9" s="17"/>
      <c r="F9" s="13" t="s">
        <v>3</v>
      </c>
      <c r="G9" s="26">
        <v>5</v>
      </c>
      <c r="H9" s="25">
        <f t="shared" si="0"/>
        <v>0.83333333333333337</v>
      </c>
      <c r="I9" s="8"/>
      <c r="J9" s="8" t="s">
        <v>13</v>
      </c>
      <c r="K9" s="8" t="s">
        <v>14</v>
      </c>
    </row>
    <row r="10" spans="1:11" ht="25.5" customHeight="1" thickBot="1" x14ac:dyDescent="0.35">
      <c r="A10" s="7"/>
      <c r="B10" s="18"/>
      <c r="C10" s="19"/>
      <c r="D10" s="19"/>
      <c r="E10" s="19"/>
      <c r="F10" s="21" t="s">
        <v>4</v>
      </c>
      <c r="G10" s="27">
        <v>6</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105" t="s">
        <v>0</v>
      </c>
      <c r="B12" s="105" t="s">
        <v>5</v>
      </c>
      <c r="C12" s="107" t="s">
        <v>6</v>
      </c>
      <c r="D12" s="107" t="s">
        <v>7</v>
      </c>
      <c r="E12" s="109" t="s">
        <v>8</v>
      </c>
      <c r="F12" s="109" t="s">
        <v>9</v>
      </c>
      <c r="G12" s="109" t="s">
        <v>10</v>
      </c>
      <c r="H12" s="109" t="s">
        <v>15</v>
      </c>
      <c r="I12" s="8"/>
      <c r="J12" s="8"/>
      <c r="K12" s="8"/>
    </row>
    <row r="13" spans="1:11" ht="26.25" customHeight="1" thickBot="1" x14ac:dyDescent="0.35">
      <c r="A13" s="106"/>
      <c r="B13" s="106"/>
      <c r="C13" s="108"/>
      <c r="D13" s="108"/>
      <c r="E13" s="110"/>
      <c r="F13" s="110"/>
      <c r="G13" s="110"/>
      <c r="H13" s="110"/>
      <c r="I13" s="8"/>
      <c r="J13" s="8"/>
      <c r="K13" s="8"/>
    </row>
    <row r="14" spans="1:11" s="63" customFormat="1" ht="35.450000000000003" customHeight="1" x14ac:dyDescent="0.25">
      <c r="A14" s="10">
        <v>1</v>
      </c>
      <c r="B14" s="71" t="s">
        <v>187</v>
      </c>
      <c r="C14" s="85" t="s">
        <v>188</v>
      </c>
      <c r="D14" s="85" t="s">
        <v>189</v>
      </c>
      <c r="E14" s="88" t="s">
        <v>190</v>
      </c>
      <c r="F14" s="89">
        <v>46113</v>
      </c>
      <c r="G14" s="88" t="s">
        <v>194</v>
      </c>
      <c r="H14" s="29" t="s">
        <v>3</v>
      </c>
      <c r="I14" s="62"/>
      <c r="J14" s="62"/>
      <c r="K14" s="62"/>
    </row>
    <row r="15" spans="1:11" ht="66" x14ac:dyDescent="0.3">
      <c r="A15" s="9">
        <v>2</v>
      </c>
      <c r="B15" s="71" t="s">
        <v>191</v>
      </c>
      <c r="C15" s="85" t="s">
        <v>192</v>
      </c>
      <c r="D15" s="85" t="s">
        <v>193</v>
      </c>
      <c r="E15" s="88" t="s">
        <v>190</v>
      </c>
      <c r="F15" s="89">
        <v>46113</v>
      </c>
      <c r="G15" s="88" t="s">
        <v>194</v>
      </c>
      <c r="H15" s="30" t="s">
        <v>3</v>
      </c>
      <c r="I15" s="8"/>
      <c r="J15" s="8"/>
      <c r="K15" s="8"/>
    </row>
    <row r="16" spans="1:11" ht="47.45" customHeight="1" x14ac:dyDescent="0.3">
      <c r="A16" s="9">
        <v>3</v>
      </c>
      <c r="B16" s="71" t="s">
        <v>195</v>
      </c>
      <c r="C16" s="85" t="s">
        <v>196</v>
      </c>
      <c r="D16" s="85" t="s">
        <v>197</v>
      </c>
      <c r="E16" s="88" t="s">
        <v>190</v>
      </c>
      <c r="F16" s="89">
        <v>46113</v>
      </c>
      <c r="G16" s="88" t="s">
        <v>51</v>
      </c>
      <c r="H16" s="30" t="s">
        <v>3</v>
      </c>
      <c r="I16" s="8"/>
      <c r="J16" s="8"/>
      <c r="K16" s="8"/>
    </row>
    <row r="17" spans="1:12" ht="49.15" customHeight="1" x14ac:dyDescent="0.3">
      <c r="A17" s="9">
        <v>4</v>
      </c>
      <c r="B17" s="71" t="s">
        <v>198</v>
      </c>
      <c r="C17" s="85" t="s">
        <v>199</v>
      </c>
      <c r="D17" s="85" t="s">
        <v>200</v>
      </c>
      <c r="E17" s="88" t="s">
        <v>190</v>
      </c>
      <c r="F17" s="89">
        <v>46113</v>
      </c>
      <c r="G17" s="88" t="s">
        <v>51</v>
      </c>
      <c r="H17" s="30" t="s">
        <v>3</v>
      </c>
      <c r="I17" s="8"/>
      <c r="J17" s="8"/>
      <c r="K17" s="8"/>
    </row>
    <row r="18" spans="1:12" ht="105" customHeight="1" x14ac:dyDescent="0.3">
      <c r="A18" s="34">
        <v>5</v>
      </c>
      <c r="B18" s="71" t="s">
        <v>201</v>
      </c>
      <c r="C18" s="85" t="s">
        <v>202</v>
      </c>
      <c r="D18" s="71" t="s">
        <v>203</v>
      </c>
      <c r="E18" s="88" t="s">
        <v>190</v>
      </c>
      <c r="F18" s="89">
        <v>46113</v>
      </c>
      <c r="G18" s="88" t="s">
        <v>204</v>
      </c>
      <c r="H18" s="61" t="s">
        <v>3</v>
      </c>
      <c r="I18" s="8"/>
      <c r="J18" s="8"/>
      <c r="K18" s="8"/>
    </row>
    <row r="19" spans="1:12" ht="81" customHeight="1" thickBot="1" x14ac:dyDescent="0.35">
      <c r="A19" s="34">
        <v>6</v>
      </c>
      <c r="B19" s="71" t="s">
        <v>205</v>
      </c>
      <c r="C19" s="85" t="s">
        <v>206</v>
      </c>
      <c r="D19" s="85" t="s">
        <v>207</v>
      </c>
      <c r="E19" s="88" t="s">
        <v>208</v>
      </c>
      <c r="F19" s="89">
        <v>46113</v>
      </c>
      <c r="G19" s="88" t="s">
        <v>209</v>
      </c>
      <c r="H19" s="61" t="s">
        <v>1</v>
      </c>
      <c r="I19" s="8"/>
      <c r="J19" s="8"/>
      <c r="K19" s="8"/>
    </row>
    <row r="20" spans="1:12" ht="45" customHeight="1" thickBot="1" x14ac:dyDescent="0.35">
      <c r="A20" s="36" t="s">
        <v>26</v>
      </c>
      <c r="B20" s="93" t="s">
        <v>212</v>
      </c>
      <c r="C20" s="37" t="s">
        <v>19</v>
      </c>
      <c r="D20" s="115" t="s">
        <v>217</v>
      </c>
      <c r="E20" s="94" t="s">
        <v>20</v>
      </c>
      <c r="F20" s="116" t="s">
        <v>217</v>
      </c>
      <c r="G20" s="38" t="s">
        <v>21</v>
      </c>
      <c r="H20" s="39" t="s">
        <v>210</v>
      </c>
      <c r="I20" s="33"/>
      <c r="J20" s="31" t="s">
        <v>22</v>
      </c>
    </row>
    <row r="21" spans="1:12" x14ac:dyDescent="0.3">
      <c r="A21" s="40"/>
      <c r="B21" s="46"/>
      <c r="C21" s="47"/>
      <c r="D21" s="47"/>
      <c r="E21" s="45"/>
      <c r="F21" s="41"/>
      <c r="G21" s="41"/>
      <c r="H21" s="41"/>
      <c r="I21" s="32"/>
      <c r="J21" s="32"/>
      <c r="L21" s="44"/>
    </row>
    <row r="22" spans="1:12" ht="41.25" customHeight="1" x14ac:dyDescent="0.3">
      <c r="A22" s="95"/>
      <c r="B22" s="96"/>
      <c r="C22" s="50"/>
      <c r="D22" s="51"/>
      <c r="E22" s="43"/>
      <c r="F22" s="43"/>
      <c r="G22" s="42"/>
      <c r="H22" s="50"/>
      <c r="I22" s="97" t="s">
        <v>24</v>
      </c>
      <c r="J22" s="98"/>
    </row>
    <row r="23" spans="1:12" x14ac:dyDescent="0.3">
      <c r="A23" s="57"/>
      <c r="B23" s="60" t="s">
        <v>216</v>
      </c>
      <c r="C23" s="55"/>
      <c r="D23" s="54"/>
      <c r="E23" s="99" t="s">
        <v>25</v>
      </c>
      <c r="F23" s="100"/>
      <c r="G23" s="101"/>
      <c r="H23" s="53"/>
      <c r="L23" s="44"/>
    </row>
    <row r="24" spans="1:12" x14ac:dyDescent="0.3">
      <c r="A24" s="48"/>
      <c r="B24" s="58"/>
      <c r="C24" s="53"/>
      <c r="D24" s="52"/>
      <c r="E24" s="55"/>
      <c r="F24" s="53"/>
      <c r="G24" s="56"/>
      <c r="H24" s="53"/>
    </row>
    <row r="25" spans="1:12" x14ac:dyDescent="0.3">
      <c r="A25" s="49"/>
      <c r="C25" s="52"/>
      <c r="D25" s="52"/>
    </row>
    <row r="26" spans="1:12" x14ac:dyDescent="0.3">
      <c r="B26" s="60" t="s">
        <v>216</v>
      </c>
    </row>
    <row r="27" spans="1:12" x14ac:dyDescent="0.3">
      <c r="C27" s="59"/>
    </row>
    <row r="28" spans="1:12" x14ac:dyDescent="0.3">
      <c r="C28" s="52"/>
    </row>
    <row r="29" spans="1:12" x14ac:dyDescent="0.3">
      <c r="B29" s="60" t="s">
        <v>216</v>
      </c>
    </row>
  </sheetData>
  <dataConsolidate/>
  <mergeCells count="18">
    <mergeCell ref="A1:A4"/>
    <mergeCell ref="B1:H1"/>
    <mergeCell ref="B2:H2"/>
    <mergeCell ref="B3:H3"/>
    <mergeCell ref="B4:C4"/>
    <mergeCell ref="D4:G4"/>
    <mergeCell ref="A22:B22"/>
    <mergeCell ref="I22:J22"/>
    <mergeCell ref="E23:G23"/>
    <mergeCell ref="F6:H6"/>
    <mergeCell ref="A12:A13"/>
    <mergeCell ref="B12:B13"/>
    <mergeCell ref="C12:C13"/>
    <mergeCell ref="D12:D13"/>
    <mergeCell ref="E12:E13"/>
    <mergeCell ref="F12:F13"/>
    <mergeCell ref="G12:G13"/>
    <mergeCell ref="H12:H13"/>
  </mergeCells>
  <conditionalFormatting sqref="H14:H19">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19" xr:uid="{E147B4C6-EB4A-4A2B-8B80-93883BBFBA3D}">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POLITICA MIPG</vt:lpstr>
      <vt:lpstr>INTEGRIDAD </vt:lpstr>
      <vt:lpstr>ACOSO LABORAL</vt:lpstr>
      <vt:lpstr>'ACOSO LABORAL'!Área_de_impresión</vt:lpstr>
      <vt:lpstr>'INTEGRIDAD '!Área_de_impresión</vt:lpstr>
      <vt:lpstr>'POLITICA MIPG'!Área_de_impresión</vt:lpstr>
      <vt:lpstr>'ACOSO LABORAL'!Títulos_a_imprimir</vt:lpstr>
      <vt:lpstr>'INTEGRIDAD '!Títulos_a_imprimir</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2025-10-27T17:25:47Z</cp:lastPrinted>
  <dcterms:created xsi:type="dcterms:W3CDTF">2014-12-09T04:54:47Z</dcterms:created>
  <dcterms:modified xsi:type="dcterms:W3CDTF">2026-04-13T17:25:00Z</dcterms:modified>
</cp:coreProperties>
</file>