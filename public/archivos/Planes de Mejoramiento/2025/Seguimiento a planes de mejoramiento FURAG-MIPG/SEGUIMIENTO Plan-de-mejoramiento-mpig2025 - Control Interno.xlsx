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30.30.30.51\compartida\SGC CONCEJO CHIA\7. Planes de Mejoramiento\2025\Seguimiento a planes de mejoramiento FURAG-MIPG\"/>
    </mc:Choice>
  </mc:AlternateContent>
  <xr:revisionPtr revIDLastSave="0" documentId="13_ncr:1_{A0C7FEEE-00FD-4393-AC96-75674B2EC6A3}" xr6:coauthVersionLast="47" xr6:coauthVersionMax="47" xr10:uidLastSave="{00000000-0000-0000-0000-000000000000}"/>
  <bookViews>
    <workbookView xWindow="-120" yWindow="-120" windowWidth="29040" windowHeight="15720" xr2:uid="{00000000-000D-0000-FFFF-FFFF00000000}"/>
  </bookViews>
  <sheets>
    <sheet name="POLITICA MIPG" sheetId="37" r:id="rId1"/>
  </sheets>
  <definedNames>
    <definedName name="_xlnm._FilterDatabase" localSheetId="0" hidden="1">'POLITICA MIPG'!$D$13:$D$16</definedName>
    <definedName name="_xlnm.Print_Area" localSheetId="0">'POLITICA MIPG'!$A$1:$H$33</definedName>
    <definedName name="_xlnm.Print_Titles" localSheetId="0">'POLITICA MIPG'!$12:$13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37" l="1"/>
  <c r="H7" i="37"/>
  <c r="H8" i="37"/>
  <c r="H10" i="37" l="1"/>
</calcChain>
</file>

<file path=xl/sharedStrings.xml><?xml version="1.0" encoding="utf-8"?>
<sst xmlns="http://schemas.openxmlformats.org/spreadsheetml/2006/main" count="131" uniqueCount="84">
  <si>
    <t>No.</t>
  </si>
  <si>
    <t>SIN AVANCE</t>
  </si>
  <si>
    <t>EN GESTIÓN</t>
  </si>
  <si>
    <t>CUMPLIDAS</t>
  </si>
  <si>
    <t>TOTAL COMPROMISOS</t>
  </si>
  <si>
    <t>RECOMENDACIÓN</t>
  </si>
  <si>
    <t xml:space="preserve">ACCIONES PARA IMPLEMENTACIÓN </t>
  </si>
  <si>
    <t>EVIDENCIA O UNIDAD DE MEDIDA</t>
  </si>
  <si>
    <t>FECHA DE INICIO</t>
  </si>
  <si>
    <t>FECHA DE CUMPLIMIENTO</t>
  </si>
  <si>
    <t>DEPENDENCIA RESPONSABLE</t>
  </si>
  <si>
    <t>ESTADO DE ACCIONES</t>
  </si>
  <si>
    <t>Si</t>
  </si>
  <si>
    <t>No</t>
  </si>
  <si>
    <t>EN GESTION</t>
  </si>
  <si>
    <t>SEGUIMIENTO A ESTADO</t>
  </si>
  <si>
    <t xml:space="preserve">PERÍODO: </t>
  </si>
  <si>
    <t xml:space="preserve">SEGUIMIENTO A POLÍTICA: </t>
  </si>
  <si>
    <t>SISTEMA DE GESTIÓN DE CALIDAD
CONCEJO MUNICIPAL DE CHÍA</t>
  </si>
  <si>
    <t>PROCESO DE GESTION DE EVALUACION INDEPENDIENTE</t>
  </si>
  <si>
    <t xml:space="preserve">FORMATO:  SEGUIMIENTO PLAN DE MEJORAMIENTO FURAG - MIPG </t>
  </si>
  <si>
    <t>Fecha de Elaboración del plan:</t>
  </si>
  <si>
    <t xml:space="preserve">Fecha de presentación del plan: </t>
  </si>
  <si>
    <t xml:space="preserve">Fecha de seguimiento del plan: </t>
  </si>
  <si>
    <t xml:space="preserve">% avance  </t>
  </si>
  <si>
    <t>Líder del Proceso</t>
  </si>
  <si>
    <t>Jefe Oficina de Control Interno</t>
  </si>
  <si>
    <t>Jefe Oficina Control Interno</t>
  </si>
  <si>
    <t>ÍNDICE GESTIÓN DE DESEMPEÑO POLÍTICA:</t>
  </si>
  <si>
    <t>Versión: 01</t>
  </si>
  <si>
    <t>FECHA: 27/10/2025</t>
  </si>
  <si>
    <t xml:space="preserve">VIGENCIA: </t>
  </si>
  <si>
    <t>Copia del protocolo o procedimiento aprobado y publicado. En le link https://concejomunicipalchia.gov.co/documentos/C%C3%B3digo%20de%20integridad.pdf</t>
  </si>
  <si>
    <t>abril de 2026</t>
  </si>
  <si>
    <t>GEOVANNI CASTRO-Jefe oficina Control Interno.</t>
  </si>
  <si>
    <t>Publicación o registro de evidencia en la carpeta física y digital del Sistema de Gestión de Calidad, https://concejomunicipalchia.gov.co/documentos/C%C3%B3digo%20de%20integridad.pdf y en los seguimientos de PTEP 2025.</t>
  </si>
  <si>
    <t>ABRIL DE 2026</t>
  </si>
  <si>
    <t>Se verifica de manera conjunta en la plataforme del SIGEP 2 con la oficina de Talento Humano y en la pagina, aplicativo por la integridad publica.</t>
  </si>
  <si>
    <t>Recomendaciones emitidas por la Oficina de Control Interno en los seguimientos de auditorias internas y en los diferentes aplicativos.</t>
  </si>
  <si>
    <t>Reportes de seguimiento cuatrimestral mapa de riesgos y seguimiento PTEP 2025.</t>
  </si>
  <si>
    <t>Informes de seguimiento a la gestión jurídica y defensa judicial</t>
  </si>
  <si>
    <t xml:space="preserve"> EN EL AÑO 2025  pór parte de la Oficiand e control interno  se participaron s de reuniones de contratacion para la adquicision de bienes y servicios, actas que reposan en la carpeta fisica ACTAS DE COMITÉ DE CONTRATACION a cargo de la Direccion Administrativa y Financiera.</t>
  </si>
  <si>
    <t xml:space="preserve">preInformes de evaluación de controles elaborados por la Oficina de Control Intern, como resultados de las auditorias internas con el fin de megorar la gestion de la corporacion. </t>
  </si>
  <si>
    <t>Registro consolidado de solicitudes e intereses de la alta dirección en catas del sistema de gestion de calidad.</t>
  </si>
  <si>
    <t>Fue palanteada mediante Matriz de priorización de unidades auditables en la primera acta del comité de control interno 2025.</t>
  </si>
  <si>
    <t>Recomendar generar Matriz de clasificación de información con niveles de acceso para cada tipo de información institucional (pública, reservada, confidencial, de uso interno).</t>
  </si>
  <si>
    <t>Se realizaron Informes de verificación o auditoría de control interno y planes de mejoramiento los cuales estan publicados en la pagina web de la entidad.</t>
  </si>
  <si>
    <t>Informes de auditoría sobre integridad y precisión de la información de igual mente se generan informes de alta direccion, de gestion de rendicion de cuentas para control de la gestion de cada vigencia</t>
  </si>
  <si>
    <t>Evidencias documentales de cumplimiento de acciones (planes, soportes, oficios, correos) establecidos en planes de mejoramiento como formato sistema de gestion de calidad.</t>
  </si>
  <si>
    <t>se encuentra soportado en la Carpeta física y digital con soportes de cumplimiento (rutas compartidas SGC) se entrega informe general de cada una de los planes de mejoramiento, cumplimiento y cierre.</t>
  </si>
  <si>
    <t>En desarrollo del rol de evaluación y seguimiento que corresponde al Jefe de Control Interno o quien haga sus veces, verificó la implementación de un protocolo o procedimiento interno para la identificación y declaración de conflictos de interés en la entidad.</t>
  </si>
  <si>
    <t xml:space="preserve">Se solicito  a la Secretaría General y a Talento Humano la elaboración o actualización delcodigo de etica y conflicto de intereses, socualizacion y publicacion </t>
  </si>
  <si>
    <t>En desarrollo del rol de evaluación y seguimiento que corresponde al Jefe de Control Interno o quien haga sus veces, verificó el cumplimiento de las disposiciones establecidas en el protocolo o procedimiento interno para el manejo y declaración de conflictos de interés de la entidad y su efectividad, para cada caso tratado.</t>
  </si>
  <si>
    <t>Realizar seguimiento semestral al cumplimiento del protocolo de conflictos de interés, verificando la aplicación de las disposiciones en los procesos administrativos y de gestión.</t>
  </si>
  <si>
    <t>En desarrollo del rol de evaluación y seguimiento, así como el de enfoque hacia la prevención, que corresponde al Jefe de Control Interno o quien haga sus veces, generó las alertas en relación con incumplimientos o retrasos sobre la gestión de información en el Sistema de Información y Gestión del Empleo Público (SIGEP) que afectan la identificación de los sujetos obligados para el cumplimiento de la Ley 2013 de 2019 y Decreto 830 de 2021 y otros análisis necesarios en materia de Talento Humano</t>
  </si>
  <si>
    <t>Solicitar y verificar la publicación oportuna de las declaraciones exigidas por la Ley 2013 de 2019 (bienes, renta y conflictos de interés).</t>
  </si>
  <si>
    <t>En desarrollo del rol de evaluación y seguimiento, así como el de enfoque hacia la prevención, que corresponde al Jefe de Control Interno o quien haga sus veces, generó las alertas en relación con la ausencia o inoperancia del protocolo o procedimiento interno para la gestión preventiva de conflictos de interés.</t>
  </si>
  <si>
    <t>Verificar si la entidad cuenta con protocolo o procedimiento formal para la gestión preventiva de conflictos de interés.</t>
  </si>
  <si>
    <t>En desarrollo del rol de evaluación y seguimiento, así como el de enfoque hacia la prevención, que corresponde al Jefe de Control Interno o quien haga sus veces, generó las alertas  en relación con el incumplimiento u omisión frente a las acciones implementadas para la prevención del fraude, la corrupción, en lavado de activos y financiación del terrorismo</t>
  </si>
  <si>
    <t>Verificar la existencia y aplicación de políticas, procedimientos o mecanismos para la prevención de corrupción.</t>
  </si>
  <si>
    <t>En desarrollo del rol de evaluación y seguimiento, así como el de enfoque hacia la prevención, que corresponde al Jefe de Control Interno o quien haga sus veces, generó las alertas en relación con Incumplimientos o retrasos que afectan la defensa jurídica y prevención del daño antijurídico</t>
  </si>
  <si>
    <t>Generar alertas tempranas ante la detección de incumplimientos o demoras en la atención de requerimientos judiciales o administrativos.</t>
  </si>
  <si>
    <t>En desarrollo del rol de evaluación y seguimiento, así como el de enfoque hacia la prevención, que corresponde al Jefe de Control Interno o quien haga sus veces, generó las alertas en relación con incumplimientos o fallas en los procedimientos que afectan la gestión administrativa (bienes y servicios, mantenimiento de infraestructura y equipos, gestión de seguros, manejo de activos fijos, gestión ambiental, entre otros)</t>
  </si>
  <si>
    <t>Realizar seguimiento periódico a los procesos de gestión administrativa para verificar el cumplimiento de los procedimientos internos y los planes de mantenimiento, adquisición y control de bienes.</t>
  </si>
  <si>
    <t>En desarrollo del rol de evaluación y seguimiento que corresponde al Jefe de Control Interno o quien haga sus veces, evaluar la implementación de los controles por parte de los responsables, atendiendo su diseño (atributos)</t>
  </si>
  <si>
    <t>Realizar reuniones con los responsables de proceso para retroalimentar los resultados y promover acciones correctivas o preventivas.</t>
  </si>
  <si>
    <t>El jefe de control interno o quien haga su veces, en cumplimiento de la normatividad que regula sus funciones y roles, para el análisis de las unidades auditables, cuantificar las solicitudes o intereses de la alta dirección de la entidad</t>
  </si>
  <si>
    <t>Documentar las solicitudes, requerimientos y temas de interés emitidos por la alta dirección relacionados con el fortalecimiento del control interno.</t>
  </si>
  <si>
    <t>Considerar en el universo de la auditoría todos los aspectos susceptibles de evaluación (proceso, plan, programa, proyecto, etc.) si no hubiese limitación de recursos, las unidades auditables de los procesos misionales.</t>
  </si>
  <si>
    <t>Definir criterios de priorización basados en riesgo, materialidad, impacto y recursos disponibles, conforme a la Guía de Auditoría Interna del DAFP.</t>
  </si>
  <si>
    <t xml:space="preserve">Establecer un mecanismo de control que permita contar con criterios para la clasificación y acceso a la información sensible para el control sobre la gestión de la información en la entidad, </t>
  </si>
  <si>
    <t>Definir los niveles de confidencialidad y roles de acceso para cada tipo de información institucional (pública, reservada, confidencial, de uso interno).</t>
  </si>
  <si>
    <t>Establecer mecanismos de control que permita conocer los cambios realizados en la información, como modificaciones, borrados o transferencias para el control sobre la gestión de la información en la entidad.</t>
  </si>
  <si>
    <t>Verificar periódicamente la eficacia del sistema de trazabilidad mediante auditorías o revisiones internas, documentando los resultados y las acciones correctivas adoptadas.</t>
  </si>
  <si>
    <t>Establecer mecanismos de control que permita realizar revisiones periódicas sobre la integridad y precisión de la información para el control sobre la gestión de la información en la entidad</t>
  </si>
  <si>
    <t>Diseñar y aprobar un procedimiento institucional para la verificación periódica de la información, que contemple revisiones trimestrales o semestrales según el tipo de datos y sistema.</t>
  </si>
  <si>
    <t>Cuantificar el total de acciones de mejora a las que se les hizo seguimiento por parte de las oficinas de control interno con respecto a los planes de mejoramiento vigentes con corte a 31 de diciembre de la vigencia evaluada. Hacer seguimiento a todas las acciones de mejora establecidas</t>
  </si>
  <si>
    <t>Cuantificar el total de acciones de mejora que se les hizo cierre efectivo con respecto a los planes de mejoramiento vigentes con corte a 31 de diciembre de la vigencia evaluada.</t>
  </si>
  <si>
    <r>
      <t>Actualizar el estado de cumplimiento</t>
    </r>
    <r>
      <rPr>
        <sz val="11"/>
        <color theme="1"/>
        <rFont val="Arial Narrow"/>
        <family val="2"/>
      </rPr>
      <t xml:space="preserve"> de cada acción de mejora, con sus respectivos soportes, porcentaje de avance y responsables designados.</t>
    </r>
  </si>
  <si>
    <t>CONTROL INTERNO</t>
  </si>
  <si>
    <t>PRIMER SEMESTRE 2026</t>
  </si>
  <si>
    <t>9/11/2025</t>
  </si>
  <si>
    <t>26/03/2026</t>
  </si>
  <si>
    <t>PUNTAJE OBTENIDO: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</si>
</sst>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2"/>
      <color theme="1"/>
      <name val="Arial Narrow"/>
      <family val="2"/>
    </font>
    <font>
      <b/>
      <sz val="14"/>
      <color theme="1"/>
      <name val="Arial Narrow"/>
      <family val="2"/>
    </font>
    <font>
      <sz val="10"/>
      <color theme="1"/>
      <name val="Arial Narrow"/>
      <family val="2"/>
    </font>
    <font>
      <b/>
      <sz val="11"/>
      <name val="Arial Narrow"/>
      <family val="2"/>
    </font>
    <font>
      <b/>
      <sz val="10"/>
      <color theme="1"/>
      <name val="Arial Narrow"/>
      <family val="2"/>
    </font>
    <font>
      <b/>
      <sz val="11"/>
      <color theme="1"/>
      <name val="Arial Narrow"/>
      <family val="2"/>
    </font>
    <font>
      <sz val="11"/>
      <color theme="1"/>
      <name val="Arial Narrow"/>
      <family val="2"/>
    </font>
    <font>
      <sz val="11"/>
      <color theme="1"/>
      <name val="Calibri"/>
      <family val="2"/>
      <scheme val="minor"/>
    </font>
    <font>
      <b/>
      <sz val="10"/>
      <color theme="0"/>
      <name val="Arial Narrow"/>
      <family val="2"/>
    </font>
    <font>
      <b/>
      <sz val="10"/>
      <name val="Arial Narrow"/>
      <family val="2"/>
    </font>
    <font>
      <sz val="10"/>
      <name val="Arial Narrow"/>
      <family val="2"/>
    </font>
    <font>
      <b/>
      <sz val="11"/>
      <name val="Arial"/>
      <family val="2"/>
    </font>
    <font>
      <b/>
      <sz val="8"/>
      <name val="Arial"/>
      <family val="2"/>
    </font>
    <font>
      <b/>
      <sz val="10"/>
      <name val="Arial"/>
      <family val="2"/>
    </font>
    <font>
      <sz val="10"/>
      <name val="Arial"/>
      <family val="2"/>
    </font>
    <font>
      <b/>
      <sz val="9"/>
      <name val="Arial"/>
      <family val="2"/>
    </font>
    <font>
      <b/>
      <sz val="10"/>
      <color indexed="8"/>
      <name val="Arial"/>
      <family val="2"/>
    </font>
    <font>
      <sz val="11"/>
      <name val="Arial Narrow"/>
      <family val="2"/>
    </font>
  </fonts>
  <fills count="12">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rgb="FF00B050"/>
        <bgColor indexed="64"/>
      </patternFill>
    </fill>
    <fill>
      <patternFill patternType="solid">
        <fgColor rgb="FF0070C0"/>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0"/>
        <bgColor rgb="FF262626"/>
      </patternFill>
    </fill>
    <fill>
      <patternFill patternType="solid">
        <fgColor theme="0"/>
        <bgColor rgb="FF7F7F7F"/>
      </patternFill>
    </fill>
    <fill>
      <patternFill patternType="solid">
        <fgColor indexed="9"/>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right style="thin">
        <color indexed="64"/>
      </right>
      <top/>
      <bottom style="thin">
        <color indexed="64"/>
      </bottom>
      <diagonal/>
    </border>
    <border>
      <left/>
      <right style="medium">
        <color rgb="FF000000"/>
      </right>
      <top style="medium">
        <color rgb="FF000000"/>
      </top>
      <bottom style="medium">
        <color rgb="FF000000"/>
      </bottom>
      <diagonal/>
    </border>
    <border>
      <left/>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style="thin">
        <color theme="0" tint="-0.14999847407452621"/>
      </bottom>
      <diagonal/>
    </border>
    <border>
      <left style="thin">
        <color theme="0" tint="-0.14999847407452621"/>
      </left>
      <right style="thin">
        <color indexed="64"/>
      </right>
      <top style="thin">
        <color indexed="64"/>
      </top>
      <bottom style="thin">
        <color theme="0" tint="-0.14999847407452621"/>
      </bottom>
      <diagonal/>
    </border>
    <border>
      <left style="thin">
        <color indexed="64"/>
      </left>
      <right/>
      <top style="thin">
        <color indexed="64"/>
      </top>
      <bottom style="thin">
        <color theme="0" tint="-0.14999847407452621"/>
      </bottom>
      <diagonal/>
    </border>
    <border>
      <left style="thin">
        <color theme="0" tint="-0.14999847407452621"/>
      </left>
      <right style="thin">
        <color theme="0" tint="-0.14999847407452621"/>
      </right>
      <top style="thin">
        <color indexed="64"/>
      </top>
      <bottom style="thin">
        <color theme="0" tint="-0.14999847407452621"/>
      </bottom>
      <diagonal/>
    </border>
    <border>
      <left style="thin">
        <color theme="0" tint="-0.14999847407452621"/>
      </left>
      <right/>
      <top style="thin">
        <color theme="0" tint="-0.14999847407452621"/>
      </top>
      <bottom style="thin">
        <color indexed="64"/>
      </bottom>
      <diagonal/>
    </border>
    <border>
      <left style="thin">
        <color theme="0" tint="-0.14999847407452621"/>
      </left>
      <right style="thin">
        <color theme="0" tint="-0.14999847407452621"/>
      </right>
      <top style="thin">
        <color theme="0" tint="-0.14999847407452621"/>
      </top>
      <bottom style="thin">
        <color indexed="64"/>
      </bottom>
      <diagonal/>
    </border>
    <border>
      <left style="thin">
        <color theme="0" tint="-0.14999847407452621"/>
      </left>
      <right/>
      <top/>
      <bottom/>
      <diagonal/>
    </border>
    <border>
      <left style="thin">
        <color indexed="64"/>
      </left>
      <right style="thin">
        <color theme="0" tint="-0.14999847407452621"/>
      </right>
      <top style="thin">
        <color indexed="64"/>
      </top>
      <bottom style="thin">
        <color theme="0" tint="-0.14999847407452621"/>
      </bottom>
      <diagonal/>
    </border>
    <border>
      <left/>
      <right style="thin">
        <color theme="0" tint="-0.14999847407452621"/>
      </right>
      <top style="thin">
        <color indexed="64"/>
      </top>
      <bottom style="thin">
        <color theme="0" tint="-0.14999847407452621"/>
      </bottom>
      <diagonal/>
    </border>
    <border>
      <left style="thin">
        <color indexed="64"/>
      </left>
      <right style="thin">
        <color theme="0" tint="-0.14999847407452621"/>
      </right>
      <top style="thin">
        <color theme="0" tint="-0.14999847407452621"/>
      </top>
      <bottom style="thin">
        <color theme="0" tint="-0.14999847407452621"/>
      </bottom>
      <diagonal/>
    </border>
    <border>
      <left style="thin">
        <color indexed="64"/>
      </left>
      <right style="thin">
        <color indexed="64"/>
      </right>
      <top style="thin">
        <color theme="0" tint="-0.14999847407452621"/>
      </top>
      <bottom style="thin">
        <color theme="0" tint="-0.14999847407452621"/>
      </bottom>
      <diagonal/>
    </border>
    <border>
      <left/>
      <right/>
      <top style="thin">
        <color theme="0" tint="-0.14999847407452621"/>
      </top>
      <bottom/>
      <diagonal/>
    </border>
    <border>
      <left style="thin">
        <color indexed="64"/>
      </left>
      <right style="thin">
        <color indexed="64"/>
      </right>
      <top style="thin">
        <color theme="0" tint="-0.14999847407452621"/>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indexed="64"/>
      </left>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style="thin">
        <color theme="0" tint="-0.14999847407452621"/>
      </left>
      <right/>
      <top style="thin">
        <color theme="0" tint="-0.14999847407452621"/>
      </top>
      <bottom/>
      <diagonal/>
    </border>
    <border>
      <left style="thin">
        <color indexed="64"/>
      </left>
      <right style="thin">
        <color theme="0" tint="-0.14999847407452621"/>
      </right>
      <top style="thin">
        <color theme="0" tint="-0.14999847407452621"/>
      </top>
      <bottom/>
      <diagonal/>
    </border>
    <border>
      <left/>
      <right/>
      <top/>
      <bottom style="thin">
        <color theme="0" tint="-0.14999847407452621"/>
      </bottom>
      <diagonal/>
    </border>
    <border>
      <left style="thin">
        <color indexed="64"/>
      </left>
      <right style="medium">
        <color indexed="64"/>
      </right>
      <top style="thin">
        <color indexed="64"/>
      </top>
      <bottom style="medium">
        <color indexed="64"/>
      </bottom>
      <diagonal/>
    </border>
    <border>
      <left style="thin">
        <color theme="0" tint="-0.14999847407452621"/>
      </left>
      <right style="thin">
        <color theme="0" tint="-0.14999847407452621"/>
      </right>
      <top/>
      <bottom style="thin">
        <color theme="0" tint="-0.14999847407452621"/>
      </bottom>
      <diagonal/>
    </border>
  </borders>
  <cellStyleXfs count="3">
    <xf numFmtId="0" fontId="0" fillId="0" borderId="0"/>
    <xf numFmtId="9" fontId="8" fillId="0" borderId="0" applyFont="0" applyFill="0" applyBorder="0" applyAlignment="0" applyProtection="0"/>
    <xf numFmtId="0" fontId="8" fillId="0" borderId="0"/>
  </cellStyleXfs>
  <cellXfs count="89">
    <xf numFmtId="0" fontId="0" fillId="0" borderId="0" xfId="0"/>
    <xf numFmtId="0" fontId="7" fillId="0" borderId="0" xfId="0" applyFont="1"/>
    <xf numFmtId="0" fontId="7" fillId="0" borderId="0" xfId="0" applyFont="1" applyAlignment="1">
      <alignment horizontal="center" vertical="center"/>
    </xf>
    <xf numFmtId="0" fontId="1" fillId="0" borderId="0" xfId="0" applyFont="1" applyAlignment="1">
      <alignment horizontal="center" vertical="center" wrapText="1"/>
    </xf>
    <xf numFmtId="0" fontId="7" fillId="2" borderId="6" xfId="0" applyFont="1" applyFill="1" applyBorder="1" applyAlignment="1">
      <alignment vertical="center"/>
    </xf>
    <xf numFmtId="0" fontId="7" fillId="2" borderId="0" xfId="0" applyFont="1" applyFill="1" applyAlignment="1">
      <alignment vertical="center"/>
    </xf>
    <xf numFmtId="0" fontId="1" fillId="2" borderId="0" xfId="0" applyFont="1" applyFill="1" applyAlignment="1">
      <alignment horizontal="left" vertical="center" wrapText="1"/>
    </xf>
    <xf numFmtId="0" fontId="7" fillId="0" borderId="6" xfId="0" applyFont="1" applyBorder="1" applyAlignment="1">
      <alignment horizontal="center" vertical="center"/>
    </xf>
    <xf numFmtId="0" fontId="7" fillId="8" borderId="0" xfId="0" applyFont="1" applyFill="1"/>
    <xf numFmtId="0" fontId="3" fillId="0" borderId="1" xfId="0" applyFont="1" applyBorder="1" applyAlignment="1">
      <alignment horizontal="center" vertical="center"/>
    </xf>
    <xf numFmtId="0" fontId="3" fillId="0" borderId="12" xfId="0" applyFont="1" applyBorder="1" applyAlignment="1">
      <alignment horizontal="center" vertical="center"/>
    </xf>
    <xf numFmtId="0" fontId="2" fillId="2" borderId="0" xfId="0" applyFont="1" applyFill="1" applyAlignment="1">
      <alignment horizontal="center" vertical="center" wrapText="1"/>
    </xf>
    <xf numFmtId="0" fontId="5" fillId="3" borderId="2"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0" borderId="2" xfId="0" applyFont="1" applyBorder="1" applyAlignment="1">
      <alignment horizontal="center" vertical="center"/>
    </xf>
    <xf numFmtId="0" fontId="10" fillId="0" borderId="0" xfId="0" applyFont="1" applyAlignment="1">
      <alignment horizontal="center" vertical="center" wrapText="1"/>
    </xf>
    <xf numFmtId="0" fontId="5" fillId="0" borderId="2"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3" fillId="0" borderId="0" xfId="0" applyFont="1" applyAlignment="1">
      <alignment horizontal="left" vertical="center"/>
    </xf>
    <xf numFmtId="0" fontId="5" fillId="4" borderId="2"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11" fillId="0" borderId="14" xfId="0" applyFont="1" applyBorder="1" applyAlignment="1">
      <alignment horizontal="center" vertical="center" wrapText="1"/>
    </xf>
    <xf numFmtId="9" fontId="11" fillId="0" borderId="10" xfId="1" applyFont="1" applyBorder="1" applyAlignment="1">
      <alignment horizontal="center" vertical="center"/>
    </xf>
    <xf numFmtId="0" fontId="11" fillId="0" borderId="1" xfId="0" applyFont="1" applyBorder="1" applyAlignment="1">
      <alignment horizontal="center" vertical="center" wrapText="1"/>
    </xf>
    <xf numFmtId="9" fontId="11" fillId="0" borderId="9" xfId="1" applyFont="1" applyBorder="1" applyAlignment="1">
      <alignment horizontal="center" vertical="center"/>
    </xf>
    <xf numFmtId="0" fontId="11" fillId="0" borderId="11" xfId="0" applyFont="1" applyBorder="1" applyAlignment="1">
      <alignment horizontal="center" vertical="center" wrapText="1"/>
    </xf>
    <xf numFmtId="0" fontId="10" fillId="0" borderId="15" xfId="0" applyFont="1" applyBorder="1" applyAlignment="1">
      <alignment horizontal="center" vertical="center" wrapText="1"/>
    </xf>
    <xf numFmtId="9" fontId="10" fillId="0" borderId="16" xfId="1" applyFont="1" applyBorder="1" applyAlignment="1">
      <alignment horizontal="center" vertical="center"/>
    </xf>
    <xf numFmtId="0" fontId="15" fillId="10" borderId="19" xfId="0" applyFont="1" applyFill="1" applyBorder="1" applyAlignment="1">
      <alignment horizontal="center" vertical="center" wrapText="1"/>
    </xf>
    <xf numFmtId="0" fontId="15" fillId="11" borderId="0" xfId="0" applyFont="1" applyFill="1" applyAlignment="1">
      <alignment vertical="top" wrapText="1"/>
    </xf>
    <xf numFmtId="14" fontId="15" fillId="10" borderId="19" xfId="0" applyNumberFormat="1" applyFont="1" applyFill="1" applyBorder="1" applyAlignment="1">
      <alignment horizontal="center" vertical="center" wrapText="1"/>
    </xf>
    <xf numFmtId="0" fontId="3" fillId="0" borderId="11" xfId="0" applyFont="1" applyBorder="1" applyAlignment="1">
      <alignment horizontal="center" vertical="center"/>
    </xf>
    <xf numFmtId="0" fontId="14" fillId="9" borderId="21" xfId="0" applyFont="1" applyFill="1" applyBorder="1" applyAlignment="1">
      <alignment horizontal="left" vertical="center" wrapText="1"/>
    </xf>
    <xf numFmtId="0" fontId="14" fillId="9" borderId="17" xfId="0" applyFont="1" applyFill="1" applyBorder="1" applyAlignment="1">
      <alignment vertical="center" wrapText="1"/>
    </xf>
    <xf numFmtId="0" fontId="16" fillId="9" borderId="17" xfId="0" applyFont="1" applyFill="1" applyBorder="1" applyAlignment="1">
      <alignment vertical="center" wrapText="1"/>
    </xf>
    <xf numFmtId="0" fontId="15" fillId="11" borderId="22" xfId="0" applyFont="1" applyFill="1" applyBorder="1" applyAlignment="1">
      <alignment vertical="top" wrapText="1"/>
    </xf>
    <xf numFmtId="0" fontId="15" fillId="11" borderId="25" xfId="0" applyFont="1" applyFill="1" applyBorder="1" applyAlignment="1">
      <alignment vertical="top" wrapText="1"/>
    </xf>
    <xf numFmtId="0" fontId="17" fillId="2" borderId="26" xfId="2" applyFont="1" applyFill="1" applyBorder="1"/>
    <xf numFmtId="0" fontId="15" fillId="11" borderId="27" xfId="0" applyFont="1" applyFill="1" applyBorder="1" applyAlignment="1">
      <alignment vertical="top" wrapText="1"/>
    </xf>
    <xf numFmtId="0" fontId="7" fillId="0" borderId="28" xfId="0" applyFont="1" applyBorder="1"/>
    <xf numFmtId="0" fontId="15" fillId="11" borderId="20" xfId="0" applyFont="1" applyFill="1" applyBorder="1" applyAlignment="1">
      <alignment vertical="top" wrapText="1"/>
    </xf>
    <xf numFmtId="0" fontId="15" fillId="11" borderId="29" xfId="0" applyFont="1" applyFill="1" applyBorder="1" applyAlignment="1">
      <alignment vertical="top" wrapText="1"/>
    </xf>
    <xf numFmtId="0" fontId="15" fillId="11" borderId="30" xfId="0" applyFont="1" applyFill="1" applyBorder="1" applyAlignment="1">
      <alignment vertical="top" wrapText="1"/>
    </xf>
    <xf numFmtId="0" fontId="7" fillId="0" borderId="34" xfId="0" applyFont="1" applyBorder="1" applyAlignment="1">
      <alignment horizontal="center" vertical="center"/>
    </xf>
    <xf numFmtId="0" fontId="7" fillId="0" borderId="33" xfId="0" applyFont="1" applyBorder="1" applyAlignment="1">
      <alignment horizontal="center" vertical="center"/>
    </xf>
    <xf numFmtId="0" fontId="15" fillId="11" borderId="35" xfId="0" applyFont="1" applyFill="1" applyBorder="1" applyAlignment="1">
      <alignment vertical="top" wrapText="1"/>
    </xf>
    <xf numFmtId="0" fontId="17" fillId="2" borderId="35" xfId="2" applyFont="1" applyFill="1" applyBorder="1"/>
    <xf numFmtId="0" fontId="7" fillId="0" borderId="33" xfId="0" applyFont="1" applyBorder="1"/>
    <xf numFmtId="0" fontId="7" fillId="0" borderId="35" xfId="0" applyFont="1" applyBorder="1"/>
    <xf numFmtId="0" fontId="7" fillId="0" borderId="38" xfId="0" applyFont="1" applyBorder="1"/>
    <xf numFmtId="0" fontId="17" fillId="2" borderId="35" xfId="2" applyFont="1" applyFill="1" applyBorder="1" applyAlignment="1">
      <alignment horizontal="center"/>
    </xf>
    <xf numFmtId="0" fontId="7" fillId="0" borderId="37" xfId="0" applyFont="1" applyBorder="1"/>
    <xf numFmtId="0" fontId="7" fillId="0" borderId="36" xfId="0" applyFont="1" applyBorder="1" applyAlignment="1">
      <alignment horizontal="center" vertical="center"/>
    </xf>
    <xf numFmtId="0" fontId="7" fillId="0" borderId="31" xfId="0" applyFont="1" applyBorder="1"/>
    <xf numFmtId="0" fontId="7" fillId="0" borderId="40" xfId="0" applyFont="1" applyBorder="1"/>
    <xf numFmtId="0" fontId="17" fillId="2" borderId="30" xfId="2" applyFont="1" applyFill="1" applyBorder="1" applyAlignment="1">
      <alignment horizontal="center"/>
    </xf>
    <xf numFmtId="0" fontId="15" fillId="11" borderId="42" xfId="0" applyFont="1" applyFill="1" applyBorder="1" applyAlignment="1">
      <alignment vertical="top" wrapText="1"/>
    </xf>
    <xf numFmtId="0" fontId="18" fillId="2" borderId="1" xfId="0" quotePrefix="1" applyFont="1" applyFill="1" applyBorder="1" applyAlignment="1">
      <alignment horizontal="left" vertical="center" wrapText="1"/>
    </xf>
    <xf numFmtId="15" fontId="7" fillId="2" borderId="1" xfId="0" applyNumberFormat="1" applyFont="1" applyFill="1" applyBorder="1" applyAlignment="1">
      <alignment horizontal="center" vertical="center" wrapText="1"/>
    </xf>
    <xf numFmtId="17" fontId="7" fillId="2" borderId="1" xfId="0" applyNumberFormat="1" applyFont="1" applyFill="1" applyBorder="1" applyAlignment="1">
      <alignment horizontal="center" vertical="center" wrapText="1"/>
    </xf>
    <xf numFmtId="0" fontId="7" fillId="2" borderId="1" xfId="0" quotePrefix="1" applyFont="1" applyFill="1" applyBorder="1" applyAlignment="1">
      <alignment horizontal="center" vertical="center" wrapText="1"/>
    </xf>
    <xf numFmtId="0" fontId="7" fillId="2" borderId="12" xfId="0" applyFont="1" applyFill="1" applyBorder="1" applyAlignment="1">
      <alignment horizontal="left" vertical="center" wrapText="1"/>
    </xf>
    <xf numFmtId="0" fontId="7" fillId="2" borderId="1" xfId="0" applyFont="1" applyFill="1" applyBorder="1" applyAlignment="1">
      <alignment horizontal="left" vertical="center" wrapText="1"/>
    </xf>
    <xf numFmtId="0" fontId="7" fillId="2" borderId="11" xfId="0" applyFont="1" applyFill="1" applyBorder="1" applyAlignment="1">
      <alignment horizontal="left" vertical="center" wrapText="1"/>
    </xf>
    <xf numFmtId="0" fontId="18" fillId="2" borderId="11" xfId="0" quotePrefix="1" applyFont="1" applyFill="1" applyBorder="1" applyAlignment="1">
      <alignment horizontal="left" vertical="center" wrapText="1"/>
    </xf>
    <xf numFmtId="0" fontId="12" fillId="2" borderId="1" xfId="0" applyFont="1" applyFill="1" applyBorder="1" applyAlignment="1">
      <alignment horizontal="center" vertical="center" wrapText="1"/>
    </xf>
    <xf numFmtId="0" fontId="13" fillId="2" borderId="13" xfId="0" applyFont="1" applyFill="1" applyBorder="1" applyAlignment="1">
      <alignment horizontal="center" vertical="center" wrapText="1"/>
    </xf>
    <xf numFmtId="0" fontId="13" fillId="2" borderId="18" xfId="0" applyFont="1" applyFill="1" applyBorder="1" applyAlignment="1">
      <alignment horizontal="center" vertical="center" wrapText="1"/>
    </xf>
    <xf numFmtId="0" fontId="14" fillId="11" borderId="0" xfId="0" applyFont="1" applyFill="1" applyAlignment="1">
      <alignment horizontal="center" vertical="top" wrapText="1"/>
    </xf>
    <xf numFmtId="0" fontId="15" fillId="11" borderId="0" xfId="0" applyFont="1" applyFill="1" applyAlignment="1">
      <alignment horizontal="center" vertical="top" wrapText="1"/>
    </xf>
    <xf numFmtId="0" fontId="17" fillId="2" borderId="32" xfId="2" applyFont="1" applyFill="1" applyBorder="1" applyAlignment="1">
      <alignment horizontal="center"/>
    </xf>
    <xf numFmtId="0" fontId="17" fillId="2" borderId="39" xfId="2" applyFont="1" applyFill="1" applyBorder="1" applyAlignment="1">
      <alignment horizontal="center"/>
    </xf>
    <xf numFmtId="0" fontId="6" fillId="0" borderId="8" xfId="0" applyFont="1" applyBorder="1" applyAlignment="1">
      <alignment horizontal="center" vertical="center"/>
    </xf>
    <xf numFmtId="0" fontId="6" fillId="0" borderId="7" xfId="0" applyFont="1" applyBorder="1" applyAlignment="1">
      <alignment horizontal="center" vertical="center"/>
    </xf>
    <xf numFmtId="0" fontId="17" fillId="2" borderId="23" xfId="2" applyFont="1" applyFill="1" applyBorder="1" applyAlignment="1">
      <alignment horizontal="center"/>
    </xf>
    <xf numFmtId="0" fontId="17" fillId="2" borderId="22" xfId="2" applyFont="1" applyFill="1" applyBorder="1" applyAlignment="1">
      <alignment horizontal="center"/>
    </xf>
    <xf numFmtId="0" fontId="17" fillId="2" borderId="24" xfId="2" applyFont="1" applyFill="1" applyBorder="1" applyAlignment="1">
      <alignment horizontal="center"/>
    </xf>
    <xf numFmtId="0" fontId="13" fillId="2" borderId="12" xfId="0" applyFont="1" applyFill="1" applyBorder="1" applyAlignment="1">
      <alignment horizontal="center" vertical="center" wrapText="1"/>
    </xf>
    <xf numFmtId="0" fontId="5" fillId="7" borderId="3" xfId="0" applyFont="1" applyFill="1" applyBorder="1" applyAlignment="1">
      <alignment horizontal="center" vertical="center"/>
    </xf>
    <xf numFmtId="0" fontId="5" fillId="7" borderId="4" xfId="0" applyFont="1" applyFill="1" applyBorder="1" applyAlignment="1">
      <alignment horizontal="center" vertical="center"/>
    </xf>
    <xf numFmtId="0" fontId="5" fillId="7" borderId="5" xfId="0" applyFont="1" applyFill="1" applyBorder="1" applyAlignment="1">
      <alignment horizontal="center" vertical="center"/>
    </xf>
    <xf numFmtId="0" fontId="6" fillId="0" borderId="8" xfId="0" applyFont="1" applyBorder="1" applyAlignment="1">
      <alignment horizontal="center" vertical="center" wrapText="1"/>
    </xf>
    <xf numFmtId="0" fontId="6"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7" xfId="0" applyFont="1" applyBorder="1" applyAlignment="1">
      <alignment horizontal="center" vertical="center" wrapText="1"/>
    </xf>
    <xf numFmtId="0" fontId="14" fillId="9" borderId="17" xfId="0" applyFont="1" applyFill="1" applyBorder="1" applyAlignment="1">
      <alignment horizontal="center" vertical="center" wrapText="1"/>
    </xf>
    <xf numFmtId="0" fontId="15" fillId="2" borderId="17" xfId="0" applyFont="1" applyFill="1" applyBorder="1" applyAlignment="1">
      <alignment horizontal="center" vertical="center"/>
    </xf>
    <xf numFmtId="0" fontId="16" fillId="9" borderId="41" xfId="0" applyFont="1" applyFill="1" applyBorder="1" applyAlignment="1">
      <alignment horizontal="center" vertical="center" wrapText="1"/>
    </xf>
  </cellXfs>
  <cellStyles count="3">
    <cellStyle name="Normal" xfId="0" builtinId="0"/>
    <cellStyle name="Normal 2" xfId="2" xr:uid="{3FD3047E-80D1-48EA-9306-9348F3D55B6C}"/>
    <cellStyle name="Porcentaje" xfId="1" builtinId="5"/>
  </cellStyles>
  <dxfs count="5">
    <dxf>
      <fill>
        <patternFill>
          <bgColor rgb="FFFF0000"/>
        </patternFill>
      </fill>
    </dxf>
    <dxf>
      <font>
        <b val="0"/>
        <i val="0"/>
      </font>
      <fill>
        <patternFill patternType="solid">
          <bgColor rgb="FFFF0000"/>
        </patternFill>
      </fill>
    </dxf>
    <dxf>
      <fill>
        <patternFill>
          <bgColor rgb="FF00B050"/>
        </patternFill>
      </fill>
    </dxf>
    <dxf>
      <fill>
        <patternFill>
          <bgColor rgb="FFFF0000"/>
        </patternFill>
      </fill>
    </dxf>
    <dxf>
      <fill>
        <patternFill>
          <bgColor rgb="FFFFFF00"/>
        </patternFill>
      </fill>
    </dxf>
  </dxfs>
  <tableStyles count="0" defaultTableStyle="TableStyleMedium9" defaultPivotStyle="PivotStyleLight16"/>
  <colors>
    <mruColors>
      <color rgb="FFFFFFCC"/>
      <color rgb="FFFFFF99"/>
      <color rgb="FFA7D971"/>
      <color rgb="FFFFFF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82613</xdr:colOff>
      <xdr:row>0</xdr:row>
      <xdr:rowOff>256348</xdr:rowOff>
    </xdr:from>
    <xdr:to>
      <xdr:col>0</xdr:col>
      <xdr:colOff>1176046</xdr:colOff>
      <xdr:row>2</xdr:row>
      <xdr:rowOff>203036</xdr:rowOff>
    </xdr:to>
    <xdr:pic>
      <xdr:nvPicPr>
        <xdr:cNvPr id="5" name="Imagen 2">
          <a:extLst>
            <a:ext uri="{FF2B5EF4-FFF2-40B4-BE49-F238E27FC236}">
              <a16:creationId xmlns:a16="http://schemas.microsoft.com/office/drawing/2014/main" id="{DBEA73AE-2B06-463F-A66A-010817B83E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613" y="256348"/>
          <a:ext cx="1093433" cy="6076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37"/>
  <sheetViews>
    <sheetView tabSelected="1" zoomScale="85" zoomScaleNormal="98" zoomScaleSheetLayoutView="96" workbookViewId="0">
      <pane xSplit="1" topLeftCell="B1" activePane="topRight" state="frozen"/>
      <selection pane="topRight" activeCell="O15" sqref="O15"/>
    </sheetView>
  </sheetViews>
  <sheetFormatPr baseColWidth="10" defaultColWidth="11.42578125" defaultRowHeight="16.5" x14ac:dyDescent="0.3"/>
  <cols>
    <col min="1" max="1" width="19.85546875" style="2" customWidth="1"/>
    <col min="2" max="2" width="43" style="1" customWidth="1"/>
    <col min="3" max="3" width="31.42578125" style="1" customWidth="1"/>
    <col min="4" max="4" width="46.5703125" style="1" customWidth="1"/>
    <col min="5" max="5" width="30.42578125" style="1" customWidth="1"/>
    <col min="6" max="6" width="19" style="1" customWidth="1"/>
    <col min="7" max="7" width="21.28515625" style="1" customWidth="1"/>
    <col min="8" max="8" width="18.85546875" style="1" customWidth="1"/>
    <col min="9" max="9" width="0.7109375" style="1" hidden="1" customWidth="1"/>
    <col min="10" max="10" width="11.42578125" style="1" hidden="1" customWidth="1"/>
    <col min="11" max="11" width="15.7109375" style="1" hidden="1" customWidth="1"/>
    <col min="12" max="16384" width="11.42578125" style="1"/>
  </cols>
  <sheetData>
    <row r="1" spans="1:11" ht="34.5" customHeight="1" x14ac:dyDescent="0.3">
      <c r="A1" s="66"/>
      <c r="B1" s="66" t="s">
        <v>18</v>
      </c>
      <c r="C1" s="66"/>
      <c r="D1" s="66"/>
      <c r="E1" s="66"/>
      <c r="F1" s="66"/>
      <c r="G1" s="66"/>
      <c r="H1" s="66"/>
    </row>
    <row r="2" spans="1:11" ht="17.25" customHeight="1" x14ac:dyDescent="0.3">
      <c r="A2" s="66"/>
      <c r="B2" s="66" t="s">
        <v>19</v>
      </c>
      <c r="C2" s="66"/>
      <c r="D2" s="66"/>
      <c r="E2" s="66"/>
      <c r="F2" s="66"/>
      <c r="G2" s="66"/>
      <c r="H2" s="66"/>
    </row>
    <row r="3" spans="1:11" ht="17.25" customHeight="1" x14ac:dyDescent="0.3">
      <c r="A3" s="66"/>
      <c r="B3" s="66" t="s">
        <v>20</v>
      </c>
      <c r="C3" s="66"/>
      <c r="D3" s="66"/>
      <c r="E3" s="66"/>
      <c r="F3" s="66"/>
      <c r="G3" s="66"/>
      <c r="H3" s="66"/>
    </row>
    <row r="4" spans="1:11" ht="12.75" customHeight="1" x14ac:dyDescent="0.3">
      <c r="A4" s="66"/>
      <c r="B4" s="67" t="s">
        <v>29</v>
      </c>
      <c r="C4" s="68"/>
      <c r="D4" s="78" t="s">
        <v>30</v>
      </c>
      <c r="E4" s="78"/>
      <c r="F4" s="78"/>
      <c r="G4" s="67"/>
    </row>
    <row r="5" spans="1:11" ht="15.6" customHeight="1" thickBot="1" x14ac:dyDescent="0.35">
      <c r="A5" s="4"/>
      <c r="B5" s="5"/>
      <c r="C5" s="5"/>
      <c r="D5" s="11"/>
      <c r="E5" s="11"/>
      <c r="F5" s="11"/>
      <c r="G5" s="11"/>
      <c r="H5" s="6"/>
      <c r="I5" s="8"/>
      <c r="J5" s="8"/>
      <c r="K5" s="8"/>
    </row>
    <row r="6" spans="1:11" ht="13.5" customHeight="1" thickBot="1" x14ac:dyDescent="0.35">
      <c r="A6" s="7"/>
      <c r="B6" s="2"/>
      <c r="C6" s="3"/>
      <c r="D6" s="3"/>
      <c r="E6" s="3"/>
      <c r="F6" s="79" t="s">
        <v>11</v>
      </c>
      <c r="G6" s="80"/>
      <c r="H6" s="81"/>
      <c r="I6" s="8"/>
      <c r="J6" s="8"/>
      <c r="K6" s="8"/>
    </row>
    <row r="7" spans="1:11" ht="22.9" customHeight="1" thickBot="1" x14ac:dyDescent="0.35">
      <c r="A7" s="7"/>
      <c r="B7" s="16" t="s">
        <v>17</v>
      </c>
      <c r="C7" s="15" t="s">
        <v>79</v>
      </c>
      <c r="D7" s="16" t="s">
        <v>83</v>
      </c>
      <c r="E7" s="17"/>
      <c r="F7" s="12" t="s">
        <v>1</v>
      </c>
      <c r="G7" s="22">
        <v>0</v>
      </c>
      <c r="H7" s="23">
        <f>G7/$G$10</f>
        <v>0</v>
      </c>
      <c r="I7" s="8"/>
      <c r="J7" s="8"/>
      <c r="K7" s="8"/>
    </row>
    <row r="8" spans="1:11" ht="19.899999999999999" customHeight="1" thickBot="1" x14ac:dyDescent="0.35">
      <c r="A8" s="7"/>
      <c r="B8" s="18"/>
      <c r="C8" s="19"/>
      <c r="D8" s="17"/>
      <c r="E8" s="17"/>
      <c r="F8" s="20" t="s">
        <v>2</v>
      </c>
      <c r="G8" s="24">
        <v>0</v>
      </c>
      <c r="H8" s="25">
        <f t="shared" ref="H8:H9" si="0">G8/$G$10</f>
        <v>0</v>
      </c>
      <c r="I8" s="8"/>
      <c r="J8" s="8" t="s">
        <v>12</v>
      </c>
      <c r="K8" s="8" t="s">
        <v>1</v>
      </c>
    </row>
    <row r="9" spans="1:11" ht="19.5" customHeight="1" thickBot="1" x14ac:dyDescent="0.35">
      <c r="A9" s="7"/>
      <c r="B9" s="14" t="s">
        <v>16</v>
      </c>
      <c r="C9" s="18" t="s">
        <v>80</v>
      </c>
      <c r="D9" s="16" t="s">
        <v>31</v>
      </c>
      <c r="E9" s="17">
        <v>2025</v>
      </c>
      <c r="F9" s="13" t="s">
        <v>3</v>
      </c>
      <c r="G9" s="26">
        <v>15</v>
      </c>
      <c r="H9" s="25">
        <f t="shared" si="0"/>
        <v>1</v>
      </c>
      <c r="I9" s="8"/>
      <c r="J9" s="8" t="s">
        <v>13</v>
      </c>
      <c r="K9" s="8" t="s">
        <v>14</v>
      </c>
    </row>
    <row r="10" spans="1:11" ht="25.5" customHeight="1" thickBot="1" x14ac:dyDescent="0.35">
      <c r="A10" s="7"/>
      <c r="B10" s="18"/>
      <c r="C10" s="19"/>
      <c r="D10" s="19"/>
      <c r="E10" s="19"/>
      <c r="F10" s="21" t="s">
        <v>4</v>
      </c>
      <c r="G10" s="27">
        <v>15</v>
      </c>
      <c r="H10" s="28">
        <f>SUM(H7:H9)</f>
        <v>1</v>
      </c>
      <c r="I10" s="8"/>
      <c r="J10" s="8"/>
      <c r="K10" s="8" t="s">
        <v>3</v>
      </c>
    </row>
    <row r="11" spans="1:11" ht="12.6" customHeight="1" thickBot="1" x14ac:dyDescent="0.35">
      <c r="A11" s="7"/>
      <c r="B11" s="2"/>
      <c r="C11" s="3"/>
      <c r="D11" s="3"/>
      <c r="E11" s="3"/>
      <c r="F11" s="3"/>
      <c r="G11" s="3"/>
      <c r="H11" s="3"/>
      <c r="I11" s="8"/>
      <c r="J11" s="8"/>
      <c r="K11" s="8"/>
    </row>
    <row r="12" spans="1:11" ht="18" customHeight="1" x14ac:dyDescent="0.3">
      <c r="A12" s="73" t="s">
        <v>0</v>
      </c>
      <c r="B12" s="73" t="s">
        <v>5</v>
      </c>
      <c r="C12" s="82" t="s">
        <v>6</v>
      </c>
      <c r="D12" s="82" t="s">
        <v>7</v>
      </c>
      <c r="E12" s="84" t="s">
        <v>8</v>
      </c>
      <c r="F12" s="84" t="s">
        <v>9</v>
      </c>
      <c r="G12" s="84" t="s">
        <v>10</v>
      </c>
      <c r="H12" s="84" t="s">
        <v>15</v>
      </c>
      <c r="I12" s="8"/>
      <c r="J12" s="8"/>
      <c r="K12" s="8"/>
    </row>
    <row r="13" spans="1:11" ht="26.25" customHeight="1" thickBot="1" x14ac:dyDescent="0.35">
      <c r="A13" s="74"/>
      <c r="B13" s="74"/>
      <c r="C13" s="83"/>
      <c r="D13" s="83"/>
      <c r="E13" s="85"/>
      <c r="F13" s="85"/>
      <c r="G13" s="85"/>
      <c r="H13" s="85"/>
      <c r="I13" s="8"/>
      <c r="J13" s="8"/>
      <c r="K13" s="8"/>
    </row>
    <row r="14" spans="1:11" ht="96" customHeight="1" x14ac:dyDescent="0.3">
      <c r="A14" s="10">
        <v>1</v>
      </c>
      <c r="B14" s="62" t="s">
        <v>50</v>
      </c>
      <c r="C14" s="58" t="s">
        <v>51</v>
      </c>
      <c r="D14" s="58" t="s">
        <v>32</v>
      </c>
      <c r="E14" s="59">
        <v>45972</v>
      </c>
      <c r="F14" s="60" t="s">
        <v>33</v>
      </c>
      <c r="G14" s="61" t="s">
        <v>34</v>
      </c>
      <c r="H14" s="61" t="s">
        <v>3</v>
      </c>
      <c r="I14" s="8"/>
      <c r="J14" s="8"/>
      <c r="K14" s="8"/>
    </row>
    <row r="15" spans="1:11" ht="109.15" customHeight="1" x14ac:dyDescent="0.3">
      <c r="A15" s="9">
        <v>2</v>
      </c>
      <c r="B15" s="63" t="s">
        <v>52</v>
      </c>
      <c r="C15" s="58" t="s">
        <v>53</v>
      </c>
      <c r="D15" s="58" t="s">
        <v>35</v>
      </c>
      <c r="E15" s="59">
        <v>45972</v>
      </c>
      <c r="F15" s="60" t="s">
        <v>36</v>
      </c>
      <c r="G15" s="61" t="s">
        <v>34</v>
      </c>
      <c r="H15" s="61" t="s">
        <v>3</v>
      </c>
      <c r="I15" s="8"/>
      <c r="J15" s="8"/>
      <c r="K15" s="8"/>
    </row>
    <row r="16" spans="1:11" ht="188.45" customHeight="1" x14ac:dyDescent="0.3">
      <c r="A16" s="9">
        <v>3</v>
      </c>
      <c r="B16" s="63" t="s">
        <v>54</v>
      </c>
      <c r="C16" s="58" t="s">
        <v>55</v>
      </c>
      <c r="D16" s="58" t="s">
        <v>37</v>
      </c>
      <c r="E16" s="59">
        <v>45972</v>
      </c>
      <c r="F16" s="60" t="s">
        <v>36</v>
      </c>
      <c r="G16" s="61" t="s">
        <v>34</v>
      </c>
      <c r="H16" s="61" t="s">
        <v>3</v>
      </c>
      <c r="I16" s="8"/>
      <c r="J16" s="8"/>
      <c r="K16" s="8"/>
    </row>
    <row r="17" spans="1:12" ht="121.15" customHeight="1" x14ac:dyDescent="0.3">
      <c r="A17" s="9">
        <v>4</v>
      </c>
      <c r="B17" s="63" t="s">
        <v>56</v>
      </c>
      <c r="C17" s="58" t="s">
        <v>57</v>
      </c>
      <c r="D17" s="58" t="s">
        <v>38</v>
      </c>
      <c r="E17" s="59">
        <v>45972</v>
      </c>
      <c r="F17" s="60" t="s">
        <v>36</v>
      </c>
      <c r="G17" s="61" t="s">
        <v>34</v>
      </c>
      <c r="H17" s="61" t="s">
        <v>3</v>
      </c>
      <c r="I17" s="8"/>
      <c r="J17" s="8"/>
      <c r="K17" s="8"/>
    </row>
    <row r="18" spans="1:12" ht="122.45" customHeight="1" x14ac:dyDescent="0.3">
      <c r="A18" s="32">
        <v>5</v>
      </c>
      <c r="B18" s="63" t="s">
        <v>58</v>
      </c>
      <c r="C18" s="58" t="s">
        <v>59</v>
      </c>
      <c r="D18" s="58" t="s">
        <v>39</v>
      </c>
      <c r="E18" s="59">
        <v>45972</v>
      </c>
      <c r="F18" s="60" t="s">
        <v>36</v>
      </c>
      <c r="G18" s="61" t="s">
        <v>34</v>
      </c>
      <c r="H18" s="61" t="s">
        <v>3</v>
      </c>
      <c r="I18" s="8"/>
      <c r="J18" s="8"/>
      <c r="K18" s="8"/>
    </row>
    <row r="19" spans="1:12" ht="96" customHeight="1" x14ac:dyDescent="0.3">
      <c r="A19" s="32">
        <v>6</v>
      </c>
      <c r="B19" s="63" t="s">
        <v>60</v>
      </c>
      <c r="C19" s="58" t="s">
        <v>61</v>
      </c>
      <c r="D19" s="58" t="s">
        <v>40</v>
      </c>
      <c r="E19" s="59">
        <v>45972</v>
      </c>
      <c r="F19" s="60" t="s">
        <v>36</v>
      </c>
      <c r="G19" s="61" t="s">
        <v>34</v>
      </c>
      <c r="H19" s="61" t="s">
        <v>3</v>
      </c>
      <c r="I19" s="8"/>
      <c r="J19" s="8"/>
      <c r="K19" s="8"/>
    </row>
    <row r="20" spans="1:12" ht="138" customHeight="1" x14ac:dyDescent="0.3">
      <c r="A20" s="32">
        <v>7</v>
      </c>
      <c r="B20" s="63" t="s">
        <v>62</v>
      </c>
      <c r="C20" s="58" t="s">
        <v>63</v>
      </c>
      <c r="D20" s="58" t="s">
        <v>41</v>
      </c>
      <c r="E20" s="59">
        <v>45972</v>
      </c>
      <c r="F20" s="60" t="s">
        <v>36</v>
      </c>
      <c r="G20" s="61" t="s">
        <v>34</v>
      </c>
      <c r="H20" s="61" t="s">
        <v>3</v>
      </c>
      <c r="I20" s="8"/>
      <c r="J20" s="8"/>
      <c r="K20" s="8"/>
    </row>
    <row r="21" spans="1:12" ht="85.15" customHeight="1" x14ac:dyDescent="0.3">
      <c r="A21" s="32">
        <v>8</v>
      </c>
      <c r="B21" s="63" t="s">
        <v>64</v>
      </c>
      <c r="C21" s="63" t="s">
        <v>65</v>
      </c>
      <c r="D21" s="58" t="s">
        <v>42</v>
      </c>
      <c r="E21" s="59">
        <v>45972</v>
      </c>
      <c r="F21" s="60" t="s">
        <v>36</v>
      </c>
      <c r="G21" s="61" t="s">
        <v>34</v>
      </c>
      <c r="H21" s="61" t="s">
        <v>3</v>
      </c>
      <c r="I21" s="8"/>
      <c r="J21" s="8"/>
      <c r="K21" s="8"/>
    </row>
    <row r="22" spans="1:12" ht="85.15" customHeight="1" x14ac:dyDescent="0.3">
      <c r="A22" s="32">
        <v>9</v>
      </c>
      <c r="B22" s="63" t="s">
        <v>66</v>
      </c>
      <c r="C22" s="58" t="s">
        <v>67</v>
      </c>
      <c r="D22" s="58" t="s">
        <v>43</v>
      </c>
      <c r="E22" s="59">
        <v>45972</v>
      </c>
      <c r="F22" s="60" t="s">
        <v>36</v>
      </c>
      <c r="G22" s="61" t="s">
        <v>34</v>
      </c>
      <c r="H22" s="61" t="s">
        <v>3</v>
      </c>
      <c r="I22" s="8"/>
      <c r="J22" s="8"/>
      <c r="K22" s="8"/>
    </row>
    <row r="23" spans="1:12" ht="85.15" customHeight="1" x14ac:dyDescent="0.3">
      <c r="A23" s="32">
        <v>10</v>
      </c>
      <c r="B23" s="63" t="s">
        <v>68</v>
      </c>
      <c r="C23" s="58" t="s">
        <v>69</v>
      </c>
      <c r="D23" s="58" t="s">
        <v>44</v>
      </c>
      <c r="E23" s="59">
        <v>45972</v>
      </c>
      <c r="F23" s="60" t="s">
        <v>36</v>
      </c>
      <c r="G23" s="61" t="s">
        <v>34</v>
      </c>
      <c r="H23" s="61" t="s">
        <v>3</v>
      </c>
      <c r="I23" s="8"/>
      <c r="J23" s="8"/>
      <c r="K23" s="8"/>
    </row>
    <row r="24" spans="1:12" ht="85.15" customHeight="1" x14ac:dyDescent="0.3">
      <c r="A24" s="32">
        <v>11</v>
      </c>
      <c r="B24" s="63" t="s">
        <v>70</v>
      </c>
      <c r="C24" s="58" t="s">
        <v>71</v>
      </c>
      <c r="D24" s="58" t="s">
        <v>45</v>
      </c>
      <c r="E24" s="59">
        <v>45972</v>
      </c>
      <c r="F24" s="60" t="s">
        <v>36</v>
      </c>
      <c r="G24" s="61" t="s">
        <v>34</v>
      </c>
      <c r="H24" s="61" t="s">
        <v>3</v>
      </c>
      <c r="I24" s="8"/>
      <c r="J24" s="8"/>
      <c r="K24" s="8"/>
    </row>
    <row r="25" spans="1:12" ht="85.15" customHeight="1" x14ac:dyDescent="0.3">
      <c r="A25" s="32">
        <v>12</v>
      </c>
      <c r="B25" s="63" t="s">
        <v>72</v>
      </c>
      <c r="C25" s="58" t="s">
        <v>73</v>
      </c>
      <c r="D25" s="58" t="s">
        <v>46</v>
      </c>
      <c r="E25" s="59">
        <v>45972</v>
      </c>
      <c r="F25" s="60" t="s">
        <v>36</v>
      </c>
      <c r="G25" s="61" t="s">
        <v>34</v>
      </c>
      <c r="H25" s="61" t="s">
        <v>3</v>
      </c>
      <c r="I25" s="8"/>
      <c r="J25" s="8"/>
      <c r="K25" s="8"/>
    </row>
    <row r="26" spans="1:12" ht="96" customHeight="1" x14ac:dyDescent="0.3">
      <c r="A26" s="32">
        <v>13</v>
      </c>
      <c r="B26" s="63" t="s">
        <v>74</v>
      </c>
      <c r="C26" s="58" t="s">
        <v>75</v>
      </c>
      <c r="D26" s="58" t="s">
        <v>47</v>
      </c>
      <c r="E26" s="59">
        <v>45972</v>
      </c>
      <c r="F26" s="60" t="s">
        <v>36</v>
      </c>
      <c r="G26" s="61" t="s">
        <v>34</v>
      </c>
      <c r="H26" s="61" t="s">
        <v>3</v>
      </c>
      <c r="I26" s="8"/>
      <c r="J26" s="8"/>
      <c r="K26" s="8"/>
    </row>
    <row r="27" spans="1:12" ht="106.15" customHeight="1" x14ac:dyDescent="0.3">
      <c r="A27" s="32">
        <v>14</v>
      </c>
      <c r="B27" s="63" t="s">
        <v>76</v>
      </c>
      <c r="C27" s="58" t="s">
        <v>78</v>
      </c>
      <c r="D27" s="58" t="s">
        <v>48</v>
      </c>
      <c r="E27" s="59">
        <v>45972</v>
      </c>
      <c r="F27" s="60" t="s">
        <v>36</v>
      </c>
      <c r="G27" s="61" t="s">
        <v>34</v>
      </c>
      <c r="H27" s="61" t="s">
        <v>3</v>
      </c>
      <c r="I27" s="8"/>
      <c r="J27" s="8"/>
      <c r="K27" s="8"/>
    </row>
    <row r="28" spans="1:12" ht="88.9" customHeight="1" thickBot="1" x14ac:dyDescent="0.35">
      <c r="A28" s="32">
        <v>15</v>
      </c>
      <c r="B28" s="64" t="s">
        <v>77</v>
      </c>
      <c r="C28" s="65" t="s">
        <v>77</v>
      </c>
      <c r="D28" s="58" t="s">
        <v>49</v>
      </c>
      <c r="E28" s="59">
        <v>45972</v>
      </c>
      <c r="F28" s="60" t="s">
        <v>36</v>
      </c>
      <c r="G28" s="61" t="s">
        <v>34</v>
      </c>
      <c r="H28" s="61" t="s">
        <v>3</v>
      </c>
      <c r="I28" s="8"/>
      <c r="J28" s="8"/>
      <c r="K28" s="8"/>
    </row>
    <row r="29" spans="1:12" ht="45" customHeight="1" thickBot="1" x14ac:dyDescent="0.35">
      <c r="A29" s="33" t="s">
        <v>28</v>
      </c>
      <c r="B29" s="87" t="s">
        <v>79</v>
      </c>
      <c r="C29" s="34" t="s">
        <v>21</v>
      </c>
      <c r="D29" s="86" t="s">
        <v>81</v>
      </c>
      <c r="E29" s="35" t="s">
        <v>22</v>
      </c>
      <c r="F29" s="86" t="s">
        <v>81</v>
      </c>
      <c r="G29" s="35" t="s">
        <v>23</v>
      </c>
      <c r="H29" s="88" t="s">
        <v>82</v>
      </c>
      <c r="I29" s="31"/>
      <c r="J29" s="29" t="s">
        <v>24</v>
      </c>
    </row>
    <row r="30" spans="1:12" x14ac:dyDescent="0.3">
      <c r="A30" s="36"/>
      <c r="B30" s="42"/>
      <c r="C30" s="43"/>
      <c r="D30" s="43"/>
      <c r="E30" s="41"/>
      <c r="F30" s="37"/>
      <c r="G30" s="37"/>
      <c r="H30" s="57"/>
      <c r="I30" s="30"/>
      <c r="J30" s="30"/>
      <c r="L30" s="40"/>
    </row>
    <row r="31" spans="1:12" ht="41.25" customHeight="1" x14ac:dyDescent="0.3">
      <c r="A31" s="71"/>
      <c r="B31" s="72"/>
      <c r="C31" s="46"/>
      <c r="D31" s="47"/>
      <c r="E31" s="39"/>
      <c r="F31" s="39"/>
      <c r="G31" s="38"/>
      <c r="H31" s="46"/>
      <c r="I31" s="69" t="s">
        <v>26</v>
      </c>
      <c r="J31" s="70"/>
    </row>
    <row r="32" spans="1:12" x14ac:dyDescent="0.3">
      <c r="A32" s="53"/>
      <c r="B32" s="56" t="s">
        <v>25</v>
      </c>
      <c r="C32" s="51"/>
      <c r="D32" s="50"/>
      <c r="E32" s="75" t="s">
        <v>27</v>
      </c>
      <c r="F32" s="76"/>
      <c r="G32" s="77"/>
      <c r="H32" s="49"/>
      <c r="L32" s="40"/>
    </row>
    <row r="33" spans="1:8" x14ac:dyDescent="0.3">
      <c r="A33" s="44"/>
      <c r="B33" s="54"/>
      <c r="C33" s="49"/>
      <c r="D33" s="48"/>
      <c r="E33" s="51"/>
      <c r="F33" s="49"/>
      <c r="G33" s="52"/>
      <c r="H33" s="49"/>
    </row>
    <row r="34" spans="1:8" x14ac:dyDescent="0.3">
      <c r="A34" s="45"/>
      <c r="C34" s="48"/>
      <c r="D34" s="48"/>
    </row>
    <row r="36" spans="1:8" x14ac:dyDescent="0.3">
      <c r="C36" s="55"/>
    </row>
    <row r="37" spans="1:8" x14ac:dyDescent="0.3">
      <c r="C37" s="48"/>
    </row>
  </sheetData>
  <dataConsolidate/>
  <mergeCells count="18">
    <mergeCell ref="E32:G32"/>
    <mergeCell ref="D4:G4"/>
    <mergeCell ref="B1:H1"/>
    <mergeCell ref="B2:H2"/>
    <mergeCell ref="B3:H3"/>
    <mergeCell ref="F6:H6"/>
    <mergeCell ref="B12:B13"/>
    <mergeCell ref="C12:C13"/>
    <mergeCell ref="D12:D13"/>
    <mergeCell ref="E12:E13"/>
    <mergeCell ref="F12:F13"/>
    <mergeCell ref="G12:G13"/>
    <mergeCell ref="H12:H13"/>
    <mergeCell ref="A1:A4"/>
    <mergeCell ref="B4:C4"/>
    <mergeCell ref="I31:J31"/>
    <mergeCell ref="A31:B31"/>
    <mergeCell ref="A12:A13"/>
  </mergeCells>
  <conditionalFormatting sqref="G14:H28">
    <cfRule type="containsText" dxfId="4" priority="1" operator="containsText" text="EN GESTION">
      <formula>NOT(ISERROR(SEARCH("EN GESTION",G14)))</formula>
    </cfRule>
    <cfRule type="containsText" dxfId="3" priority="2" operator="containsText" text="SIN AVANCE">
      <formula>NOT(ISERROR(SEARCH("SIN AVANCE",G14)))</formula>
    </cfRule>
    <cfRule type="containsText" dxfId="2" priority="3" operator="containsText" text="CUMPLIDAS">
      <formula>NOT(ISERROR(SEARCH("CUMPLIDAS",G14)))</formula>
    </cfRule>
    <cfRule type="containsText" dxfId="1" priority="4" operator="containsText" text="SIN AVANCE">
      <formula>NOT(ISERROR(SEARCH("SIN AVANCE",G14)))</formula>
    </cfRule>
    <cfRule type="expression" dxfId="0" priority="5">
      <formula>$H$14</formula>
    </cfRule>
  </conditionalFormatting>
  <dataValidations count="1">
    <dataValidation type="list" allowBlank="1" showInputMessage="1" showErrorMessage="1" sqref="G14:H28" xr:uid="{00000000-0002-0000-0000-000000000000}">
      <formula1>$K$7:$K$10</formula1>
    </dataValidation>
  </dataValidations>
  <printOptions horizontalCentered="1"/>
  <pageMargins left="0.70866141732283472" right="0.47244094488188981" top="0.74803149606299213" bottom="0.74803149606299213" header="0.31496062992125984" footer="0.31496062992125984"/>
  <pageSetup scale="57"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POLITICA MIPG</vt:lpstr>
      <vt:lpstr>'POLITICA MIPG'!Área_de_impresión</vt:lpstr>
      <vt:lpstr>'POLITICA MIPG'!Títulos_a_imprimir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Guillot</dc:creator>
  <cp:lastModifiedBy>concejo chia</cp:lastModifiedBy>
  <cp:lastPrinted>2025-10-27T17:25:47Z</cp:lastPrinted>
  <dcterms:created xsi:type="dcterms:W3CDTF">2014-12-09T04:54:47Z</dcterms:created>
  <dcterms:modified xsi:type="dcterms:W3CDTF">2026-04-13T17:25:09Z</dcterms:modified>
</cp:coreProperties>
</file>