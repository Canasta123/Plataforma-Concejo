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192.168.40.150\compartida\SGC CONCEJO CHIA 2025\8. Indicadores\Ind. Gest. Doc y TI\"/>
    </mc:Choice>
  </mc:AlternateContent>
  <xr:revisionPtr revIDLastSave="0" documentId="13_ncr:1_{C865CBA4-D318-4D78-9D9F-C0F73A7536D4}" xr6:coauthVersionLast="47" xr6:coauthVersionMax="47" xr10:uidLastSave="{00000000-0000-0000-0000-000000000000}"/>
  <bookViews>
    <workbookView xWindow="-120" yWindow="-120" windowWidth="29040" windowHeight="15720" tabRatio="716" firstSheet="1" activeTab="5" xr2:uid="{00000000-000D-0000-FFFF-FFFF00000000}"/>
  </bookViews>
  <sheets>
    <sheet name="despliegue politica y obj" sheetId="1" state="hidden" r:id="rId1"/>
    <sheet name="Bateria" sheetId="2" r:id="rId2"/>
    <sheet name="Indicador 1" sheetId="4" r:id="rId3"/>
    <sheet name="Hoja3" sheetId="3" state="hidden" r:id="rId4"/>
    <sheet name="Indicador 2" sheetId="41" r:id="rId5"/>
    <sheet name="Indicador 3" sheetId="42" r:id="rId6"/>
    <sheet name="Hoja1" sheetId="40" state="hidden" r:id="rId7"/>
  </sheets>
  <externalReferences>
    <externalReference r:id="rId8"/>
    <externalReference r:id="rId9"/>
    <externalReference r:id="rId10"/>
    <externalReference r:id="rId11"/>
    <externalReference r:id="rId12"/>
  </externalReferences>
  <definedNames>
    <definedName name="__ric1">#REF!</definedName>
    <definedName name="__ric2">#REF!</definedName>
    <definedName name="__ric3">#REF!</definedName>
    <definedName name="_xlnm._FilterDatabase" localSheetId="1" hidden="1">Bateria!$A$8:$AA$18</definedName>
    <definedName name="_ric1">#REF!</definedName>
    <definedName name="_ric2">#REF!</definedName>
    <definedName name="_ric3">#REF!</definedName>
    <definedName name="Afeb">[1]Resumen!$D$30</definedName>
    <definedName name="Ajul">[2]Resumen!$I$31</definedName>
    <definedName name="_xlnm.Print_Area" localSheetId="1">Bateria!$A$1:$AA$11</definedName>
    <definedName name="_xlnm.Print_Area" localSheetId="2">'Indicador 1'!$B$1:$O$110</definedName>
    <definedName name="_xlnm.Print_Area" localSheetId="4">'Indicador 2'!$B$1:$O$105</definedName>
    <definedName name="_xlnm.Print_Area" localSheetId="5">'Indicador 3'!$B$1:$O$100</definedName>
    <definedName name="CLASE">#REF!</definedName>
    <definedName name="CLASEFICAZ">#REF!</definedName>
    <definedName name="CLASERFICAZ">#REF!</definedName>
    <definedName name="DESEMPEÑO" localSheetId="2">[3]listas!#REF!</definedName>
    <definedName name="DESEMPEÑO" localSheetId="4">[3]listas!#REF!</definedName>
    <definedName name="DESEMPEÑO" localSheetId="5">[3]listas!#REF!</definedName>
    <definedName name="DESEMPEÑO">[4]listas!#REF!</definedName>
    <definedName name="Efectividad" localSheetId="2">[3]listas!$O$4:$O$12</definedName>
    <definedName name="Efectividad" localSheetId="4">[3]listas!$O$4:$O$12</definedName>
    <definedName name="Efectividad" localSheetId="5">[3]listas!$O$4:$O$12</definedName>
    <definedName name="Efectividad">[4]listas!$O$4:$O$12</definedName>
    <definedName name="Eficacia" localSheetId="2">[3]listas!$M$4:$M$16</definedName>
    <definedName name="Eficacia" localSheetId="4">[3]listas!$M$4:$M$16</definedName>
    <definedName name="Eficacia" localSheetId="5">[3]listas!$M$4:$M$16</definedName>
    <definedName name="Eficacia">[4]listas!$M$4:$M$16</definedName>
    <definedName name="Eficiencia" localSheetId="2">[3]listas!$N$4:$N$21</definedName>
    <definedName name="Eficiencia" localSheetId="4">[3]listas!$N$4:$N$21</definedName>
    <definedName name="Eficiencia" localSheetId="5">[3]listas!$N$4:$N$21</definedName>
    <definedName name="Eficiencia">[4]listas!$N$4:$N$21</definedName>
    <definedName name="Formato">[5]Indicadores!#REF!</definedName>
    <definedName name="lista" localSheetId="2">[3]listas!$L$26:$L$28</definedName>
    <definedName name="lista" localSheetId="4">[3]listas!$L$26:$L$28</definedName>
    <definedName name="lista" localSheetId="5">[3]listas!$L$26:$L$28</definedName>
    <definedName name="lista">[4]listas!#REF!</definedName>
    <definedName name="mm">#REF!</definedName>
    <definedName name="NIVEL">[4]listas!$L$25:$L$27</definedName>
    <definedName name="njh">#REF!</definedName>
    <definedName name="Objetivo">'despliegue politica y obj'!$B$8:$B$19</definedName>
    <definedName name="OBJETIVOS">Hoja3!$A$3:$A$13</definedName>
    <definedName name="objetivoscalidad">Hoja3!$A$4:$A$13</definedName>
    <definedName name="Procesos" localSheetId="2">[3]listas!$K$4:$K$27</definedName>
    <definedName name="Procesos" localSheetId="4">[3]listas!$K$4:$K$27</definedName>
    <definedName name="Procesos" localSheetId="5">[3]listas!$K$4:$K$27</definedName>
    <definedName name="Procesos">[4]listas!$K$4:$K$27</definedName>
    <definedName name="Sector" localSheetId="2">[3]listas!$L$4:$L$10</definedName>
    <definedName name="Sector" localSheetId="4">[3]listas!$L$4:$L$10</definedName>
    <definedName name="Sector" localSheetId="5">[3]listas!$L$4:$L$10</definedName>
    <definedName name="TEMA" localSheetId="2">[3]listas!$L$3:$L$23</definedName>
    <definedName name="TEMA" localSheetId="4">[3]listas!$L$3:$L$23</definedName>
    <definedName name="TEMA" localSheetId="5">[3]listas!$L$3:$L$23</definedName>
    <definedName name="TEMA">[4]listas!$L$3:$L$23</definedName>
    <definedName name="Tfeb">[1]Resumen!$D$29</definedName>
    <definedName name="TIPO" localSheetId="2">[3]listas!$M$25</definedName>
    <definedName name="TIPO" localSheetId="4">[3]listas!$M$25</definedName>
    <definedName name="TIPO" localSheetId="5">[3]listas!$M$25</definedName>
    <definedName name="TIPO">[4]listas!$M$25:$M$27</definedName>
    <definedName name="_xlnm.Print_Titles" localSheetId="1">Bateria!$1:$8</definedName>
    <definedName name="_xlnm.Print_Titles" localSheetId="2">'Indicador 1'!$1:$8</definedName>
    <definedName name="_xlnm.Print_Titles" localSheetId="4">'Indicador 2'!$1:$9</definedName>
    <definedName name="_xlnm.Print_Titles" localSheetId="5">'Indicador 3'!$1:$9</definedName>
    <definedName name="Tjul">[2]Resumen!$I$30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9" i="4" l="1"/>
  <c r="E67" i="42"/>
  <c r="D79" i="41" l="1"/>
  <c r="C79" i="41"/>
  <c r="D73" i="4" l="1"/>
  <c r="C73" i="4"/>
  <c r="M11" i="2"/>
  <c r="L11" i="2"/>
  <c r="K11" i="2"/>
  <c r="J11" i="2"/>
  <c r="AA11" i="2" s="1"/>
  <c r="I11" i="2"/>
  <c r="D11" i="2"/>
  <c r="C11" i="2"/>
  <c r="B11" i="2"/>
  <c r="H11" i="2"/>
  <c r="G11" i="2"/>
  <c r="F11" i="2"/>
  <c r="E11" i="2"/>
  <c r="R10" i="2"/>
  <c r="S10" i="2"/>
  <c r="T10" i="2"/>
  <c r="U10" i="2"/>
  <c r="W10" i="2"/>
  <c r="X10" i="2"/>
  <c r="Y10" i="2"/>
  <c r="Q10" i="2"/>
  <c r="C69" i="42"/>
  <c r="S11" i="2"/>
  <c r="V11" i="2"/>
  <c r="Y11" i="2"/>
  <c r="D69" i="42"/>
  <c r="P11" i="2"/>
  <c r="B30" i="4"/>
  <c r="O10" i="2" l="1"/>
  <c r="P10" i="2"/>
  <c r="N10" i="2"/>
  <c r="E73" i="4"/>
  <c r="Y9" i="2"/>
  <c r="S9" i="2"/>
  <c r="E79" i="41"/>
  <c r="E69" i="42"/>
  <c r="D9" i="2"/>
  <c r="G9" i="2"/>
  <c r="I10" i="2"/>
  <c r="H10" i="2"/>
  <c r="G10" i="2"/>
  <c r="F10" i="2"/>
  <c r="E10" i="2"/>
  <c r="D10" i="2"/>
  <c r="C10" i="2"/>
  <c r="I9" i="2"/>
  <c r="H9" i="2"/>
  <c r="F9" i="2"/>
  <c r="C9" i="2"/>
  <c r="Z10" i="2" l="1"/>
  <c r="AA10" i="2" s="1"/>
  <c r="Z9" i="2"/>
  <c r="AA9" i="2" s="1"/>
  <c r="Z11" i="2" l="1"/>
  <c r="D12" i="1"/>
  <c r="D13" i="1"/>
  <c r="D14" i="1"/>
  <c r="D15" i="1"/>
  <c r="AA12" i="2" l="1"/>
  <c r="E9" i="2" l="1"/>
</calcChain>
</file>

<file path=xl/sharedStrings.xml><?xml version="1.0" encoding="utf-8"?>
<sst xmlns="http://schemas.openxmlformats.org/spreadsheetml/2006/main" count="375" uniqueCount="177">
  <si>
    <t xml:space="preserve">RESULTADO </t>
  </si>
  <si>
    <t>ENE</t>
  </si>
  <si>
    <t>FEB</t>
  </si>
  <si>
    <t>MAR</t>
  </si>
  <si>
    <t>ABR</t>
  </si>
  <si>
    <t>MAY</t>
  </si>
  <si>
    <t>JUN</t>
  </si>
  <si>
    <t>JUL</t>
  </si>
  <si>
    <t>AGO</t>
  </si>
  <si>
    <t>SEP</t>
  </si>
  <si>
    <t>OCT</t>
  </si>
  <si>
    <t>NOV</t>
  </si>
  <si>
    <t>DIC</t>
  </si>
  <si>
    <t xml:space="preserve">% CUMPLIMIENTO </t>
  </si>
  <si>
    <t>OBJETIVO DE CALIDAD</t>
  </si>
  <si>
    <t xml:space="preserve">DIRECTRIZ DE POLITICA </t>
  </si>
  <si>
    <t>PROCESO</t>
  </si>
  <si>
    <t>INDICADOR</t>
  </si>
  <si>
    <t>META</t>
  </si>
  <si>
    <t>RESPONSABLE</t>
  </si>
  <si>
    <t>% satisfacción de los clientes</t>
  </si>
  <si>
    <t>Asesoria Especializada</t>
  </si>
  <si>
    <t>Asesorar a nuestros clientes en forma eficaz</t>
  </si>
  <si>
    <t>Productos de calidad</t>
  </si>
  <si>
    <t>Entregas Oportunas</t>
  </si>
  <si>
    <t>Cumplir con los tiempos de entrega especificados en las cotizaciones</t>
  </si>
  <si>
    <t>Despachos</t>
  </si>
  <si>
    <t>Disribuciones Autorizadas</t>
  </si>
  <si>
    <t>Contar con el respaldo de proveedores reconocidos en el mercado</t>
  </si>
  <si>
    <t>Resultado Evaluación de Proveedores</t>
  </si>
  <si>
    <t>Sistema de gestiòn de calidad para la mejora continua</t>
  </si>
  <si>
    <t>Verificar la conformidad y eficacia del SGC</t>
  </si>
  <si>
    <t>Generar acciones  que permitan mejorar continuamente el SGC</t>
  </si>
  <si>
    <t>Acciones de Mejora</t>
  </si>
  <si>
    <t>Eficacia del sistema de gestión decalidad</t>
  </si>
  <si>
    <t>Gestión Gerencial</t>
  </si>
  <si>
    <t xml:space="preserve">Auditorias Internas de calidad </t>
  </si>
  <si>
    <t>Prestamos un excelente servicio en el suministro de materiales y equipos para uso en laboratorio</t>
  </si>
  <si>
    <t>Verificar que los requisitos del cliente se cumplan.</t>
  </si>
  <si>
    <t>Aumentar la satisfacción de nuestros clientes</t>
  </si>
  <si>
    <t>Dar solución rápida y eficaz a las quejas y reclamos de nuestros clientes</t>
  </si>
  <si>
    <t>Ofrecer materiales y equipos de calidad y de marcas reconocidas</t>
  </si>
  <si>
    <t>Asistente de Ventas</t>
  </si>
  <si>
    <t>Almacenista</t>
  </si>
  <si>
    <t>OBJETIVO DEL PROCESO</t>
  </si>
  <si>
    <t>FRECUENCIA</t>
  </si>
  <si>
    <t>ORIGEN DE DATOS</t>
  </si>
  <si>
    <t>Servicio al Cliente</t>
  </si>
  <si>
    <t>Comercial</t>
  </si>
  <si>
    <t>% Cumplimiento tiempo de respuesta quejas y reclamos</t>
  </si>
  <si>
    <t>Asesor Comercial</t>
  </si>
  <si>
    <t>Compras y Almacen</t>
  </si>
  <si>
    <t>Asistente de Inventarios</t>
  </si>
  <si>
    <t>Director de Calidad</t>
  </si>
  <si>
    <t>FORMULA</t>
  </si>
  <si>
    <t>NOMBRE DEL INDICADOR</t>
  </si>
  <si>
    <t>FÓRMULA</t>
  </si>
  <si>
    <t>DATOS REQUERIDOS PARA EL CALCULO</t>
  </si>
  <si>
    <t>ORIGEN DE LOS DATOS</t>
  </si>
  <si>
    <t xml:space="preserve">RESPONSABLE DE LA RECOPILACIÓN DE DATOS </t>
  </si>
  <si>
    <t>RESPONSABLE DEL ANÁLISIS</t>
  </si>
  <si>
    <t>META ESTABLECIDA</t>
  </si>
  <si>
    <t>CRITERIO DE ANALISIS</t>
  </si>
  <si>
    <t>CONDICIÓN CRITICA</t>
  </si>
  <si>
    <t>CONDICIÓN NORMAL</t>
  </si>
  <si>
    <t>CONDICIÓN SATISFACTORIA</t>
  </si>
  <si>
    <t>UNIDAD DE MEDIDA</t>
  </si>
  <si>
    <t>FRECUENCIA DE MEDICIÓN</t>
  </si>
  <si>
    <t>HISTÓRICO</t>
  </si>
  <si>
    <t>PERIODO</t>
  </si>
  <si>
    <t>Cond.Satisfactoria</t>
  </si>
  <si>
    <t>Cond. Crítica</t>
  </si>
  <si>
    <t>Resultado</t>
  </si>
  <si>
    <t>TENDENCIA</t>
  </si>
  <si>
    <t>TECNICA ESTADISTICA APLICADA</t>
  </si>
  <si>
    <t>ANALISIS DE INDICADORES</t>
  </si>
  <si>
    <t>ANALISIS</t>
  </si>
  <si>
    <t>PLAN DE ACCION</t>
  </si>
  <si>
    <t xml:space="preserve"> </t>
  </si>
  <si>
    <t>SOLICITUD</t>
  </si>
  <si>
    <t>Acción Correctiva</t>
  </si>
  <si>
    <t>Realizado por:</t>
  </si>
  <si>
    <t xml:space="preserve">Fecha: </t>
  </si>
  <si>
    <t>CONDICIÓN</t>
  </si>
  <si>
    <t>NORMAL</t>
  </si>
  <si>
    <t>CRITICA</t>
  </si>
  <si>
    <t>SATISFACTORIA</t>
  </si>
  <si>
    <t>Seguimiento al programa de auditorias</t>
  </si>
  <si>
    <t>Balance de Acciones de Mejora</t>
  </si>
  <si>
    <t>OBJETIVOS DE CALIDAD</t>
  </si>
  <si>
    <t>RESULTADO</t>
  </si>
  <si>
    <t>FICHA TÉCNICA  DEL INDICADOR</t>
  </si>
  <si>
    <t>&gt;95%</t>
  </si>
  <si>
    <t>&lt;90%</t>
  </si>
  <si>
    <t>&gt;98%</t>
  </si>
  <si>
    <t>91-98%</t>
  </si>
  <si>
    <t>91%-95%</t>
  </si>
  <si>
    <t>Responsable</t>
  </si>
  <si>
    <t>NOMBRE INDICADOR</t>
  </si>
  <si>
    <t>SISTEMA DE GESTIÓN DE CALIDAD</t>
  </si>
  <si>
    <t>DIRECCIONAMIENTO ESTRATÉGICO</t>
  </si>
  <si>
    <t>BATERIA DE INDICADORES</t>
  </si>
  <si>
    <t>Página 1 de 1</t>
  </si>
  <si>
    <t>Oportunidad de Mejora</t>
  </si>
  <si>
    <t>fecha</t>
  </si>
  <si>
    <t>Actividad</t>
  </si>
  <si>
    <t>TIPO</t>
  </si>
  <si>
    <t>TIPO INDICADOR</t>
  </si>
  <si>
    <t>EFICACIA PROCESO</t>
  </si>
  <si>
    <t>EFICACIA</t>
  </si>
  <si>
    <t>Porcentaje</t>
  </si>
  <si>
    <t>Gestión de Tecnologías de la Información</t>
  </si>
  <si>
    <t>Administrar, planificar, gestionar y evaluar los recursos de infraestructura tecnológica de la información y comunicación, asegurando la disponibilidad y optimización de los servicios tecnológicos mediante planes, programas y proyectos orientados al cumplimiento de la misionalidad del Concejo Municipal de Chía.</t>
  </si>
  <si>
    <t>Cumplimiento de la ejecución del PETI</t>
  </si>
  <si>
    <t xml:space="preserve"> * N° IniciativasEjecutadas = Número de iniciativas ejecutadas de manera satisfactoria en el periodo y que corresponden al periodo de medición según lo planeado.
*N° IniciativasPlaneadas = Número total de iniciativas planeadas a ejecutar en el periodo.</t>
  </si>
  <si>
    <t>Plan Estratégico de Tecnologias de la Información - PETI.</t>
  </si>
  <si>
    <t>(N° de Iniciativas ejecutadas de manera satisfactoria en el periodo  / N° de iniciativas planeadas a ejecutar en el periodo)*100</t>
  </si>
  <si>
    <t>90% - 95%</t>
  </si>
  <si>
    <t>% de Cumplimiento</t>
  </si>
  <si>
    <t>TRIMESTRE</t>
  </si>
  <si>
    <t xml:space="preserve">TOTAL </t>
  </si>
  <si>
    <t>A. N° solicitudes de servicios tecnológicos gestionadas oportunamente del periódico.
B. N°  de solicitudes de servicios tecnológicos reportadas en el periodo</t>
  </si>
  <si>
    <t>91%-98%</t>
  </si>
  <si>
    <t xml:space="preserve">N° de Iniciativas ejecutadas </t>
  </si>
  <si>
    <t>N° de iniciativas planeadas</t>
  </si>
  <si>
    <t>N° de Incidencias gestionadas oportunamente</t>
  </si>
  <si>
    <t>N° de Incidencias reportadas</t>
  </si>
  <si>
    <t>N° de mantenimiento  ejecutado</t>
  </si>
  <si>
    <t>N° de Mantenimientos planificados</t>
  </si>
  <si>
    <t>Feb</t>
  </si>
  <si>
    <t>Mar</t>
  </si>
  <si>
    <t>Abr</t>
  </si>
  <si>
    <t>May</t>
  </si>
  <si>
    <t>Jun</t>
  </si>
  <si>
    <t>Jul</t>
  </si>
  <si>
    <t>Ago</t>
  </si>
  <si>
    <t>Sep</t>
  </si>
  <si>
    <t>Oct</t>
  </si>
  <si>
    <t>Nov</t>
  </si>
  <si>
    <t>Dic</t>
  </si>
  <si>
    <t>(N° solicitudes de servicios tecnológicos gestionadas oportunamente en el periódio / N°  de solicitudes de servicios tecnológicos reportadas en el periodo)*100</t>
  </si>
  <si>
    <t>TOTAL</t>
  </si>
  <si>
    <t>I SEM</t>
  </si>
  <si>
    <t>II SEM</t>
  </si>
  <si>
    <t>Enero</t>
  </si>
  <si>
    <t>II SEMESTRE</t>
  </si>
  <si>
    <t>I SEMESTRE</t>
  </si>
  <si>
    <t>SEMESTRAL</t>
  </si>
  <si>
    <t>Semestral</t>
  </si>
  <si>
    <t xml:space="preserve">          </t>
  </si>
  <si>
    <t>Mensual - Indicador Trimestral</t>
  </si>
  <si>
    <t>Incidencias TIC gestionadas Oportunamente</t>
  </si>
  <si>
    <t>VERSIÓN: 03</t>
  </si>
  <si>
    <t>I CUATRIMESTRE</t>
  </si>
  <si>
    <t>II CUATRIMESTRE</t>
  </si>
  <si>
    <t>III CUATRIMESTRE</t>
  </si>
  <si>
    <t>LINA ALARCON</t>
  </si>
  <si>
    <t>FECHA: 07-05-2025</t>
  </si>
  <si>
    <t>FECHA:  7-05-2025</t>
  </si>
  <si>
    <t>FECHA:  07-05-2025</t>
  </si>
  <si>
    <r>
      <t xml:space="preserve">VERSIÓN: </t>
    </r>
    <r>
      <rPr>
        <sz val="8"/>
        <color rgb="FF000000"/>
        <rFont val="Arial"/>
        <family val="2"/>
      </rPr>
      <t>02</t>
    </r>
  </si>
  <si>
    <t>Gestión Documental y de Tecnologias de la Información</t>
  </si>
  <si>
    <t>Contratista TI</t>
  </si>
  <si>
    <t>A.N° de mantenimientos preventivos ejecutados en el periodo.
B. N° de mantenimientos preventivos programados.</t>
  </si>
  <si>
    <t>Consolidado de la ejecución de mantenimientos preventivos y correctivos programados 2025</t>
  </si>
  <si>
    <t xml:space="preserve">Contratista TI
</t>
  </si>
  <si>
    <t>Gestión Documental y de Tecnologías de la Información</t>
  </si>
  <si>
    <t>Correo electronico</t>
  </si>
  <si>
    <t>Contratista TIC</t>
  </si>
  <si>
    <t>Lina Alarcón</t>
  </si>
  <si>
    <t>Cumplimiento de mantenimientos preventivos y correctivos a equipos de computo</t>
  </si>
  <si>
    <t>IICUATRIMESTRE</t>
  </si>
  <si>
    <t xml:space="preserve">Durante el primer cuatrimestre se presentaron un total de 49 incidencias de soporte tecnico los cuales fueron atendidos de manera oportuna en su totalidad dando como resultado satisfactorio del indicador+
La varianción que se evidencia entre el mes de enero y febrero es dado que para el mes de enero no se habia contratado personal para cumplir con esta obligación.  </t>
  </si>
  <si>
    <t>En el primer semestre se establecieron  8 actividades en el plan PETI de las cuales se ejecutaron en su totalidad, logrando un cumplimiento del 100%, evidencia un resultado positivo en las metas planeadas</t>
  </si>
  <si>
    <t xml:space="preserve">Para el segundo cuatrimestre se realizaron  50 solicitudes de las cuales 50 fueron atendidas de manera satisfactoria, evidenciando un cumplimiento del 100% manteniendo un rango de incidencias entre 10 y 15 por mes y no hay tendencia de crecimiento . </t>
  </si>
  <si>
    <t xml:space="preserve">Como se observa en el grafico,se realizaron 30 mantenimientos preventivos de los 30 que estaban programados para el primer semestre, obteniendo un resultado satisfactorio. Por tal motivo se logro el cumplimiento de la meta prevista para este periodo. </t>
  </si>
  <si>
    <t>(N° de mantenimientos ejecutados en el periodo / N° de mantenimientos programados en el periodo)*100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</si>
</sst>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quot;$&quot;\ * #,##0.00_ ;_ &quot;$&quot;\ * \-#,##0.00_ ;_ &quot;$&quot;\ * &quot;-&quot;??_ ;_ @_ "/>
    <numFmt numFmtId="165" formatCode="_ * #,##0.00_ ;_ * \-#,##0.00_ ;_ * &quot;-&quot;??_ ;_ @_ "/>
    <numFmt numFmtId="166" formatCode="_ [$€-2]\ * #,##0.00_ ;_ [$€-2]\ * \-#,##0.00_ ;_ [$€-2]\ * &quot;-&quot;??_ "/>
  </numFmts>
  <fonts count="40" x14ac:knownFonts="1">
    <font>
      <sz val="10"/>
      <name val="Arial"/>
    </font>
    <font>
      <sz val="10"/>
      <name val="Arial"/>
      <family val="2"/>
    </font>
    <font>
      <b/>
      <sz val="10"/>
      <name val="Arial"/>
      <family val="2"/>
    </font>
    <font>
      <sz val="10"/>
      <name val="Arial"/>
      <family val="2"/>
    </font>
    <font>
      <sz val="10"/>
      <name val="Arial"/>
      <family val="2"/>
    </font>
    <font>
      <b/>
      <sz val="12"/>
      <name val="Arial"/>
      <family val="2"/>
    </font>
    <font>
      <b/>
      <sz val="11"/>
      <color indexed="8"/>
      <name val="Arial"/>
      <family val="2"/>
    </font>
    <font>
      <sz val="11"/>
      <name val="Arial"/>
      <family val="2"/>
    </font>
    <font>
      <b/>
      <sz val="8"/>
      <name val="Arial"/>
      <family val="2"/>
    </font>
    <font>
      <sz val="8"/>
      <name val="Arial"/>
      <family val="2"/>
    </font>
    <font>
      <sz val="8"/>
      <name val="Arial"/>
      <family val="2"/>
    </font>
    <font>
      <b/>
      <sz val="10"/>
      <color indexed="56"/>
      <name val="Arial"/>
      <family val="2"/>
    </font>
    <font>
      <b/>
      <sz val="10"/>
      <color indexed="9"/>
      <name val="Arial"/>
      <family val="2"/>
    </font>
    <font>
      <b/>
      <sz val="11"/>
      <name val="Arial"/>
      <family val="2"/>
    </font>
    <font>
      <sz val="10"/>
      <name val="Arial"/>
      <family val="2"/>
    </font>
    <font>
      <sz val="10"/>
      <name val="Arial"/>
      <family val="2"/>
    </font>
    <font>
      <sz val="9"/>
      <name val="Arial"/>
      <family val="2"/>
    </font>
    <font>
      <sz val="10"/>
      <name val="Arial"/>
      <family val="2"/>
    </font>
    <font>
      <u/>
      <sz val="9"/>
      <color theme="10"/>
      <name val="Arial"/>
      <family val="2"/>
    </font>
    <font>
      <b/>
      <sz val="10"/>
      <color theme="0"/>
      <name val="Arial"/>
      <family val="2"/>
    </font>
    <font>
      <sz val="10"/>
      <name val="Calibri"/>
      <family val="2"/>
      <scheme val="minor"/>
    </font>
    <font>
      <b/>
      <sz val="10"/>
      <name val="Calibri"/>
      <family val="2"/>
      <scheme val="minor"/>
    </font>
    <font>
      <u/>
      <sz val="10"/>
      <color theme="10"/>
      <name val="Calibri"/>
      <family val="2"/>
      <scheme val="minor"/>
    </font>
    <font>
      <sz val="11"/>
      <name val="Calibri"/>
      <family val="2"/>
      <scheme val="minor"/>
    </font>
    <font>
      <b/>
      <sz val="11"/>
      <name val="Calibri"/>
      <family val="2"/>
      <scheme val="minor"/>
    </font>
    <font>
      <b/>
      <sz val="10"/>
      <color theme="0"/>
      <name val="Calibri"/>
      <family val="2"/>
      <scheme val="minor"/>
    </font>
    <font>
      <b/>
      <sz val="16"/>
      <name val="Calibri"/>
      <family val="2"/>
      <scheme val="minor"/>
    </font>
    <font>
      <b/>
      <i/>
      <sz val="22"/>
      <color theme="4"/>
      <name val="Arial"/>
      <family val="2"/>
    </font>
    <font>
      <b/>
      <sz val="8"/>
      <color rgb="FF000000"/>
      <name val="Arial"/>
      <family val="2"/>
    </font>
    <font>
      <sz val="8"/>
      <color rgb="FF000000"/>
      <name val="Arial"/>
      <family val="2"/>
    </font>
    <font>
      <b/>
      <sz val="9"/>
      <name val="Arial"/>
      <family val="2"/>
    </font>
    <font>
      <b/>
      <sz val="8"/>
      <color theme="0"/>
      <name val="Arial"/>
      <family val="2"/>
    </font>
    <font>
      <b/>
      <sz val="16"/>
      <color rgb="FF00B050"/>
      <name val="Calibri"/>
      <family val="2"/>
      <scheme val="minor"/>
    </font>
    <font>
      <b/>
      <sz val="11"/>
      <color rgb="FF000000"/>
      <name val="Arial"/>
      <family val="2"/>
    </font>
    <font>
      <b/>
      <i/>
      <sz val="11"/>
      <color theme="4"/>
      <name val="Arial"/>
      <family val="2"/>
    </font>
    <font>
      <b/>
      <sz val="11"/>
      <color indexed="9"/>
      <name val="Arial"/>
      <family val="2"/>
    </font>
    <font>
      <b/>
      <sz val="11"/>
      <color theme="0"/>
      <name val="Arial"/>
      <family val="2"/>
    </font>
    <font>
      <b/>
      <sz val="11"/>
      <color rgb="FF002060"/>
      <name val="Arial"/>
      <family val="2"/>
    </font>
    <font>
      <b/>
      <sz val="11"/>
      <color indexed="56"/>
      <name val="Arial"/>
      <family val="2"/>
    </font>
    <font>
      <b/>
      <sz val="10"/>
      <color indexed="8"/>
      <name val="Arial"/>
      <family val="2"/>
    </font>
  </fonts>
  <fills count="13">
    <fill>
      <patternFill patternType="none"/>
    </fill>
    <fill>
      <patternFill patternType="gray125"/>
    </fill>
    <fill>
      <patternFill patternType="solid">
        <fgColor indexed="44"/>
        <bgColor indexed="64"/>
      </patternFill>
    </fill>
    <fill>
      <patternFill patternType="solid">
        <fgColor indexed="22"/>
        <bgColor indexed="64"/>
      </patternFill>
    </fill>
    <fill>
      <patternFill patternType="solid">
        <fgColor indexed="9"/>
        <bgColor indexed="64"/>
      </patternFill>
    </fill>
    <fill>
      <patternFill patternType="solid">
        <fgColor indexed="10"/>
        <bgColor indexed="64"/>
      </patternFill>
    </fill>
    <fill>
      <patternFill patternType="solid">
        <fgColor indexed="13"/>
        <bgColor indexed="64"/>
      </patternFill>
    </fill>
    <fill>
      <patternFill patternType="solid">
        <fgColor indexed="11"/>
        <bgColor indexed="64"/>
      </patternFill>
    </fill>
    <fill>
      <patternFill patternType="gray0625">
        <bgColor indexed="22"/>
      </patternFill>
    </fill>
    <fill>
      <patternFill patternType="solid">
        <fgColor theme="0"/>
        <bgColor indexed="64"/>
      </patternFill>
    </fill>
    <fill>
      <patternFill patternType="solid">
        <fgColor theme="0" tint="-4.9989318521683403E-2"/>
        <bgColor indexed="64"/>
      </patternFill>
    </fill>
    <fill>
      <patternFill patternType="gray0625">
        <bgColor theme="0" tint="-0.249977111117893"/>
      </patternFill>
    </fill>
    <fill>
      <patternFill patternType="solid">
        <fgColor rgb="FF00B05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medium">
        <color theme="0" tint="-0.34998626667073579"/>
      </bottom>
      <diagonal/>
    </border>
    <border>
      <left style="thin">
        <color indexed="64"/>
      </left>
      <right/>
      <top style="medium">
        <color theme="0" tint="-0.34998626667073579"/>
      </top>
      <bottom style="thin">
        <color indexed="64"/>
      </bottom>
      <diagonal/>
    </border>
    <border>
      <left style="medium">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medium">
        <color theme="0" tint="-0.34998626667073579"/>
      </bottom>
      <diagonal/>
    </border>
    <border>
      <left style="thin">
        <color theme="0" tint="-0.34998626667073579"/>
      </left>
      <right style="medium">
        <color theme="0" tint="-0.34998626667073579"/>
      </right>
      <top style="medium">
        <color theme="0" tint="-0.34998626667073579"/>
      </top>
      <bottom style="thin">
        <color theme="0" tint="-0.34998626667073579"/>
      </bottom>
      <diagonal/>
    </border>
    <border>
      <left/>
      <right style="thin">
        <color theme="0" tint="-0.34998626667073579"/>
      </right>
      <top/>
      <bottom/>
      <diagonal/>
    </border>
  </borders>
  <cellStyleXfs count="13">
    <xf numFmtId="0" fontId="0" fillId="0" borderId="0"/>
    <xf numFmtId="166" fontId="3" fillId="0" borderId="0" applyFont="0" applyFill="0" applyBorder="0" applyAlignment="0" applyProtection="0"/>
    <xf numFmtId="0" fontId="18" fillId="0" borderId="0" applyNumberFormat="0" applyFill="0" applyBorder="0" applyAlignment="0" applyProtection="0">
      <alignment vertical="top"/>
      <protection locked="0"/>
    </xf>
    <xf numFmtId="165" fontId="14" fillId="0" borderId="0" applyFont="0" applyFill="0" applyBorder="0" applyAlignment="0" applyProtection="0"/>
    <xf numFmtId="164" fontId="17" fillId="0" borderId="0" applyFont="0" applyFill="0" applyBorder="0" applyAlignment="0" applyProtection="0"/>
    <xf numFmtId="0" fontId="4" fillId="0" borderId="0"/>
    <xf numFmtId="0" fontId="3" fillId="0" borderId="0"/>
    <xf numFmtId="0" fontId="1" fillId="0" borderId="0"/>
    <xf numFmtId="0" fontId="3" fillId="0" borderId="0"/>
    <xf numFmtId="9" fontId="17" fillId="0" borderId="0" applyFont="0" applyFill="0" applyBorder="0" applyAlignment="0" applyProtection="0"/>
    <xf numFmtId="9" fontId="1" fillId="0" borderId="0" applyFont="0" applyFill="0" applyBorder="0" applyAlignment="0" applyProtection="0"/>
    <xf numFmtId="9" fontId="14" fillId="0" borderId="0" applyFont="0" applyFill="0" applyBorder="0" applyAlignment="0" applyProtection="0"/>
    <xf numFmtId="9" fontId="15" fillId="0" borderId="0" applyFont="0" applyFill="0" applyBorder="0" applyAlignment="0" applyProtection="0"/>
  </cellStyleXfs>
  <cellXfs count="506">
    <xf numFmtId="0" fontId="0" fillId="0" borderId="0" xfId="0"/>
    <xf numFmtId="0" fontId="0" fillId="0" borderId="0" xfId="0" applyAlignment="1">
      <alignment wrapText="1"/>
    </xf>
    <xf numFmtId="0" fontId="0" fillId="0" borderId="1" xfId="0" applyBorder="1" applyAlignment="1">
      <alignment horizontal="center" vertical="center" wrapText="1"/>
    </xf>
    <xf numFmtId="0" fontId="2" fillId="0" borderId="0" xfId="0" applyFont="1" applyAlignment="1">
      <alignment wrapText="1"/>
    </xf>
    <xf numFmtId="0" fontId="0" fillId="0" borderId="0" xfId="0" applyAlignment="1">
      <alignment vertical="center" wrapText="1"/>
    </xf>
    <xf numFmtId="0" fontId="0" fillId="0" borderId="0" xfId="0"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0" fillId="0" borderId="1" xfId="0" applyBorder="1" applyAlignment="1">
      <alignment horizontal="center" vertical="center"/>
    </xf>
    <xf numFmtId="0" fontId="4" fillId="0" borderId="3" xfId="5" applyBorder="1"/>
    <xf numFmtId="0" fontId="4" fillId="0" borderId="0" xfId="5"/>
    <xf numFmtId="0" fontId="4" fillId="0" borderId="4" xfId="5" applyBorder="1"/>
    <xf numFmtId="0" fontId="4" fillId="0" borderId="5" xfId="5" applyBorder="1"/>
    <xf numFmtId="0" fontId="4" fillId="0" borderId="6" xfId="5" applyBorder="1"/>
    <xf numFmtId="0" fontId="2" fillId="0" borderId="5" xfId="5" applyFont="1" applyBorder="1" applyAlignment="1">
      <alignment horizontal="center"/>
    </xf>
    <xf numFmtId="0" fontId="2" fillId="0" borderId="5" xfId="5" applyFont="1" applyBorder="1"/>
    <xf numFmtId="0" fontId="2" fillId="0" borderId="7" xfId="5" applyFont="1" applyBorder="1" applyAlignment="1">
      <alignment horizontal="left"/>
    </xf>
    <xf numFmtId="0" fontId="2" fillId="0" borderId="0" xfId="5" applyFont="1" applyAlignment="1">
      <alignment horizontal="left"/>
    </xf>
    <xf numFmtId="0" fontId="2" fillId="0" borderId="8" xfId="5" applyFont="1" applyBorder="1" applyAlignment="1">
      <alignment horizontal="left"/>
    </xf>
    <xf numFmtId="0" fontId="2" fillId="0" borderId="5" xfId="5" applyFont="1" applyBorder="1" applyAlignment="1">
      <alignment horizontal="left"/>
    </xf>
    <xf numFmtId="0" fontId="7" fillId="0" borderId="0" xfId="5" applyFont="1"/>
    <xf numFmtId="17" fontId="2" fillId="3" borderId="1" xfId="5" applyNumberFormat="1" applyFont="1" applyFill="1" applyBorder="1" applyAlignment="1">
      <alignment horizontal="center" vertical="center"/>
    </xf>
    <xf numFmtId="0" fontId="2" fillId="4" borderId="2" xfId="5" applyFont="1" applyFill="1" applyBorder="1"/>
    <xf numFmtId="0" fontId="8" fillId="4" borderId="3" xfId="5" applyFont="1" applyFill="1" applyBorder="1"/>
    <xf numFmtId="0" fontId="8" fillId="4" borderId="2" xfId="5" applyFont="1" applyFill="1" applyBorder="1"/>
    <xf numFmtId="0" fontId="8" fillId="4" borderId="2" xfId="5" applyFont="1" applyFill="1" applyBorder="1" applyAlignment="1">
      <alignment horizontal="center"/>
    </xf>
    <xf numFmtId="0" fontId="9" fillId="0" borderId="2" xfId="5" applyFont="1" applyBorder="1"/>
    <xf numFmtId="0" fontId="2" fillId="4" borderId="0" xfId="5" applyFont="1" applyFill="1"/>
    <xf numFmtId="0" fontId="8" fillId="4" borderId="0" xfId="5" applyFont="1" applyFill="1" applyAlignment="1">
      <alignment horizontal="center"/>
    </xf>
    <xf numFmtId="0" fontId="9" fillId="0" borderId="0" xfId="5" applyFont="1"/>
    <xf numFmtId="0" fontId="2" fillId="4" borderId="0" xfId="5" applyFont="1" applyFill="1" applyAlignment="1">
      <alignment horizontal="center"/>
    </xf>
    <xf numFmtId="0" fontId="8" fillId="4" borderId="4" xfId="5" applyFont="1" applyFill="1" applyBorder="1" applyAlignment="1">
      <alignment horizontal="center"/>
    </xf>
    <xf numFmtId="0" fontId="4" fillId="4" borderId="0" xfId="5" applyFill="1" applyAlignment="1">
      <alignment horizontal="left"/>
    </xf>
    <xf numFmtId="0" fontId="8" fillId="4" borderId="5" xfId="5" applyFont="1" applyFill="1" applyBorder="1" applyAlignment="1">
      <alignment horizontal="center"/>
    </xf>
    <xf numFmtId="0" fontId="9" fillId="0" borderId="5" xfId="5" applyFont="1" applyBorder="1"/>
    <xf numFmtId="0" fontId="4" fillId="4" borderId="7" xfId="5" applyFill="1" applyBorder="1" applyAlignment="1">
      <alignment horizontal="center"/>
    </xf>
    <xf numFmtId="0" fontId="8" fillId="4" borderId="8" xfId="5" applyFont="1" applyFill="1" applyBorder="1" applyAlignment="1">
      <alignment horizontal="center"/>
    </xf>
    <xf numFmtId="0" fontId="2" fillId="4" borderId="0" xfId="5" applyFont="1" applyFill="1" applyAlignment="1">
      <alignment horizontal="left"/>
    </xf>
    <xf numFmtId="0" fontId="8" fillId="4" borderId="4" xfId="5" applyFont="1" applyFill="1" applyBorder="1" applyAlignment="1">
      <alignment horizontal="left"/>
    </xf>
    <xf numFmtId="0" fontId="8" fillId="4" borderId="0" xfId="5" applyFont="1" applyFill="1" applyAlignment="1">
      <alignment horizontal="left"/>
    </xf>
    <xf numFmtId="0" fontId="9" fillId="4" borderId="1" xfId="5" applyFont="1" applyFill="1" applyBorder="1"/>
    <xf numFmtId="0" fontId="9" fillId="0" borderId="4" xfId="5" applyFont="1" applyBorder="1"/>
    <xf numFmtId="0" fontId="9" fillId="4" borderId="0" xfId="5" applyFont="1" applyFill="1"/>
    <xf numFmtId="0" fontId="2" fillId="4" borderId="5" xfId="5" applyFont="1" applyFill="1" applyBorder="1"/>
    <xf numFmtId="0" fontId="8" fillId="4" borderId="6" xfId="5" applyFont="1" applyFill="1" applyBorder="1" applyAlignment="1">
      <alignment horizontal="left"/>
    </xf>
    <xf numFmtId="0" fontId="8" fillId="4" borderId="3" xfId="5" applyFont="1" applyFill="1" applyBorder="1" applyAlignment="1">
      <alignment horizontal="left"/>
    </xf>
    <xf numFmtId="0" fontId="9" fillId="4" borderId="5" xfId="5" applyFont="1" applyFill="1" applyBorder="1"/>
    <xf numFmtId="17" fontId="2" fillId="0" borderId="11" xfId="5" applyNumberFormat="1" applyFont="1" applyBorder="1" applyAlignment="1">
      <alignment vertical="center"/>
    </xf>
    <xf numFmtId="0" fontId="8" fillId="4" borderId="5" xfId="5" applyFont="1" applyFill="1" applyBorder="1"/>
    <xf numFmtId="0" fontId="8" fillId="4" borderId="5" xfId="5" applyFont="1" applyFill="1" applyBorder="1" applyAlignment="1">
      <alignment horizontal="left"/>
    </xf>
    <xf numFmtId="0" fontId="9" fillId="0" borderId="6" xfId="5" applyFont="1" applyBorder="1"/>
    <xf numFmtId="0" fontId="5" fillId="0" borderId="2" xfId="5" applyFont="1" applyBorder="1" applyAlignment="1">
      <alignment vertical="center"/>
    </xf>
    <xf numFmtId="0" fontId="4" fillId="0" borderId="12" xfId="5" applyBorder="1"/>
    <xf numFmtId="0" fontId="0" fillId="0" borderId="10" xfId="0" applyBorder="1" applyAlignment="1">
      <alignment horizontal="center" vertical="center" wrapText="1"/>
    </xf>
    <xf numFmtId="0" fontId="0" fillId="0" borderId="0" xfId="0" applyAlignment="1">
      <alignment vertical="center"/>
    </xf>
    <xf numFmtId="0" fontId="9" fillId="0" borderId="0" xfId="5" applyFont="1" applyAlignment="1">
      <alignment horizontal="center" vertical="center"/>
    </xf>
    <xf numFmtId="0" fontId="0" fillId="0" borderId="0" xfId="0" applyAlignment="1">
      <alignment horizontal="center" vertical="center"/>
    </xf>
    <xf numFmtId="0" fontId="20" fillId="0" borderId="0" xfId="0" applyFont="1"/>
    <xf numFmtId="0" fontId="20" fillId="0" borderId="0" xfId="0" applyFont="1" applyAlignment="1">
      <alignment horizontal="center" vertical="center" wrapText="1"/>
    </xf>
    <xf numFmtId="0" fontId="20" fillId="0" borderId="0" xfId="0" applyFont="1" applyAlignment="1">
      <alignment vertical="center" wrapText="1"/>
    </xf>
    <xf numFmtId="0" fontId="20" fillId="0" borderId="1" xfId="0" applyFont="1" applyBorder="1" applyAlignment="1">
      <alignment horizontal="center" vertical="center" wrapText="1"/>
    </xf>
    <xf numFmtId="0" fontId="20" fillId="0" borderId="10" xfId="0" applyFont="1" applyBorder="1" applyAlignment="1">
      <alignment horizontal="center" vertical="center" wrapText="1"/>
    </xf>
    <xf numFmtId="0" fontId="20" fillId="0" borderId="0" xfId="0" applyFont="1" applyAlignment="1">
      <alignment vertical="center"/>
    </xf>
    <xf numFmtId="0" fontId="20" fillId="0" borderId="14" xfId="0" applyFont="1" applyBorder="1" applyAlignment="1">
      <alignment horizontal="center" vertical="center" wrapText="1"/>
    </xf>
    <xf numFmtId="0" fontId="21" fillId="3" borderId="16" xfId="0" applyFont="1" applyFill="1" applyBorder="1" applyAlignment="1">
      <alignment horizontal="center" vertical="center"/>
    </xf>
    <xf numFmtId="0" fontId="20" fillId="0" borderId="17" xfId="0" applyFont="1" applyBorder="1" applyAlignment="1">
      <alignment horizontal="center" vertical="center" wrapText="1"/>
    </xf>
    <xf numFmtId="0" fontId="20" fillId="0" borderId="16" xfId="0" applyFont="1" applyBorder="1" applyAlignment="1">
      <alignment horizontal="justify" vertical="center" wrapText="1"/>
    </xf>
    <xf numFmtId="0" fontId="20" fillId="0" borderId="16" xfId="0" applyFont="1" applyBorder="1" applyAlignment="1">
      <alignment horizontal="center" vertical="center" wrapText="1"/>
    </xf>
    <xf numFmtId="9" fontId="20" fillId="0" borderId="16" xfId="0" applyNumberFormat="1" applyFont="1" applyBorder="1" applyAlignment="1">
      <alignment horizontal="center" vertical="center" wrapText="1"/>
    </xf>
    <xf numFmtId="9" fontId="23" fillId="0" borderId="16" xfId="0" applyNumberFormat="1" applyFont="1" applyBorder="1" applyAlignment="1">
      <alignment horizontal="center" vertical="center" wrapText="1"/>
    </xf>
    <xf numFmtId="9" fontId="24" fillId="0" borderId="16" xfId="0" applyNumberFormat="1"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justify" vertical="center" wrapText="1"/>
    </xf>
    <xf numFmtId="0" fontId="22" fillId="0" borderId="19" xfId="2" applyFont="1" applyBorder="1" applyAlignment="1" applyProtection="1">
      <alignment horizontal="center" vertical="center" wrapText="1"/>
    </xf>
    <xf numFmtId="0" fontId="20" fillId="0" borderId="19" xfId="0" applyFont="1" applyBorder="1" applyAlignment="1">
      <alignment horizontal="center" vertical="center" wrapText="1"/>
    </xf>
    <xf numFmtId="0" fontId="25" fillId="5" borderId="16" xfId="0" applyFont="1" applyFill="1" applyBorder="1" applyAlignment="1">
      <alignment horizontal="center" vertical="center" wrapText="1"/>
    </xf>
    <xf numFmtId="0" fontId="21" fillId="6" borderId="16" xfId="0" applyFont="1" applyFill="1" applyBorder="1" applyAlignment="1">
      <alignment horizontal="center" vertical="center" wrapText="1"/>
    </xf>
    <xf numFmtId="0" fontId="21" fillId="7" borderId="16" xfId="0" applyFont="1" applyFill="1" applyBorder="1" applyAlignment="1">
      <alignment horizontal="center" vertical="center" wrapText="1"/>
    </xf>
    <xf numFmtId="9" fontId="26" fillId="3" borderId="23" xfId="10" applyFont="1" applyFill="1" applyBorder="1" applyAlignment="1">
      <alignment horizontal="center" vertical="center" wrapText="1"/>
    </xf>
    <xf numFmtId="9" fontId="26" fillId="3" borderId="24" xfId="10" applyFont="1" applyFill="1" applyBorder="1" applyAlignment="1">
      <alignment horizontal="center" vertical="center" wrapText="1"/>
    </xf>
    <xf numFmtId="0" fontId="23" fillId="8" borderId="16" xfId="0" applyFont="1" applyFill="1" applyBorder="1" applyAlignment="1">
      <alignment horizontal="center" vertical="center" wrapText="1"/>
    </xf>
    <xf numFmtId="0" fontId="23" fillId="11" borderId="19" xfId="0" applyFont="1" applyFill="1" applyBorder="1" applyAlignment="1">
      <alignment horizontal="center" vertical="center"/>
    </xf>
    <xf numFmtId="0" fontId="20" fillId="0" borderId="0" xfId="0" applyFont="1" applyAlignment="1">
      <alignment horizontal="center" vertical="center"/>
    </xf>
    <xf numFmtId="0" fontId="18" fillId="0" borderId="16" xfId="2" applyBorder="1" applyAlignment="1" applyProtection="1">
      <alignment horizontal="center" vertical="center" wrapText="1"/>
    </xf>
    <xf numFmtId="9" fontId="0" fillId="0" borderId="0" xfId="0" applyNumberFormat="1" applyAlignment="1">
      <alignment wrapText="1"/>
    </xf>
    <xf numFmtId="0" fontId="27" fillId="0" borderId="0" xfId="0" applyFont="1" applyAlignment="1">
      <alignment vertical="center" wrapText="1"/>
    </xf>
    <xf numFmtId="0" fontId="28" fillId="0" borderId="0" xfId="0" applyFont="1" applyAlignment="1">
      <alignment horizontal="center" vertical="center" wrapText="1"/>
    </xf>
    <xf numFmtId="0" fontId="8" fillId="0" borderId="0" xfId="0" applyFont="1" applyAlignment="1">
      <alignment horizontal="center" vertical="center" wrapText="1"/>
    </xf>
    <xf numFmtId="0" fontId="25" fillId="12" borderId="16" xfId="0" applyFont="1" applyFill="1" applyBorder="1" applyAlignment="1">
      <alignment horizontal="center" vertical="center" wrapText="1"/>
    </xf>
    <xf numFmtId="0" fontId="13" fillId="0" borderId="0" xfId="5" applyFont="1" applyAlignment="1">
      <alignment horizontal="center" vertical="center"/>
    </xf>
    <xf numFmtId="0" fontId="6" fillId="9" borderId="0" xfId="5" applyFont="1" applyFill="1" applyAlignment="1">
      <alignment horizontal="center" vertical="center"/>
    </xf>
    <xf numFmtId="0" fontId="4" fillId="9" borderId="0" xfId="5" applyFill="1"/>
    <xf numFmtId="0" fontId="12" fillId="9" borderId="0" xfId="5" applyFont="1" applyFill="1" applyAlignment="1">
      <alignment horizontal="center"/>
    </xf>
    <xf numFmtId="0" fontId="7" fillId="9" borderId="0" xfId="5" applyFont="1" applyFill="1" applyAlignment="1">
      <alignment horizontal="center" vertical="center" wrapText="1"/>
    </xf>
    <xf numFmtId="0" fontId="12" fillId="9" borderId="0" xfId="5" applyFont="1" applyFill="1" applyAlignment="1">
      <alignment horizontal="center" vertical="center"/>
    </xf>
    <xf numFmtId="9" fontId="7" fillId="9" borderId="0" xfId="5" applyNumberFormat="1" applyFont="1" applyFill="1" applyAlignment="1">
      <alignment horizontal="center" vertical="center" wrapText="1"/>
    </xf>
    <xf numFmtId="0" fontId="7" fillId="9" borderId="0" xfId="5" applyFont="1" applyFill="1" applyAlignment="1">
      <alignment horizontal="center" vertical="center"/>
    </xf>
    <xf numFmtId="0" fontId="2" fillId="9" borderId="0" xfId="5" applyFont="1" applyFill="1" applyAlignment="1">
      <alignment horizontal="center" vertical="center" wrapText="1"/>
    </xf>
    <xf numFmtId="0" fontId="2" fillId="9" borderId="0" xfId="5" applyFont="1" applyFill="1" applyAlignment="1">
      <alignment horizontal="center"/>
    </xf>
    <xf numFmtId="9" fontId="4" fillId="0" borderId="0" xfId="5" applyNumberFormat="1"/>
    <xf numFmtId="10" fontId="11" fillId="0" borderId="0" xfId="5" applyNumberFormat="1" applyFont="1" applyAlignment="1">
      <alignment horizontal="center"/>
    </xf>
    <xf numFmtId="0" fontId="2" fillId="0" borderId="1" xfId="5" applyFont="1" applyBorder="1" applyAlignment="1">
      <alignment horizontal="center"/>
    </xf>
    <xf numFmtId="0" fontId="2" fillId="10" borderId="1" xfId="5" applyFont="1" applyFill="1" applyBorder="1" applyAlignment="1">
      <alignment horizontal="center"/>
    </xf>
    <xf numFmtId="0" fontId="31" fillId="9" borderId="0" xfId="5" applyFont="1" applyFill="1" applyAlignment="1">
      <alignment vertical="center" wrapText="1"/>
    </xf>
    <xf numFmtId="9" fontId="2" fillId="9" borderId="0" xfId="10" applyFont="1" applyFill="1" applyBorder="1" applyAlignment="1"/>
    <xf numFmtId="0" fontId="2" fillId="10" borderId="1" xfId="5" applyFont="1" applyFill="1" applyBorder="1"/>
    <xf numFmtId="0" fontId="4" fillId="0" borderId="7" xfId="5" applyBorder="1"/>
    <xf numFmtId="0" fontId="2" fillId="0" borderId="13" xfId="5" applyFont="1" applyBorder="1" applyAlignment="1">
      <alignment horizontal="left"/>
    </xf>
    <xf numFmtId="0" fontId="2" fillId="0" borderId="2" xfId="5" applyFont="1" applyBorder="1" applyAlignment="1">
      <alignment horizontal="left"/>
    </xf>
    <xf numFmtId="9" fontId="20" fillId="0" borderId="19" xfId="0" applyNumberFormat="1" applyFont="1" applyBorder="1" applyAlignment="1">
      <alignment horizontal="center" vertical="center" wrapText="1"/>
    </xf>
    <xf numFmtId="9" fontId="20" fillId="0" borderId="19" xfId="10" applyFont="1" applyBorder="1" applyAlignment="1">
      <alignment horizontal="center" vertical="center" wrapText="1"/>
    </xf>
    <xf numFmtId="10" fontId="23" fillId="9" borderId="16" xfId="0" applyNumberFormat="1" applyFont="1" applyFill="1" applyBorder="1" applyAlignment="1">
      <alignment horizontal="center" vertical="center" wrapText="1"/>
    </xf>
    <xf numFmtId="9" fontId="23" fillId="0" borderId="19" xfId="10" applyFont="1" applyFill="1" applyBorder="1" applyAlignment="1">
      <alignment horizontal="center" vertical="center"/>
    </xf>
    <xf numFmtId="9" fontId="23" fillId="11" borderId="19" xfId="10" applyFont="1" applyFill="1" applyBorder="1" applyAlignment="1">
      <alignment horizontal="center" vertical="center" wrapText="1"/>
    </xf>
    <xf numFmtId="9" fontId="24" fillId="0" borderId="19" xfId="10" applyFont="1" applyBorder="1" applyAlignment="1">
      <alignment horizontal="center" vertical="center"/>
    </xf>
    <xf numFmtId="0" fontId="32" fillId="0" borderId="11" xfId="0" applyFont="1" applyBorder="1" applyAlignment="1">
      <alignment horizontal="center" vertical="center"/>
    </xf>
    <xf numFmtId="9" fontId="32" fillId="0" borderId="11" xfId="0" applyNumberFormat="1" applyFont="1" applyBorder="1" applyAlignment="1">
      <alignment horizontal="center" vertical="center"/>
    </xf>
    <xf numFmtId="9" fontId="23" fillId="8" borderId="16" xfId="0" applyNumberFormat="1" applyFont="1" applyFill="1" applyBorder="1" applyAlignment="1">
      <alignment horizontal="center" vertical="center" wrapText="1"/>
    </xf>
    <xf numFmtId="0" fontId="1" fillId="0" borderId="0" xfId="5" applyFont="1"/>
    <xf numFmtId="0" fontId="1" fillId="4" borderId="5" xfId="5" applyFont="1" applyFill="1" applyBorder="1"/>
    <xf numFmtId="0" fontId="1" fillId="4" borderId="2" xfId="5" applyFont="1" applyFill="1" applyBorder="1"/>
    <xf numFmtId="0" fontId="2" fillId="9" borderId="1" xfId="5" applyFont="1" applyFill="1" applyBorder="1" applyAlignment="1">
      <alignment horizontal="center" vertical="center"/>
    </xf>
    <xf numFmtId="9" fontId="2" fillId="9" borderId="1" xfId="10" applyFont="1" applyFill="1" applyBorder="1" applyAlignment="1">
      <alignment horizontal="center" vertical="center"/>
    </xf>
    <xf numFmtId="0" fontId="2" fillId="9" borderId="0" xfId="5" applyFont="1" applyFill="1" applyAlignment="1">
      <alignment horizontal="left"/>
    </xf>
    <xf numFmtId="0" fontId="2" fillId="9" borderId="0" xfId="5" applyFont="1" applyFill="1"/>
    <xf numFmtId="0" fontId="8" fillId="9" borderId="4" xfId="5" applyFont="1" applyFill="1" applyBorder="1" applyAlignment="1">
      <alignment horizontal="left"/>
    </xf>
    <xf numFmtId="0" fontId="2" fillId="9" borderId="5" xfId="5" applyFont="1" applyFill="1" applyBorder="1"/>
    <xf numFmtId="0" fontId="8" fillId="9" borderId="6" xfId="5" applyFont="1" applyFill="1" applyBorder="1" applyAlignment="1">
      <alignment horizontal="left"/>
    </xf>
    <xf numFmtId="0" fontId="2" fillId="9" borderId="2" xfId="5" applyFont="1" applyFill="1" applyBorder="1"/>
    <xf numFmtId="0" fontId="8" fillId="9" borderId="3" xfId="5" applyFont="1" applyFill="1" applyBorder="1" applyAlignment="1">
      <alignment horizontal="left"/>
    </xf>
    <xf numFmtId="14" fontId="2" fillId="9" borderId="5" xfId="5" applyNumberFormat="1" applyFont="1" applyFill="1" applyBorder="1"/>
    <xf numFmtId="0" fontId="8" fillId="9" borderId="5" xfId="5" applyFont="1" applyFill="1" applyBorder="1"/>
    <xf numFmtId="0" fontId="4" fillId="9" borderId="12" xfId="5" applyFill="1" applyBorder="1"/>
    <xf numFmtId="0" fontId="1" fillId="9" borderId="1" xfId="5" applyFont="1" applyFill="1" applyBorder="1"/>
    <xf numFmtId="9" fontId="2" fillId="9" borderId="1" xfId="10" applyFont="1" applyFill="1" applyBorder="1" applyAlignment="1"/>
    <xf numFmtId="14" fontId="1" fillId="9" borderId="5" xfId="5" applyNumberFormat="1" applyFont="1" applyFill="1" applyBorder="1"/>
    <xf numFmtId="14" fontId="9" fillId="4" borderId="8" xfId="5" applyNumberFormat="1" applyFont="1" applyFill="1" applyBorder="1" applyAlignment="1">
      <alignment horizontal="center"/>
    </xf>
    <xf numFmtId="14" fontId="9" fillId="4" borderId="6" xfId="5" applyNumberFormat="1" applyFont="1" applyFill="1" applyBorder="1" applyAlignment="1">
      <alignment horizontal="center"/>
    </xf>
    <xf numFmtId="0" fontId="2" fillId="0" borderId="1" xfId="5" applyFont="1" applyBorder="1" applyAlignment="1">
      <alignment horizontal="center" vertical="center"/>
    </xf>
    <xf numFmtId="0" fontId="8" fillId="0" borderId="1" xfId="5" applyFont="1" applyBorder="1" applyAlignment="1">
      <alignment horizontal="center" vertical="center" wrapText="1"/>
    </xf>
    <xf numFmtId="0" fontId="7" fillId="0" borderId="8" xfId="5" applyFont="1" applyBorder="1" applyAlignment="1">
      <alignment horizontal="center" vertical="center" wrapText="1"/>
    </xf>
    <xf numFmtId="0" fontId="7" fillId="0" borderId="5" xfId="5" applyFont="1" applyBorder="1" applyAlignment="1">
      <alignment horizontal="center" vertical="center" wrapText="1"/>
    </xf>
    <xf numFmtId="0" fontId="7" fillId="0" borderId="6" xfId="5" applyFont="1" applyBorder="1" applyAlignment="1">
      <alignment horizontal="center" vertical="center" wrapText="1"/>
    </xf>
    <xf numFmtId="0" fontId="1" fillId="0" borderId="4" xfId="5" applyFont="1" applyBorder="1"/>
    <xf numFmtId="0" fontId="1" fillId="0" borderId="5" xfId="5" applyFont="1" applyBorder="1"/>
    <xf numFmtId="0" fontId="13" fillId="0" borderId="1" xfId="5" applyFont="1" applyBorder="1" applyAlignment="1">
      <alignment horizontal="center" vertical="center"/>
    </xf>
    <xf numFmtId="0" fontId="13" fillId="0" borderId="1" xfId="5" applyFont="1" applyBorder="1" applyAlignment="1">
      <alignment horizontal="center"/>
    </xf>
    <xf numFmtId="0" fontId="21" fillId="0" borderId="20" xfId="0" applyFont="1" applyBorder="1" applyAlignment="1">
      <alignment horizontal="center" vertical="center" wrapText="1"/>
    </xf>
    <xf numFmtId="0" fontId="21" fillId="0" borderId="21" xfId="0" applyFont="1" applyBorder="1" applyAlignment="1">
      <alignment horizontal="center" vertical="center" wrapText="1"/>
    </xf>
    <xf numFmtId="0" fontId="21" fillId="0" borderId="22" xfId="0" applyFont="1" applyBorder="1" applyAlignment="1">
      <alignment horizontal="center" vertical="center" wrapText="1"/>
    </xf>
    <xf numFmtId="0" fontId="7" fillId="0" borderId="0" xfId="0" applyFont="1"/>
    <xf numFmtId="0" fontId="34" fillId="0" borderId="0" xfId="0" applyFont="1" applyAlignment="1">
      <alignment vertical="center" wrapText="1"/>
    </xf>
    <xf numFmtId="0" fontId="13" fillId="9" borderId="0" xfId="5" applyFont="1" applyFill="1" applyAlignment="1">
      <alignment horizontal="center" vertical="center"/>
    </xf>
    <xf numFmtId="0" fontId="13" fillId="0" borderId="0" xfId="5" applyFont="1" applyAlignment="1">
      <alignment horizontal="center"/>
    </xf>
    <xf numFmtId="17" fontId="8" fillId="0" borderId="11" xfId="5" applyNumberFormat="1" applyFont="1" applyBorder="1" applyAlignment="1">
      <alignment horizontal="center" vertical="center"/>
    </xf>
    <xf numFmtId="17" fontId="8" fillId="0" borderId="1" xfId="5" applyNumberFormat="1" applyFont="1" applyBorder="1" applyAlignment="1">
      <alignment horizontal="center" vertical="center"/>
    </xf>
    <xf numFmtId="17" fontId="9" fillId="0" borderId="2" xfId="5" applyNumberFormat="1" applyFont="1" applyBorder="1" applyAlignment="1">
      <alignment vertical="center"/>
    </xf>
    <xf numFmtId="9" fontId="9" fillId="0" borderId="1" xfId="5" applyNumberFormat="1" applyFont="1" applyBorder="1" applyAlignment="1">
      <alignment horizontal="center" vertical="center" wrapText="1"/>
    </xf>
    <xf numFmtId="9" fontId="9" fillId="0" borderId="1" xfId="5" applyNumberFormat="1" applyFont="1" applyBorder="1" applyAlignment="1">
      <alignment horizontal="center" vertical="center"/>
    </xf>
    <xf numFmtId="17" fontId="9" fillId="0" borderId="0" xfId="5" applyNumberFormat="1" applyFont="1" applyAlignment="1">
      <alignment vertical="center"/>
    </xf>
    <xf numFmtId="17" fontId="2" fillId="0" borderId="1" xfId="5" applyNumberFormat="1" applyFont="1" applyBorder="1" applyAlignment="1">
      <alignment horizontal="center" vertical="center"/>
    </xf>
    <xf numFmtId="17" fontId="9" fillId="0" borderId="1" xfId="5" applyNumberFormat="1" applyFont="1" applyBorder="1" applyAlignment="1">
      <alignment vertical="center"/>
    </xf>
    <xf numFmtId="17" fontId="8" fillId="0" borderId="5" xfId="5" applyNumberFormat="1" applyFont="1" applyBorder="1" applyAlignment="1">
      <alignment vertical="center"/>
    </xf>
    <xf numFmtId="17" fontId="9" fillId="0" borderId="5" xfId="5" applyNumberFormat="1" applyFont="1" applyBorder="1" applyAlignment="1">
      <alignment vertical="center"/>
    </xf>
    <xf numFmtId="0" fontId="1" fillId="0" borderId="3" xfId="5" applyFont="1" applyBorder="1"/>
    <xf numFmtId="10" fontId="8" fillId="0" borderId="1" xfId="5" applyNumberFormat="1" applyFont="1" applyBorder="1" applyAlignment="1">
      <alignment horizontal="center" vertical="center"/>
    </xf>
    <xf numFmtId="0" fontId="1" fillId="0" borderId="6" xfId="5" applyFont="1" applyBorder="1"/>
    <xf numFmtId="0" fontId="13" fillId="0" borderId="2" xfId="5" applyFont="1" applyBorder="1" applyAlignment="1">
      <alignment vertical="center"/>
    </xf>
    <xf numFmtId="0" fontId="7" fillId="0" borderId="3" xfId="5" applyFont="1" applyBorder="1"/>
    <xf numFmtId="0" fontId="13" fillId="0" borderId="5" xfId="5" applyFont="1" applyBorder="1" applyAlignment="1">
      <alignment horizontal="center"/>
    </xf>
    <xf numFmtId="0" fontId="7" fillId="9" borderId="0" xfId="5" applyFont="1" applyFill="1"/>
    <xf numFmtId="0" fontId="7" fillId="0" borderId="4" xfId="5" applyFont="1" applyBorder="1"/>
    <xf numFmtId="0" fontId="13" fillId="0" borderId="5" xfId="5" applyFont="1" applyBorder="1"/>
    <xf numFmtId="0" fontId="7" fillId="0" borderId="5" xfId="5" applyFont="1" applyBorder="1"/>
    <xf numFmtId="0" fontId="35" fillId="9" borderId="0" xfId="5" applyFont="1" applyFill="1" applyAlignment="1">
      <alignment horizontal="center"/>
    </xf>
    <xf numFmtId="0" fontId="13" fillId="0" borderId="7" xfId="5" applyFont="1" applyBorder="1" applyAlignment="1">
      <alignment horizontal="left"/>
    </xf>
    <xf numFmtId="0" fontId="13" fillId="0" borderId="0" xfId="5" applyFont="1" applyAlignment="1">
      <alignment horizontal="left"/>
    </xf>
    <xf numFmtId="0" fontId="13" fillId="0" borderId="8" xfId="5" applyFont="1" applyBorder="1" applyAlignment="1">
      <alignment horizontal="left"/>
    </xf>
    <xf numFmtId="0" fontId="13" fillId="0" borderId="5" xfId="5" applyFont="1" applyBorder="1" applyAlignment="1">
      <alignment horizontal="left"/>
    </xf>
    <xf numFmtId="17" fontId="13" fillId="10" borderId="11" xfId="5" applyNumberFormat="1" applyFont="1" applyFill="1" applyBorder="1" applyAlignment="1">
      <alignment horizontal="center" vertical="center"/>
    </xf>
    <xf numFmtId="17" fontId="13" fillId="10" borderId="1" xfId="5" applyNumberFormat="1" applyFont="1" applyFill="1" applyBorder="1" applyAlignment="1">
      <alignment horizontal="center" vertical="center"/>
    </xf>
    <xf numFmtId="0" fontId="7" fillId="10" borderId="3" xfId="5" applyFont="1" applyFill="1" applyBorder="1"/>
    <xf numFmtId="9" fontId="7" fillId="10" borderId="1" xfId="5" applyNumberFormat="1" applyFont="1" applyFill="1" applyBorder="1" applyAlignment="1">
      <alignment horizontal="center" vertical="center" wrapText="1"/>
    </xf>
    <xf numFmtId="9" fontId="7" fillId="0" borderId="1" xfId="5" applyNumberFormat="1" applyFont="1" applyBorder="1" applyAlignment="1">
      <alignment horizontal="center" vertical="center"/>
    </xf>
    <xf numFmtId="0" fontId="7" fillId="10" borderId="4" xfId="5" applyFont="1" applyFill="1" applyBorder="1"/>
    <xf numFmtId="10" fontId="37" fillId="0" borderId="1" xfId="5" applyNumberFormat="1" applyFont="1" applyBorder="1" applyAlignment="1">
      <alignment horizontal="center" vertical="center"/>
    </xf>
    <xf numFmtId="17" fontId="13" fillId="10" borderId="13" xfId="5" applyNumberFormat="1" applyFont="1" applyFill="1" applyBorder="1" applyAlignment="1">
      <alignment horizontal="center" vertical="center"/>
    </xf>
    <xf numFmtId="17" fontId="7" fillId="0" borderId="10" xfId="5" applyNumberFormat="1" applyFont="1" applyBorder="1" applyAlignment="1">
      <alignment vertical="center"/>
    </xf>
    <xf numFmtId="0" fontId="7" fillId="10" borderId="6" xfId="5" applyFont="1" applyFill="1" applyBorder="1"/>
    <xf numFmtId="0" fontId="13" fillId="0" borderId="1" xfId="5" applyFont="1" applyBorder="1" applyAlignment="1">
      <alignment horizontal="center" vertical="center" wrapText="1"/>
    </xf>
    <xf numFmtId="0" fontId="7" fillId="9" borderId="1" xfId="7" applyFont="1" applyFill="1" applyBorder="1" applyAlignment="1">
      <alignment horizontal="center" vertical="center"/>
    </xf>
    <xf numFmtId="9" fontId="13" fillId="0" borderId="1" xfId="10" applyFont="1" applyBorder="1" applyAlignment="1">
      <alignment horizontal="center" vertical="center"/>
    </xf>
    <xf numFmtId="0" fontId="7" fillId="9" borderId="1" xfId="5" applyFont="1" applyFill="1" applyBorder="1" applyAlignment="1">
      <alignment horizontal="center" vertical="center"/>
    </xf>
    <xf numFmtId="0" fontId="13" fillId="10" borderId="1" xfId="5" applyFont="1" applyFill="1" applyBorder="1" applyAlignment="1">
      <alignment horizontal="center"/>
    </xf>
    <xf numFmtId="0" fontId="13" fillId="10" borderId="1" xfId="5" applyFont="1" applyFill="1" applyBorder="1" applyAlignment="1">
      <alignment horizontal="center" vertical="center"/>
    </xf>
    <xf numFmtId="9" fontId="13" fillId="10" borderId="1" xfId="10" applyFont="1" applyFill="1" applyBorder="1" applyAlignment="1">
      <alignment horizontal="center" vertical="center"/>
    </xf>
    <xf numFmtId="0" fontId="38" fillId="0" borderId="8" xfId="5" applyFont="1" applyBorder="1" applyAlignment="1">
      <alignment horizontal="center"/>
    </xf>
    <xf numFmtId="0" fontId="38" fillId="0" borderId="5" xfId="5" applyFont="1" applyBorder="1" applyAlignment="1">
      <alignment horizontal="center"/>
    </xf>
    <xf numFmtId="9" fontId="7" fillId="0" borderId="0" xfId="5" applyNumberFormat="1" applyFont="1"/>
    <xf numFmtId="0" fontId="13" fillId="4" borderId="8" xfId="5" applyFont="1" applyFill="1" applyBorder="1" applyAlignment="1">
      <alignment horizontal="center"/>
    </xf>
    <xf numFmtId="0" fontId="13" fillId="4" borderId="5" xfId="5" applyFont="1" applyFill="1" applyBorder="1" applyAlignment="1">
      <alignment horizontal="center"/>
    </xf>
    <xf numFmtId="0" fontId="7" fillId="0" borderId="6" xfId="5" applyFont="1" applyBorder="1"/>
    <xf numFmtId="0" fontId="13" fillId="4" borderId="0" xfId="5" applyFont="1" applyFill="1" applyAlignment="1">
      <alignment horizontal="center"/>
    </xf>
    <xf numFmtId="0" fontId="13" fillId="4" borderId="0" xfId="5" applyFont="1" applyFill="1" applyAlignment="1">
      <alignment horizontal="left"/>
    </xf>
    <xf numFmtId="0" fontId="7" fillId="4" borderId="0" xfId="5" applyFont="1" applyFill="1" applyAlignment="1">
      <alignment horizontal="left"/>
    </xf>
    <xf numFmtId="0" fontId="7" fillId="4" borderId="1" xfId="5" applyFont="1" applyFill="1" applyBorder="1"/>
    <xf numFmtId="0" fontId="7" fillId="4" borderId="0" xfId="5" applyFont="1" applyFill="1"/>
    <xf numFmtId="0" fontId="13" fillId="9" borderId="0" xfId="5" applyFont="1" applyFill="1" applyAlignment="1">
      <alignment horizontal="left"/>
    </xf>
    <xf numFmtId="0" fontId="13" fillId="9" borderId="0" xfId="5" applyFont="1" applyFill="1" applyAlignment="1">
      <alignment horizontal="center"/>
    </xf>
    <xf numFmtId="0" fontId="7" fillId="9" borderId="5" xfId="5" applyFont="1" applyFill="1" applyBorder="1"/>
    <xf numFmtId="0" fontId="13" fillId="9" borderId="5" xfId="5" applyFont="1" applyFill="1" applyBorder="1"/>
    <xf numFmtId="0" fontId="13" fillId="9" borderId="6" xfId="5" applyFont="1" applyFill="1" applyBorder="1" applyAlignment="1">
      <alignment horizontal="left"/>
    </xf>
    <xf numFmtId="0" fontId="13" fillId="9" borderId="2" xfId="5" applyFont="1" applyFill="1" applyBorder="1"/>
    <xf numFmtId="0" fontId="13" fillId="9" borderId="3" xfId="5" applyFont="1" applyFill="1" applyBorder="1" applyAlignment="1">
      <alignment horizontal="left"/>
    </xf>
    <xf numFmtId="0" fontId="7" fillId="4" borderId="5" xfId="5" applyFont="1" applyFill="1" applyBorder="1"/>
    <xf numFmtId="14" fontId="13" fillId="9" borderId="5" xfId="5" applyNumberFormat="1" applyFont="1" applyFill="1" applyBorder="1"/>
    <xf numFmtId="0" fontId="7" fillId="9" borderId="12" xfId="5" applyFont="1" applyFill="1" applyBorder="1"/>
    <xf numFmtId="0" fontId="13" fillId="4" borderId="5" xfId="5" applyFont="1" applyFill="1" applyBorder="1" applyAlignment="1">
      <alignment horizontal="left"/>
    </xf>
    <xf numFmtId="0" fontId="7" fillId="9" borderId="7" xfId="5" applyFont="1" applyFill="1" applyBorder="1" applyAlignment="1">
      <alignment wrapText="1"/>
    </xf>
    <xf numFmtId="0" fontId="7" fillId="9" borderId="0" xfId="5" applyFont="1" applyFill="1" applyAlignment="1">
      <alignment wrapText="1"/>
    </xf>
    <xf numFmtId="0" fontId="7" fillId="9" borderId="4" xfId="5" applyFont="1" applyFill="1" applyBorder="1" applyAlignment="1">
      <alignment wrapText="1"/>
    </xf>
    <xf numFmtId="0" fontId="13" fillId="9" borderId="0" xfId="5" applyFont="1" applyFill="1"/>
    <xf numFmtId="0" fontId="13" fillId="9" borderId="4" xfId="5" applyFont="1" applyFill="1" applyBorder="1" applyAlignment="1">
      <alignment horizontal="left"/>
    </xf>
    <xf numFmtId="17" fontId="2" fillId="0" borderId="13" xfId="5" applyNumberFormat="1" applyFont="1" applyBorder="1" applyAlignment="1">
      <alignment horizontal="center" vertical="center"/>
    </xf>
    <xf numFmtId="17" fontId="9" fillId="0" borderId="10" xfId="5" applyNumberFormat="1" applyFont="1" applyBorder="1" applyAlignment="1">
      <alignment vertical="center"/>
    </xf>
    <xf numFmtId="0" fontId="8" fillId="0" borderId="1" xfId="5" applyFont="1" applyBorder="1" applyAlignment="1">
      <alignment horizontal="center" wrapText="1"/>
    </xf>
    <xf numFmtId="17" fontId="8" fillId="0" borderId="13" xfId="5" applyNumberFormat="1" applyFont="1" applyBorder="1" applyAlignment="1">
      <alignment horizontal="center" vertical="center"/>
    </xf>
    <xf numFmtId="17" fontId="8" fillId="0" borderId="2" xfId="5" applyNumberFormat="1" applyFont="1" applyBorder="1" applyAlignment="1">
      <alignment horizontal="center" vertical="center"/>
    </xf>
    <xf numFmtId="0" fontId="9" fillId="4" borderId="8" xfId="5" applyFont="1" applyFill="1" applyBorder="1" applyAlignment="1">
      <alignment wrapText="1"/>
    </xf>
    <xf numFmtId="0" fontId="9" fillId="4" borderId="5" xfId="5" applyFont="1" applyFill="1" applyBorder="1" applyAlignment="1">
      <alignment wrapText="1"/>
    </xf>
    <xf numFmtId="0" fontId="9" fillId="4" borderId="6" xfId="5" applyFont="1" applyFill="1" applyBorder="1" applyAlignment="1">
      <alignment wrapText="1"/>
    </xf>
    <xf numFmtId="17" fontId="8" fillId="0" borderId="14" xfId="5" applyNumberFormat="1" applyFont="1" applyBorder="1" applyAlignment="1">
      <alignment horizontal="center" vertical="center"/>
    </xf>
    <xf numFmtId="9" fontId="9" fillId="0" borderId="14" xfId="5" applyNumberFormat="1" applyFont="1" applyBorder="1" applyAlignment="1">
      <alignment horizontal="center" vertical="center"/>
    </xf>
    <xf numFmtId="10" fontId="8" fillId="0" borderId="14" xfId="5" applyNumberFormat="1" applyFont="1" applyBorder="1" applyAlignment="1">
      <alignment horizontal="center" vertical="center"/>
    </xf>
    <xf numFmtId="17" fontId="9" fillId="0" borderId="14" xfId="5" applyNumberFormat="1" applyFont="1" applyBorder="1" applyAlignment="1">
      <alignment vertical="center"/>
    </xf>
    <xf numFmtId="9" fontId="9" fillId="0" borderId="0" xfId="5" applyNumberFormat="1" applyFont="1" applyAlignment="1">
      <alignment horizontal="center" vertical="center"/>
    </xf>
    <xf numFmtId="10" fontId="8" fillId="0" borderId="0" xfId="5" applyNumberFormat="1" applyFont="1" applyAlignment="1">
      <alignment horizontal="center" vertical="center"/>
    </xf>
    <xf numFmtId="9" fontId="9" fillId="0" borderId="7" xfId="5" applyNumberFormat="1" applyFont="1" applyBorder="1" applyAlignment="1">
      <alignment horizontal="center" vertical="center"/>
    </xf>
    <xf numFmtId="10" fontId="8" fillId="0" borderId="7" xfId="5" applyNumberFormat="1" applyFont="1" applyBorder="1" applyAlignment="1">
      <alignment horizontal="center" vertical="center"/>
    </xf>
    <xf numFmtId="17" fontId="8" fillId="0" borderId="3" xfId="5" applyNumberFormat="1" applyFont="1" applyBorder="1" applyAlignment="1">
      <alignment vertical="center"/>
    </xf>
    <xf numFmtId="17" fontId="8" fillId="0" borderId="4" xfId="5" applyNumberFormat="1" applyFont="1" applyBorder="1" applyAlignment="1">
      <alignment vertical="center"/>
    </xf>
    <xf numFmtId="17" fontId="9" fillId="0" borderId="8" xfId="5" applyNumberFormat="1" applyFont="1" applyBorder="1" applyAlignment="1">
      <alignment vertical="center"/>
    </xf>
    <xf numFmtId="17" fontId="8" fillId="0" borderId="6" xfId="5" applyNumberFormat="1" applyFont="1" applyBorder="1" applyAlignment="1">
      <alignment vertical="center"/>
    </xf>
    <xf numFmtId="17" fontId="13" fillId="0" borderId="0" xfId="5" applyNumberFormat="1" applyFont="1" applyAlignment="1">
      <alignment horizontal="center" vertical="center"/>
    </xf>
    <xf numFmtId="9" fontId="7" fillId="0" borderId="0" xfId="5" applyNumberFormat="1" applyFont="1" applyAlignment="1">
      <alignment horizontal="center" vertical="center"/>
    </xf>
    <xf numFmtId="10" fontId="37" fillId="0" borderId="0" xfId="5" applyNumberFormat="1" applyFont="1" applyAlignment="1">
      <alignment horizontal="center" vertical="center"/>
    </xf>
    <xf numFmtId="17" fontId="7" fillId="0" borderId="0" xfId="5" applyNumberFormat="1" applyFont="1" applyAlignment="1">
      <alignment vertical="center"/>
    </xf>
    <xf numFmtId="17" fontId="7" fillId="0" borderId="1" xfId="5" applyNumberFormat="1" applyFont="1" applyBorder="1" applyAlignment="1">
      <alignment vertical="center"/>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 xfId="0" applyBorder="1" applyAlignment="1">
      <alignment horizontal="center" vertical="center" wrapText="1"/>
    </xf>
    <xf numFmtId="0" fontId="13"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8" fillId="0" borderId="1" xfId="0" applyFont="1" applyBorder="1" applyAlignment="1">
      <alignment horizontal="center" vertical="center" wrapText="1"/>
    </xf>
    <xf numFmtId="0" fontId="0" fillId="0" borderId="13" xfId="0" applyBorder="1" applyAlignment="1">
      <alignment horizontal="center" vertical="center" wrapText="1"/>
    </xf>
    <xf numFmtId="0" fontId="0" fillId="0" borderId="3" xfId="0" applyBorder="1" applyAlignment="1">
      <alignment horizontal="center" vertical="center" wrapText="1"/>
    </xf>
    <xf numFmtId="0" fontId="0" fillId="0" borderId="7" xfId="0" applyBorder="1" applyAlignment="1">
      <alignment horizontal="center" vertical="center" wrapText="1"/>
    </xf>
    <xf numFmtId="0" fontId="0" fillId="0" borderId="4" xfId="0" applyBorder="1" applyAlignment="1">
      <alignment horizontal="center" vertical="center" wrapText="1"/>
    </xf>
    <xf numFmtId="0" fontId="0" fillId="0" borderId="8" xfId="0" applyBorder="1" applyAlignment="1">
      <alignment horizontal="center" vertical="center" wrapText="1"/>
    </xf>
    <xf numFmtId="0" fontId="0" fillId="0" borderId="6" xfId="0" applyBorder="1" applyAlignment="1">
      <alignment horizontal="center" vertical="center" wrapText="1"/>
    </xf>
    <xf numFmtId="0" fontId="33" fillId="10" borderId="1" xfId="0" applyFont="1" applyFill="1" applyBorder="1" applyAlignment="1">
      <alignment horizontal="center" vertical="center" wrapText="1"/>
    </xf>
    <xf numFmtId="0" fontId="21" fillId="0" borderId="22" xfId="0" applyFont="1" applyBorder="1" applyAlignment="1">
      <alignment horizontal="center" vertical="center" wrapText="1"/>
    </xf>
    <xf numFmtId="0" fontId="21" fillId="0" borderId="16" xfId="0" applyFont="1" applyBorder="1" applyAlignment="1">
      <alignment horizontal="center" vertical="center" wrapText="1"/>
    </xf>
    <xf numFmtId="0" fontId="21" fillId="0" borderId="25" xfId="0" applyFont="1" applyBorder="1" applyAlignment="1">
      <alignment horizontal="center" vertical="center" wrapText="1"/>
    </xf>
    <xf numFmtId="0" fontId="21" fillId="0" borderId="23" xfId="0" applyFont="1" applyBorder="1" applyAlignment="1">
      <alignment horizontal="center" vertical="center" wrapText="1"/>
    </xf>
    <xf numFmtId="0" fontId="20" fillId="0" borderId="10" xfId="0" applyFont="1" applyBorder="1" applyAlignment="1">
      <alignment horizontal="center" vertical="center" wrapText="1"/>
    </xf>
    <xf numFmtId="0" fontId="20" fillId="0" borderId="11" xfId="0" applyFont="1" applyBorder="1" applyAlignment="1">
      <alignment horizontal="center" vertical="center" wrapText="1"/>
    </xf>
    <xf numFmtId="0" fontId="20" fillId="0" borderId="0" xfId="0" applyFont="1" applyAlignment="1">
      <alignment horizontal="center"/>
    </xf>
    <xf numFmtId="0" fontId="20" fillId="0" borderId="26" xfId="0" applyFont="1" applyBorder="1" applyAlignment="1">
      <alignment horizontal="center"/>
    </xf>
    <xf numFmtId="14" fontId="9" fillId="4" borderId="13" xfId="5" applyNumberFormat="1" applyFont="1" applyFill="1" applyBorder="1" applyAlignment="1">
      <alignment horizontal="center"/>
    </xf>
    <xf numFmtId="14" fontId="9" fillId="4" borderId="3" xfId="5" applyNumberFormat="1" applyFont="1" applyFill="1" applyBorder="1" applyAlignment="1">
      <alignment horizontal="center"/>
    </xf>
    <xf numFmtId="14" fontId="9" fillId="4" borderId="8" xfId="5" applyNumberFormat="1" applyFont="1" applyFill="1" applyBorder="1" applyAlignment="1">
      <alignment horizontal="center"/>
    </xf>
    <xf numFmtId="14" fontId="9" fillId="4" borderId="6" xfId="5" applyNumberFormat="1" applyFont="1" applyFill="1" applyBorder="1" applyAlignment="1">
      <alignment horizontal="center"/>
    </xf>
    <xf numFmtId="0" fontId="9" fillId="4" borderId="13" xfId="5" applyFont="1" applyFill="1" applyBorder="1" applyAlignment="1">
      <alignment horizontal="center" wrapText="1"/>
    </xf>
    <xf numFmtId="0" fontId="9" fillId="4" borderId="2" xfId="5" applyFont="1" applyFill="1" applyBorder="1" applyAlignment="1">
      <alignment horizontal="center" wrapText="1"/>
    </xf>
    <xf numFmtId="0" fontId="9" fillId="4" borderId="3" xfId="5" applyFont="1" applyFill="1" applyBorder="1" applyAlignment="1">
      <alignment horizontal="center" wrapText="1"/>
    </xf>
    <xf numFmtId="0" fontId="9" fillId="4" borderId="8" xfId="5" applyFont="1" applyFill="1" applyBorder="1" applyAlignment="1">
      <alignment horizontal="center" wrapText="1"/>
    </xf>
    <xf numFmtId="0" fontId="9" fillId="4" borderId="5" xfId="5" applyFont="1" applyFill="1" applyBorder="1" applyAlignment="1">
      <alignment horizontal="center" wrapText="1"/>
    </xf>
    <xf numFmtId="0" fontId="9" fillId="4" borderId="6" xfId="5" applyFont="1" applyFill="1" applyBorder="1" applyAlignment="1">
      <alignment horizontal="center" wrapText="1"/>
    </xf>
    <xf numFmtId="0" fontId="9" fillId="0" borderId="13" xfId="5" applyFont="1" applyBorder="1" applyAlignment="1">
      <alignment horizontal="center"/>
    </xf>
    <xf numFmtId="0" fontId="9" fillId="0" borderId="3" xfId="5" applyFont="1" applyBorder="1" applyAlignment="1">
      <alignment horizontal="center"/>
    </xf>
    <xf numFmtId="0" fontId="9" fillId="0" borderId="8" xfId="5" applyFont="1" applyBorder="1" applyAlignment="1">
      <alignment horizontal="center"/>
    </xf>
    <xf numFmtId="0" fontId="9" fillId="0" borderId="6" xfId="5" applyFont="1" applyBorder="1" applyAlignment="1">
      <alignment horizontal="center"/>
    </xf>
    <xf numFmtId="0" fontId="7" fillId="0" borderId="7" xfId="5" applyFont="1" applyBorder="1" applyAlignment="1">
      <alignment horizontal="center" vertical="center"/>
    </xf>
    <xf numFmtId="0" fontId="7" fillId="0" borderId="0" xfId="5" applyFont="1" applyAlignment="1">
      <alignment horizontal="center" vertical="center"/>
    </xf>
    <xf numFmtId="0" fontId="9" fillId="0" borderId="1" xfId="5" applyFont="1" applyBorder="1" applyAlignment="1">
      <alignment horizontal="center"/>
    </xf>
    <xf numFmtId="0" fontId="2" fillId="3" borderId="14" xfId="5" applyFont="1" applyFill="1" applyBorder="1" applyAlignment="1">
      <alignment horizontal="center"/>
    </xf>
    <xf numFmtId="0" fontId="0" fillId="0" borderId="9" xfId="0" applyBorder="1"/>
    <xf numFmtId="0" fontId="0" fillId="0" borderId="12" xfId="0" applyBorder="1"/>
    <xf numFmtId="0" fontId="5" fillId="0" borderId="1" xfId="5" applyFont="1" applyBorder="1" applyAlignment="1">
      <alignment horizontal="center" vertical="center"/>
    </xf>
    <xf numFmtId="0" fontId="2" fillId="0" borderId="15" xfId="5" applyFont="1" applyBorder="1" applyAlignment="1">
      <alignment horizontal="center" vertical="center" wrapText="1"/>
    </xf>
    <xf numFmtId="0" fontId="2" fillId="0" borderId="15" xfId="5" applyFont="1" applyBorder="1" applyAlignment="1">
      <alignment horizontal="center" vertical="center"/>
    </xf>
    <xf numFmtId="14" fontId="2" fillId="9" borderId="5" xfId="5" applyNumberFormat="1" applyFont="1" applyFill="1" applyBorder="1" applyAlignment="1">
      <alignment horizontal="center"/>
    </xf>
    <xf numFmtId="14" fontId="2" fillId="9" borderId="6" xfId="5" applyNumberFormat="1" applyFont="1" applyFill="1" applyBorder="1" applyAlignment="1">
      <alignment horizontal="center"/>
    </xf>
    <xf numFmtId="0" fontId="2" fillId="0" borderId="10" xfId="5" applyFont="1" applyBorder="1" applyAlignment="1">
      <alignment horizontal="center"/>
    </xf>
    <xf numFmtId="0" fontId="2" fillId="0" borderId="11" xfId="5" applyFont="1" applyBorder="1" applyAlignment="1">
      <alignment horizontal="center"/>
    </xf>
    <xf numFmtId="0" fontId="1" fillId="9" borderId="10" xfId="5" applyFont="1" applyFill="1" applyBorder="1" applyAlignment="1">
      <alignment horizontal="center"/>
    </xf>
    <xf numFmtId="0" fontId="1" fillId="9" borderId="11" xfId="5" applyFont="1" applyFill="1" applyBorder="1" applyAlignment="1">
      <alignment horizontal="center"/>
    </xf>
    <xf numFmtId="0" fontId="2" fillId="0" borderId="14" xfId="5" applyFont="1" applyBorder="1" applyAlignment="1">
      <alignment horizontal="center" vertical="center"/>
    </xf>
    <xf numFmtId="0" fontId="2" fillId="0" borderId="9" xfId="5" applyFont="1" applyBorder="1" applyAlignment="1">
      <alignment horizontal="center" vertical="center"/>
    </xf>
    <xf numFmtId="0" fontId="2" fillId="0" borderId="5" xfId="5" applyFont="1" applyBorder="1" applyAlignment="1">
      <alignment horizontal="center" vertical="center"/>
    </xf>
    <xf numFmtId="0" fontId="2" fillId="0" borderId="12" xfId="5" applyFont="1" applyBorder="1" applyAlignment="1">
      <alignment horizontal="center" vertical="center"/>
    </xf>
    <xf numFmtId="0" fontId="2" fillId="3" borderId="9" xfId="5" applyFont="1" applyFill="1" applyBorder="1" applyAlignment="1">
      <alignment horizontal="center"/>
    </xf>
    <xf numFmtId="0" fontId="2" fillId="3" borderId="12" xfId="5" applyFont="1" applyFill="1" applyBorder="1" applyAlignment="1">
      <alignment horizontal="center"/>
    </xf>
    <xf numFmtId="0" fontId="1" fillId="4" borderId="13" xfId="5" applyFont="1" applyFill="1" applyBorder="1" applyAlignment="1">
      <alignment horizontal="left" vertical="center" wrapText="1"/>
    </xf>
    <xf numFmtId="0" fontId="1" fillId="4" borderId="2" xfId="5" applyFont="1" applyFill="1" applyBorder="1" applyAlignment="1">
      <alignment horizontal="left" vertical="center" wrapText="1"/>
    </xf>
    <xf numFmtId="0" fontId="1" fillId="4" borderId="3" xfId="5" applyFont="1" applyFill="1" applyBorder="1" applyAlignment="1">
      <alignment horizontal="left" vertical="center" wrapText="1"/>
    </xf>
    <xf numFmtId="0" fontId="1" fillId="4" borderId="7" xfId="5" applyFont="1" applyFill="1" applyBorder="1" applyAlignment="1">
      <alignment horizontal="left" vertical="center" wrapText="1"/>
    </xf>
    <xf numFmtId="0" fontId="1" fillId="4" borderId="0" xfId="5" applyFont="1" applyFill="1" applyAlignment="1">
      <alignment horizontal="left" vertical="center" wrapText="1"/>
    </xf>
    <xf numFmtId="0" fontId="1" fillId="4" borderId="4" xfId="5" applyFont="1" applyFill="1" applyBorder="1" applyAlignment="1">
      <alignment horizontal="left" vertical="center" wrapText="1"/>
    </xf>
    <xf numFmtId="0" fontId="8" fillId="4" borderId="1" xfId="5" applyFont="1" applyFill="1" applyBorder="1" applyAlignment="1">
      <alignment horizontal="center"/>
    </xf>
    <xf numFmtId="9" fontId="2" fillId="9" borderId="10" xfId="10" applyFont="1" applyFill="1" applyBorder="1" applyAlignment="1">
      <alignment horizontal="center" vertical="center"/>
    </xf>
    <xf numFmtId="9" fontId="2" fillId="9" borderId="11" xfId="10" applyFont="1" applyFill="1" applyBorder="1" applyAlignment="1">
      <alignment horizontal="center" vertical="center"/>
    </xf>
    <xf numFmtId="14" fontId="8" fillId="4" borderId="1" xfId="5" applyNumberFormat="1" applyFont="1" applyFill="1" applyBorder="1" applyAlignment="1">
      <alignment horizontal="center"/>
    </xf>
    <xf numFmtId="0" fontId="2" fillId="0" borderId="2" xfId="5" applyFont="1" applyBorder="1" applyAlignment="1">
      <alignment horizontal="center" vertical="center"/>
    </xf>
    <xf numFmtId="0" fontId="2" fillId="0" borderId="7" xfId="5" applyFont="1" applyBorder="1" applyAlignment="1">
      <alignment horizontal="center"/>
    </xf>
    <xf numFmtId="0" fontId="2" fillId="0" borderId="0" xfId="5" applyFont="1" applyAlignment="1">
      <alignment horizontal="center"/>
    </xf>
    <xf numFmtId="0" fontId="1" fillId="9" borderId="13" xfId="5" applyFont="1" applyFill="1" applyBorder="1" applyAlignment="1">
      <alignment horizontal="left" vertical="center" wrapText="1"/>
    </xf>
    <xf numFmtId="0" fontId="1" fillId="9" borderId="2" xfId="5" applyFont="1" applyFill="1" applyBorder="1" applyAlignment="1">
      <alignment horizontal="left" vertical="center" wrapText="1"/>
    </xf>
    <xf numFmtId="0" fontId="1" fillId="9" borderId="3" xfId="5" applyFont="1" applyFill="1" applyBorder="1" applyAlignment="1">
      <alignment horizontal="left" vertical="center" wrapText="1"/>
    </xf>
    <xf numFmtId="0" fontId="1" fillId="9" borderId="7" xfId="5" applyFont="1" applyFill="1" applyBorder="1" applyAlignment="1">
      <alignment horizontal="left" vertical="center" wrapText="1"/>
    </xf>
    <xf numFmtId="0" fontId="1" fillId="9" borderId="0" xfId="5" applyFont="1" applyFill="1" applyAlignment="1">
      <alignment horizontal="left" vertical="center" wrapText="1"/>
    </xf>
    <xf numFmtId="0" fontId="1" fillId="9" borderId="4" xfId="5" applyFont="1" applyFill="1" applyBorder="1" applyAlignment="1">
      <alignment horizontal="left" vertical="center" wrapText="1"/>
    </xf>
    <xf numFmtId="0" fontId="8" fillId="4" borderId="14" xfId="5" applyFont="1" applyFill="1" applyBorder="1" applyAlignment="1">
      <alignment horizontal="center" wrapText="1"/>
    </xf>
    <xf numFmtId="0" fontId="8" fillId="4" borderId="9" xfId="5" applyFont="1" applyFill="1" applyBorder="1" applyAlignment="1">
      <alignment horizontal="center" wrapText="1"/>
    </xf>
    <xf numFmtId="0" fontId="8" fillId="4" borderId="12" xfId="5" applyFont="1" applyFill="1" applyBorder="1" applyAlignment="1">
      <alignment horizontal="center" wrapText="1"/>
    </xf>
    <xf numFmtId="0" fontId="1" fillId="4" borderId="0" xfId="5" applyFont="1" applyFill="1" applyAlignment="1">
      <alignment horizontal="center" vertical="center"/>
    </xf>
    <xf numFmtId="0" fontId="1" fillId="4" borderId="4" xfId="5" applyFont="1" applyFill="1" applyBorder="1" applyAlignment="1">
      <alignment horizontal="center" vertical="center"/>
    </xf>
    <xf numFmtId="0" fontId="13" fillId="0" borderId="13" xfId="5" applyFont="1" applyBorder="1" applyAlignment="1">
      <alignment horizontal="center" vertical="center"/>
    </xf>
    <xf numFmtId="0" fontId="13" fillId="0" borderId="2" xfId="5" applyFont="1" applyBorder="1" applyAlignment="1">
      <alignment horizontal="center" vertical="center"/>
    </xf>
    <xf numFmtId="0" fontId="13" fillId="0" borderId="3" xfId="5" applyFont="1" applyBorder="1" applyAlignment="1">
      <alignment horizontal="center" vertical="center"/>
    </xf>
    <xf numFmtId="0" fontId="13" fillId="0" borderId="8" xfId="5" applyFont="1" applyBorder="1" applyAlignment="1">
      <alignment horizontal="center" vertical="center"/>
    </xf>
    <xf numFmtId="0" fontId="13" fillId="0" borderId="5" xfId="5" applyFont="1" applyBorder="1" applyAlignment="1">
      <alignment horizontal="center" vertical="center"/>
    </xf>
    <xf numFmtId="0" fontId="13" fillId="0" borderId="6" xfId="5" applyFont="1" applyBorder="1" applyAlignment="1">
      <alignment horizontal="center" vertical="center"/>
    </xf>
    <xf numFmtId="0" fontId="8" fillId="10" borderId="1" xfId="5" applyFont="1" applyFill="1" applyBorder="1" applyAlignment="1">
      <alignment horizontal="center"/>
    </xf>
    <xf numFmtId="0" fontId="9" fillId="10" borderId="1" xfId="5" applyFont="1" applyFill="1" applyBorder="1" applyAlignment="1">
      <alignment horizontal="center"/>
    </xf>
    <xf numFmtId="0" fontId="1" fillId="4" borderId="13" xfId="5" applyFont="1" applyFill="1" applyBorder="1" applyAlignment="1">
      <alignment horizontal="center" wrapText="1"/>
    </xf>
    <xf numFmtId="0" fontId="1" fillId="4" borderId="2" xfId="5" applyFont="1" applyFill="1" applyBorder="1" applyAlignment="1">
      <alignment horizontal="center" wrapText="1"/>
    </xf>
    <xf numFmtId="0" fontId="1" fillId="4" borderId="3" xfId="5" applyFont="1" applyFill="1" applyBorder="1" applyAlignment="1">
      <alignment horizontal="center" wrapText="1"/>
    </xf>
    <xf numFmtId="0" fontId="1" fillId="4" borderId="7" xfId="5" applyFont="1" applyFill="1" applyBorder="1" applyAlignment="1">
      <alignment horizontal="center" wrapText="1"/>
    </xf>
    <xf numFmtId="0" fontId="1" fillId="4" borderId="0" xfId="5" applyFont="1" applyFill="1" applyAlignment="1">
      <alignment horizontal="center" wrapText="1"/>
    </xf>
    <xf numFmtId="0" fontId="1" fillId="4" borderId="4" xfId="5" applyFont="1" applyFill="1" applyBorder="1" applyAlignment="1">
      <alignment horizontal="center" wrapText="1"/>
    </xf>
    <xf numFmtId="0" fontId="1" fillId="4" borderId="8" xfId="5" applyFont="1" applyFill="1" applyBorder="1" applyAlignment="1">
      <alignment horizontal="center" wrapText="1"/>
    </xf>
    <xf numFmtId="0" fontId="1" fillId="4" borderId="5" xfId="5" applyFont="1" applyFill="1" applyBorder="1" applyAlignment="1">
      <alignment horizontal="center" wrapText="1"/>
    </xf>
    <xf numFmtId="0" fontId="1" fillId="4" borderId="6" xfId="5" applyFont="1" applyFill="1" applyBorder="1" applyAlignment="1">
      <alignment horizontal="center" wrapText="1"/>
    </xf>
    <xf numFmtId="0" fontId="13" fillId="0" borderId="1" xfId="5" applyFont="1" applyBorder="1" applyAlignment="1">
      <alignment horizontal="center" vertical="center"/>
    </xf>
    <xf numFmtId="0" fontId="13" fillId="0" borderId="1" xfId="5" applyFont="1" applyBorder="1" applyAlignment="1">
      <alignment horizontal="center"/>
    </xf>
    <xf numFmtId="0" fontId="9" fillId="0" borderId="1" xfId="5" applyFont="1" applyBorder="1" applyAlignment="1">
      <alignment horizontal="center" vertical="center"/>
    </xf>
    <xf numFmtId="0" fontId="9" fillId="0" borderId="14" xfId="5" applyFont="1" applyBorder="1" applyAlignment="1">
      <alignment horizontal="center" vertical="center"/>
    </xf>
    <xf numFmtId="0" fontId="9" fillId="0" borderId="9" xfId="5" applyFont="1" applyBorder="1" applyAlignment="1">
      <alignment horizontal="center" vertical="center"/>
    </xf>
    <xf numFmtId="0" fontId="9" fillId="0" borderId="12" xfId="5" applyFont="1" applyBorder="1" applyAlignment="1">
      <alignment horizontal="center" vertical="center"/>
    </xf>
    <xf numFmtId="9" fontId="5" fillId="4" borderId="13" xfId="5" applyNumberFormat="1" applyFont="1" applyFill="1" applyBorder="1" applyAlignment="1">
      <alignment horizontal="center" vertical="center"/>
    </xf>
    <xf numFmtId="9" fontId="5" fillId="4" borderId="2" xfId="5" applyNumberFormat="1" applyFont="1" applyFill="1" applyBorder="1" applyAlignment="1">
      <alignment horizontal="center" vertical="center"/>
    </xf>
    <xf numFmtId="9" fontId="5" fillId="4" borderId="3" xfId="5" applyNumberFormat="1" applyFont="1" applyFill="1" applyBorder="1" applyAlignment="1">
      <alignment horizontal="center" vertical="center"/>
    </xf>
    <xf numFmtId="9" fontId="5" fillId="4" borderId="8" xfId="5" applyNumberFormat="1" applyFont="1" applyFill="1" applyBorder="1" applyAlignment="1">
      <alignment horizontal="center" vertical="center"/>
    </xf>
    <xf numFmtId="9" fontId="5" fillId="4" borderId="5" xfId="5" applyNumberFormat="1" applyFont="1" applyFill="1" applyBorder="1" applyAlignment="1">
      <alignment horizontal="center" vertical="center"/>
    </xf>
    <xf numFmtId="9" fontId="5" fillId="4" borderId="6" xfId="5" applyNumberFormat="1" applyFont="1" applyFill="1" applyBorder="1" applyAlignment="1">
      <alignment horizontal="center" vertical="center"/>
    </xf>
    <xf numFmtId="0" fontId="2" fillId="3" borderId="11" xfId="5" applyFont="1" applyFill="1" applyBorder="1" applyAlignment="1">
      <alignment horizontal="center" vertical="center" wrapText="1"/>
    </xf>
    <xf numFmtId="9" fontId="2" fillId="7" borderId="13" xfId="7" applyNumberFormat="1" applyFont="1" applyFill="1" applyBorder="1" applyAlignment="1">
      <alignment horizontal="center"/>
    </xf>
    <xf numFmtId="0" fontId="2" fillId="7" borderId="2" xfId="7" applyFont="1" applyFill="1" applyBorder="1" applyAlignment="1">
      <alignment horizontal="center"/>
    </xf>
    <xf numFmtId="0" fontId="2" fillId="7" borderId="3" xfId="7" applyFont="1" applyFill="1" applyBorder="1" applyAlignment="1">
      <alignment horizontal="center"/>
    </xf>
    <xf numFmtId="0" fontId="30" fillId="0" borderId="1" xfId="5" applyFont="1" applyBorder="1" applyAlignment="1">
      <alignment horizontal="center" vertical="center" wrapText="1"/>
    </xf>
    <xf numFmtId="0" fontId="2" fillId="0" borderId="14" xfId="5" applyFont="1" applyBorder="1" applyAlignment="1">
      <alignment horizontal="center"/>
    </xf>
    <xf numFmtId="0" fontId="2" fillId="0" borderId="9" xfId="5" applyFont="1" applyBorder="1" applyAlignment="1">
      <alignment horizontal="center"/>
    </xf>
    <xf numFmtId="0" fontId="7" fillId="0" borderId="13" xfId="5" applyFont="1" applyBorder="1" applyAlignment="1">
      <alignment horizontal="center" vertical="center"/>
    </xf>
    <xf numFmtId="0" fontId="7" fillId="0" borderId="2" xfId="5" applyFont="1" applyBorder="1" applyAlignment="1">
      <alignment horizontal="center" vertical="center"/>
    </xf>
    <xf numFmtId="0" fontId="7" fillId="0" borderId="3" xfId="5" applyFont="1" applyBorder="1" applyAlignment="1">
      <alignment horizontal="center" vertical="center"/>
    </xf>
    <xf numFmtId="0" fontId="7" fillId="0" borderId="8" xfId="5" applyFont="1" applyBorder="1" applyAlignment="1">
      <alignment horizontal="center" vertical="center"/>
    </xf>
    <xf numFmtId="0" fontId="7" fillId="0" borderId="5" xfId="5" applyFont="1" applyBorder="1" applyAlignment="1">
      <alignment horizontal="center" vertical="center"/>
    </xf>
    <xf numFmtId="0" fontId="7" fillId="0" borderId="6" xfId="5" applyFont="1" applyBorder="1" applyAlignment="1">
      <alignment horizontal="center" vertical="center"/>
    </xf>
    <xf numFmtId="0" fontId="7" fillId="0" borderId="13" xfId="5" applyFont="1" applyBorder="1" applyAlignment="1">
      <alignment horizontal="center" vertical="center" wrapText="1"/>
    </xf>
    <xf numFmtId="0" fontId="7" fillId="0" borderId="2" xfId="5" applyFont="1" applyBorder="1" applyAlignment="1">
      <alignment horizontal="center" vertical="center" wrapText="1"/>
    </xf>
    <xf numFmtId="0" fontId="7" fillId="0" borderId="3" xfId="5" applyFont="1" applyBorder="1" applyAlignment="1">
      <alignment horizontal="center" vertical="center" wrapText="1"/>
    </xf>
    <xf numFmtId="0" fontId="7" fillId="0" borderId="7" xfId="5" applyFont="1" applyBorder="1" applyAlignment="1">
      <alignment horizontal="center" vertical="center" wrapText="1"/>
    </xf>
    <xf numFmtId="0" fontId="7" fillId="0" borderId="0" xfId="5" applyFont="1" applyAlignment="1">
      <alignment horizontal="center" vertical="center" wrapText="1"/>
    </xf>
    <xf numFmtId="0" fontId="7" fillId="0" borderId="4" xfId="5" applyFont="1" applyBorder="1" applyAlignment="1">
      <alignment horizontal="center" vertical="center" wrapText="1"/>
    </xf>
    <xf numFmtId="0" fontId="7" fillId="0" borderId="8" xfId="5" applyFont="1" applyBorder="1" applyAlignment="1">
      <alignment horizontal="center" vertical="center" wrapText="1"/>
    </xf>
    <xf numFmtId="0" fontId="7" fillId="0" borderId="5" xfId="5" applyFont="1" applyBorder="1" applyAlignment="1">
      <alignment horizontal="center" vertical="center" wrapText="1"/>
    </xf>
    <xf numFmtId="0" fontId="7" fillId="0" borderId="6" xfId="5" applyFont="1" applyBorder="1" applyAlignment="1">
      <alignment horizontal="center" vertical="center" wrapText="1"/>
    </xf>
    <xf numFmtId="9" fontId="19" fillId="5" borderId="1" xfId="5" applyNumberFormat="1" applyFont="1" applyFill="1" applyBorder="1" applyAlignment="1">
      <alignment horizontal="center"/>
    </xf>
    <xf numFmtId="0" fontId="19" fillId="5" borderId="1" xfId="5" applyFont="1" applyFill="1" applyBorder="1" applyAlignment="1">
      <alignment horizontal="center"/>
    </xf>
    <xf numFmtId="9" fontId="2" fillId="6" borderId="14" xfId="5" applyNumberFormat="1" applyFont="1" applyFill="1" applyBorder="1" applyAlignment="1">
      <alignment horizontal="center"/>
    </xf>
    <xf numFmtId="9" fontId="2" fillId="6" borderId="9" xfId="5" applyNumberFormat="1" applyFont="1" applyFill="1" applyBorder="1" applyAlignment="1">
      <alignment horizontal="center"/>
    </xf>
    <xf numFmtId="9" fontId="2" fillId="6" borderId="12" xfId="5" applyNumberFormat="1" applyFont="1" applyFill="1" applyBorder="1" applyAlignment="1">
      <alignment horizontal="center"/>
    </xf>
    <xf numFmtId="0" fontId="2" fillId="3" borderId="14" xfId="5" applyFont="1" applyFill="1" applyBorder="1" applyAlignment="1">
      <alignment horizontal="center" vertical="center" wrapText="1"/>
    </xf>
    <xf numFmtId="0" fontId="2" fillId="3" borderId="9" xfId="5" applyFont="1" applyFill="1" applyBorder="1" applyAlignment="1">
      <alignment horizontal="center" vertical="center" wrapText="1"/>
    </xf>
    <xf numFmtId="0" fontId="2" fillId="3" borderId="12" xfId="5" applyFont="1" applyFill="1" applyBorder="1" applyAlignment="1">
      <alignment horizontal="center" vertical="center" wrapText="1"/>
    </xf>
    <xf numFmtId="0" fontId="2" fillId="0" borderId="12" xfId="5" applyFont="1" applyBorder="1" applyAlignment="1">
      <alignment horizontal="center"/>
    </xf>
    <xf numFmtId="0" fontId="1" fillId="0" borderId="1" xfId="5" applyFont="1" applyBorder="1" applyAlignment="1">
      <alignment horizontal="left" wrapText="1"/>
    </xf>
    <xf numFmtId="0" fontId="2" fillId="0" borderId="1" xfId="5" applyFont="1" applyBorder="1" applyAlignment="1">
      <alignment horizontal="center"/>
    </xf>
    <xf numFmtId="9" fontId="7" fillId="0" borderId="13" xfId="5" applyNumberFormat="1" applyFont="1" applyBorder="1" applyAlignment="1">
      <alignment horizontal="left" vertical="center" wrapText="1"/>
    </xf>
    <xf numFmtId="0" fontId="7" fillId="0" borderId="2" xfId="5" applyFont="1" applyBorder="1" applyAlignment="1">
      <alignment horizontal="left" vertical="center"/>
    </xf>
    <xf numFmtId="0" fontId="7" fillId="0" borderId="3" xfId="5" applyFont="1" applyBorder="1" applyAlignment="1">
      <alignment horizontal="left" vertical="center"/>
    </xf>
    <xf numFmtId="0" fontId="7" fillId="0" borderId="8" xfId="5" applyFont="1" applyBorder="1" applyAlignment="1">
      <alignment horizontal="left" vertical="center"/>
    </xf>
    <xf numFmtId="0" fontId="7" fillId="0" borderId="5" xfId="5" applyFont="1" applyBorder="1" applyAlignment="1">
      <alignment horizontal="left" vertical="center"/>
    </xf>
    <xf numFmtId="0" fontId="7" fillId="0" borderId="6" xfId="5" applyFont="1" applyBorder="1" applyAlignment="1">
      <alignment horizontal="left" vertical="center"/>
    </xf>
    <xf numFmtId="9" fontId="7" fillId="0" borderId="13" xfId="5" applyNumberFormat="1" applyFont="1" applyBorder="1" applyAlignment="1">
      <alignment horizontal="center" vertical="center" wrapText="1"/>
    </xf>
    <xf numFmtId="9" fontId="7" fillId="0" borderId="2" xfId="5" applyNumberFormat="1" applyFont="1" applyBorder="1" applyAlignment="1">
      <alignment horizontal="center" vertical="center" wrapText="1"/>
    </xf>
    <xf numFmtId="9" fontId="7" fillId="0" borderId="3" xfId="5" applyNumberFormat="1" applyFont="1" applyBorder="1" applyAlignment="1">
      <alignment horizontal="center" vertical="center" wrapText="1"/>
    </xf>
    <xf numFmtId="9" fontId="7" fillId="0" borderId="8" xfId="5" applyNumberFormat="1" applyFont="1" applyBorder="1" applyAlignment="1">
      <alignment horizontal="center" vertical="center" wrapText="1"/>
    </xf>
    <xf numFmtId="9" fontId="7" fillId="0" borderId="5" xfId="5" applyNumberFormat="1" applyFont="1" applyBorder="1" applyAlignment="1">
      <alignment horizontal="center" vertical="center" wrapText="1"/>
    </xf>
    <xf numFmtId="9" fontId="7" fillId="0" borderId="6" xfId="5" applyNumberFormat="1" applyFont="1" applyBorder="1" applyAlignment="1">
      <alignment horizontal="center" vertical="center" wrapText="1"/>
    </xf>
    <xf numFmtId="0" fontId="2" fillId="0" borderId="5" xfId="5" applyFont="1" applyBorder="1" applyAlignment="1">
      <alignment horizontal="center"/>
    </xf>
    <xf numFmtId="0" fontId="13" fillId="0" borderId="14" xfId="5" applyFont="1" applyBorder="1" applyAlignment="1">
      <alignment horizontal="center" vertical="center"/>
    </xf>
    <xf numFmtId="0" fontId="13" fillId="0" borderId="9" xfId="5" applyFont="1" applyBorder="1" applyAlignment="1">
      <alignment horizontal="center" vertical="center"/>
    </xf>
    <xf numFmtId="0" fontId="13" fillId="0" borderId="12" xfId="5" applyFont="1" applyBorder="1" applyAlignment="1">
      <alignment horizontal="center" vertical="center"/>
    </xf>
    <xf numFmtId="17" fontId="13" fillId="3" borderId="1" xfId="5" applyNumberFormat="1" applyFont="1" applyFill="1" applyBorder="1" applyAlignment="1">
      <alignment horizontal="center" vertical="center"/>
    </xf>
    <xf numFmtId="0" fontId="13" fillId="3" borderId="1" xfId="5" applyFont="1" applyFill="1" applyBorder="1" applyAlignment="1">
      <alignment horizontal="center"/>
    </xf>
    <xf numFmtId="0" fontId="13" fillId="0" borderId="15" xfId="5" applyFont="1" applyBorder="1" applyAlignment="1">
      <alignment horizontal="center" vertical="center" wrapText="1"/>
    </xf>
    <xf numFmtId="0" fontId="13" fillId="0" borderId="11" xfId="5" applyFont="1" applyBorder="1" applyAlignment="1">
      <alignment horizontal="center" vertical="center" wrapText="1"/>
    </xf>
    <xf numFmtId="0" fontId="13" fillId="3" borderId="13" xfId="5" applyFont="1" applyFill="1" applyBorder="1" applyAlignment="1">
      <alignment horizontal="center"/>
    </xf>
    <xf numFmtId="0" fontId="13" fillId="3" borderId="2" xfId="5" applyFont="1" applyFill="1" applyBorder="1" applyAlignment="1">
      <alignment horizontal="center"/>
    </xf>
    <xf numFmtId="0" fontId="13" fillId="3" borderId="3" xfId="5" applyFont="1" applyFill="1" applyBorder="1" applyAlignment="1">
      <alignment horizontal="center"/>
    </xf>
    <xf numFmtId="0" fontId="13" fillId="3" borderId="8" xfId="5" applyFont="1" applyFill="1" applyBorder="1" applyAlignment="1">
      <alignment horizontal="center"/>
    </xf>
    <xf numFmtId="0" fontId="13" fillId="3" borderId="5" xfId="5" applyFont="1" applyFill="1" applyBorder="1" applyAlignment="1">
      <alignment horizontal="center"/>
    </xf>
    <xf numFmtId="0" fontId="13" fillId="3" borderId="6" xfId="5" applyFont="1" applyFill="1" applyBorder="1" applyAlignment="1">
      <alignment horizontal="center"/>
    </xf>
    <xf numFmtId="14" fontId="7" fillId="4" borderId="13" xfId="5" applyNumberFormat="1" applyFont="1" applyFill="1" applyBorder="1" applyAlignment="1">
      <alignment horizontal="center"/>
    </xf>
    <xf numFmtId="14" fontId="7" fillId="4" borderId="3" xfId="5" applyNumberFormat="1" applyFont="1" applyFill="1" applyBorder="1" applyAlignment="1">
      <alignment horizontal="center"/>
    </xf>
    <xf numFmtId="14" fontId="7" fillId="4" borderId="8" xfId="5" applyNumberFormat="1" applyFont="1" applyFill="1" applyBorder="1" applyAlignment="1">
      <alignment horizontal="center"/>
    </xf>
    <xf numFmtId="14" fontId="7" fillId="4" borderId="6" xfId="5" applyNumberFormat="1" applyFont="1" applyFill="1" applyBorder="1" applyAlignment="1">
      <alignment horizontal="center"/>
    </xf>
    <xf numFmtId="0" fontId="7" fillId="4" borderId="13" xfId="5" applyFont="1" applyFill="1" applyBorder="1" applyAlignment="1">
      <alignment horizontal="center" wrapText="1"/>
    </xf>
    <xf numFmtId="0" fontId="7" fillId="4" borderId="2" xfId="5" applyFont="1" applyFill="1" applyBorder="1" applyAlignment="1">
      <alignment horizontal="center" wrapText="1"/>
    </xf>
    <xf numFmtId="0" fontId="7" fillId="4" borderId="3" xfId="5" applyFont="1" applyFill="1" applyBorder="1" applyAlignment="1">
      <alignment horizontal="center" wrapText="1"/>
    </xf>
    <xf numFmtId="0" fontId="7" fillId="4" borderId="8" xfId="5" applyFont="1" applyFill="1" applyBorder="1" applyAlignment="1">
      <alignment horizontal="center" wrapText="1"/>
    </xf>
    <xf numFmtId="0" fontId="7" fillId="4" borderId="5" xfId="5" applyFont="1" applyFill="1" applyBorder="1" applyAlignment="1">
      <alignment horizontal="center" wrapText="1"/>
    </xf>
    <xf numFmtId="0" fontId="7" fillId="4" borderId="6" xfId="5" applyFont="1" applyFill="1" applyBorder="1" applyAlignment="1">
      <alignment horizontal="center" wrapText="1"/>
    </xf>
    <xf numFmtId="0" fontId="7" fillId="0" borderId="13" xfId="5" applyFont="1" applyBorder="1" applyAlignment="1">
      <alignment horizontal="center"/>
    </xf>
    <xf numFmtId="0" fontId="7" fillId="0" borderId="3" xfId="5" applyFont="1" applyBorder="1" applyAlignment="1">
      <alignment horizontal="center"/>
    </xf>
    <xf numFmtId="0" fontId="7" fillId="0" borderId="8" xfId="5" applyFont="1" applyBorder="1" applyAlignment="1">
      <alignment horizontal="center"/>
    </xf>
    <xf numFmtId="0" fontId="7" fillId="0" borderId="6" xfId="5" applyFont="1" applyBorder="1" applyAlignment="1">
      <alignment horizontal="center"/>
    </xf>
    <xf numFmtId="0" fontId="13" fillId="10" borderId="1" xfId="5" applyFont="1" applyFill="1" applyBorder="1" applyAlignment="1">
      <alignment horizontal="center"/>
    </xf>
    <xf numFmtId="0" fontId="7" fillId="10" borderId="1" xfId="5" applyFont="1" applyFill="1" applyBorder="1" applyAlignment="1">
      <alignment horizontal="center"/>
    </xf>
    <xf numFmtId="0" fontId="7" fillId="4" borderId="0" xfId="5" applyFont="1" applyFill="1" applyAlignment="1">
      <alignment horizontal="center" vertical="center"/>
    </xf>
    <xf numFmtId="0" fontId="7" fillId="4" borderId="4" xfId="5" applyFont="1" applyFill="1" applyBorder="1" applyAlignment="1">
      <alignment horizontal="center" vertical="center"/>
    </xf>
    <xf numFmtId="0" fontId="7" fillId="9" borderId="7" xfId="5" applyFont="1" applyFill="1" applyBorder="1" applyAlignment="1">
      <alignment horizontal="left" vertical="center" wrapText="1"/>
    </xf>
    <xf numFmtId="0" fontId="7" fillId="9" borderId="0" xfId="5" applyFont="1" applyFill="1" applyAlignment="1">
      <alignment horizontal="left" vertical="center" wrapText="1"/>
    </xf>
    <xf numFmtId="0" fontId="7" fillId="9" borderId="4" xfId="5" applyFont="1" applyFill="1" applyBorder="1" applyAlignment="1">
      <alignment horizontal="left" vertical="center" wrapText="1"/>
    </xf>
    <xf numFmtId="0" fontId="1" fillId="9" borderId="7" xfId="7" applyFill="1" applyBorder="1" applyAlignment="1">
      <alignment horizontal="left" vertical="center" wrapText="1"/>
    </xf>
    <xf numFmtId="0" fontId="1" fillId="9" borderId="0" xfId="7" applyFill="1" applyAlignment="1">
      <alignment horizontal="left" vertical="center" wrapText="1"/>
    </xf>
    <xf numFmtId="0" fontId="1" fillId="9" borderId="4" xfId="7" applyFill="1" applyBorder="1" applyAlignment="1">
      <alignment horizontal="left" vertical="center" wrapText="1"/>
    </xf>
    <xf numFmtId="0" fontId="13" fillId="3" borderId="14" xfId="5" applyFont="1" applyFill="1" applyBorder="1" applyAlignment="1">
      <alignment horizontal="center" vertical="center" wrapText="1"/>
    </xf>
    <xf numFmtId="0" fontId="13" fillId="3" borderId="9" xfId="5" applyFont="1" applyFill="1" applyBorder="1" applyAlignment="1">
      <alignment horizontal="center" vertical="center" wrapText="1"/>
    </xf>
    <xf numFmtId="0" fontId="13" fillId="3" borderId="12" xfId="5" applyFont="1" applyFill="1" applyBorder="1" applyAlignment="1">
      <alignment horizontal="center" vertical="center" wrapText="1"/>
    </xf>
    <xf numFmtId="9" fontId="36" fillId="5" borderId="1" xfId="5" applyNumberFormat="1" applyFont="1" applyFill="1" applyBorder="1" applyAlignment="1">
      <alignment horizontal="center"/>
    </xf>
    <xf numFmtId="0" fontId="36" fillId="5" borderId="1" xfId="5" applyFont="1" applyFill="1" applyBorder="1" applyAlignment="1">
      <alignment horizontal="center"/>
    </xf>
    <xf numFmtId="9" fontId="13" fillId="6" borderId="14" xfId="5" applyNumberFormat="1" applyFont="1" applyFill="1" applyBorder="1" applyAlignment="1">
      <alignment horizontal="center"/>
    </xf>
    <xf numFmtId="9" fontId="13" fillId="6" borderId="9" xfId="5" applyNumberFormat="1" applyFont="1" applyFill="1" applyBorder="1" applyAlignment="1">
      <alignment horizontal="center"/>
    </xf>
    <xf numFmtId="9" fontId="13" fillId="6" borderId="12" xfId="5" applyNumberFormat="1" applyFont="1" applyFill="1" applyBorder="1" applyAlignment="1">
      <alignment horizontal="center"/>
    </xf>
    <xf numFmtId="17" fontId="13" fillId="3" borderId="10" xfId="5" applyNumberFormat="1" applyFont="1" applyFill="1" applyBorder="1" applyAlignment="1">
      <alignment horizontal="center" vertical="center"/>
    </xf>
    <xf numFmtId="17" fontId="13" fillId="3" borderId="15" xfId="5" applyNumberFormat="1" applyFont="1" applyFill="1" applyBorder="1" applyAlignment="1">
      <alignment horizontal="center" vertical="center"/>
    </xf>
    <xf numFmtId="0" fontId="13" fillId="3" borderId="7" xfId="5" applyFont="1" applyFill="1" applyBorder="1" applyAlignment="1">
      <alignment horizontal="center"/>
    </xf>
    <xf numFmtId="0" fontId="13" fillId="3" borderId="0" xfId="5" applyFont="1" applyFill="1" applyAlignment="1">
      <alignment horizontal="center"/>
    </xf>
    <xf numFmtId="0" fontId="13" fillId="3" borderId="4" xfId="5" applyFont="1" applyFill="1" applyBorder="1" applyAlignment="1">
      <alignment horizontal="center"/>
    </xf>
    <xf numFmtId="0" fontId="7" fillId="0" borderId="1" xfId="5" applyFont="1" applyBorder="1" applyAlignment="1">
      <alignment horizontal="center" vertical="center" wrapText="1"/>
    </xf>
    <xf numFmtId="0" fontId="13" fillId="3" borderId="1" xfId="5" applyFont="1" applyFill="1" applyBorder="1" applyAlignment="1">
      <alignment horizontal="center" vertical="center"/>
    </xf>
    <xf numFmtId="0" fontId="13" fillId="0" borderId="14" xfId="5" applyFont="1" applyBorder="1" applyAlignment="1">
      <alignment horizontal="center"/>
    </xf>
    <xf numFmtId="0" fontId="13" fillId="0" borderId="9" xfId="5" applyFont="1" applyBorder="1" applyAlignment="1">
      <alignment horizontal="center"/>
    </xf>
    <xf numFmtId="0" fontId="13" fillId="0" borderId="12" xfId="5" applyFont="1" applyBorder="1" applyAlignment="1">
      <alignment horizontal="center"/>
    </xf>
    <xf numFmtId="17" fontId="13" fillId="10" borderId="0" xfId="5" applyNumberFormat="1" applyFont="1" applyFill="1" applyAlignment="1">
      <alignment horizontal="center" vertical="center"/>
    </xf>
    <xf numFmtId="17" fontId="13" fillId="10" borderId="4" xfId="5" applyNumberFormat="1" applyFont="1" applyFill="1" applyBorder="1" applyAlignment="1">
      <alignment horizontal="center" vertical="center"/>
    </xf>
    <xf numFmtId="0" fontId="13" fillId="0" borderId="7" xfId="5" applyFont="1" applyBorder="1" applyAlignment="1">
      <alignment horizontal="center"/>
    </xf>
    <xf numFmtId="0" fontId="13" fillId="0" borderId="0" xfId="5" applyFont="1" applyAlignment="1">
      <alignment horizontal="center"/>
    </xf>
    <xf numFmtId="9" fontId="13" fillId="7" borderId="13" xfId="7" applyNumberFormat="1" applyFont="1" applyFill="1" applyBorder="1" applyAlignment="1">
      <alignment horizontal="center"/>
    </xf>
    <xf numFmtId="0" fontId="13" fillId="7" borderId="2" xfId="7" applyFont="1" applyFill="1" applyBorder="1" applyAlignment="1">
      <alignment horizontal="center"/>
    </xf>
    <xf numFmtId="0" fontId="13" fillId="7" borderId="3" xfId="7" applyFont="1" applyFill="1" applyBorder="1" applyAlignment="1">
      <alignment horizontal="center"/>
    </xf>
    <xf numFmtId="9" fontId="13" fillId="4" borderId="13" xfId="5" applyNumberFormat="1" applyFont="1" applyFill="1" applyBorder="1" applyAlignment="1">
      <alignment horizontal="center" vertical="center"/>
    </xf>
    <xf numFmtId="9" fontId="13" fillId="4" borderId="2" xfId="5" applyNumberFormat="1" applyFont="1" applyFill="1" applyBorder="1" applyAlignment="1">
      <alignment horizontal="center" vertical="center"/>
    </xf>
    <xf numFmtId="9" fontId="13" fillId="4" borderId="3" xfId="5" applyNumberFormat="1" applyFont="1" applyFill="1" applyBorder="1" applyAlignment="1">
      <alignment horizontal="center" vertical="center"/>
    </xf>
    <xf numFmtId="9" fontId="13" fillId="4" borderId="8" xfId="5" applyNumberFormat="1" applyFont="1" applyFill="1" applyBorder="1" applyAlignment="1">
      <alignment horizontal="center" vertical="center"/>
    </xf>
    <xf numFmtId="9" fontId="13" fillId="4" borderId="5" xfId="5" applyNumberFormat="1" applyFont="1" applyFill="1" applyBorder="1" applyAlignment="1">
      <alignment horizontal="center" vertical="center"/>
    </xf>
    <xf numFmtId="9" fontId="13" fillId="4" borderId="6" xfId="5" applyNumberFormat="1" applyFont="1" applyFill="1" applyBorder="1" applyAlignment="1">
      <alignment horizontal="center" vertical="center"/>
    </xf>
    <xf numFmtId="0" fontId="13" fillId="3" borderId="11" xfId="5" applyFont="1" applyFill="1" applyBorder="1" applyAlignment="1">
      <alignment horizontal="center" vertical="center" wrapText="1"/>
    </xf>
    <xf numFmtId="0" fontId="7" fillId="0" borderId="1" xfId="5" applyFont="1" applyBorder="1" applyAlignment="1">
      <alignment horizontal="left" vertical="center" wrapText="1"/>
    </xf>
    <xf numFmtId="0" fontId="13" fillId="0" borderId="5" xfId="5" applyFont="1" applyBorder="1" applyAlignment="1">
      <alignment horizontal="center"/>
    </xf>
    <xf numFmtId="0" fontId="13" fillId="0" borderId="13" xfId="5" applyFont="1" applyBorder="1" applyAlignment="1">
      <alignment horizontal="center"/>
    </xf>
    <xf numFmtId="0" fontId="13" fillId="0" borderId="2" xfId="5" applyFont="1" applyBorder="1" applyAlignment="1">
      <alignment horizontal="center"/>
    </xf>
    <xf numFmtId="0" fontId="7" fillId="9" borderId="7" xfId="5" applyFont="1" applyFill="1" applyBorder="1" applyAlignment="1">
      <alignment horizontal="left" wrapText="1"/>
    </xf>
    <xf numFmtId="0" fontId="7" fillId="9" borderId="0" xfId="5" applyFont="1" applyFill="1" applyAlignment="1">
      <alignment horizontal="left" wrapText="1"/>
    </xf>
    <xf numFmtId="0" fontId="7" fillId="9" borderId="4" xfId="5" applyFont="1" applyFill="1" applyBorder="1" applyAlignment="1">
      <alignment horizontal="left" wrapText="1"/>
    </xf>
    <xf numFmtId="0" fontId="2" fillId="0" borderId="1" xfId="5" applyFont="1" applyBorder="1" applyAlignment="1">
      <alignment horizontal="center" vertical="center"/>
    </xf>
    <xf numFmtId="0" fontId="11" fillId="0" borderId="14" xfId="5" applyFont="1" applyBorder="1" applyAlignment="1">
      <alignment horizontal="center"/>
    </xf>
    <xf numFmtId="0" fontId="11" fillId="0" borderId="9" xfId="5" applyFont="1" applyBorder="1" applyAlignment="1">
      <alignment horizontal="center"/>
    </xf>
    <xf numFmtId="0" fontId="11" fillId="0" borderId="12" xfId="5" applyFont="1" applyBorder="1" applyAlignment="1">
      <alignment horizontal="center"/>
    </xf>
    <xf numFmtId="0" fontId="1" fillId="9" borderId="7" xfId="5" applyFont="1" applyFill="1" applyBorder="1" applyAlignment="1">
      <alignment horizontal="left" vertical="top" wrapText="1"/>
    </xf>
    <xf numFmtId="0" fontId="1" fillId="9" borderId="0" xfId="5" applyFont="1" applyFill="1" applyAlignment="1">
      <alignment horizontal="left" vertical="top" wrapText="1"/>
    </xf>
    <xf numFmtId="0" fontId="1" fillId="9" borderId="4" xfId="5" applyFont="1" applyFill="1" applyBorder="1" applyAlignment="1">
      <alignment horizontal="left" vertical="top" wrapText="1"/>
    </xf>
    <xf numFmtId="17" fontId="8" fillId="0" borderId="13" xfId="5" applyNumberFormat="1" applyFont="1" applyBorder="1" applyAlignment="1">
      <alignment horizontal="center" vertical="center"/>
    </xf>
    <xf numFmtId="17" fontId="8" fillId="0" borderId="2" xfId="5" applyNumberFormat="1" applyFont="1" applyBorder="1" applyAlignment="1">
      <alignment horizontal="center" vertical="center"/>
    </xf>
    <xf numFmtId="17" fontId="8" fillId="0" borderId="7" xfId="5" applyNumberFormat="1" applyFont="1" applyBorder="1" applyAlignment="1">
      <alignment horizontal="center" vertical="center"/>
    </xf>
    <xf numFmtId="17" fontId="8" fillId="0" borderId="0" xfId="5" applyNumberFormat="1" applyFont="1" applyAlignment="1">
      <alignment horizontal="center" vertical="center"/>
    </xf>
    <xf numFmtId="17" fontId="8" fillId="0" borderId="8" xfId="5" applyNumberFormat="1" applyFont="1" applyBorder="1" applyAlignment="1">
      <alignment horizontal="center" vertical="center"/>
    </xf>
    <xf numFmtId="17" fontId="8" fillId="0" borderId="5" xfId="5" applyNumberFormat="1" applyFont="1" applyBorder="1" applyAlignment="1">
      <alignment horizontal="center" vertical="center"/>
    </xf>
    <xf numFmtId="0" fontId="5" fillId="4" borderId="2" xfId="5" applyFont="1" applyFill="1" applyBorder="1" applyAlignment="1">
      <alignment horizontal="center" vertical="center"/>
    </xf>
    <xf numFmtId="0" fontId="5" fillId="4" borderId="8" xfId="5" applyFont="1" applyFill="1" applyBorder="1" applyAlignment="1">
      <alignment horizontal="center" vertical="center"/>
    </xf>
    <xf numFmtId="0" fontId="5" fillId="4" borderId="5" xfId="5" applyFont="1" applyFill="1" applyBorder="1" applyAlignment="1">
      <alignment horizontal="center" vertical="center"/>
    </xf>
    <xf numFmtId="0" fontId="2" fillId="0" borderId="13" xfId="5" applyFont="1" applyBorder="1" applyAlignment="1">
      <alignment horizontal="center"/>
    </xf>
    <xf numFmtId="0" fontId="2" fillId="0" borderId="2" xfId="5" applyFont="1" applyBorder="1" applyAlignment="1">
      <alignment horizontal="center"/>
    </xf>
    <xf numFmtId="0" fontId="16" fillId="0" borderId="1" xfId="5" applyFont="1" applyBorder="1" applyAlignment="1">
      <alignment horizontal="center" vertical="center" wrapText="1"/>
    </xf>
    <xf numFmtId="0" fontId="39" fillId="0" borderId="14" xfId="5" applyFont="1" applyBorder="1" applyAlignment="1">
      <alignment horizontal="center" vertical="center"/>
    </xf>
    <xf numFmtId="0" fontId="39" fillId="0" borderId="9" xfId="5" applyFont="1" applyBorder="1" applyAlignment="1">
      <alignment horizontal="center" vertical="center"/>
    </xf>
    <xf numFmtId="0" fontId="39" fillId="0" borderId="12" xfId="5" applyFont="1" applyBorder="1" applyAlignment="1">
      <alignment horizontal="center" vertical="center"/>
    </xf>
    <xf numFmtId="9" fontId="2" fillId="6" borderId="10" xfId="5" applyNumberFormat="1" applyFont="1" applyFill="1" applyBorder="1" applyAlignment="1">
      <alignment horizontal="center"/>
    </xf>
    <xf numFmtId="0" fontId="2" fillId="6" borderId="10" xfId="5" applyFont="1" applyFill="1" applyBorder="1" applyAlignment="1">
      <alignment horizontal="center"/>
    </xf>
    <xf numFmtId="9" fontId="2" fillId="7" borderId="13" xfId="5" applyNumberFormat="1" applyFont="1" applyFill="1" applyBorder="1" applyAlignment="1">
      <alignment horizontal="center"/>
    </xf>
    <xf numFmtId="0" fontId="2" fillId="7" borderId="2" xfId="5" applyFont="1" applyFill="1" applyBorder="1" applyAlignment="1">
      <alignment horizontal="center"/>
    </xf>
    <xf numFmtId="0" fontId="2" fillId="7" borderId="3" xfId="5" applyFont="1" applyFill="1" applyBorder="1" applyAlignment="1">
      <alignment horizontal="center"/>
    </xf>
  </cellXfs>
  <cellStyles count="13">
    <cellStyle name="Euro" xfId="1" xr:uid="{00000000-0005-0000-0000-000000000000}"/>
    <cellStyle name="Hipervínculo" xfId="2" builtinId="8"/>
    <cellStyle name="Millares 2" xfId="3" xr:uid="{00000000-0005-0000-0000-000002000000}"/>
    <cellStyle name="Moneda 2" xfId="4" xr:uid="{00000000-0005-0000-0000-000003000000}"/>
    <cellStyle name="Normal" xfId="0" builtinId="0"/>
    <cellStyle name="Normal 2" xfId="5" xr:uid="{00000000-0005-0000-0000-000005000000}"/>
    <cellStyle name="Normal 2 2" xfId="6" xr:uid="{00000000-0005-0000-0000-000006000000}"/>
    <cellStyle name="Normal 2 3" xfId="7" xr:uid="{00000000-0005-0000-0000-000007000000}"/>
    <cellStyle name="Normal 3" xfId="8" xr:uid="{00000000-0005-0000-0000-000008000000}"/>
    <cellStyle name="Porcentaje" xfId="10" builtinId="5"/>
    <cellStyle name="Porcentaje 2" xfId="9" xr:uid="{00000000-0005-0000-0000-00000A000000}"/>
    <cellStyle name="Porcentual 2" xfId="11" xr:uid="{00000000-0005-0000-0000-00000B000000}"/>
    <cellStyle name="Porcentual 3" xfId="12" xr:uid="{00000000-0005-0000-0000-00000C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s-CO"/>
              <a:t>Cumplimiento</a:t>
            </a:r>
            <a:r>
              <a:rPr lang="es-CO" baseline="0"/>
              <a:t> Plan Anual de Mantenimiento TI </a:t>
            </a:r>
            <a:endParaRPr lang="es-CO"/>
          </a:p>
        </c:rich>
      </c:tx>
      <c:layout>
        <c:manualLayout>
          <c:xMode val="edge"/>
          <c:yMode val="edge"/>
          <c:x val="0.23161778869083338"/>
          <c:y val="3.7243947858473E-2"/>
        </c:manualLayout>
      </c:layout>
      <c:overlay val="0"/>
      <c:spPr>
        <a:noFill/>
        <a:ln w="25400">
          <a:noFill/>
        </a:ln>
      </c:spPr>
    </c:title>
    <c:autoTitleDeleted val="0"/>
    <c:plotArea>
      <c:layout>
        <c:manualLayout>
          <c:layoutTarget val="inner"/>
          <c:xMode val="edge"/>
          <c:yMode val="edge"/>
          <c:x val="5.7889914970084187E-2"/>
          <c:y val="0.14038925007705222"/>
          <c:w val="0.92903976443925418"/>
          <c:h val="0.71274542346811121"/>
        </c:manualLayout>
      </c:layout>
      <c:lineChart>
        <c:grouping val="standard"/>
        <c:varyColors val="0"/>
        <c:ser>
          <c:idx val="0"/>
          <c:order val="0"/>
          <c:tx>
            <c:strRef>
              <c:f>'Indicador 1'!$B$37</c:f>
              <c:strCache>
                <c:ptCount val="1"/>
                <c:pt idx="0">
                  <c:v>Cond.Satisfactoria</c:v>
                </c:pt>
              </c:strCache>
            </c:strRef>
          </c:tx>
          <c:spPr>
            <a:ln w="28575">
              <a:solidFill>
                <a:srgbClr val="00B050"/>
              </a:solidFill>
            </a:ln>
          </c:spPr>
          <c:marker>
            <c:symbol val="none"/>
          </c:marker>
          <c:cat>
            <c:strRef>
              <c:f>'Indicador 1'!$C$36:$D$36</c:f>
              <c:strCache>
                <c:ptCount val="2"/>
                <c:pt idx="0">
                  <c:v>I SEMESTRE</c:v>
                </c:pt>
                <c:pt idx="1">
                  <c:v>II SEMESTRE</c:v>
                </c:pt>
              </c:strCache>
            </c:strRef>
          </c:cat>
          <c:val>
            <c:numRef>
              <c:f>'Indicador 1'!$C$37:$D$37</c:f>
              <c:numCache>
                <c:formatCode>0%</c:formatCode>
                <c:ptCount val="2"/>
              </c:numCache>
            </c:numRef>
          </c:val>
          <c:smooth val="0"/>
          <c:extLst>
            <c:ext xmlns:c16="http://schemas.microsoft.com/office/drawing/2014/chart" uri="{C3380CC4-5D6E-409C-BE32-E72D297353CC}">
              <c16:uniqueId val="{00000000-CBE0-46E5-823F-6FF68EE9FB47}"/>
            </c:ext>
          </c:extLst>
        </c:ser>
        <c:ser>
          <c:idx val="1"/>
          <c:order val="1"/>
          <c:tx>
            <c:strRef>
              <c:f>'Indicador 1'!$B$38</c:f>
              <c:strCache>
                <c:ptCount val="1"/>
                <c:pt idx="0">
                  <c:v>Cond. Crítica</c:v>
                </c:pt>
              </c:strCache>
            </c:strRef>
          </c:tx>
          <c:marker>
            <c:symbol val="none"/>
          </c:marker>
          <c:cat>
            <c:strRef>
              <c:f>'Indicador 1'!$C$36:$D$36</c:f>
              <c:strCache>
                <c:ptCount val="2"/>
                <c:pt idx="0">
                  <c:v>I SEMESTRE</c:v>
                </c:pt>
                <c:pt idx="1">
                  <c:v>II SEMESTRE</c:v>
                </c:pt>
              </c:strCache>
            </c:strRef>
          </c:cat>
          <c:val>
            <c:numRef>
              <c:f>'Indicador 1'!$C$38:$D$38</c:f>
              <c:numCache>
                <c:formatCode>0%</c:formatCode>
                <c:ptCount val="2"/>
              </c:numCache>
            </c:numRef>
          </c:val>
          <c:smooth val="0"/>
          <c:extLst>
            <c:ext xmlns:c16="http://schemas.microsoft.com/office/drawing/2014/chart" uri="{C3380CC4-5D6E-409C-BE32-E72D297353CC}">
              <c16:uniqueId val="{00000001-CBE0-46E5-823F-6FF68EE9FB47}"/>
            </c:ext>
          </c:extLst>
        </c:ser>
        <c:ser>
          <c:idx val="2"/>
          <c:order val="2"/>
          <c:tx>
            <c:strRef>
              <c:f>'Indicador 1'!$B$39</c:f>
              <c:strCache>
                <c:ptCount val="1"/>
                <c:pt idx="0">
                  <c:v>Resultado</c:v>
                </c:pt>
              </c:strCache>
            </c:strRef>
          </c:tx>
          <c:spPr>
            <a:ln w="47625">
              <a:solidFill>
                <a:srgbClr val="FFC000"/>
              </a:solidFill>
            </a:ln>
          </c:spPr>
          <c:marker>
            <c:symbol val="diamond"/>
            <c:size val="10"/>
            <c:spPr>
              <a:solidFill>
                <a:srgbClr val="FFC000"/>
              </a:solidFill>
            </c:spPr>
          </c:marker>
          <c:dLbls>
            <c:spPr>
              <a:noFill/>
              <a:ln w="25400">
                <a:noFill/>
              </a:ln>
            </c:spPr>
            <c:txPr>
              <a:bodyPr wrap="square" lIns="38100" tIns="19050" rIns="38100" bIns="19050" anchor="ctr">
                <a:spAutoFit/>
              </a:bodyPr>
              <a:lstStyle/>
              <a:p>
                <a:pPr>
                  <a:defRPr sz="1000" b="1"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'Indicador 1'!$C$36:$D$36</c:f>
              <c:strCache>
                <c:ptCount val="2"/>
                <c:pt idx="0">
                  <c:v>I SEMESTRE</c:v>
                </c:pt>
                <c:pt idx="1">
                  <c:v>II SEMESTRE</c:v>
                </c:pt>
              </c:strCache>
            </c:strRef>
          </c:cat>
          <c:val>
            <c:numRef>
              <c:f>'Indicador 1'!$C$39:$D$39</c:f>
              <c:numCache>
                <c:formatCode>0.00%</c:formatCode>
                <c:ptCount val="2"/>
                <c:pt idx="0">
                  <c:v>1</c:v>
                </c:pt>
              </c:numCache>
            </c:numRef>
          </c:val>
          <c:smooth val="0"/>
          <c:extLst>
            <c:ext xmlns:c16="http://schemas.microsoft.com/office/drawing/2014/chart" uri="{C3380CC4-5D6E-409C-BE32-E72D297353CC}">
              <c16:uniqueId val="{00000002-CBE0-46E5-823F-6FF68EE9FB47}"/>
            </c:ext>
          </c:extLst>
        </c:ser>
        <c:dLbls>
          <c:showLegendKey val="0"/>
          <c:showVal val="0"/>
          <c:showCatName val="0"/>
          <c:showSerName val="0"/>
          <c:showPercent val="0"/>
          <c:showBubbleSize val="0"/>
        </c:dLbls>
        <c:smooth val="0"/>
        <c:axId val="378214352"/>
        <c:axId val="378218664"/>
      </c:lineChart>
      <c:catAx>
        <c:axId val="378214352"/>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378218664"/>
        <c:crosses val="autoZero"/>
        <c:auto val="1"/>
        <c:lblAlgn val="ctr"/>
        <c:lblOffset val="100"/>
        <c:noMultiLvlLbl val="0"/>
      </c:catAx>
      <c:valAx>
        <c:axId val="378218664"/>
        <c:scaling>
          <c:orientation val="minMax"/>
        </c:scaling>
        <c:delete val="0"/>
        <c:axPos val="l"/>
        <c:majorGridlines/>
        <c:numFmt formatCode="0%" sourceLinked="1"/>
        <c:majorTickMark val="none"/>
        <c:minorTickMark val="none"/>
        <c:tickLblPos val="nextTo"/>
        <c:spPr>
          <a:ln w="9525">
            <a:noFill/>
          </a:ln>
        </c:spPr>
        <c:txPr>
          <a:bodyPr rot="0" vert="horz"/>
          <a:lstStyle/>
          <a:p>
            <a:pPr>
              <a:defRPr sz="1000" b="0" i="0" u="none" strike="noStrike" baseline="0">
                <a:solidFill>
                  <a:srgbClr val="000000"/>
                </a:solidFill>
                <a:latin typeface="Calibri"/>
                <a:ea typeface="Calibri"/>
                <a:cs typeface="Calibri"/>
              </a:defRPr>
            </a:pPr>
            <a:endParaRPr lang="es-CO"/>
          </a:p>
        </c:txPr>
        <c:crossAx val="378214352"/>
        <c:crosses val="autoZero"/>
        <c:crossBetween val="between"/>
      </c:valAx>
    </c:plotArea>
    <c:legend>
      <c:legendPos val="r"/>
      <c:layout>
        <c:manualLayout>
          <c:xMode val="edge"/>
          <c:yMode val="edge"/>
          <c:x val="0.26196985743127077"/>
          <c:y val="0.92461158703815916"/>
          <c:w val="0.47369892028668137"/>
          <c:h val="6.7041323531467731E-2"/>
        </c:manualLayout>
      </c:layout>
      <c:overlay val="0"/>
      <c:txPr>
        <a:bodyPr/>
        <a:lstStyle/>
        <a:p>
          <a:pPr>
            <a:defRPr sz="800" b="1" i="0" u="none" strike="noStrike" baseline="0">
              <a:solidFill>
                <a:srgbClr val="000000"/>
              </a:solidFill>
              <a:latin typeface="Calibri"/>
              <a:ea typeface="Calibri"/>
              <a:cs typeface="Calibri"/>
            </a:defRPr>
          </a:pPr>
          <a:endParaRPr lang="es-CO"/>
        </a:p>
      </c:txPr>
    </c:legend>
    <c:plotVisOnly val="1"/>
    <c:dispBlanksAs val="gap"/>
    <c:showDLblsOverMax val="0"/>
  </c:chart>
  <c:spPr>
    <a:solidFill>
      <a:schemeClr val="bg1">
        <a:lumMod val="95000"/>
      </a:schemeClr>
    </a:solidFill>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044" l="0.7000000000000004" r="0.7000000000000004" t="0.75000000000000044" header="0.30000000000000021" footer="0.3000000000000002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CO" b="1"/>
              <a:t>MANTENIMIENTO</a:t>
            </a:r>
            <a:r>
              <a:rPr lang="es-CO" b="1" baseline="0"/>
              <a:t> EJECUTADO VS PLANIFICADO</a:t>
            </a:r>
            <a:endParaRPr lang="es-CO"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'Indicador 1'!$C$68</c:f>
              <c:strCache>
                <c:ptCount val="1"/>
                <c:pt idx="0">
                  <c:v>N° de mantenimiento  ejecutado</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 1'!$B$69:$B$72</c:f>
              <c:strCache>
                <c:ptCount val="3"/>
                <c:pt idx="0">
                  <c:v>I SEMESTRE</c:v>
                </c:pt>
                <c:pt idx="2">
                  <c:v>II SEMESTRE</c:v>
                </c:pt>
              </c:strCache>
            </c:strRef>
          </c:cat>
          <c:val>
            <c:numRef>
              <c:f>'Indicador 1'!$C$69:$C$72</c:f>
              <c:numCache>
                <c:formatCode>General</c:formatCode>
                <c:ptCount val="4"/>
                <c:pt idx="0">
                  <c:v>30</c:v>
                </c:pt>
              </c:numCache>
            </c:numRef>
          </c:val>
          <c:extLst>
            <c:ext xmlns:c16="http://schemas.microsoft.com/office/drawing/2014/chart" uri="{C3380CC4-5D6E-409C-BE32-E72D297353CC}">
              <c16:uniqueId val="{00000000-ECC6-4903-9C7F-413F26CC5BEB}"/>
            </c:ext>
          </c:extLst>
        </c:ser>
        <c:ser>
          <c:idx val="1"/>
          <c:order val="1"/>
          <c:tx>
            <c:strRef>
              <c:f>'Indicador 1'!$D$68</c:f>
              <c:strCache>
                <c:ptCount val="1"/>
                <c:pt idx="0">
                  <c:v>N° de Mantenimientos planificados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 1'!$B$69:$B$72</c:f>
              <c:strCache>
                <c:ptCount val="3"/>
                <c:pt idx="0">
                  <c:v>I SEMESTRE</c:v>
                </c:pt>
                <c:pt idx="2">
                  <c:v>II SEMESTRE</c:v>
                </c:pt>
              </c:strCache>
            </c:strRef>
          </c:cat>
          <c:val>
            <c:numRef>
              <c:f>'Indicador 1'!$D$69:$D$72</c:f>
              <c:numCache>
                <c:formatCode>General</c:formatCode>
                <c:ptCount val="4"/>
                <c:pt idx="0">
                  <c:v>30</c:v>
                </c:pt>
              </c:numCache>
            </c:numRef>
          </c:val>
          <c:extLst xmlns:c15="http://schemas.microsoft.com/office/drawing/2012/chart">
            <c:ext xmlns:c16="http://schemas.microsoft.com/office/drawing/2014/chart" uri="{C3380CC4-5D6E-409C-BE32-E72D297353CC}">
              <c16:uniqueId val="{00000003-ECC6-4903-9C7F-413F26CC5BEB}"/>
            </c:ext>
          </c:extLst>
        </c:ser>
        <c:dLbls>
          <c:showLegendKey val="0"/>
          <c:showVal val="0"/>
          <c:showCatName val="0"/>
          <c:showSerName val="0"/>
          <c:showPercent val="0"/>
          <c:showBubbleSize val="0"/>
        </c:dLbls>
        <c:gapWidth val="219"/>
        <c:axId val="378212784"/>
        <c:axId val="378211608"/>
        <c:extLst/>
      </c:barChart>
      <c:lineChart>
        <c:grouping val="standard"/>
        <c:varyColors val="0"/>
        <c:ser>
          <c:idx val="2"/>
          <c:order val="2"/>
          <c:tx>
            <c:strRef>
              <c:f>'Indicador 1'!$E$68</c:f>
              <c:strCache>
                <c:ptCount val="1"/>
                <c:pt idx="0">
                  <c:v>% de Cumplimiento</c:v>
                </c:pt>
              </c:strCache>
            </c:strRef>
          </c:tx>
          <c:spPr>
            <a:ln w="28575" cap="rnd">
              <a:solidFill>
                <a:schemeClr val="accent3"/>
              </a:solidFill>
              <a:round/>
            </a:ln>
            <a:effectLst/>
          </c:spPr>
          <c:marker>
            <c:symbol val="none"/>
          </c:marker>
          <c:dLbls>
            <c:dLbl>
              <c:idx val="0"/>
              <c:layout>
                <c:manualLayout>
                  <c:x val="-1.225584018127065E-2"/>
                  <c:y val="0.121068699146379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69C-435D-ACC0-56F643F595E4}"/>
                </c:ext>
              </c:extLst>
            </c:dLbl>
            <c:dLbl>
              <c:idx val="4"/>
              <c:layout>
                <c:manualLayout>
                  <c:x val="-2.9735827775704892E-2"/>
                  <c:y val="-0.392262585234270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C84-4FEC-B4EA-2B3BB0DD0A0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 1'!$B$69:$B$72</c:f>
              <c:strCache>
                <c:ptCount val="3"/>
                <c:pt idx="0">
                  <c:v>I SEMESTRE</c:v>
                </c:pt>
                <c:pt idx="2">
                  <c:v>II SEMESTRE</c:v>
                </c:pt>
              </c:strCache>
            </c:strRef>
          </c:cat>
          <c:val>
            <c:numRef>
              <c:f>'Indicador 1'!$E$69:$E$72</c:f>
              <c:numCache>
                <c:formatCode>0%</c:formatCode>
                <c:ptCount val="4"/>
                <c:pt idx="0">
                  <c:v>1</c:v>
                </c:pt>
              </c:numCache>
            </c:numRef>
          </c:val>
          <c:smooth val="0"/>
          <c:extLst>
            <c:ext xmlns:c16="http://schemas.microsoft.com/office/drawing/2014/chart" uri="{C3380CC4-5D6E-409C-BE32-E72D297353CC}">
              <c16:uniqueId val="{00000001-ECC6-4903-9C7F-413F26CC5BEB}"/>
            </c:ext>
          </c:extLst>
        </c:ser>
        <c:dLbls>
          <c:showLegendKey val="0"/>
          <c:showVal val="0"/>
          <c:showCatName val="0"/>
          <c:showSerName val="0"/>
          <c:showPercent val="0"/>
          <c:showBubbleSize val="0"/>
        </c:dLbls>
        <c:marker val="1"/>
        <c:smooth val="0"/>
        <c:axId val="434511120"/>
        <c:axId val="378214744"/>
      </c:lineChart>
      <c:catAx>
        <c:axId val="37821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378211608"/>
        <c:crosses val="autoZero"/>
        <c:auto val="1"/>
        <c:lblAlgn val="ctr"/>
        <c:lblOffset val="100"/>
        <c:noMultiLvlLbl val="0"/>
      </c:catAx>
      <c:valAx>
        <c:axId val="378211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78212784"/>
        <c:crosses val="autoZero"/>
        <c:crossBetween val="between"/>
      </c:valAx>
      <c:valAx>
        <c:axId val="3782147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4511120"/>
        <c:crosses val="max"/>
        <c:crossBetween val="between"/>
      </c:valAx>
      <c:catAx>
        <c:axId val="434511120"/>
        <c:scaling>
          <c:orientation val="minMax"/>
        </c:scaling>
        <c:delete val="1"/>
        <c:axPos val="b"/>
        <c:numFmt formatCode="General" sourceLinked="1"/>
        <c:majorTickMark val="out"/>
        <c:minorTickMark val="none"/>
        <c:tickLblPos val="nextTo"/>
        <c:crossAx val="378214744"/>
        <c:crosses val="autoZero"/>
        <c:auto val="1"/>
        <c:lblAlgn val="ctr"/>
        <c:lblOffset val="100"/>
        <c:noMultiLvlLbl val="0"/>
      </c:catAx>
      <c:spPr>
        <a:solidFill>
          <a:sysClr val="window" lastClr="FFFFFF"/>
        </a:solid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s-CO"/>
              <a:t>Incidencias TI gestionadas Oportunamente</a:t>
            </a:r>
            <a:endParaRPr lang="es-CO" baseline="0"/>
          </a:p>
        </c:rich>
      </c:tx>
      <c:overlay val="0"/>
      <c:spPr>
        <a:noFill/>
        <a:ln w="25400">
          <a:noFill/>
        </a:ln>
      </c:spPr>
    </c:title>
    <c:autoTitleDeleted val="0"/>
    <c:plotArea>
      <c:layout>
        <c:manualLayout>
          <c:layoutTarget val="inner"/>
          <c:xMode val="edge"/>
          <c:yMode val="edge"/>
          <c:x val="5.7889914970084187E-2"/>
          <c:y val="0.14038925007705222"/>
          <c:w val="0.92903976443925418"/>
          <c:h val="0.71274542346811121"/>
        </c:manualLayout>
      </c:layout>
      <c:lineChart>
        <c:grouping val="standard"/>
        <c:varyColors val="0"/>
        <c:ser>
          <c:idx val="0"/>
          <c:order val="0"/>
          <c:tx>
            <c:strRef>
              <c:f>'Indicador 2'!$B$38</c:f>
              <c:strCache>
                <c:ptCount val="1"/>
                <c:pt idx="0">
                  <c:v>Cond.Satisfactoria</c:v>
                </c:pt>
              </c:strCache>
            </c:strRef>
          </c:tx>
          <c:spPr>
            <a:ln w="28575">
              <a:solidFill>
                <a:srgbClr val="00B050"/>
              </a:solidFill>
            </a:ln>
          </c:spPr>
          <c:marker>
            <c:symbol val="none"/>
          </c:marker>
          <c:cat>
            <c:strRef>
              <c:f>'Indicador 2'!$C$37:$F$37</c:f>
              <c:strCache>
                <c:ptCount val="3"/>
                <c:pt idx="0">
                  <c:v>I CUATRIMESTRE</c:v>
                </c:pt>
                <c:pt idx="1">
                  <c:v>IICUATRIMESTRE</c:v>
                </c:pt>
                <c:pt idx="2">
                  <c:v>III CUATRIMESTRE</c:v>
                </c:pt>
              </c:strCache>
            </c:strRef>
          </c:cat>
          <c:val>
            <c:numRef>
              <c:f>'Indicador 2'!$C$38:$F$38</c:f>
              <c:numCache>
                <c:formatCode>0%</c:formatCode>
                <c:ptCount val="4"/>
              </c:numCache>
            </c:numRef>
          </c:val>
          <c:smooth val="0"/>
          <c:extLst>
            <c:ext xmlns:c16="http://schemas.microsoft.com/office/drawing/2014/chart" uri="{C3380CC4-5D6E-409C-BE32-E72D297353CC}">
              <c16:uniqueId val="{00000000-9D6E-44BD-9847-96E70BF604E3}"/>
            </c:ext>
          </c:extLst>
        </c:ser>
        <c:ser>
          <c:idx val="1"/>
          <c:order val="1"/>
          <c:tx>
            <c:strRef>
              <c:f>'Indicador 2'!$B$39</c:f>
              <c:strCache>
                <c:ptCount val="1"/>
                <c:pt idx="0">
                  <c:v>Cond. Crítica</c:v>
                </c:pt>
              </c:strCache>
            </c:strRef>
          </c:tx>
          <c:marker>
            <c:symbol val="none"/>
          </c:marker>
          <c:cat>
            <c:strRef>
              <c:f>'Indicador 2'!$C$37:$F$37</c:f>
              <c:strCache>
                <c:ptCount val="3"/>
                <c:pt idx="0">
                  <c:v>I CUATRIMESTRE</c:v>
                </c:pt>
                <c:pt idx="1">
                  <c:v>IICUATRIMESTRE</c:v>
                </c:pt>
                <c:pt idx="2">
                  <c:v>III CUATRIMESTRE</c:v>
                </c:pt>
              </c:strCache>
            </c:strRef>
          </c:cat>
          <c:val>
            <c:numRef>
              <c:f>'Indicador 2'!$C$39:$F$39</c:f>
              <c:numCache>
                <c:formatCode>0%</c:formatCode>
                <c:ptCount val="4"/>
              </c:numCache>
            </c:numRef>
          </c:val>
          <c:smooth val="0"/>
          <c:extLst>
            <c:ext xmlns:c16="http://schemas.microsoft.com/office/drawing/2014/chart" uri="{C3380CC4-5D6E-409C-BE32-E72D297353CC}">
              <c16:uniqueId val="{00000001-9D6E-44BD-9847-96E70BF604E3}"/>
            </c:ext>
          </c:extLst>
        </c:ser>
        <c:ser>
          <c:idx val="2"/>
          <c:order val="2"/>
          <c:tx>
            <c:strRef>
              <c:f>'Indicador 2'!$B$40</c:f>
              <c:strCache>
                <c:ptCount val="1"/>
                <c:pt idx="0">
                  <c:v>Resultado</c:v>
                </c:pt>
              </c:strCache>
            </c:strRef>
          </c:tx>
          <c:spPr>
            <a:ln w="47625">
              <a:solidFill>
                <a:srgbClr val="FFC000"/>
              </a:solidFill>
            </a:ln>
          </c:spPr>
          <c:marker>
            <c:symbol val="diamond"/>
            <c:size val="10"/>
            <c:spPr>
              <a:solidFill>
                <a:srgbClr val="FFC000"/>
              </a:solidFill>
            </c:spPr>
          </c:marker>
          <c:dLbls>
            <c:spPr>
              <a:noFill/>
              <a:ln w="25400">
                <a:noFill/>
              </a:ln>
            </c:spPr>
            <c:txPr>
              <a:bodyPr wrap="square" lIns="38100" tIns="19050" rIns="38100" bIns="19050" anchor="ctr">
                <a:spAutoFit/>
              </a:bodyPr>
              <a:lstStyle/>
              <a:p>
                <a:pPr>
                  <a:defRPr sz="1000" b="1"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'Indicador 2'!$C$37:$F$37</c:f>
              <c:strCache>
                <c:ptCount val="3"/>
                <c:pt idx="0">
                  <c:v>I CUATRIMESTRE</c:v>
                </c:pt>
                <c:pt idx="1">
                  <c:v>IICUATRIMESTRE</c:v>
                </c:pt>
                <c:pt idx="2">
                  <c:v>III CUATRIMESTRE</c:v>
                </c:pt>
              </c:strCache>
            </c:strRef>
          </c:cat>
          <c:val>
            <c:numRef>
              <c:f>'Indicador 2'!$C$40:$F$40</c:f>
              <c:numCache>
                <c:formatCode>0.00%</c:formatCode>
                <c:ptCount val="4"/>
                <c:pt idx="0">
                  <c:v>1</c:v>
                </c:pt>
                <c:pt idx="1">
                  <c:v>1</c:v>
                </c:pt>
              </c:numCache>
            </c:numRef>
          </c:val>
          <c:smooth val="0"/>
          <c:extLst>
            <c:ext xmlns:c16="http://schemas.microsoft.com/office/drawing/2014/chart" uri="{C3380CC4-5D6E-409C-BE32-E72D297353CC}">
              <c16:uniqueId val="{00000002-9D6E-44BD-9847-96E70BF604E3}"/>
            </c:ext>
          </c:extLst>
        </c:ser>
        <c:dLbls>
          <c:showLegendKey val="0"/>
          <c:showVal val="0"/>
          <c:showCatName val="0"/>
          <c:showSerName val="0"/>
          <c:showPercent val="0"/>
          <c:showBubbleSize val="0"/>
        </c:dLbls>
        <c:smooth val="0"/>
        <c:axId val="434509160"/>
        <c:axId val="434515824"/>
      </c:lineChart>
      <c:catAx>
        <c:axId val="434509160"/>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434515824"/>
        <c:crosses val="autoZero"/>
        <c:auto val="1"/>
        <c:lblAlgn val="ctr"/>
        <c:lblOffset val="100"/>
        <c:noMultiLvlLbl val="0"/>
      </c:catAx>
      <c:valAx>
        <c:axId val="434515824"/>
        <c:scaling>
          <c:orientation val="minMax"/>
        </c:scaling>
        <c:delete val="0"/>
        <c:axPos val="l"/>
        <c:majorGridlines/>
        <c:numFmt formatCode="0%" sourceLinked="1"/>
        <c:majorTickMark val="none"/>
        <c:minorTickMark val="none"/>
        <c:tickLblPos val="nextTo"/>
        <c:spPr>
          <a:ln w="9525">
            <a:noFill/>
          </a:ln>
        </c:spPr>
        <c:txPr>
          <a:bodyPr rot="0" vert="horz"/>
          <a:lstStyle/>
          <a:p>
            <a:pPr>
              <a:defRPr sz="1000" b="0" i="0" u="none" strike="noStrike" baseline="0">
                <a:solidFill>
                  <a:srgbClr val="000000"/>
                </a:solidFill>
                <a:latin typeface="Calibri"/>
                <a:ea typeface="Calibri"/>
                <a:cs typeface="Calibri"/>
              </a:defRPr>
            </a:pPr>
            <a:endParaRPr lang="es-CO"/>
          </a:p>
        </c:txPr>
        <c:crossAx val="434509160"/>
        <c:crosses val="autoZero"/>
        <c:crossBetween val="between"/>
      </c:valAx>
    </c:plotArea>
    <c:legend>
      <c:legendPos val="r"/>
      <c:layout>
        <c:manualLayout>
          <c:xMode val="edge"/>
          <c:yMode val="edge"/>
          <c:x val="0.26196985743127077"/>
          <c:y val="0.92461158703815916"/>
          <c:w val="0.47369892028668137"/>
          <c:h val="6.7041323531467731E-2"/>
        </c:manualLayout>
      </c:layout>
      <c:overlay val="0"/>
      <c:txPr>
        <a:bodyPr/>
        <a:lstStyle/>
        <a:p>
          <a:pPr>
            <a:defRPr sz="800" b="1" i="0" u="none" strike="noStrike" baseline="0">
              <a:solidFill>
                <a:srgbClr val="000000"/>
              </a:solidFill>
              <a:latin typeface="Calibri"/>
              <a:ea typeface="Calibri"/>
              <a:cs typeface="Calibri"/>
            </a:defRPr>
          </a:pPr>
          <a:endParaRPr lang="es-CO"/>
        </a:p>
      </c:txPr>
    </c:legend>
    <c:plotVisOnly val="1"/>
    <c:dispBlanksAs val="gap"/>
    <c:showDLblsOverMax val="0"/>
  </c:chart>
  <c:spPr>
    <a:solidFill>
      <a:schemeClr val="bg1">
        <a:lumMod val="95000"/>
      </a:schemeClr>
    </a:solidFill>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044" l="0.7000000000000004" r="0.7000000000000004" t="0.75000000000000044" header="0.30000000000000021" footer="0.3000000000000002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CO" b="1"/>
              <a:t>INCIDENCIAS</a:t>
            </a:r>
            <a:r>
              <a:rPr lang="es-CO" b="1" baseline="0"/>
              <a:t> GESTIONADAS OPORTUNDAMENTE VS INCIDENCIAS REPORTADAS</a:t>
            </a:r>
            <a:endParaRPr lang="es-CO"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'Indicador 2'!$C$66</c:f>
              <c:strCache>
                <c:ptCount val="1"/>
                <c:pt idx="0">
                  <c:v>N° de Incidencias gestionadas oportunamente</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 2'!$B$67:$B$78</c:f>
              <c:strCache>
                <c:ptCount val="12"/>
                <c:pt idx="0">
                  <c:v>Enero</c:v>
                </c:pt>
                <c:pt idx="1">
                  <c:v>Feb</c:v>
                </c:pt>
                <c:pt idx="2">
                  <c:v>Mar</c:v>
                </c:pt>
                <c:pt idx="3">
                  <c:v>Abr</c:v>
                </c:pt>
                <c:pt idx="4">
                  <c:v>May</c:v>
                </c:pt>
                <c:pt idx="5">
                  <c:v>Jun</c:v>
                </c:pt>
                <c:pt idx="6">
                  <c:v>Jul</c:v>
                </c:pt>
                <c:pt idx="7">
                  <c:v>Ago</c:v>
                </c:pt>
                <c:pt idx="8">
                  <c:v>Sep</c:v>
                </c:pt>
                <c:pt idx="9">
                  <c:v>Oct</c:v>
                </c:pt>
                <c:pt idx="10">
                  <c:v>Nov</c:v>
                </c:pt>
                <c:pt idx="11">
                  <c:v>Dic</c:v>
                </c:pt>
              </c:strCache>
            </c:strRef>
          </c:cat>
          <c:val>
            <c:numRef>
              <c:f>'Indicador 2'!$C$67:$C$78</c:f>
              <c:numCache>
                <c:formatCode>General</c:formatCode>
                <c:ptCount val="12"/>
                <c:pt idx="0">
                  <c:v>0</c:v>
                </c:pt>
                <c:pt idx="1">
                  <c:v>26</c:v>
                </c:pt>
                <c:pt idx="2">
                  <c:v>10</c:v>
                </c:pt>
                <c:pt idx="3">
                  <c:v>13</c:v>
                </c:pt>
                <c:pt idx="4">
                  <c:v>11</c:v>
                </c:pt>
                <c:pt idx="5">
                  <c:v>14</c:v>
                </c:pt>
                <c:pt idx="6">
                  <c:v>12</c:v>
                </c:pt>
                <c:pt idx="7">
                  <c:v>13</c:v>
                </c:pt>
              </c:numCache>
            </c:numRef>
          </c:val>
          <c:extLst>
            <c:ext xmlns:c16="http://schemas.microsoft.com/office/drawing/2014/chart" uri="{C3380CC4-5D6E-409C-BE32-E72D297353CC}">
              <c16:uniqueId val="{00000000-8194-462E-A7EA-A9F2D4D84C83}"/>
            </c:ext>
          </c:extLst>
        </c:ser>
        <c:ser>
          <c:idx val="1"/>
          <c:order val="1"/>
          <c:tx>
            <c:strRef>
              <c:f>'Indicador 2'!$D$66</c:f>
              <c:strCache>
                <c:ptCount val="1"/>
                <c:pt idx="0">
                  <c:v>N° de Incidencias reportadas</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 2'!$B$67:$B$78</c:f>
              <c:strCache>
                <c:ptCount val="12"/>
                <c:pt idx="0">
                  <c:v>Enero</c:v>
                </c:pt>
                <c:pt idx="1">
                  <c:v>Feb</c:v>
                </c:pt>
                <c:pt idx="2">
                  <c:v>Mar</c:v>
                </c:pt>
                <c:pt idx="3">
                  <c:v>Abr</c:v>
                </c:pt>
                <c:pt idx="4">
                  <c:v>May</c:v>
                </c:pt>
                <c:pt idx="5">
                  <c:v>Jun</c:v>
                </c:pt>
                <c:pt idx="6">
                  <c:v>Jul</c:v>
                </c:pt>
                <c:pt idx="7">
                  <c:v>Ago</c:v>
                </c:pt>
                <c:pt idx="8">
                  <c:v>Sep</c:v>
                </c:pt>
                <c:pt idx="9">
                  <c:v>Oct</c:v>
                </c:pt>
                <c:pt idx="10">
                  <c:v>Nov</c:v>
                </c:pt>
                <c:pt idx="11">
                  <c:v>Dic</c:v>
                </c:pt>
              </c:strCache>
            </c:strRef>
          </c:cat>
          <c:val>
            <c:numRef>
              <c:f>'Indicador 2'!$D$67:$D$78</c:f>
              <c:numCache>
                <c:formatCode>General</c:formatCode>
                <c:ptCount val="12"/>
                <c:pt idx="0">
                  <c:v>0</c:v>
                </c:pt>
                <c:pt idx="1">
                  <c:v>26</c:v>
                </c:pt>
                <c:pt idx="2">
                  <c:v>10</c:v>
                </c:pt>
                <c:pt idx="3">
                  <c:v>13</c:v>
                </c:pt>
                <c:pt idx="4">
                  <c:v>11</c:v>
                </c:pt>
                <c:pt idx="5">
                  <c:v>14</c:v>
                </c:pt>
                <c:pt idx="6">
                  <c:v>12</c:v>
                </c:pt>
                <c:pt idx="7">
                  <c:v>13</c:v>
                </c:pt>
              </c:numCache>
            </c:numRef>
          </c:val>
          <c:extLst>
            <c:ext xmlns:c16="http://schemas.microsoft.com/office/drawing/2014/chart" uri="{C3380CC4-5D6E-409C-BE32-E72D297353CC}">
              <c16:uniqueId val="{00000003-8194-462E-A7EA-A9F2D4D84C83}"/>
            </c:ext>
          </c:extLst>
        </c:ser>
        <c:dLbls>
          <c:showLegendKey val="0"/>
          <c:showVal val="0"/>
          <c:showCatName val="0"/>
          <c:showSerName val="0"/>
          <c:showPercent val="0"/>
          <c:showBubbleSize val="0"/>
        </c:dLbls>
        <c:gapWidth val="219"/>
        <c:axId val="434511512"/>
        <c:axId val="434514648"/>
        <c:extLst/>
      </c:barChart>
      <c:lineChart>
        <c:grouping val="standard"/>
        <c:varyColors val="0"/>
        <c:ser>
          <c:idx val="2"/>
          <c:order val="2"/>
          <c:tx>
            <c:strRef>
              <c:f>'Indicador 2'!$E$66</c:f>
              <c:strCache>
                <c:ptCount val="1"/>
                <c:pt idx="0">
                  <c:v>% de Cumplimiento</c:v>
                </c:pt>
              </c:strCache>
            </c:strRef>
          </c:tx>
          <c:spPr>
            <a:ln w="28575" cap="rnd">
              <a:solidFill>
                <a:srgbClr val="00B05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 2'!$B$67:$B$78</c:f>
              <c:strCache>
                <c:ptCount val="12"/>
                <c:pt idx="0">
                  <c:v>Enero</c:v>
                </c:pt>
                <c:pt idx="1">
                  <c:v>Feb</c:v>
                </c:pt>
                <c:pt idx="2">
                  <c:v>Mar</c:v>
                </c:pt>
                <c:pt idx="3">
                  <c:v>Abr</c:v>
                </c:pt>
                <c:pt idx="4">
                  <c:v>May</c:v>
                </c:pt>
                <c:pt idx="5">
                  <c:v>Jun</c:v>
                </c:pt>
                <c:pt idx="6">
                  <c:v>Jul</c:v>
                </c:pt>
                <c:pt idx="7">
                  <c:v>Ago</c:v>
                </c:pt>
                <c:pt idx="8">
                  <c:v>Sep</c:v>
                </c:pt>
                <c:pt idx="9">
                  <c:v>Oct</c:v>
                </c:pt>
                <c:pt idx="10">
                  <c:v>Nov</c:v>
                </c:pt>
                <c:pt idx="11">
                  <c:v>Dic</c:v>
                </c:pt>
              </c:strCache>
            </c:strRef>
          </c:cat>
          <c:val>
            <c:numRef>
              <c:f>'Indicador 2'!$E$67:$E$78</c:f>
              <c:numCache>
                <c:formatCode>0%</c:formatCode>
                <c:ptCount val="12"/>
                <c:pt idx="0">
                  <c:v>1</c:v>
                </c:pt>
                <c:pt idx="1">
                  <c:v>1</c:v>
                </c:pt>
                <c:pt idx="2">
                  <c:v>1</c:v>
                </c:pt>
                <c:pt idx="3">
                  <c:v>1</c:v>
                </c:pt>
                <c:pt idx="4">
                  <c:v>1</c:v>
                </c:pt>
                <c:pt idx="5">
                  <c:v>1</c:v>
                </c:pt>
                <c:pt idx="6">
                  <c:v>1</c:v>
                </c:pt>
                <c:pt idx="7">
                  <c:v>1</c:v>
                </c:pt>
              </c:numCache>
            </c:numRef>
          </c:val>
          <c:smooth val="0"/>
          <c:extLst>
            <c:ext xmlns:c16="http://schemas.microsoft.com/office/drawing/2014/chart" uri="{C3380CC4-5D6E-409C-BE32-E72D297353CC}">
              <c16:uniqueId val="{00000001-8194-462E-A7EA-A9F2D4D84C83}"/>
            </c:ext>
          </c:extLst>
        </c:ser>
        <c:dLbls>
          <c:showLegendKey val="0"/>
          <c:showVal val="0"/>
          <c:showCatName val="0"/>
          <c:showSerName val="0"/>
          <c:showPercent val="0"/>
          <c:showBubbleSize val="0"/>
        </c:dLbls>
        <c:marker val="1"/>
        <c:smooth val="0"/>
        <c:axId val="434515432"/>
        <c:axId val="434515040"/>
      </c:lineChart>
      <c:catAx>
        <c:axId val="434511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434514648"/>
        <c:crosses val="autoZero"/>
        <c:auto val="1"/>
        <c:lblAlgn val="ctr"/>
        <c:lblOffset val="100"/>
        <c:noMultiLvlLbl val="0"/>
      </c:catAx>
      <c:valAx>
        <c:axId val="434514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4511512"/>
        <c:crosses val="autoZero"/>
        <c:crossBetween val="between"/>
      </c:valAx>
      <c:valAx>
        <c:axId val="43451504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4515432"/>
        <c:crosses val="max"/>
        <c:crossBetween val="between"/>
      </c:valAx>
      <c:catAx>
        <c:axId val="434515432"/>
        <c:scaling>
          <c:orientation val="minMax"/>
        </c:scaling>
        <c:delete val="1"/>
        <c:axPos val="b"/>
        <c:numFmt formatCode="General" sourceLinked="1"/>
        <c:majorTickMark val="out"/>
        <c:minorTickMark val="none"/>
        <c:tickLblPos val="nextTo"/>
        <c:crossAx val="434515040"/>
        <c:crosses val="autoZero"/>
        <c:auto val="1"/>
        <c:lblAlgn val="ctr"/>
        <c:lblOffset val="100"/>
        <c:noMultiLvlLbl val="0"/>
      </c:catAx>
      <c:spPr>
        <a:solidFill>
          <a:sysClr val="window" lastClr="FFFFFF"/>
        </a:solid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s-CO"/>
              <a:t>Cumplimiento de la ejecución del PETI</a:t>
            </a:r>
            <a:endParaRPr lang="es-CO" baseline="0"/>
          </a:p>
        </c:rich>
      </c:tx>
      <c:overlay val="0"/>
      <c:spPr>
        <a:noFill/>
        <a:ln w="25400">
          <a:noFill/>
        </a:ln>
      </c:spPr>
    </c:title>
    <c:autoTitleDeleted val="0"/>
    <c:plotArea>
      <c:layout>
        <c:manualLayout>
          <c:layoutTarget val="inner"/>
          <c:xMode val="edge"/>
          <c:yMode val="edge"/>
          <c:x val="5.7889914970084187E-2"/>
          <c:y val="0.14038925007705222"/>
          <c:w val="0.92903976443925418"/>
          <c:h val="0.71274542346811121"/>
        </c:manualLayout>
      </c:layout>
      <c:lineChart>
        <c:grouping val="standard"/>
        <c:varyColors val="0"/>
        <c:ser>
          <c:idx val="0"/>
          <c:order val="0"/>
          <c:tx>
            <c:strRef>
              <c:f>'Indicador 3'!$B$38</c:f>
              <c:strCache>
                <c:ptCount val="1"/>
                <c:pt idx="0">
                  <c:v>Cond.Satisfactoria</c:v>
                </c:pt>
              </c:strCache>
            </c:strRef>
          </c:tx>
          <c:spPr>
            <a:ln w="28575">
              <a:solidFill>
                <a:srgbClr val="00B050"/>
              </a:solidFill>
            </a:ln>
          </c:spPr>
          <c:marker>
            <c:symbol val="none"/>
          </c:marker>
          <c:cat>
            <c:strRef>
              <c:f>'Indicador 3'!$C$37:$D$37</c:f>
              <c:strCache>
                <c:ptCount val="2"/>
                <c:pt idx="0">
                  <c:v>I SEM</c:v>
                </c:pt>
                <c:pt idx="1">
                  <c:v>II SEM</c:v>
                </c:pt>
              </c:strCache>
            </c:strRef>
          </c:cat>
          <c:val>
            <c:numRef>
              <c:f>'Indicador 3'!$C$38:$D$38</c:f>
              <c:numCache>
                <c:formatCode>0%</c:formatCode>
                <c:ptCount val="2"/>
              </c:numCache>
            </c:numRef>
          </c:val>
          <c:smooth val="0"/>
          <c:extLst>
            <c:ext xmlns:c16="http://schemas.microsoft.com/office/drawing/2014/chart" uri="{C3380CC4-5D6E-409C-BE32-E72D297353CC}">
              <c16:uniqueId val="{00000000-4702-4C0E-BB63-8ED5E3AA6259}"/>
            </c:ext>
          </c:extLst>
        </c:ser>
        <c:ser>
          <c:idx val="1"/>
          <c:order val="1"/>
          <c:tx>
            <c:strRef>
              <c:f>'Indicador 3'!$B$39</c:f>
              <c:strCache>
                <c:ptCount val="1"/>
                <c:pt idx="0">
                  <c:v>Cond. Crítica</c:v>
                </c:pt>
              </c:strCache>
            </c:strRef>
          </c:tx>
          <c:marker>
            <c:symbol val="none"/>
          </c:marker>
          <c:cat>
            <c:strRef>
              <c:f>'Indicador 3'!$C$37:$D$37</c:f>
              <c:strCache>
                <c:ptCount val="2"/>
                <c:pt idx="0">
                  <c:v>I SEM</c:v>
                </c:pt>
                <c:pt idx="1">
                  <c:v>II SEM</c:v>
                </c:pt>
              </c:strCache>
            </c:strRef>
          </c:cat>
          <c:val>
            <c:numRef>
              <c:f>'Indicador 3'!$C$39:$D$39</c:f>
              <c:numCache>
                <c:formatCode>0%</c:formatCode>
                <c:ptCount val="2"/>
              </c:numCache>
            </c:numRef>
          </c:val>
          <c:smooth val="0"/>
          <c:extLst>
            <c:ext xmlns:c16="http://schemas.microsoft.com/office/drawing/2014/chart" uri="{C3380CC4-5D6E-409C-BE32-E72D297353CC}">
              <c16:uniqueId val="{00000001-4702-4C0E-BB63-8ED5E3AA6259}"/>
            </c:ext>
          </c:extLst>
        </c:ser>
        <c:ser>
          <c:idx val="2"/>
          <c:order val="2"/>
          <c:tx>
            <c:strRef>
              <c:f>'Indicador 3'!$B$40</c:f>
              <c:strCache>
                <c:ptCount val="1"/>
                <c:pt idx="0">
                  <c:v>Resultado</c:v>
                </c:pt>
              </c:strCache>
            </c:strRef>
          </c:tx>
          <c:spPr>
            <a:ln w="47625">
              <a:solidFill>
                <a:srgbClr val="FFC000"/>
              </a:solidFill>
            </a:ln>
          </c:spPr>
          <c:marker>
            <c:symbol val="diamond"/>
            <c:size val="10"/>
            <c:spPr>
              <a:solidFill>
                <a:srgbClr val="FFC000"/>
              </a:solidFill>
            </c:spPr>
          </c:marker>
          <c:dLbls>
            <c:spPr>
              <a:noFill/>
              <a:ln w="25400">
                <a:noFill/>
              </a:ln>
            </c:spPr>
            <c:txPr>
              <a:bodyPr wrap="square" lIns="38100" tIns="19050" rIns="38100" bIns="19050" anchor="ctr">
                <a:spAutoFit/>
              </a:bodyPr>
              <a:lstStyle/>
              <a:p>
                <a:pPr>
                  <a:defRPr sz="1000" b="1"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'Indicador 3'!$C$37:$D$37</c:f>
              <c:strCache>
                <c:ptCount val="2"/>
                <c:pt idx="0">
                  <c:v>I SEM</c:v>
                </c:pt>
                <c:pt idx="1">
                  <c:v>II SEM</c:v>
                </c:pt>
              </c:strCache>
            </c:strRef>
          </c:cat>
          <c:val>
            <c:numRef>
              <c:f>'Indicador 3'!$C$40:$D$40</c:f>
              <c:numCache>
                <c:formatCode>0.00%</c:formatCode>
                <c:ptCount val="2"/>
                <c:pt idx="0">
                  <c:v>1</c:v>
                </c:pt>
              </c:numCache>
            </c:numRef>
          </c:val>
          <c:smooth val="0"/>
          <c:extLst>
            <c:ext xmlns:c16="http://schemas.microsoft.com/office/drawing/2014/chart" uri="{C3380CC4-5D6E-409C-BE32-E72D297353CC}">
              <c16:uniqueId val="{00000002-4702-4C0E-BB63-8ED5E3AA6259}"/>
            </c:ext>
          </c:extLst>
        </c:ser>
        <c:dLbls>
          <c:showLegendKey val="0"/>
          <c:showVal val="0"/>
          <c:showCatName val="0"/>
          <c:showSerName val="0"/>
          <c:showPercent val="0"/>
          <c:showBubbleSize val="0"/>
        </c:dLbls>
        <c:smooth val="0"/>
        <c:axId val="434509944"/>
        <c:axId val="434510336"/>
      </c:lineChart>
      <c:catAx>
        <c:axId val="434509944"/>
        <c:scaling>
          <c:orientation val="minMax"/>
        </c:scaling>
        <c:delete val="0"/>
        <c:axPos val="b"/>
        <c:numFmt formatCode="General" sourceLinked="1"/>
        <c:majorTickMark val="none"/>
        <c:minorTickMark val="none"/>
        <c:tickLblPos val="nextTo"/>
        <c:txPr>
          <a:bodyPr rot="0" vert="horz"/>
          <a:lstStyle/>
          <a:p>
            <a:pPr>
              <a:defRPr sz="1000" b="0" i="0" u="none" strike="noStrike" baseline="0">
                <a:solidFill>
                  <a:srgbClr val="000000"/>
                </a:solidFill>
                <a:latin typeface="Calibri"/>
                <a:ea typeface="Calibri"/>
                <a:cs typeface="Calibri"/>
              </a:defRPr>
            </a:pPr>
            <a:endParaRPr lang="es-CO"/>
          </a:p>
        </c:txPr>
        <c:crossAx val="434510336"/>
        <c:crosses val="autoZero"/>
        <c:auto val="1"/>
        <c:lblAlgn val="ctr"/>
        <c:lblOffset val="100"/>
        <c:noMultiLvlLbl val="0"/>
      </c:catAx>
      <c:valAx>
        <c:axId val="434510336"/>
        <c:scaling>
          <c:orientation val="minMax"/>
          <c:max val="1"/>
          <c:min val="0.65000000000000013"/>
        </c:scaling>
        <c:delete val="0"/>
        <c:axPos val="l"/>
        <c:majorGridlines/>
        <c:numFmt formatCode="0%" sourceLinked="1"/>
        <c:majorTickMark val="none"/>
        <c:minorTickMark val="none"/>
        <c:tickLblPos val="nextTo"/>
        <c:spPr>
          <a:ln w="9525">
            <a:noFill/>
          </a:ln>
        </c:spPr>
        <c:txPr>
          <a:bodyPr rot="0" vert="horz"/>
          <a:lstStyle/>
          <a:p>
            <a:pPr>
              <a:defRPr sz="1000" b="0" i="0" u="none" strike="noStrike" baseline="0">
                <a:solidFill>
                  <a:srgbClr val="000000"/>
                </a:solidFill>
                <a:latin typeface="Calibri"/>
                <a:ea typeface="Calibri"/>
                <a:cs typeface="Calibri"/>
              </a:defRPr>
            </a:pPr>
            <a:endParaRPr lang="es-CO"/>
          </a:p>
        </c:txPr>
        <c:crossAx val="434509944"/>
        <c:crosses val="autoZero"/>
        <c:crossBetween val="between"/>
        <c:majorUnit val="2.0000000000000004E-2"/>
      </c:valAx>
    </c:plotArea>
    <c:legend>
      <c:legendPos val="r"/>
      <c:layout>
        <c:manualLayout>
          <c:xMode val="edge"/>
          <c:yMode val="edge"/>
          <c:x val="0.26196985743127077"/>
          <c:y val="0.92461158703815916"/>
          <c:w val="0.47369892028668137"/>
          <c:h val="6.7041323531467731E-2"/>
        </c:manualLayout>
      </c:layout>
      <c:overlay val="0"/>
      <c:txPr>
        <a:bodyPr/>
        <a:lstStyle/>
        <a:p>
          <a:pPr>
            <a:defRPr sz="800" b="1" i="0" u="none" strike="noStrike" baseline="0">
              <a:solidFill>
                <a:srgbClr val="000000"/>
              </a:solidFill>
              <a:latin typeface="Calibri"/>
              <a:ea typeface="Calibri"/>
              <a:cs typeface="Calibri"/>
            </a:defRPr>
          </a:pPr>
          <a:endParaRPr lang="es-CO"/>
        </a:p>
      </c:txPr>
    </c:legend>
    <c:plotVisOnly val="1"/>
    <c:dispBlanksAs val="gap"/>
    <c:showDLblsOverMax val="0"/>
  </c:chart>
  <c:spPr>
    <a:solidFill>
      <a:schemeClr val="bg1">
        <a:lumMod val="95000"/>
      </a:schemeClr>
    </a:solidFill>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000000000000044" l="0.7000000000000004" r="0.7000000000000004" t="0.75000000000000044" header="0.30000000000000021" footer="0.30000000000000021"/>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CO" b="1"/>
              <a:t>INICIATIVAS</a:t>
            </a:r>
            <a:r>
              <a:rPr lang="es-CO" b="1" baseline="0"/>
              <a:t> PLANEADAS VS EJECUTADAS PETI</a:t>
            </a:r>
            <a:endParaRPr lang="es-CO"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'Indicador 3'!$C$66</c:f>
              <c:strCache>
                <c:ptCount val="1"/>
                <c:pt idx="0">
                  <c:v>N° de Iniciativas ejecutadas </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 3'!$B$67:$B$68</c:f>
              <c:strCache>
                <c:ptCount val="2"/>
                <c:pt idx="0">
                  <c:v>I SEM</c:v>
                </c:pt>
                <c:pt idx="1">
                  <c:v>II SEM</c:v>
                </c:pt>
              </c:strCache>
            </c:strRef>
          </c:cat>
          <c:val>
            <c:numRef>
              <c:f>'Indicador 3'!$C$67:$C$68</c:f>
              <c:numCache>
                <c:formatCode>General</c:formatCode>
                <c:ptCount val="2"/>
                <c:pt idx="0">
                  <c:v>8</c:v>
                </c:pt>
              </c:numCache>
            </c:numRef>
          </c:val>
          <c:extLst>
            <c:ext xmlns:c16="http://schemas.microsoft.com/office/drawing/2014/chart" uri="{C3380CC4-5D6E-409C-BE32-E72D297353CC}">
              <c16:uniqueId val="{00000000-83EE-4C50-80A9-99BCF2C5D9FB}"/>
            </c:ext>
          </c:extLst>
        </c:ser>
        <c:ser>
          <c:idx val="2"/>
          <c:order val="2"/>
          <c:tx>
            <c:strRef>
              <c:f>'Indicador 3'!$D$66</c:f>
              <c:strCache>
                <c:ptCount val="1"/>
                <c:pt idx="0">
                  <c:v>N° de iniciativas planeadas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 3'!$B$67:$B$68</c:f>
              <c:strCache>
                <c:ptCount val="2"/>
                <c:pt idx="0">
                  <c:v>I SEM</c:v>
                </c:pt>
                <c:pt idx="1">
                  <c:v>II SEM</c:v>
                </c:pt>
              </c:strCache>
            </c:strRef>
          </c:cat>
          <c:val>
            <c:numRef>
              <c:f>'Indicador 3'!$D$67:$D$68</c:f>
              <c:numCache>
                <c:formatCode>General</c:formatCode>
                <c:ptCount val="2"/>
                <c:pt idx="0">
                  <c:v>8</c:v>
                </c:pt>
              </c:numCache>
            </c:numRef>
          </c:val>
          <c:extLst>
            <c:ext xmlns:c16="http://schemas.microsoft.com/office/drawing/2014/chart" uri="{C3380CC4-5D6E-409C-BE32-E72D297353CC}">
              <c16:uniqueId val="{00000002-83EE-4C50-80A9-99BCF2C5D9FB}"/>
            </c:ext>
          </c:extLst>
        </c:ser>
        <c:dLbls>
          <c:showLegendKey val="0"/>
          <c:showVal val="0"/>
          <c:showCatName val="0"/>
          <c:showSerName val="0"/>
          <c:showPercent val="0"/>
          <c:showBubbleSize val="0"/>
        </c:dLbls>
        <c:gapWidth val="219"/>
        <c:axId val="434511904"/>
        <c:axId val="434513080"/>
        <c:extLst>
          <c:ext xmlns:c15="http://schemas.microsoft.com/office/drawing/2012/chart" uri="{02D57815-91ED-43cb-92C2-25804820EDAC}">
            <c15:filteredBarSeries>
              <c15:ser>
                <c:idx val="1"/>
                <c:order val="1"/>
                <c:tx>
                  <c:strRef>
                    <c:extLst>
                      <c:ext uri="{02D57815-91ED-43cb-92C2-25804820EDAC}">
                        <c15:formulaRef>
                          <c15:sqref>'Indicador 3'!#REF!</c15:sqref>
                        </c15:formulaRef>
                      </c:ext>
                    </c:extLst>
                    <c:strCache>
                      <c:ptCount val="1"/>
                      <c:pt idx="0">
                        <c:v>#REF!</c:v>
                      </c:pt>
                    </c:strCache>
                  </c:strRef>
                </c:tx>
                <c:spPr>
                  <a:solidFill>
                    <a:schemeClr val="accent2"/>
                  </a:solidFill>
                  <a:ln>
                    <a:noFill/>
                  </a:ln>
                  <a:effectLst/>
                </c:spPr>
                <c:invertIfNegative val="0"/>
                <c:cat>
                  <c:strRef>
                    <c:extLst>
                      <c:ext uri="{02D57815-91ED-43cb-92C2-25804820EDAC}">
                        <c15:formulaRef>
                          <c15:sqref>'Indicador 3'!$B$67:$B$68</c15:sqref>
                        </c15:formulaRef>
                      </c:ext>
                    </c:extLst>
                    <c:strCache>
                      <c:ptCount val="2"/>
                      <c:pt idx="0">
                        <c:v>I SEM</c:v>
                      </c:pt>
                      <c:pt idx="1">
                        <c:v>II SEM</c:v>
                      </c:pt>
                    </c:strCache>
                  </c:strRef>
                </c:cat>
                <c:val>
                  <c:numRef>
                    <c:extLst>
                      <c:ext uri="{02D57815-91ED-43cb-92C2-25804820EDAC}">
                        <c15:formulaRef>
                          <c15:sqref>'Indicador 3'!#REF!</c15:sqref>
                        </c15:formulaRef>
                      </c:ext>
                    </c:extLst>
                    <c:numCache>
                      <c:formatCode>General</c:formatCode>
                      <c:ptCount val="1"/>
                      <c:pt idx="0">
                        <c:v>1</c:v>
                      </c:pt>
                    </c:numCache>
                  </c:numRef>
                </c:val>
                <c:extLst>
                  <c:ext xmlns:c16="http://schemas.microsoft.com/office/drawing/2014/chart" uri="{C3380CC4-5D6E-409C-BE32-E72D297353CC}">
                    <c16:uniqueId val="{00000001-83EE-4C50-80A9-99BCF2C5D9F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'Indicador 3'!#REF!</c15:sqref>
                        </c15:formulaRef>
                      </c:ext>
                    </c:extLst>
                    <c:strCache>
                      <c:ptCount val="1"/>
                      <c:pt idx="0">
                        <c:v>#REF!</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'Indicador 3'!$B$67:$B$68</c15:sqref>
                        </c15:formulaRef>
                      </c:ext>
                    </c:extLst>
                    <c:strCache>
                      <c:ptCount val="2"/>
                      <c:pt idx="0">
                        <c:v>I SEM</c:v>
                      </c:pt>
                      <c:pt idx="1">
                        <c:v>II SEM</c:v>
                      </c:pt>
                    </c:strCache>
                  </c:strRef>
                </c:cat>
                <c:val>
                  <c:numRef>
                    <c:extLst xmlns:c15="http://schemas.microsoft.com/office/drawing/2012/chart">
                      <c:ext xmlns:c15="http://schemas.microsoft.com/office/drawing/2012/chart" uri="{02D57815-91ED-43cb-92C2-25804820EDAC}">
                        <c15:formulaRef>
                          <c15:sqref>'Indicador 3'!#REF!</c15:sqref>
                        </c15:formulaRef>
                      </c:ext>
                    </c:extLst>
                    <c:numCache>
                      <c:formatCode>General</c:formatCode>
                      <c:ptCount val="1"/>
                      <c:pt idx="0">
                        <c:v>1</c:v>
                      </c:pt>
                    </c:numCache>
                  </c:numRef>
                </c:val>
                <c:extLst xmlns:c15="http://schemas.microsoft.com/office/drawing/2012/chart">
                  <c:ext xmlns:c16="http://schemas.microsoft.com/office/drawing/2014/chart" uri="{C3380CC4-5D6E-409C-BE32-E72D297353CC}">
                    <c16:uniqueId val="{00000003-83EE-4C50-80A9-99BCF2C5D9FB}"/>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'Indicador 3'!$F$66</c15:sqref>
                        </c15:formulaRef>
                      </c:ext>
                    </c:extLst>
                    <c:strCache>
                      <c:ptCount val="1"/>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'Indicador 3'!$B$67:$B$68</c15:sqref>
                        </c15:formulaRef>
                      </c:ext>
                    </c:extLst>
                    <c:strCache>
                      <c:ptCount val="2"/>
                      <c:pt idx="0">
                        <c:v>I SEM</c:v>
                      </c:pt>
                      <c:pt idx="1">
                        <c:v>II SEM</c:v>
                      </c:pt>
                    </c:strCache>
                  </c:strRef>
                </c:cat>
                <c:val>
                  <c:numRef>
                    <c:extLst xmlns:c15="http://schemas.microsoft.com/office/drawing/2012/chart">
                      <c:ext xmlns:c15="http://schemas.microsoft.com/office/drawing/2012/chart" uri="{02D57815-91ED-43cb-92C2-25804820EDAC}">
                        <c15:formulaRef>
                          <c15:sqref>'Indicador 3'!$F$67:$F$68</c15:sqref>
                        </c15:formulaRef>
                      </c:ext>
                    </c:extLst>
                    <c:numCache>
                      <c:formatCode>0%</c:formatCode>
                      <c:ptCount val="2"/>
                    </c:numCache>
                  </c:numRef>
                </c:val>
                <c:extLst xmlns:c15="http://schemas.microsoft.com/office/drawing/2012/chart">
                  <c:ext xmlns:c16="http://schemas.microsoft.com/office/drawing/2014/chart" uri="{C3380CC4-5D6E-409C-BE32-E72D297353CC}">
                    <c16:uniqueId val="{00000005-83EE-4C50-80A9-99BCF2C5D9FB}"/>
                  </c:ext>
                </c:extLst>
              </c15:ser>
            </c15:filteredBarSeries>
          </c:ext>
        </c:extLst>
      </c:barChart>
      <c:lineChart>
        <c:grouping val="standard"/>
        <c:varyColors val="0"/>
        <c:ser>
          <c:idx val="4"/>
          <c:order val="4"/>
          <c:tx>
            <c:strRef>
              <c:f>'Indicador 3'!$E$66</c:f>
              <c:strCache>
                <c:ptCount val="1"/>
                <c:pt idx="0">
                  <c:v>% de Cumplimiento</c:v>
                </c:pt>
              </c:strCache>
            </c:strRef>
          </c:tx>
          <c:spPr>
            <a:ln w="28575" cap="rnd">
              <a:solidFill>
                <a:srgbClr val="00B05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'Indicador 3'!$B$67:$B$68</c:f>
              <c:strCache>
                <c:ptCount val="2"/>
                <c:pt idx="0">
                  <c:v>I SEM</c:v>
                </c:pt>
                <c:pt idx="1">
                  <c:v>II SEM</c:v>
                </c:pt>
              </c:strCache>
            </c:strRef>
          </c:cat>
          <c:val>
            <c:numRef>
              <c:f>'Indicador 3'!$E$67:$E$68</c:f>
              <c:numCache>
                <c:formatCode>0%</c:formatCode>
                <c:ptCount val="2"/>
                <c:pt idx="0">
                  <c:v>1</c:v>
                </c:pt>
              </c:numCache>
            </c:numRef>
          </c:val>
          <c:smooth val="0"/>
          <c:extLst>
            <c:ext xmlns:c16="http://schemas.microsoft.com/office/drawing/2014/chart" uri="{C3380CC4-5D6E-409C-BE32-E72D297353CC}">
              <c16:uniqueId val="{00000004-83EE-4C50-80A9-99BCF2C5D9FB}"/>
            </c:ext>
          </c:extLst>
        </c:ser>
        <c:dLbls>
          <c:showLegendKey val="0"/>
          <c:showVal val="0"/>
          <c:showCatName val="0"/>
          <c:showSerName val="0"/>
          <c:showPercent val="0"/>
          <c:showBubbleSize val="0"/>
        </c:dLbls>
        <c:marker val="1"/>
        <c:smooth val="0"/>
        <c:axId val="435308664"/>
        <c:axId val="435302392"/>
      </c:lineChart>
      <c:catAx>
        <c:axId val="43451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434513080"/>
        <c:crosses val="autoZero"/>
        <c:auto val="1"/>
        <c:lblAlgn val="ctr"/>
        <c:lblOffset val="100"/>
        <c:noMultiLvlLbl val="0"/>
      </c:catAx>
      <c:valAx>
        <c:axId val="434513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4511904"/>
        <c:crosses val="autoZero"/>
        <c:crossBetween val="between"/>
      </c:valAx>
      <c:valAx>
        <c:axId val="43530239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5308664"/>
        <c:crosses val="max"/>
        <c:crossBetween val="between"/>
      </c:valAx>
      <c:catAx>
        <c:axId val="435308664"/>
        <c:scaling>
          <c:orientation val="minMax"/>
        </c:scaling>
        <c:delete val="1"/>
        <c:axPos val="b"/>
        <c:numFmt formatCode="General" sourceLinked="1"/>
        <c:majorTickMark val="out"/>
        <c:minorTickMark val="none"/>
        <c:tickLblPos val="nextTo"/>
        <c:crossAx val="435302392"/>
        <c:crosses val="autoZero"/>
        <c:auto val="1"/>
        <c:lblAlgn val="ctr"/>
        <c:lblOffset val="100"/>
        <c:noMultiLvlLbl val="0"/>
      </c:catAx>
      <c:spPr>
        <a:solidFill>
          <a:sysClr val="window" lastClr="FFFFFF"/>
        </a:solid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hyperlink" Target="#Procesos!A1"/><Relationship Id="rId1" Type="http://schemas.openxmlformats.org/officeDocument/2006/relationships/chart" Target="../charts/chart1.xml"/><Relationship Id="rId4"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hyperlink" Target="#Procesos!A1"/><Relationship Id="rId1" Type="http://schemas.openxmlformats.org/officeDocument/2006/relationships/chart" Target="../charts/chart3.xml"/><Relationship Id="rId4"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hyperlink" Target="#Procesos!A1"/><Relationship Id="rId1" Type="http://schemas.openxmlformats.org/officeDocument/2006/relationships/chart" Target="../charts/chart5.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1019175</xdr:colOff>
      <xdr:row>4</xdr:row>
      <xdr:rowOff>114300</xdr:rowOff>
    </xdr:to>
    <xdr:sp macro="" textlink="">
      <xdr:nvSpPr>
        <xdr:cNvPr id="43752856" name="AutoShape 2">
          <a:extLst>
            <a:ext uri="{FF2B5EF4-FFF2-40B4-BE49-F238E27FC236}">
              <a16:creationId xmlns:a16="http://schemas.microsoft.com/office/drawing/2014/main" id="{271740E8-7DE1-4CDA-A6ED-AEFDFE754697}"/>
            </a:ext>
          </a:extLst>
        </xdr:cNvPr>
        <xdr:cNvSpPr>
          <a:spLocks noChangeArrowheads="1"/>
        </xdr:cNvSpPr>
      </xdr:nvSpPr>
      <xdr:spPr bwMode="auto">
        <a:xfrm>
          <a:off x="0" y="0"/>
          <a:ext cx="8086725" cy="762000"/>
        </a:xfrm>
        <a:prstGeom prst="bevel">
          <a:avLst>
            <a:gd name="adj" fmla="val 12500"/>
          </a:avLst>
        </a:prstGeom>
        <a:solidFill>
          <a:srgbClr val="FFFFFF"/>
        </a:solidFill>
        <a:ln w="9525">
          <a:solidFill>
            <a:srgbClr val="000000"/>
          </a:solidFill>
          <a:miter lim="800000"/>
          <a:headEnd/>
          <a:tailEnd/>
        </a:ln>
      </xdr:spPr>
    </xdr:sp>
    <xdr:clientData/>
  </xdr:twoCellAnchor>
  <xdr:twoCellAnchor>
    <xdr:from>
      <xdr:col>1</xdr:col>
      <xdr:colOff>580174</xdr:colOff>
      <xdr:row>1</xdr:row>
      <xdr:rowOff>1</xdr:rowOff>
    </xdr:from>
    <xdr:to>
      <xdr:col>4</xdr:col>
      <xdr:colOff>687771</xdr:colOff>
      <xdr:row>3</xdr:row>
      <xdr:rowOff>116532</xdr:rowOff>
    </xdr:to>
    <xdr:sp macro="" textlink="">
      <xdr:nvSpPr>
        <xdr:cNvPr id="1025" name="WordArt 1">
          <a:extLst>
            <a:ext uri="{FF2B5EF4-FFF2-40B4-BE49-F238E27FC236}">
              <a16:creationId xmlns:a16="http://schemas.microsoft.com/office/drawing/2014/main" id="{94336EF4-3C22-4EC6-8ABE-ED018D8B3925}"/>
            </a:ext>
          </a:extLst>
        </xdr:cNvPr>
        <xdr:cNvSpPr>
          <a:spLocks noChangeArrowheads="1" noChangeShapeType="1" noTextEdit="1"/>
        </xdr:cNvSpPr>
      </xdr:nvSpPr>
      <xdr:spPr bwMode="auto">
        <a:xfrm>
          <a:off x="2259654" y="162129"/>
          <a:ext cx="5765666" cy="446256"/>
        </a:xfrm>
        <a:prstGeom prst="rect">
          <a:avLst/>
        </a:prstGeom>
      </xdr:spPr>
      <xdr:txBody>
        <a:bodyPr wrap="none" fromWordArt="1">
          <a:prstTxWarp prst="textPlain">
            <a:avLst>
              <a:gd name="adj" fmla="val 50000"/>
            </a:avLst>
          </a:prstTxWarp>
        </a:bodyPr>
        <a:lstStyle/>
        <a:p>
          <a:pPr algn="ctr" rtl="0"/>
          <a:r>
            <a:rPr lang="es-CO" sz="3600" kern="10" spc="0">
              <a:ln w="9525">
                <a:solidFill>
                  <a:srgbClr val="000000"/>
                </a:solidFill>
                <a:round/>
                <a:headEnd/>
                <a:tailEnd/>
              </a:ln>
              <a:solidFill>
                <a:srgbClr val="000080"/>
              </a:solidFill>
              <a:effectLst/>
              <a:latin typeface="Arial Black"/>
            </a:rPr>
            <a:t>Despliegue Politica y Objetivos de Calidad</a:t>
          </a:r>
        </a:p>
        <a:p>
          <a:pPr algn="ctr" rtl="0"/>
          <a:r>
            <a:rPr lang="es-CO" sz="3600" kern="10" spc="0">
              <a:ln w="9525">
                <a:solidFill>
                  <a:srgbClr val="000000"/>
                </a:solidFill>
                <a:round/>
                <a:headEnd/>
                <a:tailEnd/>
              </a:ln>
              <a:solidFill>
                <a:srgbClr val="000080"/>
              </a:solidFill>
              <a:effectLst/>
              <a:latin typeface="Arial Black"/>
            </a:rPr>
            <a:t>Año 2009</a:t>
          </a:r>
        </a:p>
      </xdr:txBody>
    </xdr:sp>
    <xdr:clientData/>
  </xdr:twoCellAnchor>
  <xdr:twoCellAnchor>
    <xdr:from>
      <xdr:col>0</xdr:col>
      <xdr:colOff>161925</xdr:colOff>
      <xdr:row>0</xdr:row>
      <xdr:rowOff>133350</xdr:rowOff>
    </xdr:from>
    <xdr:to>
      <xdr:col>0</xdr:col>
      <xdr:colOff>1638300</xdr:colOff>
      <xdr:row>3</xdr:row>
      <xdr:rowOff>95250</xdr:rowOff>
    </xdr:to>
    <xdr:grpSp>
      <xdr:nvGrpSpPr>
        <xdr:cNvPr id="43752858" name="Group 5">
          <a:extLst>
            <a:ext uri="{FF2B5EF4-FFF2-40B4-BE49-F238E27FC236}">
              <a16:creationId xmlns:a16="http://schemas.microsoft.com/office/drawing/2014/main" id="{E317AF9E-6A53-4323-9DBA-E71A76E53779}"/>
            </a:ext>
          </a:extLst>
        </xdr:cNvPr>
        <xdr:cNvGrpSpPr>
          <a:grpSpLocks/>
        </xdr:cNvGrpSpPr>
      </xdr:nvGrpSpPr>
      <xdr:grpSpPr bwMode="auto">
        <a:xfrm>
          <a:off x="161925" y="133350"/>
          <a:ext cx="1476375" cy="448283"/>
          <a:chOff x="978" y="291"/>
          <a:chExt cx="155" cy="47"/>
        </a:xfrm>
      </xdr:grpSpPr>
      <xdr:pic>
        <xdr:nvPicPr>
          <xdr:cNvPr id="43752859" name="Picture 3" descr="nuevo-1">
            <a:extLst>
              <a:ext uri="{FF2B5EF4-FFF2-40B4-BE49-F238E27FC236}">
                <a16:creationId xmlns:a16="http://schemas.microsoft.com/office/drawing/2014/main" id="{F8D24782-9BFB-4088-BDDE-EF9AD8054F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8" y="291"/>
            <a:ext cx="49" cy="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028" name="Text Box 4">
            <a:extLst>
              <a:ext uri="{FF2B5EF4-FFF2-40B4-BE49-F238E27FC236}">
                <a16:creationId xmlns:a16="http://schemas.microsoft.com/office/drawing/2014/main" id="{3C3D8A84-5F52-4367-B282-AEC88FF688A4}"/>
              </a:ext>
            </a:extLst>
          </xdr:cNvPr>
          <xdr:cNvSpPr txBox="1">
            <a:spLocks noChangeArrowheads="1"/>
          </xdr:cNvSpPr>
        </xdr:nvSpPr>
        <xdr:spPr bwMode="auto">
          <a:xfrm>
            <a:off x="1038" y="308"/>
            <a:ext cx="95" cy="16"/>
          </a:xfrm>
          <a:prstGeom prst="rect">
            <a:avLst/>
          </a:prstGeom>
          <a:noFill/>
          <a:ln w="9525">
            <a:noFill/>
            <a:miter lim="800000"/>
            <a:headEnd/>
            <a:tailEnd/>
          </a:ln>
        </xdr:spPr>
        <xdr:txBody>
          <a:bodyPr vertOverflow="clip" wrap="square" lIns="0" tIns="0" rIns="0" bIns="0" anchor="t" upright="1"/>
          <a:lstStyle/>
          <a:p>
            <a:pPr algn="l" rtl="0">
              <a:defRPr sz="1000"/>
            </a:pPr>
            <a:r>
              <a:rPr lang="es-CO" sz="1000" b="1" i="0" strike="noStrike">
                <a:solidFill>
                  <a:srgbClr val="000000"/>
                </a:solidFill>
                <a:latin typeface="Arial"/>
                <a:cs typeface="Arial"/>
              </a:rPr>
              <a:t>VIDCOL LTDA.</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143847</xdr:colOff>
      <xdr:row>0</xdr:row>
      <xdr:rowOff>125380</xdr:rowOff>
    </xdr:from>
    <xdr:to>
      <xdr:col>2</xdr:col>
      <xdr:colOff>1525944</xdr:colOff>
      <xdr:row>4</xdr:row>
      <xdr:rowOff>90487</xdr:rowOff>
    </xdr:to>
    <xdr:pic>
      <xdr:nvPicPr>
        <xdr:cNvPr id="2" name="Imagen 1">
          <a:extLst>
            <a:ext uri="{FF2B5EF4-FFF2-40B4-BE49-F238E27FC236}">
              <a16:creationId xmlns:a16="http://schemas.microsoft.com/office/drawing/2014/main" id="{24A2113F-9C5C-423E-B68C-647A8F6A8214}"/>
            </a:ext>
          </a:extLst>
        </xdr:cNvPr>
        <xdr:cNvPicPr>
          <a:picLocks noChangeAspect="1"/>
        </xdr:cNvPicPr>
      </xdr:nvPicPr>
      <xdr:blipFill>
        <a:blip xmlns:r="http://schemas.openxmlformats.org/officeDocument/2006/relationships" r:embed="rId1"/>
        <a:stretch>
          <a:fillRect/>
        </a:stretch>
      </xdr:blipFill>
      <xdr:spPr>
        <a:xfrm>
          <a:off x="143847" y="125380"/>
          <a:ext cx="2422071" cy="713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133349</xdr:colOff>
      <xdr:row>41</xdr:row>
      <xdr:rowOff>95250</xdr:rowOff>
    </xdr:from>
    <xdr:to>
      <xdr:col>14</xdr:col>
      <xdr:colOff>581024</xdr:colOff>
      <xdr:row>61</xdr:row>
      <xdr:rowOff>133350</xdr:rowOff>
    </xdr:to>
    <xdr:graphicFrame macro="">
      <xdr:nvGraphicFramePr>
        <xdr:cNvPr id="45978898" name="8 Gráfico">
          <a:extLst>
            <a:ext uri="{FF2B5EF4-FFF2-40B4-BE49-F238E27FC236}">
              <a16:creationId xmlns:a16="http://schemas.microsoft.com/office/drawing/2014/main" id="{EF44EBC9-45DE-4214-9EC7-B95DB96F34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239303</xdr:colOff>
      <xdr:row>39</xdr:row>
      <xdr:rowOff>147410</xdr:rowOff>
    </xdr:from>
    <xdr:to>
      <xdr:col>2</xdr:col>
      <xdr:colOff>576060</xdr:colOff>
      <xdr:row>39</xdr:row>
      <xdr:rowOff>148998</xdr:rowOff>
    </xdr:to>
    <xdr:cxnSp macro="">
      <xdr:nvCxnSpPr>
        <xdr:cNvPr id="4" name="3 Conector recto de flecha">
          <a:extLst>
            <a:ext uri="{FF2B5EF4-FFF2-40B4-BE49-F238E27FC236}">
              <a16:creationId xmlns:a16="http://schemas.microsoft.com/office/drawing/2014/main" id="{0842D5A0-36C1-4DDC-A7F4-6DFF387CCD39}"/>
            </a:ext>
          </a:extLst>
        </xdr:cNvPr>
        <xdr:cNvCxnSpPr/>
      </xdr:nvCxnSpPr>
      <xdr:spPr>
        <a:xfrm>
          <a:off x="1453741" y="7064941"/>
          <a:ext cx="336757" cy="1588"/>
        </a:xfrm>
        <a:prstGeom prst="straightConnector1">
          <a:avLst/>
        </a:prstGeom>
        <a:ln w="31750">
          <a:solidFill>
            <a:schemeClr val="tx1"/>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272415</xdr:colOff>
      <xdr:row>39</xdr:row>
      <xdr:rowOff>38103</xdr:rowOff>
    </xdr:from>
    <xdr:to>
      <xdr:col>3</xdr:col>
      <xdr:colOff>276781</xdr:colOff>
      <xdr:row>39</xdr:row>
      <xdr:rowOff>257969</xdr:rowOff>
    </xdr:to>
    <xdr:cxnSp macro="">
      <xdr:nvCxnSpPr>
        <xdr:cNvPr id="9" name="8 Conector recto de flecha">
          <a:extLst>
            <a:ext uri="{FF2B5EF4-FFF2-40B4-BE49-F238E27FC236}">
              <a16:creationId xmlns:a16="http://schemas.microsoft.com/office/drawing/2014/main" id="{AE85153F-53B4-479B-8072-C124CF79C86E}"/>
            </a:ext>
          </a:extLst>
        </xdr:cNvPr>
        <xdr:cNvCxnSpPr/>
      </xdr:nvCxnSpPr>
      <xdr:spPr>
        <a:xfrm rot="16200000" flipH="1">
          <a:off x="1742283" y="7363620"/>
          <a:ext cx="219866" cy="8732"/>
        </a:xfrm>
        <a:prstGeom prst="straightConnector1">
          <a:avLst/>
        </a:prstGeom>
        <a:ln w="31750">
          <a:solidFill>
            <a:schemeClr val="tx1"/>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521970</xdr:colOff>
      <xdr:row>35</xdr:row>
      <xdr:rowOff>47625</xdr:rowOff>
    </xdr:from>
    <xdr:to>
      <xdr:col>16</xdr:col>
      <xdr:colOff>0</xdr:colOff>
      <xdr:row>45</xdr:row>
      <xdr:rowOff>34265</xdr:rowOff>
    </xdr:to>
    <xdr:sp macro="" textlink="">
      <xdr:nvSpPr>
        <xdr:cNvPr id="10" name="9 Flecha curvada hacia la izquierda">
          <a:hlinkClick xmlns:r="http://schemas.openxmlformats.org/officeDocument/2006/relationships" r:id="rId2"/>
          <a:extLst>
            <a:ext uri="{FF2B5EF4-FFF2-40B4-BE49-F238E27FC236}">
              <a16:creationId xmlns:a16="http://schemas.microsoft.com/office/drawing/2014/main" id="{1C9F5862-2B54-431F-87E7-D7FD88861055}"/>
            </a:ext>
          </a:extLst>
        </xdr:cNvPr>
        <xdr:cNvSpPr/>
      </xdr:nvSpPr>
      <xdr:spPr bwMode="auto">
        <a:xfrm>
          <a:off x="8086725" y="6619875"/>
          <a:ext cx="1019175" cy="1800226"/>
        </a:xfrm>
        <a:prstGeom prst="curvedLeftArrow">
          <a:avLst>
            <a:gd name="adj1" fmla="val 25000"/>
            <a:gd name="adj2" fmla="val 121495"/>
            <a:gd name="adj3" fmla="val 25000"/>
          </a:avLst>
        </a:prstGeom>
        <a:gradFill>
          <a:gsLst>
            <a:gs pos="0">
              <a:schemeClr val="accent1"/>
            </a:gs>
            <a:gs pos="80000">
              <a:schemeClr val="accent1">
                <a:lumMod val="20000"/>
                <a:lumOff val="80000"/>
              </a:schemeClr>
            </a:gs>
            <a:gs pos="100000">
              <a:schemeClr val="accent1"/>
            </a:gs>
          </a:gsLst>
        </a:gradFill>
        <a:ln>
          <a:headEnd type="none" w="med" len="med"/>
          <a:tailEnd type="none" w="med" len="med"/>
        </a:ln>
      </xdr:spPr>
      <xdr:style>
        <a:lnRef idx="0">
          <a:schemeClr val="accent6"/>
        </a:lnRef>
        <a:fillRef idx="3">
          <a:schemeClr val="accent6"/>
        </a:fillRef>
        <a:effectRef idx="3">
          <a:schemeClr val="accent6"/>
        </a:effectRef>
        <a:fontRef idx="minor">
          <a:schemeClr val="lt1"/>
        </a:fontRef>
      </xdr:style>
      <xdr:txBody>
        <a:bodyPr vertOverflow="clip" wrap="square" lIns="18288" tIns="0" rIns="0" bIns="0" rtlCol="0" anchor="ctr" upright="1"/>
        <a:lstStyle/>
        <a:p>
          <a:pPr algn="ctr"/>
          <a:r>
            <a:rPr lang="es-CO" sz="1600" b="1" cap="none" spc="0">
              <a:ln w="10541" cmpd="sng">
                <a:solidFill>
                  <a:schemeClr val="accent1">
                    <a:shade val="88000"/>
                    <a:satMod val="110000"/>
                  </a:schemeClr>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a:gradFill>
              <a:effectLst/>
            </a:rPr>
            <a:t>VOLVER</a:t>
          </a:r>
          <a:endParaRPr lang="es-CO" sz="1600" b="1" cap="none" spc="0">
            <a:ln w="1905"/>
            <a:gradFill>
              <a:gsLst>
                <a:gs pos="0">
                  <a:schemeClr val="accent6">
                    <a:shade val="20000"/>
                    <a:satMod val="200000"/>
                  </a:schemeClr>
                </a:gs>
                <a:gs pos="78000">
                  <a:schemeClr val="accent6">
                    <a:tint val="90000"/>
                    <a:shade val="89000"/>
                    <a:satMod val="220000"/>
                  </a:schemeClr>
                </a:gs>
                <a:gs pos="100000">
                  <a:schemeClr val="accent6">
                    <a:tint val="12000"/>
                    <a:satMod val="255000"/>
                  </a:schemeClr>
                </a:gs>
              </a:gsLst>
              <a:lin ang="5400000"/>
            </a:gradFill>
            <a:effectLst>
              <a:innerShdw blurRad="69850" dist="43180" dir="5400000">
                <a:srgbClr val="000000">
                  <a:alpha val="65000"/>
                </a:srgbClr>
              </a:innerShdw>
            </a:effectLst>
          </a:endParaRPr>
        </a:p>
      </xdr:txBody>
    </xdr:sp>
    <xdr:clientData/>
  </xdr:twoCellAnchor>
  <xdr:twoCellAnchor>
    <xdr:from>
      <xdr:col>5</xdr:col>
      <xdr:colOff>228600</xdr:colOff>
      <xdr:row>63</xdr:row>
      <xdr:rowOff>38100</xdr:rowOff>
    </xdr:from>
    <xdr:to>
      <xdr:col>14</xdr:col>
      <xdr:colOff>552450</xdr:colOff>
      <xdr:row>79</xdr:row>
      <xdr:rowOff>160266</xdr:rowOff>
    </xdr:to>
    <xdr:graphicFrame macro="">
      <xdr:nvGraphicFramePr>
        <xdr:cNvPr id="8" name="Gráfico 7">
          <a:extLst>
            <a:ext uri="{FF2B5EF4-FFF2-40B4-BE49-F238E27FC236}">
              <a16:creationId xmlns:a16="http://schemas.microsoft.com/office/drawing/2014/main" id="{5059AA97-FF92-448B-A0E8-79D8C615A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25514</xdr:colOff>
      <xdr:row>1</xdr:row>
      <xdr:rowOff>153079</xdr:rowOff>
    </xdr:from>
    <xdr:to>
      <xdr:col>1</xdr:col>
      <xdr:colOff>1411741</xdr:colOff>
      <xdr:row>4</xdr:row>
      <xdr:rowOff>93549</xdr:rowOff>
    </xdr:to>
    <xdr:pic>
      <xdr:nvPicPr>
        <xdr:cNvPr id="2" name="Imagen 1">
          <a:extLst>
            <a:ext uri="{FF2B5EF4-FFF2-40B4-BE49-F238E27FC236}">
              <a16:creationId xmlns:a16="http://schemas.microsoft.com/office/drawing/2014/main" id="{9E645FA6-BE8B-4F77-A4BD-79707F0FCE65}"/>
            </a:ext>
          </a:extLst>
        </xdr:cNvPr>
        <xdr:cNvPicPr>
          <a:picLocks noChangeAspect="1"/>
        </xdr:cNvPicPr>
      </xdr:nvPicPr>
      <xdr:blipFill>
        <a:blip xmlns:r="http://schemas.openxmlformats.org/officeDocument/2006/relationships" r:embed="rId4"/>
        <a:stretch>
          <a:fillRect/>
        </a:stretch>
      </xdr:blipFill>
      <xdr:spPr>
        <a:xfrm>
          <a:off x="246630" y="229619"/>
          <a:ext cx="1386227" cy="65484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133349</xdr:colOff>
      <xdr:row>42</xdr:row>
      <xdr:rowOff>95250</xdr:rowOff>
    </xdr:from>
    <xdr:to>
      <xdr:col>14</xdr:col>
      <xdr:colOff>530086</xdr:colOff>
      <xdr:row>63</xdr:row>
      <xdr:rowOff>104775</xdr:rowOff>
    </xdr:to>
    <xdr:graphicFrame macro="">
      <xdr:nvGraphicFramePr>
        <xdr:cNvPr id="2" name="8 Gráfico">
          <a:extLst>
            <a:ext uri="{FF2B5EF4-FFF2-40B4-BE49-F238E27FC236}">
              <a16:creationId xmlns:a16="http://schemas.microsoft.com/office/drawing/2014/main" id="{24B87A79-39CB-47AA-A7B9-6AEC6A5102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96428</xdr:colOff>
      <xdr:row>40</xdr:row>
      <xdr:rowOff>147410</xdr:rowOff>
    </xdr:from>
    <xdr:to>
      <xdr:col>2</xdr:col>
      <xdr:colOff>433185</xdr:colOff>
      <xdr:row>40</xdr:row>
      <xdr:rowOff>148998</xdr:rowOff>
    </xdr:to>
    <xdr:cxnSp macro="">
      <xdr:nvCxnSpPr>
        <xdr:cNvPr id="3" name="3 Conector recto de flecha">
          <a:extLst>
            <a:ext uri="{FF2B5EF4-FFF2-40B4-BE49-F238E27FC236}">
              <a16:creationId xmlns:a16="http://schemas.microsoft.com/office/drawing/2014/main" id="{43A7F51E-AB03-478F-9EEB-60F3F5AE0B44}"/>
            </a:ext>
          </a:extLst>
        </xdr:cNvPr>
        <xdr:cNvCxnSpPr/>
      </xdr:nvCxnSpPr>
      <xdr:spPr>
        <a:xfrm>
          <a:off x="1315628" y="7262585"/>
          <a:ext cx="336757" cy="1588"/>
        </a:xfrm>
        <a:prstGeom prst="straightConnector1">
          <a:avLst/>
        </a:prstGeom>
        <a:ln w="31750">
          <a:solidFill>
            <a:schemeClr val="tx1"/>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521970</xdr:colOff>
      <xdr:row>36</xdr:row>
      <xdr:rowOff>47625</xdr:rowOff>
    </xdr:from>
    <xdr:to>
      <xdr:col>17</xdr:col>
      <xdr:colOff>0</xdr:colOff>
      <xdr:row>46</xdr:row>
      <xdr:rowOff>34265</xdr:rowOff>
    </xdr:to>
    <xdr:sp macro="" textlink="">
      <xdr:nvSpPr>
        <xdr:cNvPr id="5" name="9 Flecha curvada hacia la izquierda">
          <a:hlinkClick xmlns:r="http://schemas.openxmlformats.org/officeDocument/2006/relationships" r:id="rId2"/>
          <a:extLst>
            <a:ext uri="{FF2B5EF4-FFF2-40B4-BE49-F238E27FC236}">
              <a16:creationId xmlns:a16="http://schemas.microsoft.com/office/drawing/2014/main" id="{B7239E7D-A2D0-4D7E-BAC0-A39BC3D28DB6}"/>
            </a:ext>
          </a:extLst>
        </xdr:cNvPr>
        <xdr:cNvSpPr/>
      </xdr:nvSpPr>
      <xdr:spPr bwMode="auto">
        <a:xfrm>
          <a:off x="8294370" y="6515100"/>
          <a:ext cx="982980" cy="1815440"/>
        </a:xfrm>
        <a:prstGeom prst="curvedLeftArrow">
          <a:avLst>
            <a:gd name="adj1" fmla="val 25000"/>
            <a:gd name="adj2" fmla="val 121495"/>
            <a:gd name="adj3" fmla="val 25000"/>
          </a:avLst>
        </a:prstGeom>
        <a:gradFill>
          <a:gsLst>
            <a:gs pos="0">
              <a:schemeClr val="accent1"/>
            </a:gs>
            <a:gs pos="80000">
              <a:schemeClr val="accent1">
                <a:lumMod val="20000"/>
                <a:lumOff val="80000"/>
              </a:schemeClr>
            </a:gs>
            <a:gs pos="100000">
              <a:schemeClr val="accent1"/>
            </a:gs>
          </a:gsLst>
        </a:gradFill>
        <a:ln>
          <a:headEnd type="none" w="med" len="med"/>
          <a:tailEnd type="none" w="med" len="med"/>
        </a:ln>
      </xdr:spPr>
      <xdr:style>
        <a:lnRef idx="0">
          <a:schemeClr val="accent6"/>
        </a:lnRef>
        <a:fillRef idx="3">
          <a:schemeClr val="accent6"/>
        </a:fillRef>
        <a:effectRef idx="3">
          <a:schemeClr val="accent6"/>
        </a:effectRef>
        <a:fontRef idx="minor">
          <a:schemeClr val="lt1"/>
        </a:fontRef>
      </xdr:style>
      <xdr:txBody>
        <a:bodyPr vertOverflow="clip" wrap="square" lIns="18288" tIns="0" rIns="0" bIns="0" rtlCol="0" anchor="ctr" upright="1"/>
        <a:lstStyle/>
        <a:p>
          <a:pPr algn="ctr"/>
          <a:r>
            <a:rPr lang="es-CO" sz="1600" b="1" cap="none" spc="0">
              <a:ln w="10541" cmpd="sng">
                <a:solidFill>
                  <a:schemeClr val="accent1">
                    <a:shade val="88000"/>
                    <a:satMod val="110000"/>
                  </a:schemeClr>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a:gradFill>
              <a:effectLst/>
            </a:rPr>
            <a:t>VOLVER</a:t>
          </a:r>
          <a:endParaRPr lang="es-CO" sz="1600" b="1" cap="none" spc="0">
            <a:ln w="1905"/>
            <a:gradFill>
              <a:gsLst>
                <a:gs pos="0">
                  <a:schemeClr val="accent6">
                    <a:shade val="20000"/>
                    <a:satMod val="200000"/>
                  </a:schemeClr>
                </a:gs>
                <a:gs pos="78000">
                  <a:schemeClr val="accent6">
                    <a:tint val="90000"/>
                    <a:shade val="89000"/>
                    <a:satMod val="220000"/>
                  </a:schemeClr>
                </a:gs>
                <a:gs pos="100000">
                  <a:schemeClr val="accent6">
                    <a:tint val="12000"/>
                    <a:satMod val="255000"/>
                  </a:schemeClr>
                </a:gs>
              </a:gsLst>
              <a:lin ang="5400000"/>
            </a:gradFill>
            <a:effectLst>
              <a:innerShdw blurRad="69850" dist="43180" dir="5400000">
                <a:srgbClr val="000000">
                  <a:alpha val="65000"/>
                </a:srgbClr>
              </a:innerShdw>
            </a:effectLst>
          </a:endParaRPr>
        </a:p>
      </xdr:txBody>
    </xdr:sp>
    <xdr:clientData/>
  </xdr:twoCellAnchor>
  <xdr:twoCellAnchor>
    <xdr:from>
      <xdr:col>2</xdr:col>
      <xdr:colOff>96428</xdr:colOff>
      <xdr:row>40</xdr:row>
      <xdr:rowOff>147410</xdr:rowOff>
    </xdr:from>
    <xdr:to>
      <xdr:col>2</xdr:col>
      <xdr:colOff>433185</xdr:colOff>
      <xdr:row>40</xdr:row>
      <xdr:rowOff>148998</xdr:rowOff>
    </xdr:to>
    <xdr:cxnSp macro="">
      <xdr:nvCxnSpPr>
        <xdr:cNvPr id="7" name="3 Conector recto de flecha">
          <a:extLst>
            <a:ext uri="{FF2B5EF4-FFF2-40B4-BE49-F238E27FC236}">
              <a16:creationId xmlns:a16="http://schemas.microsoft.com/office/drawing/2014/main" id="{EC99D49A-0D98-4B46-BC4A-E88268AF5F91}"/>
            </a:ext>
          </a:extLst>
        </xdr:cNvPr>
        <xdr:cNvCxnSpPr/>
      </xdr:nvCxnSpPr>
      <xdr:spPr>
        <a:xfrm>
          <a:off x="1315628" y="7214960"/>
          <a:ext cx="336757" cy="1588"/>
        </a:xfrm>
        <a:prstGeom prst="straightConnector1">
          <a:avLst/>
        </a:prstGeom>
        <a:ln w="31750">
          <a:solidFill>
            <a:schemeClr val="tx1"/>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294352</xdr:colOff>
      <xdr:row>40</xdr:row>
      <xdr:rowOff>917</xdr:rowOff>
    </xdr:from>
    <xdr:to>
      <xdr:col>3</xdr:col>
      <xdr:colOff>318459</xdr:colOff>
      <xdr:row>40</xdr:row>
      <xdr:rowOff>222994</xdr:rowOff>
    </xdr:to>
    <xdr:cxnSp macro="">
      <xdr:nvCxnSpPr>
        <xdr:cNvPr id="10" name="8 Conector recto de flecha">
          <a:extLst>
            <a:ext uri="{FF2B5EF4-FFF2-40B4-BE49-F238E27FC236}">
              <a16:creationId xmlns:a16="http://schemas.microsoft.com/office/drawing/2014/main" id="{CE3BB1BD-8955-400B-AD91-5F4A2C365C18}"/>
            </a:ext>
          </a:extLst>
        </xdr:cNvPr>
        <xdr:cNvCxnSpPr/>
      </xdr:nvCxnSpPr>
      <xdr:spPr>
        <a:xfrm flipV="1">
          <a:off x="2946698" y="7181302"/>
          <a:ext cx="24107" cy="222077"/>
        </a:xfrm>
        <a:prstGeom prst="straightConnector1">
          <a:avLst/>
        </a:prstGeom>
        <a:ln w="31750">
          <a:solidFill>
            <a:schemeClr val="tx1"/>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331304</xdr:colOff>
      <xdr:row>64</xdr:row>
      <xdr:rowOff>66261</xdr:rowOff>
    </xdr:from>
    <xdr:to>
      <xdr:col>14</xdr:col>
      <xdr:colOff>575641</xdr:colOff>
      <xdr:row>80</xdr:row>
      <xdr:rowOff>29816</xdr:rowOff>
    </xdr:to>
    <xdr:graphicFrame macro="">
      <xdr:nvGraphicFramePr>
        <xdr:cNvPr id="11" name="Gráfico 10">
          <a:extLst>
            <a:ext uri="{FF2B5EF4-FFF2-40B4-BE49-F238E27FC236}">
              <a16:creationId xmlns:a16="http://schemas.microsoft.com/office/drawing/2014/main" id="{91CD3706-F7FF-4780-AEB8-355EAB0016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51027</xdr:colOff>
      <xdr:row>1</xdr:row>
      <xdr:rowOff>25513</xdr:rowOff>
    </xdr:from>
    <xdr:to>
      <xdr:col>1</xdr:col>
      <xdr:colOff>1505290</xdr:colOff>
      <xdr:row>4</xdr:row>
      <xdr:rowOff>98088</xdr:rowOff>
    </xdr:to>
    <xdr:pic>
      <xdr:nvPicPr>
        <xdr:cNvPr id="8" name="Imagen 7">
          <a:extLst>
            <a:ext uri="{FF2B5EF4-FFF2-40B4-BE49-F238E27FC236}">
              <a16:creationId xmlns:a16="http://schemas.microsoft.com/office/drawing/2014/main" id="{0DE33085-CC95-4EEE-B6E2-08C4DFD98C3F}"/>
            </a:ext>
          </a:extLst>
        </xdr:cNvPr>
        <xdr:cNvPicPr>
          <a:picLocks noChangeAspect="1"/>
        </xdr:cNvPicPr>
      </xdr:nvPicPr>
      <xdr:blipFill>
        <a:blip xmlns:r="http://schemas.openxmlformats.org/officeDocument/2006/relationships" r:embed="rId4"/>
        <a:stretch>
          <a:fillRect/>
        </a:stretch>
      </xdr:blipFill>
      <xdr:spPr>
        <a:xfrm>
          <a:off x="272143" y="102053"/>
          <a:ext cx="1454263" cy="642374"/>
        </a:xfrm>
        <a:prstGeom prst="rect">
          <a:avLst/>
        </a:prstGeom>
      </xdr:spPr>
    </xdr:pic>
    <xdr:clientData/>
  </xdr:twoCellAnchor>
  <xdr:twoCellAnchor>
    <xdr:from>
      <xdr:col>4</xdr:col>
      <xdr:colOff>607944</xdr:colOff>
      <xdr:row>40</xdr:row>
      <xdr:rowOff>21432</xdr:rowOff>
    </xdr:from>
    <xdr:to>
      <xdr:col>4</xdr:col>
      <xdr:colOff>632051</xdr:colOff>
      <xdr:row>40</xdr:row>
      <xdr:rowOff>243509</xdr:rowOff>
    </xdr:to>
    <xdr:cxnSp macro="">
      <xdr:nvCxnSpPr>
        <xdr:cNvPr id="6" name="8 Conector recto de flecha">
          <a:extLst>
            <a:ext uri="{FF2B5EF4-FFF2-40B4-BE49-F238E27FC236}">
              <a16:creationId xmlns:a16="http://schemas.microsoft.com/office/drawing/2014/main" id="{71E4A44D-1486-407C-8A44-3075140370AF}"/>
            </a:ext>
          </a:extLst>
        </xdr:cNvPr>
        <xdr:cNvCxnSpPr/>
      </xdr:nvCxnSpPr>
      <xdr:spPr>
        <a:xfrm flipV="1">
          <a:off x="3934367" y="7201817"/>
          <a:ext cx="24107" cy="222077"/>
        </a:xfrm>
        <a:prstGeom prst="straightConnector1">
          <a:avLst/>
        </a:prstGeom>
        <a:ln w="31750">
          <a:solidFill>
            <a:schemeClr val="tx1"/>
          </a:solidFill>
          <a:tailEnd type="arrow"/>
        </a:ln>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133349</xdr:colOff>
      <xdr:row>42</xdr:row>
      <xdr:rowOff>95250</xdr:rowOff>
    </xdr:from>
    <xdr:to>
      <xdr:col>13</xdr:col>
      <xdr:colOff>182095</xdr:colOff>
      <xdr:row>61</xdr:row>
      <xdr:rowOff>14007</xdr:rowOff>
    </xdr:to>
    <xdr:graphicFrame macro="">
      <xdr:nvGraphicFramePr>
        <xdr:cNvPr id="2" name="8 Gráfico">
          <a:extLst>
            <a:ext uri="{FF2B5EF4-FFF2-40B4-BE49-F238E27FC236}">
              <a16:creationId xmlns:a16="http://schemas.microsoft.com/office/drawing/2014/main" id="{1F5F688C-4839-4E2E-8DE2-7A9FF3198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96428</xdr:colOff>
      <xdr:row>40</xdr:row>
      <xdr:rowOff>147410</xdr:rowOff>
    </xdr:from>
    <xdr:to>
      <xdr:col>2</xdr:col>
      <xdr:colOff>433185</xdr:colOff>
      <xdr:row>40</xdr:row>
      <xdr:rowOff>148998</xdr:rowOff>
    </xdr:to>
    <xdr:cxnSp macro="">
      <xdr:nvCxnSpPr>
        <xdr:cNvPr id="3" name="3 Conector recto de flecha">
          <a:extLst>
            <a:ext uri="{FF2B5EF4-FFF2-40B4-BE49-F238E27FC236}">
              <a16:creationId xmlns:a16="http://schemas.microsoft.com/office/drawing/2014/main" id="{190E6587-6590-4D16-ADB5-7B636F596818}"/>
            </a:ext>
          </a:extLst>
        </xdr:cNvPr>
        <xdr:cNvCxnSpPr/>
      </xdr:nvCxnSpPr>
      <xdr:spPr>
        <a:xfrm>
          <a:off x="1315628" y="7053035"/>
          <a:ext cx="336757" cy="1588"/>
        </a:xfrm>
        <a:prstGeom prst="straightConnector1">
          <a:avLst/>
        </a:prstGeom>
        <a:ln w="31750">
          <a:solidFill>
            <a:schemeClr val="tx1"/>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306456</xdr:colOff>
      <xdr:row>40</xdr:row>
      <xdr:rowOff>33131</xdr:rowOff>
    </xdr:from>
    <xdr:to>
      <xdr:col>3</xdr:col>
      <xdr:colOff>306456</xdr:colOff>
      <xdr:row>40</xdr:row>
      <xdr:rowOff>289891</xdr:rowOff>
    </xdr:to>
    <xdr:cxnSp macro="">
      <xdr:nvCxnSpPr>
        <xdr:cNvPr id="4" name="8 Conector recto de flecha">
          <a:extLst>
            <a:ext uri="{FF2B5EF4-FFF2-40B4-BE49-F238E27FC236}">
              <a16:creationId xmlns:a16="http://schemas.microsoft.com/office/drawing/2014/main" id="{BFCC8876-8A54-404A-80DF-E7F0DA8D149B}"/>
            </a:ext>
          </a:extLst>
        </xdr:cNvPr>
        <xdr:cNvCxnSpPr/>
      </xdr:nvCxnSpPr>
      <xdr:spPr>
        <a:xfrm>
          <a:off x="2103782" y="7172740"/>
          <a:ext cx="0" cy="256760"/>
        </a:xfrm>
        <a:prstGeom prst="straightConnector1">
          <a:avLst/>
        </a:prstGeom>
        <a:ln w="31750">
          <a:solidFill>
            <a:schemeClr val="tx1"/>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521970</xdr:colOff>
      <xdr:row>36</xdr:row>
      <xdr:rowOff>47625</xdr:rowOff>
    </xdr:from>
    <xdr:to>
      <xdr:col>17</xdr:col>
      <xdr:colOff>0</xdr:colOff>
      <xdr:row>46</xdr:row>
      <xdr:rowOff>34265</xdr:rowOff>
    </xdr:to>
    <xdr:sp macro="" textlink="">
      <xdr:nvSpPr>
        <xdr:cNvPr id="5" name="9 Flecha curvada hacia la izquierda">
          <a:hlinkClick xmlns:r="http://schemas.openxmlformats.org/officeDocument/2006/relationships" r:id="rId2"/>
          <a:extLst>
            <a:ext uri="{FF2B5EF4-FFF2-40B4-BE49-F238E27FC236}">
              <a16:creationId xmlns:a16="http://schemas.microsoft.com/office/drawing/2014/main" id="{8D3FE2EB-5F32-4527-8061-7270CBEF95FF}"/>
            </a:ext>
          </a:extLst>
        </xdr:cNvPr>
        <xdr:cNvSpPr/>
      </xdr:nvSpPr>
      <xdr:spPr bwMode="auto">
        <a:xfrm>
          <a:off x="8580120" y="6305550"/>
          <a:ext cx="2183130" cy="1815440"/>
        </a:xfrm>
        <a:prstGeom prst="curvedLeftArrow">
          <a:avLst>
            <a:gd name="adj1" fmla="val 25000"/>
            <a:gd name="adj2" fmla="val 121495"/>
            <a:gd name="adj3" fmla="val 25000"/>
          </a:avLst>
        </a:prstGeom>
        <a:gradFill>
          <a:gsLst>
            <a:gs pos="0">
              <a:schemeClr val="accent1"/>
            </a:gs>
            <a:gs pos="80000">
              <a:schemeClr val="accent1">
                <a:lumMod val="20000"/>
                <a:lumOff val="80000"/>
              </a:schemeClr>
            </a:gs>
            <a:gs pos="100000">
              <a:schemeClr val="accent1"/>
            </a:gs>
          </a:gsLst>
        </a:gradFill>
        <a:ln>
          <a:headEnd type="none" w="med" len="med"/>
          <a:tailEnd type="none" w="med" len="med"/>
        </a:ln>
      </xdr:spPr>
      <xdr:style>
        <a:lnRef idx="0">
          <a:schemeClr val="accent6"/>
        </a:lnRef>
        <a:fillRef idx="3">
          <a:schemeClr val="accent6"/>
        </a:fillRef>
        <a:effectRef idx="3">
          <a:schemeClr val="accent6"/>
        </a:effectRef>
        <a:fontRef idx="minor">
          <a:schemeClr val="lt1"/>
        </a:fontRef>
      </xdr:style>
      <xdr:txBody>
        <a:bodyPr vertOverflow="clip" wrap="square" lIns="18288" tIns="0" rIns="0" bIns="0" rtlCol="0" anchor="ctr" upright="1"/>
        <a:lstStyle/>
        <a:p>
          <a:pPr algn="ctr"/>
          <a:r>
            <a:rPr lang="es-CO" sz="1600" b="1" cap="none" spc="0">
              <a:ln w="10541" cmpd="sng">
                <a:solidFill>
                  <a:schemeClr val="accent1">
                    <a:shade val="88000"/>
                    <a:satMod val="110000"/>
                  </a:schemeClr>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a:gradFill>
              <a:effectLst/>
            </a:rPr>
            <a:t>VOLVER</a:t>
          </a:r>
          <a:endParaRPr lang="es-CO" sz="1600" b="1" cap="none" spc="0">
            <a:ln w="1905"/>
            <a:gradFill>
              <a:gsLst>
                <a:gs pos="0">
                  <a:schemeClr val="accent6">
                    <a:shade val="20000"/>
                    <a:satMod val="200000"/>
                  </a:schemeClr>
                </a:gs>
                <a:gs pos="78000">
                  <a:schemeClr val="accent6">
                    <a:tint val="90000"/>
                    <a:shade val="89000"/>
                    <a:satMod val="220000"/>
                  </a:schemeClr>
                </a:gs>
                <a:gs pos="100000">
                  <a:schemeClr val="accent6">
                    <a:tint val="12000"/>
                    <a:satMod val="255000"/>
                  </a:schemeClr>
                </a:gs>
              </a:gsLst>
              <a:lin ang="5400000"/>
            </a:gradFill>
            <a:effectLst>
              <a:innerShdw blurRad="69850" dist="43180" dir="5400000">
                <a:srgbClr val="000000">
                  <a:alpha val="65000"/>
                </a:srgbClr>
              </a:innerShdw>
            </a:effectLst>
          </a:endParaRPr>
        </a:p>
      </xdr:txBody>
    </xdr:sp>
    <xdr:clientData/>
  </xdr:twoCellAnchor>
  <xdr:twoCellAnchor>
    <xdr:from>
      <xdr:col>5</xdr:col>
      <xdr:colOff>244336</xdr:colOff>
      <xdr:row>64</xdr:row>
      <xdr:rowOff>69576</xdr:rowOff>
    </xdr:from>
    <xdr:to>
      <xdr:col>14</xdr:col>
      <xdr:colOff>488674</xdr:colOff>
      <xdr:row>78</xdr:row>
      <xdr:rowOff>49696</xdr:rowOff>
    </xdr:to>
    <xdr:graphicFrame macro="">
      <xdr:nvGraphicFramePr>
        <xdr:cNvPr id="12" name="Gráfico 11">
          <a:extLst>
            <a:ext uri="{FF2B5EF4-FFF2-40B4-BE49-F238E27FC236}">
              <a16:creationId xmlns:a16="http://schemas.microsoft.com/office/drawing/2014/main" id="{500AC423-B456-431E-BED4-DD2D564A6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76200</xdr:colOff>
      <xdr:row>1</xdr:row>
      <xdr:rowOff>104775</xdr:rowOff>
    </xdr:from>
    <xdr:to>
      <xdr:col>1</xdr:col>
      <xdr:colOff>1462427</xdr:colOff>
      <xdr:row>4</xdr:row>
      <xdr:rowOff>145596</xdr:rowOff>
    </xdr:to>
    <xdr:pic>
      <xdr:nvPicPr>
        <xdr:cNvPr id="7" name="Imagen 6">
          <a:extLst>
            <a:ext uri="{FF2B5EF4-FFF2-40B4-BE49-F238E27FC236}">
              <a16:creationId xmlns:a16="http://schemas.microsoft.com/office/drawing/2014/main" id="{45F128B8-DC64-4890-9647-E8248AC79965}"/>
            </a:ext>
          </a:extLst>
        </xdr:cNvPr>
        <xdr:cNvPicPr>
          <a:picLocks noChangeAspect="1"/>
        </xdr:cNvPicPr>
      </xdr:nvPicPr>
      <xdr:blipFill>
        <a:blip xmlns:r="http://schemas.openxmlformats.org/officeDocument/2006/relationships" r:embed="rId4"/>
        <a:stretch>
          <a:fillRect/>
        </a:stretch>
      </xdr:blipFill>
      <xdr:spPr>
        <a:xfrm>
          <a:off x="295275" y="180975"/>
          <a:ext cx="1386227" cy="6123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ARCHIVOSTSM\Mis%20documentos\Ambiental\Desempe&#241;o%20Ambiental\Indicadores%20Ambient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ileserver\operaciones\ARCHIVOSTSM\Mis%20documentos\Ambiental\Desempe&#241;o%20Ambiental\Indicadores%20Ambient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168.40.150\documentos%20auditoria\Baterias%20Revisadas\Gest%20Calida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John\c\Users\Paola\Documents\01%20-%20Proyectos\04-%20MME%20IND\02-%20Bateria%20Indicadores\Baterias%20Finales%20Ajustadas\Estrategicos\Control\Indicador%20Control_Interno.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92.168.40.150\documentos%20auditoria\Documents%20and%20Settings\averatec\My%20Documents\EJEMPLOS\Plantilla%20Indicado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hiculos"/>
      <sheetName val="Operadores"/>
      <sheetName val="Consumo_Agua"/>
      <sheetName val="Analisis_Consumo_Agua"/>
      <sheetName val="Resum_Lubricantes (Historico)"/>
      <sheetName val="ResumenConsumoKM (historico)"/>
      <sheetName val="ResumenEficiencia (historico)"/>
      <sheetName val="Resum_Lubricantes"/>
      <sheetName val="Lubricantes"/>
      <sheetName val="ResumenKilometros"/>
      <sheetName val="ResumenConsumo"/>
      <sheetName val="Resumen ConsumoxKilometro"/>
      <sheetName val="Hoja2"/>
      <sheetName val="Resumen"/>
      <sheetName val="Eficiencia Energetica"/>
      <sheetName val="Consumo_Lubricante"/>
      <sheetName val="Cuadro Control"/>
      <sheetName val="DatosCombustible"/>
      <sheetName val="Agua"/>
      <sheetName val="Hoja21"/>
      <sheetName val="Consumo_Filtros"/>
      <sheetName val="TipoFiltro"/>
      <sheetName val="Tipo_Aceite"/>
      <sheetName val="Registro_Empresa"/>
      <sheetName val="Refrigerante"/>
      <sheetName val="Material_Contaminado"/>
      <sheetName val="Lodos"/>
      <sheetName val="Llantas"/>
      <sheetName val="Grasas"/>
      <sheetName val="Filtros"/>
      <sheetName val="Consumo_Aceites"/>
      <sheetName val="Chatarra"/>
      <sheetName val="Catalizadores"/>
      <sheetName val="Baterias"/>
      <sheetName val="Acei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9">
          <cell r="D29">
            <v>6.2493775206744901</v>
          </cell>
        </row>
        <row r="30">
          <cell r="D30">
            <v>9.7898041653540169</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ConsumoKM (historico)"/>
      <sheetName val="ResumenEficiencia (historico)"/>
      <sheetName val="Hoja1"/>
      <sheetName val="Cuadro Control"/>
      <sheetName val="Operadores"/>
      <sheetName val="Resum_Lubricantes"/>
      <sheetName val="Lubricantes"/>
      <sheetName val="DatosCombustible"/>
      <sheetName val="ResumenKilometros"/>
      <sheetName val="ResumenConsumo"/>
      <sheetName val="Resumen ConsumoxKilometro"/>
      <sheetName val="Hoja2"/>
      <sheetName val="Resumen"/>
      <sheetName val="Eficiencia Energetica"/>
      <sheetName val="PIGA"/>
      <sheetName val="Consumo_Lubricante"/>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30">
          <cell r="I30">
            <v>6.2480480814633381</v>
          </cell>
        </row>
        <row r="31">
          <cell r="I31">
            <v>10.324235276715344</v>
          </cell>
        </row>
      </sheetData>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eria "/>
      <sheetName val="H.V 1"/>
      <sheetName val="H.V 2"/>
      <sheetName val="H.V 3"/>
      <sheetName val="listas"/>
    </sheetNames>
    <sheetDataSet>
      <sheetData sheetId="0"/>
      <sheetData sheetId="1"/>
      <sheetData sheetId="2"/>
      <sheetData sheetId="3"/>
      <sheetData sheetId="4" refreshError="1">
        <row r="3">
          <cell r="L3" t="str">
            <v>Lista Sector</v>
          </cell>
        </row>
        <row r="4">
          <cell r="K4" t="str">
            <v>Direccionamiento Estratégico Institucional</v>
          </cell>
          <cell r="L4" t="str">
            <v>Hidrocaburos</v>
          </cell>
          <cell r="M4" t="str">
            <v>ESTRATEGICOS</v>
          </cell>
          <cell r="N4" t="str">
            <v>ESTRATEGICOS</v>
          </cell>
          <cell r="O4" t="str">
            <v>ESTRATEGICOS</v>
          </cell>
        </row>
        <row r="5">
          <cell r="K5" t="str">
            <v>CI - Control Interno</v>
          </cell>
          <cell r="L5" t="str">
            <v>Energia</v>
          </cell>
          <cell r="M5" t="str">
            <v>Producto</v>
          </cell>
          <cell r="N5" t="str">
            <v>Economicos</v>
          </cell>
          <cell r="O5" t="str">
            <v>Efecto Ambiental</v>
          </cell>
        </row>
        <row r="6">
          <cell r="K6" t="str">
            <v>CI - Gestión Calidad</v>
          </cell>
          <cell r="L6" t="str">
            <v>Minas</v>
          </cell>
          <cell r="M6" t="str">
            <v>DESEMPEÑO</v>
          </cell>
          <cell r="N6" t="str">
            <v>Rentabilidad Privados</v>
          </cell>
          <cell r="O6" t="str">
            <v>Impacto</v>
          </cell>
        </row>
        <row r="7">
          <cell r="K7" t="str">
            <v>CyC - Mecanismos de participación ciudadana</v>
          </cell>
          <cell r="L7" t="str">
            <v>Energia Nuclear</v>
          </cell>
          <cell r="M7" t="str">
            <v>Producto</v>
          </cell>
          <cell r="N7" t="str">
            <v>Rentabilidad Social</v>
          </cell>
          <cell r="O7" t="str">
            <v>Responsabilidad Social</v>
          </cell>
        </row>
        <row r="8">
          <cell r="K8" t="str">
            <v xml:space="preserve">CyC - Con empresas del sector (promoción y desarrollo de las electrificadoras del país)  </v>
          </cell>
          <cell r="L8" t="str">
            <v>Gas</v>
          </cell>
          <cell r="M8" t="str">
            <v>Flujo</v>
          </cell>
          <cell r="N8" t="str">
            <v>Equidad</v>
          </cell>
          <cell r="O8" t="str">
            <v>Efecto Ambiental</v>
          </cell>
        </row>
        <row r="9">
          <cell r="K9" t="str">
            <v xml:space="preserve">CyC - Imagen Institucional </v>
          </cell>
          <cell r="L9" t="str">
            <v>Participación Ciudadana</v>
          </cell>
          <cell r="M9" t="str">
            <v>Capacidad</v>
          </cell>
          <cell r="N9" t="str">
            <v>Equidad Ambiental</v>
          </cell>
          <cell r="O9" t="str">
            <v>Responsabilidad Privada</v>
          </cell>
        </row>
        <row r="10">
          <cell r="K10" t="str">
            <v>Formulación y adopción de políticas y lineamientos sectoriales.</v>
          </cell>
          <cell r="L10" t="str">
            <v>Imagen Institucional -Prensa</v>
          </cell>
          <cell r="M10" t="str">
            <v>Variación Acumulada</v>
          </cell>
          <cell r="O10" t="str">
            <v>DESEMPEÑO</v>
          </cell>
        </row>
        <row r="11">
          <cell r="K11" t="str">
            <v>Planeación, diseño, desarrollo y divulgación de actos administrativos.</v>
          </cell>
          <cell r="L11" t="str">
            <v>Control Interno</v>
          </cell>
          <cell r="M11" t="str">
            <v>Resultado</v>
          </cell>
          <cell r="N11" t="str">
            <v>DESEMPEÑO</v>
          </cell>
          <cell r="O11" t="str">
            <v>Impacto</v>
          </cell>
        </row>
        <row r="12">
          <cell r="K12" t="str">
            <v>Ejecución de políticas y lineamientos sectoriales.</v>
          </cell>
          <cell r="L12" t="str">
            <v>Planeación</v>
          </cell>
          <cell r="M12" t="str">
            <v>OPERACIONAL</v>
          </cell>
          <cell r="N12" t="str">
            <v>Economicos</v>
          </cell>
          <cell r="O12" t="str">
            <v>Efecto Ambiental</v>
          </cell>
        </row>
        <row r="13">
          <cell r="K13" t="str">
            <v>Seguimiento, vigilancia y control a políticas y lineamientos sectoriales.</v>
          </cell>
          <cell r="L13" t="str">
            <v>Electrificadoras ES ENERGIA</v>
          </cell>
          <cell r="M13" t="str">
            <v>Resultado</v>
          </cell>
          <cell r="N13" t="str">
            <v>Rentabilidad Privados</v>
          </cell>
        </row>
        <row r="14">
          <cell r="K14" t="str">
            <v>RH – Administración planta de personal</v>
          </cell>
          <cell r="L14" t="str">
            <v>Recursos Humanos</v>
          </cell>
          <cell r="M14" t="str">
            <v>Flujo</v>
          </cell>
          <cell r="N14" t="str">
            <v>Rentabilidad Social</v>
          </cell>
        </row>
        <row r="15">
          <cell r="K15" t="str">
            <v>RH – Desarrollo integral del recurso humano</v>
          </cell>
          <cell r="L15" t="str">
            <v>Sistemas</v>
          </cell>
          <cell r="M15" t="str">
            <v>Variación Acumulada</v>
          </cell>
          <cell r="N15" t="str">
            <v>Productividad</v>
          </cell>
        </row>
        <row r="16">
          <cell r="K16" t="str">
            <v>RH – Reconocimiento laboral de Funcionarios y Pensionados</v>
          </cell>
          <cell r="L16" t="str">
            <v>Administrativa</v>
          </cell>
          <cell r="M16" t="str">
            <v>Capacidad</v>
          </cell>
          <cell r="N16" t="str">
            <v>Equidad</v>
          </cell>
        </row>
        <row r="17">
          <cell r="K17" t="str">
            <v>RFyT – Gestión de recursos físicos</v>
          </cell>
          <cell r="L17" t="str">
            <v>Financiera</v>
          </cell>
          <cell r="N17" t="str">
            <v>Equidad Ambiental</v>
          </cell>
        </row>
        <row r="18">
          <cell r="K18" t="str">
            <v>RFyT – Recursos informáticos</v>
          </cell>
          <cell r="L18" t="str">
            <v>Documental</v>
          </cell>
          <cell r="N18" t="str">
            <v>Evaluación Impacto Ambiental</v>
          </cell>
        </row>
        <row r="19">
          <cell r="K19" t="str">
            <v>GF – Gestión contable</v>
          </cell>
          <cell r="L19" t="str">
            <v>Juridica</v>
          </cell>
          <cell r="N19" t="str">
            <v>OPERACIONAL</v>
          </cell>
        </row>
        <row r="20">
          <cell r="K20" t="str">
            <v>GF– Gestión presupuestal</v>
          </cell>
          <cell r="L20" t="str">
            <v>Ambiental</v>
          </cell>
          <cell r="N20" t="str">
            <v>Control</v>
          </cell>
        </row>
        <row r="21">
          <cell r="K21" t="str">
            <v>GF – Gestión tesorería</v>
          </cell>
          <cell r="L21" t="str">
            <v>Congreso</v>
          </cell>
          <cell r="N21" t="str">
            <v>Evaluación Impacto Ambiental</v>
          </cell>
        </row>
        <row r="22">
          <cell r="K22" t="str">
            <v>GD– Administración de documentos</v>
          </cell>
          <cell r="L22" t="str">
            <v>Coactivo</v>
          </cell>
        </row>
        <row r="23">
          <cell r="K23" t="str">
            <v>GD – Transferencia y atención de consulta  de documentos</v>
          </cell>
          <cell r="L23" t="str">
            <v>Disciplinario</v>
          </cell>
        </row>
        <row r="24">
          <cell r="K24" t="str">
            <v>J – Asesoría legal.</v>
          </cell>
        </row>
        <row r="25">
          <cell r="K25" t="str">
            <v>J – Defensa de los Intereses del Ministerio</v>
          </cell>
          <cell r="M25" t="str">
            <v>TIPO</v>
          </cell>
        </row>
        <row r="26">
          <cell r="K26" t="str">
            <v>J – Cobro coactivo.</v>
          </cell>
          <cell r="L26" t="str">
            <v>ESTRATEGICO</v>
          </cell>
        </row>
        <row r="27">
          <cell r="K27" t="str">
            <v>J – Control disciplinario interno.</v>
          </cell>
          <cell r="L27" t="str">
            <v>DESEMPEÑO</v>
          </cell>
        </row>
        <row r="28">
          <cell r="L28" t="str">
            <v>OPERACIONAL</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eria "/>
      <sheetName val="H.V 1"/>
      <sheetName val="H.V 2"/>
      <sheetName val="H.V 3"/>
      <sheetName val="H.V 4"/>
      <sheetName val="H.V 5"/>
      <sheetName val="H.V 6"/>
      <sheetName val="listas"/>
    </sheetNames>
    <sheetDataSet>
      <sheetData sheetId="0"/>
      <sheetData sheetId="1"/>
      <sheetData sheetId="2" refreshError="1"/>
      <sheetData sheetId="3" refreshError="1"/>
      <sheetData sheetId="4" refreshError="1"/>
      <sheetData sheetId="5" refreshError="1"/>
      <sheetData sheetId="6" refreshError="1"/>
      <sheetData sheetId="7">
        <row r="3">
          <cell r="L3" t="str">
            <v>Lista Sector</v>
          </cell>
        </row>
        <row r="4">
          <cell r="K4" t="str">
            <v>Direccionamiento Estratégico Institucional</v>
          </cell>
          <cell r="L4" t="str">
            <v>Hidrocaburos</v>
          </cell>
          <cell r="M4" t="str">
            <v>ESTRATEGICOS</v>
          </cell>
          <cell r="N4" t="str">
            <v>ESTRATEGICOS</v>
          </cell>
          <cell r="O4" t="str">
            <v>ESTRATEGICOS</v>
          </cell>
        </row>
        <row r="5">
          <cell r="K5" t="str">
            <v>CI - Control Interno</v>
          </cell>
          <cell r="L5" t="str">
            <v>Energia</v>
          </cell>
          <cell r="M5" t="str">
            <v>Producto</v>
          </cell>
          <cell r="N5" t="str">
            <v>Economicos</v>
          </cell>
          <cell r="O5" t="str">
            <v>Efecto Ambiental</v>
          </cell>
        </row>
        <row r="6">
          <cell r="K6" t="str">
            <v>CI - Gestión Calidad</v>
          </cell>
          <cell r="L6" t="str">
            <v>Minas</v>
          </cell>
          <cell r="M6" t="str">
            <v>DESEMPEÑO</v>
          </cell>
          <cell r="N6" t="str">
            <v>Rentabilidad Privados</v>
          </cell>
          <cell r="O6" t="str">
            <v>Impacto</v>
          </cell>
        </row>
        <row r="7">
          <cell r="K7" t="str">
            <v>CyC - Mecanismos de participación ciudadana</v>
          </cell>
          <cell r="L7" t="str">
            <v>Energia Nuclear</v>
          </cell>
          <cell r="M7" t="str">
            <v>Producto</v>
          </cell>
          <cell r="N7" t="str">
            <v>Rentabilidad Social</v>
          </cell>
          <cell r="O7" t="str">
            <v>Responsabilidad Social</v>
          </cell>
        </row>
        <row r="8">
          <cell r="K8" t="str">
            <v xml:space="preserve">CyC - Con empresas del sector (promoción y desarrollo de las electrificadoras del país)  </v>
          </cell>
          <cell r="L8" t="str">
            <v>Gas</v>
          </cell>
          <cell r="M8" t="str">
            <v>Flujo</v>
          </cell>
          <cell r="N8" t="str">
            <v>Equidad</v>
          </cell>
          <cell r="O8" t="str">
            <v>Efecto Ambiental</v>
          </cell>
        </row>
        <row r="9">
          <cell r="K9" t="str">
            <v xml:space="preserve">CyC - Imagen Institucional </v>
          </cell>
          <cell r="L9" t="str">
            <v>Participación Ciudadana</v>
          </cell>
          <cell r="M9" t="str">
            <v>Capacidad</v>
          </cell>
          <cell r="N9" t="str">
            <v>Equidad Ambiental</v>
          </cell>
          <cell r="O9" t="str">
            <v>Responsabilidad Privada</v>
          </cell>
        </row>
        <row r="10">
          <cell r="K10" t="str">
            <v>Formulación y adopción de políticas y lineamientos sectoriales.</v>
          </cell>
          <cell r="L10" t="str">
            <v>Imagen Institucional -Prensa</v>
          </cell>
          <cell r="M10" t="str">
            <v>Variación Acumulada</v>
          </cell>
          <cell r="O10" t="str">
            <v>DESEMPEÑO</v>
          </cell>
        </row>
        <row r="11">
          <cell r="K11" t="str">
            <v>Planeación, diseño, desarrollo y divulgación de actos administrativos.</v>
          </cell>
          <cell r="L11" t="str">
            <v>Control Interno</v>
          </cell>
          <cell r="M11" t="str">
            <v>Resultado</v>
          </cell>
          <cell r="N11" t="str">
            <v>DESEMPEÑO</v>
          </cell>
          <cell r="O11" t="str">
            <v>Impacto</v>
          </cell>
        </row>
        <row r="12">
          <cell r="K12" t="str">
            <v>Ejecución de políticas y lineamientos sectoriales.</v>
          </cell>
          <cell r="L12" t="str">
            <v>Planeación</v>
          </cell>
          <cell r="M12" t="str">
            <v>OPERACIONAL</v>
          </cell>
          <cell r="N12" t="str">
            <v>Economicos</v>
          </cell>
          <cell r="O12" t="str">
            <v>Efecto Ambiental</v>
          </cell>
        </row>
        <row r="13">
          <cell r="K13" t="str">
            <v>Seguimiento, vigilancia y control a políticas y lineamientos sectoriales.</v>
          </cell>
          <cell r="L13" t="str">
            <v>Electrificadoras ES ENERGIA</v>
          </cell>
          <cell r="M13" t="str">
            <v>Resultado</v>
          </cell>
          <cell r="N13" t="str">
            <v>Rentabilidad Privados</v>
          </cell>
        </row>
        <row r="14">
          <cell r="K14" t="str">
            <v>RH – Administración planta de personal</v>
          </cell>
          <cell r="L14" t="str">
            <v>Recursos Humanos</v>
          </cell>
          <cell r="M14" t="str">
            <v>Flujo</v>
          </cell>
          <cell r="N14" t="str">
            <v>Rentabilidad Social</v>
          </cell>
        </row>
        <row r="15">
          <cell r="K15" t="str">
            <v>RH – Desarrollo integral del recurso humano</v>
          </cell>
          <cell r="L15" t="str">
            <v>Sistemas</v>
          </cell>
          <cell r="M15" t="str">
            <v>Variación Acumulada</v>
          </cell>
          <cell r="N15" t="str">
            <v>Productividad</v>
          </cell>
        </row>
        <row r="16">
          <cell r="K16" t="str">
            <v>RH – Reconocimiento laboral de Funcionarios y Pensionados</v>
          </cell>
          <cell r="L16" t="str">
            <v>Administrativa</v>
          </cell>
          <cell r="M16" t="str">
            <v>Capacidad</v>
          </cell>
          <cell r="N16" t="str">
            <v>Equidad</v>
          </cell>
        </row>
        <row r="17">
          <cell r="K17" t="str">
            <v>RFyT – Gestión de recursos físicos</v>
          </cell>
          <cell r="L17" t="str">
            <v>Financiera</v>
          </cell>
          <cell r="N17" t="str">
            <v>Equidad Ambiental</v>
          </cell>
        </row>
        <row r="18">
          <cell r="K18" t="str">
            <v>RFyT – Recursos informáticos</v>
          </cell>
          <cell r="L18" t="str">
            <v>Documental</v>
          </cell>
          <cell r="N18" t="str">
            <v>Evaluación Impacto Ambiental</v>
          </cell>
        </row>
        <row r="19">
          <cell r="K19" t="str">
            <v>GF – Gestión contable</v>
          </cell>
          <cell r="L19" t="str">
            <v>Juridica</v>
          </cell>
          <cell r="N19" t="str">
            <v>OPERACIONAL</v>
          </cell>
        </row>
        <row r="20">
          <cell r="K20" t="str">
            <v>GF– Gestión presupuestal</v>
          </cell>
          <cell r="L20" t="str">
            <v>Ambiental</v>
          </cell>
          <cell r="N20" t="str">
            <v>Control</v>
          </cell>
        </row>
        <row r="21">
          <cell r="K21" t="str">
            <v>GF – Gestión tesorería</v>
          </cell>
          <cell r="L21" t="str">
            <v>Congreso</v>
          </cell>
          <cell r="N21" t="str">
            <v>Evaluación Impacto Ambiental</v>
          </cell>
        </row>
        <row r="22">
          <cell r="K22" t="str">
            <v>GD– Administración de documentos</v>
          </cell>
          <cell r="L22" t="str">
            <v>Coactivo</v>
          </cell>
        </row>
        <row r="23">
          <cell r="K23" t="str">
            <v>GD – Transferencia y atención de consulta  de documentos</v>
          </cell>
          <cell r="L23" t="str">
            <v>Disciplinario</v>
          </cell>
        </row>
        <row r="24">
          <cell r="K24" t="str">
            <v>J – Asesoría legal.</v>
          </cell>
        </row>
        <row r="25">
          <cell r="K25" t="str">
            <v>J – Defensa de los Intereses del Ministerio</v>
          </cell>
          <cell r="L25" t="str">
            <v>ESTRATEGICO</v>
          </cell>
          <cell r="M25" t="str">
            <v>EFICACIA</v>
          </cell>
        </row>
        <row r="26">
          <cell r="K26" t="str">
            <v>J – Cobro coactivo.</v>
          </cell>
          <cell r="L26" t="str">
            <v>DESEMPEÑO</v>
          </cell>
          <cell r="M26" t="str">
            <v>EFICICENCIA</v>
          </cell>
        </row>
        <row r="27">
          <cell r="K27" t="str">
            <v>J – Control disciplinario interno.</v>
          </cell>
          <cell r="L27" t="str">
            <v>OPERACIONAL</v>
          </cell>
          <cell r="M27" t="str">
            <v>EFECTIVIDAD</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adores"/>
      <sheetName val="Ingreso de Datos"/>
      <sheetName val="ENERO"/>
      <sheetName val="FEBRERO"/>
      <sheetName val="MARZO"/>
      <sheetName val="ABRIL"/>
      <sheetName val="MAYO"/>
      <sheetName val="JUNIO"/>
      <sheetName val="JULIO"/>
      <sheetName val="AGOSTO"/>
      <sheetName val="SEPTIEMBRE"/>
      <sheetName val="OCTUBRE"/>
      <sheetName val="NOVIEMBRE"/>
      <sheetName val="DICIEMB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19"/>
  <sheetViews>
    <sheetView topLeftCell="A13" zoomScale="94" workbookViewId="0">
      <selection activeCell="B9" sqref="B9:B19"/>
    </sheetView>
  </sheetViews>
  <sheetFormatPr baseColWidth="10" defaultRowHeight="12.75" x14ac:dyDescent="0.2"/>
  <cols>
    <col min="1" max="1" width="32.85546875" style="1" customWidth="1"/>
    <col min="2" max="2" width="29.7109375" style="1" customWidth="1"/>
    <col min="3" max="3" width="17.42578125" style="1" customWidth="1"/>
    <col min="4" max="4" width="26" style="1" customWidth="1"/>
    <col min="5" max="5" width="18.85546875" customWidth="1"/>
  </cols>
  <sheetData>
    <row r="3" spans="1:5" x14ac:dyDescent="0.2">
      <c r="A3" s="3"/>
    </row>
    <row r="8" spans="1:5" ht="23.25" customHeight="1" x14ac:dyDescent="0.2">
      <c r="A8" s="6" t="s">
        <v>15</v>
      </c>
      <c r="B8" s="6" t="s">
        <v>14</v>
      </c>
      <c r="C8" s="6" t="s">
        <v>16</v>
      </c>
      <c r="D8" s="6" t="s">
        <v>17</v>
      </c>
      <c r="E8" s="7" t="s">
        <v>19</v>
      </c>
    </row>
    <row r="9" spans="1:5" ht="51" customHeight="1" x14ac:dyDescent="0.2">
      <c r="A9" s="250" t="s">
        <v>37</v>
      </c>
      <c r="B9" s="2" t="s">
        <v>38</v>
      </c>
      <c r="C9" s="2" t="s">
        <v>48</v>
      </c>
      <c r="D9" s="250" t="s">
        <v>20</v>
      </c>
      <c r="E9" s="250" t="s">
        <v>42</v>
      </c>
    </row>
    <row r="10" spans="1:5" ht="37.5" customHeight="1" x14ac:dyDescent="0.2">
      <c r="A10" s="250"/>
      <c r="B10" s="2" t="s">
        <v>39</v>
      </c>
      <c r="C10" s="2" t="s">
        <v>47</v>
      </c>
      <c r="D10" s="250"/>
      <c r="E10" s="250"/>
    </row>
    <row r="11" spans="1:5" ht="54.75" customHeight="1" x14ac:dyDescent="0.2">
      <c r="A11" s="250"/>
      <c r="B11" s="2" t="s">
        <v>40</v>
      </c>
      <c r="C11" s="2" t="s">
        <v>47</v>
      </c>
      <c r="D11" s="2" t="s">
        <v>49</v>
      </c>
      <c r="E11" s="2" t="s">
        <v>42</v>
      </c>
    </row>
    <row r="12" spans="1:5" ht="42" customHeight="1" x14ac:dyDescent="0.2">
      <c r="A12" s="53" t="s">
        <v>21</v>
      </c>
      <c r="B12" s="53" t="s">
        <v>22</v>
      </c>
      <c r="C12" s="2" t="s">
        <v>48</v>
      </c>
      <c r="D12" s="2" t="e">
        <f>+Bateria!#REF!</f>
        <v>#REF!</v>
      </c>
      <c r="E12" s="8" t="s">
        <v>50</v>
      </c>
    </row>
    <row r="13" spans="1:5" ht="42" customHeight="1" x14ac:dyDescent="0.2">
      <c r="A13" s="248" t="s">
        <v>23</v>
      </c>
      <c r="B13" s="248" t="s">
        <v>41</v>
      </c>
      <c r="C13" s="2" t="s">
        <v>26</v>
      </c>
      <c r="D13" s="2" t="e">
        <f>+Bateria!#REF!</f>
        <v>#REF!</v>
      </c>
      <c r="E13" s="8" t="s">
        <v>43</v>
      </c>
    </row>
    <row r="14" spans="1:5" ht="60.75" customHeight="1" x14ac:dyDescent="0.2">
      <c r="A14" s="249"/>
      <c r="B14" s="249"/>
      <c r="C14" s="2" t="s">
        <v>51</v>
      </c>
      <c r="D14" s="2" t="e">
        <f>+Bateria!#REF!</f>
        <v>#REF!</v>
      </c>
      <c r="E14" s="2" t="s">
        <v>52</v>
      </c>
    </row>
    <row r="15" spans="1:5" ht="60.75" customHeight="1" x14ac:dyDescent="0.2">
      <c r="A15" s="53" t="s">
        <v>24</v>
      </c>
      <c r="B15" s="53" t="s">
        <v>25</v>
      </c>
      <c r="C15" s="53" t="s">
        <v>26</v>
      </c>
      <c r="D15" s="2" t="e">
        <f>+Bateria!#REF!</f>
        <v>#REF!</v>
      </c>
      <c r="E15" s="2" t="s">
        <v>52</v>
      </c>
    </row>
    <row r="16" spans="1:5" ht="55.5" customHeight="1" x14ac:dyDescent="0.2">
      <c r="A16" s="2" t="s">
        <v>27</v>
      </c>
      <c r="B16" s="2" t="s">
        <v>28</v>
      </c>
      <c r="C16" s="2" t="s">
        <v>51</v>
      </c>
      <c r="D16" s="2" t="s">
        <v>29</v>
      </c>
      <c r="E16" s="2" t="s">
        <v>52</v>
      </c>
    </row>
    <row r="17" spans="1:5" ht="39" customHeight="1" x14ac:dyDescent="0.2">
      <c r="A17" s="250" t="s">
        <v>30</v>
      </c>
      <c r="B17" s="248" t="s">
        <v>31</v>
      </c>
      <c r="C17" s="2" t="s">
        <v>36</v>
      </c>
      <c r="D17" s="2" t="s">
        <v>87</v>
      </c>
      <c r="E17" s="2" t="s">
        <v>53</v>
      </c>
    </row>
    <row r="18" spans="1:5" ht="25.5" x14ac:dyDescent="0.2">
      <c r="A18" s="250"/>
      <c r="B18" s="249"/>
      <c r="C18" s="2" t="s">
        <v>35</v>
      </c>
      <c r="D18" s="2" t="s">
        <v>34</v>
      </c>
      <c r="E18" s="2" t="s">
        <v>53</v>
      </c>
    </row>
    <row r="19" spans="1:5" ht="25.5" x14ac:dyDescent="0.2">
      <c r="A19" s="250"/>
      <c r="B19" s="2" t="s">
        <v>32</v>
      </c>
      <c r="C19" s="2" t="s">
        <v>33</v>
      </c>
      <c r="D19" s="2" t="s">
        <v>88</v>
      </c>
      <c r="E19" s="2" t="s">
        <v>53</v>
      </c>
    </row>
  </sheetData>
  <mergeCells count="7">
    <mergeCell ref="B13:B14"/>
    <mergeCell ref="E9:E10"/>
    <mergeCell ref="A9:A11"/>
    <mergeCell ref="B17:B18"/>
    <mergeCell ref="A17:A19"/>
    <mergeCell ref="D9:D10"/>
    <mergeCell ref="A13:A14"/>
  </mergeCells>
  <phoneticPr fontId="0" type="noConversion"/>
  <pageMargins left="0.9055118110236221" right="0.75" top="0.70866141732283472" bottom="1" header="0" footer="0"/>
  <pageSetup paperSize="9" orientation="landscape"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AB18"/>
  <sheetViews>
    <sheetView showGridLines="0" topLeftCell="B7" zoomScale="98" zoomScaleNormal="98" zoomScaleSheetLayoutView="80" workbookViewId="0">
      <selection activeCell="H6" sqref="H6"/>
    </sheetView>
  </sheetViews>
  <sheetFormatPr baseColWidth="10" defaultRowHeight="12.75" x14ac:dyDescent="0.2"/>
  <cols>
    <col min="1" max="1" width="10" hidden="1" customWidth="1"/>
    <col min="2" max="2" width="15.5703125" style="5" customWidth="1"/>
    <col min="3" max="3" width="27.28515625" style="4" customWidth="1"/>
    <col min="4" max="4" width="22.7109375" style="5" customWidth="1"/>
    <col min="5" max="5" width="22.7109375" style="4" customWidth="1"/>
    <col min="6" max="6" width="22.7109375" style="5" customWidth="1"/>
    <col min="7" max="7" width="22.85546875" style="5" bestFit="1" customWidth="1"/>
    <col min="8" max="8" width="22.85546875" style="5" customWidth="1"/>
    <col min="9" max="9" width="25.28515625" style="5" bestFit="1" customWidth="1"/>
    <col min="10" max="10" width="13.7109375" style="5" customWidth="1"/>
    <col min="11" max="11" width="16.42578125" style="5" customWidth="1"/>
    <col min="12" max="12" width="15" style="5" customWidth="1"/>
    <col min="13" max="13" width="19.5703125" style="5" customWidth="1"/>
    <col min="14" max="14" width="11.42578125" style="56" customWidth="1"/>
    <col min="15" max="15" width="11.5703125" style="56" customWidth="1"/>
    <col min="16" max="25" width="11.42578125" style="56" customWidth="1"/>
    <col min="26" max="26" width="25.85546875" style="56" customWidth="1"/>
    <col min="27" max="27" width="23.85546875" style="54" customWidth="1"/>
  </cols>
  <sheetData>
    <row r="1" spans="1:28" s="150" customFormat="1" ht="17.25" customHeight="1" x14ac:dyDescent="0.2">
      <c r="B1" s="254"/>
      <c r="C1" s="255"/>
      <c r="D1" s="260" t="s">
        <v>99</v>
      </c>
      <c r="E1" s="260"/>
      <c r="F1" s="260"/>
      <c r="G1" s="260"/>
      <c r="H1" s="260"/>
      <c r="I1" s="260"/>
      <c r="J1" s="260"/>
      <c r="K1" s="260"/>
      <c r="L1" s="260"/>
      <c r="M1" s="260"/>
      <c r="N1" s="260"/>
      <c r="O1" s="260"/>
      <c r="P1" s="151"/>
      <c r="Q1" s="151"/>
      <c r="R1" s="151"/>
      <c r="S1" s="151"/>
      <c r="T1" s="151"/>
      <c r="U1" s="151"/>
      <c r="V1" s="151"/>
      <c r="W1" s="151"/>
      <c r="X1" s="151"/>
      <c r="Y1" s="151"/>
      <c r="Z1" s="151"/>
      <c r="AA1" s="151"/>
    </row>
    <row r="2" spans="1:28" s="150" customFormat="1" ht="6" customHeight="1" x14ac:dyDescent="0.2">
      <c r="B2" s="256"/>
      <c r="C2" s="257"/>
      <c r="D2" s="260"/>
      <c r="E2" s="260"/>
      <c r="F2" s="260"/>
      <c r="G2" s="260"/>
      <c r="H2" s="260"/>
      <c r="I2" s="260"/>
      <c r="J2" s="260"/>
      <c r="K2" s="260"/>
      <c r="L2" s="260"/>
      <c r="M2" s="260"/>
      <c r="N2" s="260"/>
      <c r="O2" s="260"/>
      <c r="P2" s="151"/>
      <c r="Q2" s="151"/>
      <c r="R2" s="151"/>
      <c r="S2" s="151"/>
      <c r="T2" s="151"/>
      <c r="U2" s="151"/>
      <c r="V2" s="151"/>
      <c r="W2" s="151"/>
      <c r="X2" s="151"/>
      <c r="Y2" s="151"/>
      <c r="Z2" s="151"/>
      <c r="AA2" s="151"/>
    </row>
    <row r="3" spans="1:28" s="150" customFormat="1" ht="17.25" customHeight="1" x14ac:dyDescent="0.2">
      <c r="B3" s="256"/>
      <c r="C3" s="257"/>
      <c r="D3" s="251" t="s">
        <v>100</v>
      </c>
      <c r="E3" s="251"/>
      <c r="F3" s="251"/>
      <c r="G3" s="251"/>
      <c r="H3" s="251"/>
      <c r="I3" s="251"/>
      <c r="J3" s="251"/>
      <c r="K3" s="251"/>
      <c r="L3" s="251"/>
      <c r="M3" s="251"/>
      <c r="N3" s="251"/>
      <c r="O3" s="251"/>
      <c r="P3" s="151"/>
      <c r="Q3" s="151"/>
      <c r="R3" s="151"/>
      <c r="S3" s="151"/>
      <c r="T3" s="151"/>
      <c r="U3" s="151"/>
      <c r="V3" s="151"/>
      <c r="W3" s="151"/>
      <c r="X3" s="151"/>
      <c r="Y3" s="151"/>
      <c r="Z3" s="151"/>
      <c r="AA3" s="151"/>
    </row>
    <row r="4" spans="1:28" s="150" customFormat="1" ht="17.25" customHeight="1" x14ac:dyDescent="0.2">
      <c r="B4" s="256"/>
      <c r="C4" s="257"/>
      <c r="D4" s="251" t="s">
        <v>101</v>
      </c>
      <c r="E4" s="251"/>
      <c r="F4" s="251"/>
      <c r="G4" s="251"/>
      <c r="H4" s="251"/>
      <c r="I4" s="251"/>
      <c r="J4" s="251"/>
      <c r="K4" s="251"/>
      <c r="L4" s="251"/>
      <c r="M4" s="251"/>
      <c r="N4" s="251"/>
      <c r="O4" s="251"/>
      <c r="P4" s="151"/>
      <c r="Q4" s="151"/>
      <c r="R4" s="151"/>
      <c r="S4" s="151"/>
      <c r="T4" s="151"/>
      <c r="U4" s="151"/>
      <c r="V4" s="151"/>
      <c r="W4" s="151"/>
      <c r="X4" s="151"/>
      <c r="Y4" s="151"/>
      <c r="Z4" s="151"/>
      <c r="AA4" s="151"/>
    </row>
    <row r="5" spans="1:28" ht="12.75" customHeight="1" x14ac:dyDescent="0.2">
      <c r="B5" s="258"/>
      <c r="C5" s="259"/>
      <c r="D5" s="252" t="s">
        <v>160</v>
      </c>
      <c r="E5" s="252"/>
      <c r="F5" s="252"/>
      <c r="G5" s="252" t="s">
        <v>159</v>
      </c>
      <c r="H5" s="252"/>
      <c r="I5" s="252"/>
      <c r="J5" s="252"/>
      <c r="K5" s="253" t="s">
        <v>102</v>
      </c>
      <c r="L5" s="253"/>
      <c r="M5" s="253"/>
      <c r="N5" s="253"/>
      <c r="O5" s="253"/>
      <c r="P5" s="85"/>
      <c r="Q5" s="85"/>
      <c r="R5" s="85"/>
      <c r="S5" s="85"/>
      <c r="T5" s="85"/>
      <c r="U5" s="85"/>
      <c r="V5" s="85"/>
      <c r="W5" s="85"/>
      <c r="X5" s="85"/>
      <c r="Y5" s="85"/>
      <c r="Z5" s="85"/>
      <c r="AA5" s="85"/>
    </row>
    <row r="6" spans="1:28" ht="12.75" customHeight="1" thickBot="1" x14ac:dyDescent="0.25">
      <c r="C6" s="5"/>
      <c r="D6" s="86"/>
      <c r="E6" s="86"/>
      <c r="F6" s="86"/>
      <c r="G6" s="86"/>
      <c r="H6" s="86"/>
      <c r="I6" s="86"/>
      <c r="J6" s="86"/>
      <c r="K6" s="87"/>
      <c r="L6" s="87"/>
      <c r="M6" s="87"/>
      <c r="N6" s="87"/>
      <c r="O6" s="87"/>
      <c r="P6" s="85"/>
      <c r="Q6" s="85"/>
      <c r="R6" s="85"/>
      <c r="S6" s="85"/>
      <c r="T6" s="85"/>
      <c r="U6" s="85"/>
      <c r="V6" s="85"/>
      <c r="W6" s="85"/>
      <c r="X6" s="85"/>
      <c r="Y6" s="85"/>
      <c r="Z6" s="85"/>
      <c r="AA6" s="85"/>
    </row>
    <row r="7" spans="1:28" ht="12.75" customHeight="1" thickBot="1" x14ac:dyDescent="0.25">
      <c r="A7" s="267"/>
      <c r="B7" s="267"/>
      <c r="C7" s="267"/>
      <c r="D7" s="267"/>
      <c r="E7" s="267"/>
      <c r="F7" s="267"/>
      <c r="G7" s="267"/>
      <c r="H7" s="267"/>
      <c r="I7" s="268"/>
      <c r="J7" s="261" t="s">
        <v>83</v>
      </c>
      <c r="K7" s="261"/>
      <c r="L7" s="261"/>
      <c r="M7" s="261"/>
      <c r="N7" s="261" t="s">
        <v>0</v>
      </c>
      <c r="O7" s="261"/>
      <c r="P7" s="261"/>
      <c r="Q7" s="261"/>
      <c r="R7" s="261"/>
      <c r="S7" s="261"/>
      <c r="T7" s="261"/>
      <c r="U7" s="261"/>
      <c r="V7" s="261"/>
      <c r="W7" s="261"/>
      <c r="X7" s="261"/>
      <c r="Y7" s="261"/>
      <c r="Z7" s="261" t="s">
        <v>90</v>
      </c>
      <c r="AA7" s="263" t="s">
        <v>13</v>
      </c>
    </row>
    <row r="8" spans="1:28" ht="38.25" customHeight="1" x14ac:dyDescent="0.2">
      <c r="A8" s="147" t="s">
        <v>14</v>
      </c>
      <c r="B8" s="148" t="s">
        <v>16</v>
      </c>
      <c r="C8" s="149" t="s">
        <v>44</v>
      </c>
      <c r="D8" s="149" t="s">
        <v>98</v>
      </c>
      <c r="E8" s="149" t="s">
        <v>54</v>
      </c>
      <c r="F8" s="149" t="s">
        <v>46</v>
      </c>
      <c r="G8" s="149" t="s">
        <v>45</v>
      </c>
      <c r="H8" s="149" t="s">
        <v>106</v>
      </c>
      <c r="I8" s="149" t="s">
        <v>19</v>
      </c>
      <c r="J8" s="88" t="s">
        <v>18</v>
      </c>
      <c r="K8" s="75" t="s">
        <v>85</v>
      </c>
      <c r="L8" s="76" t="s">
        <v>84</v>
      </c>
      <c r="M8" s="77" t="s">
        <v>86</v>
      </c>
      <c r="N8" s="64" t="s">
        <v>1</v>
      </c>
      <c r="O8" s="64" t="s">
        <v>2</v>
      </c>
      <c r="P8" s="64" t="s">
        <v>3</v>
      </c>
      <c r="Q8" s="64" t="s">
        <v>4</v>
      </c>
      <c r="R8" s="64" t="s">
        <v>5</v>
      </c>
      <c r="S8" s="64" t="s">
        <v>6</v>
      </c>
      <c r="T8" s="64" t="s">
        <v>7</v>
      </c>
      <c r="U8" s="64" t="s">
        <v>8</v>
      </c>
      <c r="V8" s="64" t="s">
        <v>9</v>
      </c>
      <c r="W8" s="64" t="s">
        <v>10</v>
      </c>
      <c r="X8" s="64" t="s">
        <v>11</v>
      </c>
      <c r="Y8" s="64" t="s">
        <v>12</v>
      </c>
      <c r="Z8" s="262"/>
      <c r="AA8" s="264"/>
    </row>
    <row r="9" spans="1:28" s="1" customFormat="1" ht="166.5" customHeight="1" x14ac:dyDescent="0.2">
      <c r="A9" s="63" t="s">
        <v>32</v>
      </c>
      <c r="B9" s="65" t="s">
        <v>111</v>
      </c>
      <c r="C9" s="66" t="str">
        <f>+'Indicador 1'!E8</f>
        <v>Administrar, planificar, gestionar y evaluar los recursos de infraestructura tecnológica de la información y comunicación, asegurando la disponibilidad y optimización de los servicios tecnológicos mediante planes, programas y proyectos orientados al cumplimiento de la misionalidad del Concejo Municipal de Chía.</v>
      </c>
      <c r="D9" s="83" t="str">
        <f>+'Indicador 1'!B11</f>
        <v>Cumplimiento de mantenimientos preventivos y correctivos a equipos de computo</v>
      </c>
      <c r="E9" s="66" t="str">
        <f>+'Indicador 1'!B19</f>
        <v>(N° de mantenimientos ejecutados en el periodo / N° de mantenimientos programados en el periodo)*100</v>
      </c>
      <c r="F9" s="68" t="str">
        <f>+'Indicador 1'!H24</f>
        <v>Consolidado de la ejecución de mantenimientos preventivos y correctivos programados 2025</v>
      </c>
      <c r="G9" s="67" t="str">
        <f>+'Indicador 1'!H33</f>
        <v>SEMESTRAL</v>
      </c>
      <c r="H9" s="67" t="str">
        <f>+'Indicador 1'!L11</f>
        <v>EFICACIA</v>
      </c>
      <c r="I9" s="67" t="str">
        <f>+'Indicador 1'!H27</f>
        <v xml:space="preserve">Contratista TI
</v>
      </c>
      <c r="J9" s="68">
        <v>0.95</v>
      </c>
      <c r="K9" s="68" t="s">
        <v>93</v>
      </c>
      <c r="L9" s="68" t="s">
        <v>96</v>
      </c>
      <c r="M9" s="68" t="s">
        <v>92</v>
      </c>
      <c r="N9" s="80"/>
      <c r="O9" s="80"/>
      <c r="P9" s="80"/>
      <c r="Q9" s="80"/>
      <c r="R9" s="80"/>
      <c r="S9" s="69">
        <f>+'Indicador 1'!C39</f>
        <v>1</v>
      </c>
      <c r="T9" s="80"/>
      <c r="U9" s="80"/>
      <c r="V9" s="117"/>
      <c r="W9" s="80"/>
      <c r="X9" s="80"/>
      <c r="Y9" s="69">
        <f>+'Indicador 1'!D39</f>
        <v>0</v>
      </c>
      <c r="Z9" s="70">
        <f>AVERAGE(P9:Y9)</f>
        <v>0.5</v>
      </c>
      <c r="AA9" s="78">
        <f>+Z9/J9</f>
        <v>0.52631578947368418</v>
      </c>
    </row>
    <row r="10" spans="1:28" s="1" customFormat="1" ht="162.75" customHeight="1" x14ac:dyDescent="0.2">
      <c r="A10" s="63"/>
      <c r="B10" s="65" t="s">
        <v>111</v>
      </c>
      <c r="C10" s="66" t="str">
        <f>+'Indicador 2'!$E$8</f>
        <v>Administrar, planificar, gestionar y evaluar los recursos de infraestructura tecnológica de la información y comunicación, asegurando la disponibilidad y optimización de los servicios tecnológicos mediante planes, programas y proyectos orientados al cumplimiento de la misionalidad del Concejo Municipal de Chía.</v>
      </c>
      <c r="D10" s="83" t="str">
        <f>+'Indicador 2'!$B$12</f>
        <v>Incidencias TIC gestionadas Oportunamente</v>
      </c>
      <c r="E10" s="66" t="str">
        <f>+'Indicador 2'!$B$20</f>
        <v>(N° solicitudes de servicios tecnológicos gestionadas oportunamente en el periódio / N°  de solicitudes de servicios tecnológicos reportadas en el periodo)*100</v>
      </c>
      <c r="F10" s="68" t="str">
        <f>+'Indicador 2'!$H$25</f>
        <v>Correo electronico</v>
      </c>
      <c r="G10" s="67" t="str">
        <f>+'Indicador 2'!$H$34</f>
        <v>Mensual - Indicador Trimestral</v>
      </c>
      <c r="H10" s="67" t="str">
        <f>+'Indicador 2'!$L$12</f>
        <v>EFICACIA</v>
      </c>
      <c r="I10" s="67" t="str">
        <f>+'Indicador 2'!$H$28</f>
        <v>Contratista TI</v>
      </c>
      <c r="J10" s="68">
        <v>0.95</v>
      </c>
      <c r="K10" s="68" t="s">
        <v>93</v>
      </c>
      <c r="L10" s="68" t="s">
        <v>95</v>
      </c>
      <c r="M10" s="68" t="s">
        <v>94</v>
      </c>
      <c r="N10" s="111">
        <f>+'Indicador 2'!C40</f>
        <v>1</v>
      </c>
      <c r="O10" s="111">
        <f>+'Indicador 2'!D40</f>
        <v>1</v>
      </c>
      <c r="P10" s="111">
        <f>+'Indicador 2'!E40</f>
        <v>0</v>
      </c>
      <c r="Q10" s="111">
        <f>+'Indicador 2'!F40</f>
        <v>0</v>
      </c>
      <c r="R10" s="111">
        <f>+'Indicador 2'!G40</f>
        <v>0</v>
      </c>
      <c r="S10" s="111">
        <f>+'Indicador 2'!H40</f>
        <v>0</v>
      </c>
      <c r="T10" s="111">
        <f>+'Indicador 2'!I40</f>
        <v>0</v>
      </c>
      <c r="U10" s="111">
        <f>+'Indicador 2'!J40</f>
        <v>0</v>
      </c>
      <c r="V10" s="111"/>
      <c r="W10" s="111">
        <f>+'Indicador 2'!L40</f>
        <v>0</v>
      </c>
      <c r="X10" s="111">
        <f>+'Indicador 2'!M40</f>
        <v>0</v>
      </c>
      <c r="Y10" s="69">
        <f>+'Indicador 2'!N40</f>
        <v>0</v>
      </c>
      <c r="Z10" s="70">
        <f>+AVERAGE(N10:Y10)</f>
        <v>0.18181818181818182</v>
      </c>
      <c r="AA10" s="78">
        <f>+IF(Z10&lt;=90%,0%,IF(AND(Z10&gt;90%,Z10&lt;=98%),Z10/J10,100%))</f>
        <v>0</v>
      </c>
      <c r="AB10" s="84"/>
    </row>
    <row r="11" spans="1:28" ht="149.25" customHeight="1" thickBot="1" x14ac:dyDescent="0.25">
      <c r="A11" s="57" t="s">
        <v>89</v>
      </c>
      <c r="B11" s="71" t="str">
        <f>+'Indicador 3'!E7</f>
        <v>Gestión Documental y de Tecnologías de la Información</v>
      </c>
      <c r="C11" s="72" t="str">
        <f>+'Indicador 3'!E8</f>
        <v>Administrar, planificar, gestionar y evaluar los recursos de infraestructura tecnológica de la información y comunicación, asegurando la disponibilidad y optimización de los servicios tecnológicos mediante planes, programas y proyectos orientados al cumplimiento de la misionalidad del Concejo Municipal de Chía.</v>
      </c>
      <c r="D11" s="73" t="str">
        <f>+'Indicador 3'!B12</f>
        <v>Cumplimiento de la ejecución del PETI</v>
      </c>
      <c r="E11" s="72" t="str">
        <f>+'Indicador 3'!B20</f>
        <v>(N° de Iniciativas ejecutadas de manera satisfactoria en el periodo  / N° de iniciativas planeadas a ejecutar en el periodo)*100</v>
      </c>
      <c r="F11" s="109" t="str">
        <f>+'Indicador 3'!H25</f>
        <v>Plan Estratégico de Tecnologias de la Información - PETI.</v>
      </c>
      <c r="G11" s="74" t="str">
        <f>+'Indicador 3'!H34</f>
        <v>Semestral</v>
      </c>
      <c r="H11" s="74" t="str">
        <f>+'Indicador 3'!L12</f>
        <v>EFICACIA</v>
      </c>
      <c r="I11" s="74" t="str">
        <f>+'Indicador 3'!H28</f>
        <v xml:space="preserve">Contratista TI
</v>
      </c>
      <c r="J11" s="110">
        <f>+'Indicador 3'!B31</f>
        <v>0.9</v>
      </c>
      <c r="K11" s="109" t="str">
        <f>+'Indicador 3'!E32</f>
        <v>&lt;90%</v>
      </c>
      <c r="L11" s="109" t="str">
        <f>+'Indicador 3'!H32</f>
        <v>90% - 95%</v>
      </c>
      <c r="M11" s="109" t="str">
        <f>+'Indicador 3'!L32</f>
        <v>&gt;95%</v>
      </c>
      <c r="N11" s="81"/>
      <c r="O11" s="81"/>
      <c r="P11" s="112">
        <f>+'Indicador 3'!C40</f>
        <v>1</v>
      </c>
      <c r="Q11" s="113"/>
      <c r="R11" s="113"/>
      <c r="S11" s="112">
        <f>+'Indicador 3'!D40</f>
        <v>0</v>
      </c>
      <c r="T11" s="113"/>
      <c r="U11" s="113"/>
      <c r="V11" s="112">
        <f>+'Indicador 3'!E40</f>
        <v>0</v>
      </c>
      <c r="W11" s="113"/>
      <c r="X11" s="113"/>
      <c r="Y11" s="112">
        <f>+'Indicador 3'!F40</f>
        <v>0</v>
      </c>
      <c r="Z11" s="114">
        <f>+S11</f>
        <v>0</v>
      </c>
      <c r="AA11" s="79">
        <f>+J11</f>
        <v>0.9</v>
      </c>
    </row>
    <row r="12" spans="1:28" ht="63.75" x14ac:dyDescent="0.2">
      <c r="A12" s="61" t="s">
        <v>22</v>
      </c>
      <c r="B12" s="58"/>
      <c r="C12" s="59"/>
      <c r="D12" s="58"/>
      <c r="E12" s="59"/>
      <c r="F12" s="58"/>
      <c r="G12" s="58"/>
      <c r="H12" s="58"/>
      <c r="I12" s="58"/>
      <c r="J12" s="58"/>
      <c r="K12" s="58"/>
      <c r="L12" s="58"/>
      <c r="M12" s="58"/>
      <c r="N12" s="82"/>
      <c r="O12" s="82"/>
      <c r="P12" s="82"/>
      <c r="Q12" s="82"/>
      <c r="R12" s="82"/>
      <c r="S12" s="82"/>
      <c r="T12" s="82"/>
      <c r="U12" s="82"/>
      <c r="V12" s="82"/>
      <c r="W12" s="82"/>
      <c r="X12" s="82"/>
      <c r="Y12" s="82"/>
      <c r="Z12" s="115" t="s">
        <v>108</v>
      </c>
      <c r="AA12" s="116">
        <f>AVERAGE(AA9:AA11)</f>
        <v>0.47543859649122805</v>
      </c>
    </row>
    <row r="13" spans="1:28" ht="102" x14ac:dyDescent="0.2">
      <c r="A13" s="61" t="s">
        <v>41</v>
      </c>
      <c r="B13" s="58"/>
      <c r="C13" s="59"/>
      <c r="D13" s="58"/>
      <c r="E13" s="59"/>
      <c r="F13" s="58"/>
      <c r="G13" s="58"/>
      <c r="H13" s="58"/>
      <c r="I13" s="58"/>
      <c r="J13" s="58"/>
      <c r="K13" s="58"/>
      <c r="L13" s="58"/>
      <c r="M13" s="58"/>
      <c r="N13" s="82"/>
      <c r="O13" s="82"/>
      <c r="P13" s="82"/>
      <c r="Q13" s="82"/>
      <c r="R13" s="82"/>
      <c r="S13" s="82"/>
      <c r="T13" s="82"/>
      <c r="U13" s="82"/>
      <c r="V13" s="82"/>
      <c r="W13" s="82"/>
      <c r="X13" s="82"/>
      <c r="Y13" s="82"/>
      <c r="Z13" s="82"/>
      <c r="AA13" s="62"/>
    </row>
    <row r="14" spans="1:28" ht="102" x14ac:dyDescent="0.2">
      <c r="A14" s="61" t="s">
        <v>25</v>
      </c>
      <c r="B14" s="58"/>
      <c r="C14" s="59"/>
      <c r="D14" s="58"/>
      <c r="E14" s="59"/>
      <c r="F14" s="58"/>
      <c r="G14" s="58"/>
      <c r="H14" s="58"/>
      <c r="I14" s="58"/>
      <c r="J14" s="58"/>
      <c r="K14" s="58"/>
      <c r="L14" s="58"/>
      <c r="M14" s="58"/>
      <c r="N14" s="82"/>
      <c r="O14" s="82"/>
      <c r="P14" s="82"/>
      <c r="Q14" s="82"/>
      <c r="R14" s="82"/>
      <c r="S14" s="82"/>
      <c r="T14" s="82"/>
      <c r="U14" s="82"/>
      <c r="V14" s="82"/>
      <c r="W14" s="82"/>
      <c r="X14" s="82"/>
      <c r="Y14" s="82"/>
      <c r="Z14" s="82"/>
      <c r="AA14" s="62"/>
    </row>
    <row r="15" spans="1:28" ht="102" x14ac:dyDescent="0.2">
      <c r="A15" s="60" t="s">
        <v>28</v>
      </c>
      <c r="B15" s="58"/>
      <c r="C15" s="59"/>
      <c r="D15" s="58"/>
      <c r="E15" s="59"/>
      <c r="F15" s="58"/>
      <c r="G15" s="58"/>
      <c r="H15" s="58"/>
      <c r="I15" s="58"/>
      <c r="J15" s="58"/>
      <c r="K15" s="58"/>
      <c r="L15" s="58"/>
      <c r="M15" s="58"/>
      <c r="N15" s="82"/>
      <c r="O15" s="82"/>
      <c r="P15" s="82"/>
      <c r="Q15" s="82"/>
      <c r="R15" s="82"/>
      <c r="S15" s="82"/>
      <c r="T15" s="82"/>
      <c r="U15" s="82"/>
      <c r="V15" s="82"/>
      <c r="W15" s="82"/>
      <c r="X15" s="82"/>
      <c r="Y15" s="82"/>
      <c r="Z15" s="82"/>
      <c r="AA15" s="62"/>
    </row>
    <row r="16" spans="1:28" x14ac:dyDescent="0.2">
      <c r="A16" s="265" t="s">
        <v>31</v>
      </c>
      <c r="B16" s="58"/>
      <c r="C16" s="59"/>
      <c r="D16" s="58"/>
      <c r="E16" s="59"/>
      <c r="F16" s="58"/>
      <c r="G16" s="58"/>
      <c r="H16" s="58"/>
      <c r="I16" s="58"/>
      <c r="J16" s="58"/>
      <c r="K16" s="58"/>
      <c r="L16" s="58"/>
      <c r="M16" s="58"/>
      <c r="N16" s="82"/>
      <c r="O16" s="82"/>
      <c r="P16" s="82"/>
      <c r="Q16" s="82"/>
      <c r="R16" s="82"/>
      <c r="S16" s="82"/>
      <c r="T16" s="82"/>
      <c r="U16" s="82"/>
      <c r="V16" s="82"/>
      <c r="W16" s="82"/>
      <c r="X16" s="82"/>
      <c r="Y16" s="82"/>
      <c r="Z16" s="82"/>
      <c r="AA16" s="62"/>
    </row>
    <row r="17" spans="1:27" x14ac:dyDescent="0.2">
      <c r="A17" s="266"/>
      <c r="B17" s="58"/>
      <c r="C17" s="59"/>
      <c r="D17" s="58"/>
      <c r="E17" s="59"/>
      <c r="F17" s="58"/>
      <c r="G17" s="58"/>
      <c r="H17" s="58"/>
      <c r="I17" s="58"/>
      <c r="J17" s="58"/>
      <c r="K17" s="58"/>
      <c r="L17" s="58"/>
      <c r="M17" s="58"/>
      <c r="N17" s="82"/>
      <c r="O17" s="82"/>
      <c r="P17" s="82"/>
      <c r="Q17" s="82"/>
      <c r="R17" s="82"/>
      <c r="S17" s="82"/>
      <c r="T17" s="82"/>
      <c r="U17" s="82"/>
      <c r="V17" s="82"/>
      <c r="W17" s="82"/>
      <c r="X17" s="82"/>
      <c r="Y17" s="82"/>
      <c r="Z17" s="82"/>
      <c r="AA17" s="62"/>
    </row>
    <row r="18" spans="1:27" ht="89.25" x14ac:dyDescent="0.2">
      <c r="A18" s="60" t="s">
        <v>32</v>
      </c>
      <c r="B18" s="58"/>
      <c r="C18" s="59"/>
      <c r="D18" s="58"/>
      <c r="E18" s="59"/>
      <c r="F18" s="58"/>
      <c r="G18" s="58"/>
      <c r="H18" s="58"/>
      <c r="I18" s="58"/>
      <c r="J18" s="58"/>
      <c r="K18" s="58"/>
      <c r="L18" s="58"/>
      <c r="M18" s="58"/>
      <c r="N18" s="82"/>
      <c r="O18" s="82"/>
      <c r="P18" s="82"/>
      <c r="Q18" s="82"/>
      <c r="R18" s="82"/>
      <c r="S18" s="82"/>
      <c r="T18" s="82"/>
      <c r="U18" s="82"/>
      <c r="V18" s="82"/>
      <c r="W18" s="82"/>
      <c r="X18" s="82"/>
      <c r="Y18" s="82"/>
      <c r="Z18" s="82"/>
      <c r="AA18" s="62"/>
    </row>
  </sheetData>
  <autoFilter ref="A8:AA18" xr:uid="{00000000-0009-0000-0000-000001000000}"/>
  <mergeCells count="13">
    <mergeCell ref="Z7:Z8"/>
    <mergeCell ref="AA7:AA8"/>
    <mergeCell ref="A16:A17"/>
    <mergeCell ref="N7:Y7"/>
    <mergeCell ref="J7:M7"/>
    <mergeCell ref="A7:I7"/>
    <mergeCell ref="D4:O4"/>
    <mergeCell ref="D5:F5"/>
    <mergeCell ref="G5:J5"/>
    <mergeCell ref="K5:O5"/>
    <mergeCell ref="B1:C5"/>
    <mergeCell ref="D1:O2"/>
    <mergeCell ref="D3:O3"/>
  </mergeCells>
  <phoneticPr fontId="0" type="noConversion"/>
  <hyperlinks>
    <hyperlink ref="D10" location="'Obj Estratégicos'!A1" display="'Obj Estratégicos'!A1" xr:uid="{00000000-0004-0000-0100-000000000000}"/>
    <hyperlink ref="D9" location="'Plan de Acción'!A1" display="'Plan de Acción'!A1" xr:uid="{00000000-0004-0000-0100-000001000000}"/>
  </hyperlinks>
  <pageMargins left="0" right="0" top="0" bottom="0" header="0" footer="0"/>
  <pageSetup scale="64" orientation="landscape" r:id="rId1"/>
  <headerFooter alignWithMargins="0">
    <oddFooter>&amp;CPágina &amp;P de &amp;N&amp;REd. 2 03-01-2012</oddFooter>
  </headerFooter>
  <colBreaks count="1" manualBreakCount="1">
    <brk id="13"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P124"/>
  <sheetViews>
    <sheetView showGridLines="0" topLeftCell="A13" zoomScale="72" zoomScaleNormal="93" zoomScaleSheetLayoutView="100" workbookViewId="0">
      <selection activeCell="C40" sqref="C40"/>
    </sheetView>
  </sheetViews>
  <sheetFormatPr baseColWidth="10" defaultColWidth="3.28515625" defaultRowHeight="12.75" x14ac:dyDescent="0.2"/>
  <cols>
    <col min="1" max="1" width="3.28515625" style="10"/>
    <col min="2" max="2" width="21.42578125" style="10" customWidth="1"/>
    <col min="3" max="3" width="13" style="10" customWidth="1"/>
    <col min="4" max="4" width="15.140625" style="10" customWidth="1"/>
    <col min="5" max="5" width="14.5703125" style="10" customWidth="1"/>
    <col min="6" max="6" width="8.7109375" style="10" customWidth="1"/>
    <col min="7" max="7" width="13.140625" style="10" customWidth="1"/>
    <col min="8" max="10" width="8.7109375" style="10" customWidth="1"/>
    <col min="11" max="11" width="9.7109375" style="10" customWidth="1"/>
    <col min="12" max="16" width="10.140625" style="10" customWidth="1"/>
    <col min="17" max="16384" width="3.28515625" style="10"/>
  </cols>
  <sheetData>
    <row r="1" spans="2:16" ht="6" customHeight="1" x14ac:dyDescent="0.2">
      <c r="C1" s="51"/>
      <c r="D1" s="51"/>
      <c r="E1" s="51"/>
      <c r="F1" s="51"/>
      <c r="G1" s="51"/>
      <c r="H1" s="51"/>
      <c r="I1" s="51"/>
      <c r="J1" s="51"/>
      <c r="K1" s="51"/>
      <c r="L1" s="51"/>
      <c r="M1" s="51"/>
      <c r="N1" s="51"/>
      <c r="O1" s="9"/>
    </row>
    <row r="2" spans="2:16" s="20" customFormat="1" ht="18.75" customHeight="1" x14ac:dyDescent="0.2">
      <c r="B2" s="289"/>
      <c r="C2" s="345" t="s">
        <v>99</v>
      </c>
      <c r="D2" s="345"/>
      <c r="E2" s="345"/>
      <c r="F2" s="345"/>
      <c r="G2" s="345"/>
      <c r="H2" s="345"/>
      <c r="I2" s="345"/>
      <c r="J2" s="345"/>
      <c r="K2" s="345"/>
      <c r="L2" s="345"/>
      <c r="M2" s="345"/>
      <c r="N2" s="345"/>
      <c r="O2" s="345"/>
      <c r="P2" s="152"/>
    </row>
    <row r="3" spans="2:16" s="20" customFormat="1" ht="18.75" customHeight="1" x14ac:dyDescent="0.25">
      <c r="B3" s="289"/>
      <c r="C3" s="346" t="s">
        <v>100</v>
      </c>
      <c r="D3" s="346"/>
      <c r="E3" s="346"/>
      <c r="F3" s="346"/>
      <c r="G3" s="346"/>
      <c r="H3" s="346"/>
      <c r="I3" s="346"/>
      <c r="J3" s="346"/>
      <c r="K3" s="346"/>
      <c r="L3" s="346"/>
      <c r="M3" s="346"/>
      <c r="N3" s="346"/>
      <c r="O3" s="346"/>
      <c r="P3" s="153"/>
    </row>
    <row r="4" spans="2:16" s="20" customFormat="1" ht="18.75" customHeight="1" x14ac:dyDescent="0.2">
      <c r="B4" s="289"/>
      <c r="C4" s="345" t="s">
        <v>91</v>
      </c>
      <c r="D4" s="345"/>
      <c r="E4" s="345"/>
      <c r="F4" s="345"/>
      <c r="G4" s="345"/>
      <c r="H4" s="345"/>
      <c r="I4" s="345"/>
      <c r="J4" s="345"/>
      <c r="K4" s="345"/>
      <c r="L4" s="345"/>
      <c r="M4" s="345"/>
      <c r="N4" s="345"/>
      <c r="O4" s="345"/>
      <c r="P4" s="89"/>
    </row>
    <row r="5" spans="2:16" ht="12" customHeight="1" x14ac:dyDescent="0.2">
      <c r="B5" s="289"/>
      <c r="C5" s="347" t="s">
        <v>152</v>
      </c>
      <c r="D5" s="347"/>
      <c r="E5" s="347"/>
      <c r="F5" s="347"/>
      <c r="G5" s="347" t="s">
        <v>159</v>
      </c>
      <c r="H5" s="347"/>
      <c r="I5" s="347"/>
      <c r="J5" s="347"/>
      <c r="K5" s="348" t="s">
        <v>102</v>
      </c>
      <c r="L5" s="349"/>
      <c r="M5" s="349"/>
      <c r="N5" s="349"/>
      <c r="O5" s="350"/>
      <c r="P5" s="55"/>
    </row>
    <row r="6" spans="2:16" ht="4.5" customHeight="1" x14ac:dyDescent="0.2">
      <c r="B6" s="402"/>
      <c r="C6" s="402"/>
      <c r="D6" s="402"/>
      <c r="E6" s="316"/>
      <c r="F6" s="316"/>
      <c r="G6" s="316"/>
      <c r="H6" s="316"/>
      <c r="I6" s="316"/>
      <c r="J6" s="316"/>
      <c r="K6" s="316"/>
      <c r="L6" s="316"/>
      <c r="M6" s="316"/>
      <c r="N6" s="316"/>
    </row>
    <row r="7" spans="2:16" ht="15.75" customHeight="1" x14ac:dyDescent="0.2">
      <c r="B7" s="298" t="s">
        <v>16</v>
      </c>
      <c r="C7" s="299"/>
      <c r="D7" s="301"/>
      <c r="E7" s="403" t="s">
        <v>161</v>
      </c>
      <c r="F7" s="404"/>
      <c r="G7" s="404"/>
      <c r="H7" s="404"/>
      <c r="I7" s="404"/>
      <c r="J7" s="404"/>
      <c r="K7" s="404"/>
      <c r="L7" s="404"/>
      <c r="M7" s="404"/>
      <c r="N7" s="404"/>
      <c r="O7" s="405"/>
      <c r="P7" s="90"/>
    </row>
    <row r="8" spans="2:16" ht="46.9" customHeight="1" x14ac:dyDescent="0.2">
      <c r="B8" s="298" t="s">
        <v>44</v>
      </c>
      <c r="C8" s="299"/>
      <c r="D8" s="301"/>
      <c r="E8" s="388" t="s">
        <v>112</v>
      </c>
      <c r="F8" s="388"/>
      <c r="G8" s="388"/>
      <c r="H8" s="388"/>
      <c r="I8" s="388"/>
      <c r="J8" s="388"/>
      <c r="K8" s="388"/>
      <c r="L8" s="388"/>
      <c r="M8" s="388"/>
      <c r="N8" s="388"/>
      <c r="O8" s="388"/>
      <c r="P8" s="91"/>
    </row>
    <row r="9" spans="2:16" ht="13.5" customHeight="1" x14ac:dyDescent="0.2">
      <c r="B9" s="14"/>
      <c r="C9" s="14"/>
      <c r="D9" s="15"/>
      <c r="E9" s="15"/>
      <c r="F9" s="15"/>
      <c r="G9" s="15"/>
      <c r="H9" s="15"/>
      <c r="I9" s="15"/>
      <c r="J9" s="15"/>
      <c r="K9" s="15"/>
      <c r="L9" s="144"/>
      <c r="M9" s="118"/>
      <c r="N9" s="118"/>
      <c r="O9" s="143"/>
      <c r="P9" s="91"/>
    </row>
    <row r="10" spans="2:16" x14ac:dyDescent="0.2">
      <c r="B10" s="389" t="s">
        <v>55</v>
      </c>
      <c r="C10" s="389"/>
      <c r="D10" s="389"/>
      <c r="E10" s="389"/>
      <c r="F10" s="389"/>
      <c r="G10" s="389"/>
      <c r="H10" s="389"/>
      <c r="I10" s="389"/>
      <c r="J10" s="389"/>
      <c r="K10" s="389"/>
      <c r="L10" s="389" t="s">
        <v>107</v>
      </c>
      <c r="M10" s="389"/>
      <c r="N10" s="389"/>
      <c r="O10" s="389"/>
      <c r="P10" s="92"/>
    </row>
    <row r="11" spans="2:16" ht="12.75" customHeight="1" x14ac:dyDescent="0.2">
      <c r="B11" s="370" t="s">
        <v>170</v>
      </c>
      <c r="C11" s="371"/>
      <c r="D11" s="371"/>
      <c r="E11" s="371"/>
      <c r="F11" s="371"/>
      <c r="G11" s="371"/>
      <c r="H11" s="371"/>
      <c r="I11" s="371"/>
      <c r="J11" s="371"/>
      <c r="K11" s="372"/>
      <c r="L11" s="361" t="s">
        <v>109</v>
      </c>
      <c r="M11" s="361"/>
      <c r="N11" s="361"/>
      <c r="O11" s="361"/>
      <c r="P11" s="93"/>
    </row>
    <row r="12" spans="2:16" ht="3" customHeight="1" x14ac:dyDescent="0.2">
      <c r="B12" s="373"/>
      <c r="C12" s="374"/>
      <c r="D12" s="374"/>
      <c r="E12" s="374"/>
      <c r="F12" s="374"/>
      <c r="G12" s="374"/>
      <c r="H12" s="374"/>
      <c r="I12" s="374"/>
      <c r="J12" s="374"/>
      <c r="K12" s="375"/>
      <c r="L12" s="361"/>
      <c r="M12" s="361"/>
      <c r="N12" s="361"/>
      <c r="O12" s="361"/>
      <c r="P12" s="93"/>
    </row>
    <row r="13" spans="2:16" ht="12.75" customHeight="1" x14ac:dyDescent="0.2">
      <c r="B13" s="373"/>
      <c r="C13" s="374"/>
      <c r="D13" s="374"/>
      <c r="E13" s="374"/>
      <c r="F13" s="374"/>
      <c r="G13" s="374"/>
      <c r="H13" s="374"/>
      <c r="I13" s="374"/>
      <c r="J13" s="374"/>
      <c r="K13" s="375"/>
      <c r="L13" s="361"/>
      <c r="M13" s="361"/>
      <c r="N13" s="361"/>
      <c r="O13" s="361"/>
      <c r="P13" s="93"/>
    </row>
    <row r="14" spans="2:16" ht="3.75" customHeight="1" x14ac:dyDescent="0.2">
      <c r="B14" s="373"/>
      <c r="C14" s="374"/>
      <c r="D14" s="374"/>
      <c r="E14" s="374"/>
      <c r="F14" s="374"/>
      <c r="G14" s="374"/>
      <c r="H14" s="374"/>
      <c r="I14" s="374"/>
      <c r="J14" s="374"/>
      <c r="K14" s="375"/>
      <c r="L14" s="361"/>
      <c r="M14" s="361"/>
      <c r="N14" s="361"/>
      <c r="O14" s="361"/>
      <c r="P14" s="93"/>
    </row>
    <row r="15" spans="2:16" ht="6.75" customHeight="1" x14ac:dyDescent="0.2">
      <c r="B15" s="376"/>
      <c r="C15" s="377"/>
      <c r="D15" s="377"/>
      <c r="E15" s="377"/>
      <c r="F15" s="377"/>
      <c r="G15" s="377"/>
      <c r="H15" s="377"/>
      <c r="I15" s="377"/>
      <c r="J15" s="377"/>
      <c r="K15" s="378"/>
      <c r="L15" s="361"/>
      <c r="M15" s="361"/>
      <c r="N15" s="361"/>
      <c r="O15" s="361"/>
      <c r="P15" s="93"/>
    </row>
    <row r="16" spans="2:16" ht="9.75" customHeight="1" x14ac:dyDescent="0.2">
      <c r="B16" s="140"/>
      <c r="C16" s="141"/>
      <c r="D16" s="141"/>
      <c r="E16" s="141"/>
      <c r="F16" s="141"/>
      <c r="G16" s="141"/>
      <c r="H16" s="141"/>
      <c r="I16" s="141"/>
      <c r="J16" s="141"/>
      <c r="K16" s="141"/>
      <c r="L16" s="141"/>
      <c r="M16" s="141"/>
      <c r="N16" s="141"/>
      <c r="O16" s="142"/>
      <c r="P16" s="93"/>
    </row>
    <row r="17" spans="2:16" x14ac:dyDescent="0.2">
      <c r="B17" s="298" t="s">
        <v>56</v>
      </c>
      <c r="C17" s="299"/>
      <c r="D17" s="299"/>
      <c r="E17" s="299"/>
      <c r="F17" s="299"/>
      <c r="G17" s="299"/>
      <c r="H17" s="299"/>
      <c r="I17" s="299"/>
      <c r="J17" s="299"/>
      <c r="K17" s="299"/>
      <c r="L17" s="299"/>
      <c r="M17" s="299"/>
      <c r="N17" s="299"/>
      <c r="O17" s="301"/>
      <c r="P17" s="94"/>
    </row>
    <row r="18" spans="2:16" ht="6.75" customHeight="1" x14ac:dyDescent="0.2">
      <c r="B18" s="16"/>
      <c r="C18" s="17"/>
      <c r="D18" s="17"/>
      <c r="E18" s="17"/>
      <c r="F18" s="17"/>
      <c r="G18" s="17"/>
      <c r="H18" s="17"/>
      <c r="I18" s="17"/>
      <c r="J18" s="17"/>
      <c r="K18" s="17"/>
      <c r="L18" s="17"/>
      <c r="M18" s="17"/>
      <c r="N18" s="17"/>
      <c r="O18" s="143"/>
      <c r="P18" s="91"/>
    </row>
    <row r="19" spans="2:16" ht="12.75" customHeight="1" x14ac:dyDescent="0.2">
      <c r="B19" s="373" t="s">
        <v>176</v>
      </c>
      <c r="C19" s="374"/>
      <c r="D19" s="374"/>
      <c r="E19" s="374"/>
      <c r="F19" s="374"/>
      <c r="G19" s="374"/>
      <c r="H19" s="374"/>
      <c r="I19" s="374"/>
      <c r="J19" s="374"/>
      <c r="K19" s="374"/>
      <c r="L19" s="374"/>
      <c r="M19" s="374"/>
      <c r="N19" s="374"/>
      <c r="O19" s="375"/>
      <c r="P19" s="93"/>
    </row>
    <row r="20" spans="2:16" ht="12.75" customHeight="1" x14ac:dyDescent="0.2">
      <c r="B20" s="373"/>
      <c r="C20" s="374"/>
      <c r="D20" s="374"/>
      <c r="E20" s="374"/>
      <c r="F20" s="374"/>
      <c r="G20" s="374"/>
      <c r="H20" s="374"/>
      <c r="I20" s="374"/>
      <c r="J20" s="374"/>
      <c r="K20" s="374"/>
      <c r="L20" s="374"/>
      <c r="M20" s="374"/>
      <c r="N20" s="374"/>
      <c r="O20" s="375"/>
      <c r="P20" s="93"/>
    </row>
    <row r="21" spans="2:16" ht="8.25" customHeight="1" x14ac:dyDescent="0.2">
      <c r="B21" s="373"/>
      <c r="C21" s="374"/>
      <c r="D21" s="374"/>
      <c r="E21" s="374"/>
      <c r="F21" s="374"/>
      <c r="G21" s="374"/>
      <c r="H21" s="374"/>
      <c r="I21" s="374"/>
      <c r="J21" s="374"/>
      <c r="K21" s="374"/>
      <c r="L21" s="374"/>
      <c r="M21" s="374"/>
      <c r="N21" s="374"/>
      <c r="O21" s="375"/>
      <c r="P21" s="93"/>
    </row>
    <row r="22" spans="2:16" ht="6.75" customHeight="1" x14ac:dyDescent="0.2">
      <c r="B22" s="18"/>
      <c r="C22" s="19"/>
      <c r="D22" s="19"/>
      <c r="E22" s="19"/>
      <c r="F22" s="19"/>
      <c r="G22" s="19"/>
      <c r="H22" s="17"/>
      <c r="I22" s="17"/>
      <c r="J22" s="17"/>
      <c r="K22" s="17"/>
      <c r="L22" s="17"/>
      <c r="M22" s="17"/>
      <c r="N22" s="17"/>
      <c r="O22" s="143"/>
      <c r="P22" s="91"/>
    </row>
    <row r="23" spans="2:16" x14ac:dyDescent="0.2">
      <c r="B23" s="298" t="s">
        <v>57</v>
      </c>
      <c r="C23" s="299"/>
      <c r="D23" s="299"/>
      <c r="E23" s="299"/>
      <c r="F23" s="299"/>
      <c r="G23" s="299"/>
      <c r="H23" s="298" t="s">
        <v>58</v>
      </c>
      <c r="I23" s="299"/>
      <c r="J23" s="299"/>
      <c r="K23" s="299"/>
      <c r="L23" s="299"/>
      <c r="M23" s="299"/>
      <c r="N23" s="299"/>
      <c r="O23" s="301"/>
      <c r="P23" s="94"/>
    </row>
    <row r="24" spans="2:16" ht="12.75" customHeight="1" x14ac:dyDescent="0.2">
      <c r="B24" s="390" t="s">
        <v>163</v>
      </c>
      <c r="C24" s="391"/>
      <c r="D24" s="391"/>
      <c r="E24" s="391"/>
      <c r="F24" s="391"/>
      <c r="G24" s="392"/>
      <c r="H24" s="396" t="s">
        <v>164</v>
      </c>
      <c r="I24" s="397"/>
      <c r="J24" s="397"/>
      <c r="K24" s="397"/>
      <c r="L24" s="397"/>
      <c r="M24" s="397"/>
      <c r="N24" s="397"/>
      <c r="O24" s="398"/>
      <c r="P24" s="95"/>
    </row>
    <row r="25" spans="2:16" ht="48.75" customHeight="1" x14ac:dyDescent="0.2">
      <c r="B25" s="393"/>
      <c r="C25" s="394"/>
      <c r="D25" s="394"/>
      <c r="E25" s="394"/>
      <c r="F25" s="394"/>
      <c r="G25" s="395"/>
      <c r="H25" s="399"/>
      <c r="I25" s="400"/>
      <c r="J25" s="400"/>
      <c r="K25" s="400"/>
      <c r="L25" s="400"/>
      <c r="M25" s="400"/>
      <c r="N25" s="400"/>
      <c r="O25" s="401"/>
      <c r="P25" s="95"/>
    </row>
    <row r="26" spans="2:16" x14ac:dyDescent="0.2">
      <c r="B26" s="298" t="s">
        <v>59</v>
      </c>
      <c r="C26" s="299"/>
      <c r="D26" s="299"/>
      <c r="E26" s="299"/>
      <c r="F26" s="299"/>
      <c r="G26" s="299"/>
      <c r="H26" s="298" t="s">
        <v>60</v>
      </c>
      <c r="I26" s="299"/>
      <c r="J26" s="299"/>
      <c r="K26" s="299"/>
      <c r="L26" s="299"/>
      <c r="M26" s="299"/>
      <c r="N26" s="299"/>
      <c r="O26" s="301"/>
      <c r="P26" s="94"/>
    </row>
    <row r="27" spans="2:16" s="20" customFormat="1" ht="14.25" x14ac:dyDescent="0.2">
      <c r="B27" s="364" t="s">
        <v>162</v>
      </c>
      <c r="C27" s="365"/>
      <c r="D27" s="365"/>
      <c r="E27" s="365"/>
      <c r="F27" s="365"/>
      <c r="G27" s="366"/>
      <c r="H27" s="370" t="s">
        <v>165</v>
      </c>
      <c r="I27" s="365"/>
      <c r="J27" s="365"/>
      <c r="K27" s="365"/>
      <c r="L27" s="365"/>
      <c r="M27" s="365"/>
      <c r="N27" s="365"/>
      <c r="O27" s="366"/>
      <c r="P27" s="96"/>
    </row>
    <row r="28" spans="2:16" s="20" customFormat="1" ht="14.25" x14ac:dyDescent="0.2">
      <c r="B28" s="367"/>
      <c r="C28" s="368"/>
      <c r="D28" s="368"/>
      <c r="E28" s="368"/>
      <c r="F28" s="368"/>
      <c r="G28" s="369"/>
      <c r="H28" s="367"/>
      <c r="I28" s="368"/>
      <c r="J28" s="368"/>
      <c r="K28" s="368"/>
      <c r="L28" s="368"/>
      <c r="M28" s="368"/>
      <c r="N28" s="368"/>
      <c r="O28" s="369"/>
      <c r="P28" s="96"/>
    </row>
    <row r="29" spans="2:16" x14ac:dyDescent="0.2">
      <c r="B29" s="362" t="s">
        <v>61</v>
      </c>
      <c r="C29" s="363"/>
      <c r="D29" s="363"/>
      <c r="E29" s="362" t="s">
        <v>62</v>
      </c>
      <c r="F29" s="363"/>
      <c r="G29" s="363"/>
      <c r="H29" s="363"/>
      <c r="I29" s="363"/>
      <c r="J29" s="363"/>
      <c r="K29" s="363"/>
      <c r="L29" s="363"/>
      <c r="M29" s="363"/>
      <c r="N29" s="363"/>
      <c r="O29" s="387"/>
      <c r="P29" s="92"/>
    </row>
    <row r="30" spans="2:16" ht="13.5" customHeight="1" x14ac:dyDescent="0.2">
      <c r="B30" s="351">
        <f>+Bateria!J9</f>
        <v>0.95</v>
      </c>
      <c r="C30" s="352"/>
      <c r="D30" s="353"/>
      <c r="E30" s="357" t="s">
        <v>63</v>
      </c>
      <c r="F30" s="357"/>
      <c r="G30" s="357"/>
      <c r="H30" s="357" t="s">
        <v>64</v>
      </c>
      <c r="I30" s="357"/>
      <c r="J30" s="357"/>
      <c r="K30" s="357"/>
      <c r="L30" s="384" t="s">
        <v>65</v>
      </c>
      <c r="M30" s="385"/>
      <c r="N30" s="385"/>
      <c r="O30" s="386"/>
      <c r="P30" s="97"/>
    </row>
    <row r="31" spans="2:16" ht="15.75" customHeight="1" x14ac:dyDescent="0.2">
      <c r="B31" s="354"/>
      <c r="C31" s="355"/>
      <c r="D31" s="356"/>
      <c r="E31" s="379" t="s">
        <v>93</v>
      </c>
      <c r="F31" s="380"/>
      <c r="G31" s="380"/>
      <c r="H31" s="381" t="s">
        <v>96</v>
      </c>
      <c r="I31" s="382"/>
      <c r="J31" s="382"/>
      <c r="K31" s="383"/>
      <c r="L31" s="358" t="s">
        <v>92</v>
      </c>
      <c r="M31" s="359"/>
      <c r="N31" s="359"/>
      <c r="O31" s="360"/>
      <c r="P31" s="98"/>
    </row>
    <row r="32" spans="2:16" x14ac:dyDescent="0.2">
      <c r="B32" s="298" t="s">
        <v>66</v>
      </c>
      <c r="C32" s="299"/>
      <c r="D32" s="299"/>
      <c r="E32" s="299"/>
      <c r="F32" s="299"/>
      <c r="G32" s="299"/>
      <c r="H32" s="298" t="s">
        <v>67</v>
      </c>
      <c r="I32" s="299"/>
      <c r="J32" s="299"/>
      <c r="K32" s="299"/>
      <c r="L32" s="299"/>
      <c r="M32" s="299"/>
      <c r="N32" s="299"/>
      <c r="O32" s="301"/>
      <c r="P32" s="94"/>
    </row>
    <row r="33" spans="2:16" s="20" customFormat="1" ht="15" x14ac:dyDescent="0.2">
      <c r="B33" s="283" t="s">
        <v>110</v>
      </c>
      <c r="C33" s="284"/>
      <c r="D33" s="284"/>
      <c r="E33" s="284"/>
      <c r="F33" s="284"/>
      <c r="G33" s="284"/>
      <c r="H33" s="328" t="s">
        <v>147</v>
      </c>
      <c r="I33" s="329"/>
      <c r="J33" s="329"/>
      <c r="K33" s="329"/>
      <c r="L33" s="329"/>
      <c r="M33" s="329"/>
      <c r="N33" s="329"/>
      <c r="O33" s="330"/>
      <c r="P33" s="89"/>
    </row>
    <row r="34" spans="2:16" s="20" customFormat="1" ht="15" x14ac:dyDescent="0.2">
      <c r="B34" s="283"/>
      <c r="C34" s="284"/>
      <c r="D34" s="284"/>
      <c r="E34" s="284"/>
      <c r="F34" s="284"/>
      <c r="G34" s="284"/>
      <c r="H34" s="331"/>
      <c r="I34" s="332"/>
      <c r="J34" s="332"/>
      <c r="K34" s="332"/>
      <c r="L34" s="332"/>
      <c r="M34" s="332"/>
      <c r="N34" s="332"/>
      <c r="O34" s="333"/>
      <c r="P34" s="89"/>
    </row>
    <row r="35" spans="2:16" x14ac:dyDescent="0.2">
      <c r="B35" s="298" t="s">
        <v>68</v>
      </c>
      <c r="C35" s="299"/>
      <c r="D35" s="299"/>
      <c r="E35" s="314"/>
      <c r="F35" s="314"/>
      <c r="G35" s="314"/>
      <c r="H35" s="299"/>
      <c r="I35" s="299"/>
      <c r="J35" s="299"/>
      <c r="K35" s="299"/>
      <c r="L35" s="299"/>
      <c r="M35" s="299"/>
      <c r="N35" s="299"/>
      <c r="O35" s="301"/>
      <c r="P35" s="94"/>
    </row>
    <row r="36" spans="2:16" x14ac:dyDescent="0.2">
      <c r="B36" s="154" t="s">
        <v>69</v>
      </c>
      <c r="C36" s="154" t="s">
        <v>146</v>
      </c>
      <c r="D36" s="231" t="s">
        <v>145</v>
      </c>
      <c r="E36" s="226"/>
      <c r="F36" s="227"/>
      <c r="G36" s="239"/>
      <c r="H36" s="156"/>
      <c r="I36" s="156"/>
      <c r="J36" s="156"/>
      <c r="K36" s="156"/>
      <c r="L36" s="118"/>
      <c r="M36" s="156"/>
      <c r="N36" s="156"/>
      <c r="O36" s="164"/>
      <c r="P36" s="91"/>
    </row>
    <row r="37" spans="2:16" x14ac:dyDescent="0.2">
      <c r="B37" s="157" t="s">
        <v>70</v>
      </c>
      <c r="C37" s="158"/>
      <c r="D37" s="232"/>
      <c r="E37" s="237"/>
      <c r="F37" s="235"/>
      <c r="G37" s="240"/>
      <c r="H37" s="159"/>
      <c r="I37" s="159"/>
      <c r="J37" s="159"/>
      <c r="K37" s="159"/>
      <c r="L37" s="118"/>
      <c r="M37" s="159"/>
      <c r="N37" s="159"/>
      <c r="O37" s="143"/>
      <c r="P37" s="91"/>
    </row>
    <row r="38" spans="2:16" x14ac:dyDescent="0.2">
      <c r="B38" s="157" t="s">
        <v>71</v>
      </c>
      <c r="C38" s="158"/>
      <c r="D38" s="232"/>
      <c r="E38" s="237"/>
      <c r="F38" s="235"/>
      <c r="G38" s="240"/>
      <c r="H38" s="159"/>
      <c r="I38" s="159"/>
      <c r="J38" s="159"/>
      <c r="K38" s="159"/>
      <c r="L38" s="118"/>
      <c r="M38" s="159"/>
      <c r="N38" s="159"/>
      <c r="O38" s="143"/>
      <c r="P38" s="91"/>
    </row>
    <row r="39" spans="2:16" x14ac:dyDescent="0.2">
      <c r="B39" s="157" t="s">
        <v>72</v>
      </c>
      <c r="C39" s="165">
        <v>1</v>
      </c>
      <c r="D39" s="233"/>
      <c r="E39" s="238"/>
      <c r="F39" s="236"/>
      <c r="G39" s="240"/>
      <c r="H39" s="159"/>
      <c r="I39" s="159"/>
      <c r="J39" s="159"/>
      <c r="K39" s="159"/>
      <c r="L39" s="118"/>
      <c r="M39" s="159"/>
      <c r="N39" s="159"/>
      <c r="O39" s="143"/>
      <c r="P39" s="91"/>
    </row>
    <row r="40" spans="2:16" ht="24" customHeight="1" x14ac:dyDescent="0.2">
      <c r="B40" s="160" t="s">
        <v>73</v>
      </c>
      <c r="C40" s="161"/>
      <c r="D40" s="234"/>
      <c r="E40" s="241"/>
      <c r="F40" s="162"/>
      <c r="G40" s="242"/>
      <c r="H40" s="163"/>
      <c r="I40" s="163"/>
      <c r="J40" s="163"/>
      <c r="K40" s="163"/>
      <c r="L40" s="118"/>
      <c r="M40" s="163"/>
      <c r="N40" s="163"/>
      <c r="O40" s="166"/>
      <c r="P40" s="91"/>
    </row>
    <row r="41" spans="2:16" ht="18" customHeight="1" x14ac:dyDescent="0.2">
      <c r="B41" s="298" t="s">
        <v>74</v>
      </c>
      <c r="C41" s="299"/>
      <c r="D41" s="299"/>
      <c r="E41" s="300"/>
      <c r="F41" s="300"/>
      <c r="G41" s="300"/>
      <c r="H41" s="299"/>
      <c r="I41" s="299"/>
      <c r="J41" s="299"/>
      <c r="K41" s="299"/>
      <c r="L41" s="299"/>
      <c r="M41" s="299"/>
      <c r="N41" s="299"/>
      <c r="O41" s="301"/>
      <c r="P41" s="94"/>
    </row>
    <row r="42" spans="2:16" x14ac:dyDescent="0.2">
      <c r="B42" s="16"/>
      <c r="C42" s="17"/>
      <c r="D42" s="17"/>
      <c r="E42" s="17"/>
      <c r="F42" s="17"/>
      <c r="G42" s="17"/>
      <c r="H42" s="17"/>
      <c r="I42" s="17"/>
      <c r="J42" s="17"/>
      <c r="K42" s="17"/>
      <c r="L42" s="17"/>
      <c r="M42" s="17"/>
      <c r="N42" s="17"/>
      <c r="O42" s="11"/>
      <c r="P42" s="91"/>
    </row>
    <row r="43" spans="2:16" x14ac:dyDescent="0.2">
      <c r="B43" s="16"/>
      <c r="C43" s="17"/>
      <c r="D43" s="17"/>
      <c r="E43" s="17"/>
      <c r="F43" s="17"/>
      <c r="G43" s="17"/>
      <c r="H43" s="17"/>
      <c r="I43" s="17"/>
      <c r="J43" s="17"/>
      <c r="K43" s="17"/>
      <c r="L43" s="17"/>
      <c r="M43" s="17"/>
      <c r="N43" s="17"/>
      <c r="O43" s="11"/>
      <c r="P43" s="91"/>
    </row>
    <row r="44" spans="2:16" x14ac:dyDescent="0.2">
      <c r="B44" s="16"/>
      <c r="C44" s="17"/>
      <c r="D44" s="17"/>
      <c r="E44" s="17"/>
      <c r="F44" s="17"/>
      <c r="G44" s="17"/>
      <c r="H44" s="17"/>
      <c r="I44" s="17"/>
      <c r="J44" s="17"/>
      <c r="K44" s="17"/>
      <c r="L44" s="17"/>
      <c r="M44" s="17"/>
      <c r="N44" s="17"/>
      <c r="O44" s="11"/>
      <c r="P44" s="91"/>
    </row>
    <row r="45" spans="2:16" x14ac:dyDescent="0.2">
      <c r="B45" s="16"/>
      <c r="C45" s="17"/>
      <c r="D45" s="17"/>
      <c r="E45" s="17"/>
      <c r="F45" s="17"/>
      <c r="G45" s="17"/>
      <c r="H45" s="17"/>
      <c r="I45" s="17"/>
      <c r="J45" s="17"/>
      <c r="K45" s="17"/>
      <c r="L45" s="17"/>
      <c r="M45" s="17"/>
      <c r="N45" s="17"/>
      <c r="O45" s="11"/>
      <c r="P45" s="91"/>
    </row>
    <row r="46" spans="2:16" x14ac:dyDescent="0.2">
      <c r="B46" s="16"/>
      <c r="C46" s="17"/>
      <c r="D46" s="17"/>
      <c r="E46" s="17"/>
      <c r="F46" s="17"/>
      <c r="G46" s="17"/>
      <c r="H46" s="17"/>
      <c r="I46" s="17"/>
      <c r="J46" s="17"/>
      <c r="K46" s="17"/>
      <c r="L46" s="17"/>
      <c r="M46" s="17"/>
      <c r="N46" s="17"/>
      <c r="O46" s="11"/>
      <c r="P46" s="91"/>
    </row>
    <row r="47" spans="2:16" x14ac:dyDescent="0.2">
      <c r="B47" s="16"/>
      <c r="C47" s="17"/>
      <c r="D47" s="17"/>
      <c r="E47" s="17"/>
      <c r="F47" s="17"/>
      <c r="G47" s="17"/>
      <c r="H47" s="17"/>
      <c r="I47" s="17"/>
      <c r="J47" s="17"/>
      <c r="K47" s="17"/>
      <c r="L47" s="17"/>
      <c r="M47" s="17"/>
      <c r="N47" s="17"/>
      <c r="O47" s="11"/>
    </row>
    <row r="48" spans="2:16" x14ac:dyDescent="0.2">
      <c r="B48" s="16"/>
      <c r="C48" s="17"/>
      <c r="D48" s="17"/>
      <c r="E48" s="17"/>
      <c r="F48" s="17"/>
      <c r="G48" s="17"/>
      <c r="H48" s="17"/>
      <c r="I48" s="17"/>
      <c r="J48" s="17"/>
      <c r="K48" s="17"/>
      <c r="L48" s="17"/>
      <c r="M48" s="17"/>
      <c r="N48" s="17"/>
      <c r="O48" s="11"/>
    </row>
    <row r="49" spans="2:15" x14ac:dyDescent="0.2">
      <c r="B49" s="16"/>
      <c r="C49" s="17"/>
      <c r="D49" s="17"/>
      <c r="E49" s="17"/>
      <c r="F49" s="17"/>
      <c r="G49" s="17"/>
      <c r="H49" s="17"/>
      <c r="I49" s="17"/>
      <c r="J49" s="17"/>
      <c r="K49" s="17"/>
      <c r="L49" s="17"/>
      <c r="M49" s="17"/>
      <c r="N49" s="17"/>
      <c r="O49" s="11"/>
    </row>
    <row r="50" spans="2:15" x14ac:dyDescent="0.2">
      <c r="B50" s="16"/>
      <c r="C50" s="17"/>
      <c r="D50" s="17"/>
      <c r="E50" s="17"/>
      <c r="F50" s="17"/>
      <c r="G50" s="17"/>
      <c r="H50" s="17"/>
      <c r="I50" s="17"/>
      <c r="J50" s="17"/>
      <c r="K50" s="17"/>
      <c r="L50" s="17"/>
      <c r="M50" s="17"/>
      <c r="N50" s="17"/>
      <c r="O50" s="11"/>
    </row>
    <row r="51" spans="2:15" x14ac:dyDescent="0.2">
      <c r="B51" s="16"/>
      <c r="C51" s="17"/>
      <c r="D51" s="17"/>
      <c r="E51" s="17"/>
      <c r="F51" s="17"/>
      <c r="G51" s="17"/>
      <c r="H51" s="17"/>
      <c r="I51" s="17"/>
      <c r="J51" s="17"/>
      <c r="K51" s="17"/>
      <c r="L51" s="17"/>
      <c r="M51" s="17"/>
      <c r="N51" s="17"/>
      <c r="O51" s="11"/>
    </row>
    <row r="52" spans="2:15" x14ac:dyDescent="0.2">
      <c r="B52" s="16"/>
      <c r="C52" s="17"/>
      <c r="D52" s="17"/>
      <c r="E52" s="17"/>
      <c r="F52" s="17"/>
      <c r="G52" s="17"/>
      <c r="H52" s="17"/>
      <c r="I52" s="17"/>
      <c r="J52" s="17"/>
      <c r="K52" s="17"/>
      <c r="L52" s="17"/>
      <c r="M52" s="17"/>
      <c r="N52" s="17"/>
      <c r="O52" s="11"/>
    </row>
    <row r="53" spans="2:15" x14ac:dyDescent="0.2">
      <c r="B53" s="315"/>
      <c r="C53" s="316"/>
      <c r="D53" s="316"/>
      <c r="E53" s="316"/>
      <c r="F53" s="316"/>
      <c r="G53" s="316"/>
      <c r="H53" s="316"/>
      <c r="I53" s="316"/>
      <c r="J53" s="316"/>
      <c r="K53" s="316"/>
      <c r="L53" s="316"/>
      <c r="M53" s="316"/>
      <c r="N53" s="316"/>
      <c r="O53" s="11"/>
    </row>
    <row r="54" spans="2:15" x14ac:dyDescent="0.2">
      <c r="B54" s="16"/>
      <c r="C54" s="17"/>
      <c r="D54" s="17"/>
      <c r="E54" s="17"/>
      <c r="F54" s="17"/>
      <c r="G54" s="17"/>
      <c r="H54" s="17"/>
      <c r="I54" s="17"/>
      <c r="J54" s="17"/>
      <c r="K54" s="17"/>
      <c r="L54" s="17"/>
      <c r="M54" s="17"/>
      <c r="N54" s="17"/>
      <c r="O54" s="11"/>
    </row>
    <row r="55" spans="2:15" x14ac:dyDescent="0.2">
      <c r="B55" s="16"/>
      <c r="C55" s="17"/>
      <c r="D55" s="17"/>
      <c r="E55" s="17"/>
      <c r="F55" s="17"/>
      <c r="G55" s="17"/>
      <c r="H55" s="17"/>
      <c r="I55" s="17"/>
      <c r="J55" s="17"/>
      <c r="K55" s="17"/>
      <c r="L55" s="17"/>
      <c r="M55" s="17"/>
      <c r="N55" s="17"/>
      <c r="O55" s="11"/>
    </row>
    <row r="56" spans="2:15" x14ac:dyDescent="0.2">
      <c r="B56" s="16"/>
      <c r="C56" s="17"/>
      <c r="D56" s="17"/>
      <c r="E56" s="17"/>
      <c r="F56" s="17"/>
      <c r="G56" s="17"/>
      <c r="H56" s="17"/>
      <c r="I56" s="17"/>
      <c r="J56" s="17"/>
      <c r="K56" s="17"/>
      <c r="L56" s="17"/>
      <c r="M56" s="17"/>
      <c r="N56" s="17"/>
      <c r="O56" s="11"/>
    </row>
    <row r="57" spans="2:15" x14ac:dyDescent="0.2">
      <c r="B57" s="16"/>
      <c r="C57" s="17"/>
      <c r="D57" s="17"/>
      <c r="E57" s="17"/>
      <c r="F57" s="17"/>
      <c r="G57" s="17"/>
      <c r="H57" s="17"/>
      <c r="I57" s="17"/>
      <c r="J57" s="17"/>
      <c r="K57" s="17"/>
      <c r="L57" s="17"/>
      <c r="M57" s="17"/>
      <c r="N57" s="17"/>
      <c r="O57" s="11"/>
    </row>
    <row r="58" spans="2:15" x14ac:dyDescent="0.2">
      <c r="B58" s="16"/>
      <c r="C58" s="17"/>
      <c r="D58" s="17"/>
      <c r="F58" s="17"/>
      <c r="G58" s="17"/>
      <c r="H58" s="17"/>
      <c r="I58" s="17"/>
      <c r="J58" s="17"/>
      <c r="K58" s="17"/>
      <c r="L58" s="17"/>
      <c r="M58" s="17"/>
      <c r="N58" s="17"/>
      <c r="O58" s="11"/>
    </row>
    <row r="59" spans="2:15" x14ac:dyDescent="0.2">
      <c r="B59" s="16"/>
      <c r="C59" s="17"/>
      <c r="D59" s="17"/>
      <c r="F59" s="17"/>
      <c r="G59" s="17"/>
      <c r="H59" s="17"/>
      <c r="I59" s="17"/>
      <c r="J59" s="17"/>
      <c r="K59" s="17"/>
      <c r="L59" s="17"/>
      <c r="M59" s="17"/>
      <c r="N59" s="17"/>
      <c r="O59" s="11"/>
    </row>
    <row r="60" spans="2:15" x14ac:dyDescent="0.2">
      <c r="B60" s="16"/>
      <c r="C60" s="17"/>
      <c r="D60" s="17"/>
      <c r="F60" s="17"/>
      <c r="G60" s="17"/>
      <c r="H60" s="17"/>
      <c r="I60" s="17"/>
      <c r="J60" s="17"/>
      <c r="K60" s="17"/>
      <c r="L60" s="17"/>
      <c r="M60" s="17"/>
      <c r="N60" s="17"/>
      <c r="O60" s="11"/>
    </row>
    <row r="61" spans="2:15" x14ac:dyDescent="0.2">
      <c r="B61" s="16"/>
      <c r="C61" s="17"/>
      <c r="D61" s="17"/>
      <c r="F61" s="17"/>
      <c r="G61" s="17"/>
      <c r="H61" s="17"/>
      <c r="I61" s="17"/>
      <c r="J61" s="17"/>
      <c r="K61" s="17"/>
      <c r="L61" s="17"/>
      <c r="M61" s="17"/>
      <c r="N61" s="17"/>
      <c r="O61" s="11"/>
    </row>
    <row r="62" spans="2:15" x14ac:dyDescent="0.2">
      <c r="B62" s="16"/>
      <c r="C62" s="17"/>
      <c r="D62" s="17"/>
      <c r="E62" s="17"/>
      <c r="F62" s="17"/>
      <c r="G62" s="17"/>
      <c r="H62" s="17"/>
      <c r="I62" s="17"/>
      <c r="J62" s="17"/>
      <c r="K62" s="17"/>
      <c r="L62" s="17"/>
      <c r="M62" s="17"/>
      <c r="N62" s="17"/>
      <c r="O62" s="11"/>
    </row>
    <row r="63" spans="2:15" x14ac:dyDescent="0.2">
      <c r="B63" s="107"/>
      <c r="C63" s="108"/>
      <c r="D63" s="108"/>
      <c r="E63" s="108"/>
      <c r="F63" s="108"/>
      <c r="G63" s="108"/>
      <c r="H63" s="108"/>
      <c r="I63" s="108"/>
      <c r="J63" s="108"/>
      <c r="K63" s="108"/>
      <c r="L63" s="108"/>
      <c r="M63" s="108"/>
      <c r="N63" s="108"/>
      <c r="O63" s="9"/>
    </row>
    <row r="64" spans="2:15" x14ac:dyDescent="0.2">
      <c r="B64" s="16"/>
      <c r="C64" s="17"/>
      <c r="D64" s="17"/>
      <c r="E64" s="17"/>
      <c r="F64" s="17"/>
      <c r="G64" s="17"/>
      <c r="H64" s="17"/>
      <c r="I64" s="17"/>
      <c r="J64" s="17"/>
      <c r="K64" s="17"/>
      <c r="L64" s="17"/>
      <c r="M64" s="17"/>
      <c r="N64" s="17"/>
      <c r="O64" s="11"/>
    </row>
    <row r="65" spans="2:15" ht="7.5" customHeight="1" x14ac:dyDescent="0.2">
      <c r="B65" s="16"/>
      <c r="C65" s="17"/>
      <c r="D65" s="17"/>
      <c r="E65" s="17"/>
      <c r="F65" s="17"/>
      <c r="G65" s="17"/>
      <c r="H65" s="17"/>
      <c r="I65" s="17"/>
      <c r="J65" s="17"/>
      <c r="K65" s="17"/>
      <c r="L65" s="17"/>
      <c r="M65" s="17"/>
      <c r="N65" s="17"/>
      <c r="O65" s="11"/>
    </row>
    <row r="66" spans="2:15" ht="9.75" customHeight="1" x14ac:dyDescent="0.2">
      <c r="B66" s="16"/>
      <c r="C66" s="17"/>
      <c r="D66" s="17"/>
      <c r="E66" s="17"/>
      <c r="F66" s="17"/>
      <c r="G66" s="17"/>
      <c r="H66" s="17"/>
      <c r="I66" s="17"/>
      <c r="J66" s="17"/>
      <c r="K66" s="17"/>
      <c r="L66" s="17"/>
      <c r="M66" s="17"/>
      <c r="N66" s="17"/>
      <c r="O66" s="11"/>
    </row>
    <row r="67" spans="2:15" ht="12.75" customHeight="1" x14ac:dyDescent="0.2">
      <c r="B67" s="16"/>
      <c r="C67" s="17"/>
      <c r="D67" s="17"/>
      <c r="E67" s="17"/>
      <c r="F67" s="17"/>
      <c r="G67" s="17"/>
      <c r="H67" s="17"/>
      <c r="I67" s="17"/>
      <c r="J67" s="17"/>
      <c r="K67" s="17"/>
      <c r="L67" s="17"/>
      <c r="M67" s="17"/>
      <c r="N67" s="17"/>
      <c r="O67" s="11"/>
    </row>
    <row r="68" spans="2:15" ht="33.75" x14ac:dyDescent="0.2">
      <c r="B68" s="138" t="s">
        <v>119</v>
      </c>
      <c r="C68" s="139" t="s">
        <v>127</v>
      </c>
      <c r="D68" s="139" t="s">
        <v>128</v>
      </c>
      <c r="E68" s="139" t="s">
        <v>118</v>
      </c>
      <c r="F68" s="17"/>
      <c r="G68" s="17"/>
      <c r="H68" s="17"/>
      <c r="I68" s="17"/>
      <c r="J68" s="17"/>
      <c r="K68" s="17"/>
      <c r="L68" s="17"/>
      <c r="M68" s="17"/>
      <c r="N68" s="17"/>
      <c r="O68" s="11"/>
    </row>
    <row r="69" spans="2:15" x14ac:dyDescent="0.2">
      <c r="B69" s="294" t="s">
        <v>146</v>
      </c>
      <c r="C69" s="296">
        <v>30</v>
      </c>
      <c r="D69" s="296">
        <v>30</v>
      </c>
      <c r="E69" s="311">
        <f>+C69/D69</f>
        <v>1</v>
      </c>
      <c r="F69" s="17"/>
      <c r="G69" s="17"/>
      <c r="H69" s="17"/>
      <c r="I69" s="17"/>
      <c r="J69" s="17"/>
      <c r="K69" s="17"/>
      <c r="L69" s="17"/>
      <c r="M69" s="17"/>
      <c r="N69" s="17"/>
      <c r="O69" s="11"/>
    </row>
    <row r="70" spans="2:15" x14ac:dyDescent="0.2">
      <c r="B70" s="295"/>
      <c r="C70" s="297"/>
      <c r="D70" s="297"/>
      <c r="E70" s="312"/>
      <c r="F70" s="17"/>
      <c r="G70" s="17"/>
      <c r="H70" s="17"/>
      <c r="I70" s="17"/>
      <c r="J70" s="17"/>
      <c r="K70" s="17"/>
      <c r="L70" s="17"/>
      <c r="M70" s="17"/>
      <c r="N70" s="17"/>
      <c r="O70" s="11"/>
    </row>
    <row r="71" spans="2:15" x14ac:dyDescent="0.2">
      <c r="B71" s="294" t="s">
        <v>145</v>
      </c>
      <c r="C71" s="296"/>
      <c r="D71" s="296"/>
      <c r="E71" s="311"/>
      <c r="F71" s="17"/>
      <c r="G71" s="17"/>
      <c r="H71" s="17"/>
      <c r="I71" s="17"/>
      <c r="J71" s="17"/>
      <c r="K71" s="17"/>
      <c r="L71" s="17"/>
      <c r="M71" s="17"/>
      <c r="N71" s="17"/>
      <c r="O71" s="11"/>
    </row>
    <row r="72" spans="2:15" x14ac:dyDescent="0.2">
      <c r="B72" s="295"/>
      <c r="C72" s="297"/>
      <c r="D72" s="297"/>
      <c r="E72" s="312"/>
      <c r="F72" s="17"/>
      <c r="G72" s="17"/>
      <c r="H72" s="17"/>
      <c r="I72" s="17"/>
      <c r="J72" s="17"/>
      <c r="K72" s="17"/>
      <c r="L72" s="17"/>
      <c r="M72" s="17"/>
      <c r="N72" s="17"/>
      <c r="O72" s="11"/>
    </row>
    <row r="73" spans="2:15" x14ac:dyDescent="0.2">
      <c r="B73" s="102" t="s">
        <v>141</v>
      </c>
      <c r="C73" s="121">
        <f>SUM(C69:C72)</f>
        <v>30</v>
      </c>
      <c r="D73" s="121">
        <f>SUM(D69:D72)</f>
        <v>30</v>
      </c>
      <c r="E73" s="122">
        <f>+C73/D73</f>
        <v>1</v>
      </c>
      <c r="F73" s="17"/>
      <c r="G73" s="17"/>
      <c r="H73" s="17"/>
      <c r="I73" s="17"/>
      <c r="J73" s="17"/>
      <c r="K73" s="17"/>
      <c r="L73" s="17"/>
      <c r="M73" s="17"/>
      <c r="N73" s="17"/>
      <c r="O73" s="11"/>
    </row>
    <row r="74" spans="2:15" x14ac:dyDescent="0.2">
      <c r="B74" s="16"/>
      <c r="C74" s="17"/>
      <c r="D74" s="17"/>
      <c r="E74" s="17"/>
      <c r="F74" s="17"/>
      <c r="G74" s="17"/>
      <c r="H74" s="17"/>
      <c r="I74" s="17"/>
      <c r="J74" s="17"/>
      <c r="K74" s="17"/>
      <c r="L74" s="17"/>
      <c r="M74" s="17"/>
      <c r="N74" s="17"/>
      <c r="O74" s="11"/>
    </row>
    <row r="75" spans="2:15" ht="17.25" customHeight="1" x14ac:dyDescent="0.2">
      <c r="B75" s="16"/>
      <c r="C75" s="17"/>
      <c r="D75" s="17"/>
      <c r="E75" s="17"/>
      <c r="F75" s="17"/>
      <c r="G75" s="17"/>
      <c r="H75" s="17"/>
      <c r="I75" s="17"/>
      <c r="J75" s="17"/>
      <c r="K75" s="17"/>
      <c r="L75" s="17"/>
      <c r="M75" s="17"/>
      <c r="N75" s="17"/>
      <c r="O75" s="11"/>
    </row>
    <row r="76" spans="2:15" ht="3.75" customHeight="1" x14ac:dyDescent="0.2">
      <c r="B76" s="16"/>
      <c r="C76" s="17"/>
      <c r="D76" s="17"/>
      <c r="E76" s="17"/>
      <c r="F76" s="17"/>
      <c r="G76" s="17"/>
      <c r="H76" s="17"/>
      <c r="I76" s="17"/>
      <c r="J76" s="17"/>
      <c r="K76" s="17"/>
      <c r="L76" s="17"/>
      <c r="M76" s="17"/>
      <c r="N76" s="17"/>
      <c r="O76" s="11"/>
    </row>
    <row r="77" spans="2:15" ht="4.5" customHeight="1" x14ac:dyDescent="0.2">
      <c r="B77" s="16"/>
      <c r="C77" s="17"/>
      <c r="D77" s="17"/>
      <c r="E77" s="17"/>
      <c r="F77" s="17"/>
      <c r="G77" s="17"/>
      <c r="H77" s="17"/>
      <c r="I77" s="17"/>
      <c r="J77" s="17"/>
      <c r="K77" s="17"/>
      <c r="L77" s="17"/>
      <c r="M77" s="17"/>
      <c r="N77" s="17"/>
      <c r="O77" s="11"/>
    </row>
    <row r="78" spans="2:15" x14ac:dyDescent="0.2">
      <c r="B78" s="16"/>
      <c r="C78" s="17"/>
      <c r="D78" s="17"/>
      <c r="E78" s="17"/>
      <c r="F78" s="17"/>
      <c r="G78" s="17"/>
      <c r="H78" s="17"/>
      <c r="I78" s="17"/>
      <c r="J78" s="17"/>
      <c r="K78" s="17"/>
      <c r="L78" s="17"/>
      <c r="M78" s="17"/>
      <c r="N78" s="17"/>
      <c r="O78" s="11"/>
    </row>
    <row r="79" spans="2:15" ht="3" customHeight="1" x14ac:dyDescent="0.2">
      <c r="B79" s="16"/>
      <c r="C79" s="17"/>
      <c r="D79" s="17"/>
      <c r="E79" s="17"/>
      <c r="F79" s="17"/>
      <c r="G79" s="17"/>
      <c r="H79" s="17"/>
      <c r="I79" s="17"/>
      <c r="J79" s="17"/>
      <c r="K79" s="17"/>
      <c r="L79" s="17"/>
      <c r="M79" s="17"/>
      <c r="N79" s="17"/>
      <c r="O79" s="11"/>
    </row>
    <row r="80" spans="2:15" x14ac:dyDescent="0.2">
      <c r="B80" s="16"/>
      <c r="C80" s="17"/>
      <c r="D80" s="17"/>
      <c r="E80" s="17"/>
      <c r="F80" s="17"/>
      <c r="G80" s="17"/>
      <c r="H80" s="17"/>
      <c r="I80" s="17"/>
      <c r="J80" s="17"/>
      <c r="K80" s="17"/>
      <c r="L80" s="17"/>
      <c r="M80" s="17"/>
      <c r="N80" s="17"/>
      <c r="O80" s="11"/>
    </row>
    <row r="81" spans="2:15" ht="4.5" customHeight="1" x14ac:dyDescent="0.2">
      <c r="B81" s="16"/>
      <c r="C81" s="17"/>
      <c r="D81" s="17"/>
      <c r="E81" s="17"/>
      <c r="F81" s="17"/>
      <c r="G81" s="17"/>
      <c r="H81" s="17"/>
      <c r="I81" s="17"/>
      <c r="J81" s="17"/>
      <c r="K81" s="17"/>
      <c r="L81" s="17"/>
      <c r="M81" s="17"/>
      <c r="N81" s="17"/>
      <c r="O81" s="11"/>
    </row>
    <row r="82" spans="2:15" ht="14.25" customHeight="1" x14ac:dyDescent="0.2">
      <c r="B82" s="16"/>
      <c r="C82" s="17"/>
      <c r="D82" s="17"/>
      <c r="E82" s="17"/>
      <c r="F82" s="17"/>
      <c r="G82" s="17"/>
      <c r="H82" s="17"/>
      <c r="I82" s="17"/>
      <c r="J82" s="17"/>
      <c r="K82" s="17"/>
      <c r="L82" s="17"/>
      <c r="M82" s="17"/>
      <c r="N82" s="17"/>
      <c r="O82" s="11"/>
    </row>
    <row r="83" spans="2:15" ht="4.5" customHeight="1" x14ac:dyDescent="0.2">
      <c r="B83" s="16"/>
      <c r="C83" s="17"/>
      <c r="D83" s="17"/>
      <c r="E83" s="17"/>
      <c r="F83" s="17"/>
      <c r="G83" s="17"/>
      <c r="H83" s="17"/>
      <c r="I83" s="17"/>
      <c r="J83" s="17"/>
      <c r="K83" s="17"/>
      <c r="L83" s="17"/>
      <c r="M83" s="17"/>
      <c r="N83" s="17"/>
      <c r="O83" s="11"/>
    </row>
    <row r="84" spans="2:15" ht="4.5" customHeight="1" x14ac:dyDescent="0.2">
      <c r="B84" s="16"/>
      <c r="C84" s="17"/>
      <c r="D84" s="17"/>
      <c r="E84" s="17"/>
      <c r="F84" s="17"/>
      <c r="G84" s="17"/>
      <c r="H84" s="17"/>
      <c r="I84" s="17"/>
      <c r="J84" s="17"/>
      <c r="K84" s="17"/>
      <c r="L84" s="17"/>
      <c r="M84" s="17"/>
      <c r="N84" s="17"/>
      <c r="O84" s="11"/>
    </row>
    <row r="85" spans="2:15" ht="3.75" customHeight="1" x14ac:dyDescent="0.2">
      <c r="B85" s="16"/>
      <c r="C85" s="17"/>
      <c r="D85" s="17"/>
      <c r="E85" s="17"/>
      <c r="F85" s="17"/>
      <c r="G85" s="17"/>
      <c r="H85" s="17"/>
      <c r="I85" s="17"/>
      <c r="J85" s="17"/>
      <c r="K85" s="17"/>
      <c r="L85" s="17"/>
      <c r="M85" s="17"/>
      <c r="N85" s="17"/>
      <c r="O85" s="11"/>
    </row>
    <row r="86" spans="2:15" x14ac:dyDescent="0.2">
      <c r="B86" s="16"/>
      <c r="C86" s="17"/>
      <c r="D86" s="17"/>
      <c r="E86" s="17"/>
      <c r="F86" s="17"/>
      <c r="G86" s="17"/>
      <c r="H86" s="17"/>
      <c r="I86" s="17"/>
      <c r="J86" s="17"/>
      <c r="K86" s="17"/>
      <c r="L86" s="17"/>
      <c r="M86" s="17"/>
      <c r="N86" s="17"/>
      <c r="O86" s="11"/>
    </row>
    <row r="87" spans="2:15" x14ac:dyDescent="0.2">
      <c r="B87" s="18"/>
      <c r="C87" s="19"/>
      <c r="D87" s="19"/>
      <c r="E87" s="19"/>
      <c r="F87" s="19"/>
      <c r="G87" s="19"/>
      <c r="H87" s="19"/>
      <c r="I87" s="19"/>
      <c r="J87" s="19"/>
      <c r="K87" s="19"/>
      <c r="L87" s="19"/>
      <c r="M87" s="19"/>
      <c r="N87" s="19"/>
      <c r="O87" s="13"/>
    </row>
    <row r="88" spans="2:15" x14ac:dyDescent="0.2">
      <c r="B88" s="17"/>
      <c r="C88" s="17"/>
      <c r="D88" s="17"/>
      <c r="E88" s="17"/>
      <c r="F88" s="17"/>
      <c r="G88" s="17"/>
      <c r="H88" s="17"/>
      <c r="I88" s="17"/>
      <c r="J88" s="17"/>
      <c r="K88" s="17"/>
      <c r="L88" s="17"/>
      <c r="M88" s="17"/>
      <c r="N88" s="17"/>
    </row>
    <row r="90" spans="2:15" x14ac:dyDescent="0.2">
      <c r="B90" s="289" t="s">
        <v>75</v>
      </c>
      <c r="C90" s="289"/>
      <c r="D90" s="289"/>
      <c r="E90" s="289"/>
      <c r="F90" s="289"/>
      <c r="G90" s="289"/>
      <c r="H90" s="289"/>
      <c r="I90" s="289"/>
      <c r="J90" s="289"/>
      <c r="K90" s="289"/>
      <c r="L90" s="289"/>
      <c r="M90" s="289"/>
      <c r="N90" s="289"/>
    </row>
    <row r="91" spans="2:15" x14ac:dyDescent="0.2">
      <c r="B91" s="289"/>
      <c r="C91" s="289"/>
      <c r="D91" s="289"/>
      <c r="E91" s="289"/>
      <c r="F91" s="289"/>
      <c r="G91" s="289"/>
      <c r="H91" s="289"/>
      <c r="I91" s="289"/>
      <c r="J91" s="289"/>
      <c r="K91" s="289"/>
      <c r="L91" s="289"/>
      <c r="M91" s="289"/>
      <c r="N91" s="289"/>
    </row>
    <row r="92" spans="2:15" x14ac:dyDescent="0.2">
      <c r="B92" s="21" t="s">
        <v>69</v>
      </c>
      <c r="C92" s="286" t="s">
        <v>76</v>
      </c>
      <c r="D92" s="302"/>
      <c r="E92" s="302"/>
      <c r="F92" s="302"/>
      <c r="G92" s="303"/>
      <c r="H92" s="286" t="s">
        <v>77</v>
      </c>
      <c r="I92" s="287"/>
      <c r="J92" s="287"/>
      <c r="K92" s="287"/>
      <c r="L92" s="287"/>
      <c r="M92" s="287"/>
      <c r="N92" s="288"/>
    </row>
    <row r="93" spans="2:15" x14ac:dyDescent="0.2">
      <c r="B93" s="290" t="s">
        <v>146</v>
      </c>
      <c r="C93" s="304" t="s">
        <v>175</v>
      </c>
      <c r="D93" s="305"/>
      <c r="E93" s="305"/>
      <c r="F93" s="305"/>
      <c r="G93" s="306"/>
      <c r="H93" s="24" t="s">
        <v>78</v>
      </c>
      <c r="I93" s="24"/>
      <c r="J93" s="24"/>
      <c r="K93" s="24"/>
      <c r="L93" s="25"/>
      <c r="M93" s="26"/>
      <c r="N93" s="9"/>
    </row>
    <row r="94" spans="2:15" ht="17.25" customHeight="1" x14ac:dyDescent="0.2">
      <c r="B94" s="291"/>
      <c r="C94" s="307"/>
      <c r="D94" s="308"/>
      <c r="E94" s="308"/>
      <c r="F94" s="308"/>
      <c r="G94" s="309"/>
      <c r="H94" s="334" t="s">
        <v>104</v>
      </c>
      <c r="I94" s="334"/>
      <c r="J94" s="334" t="s">
        <v>105</v>
      </c>
      <c r="K94" s="334"/>
      <c r="L94" s="334"/>
      <c r="M94" s="335" t="s">
        <v>97</v>
      </c>
      <c r="N94" s="335"/>
    </row>
    <row r="95" spans="2:15" ht="12.75" customHeight="1" x14ac:dyDescent="0.2">
      <c r="B95" s="291"/>
      <c r="C95" s="307"/>
      <c r="D95" s="308"/>
      <c r="E95" s="308"/>
      <c r="F95" s="308"/>
      <c r="G95" s="309"/>
      <c r="H95" s="313"/>
      <c r="I95" s="310"/>
      <c r="J95" s="273"/>
      <c r="K95" s="274"/>
      <c r="L95" s="275"/>
      <c r="M95" s="279"/>
      <c r="N95" s="280"/>
    </row>
    <row r="96" spans="2:15" x14ac:dyDescent="0.2">
      <c r="B96" s="291"/>
      <c r="C96" s="307"/>
      <c r="D96" s="308"/>
      <c r="E96" s="308"/>
      <c r="F96" s="308"/>
      <c r="G96" s="309"/>
      <c r="H96" s="136"/>
      <c r="I96" s="137"/>
      <c r="J96" s="228"/>
      <c r="K96" s="229"/>
      <c r="L96" s="230"/>
      <c r="M96" s="281"/>
      <c r="N96" s="282"/>
    </row>
    <row r="97" spans="2:14" x14ac:dyDescent="0.2">
      <c r="B97" s="291"/>
      <c r="C97" s="307"/>
      <c r="D97" s="308"/>
      <c r="E97" s="308"/>
      <c r="F97" s="308"/>
      <c r="G97" s="309"/>
      <c r="J97" s="310"/>
      <c r="K97" s="310"/>
      <c r="L97" s="310"/>
      <c r="M97" s="285"/>
      <c r="N97" s="285"/>
    </row>
    <row r="98" spans="2:14" x14ac:dyDescent="0.2">
      <c r="B98" s="291"/>
      <c r="C98" s="307"/>
      <c r="D98" s="308"/>
      <c r="E98" s="308"/>
      <c r="F98" s="308"/>
      <c r="G98" s="309"/>
      <c r="H98" s="310"/>
      <c r="I98" s="310"/>
      <c r="J98" s="310"/>
      <c r="K98" s="310"/>
      <c r="L98" s="310"/>
      <c r="M98" s="285"/>
      <c r="N98" s="285"/>
    </row>
    <row r="99" spans="2:14" x14ac:dyDescent="0.2">
      <c r="B99" s="291"/>
      <c r="C99" s="307"/>
      <c r="D99" s="308"/>
      <c r="E99" s="308"/>
      <c r="F99" s="308"/>
      <c r="G99" s="309"/>
      <c r="H99" s="336"/>
      <c r="I99" s="337"/>
      <c r="J99" s="337"/>
      <c r="K99" s="337"/>
      <c r="L99" s="337"/>
      <c r="M99" s="337"/>
      <c r="N99" s="338"/>
    </row>
    <row r="100" spans="2:14" x14ac:dyDescent="0.2">
      <c r="B100" s="291"/>
      <c r="C100" s="307"/>
      <c r="D100" s="308"/>
      <c r="E100" s="308"/>
      <c r="F100" s="308"/>
      <c r="G100" s="309"/>
      <c r="H100" s="339"/>
      <c r="I100" s="340"/>
      <c r="J100" s="340"/>
      <c r="K100" s="340"/>
      <c r="L100" s="340"/>
      <c r="M100" s="340"/>
      <c r="N100" s="341"/>
    </row>
    <row r="101" spans="2:14" x14ac:dyDescent="0.2">
      <c r="B101" s="291"/>
      <c r="C101" s="307"/>
      <c r="D101" s="308"/>
      <c r="E101" s="308"/>
      <c r="F101" s="308"/>
      <c r="G101" s="309"/>
      <c r="H101" s="342"/>
      <c r="I101" s="343"/>
      <c r="J101" s="343"/>
      <c r="K101" s="343"/>
      <c r="L101" s="343"/>
      <c r="M101" s="343"/>
      <c r="N101" s="344"/>
    </row>
    <row r="102" spans="2:14" x14ac:dyDescent="0.2">
      <c r="B102" s="291"/>
      <c r="C102" s="307"/>
      <c r="D102" s="308"/>
      <c r="E102" s="308"/>
      <c r="F102" s="308"/>
      <c r="G102" s="309"/>
      <c r="H102" s="28"/>
      <c r="I102" s="28"/>
      <c r="J102" s="28"/>
      <c r="K102" s="28"/>
      <c r="L102" s="28"/>
      <c r="M102" s="29"/>
      <c r="N102" s="11"/>
    </row>
    <row r="103" spans="2:14" x14ac:dyDescent="0.2">
      <c r="B103" s="291"/>
      <c r="C103" s="307"/>
      <c r="D103" s="308"/>
      <c r="E103" s="308"/>
      <c r="F103" s="308"/>
      <c r="G103" s="309"/>
      <c r="H103" s="37" t="s">
        <v>79</v>
      </c>
      <c r="J103" s="32" t="s">
        <v>80</v>
      </c>
      <c r="K103" s="39"/>
      <c r="L103" s="40"/>
      <c r="M103" s="29"/>
      <c r="N103" s="41"/>
    </row>
    <row r="104" spans="2:14" x14ac:dyDescent="0.2">
      <c r="B104" s="291"/>
      <c r="C104" s="307"/>
      <c r="D104" s="308"/>
      <c r="E104" s="308"/>
      <c r="F104" s="308"/>
      <c r="G104" s="309"/>
      <c r="H104" s="37"/>
      <c r="J104" s="32"/>
      <c r="K104" s="39"/>
      <c r="L104" s="42"/>
      <c r="M104" s="29"/>
      <c r="N104" s="41"/>
    </row>
    <row r="105" spans="2:14" x14ac:dyDescent="0.2">
      <c r="B105" s="291"/>
      <c r="C105" s="37" t="s">
        <v>81</v>
      </c>
      <c r="D105" s="30"/>
      <c r="E105" s="43" t="s">
        <v>156</v>
      </c>
      <c r="F105" s="43"/>
      <c r="G105" s="44"/>
      <c r="H105" s="37"/>
      <c r="J105" s="32"/>
      <c r="K105" s="39"/>
      <c r="L105" s="42"/>
      <c r="M105" s="29"/>
      <c r="N105" s="41"/>
    </row>
    <row r="106" spans="2:14" x14ac:dyDescent="0.2">
      <c r="B106" s="291"/>
      <c r="C106" s="30"/>
      <c r="D106" s="30"/>
      <c r="E106" s="22"/>
      <c r="F106" s="22"/>
      <c r="G106" s="45"/>
      <c r="H106" s="37"/>
      <c r="J106" s="32"/>
      <c r="K106" s="39"/>
      <c r="L106" s="46"/>
      <c r="M106" s="29"/>
      <c r="N106" s="41"/>
    </row>
    <row r="107" spans="2:14" x14ac:dyDescent="0.2">
      <c r="B107" s="291"/>
      <c r="C107" s="30" t="s">
        <v>82</v>
      </c>
      <c r="D107" s="30"/>
      <c r="E107" s="292">
        <v>45840</v>
      </c>
      <c r="F107" s="292"/>
      <c r="G107" s="293"/>
      <c r="H107" s="37"/>
      <c r="I107" s="326" t="s">
        <v>103</v>
      </c>
      <c r="J107" s="326"/>
      <c r="K107" s="327"/>
      <c r="L107" s="40"/>
      <c r="M107" s="29"/>
      <c r="N107" s="41"/>
    </row>
    <row r="108" spans="2:14" x14ac:dyDescent="0.2">
      <c r="B108" s="47"/>
      <c r="C108" s="48"/>
      <c r="D108" s="48"/>
      <c r="E108" s="48"/>
      <c r="F108" s="48"/>
      <c r="G108" s="52"/>
      <c r="H108" s="49"/>
      <c r="I108" s="49"/>
      <c r="J108" s="49"/>
      <c r="K108" s="46"/>
      <c r="L108" s="33"/>
      <c r="M108" s="34"/>
      <c r="N108" s="50"/>
    </row>
    <row r="109" spans="2:14" x14ac:dyDescent="0.2">
      <c r="B109" s="21" t="s">
        <v>69</v>
      </c>
      <c r="C109" s="286" t="s">
        <v>76</v>
      </c>
      <c r="D109" s="302"/>
      <c r="E109" s="302"/>
      <c r="F109" s="302"/>
      <c r="G109" s="303"/>
      <c r="H109" s="286" t="s">
        <v>77</v>
      </c>
      <c r="I109" s="287"/>
      <c r="J109" s="287"/>
      <c r="K109" s="287"/>
      <c r="L109" s="287"/>
      <c r="M109" s="287"/>
      <c r="N109" s="288"/>
    </row>
    <row r="110" spans="2:14" ht="51" customHeight="1" x14ac:dyDescent="0.2">
      <c r="B110" s="290" t="s">
        <v>145</v>
      </c>
      <c r="C110" s="317"/>
      <c r="D110" s="318"/>
      <c r="E110" s="318"/>
      <c r="F110" s="318"/>
      <c r="G110" s="319"/>
      <c r="H110" s="323"/>
      <c r="I110" s="324"/>
      <c r="J110" s="324"/>
      <c r="K110" s="324"/>
      <c r="L110" s="324"/>
      <c r="M110" s="324"/>
      <c r="N110" s="325"/>
    </row>
    <row r="111" spans="2:14" ht="18.75" customHeight="1" x14ac:dyDescent="0.2">
      <c r="B111" s="291"/>
      <c r="C111" s="320"/>
      <c r="D111" s="321"/>
      <c r="E111" s="321"/>
      <c r="F111" s="321"/>
      <c r="G111" s="322"/>
      <c r="H111" s="334" t="s">
        <v>104</v>
      </c>
      <c r="I111" s="334"/>
      <c r="J111" s="334" t="s">
        <v>105</v>
      </c>
      <c r="K111" s="334"/>
      <c r="L111" s="334"/>
      <c r="M111" s="335" t="s">
        <v>97</v>
      </c>
      <c r="N111" s="335"/>
    </row>
    <row r="112" spans="2:14" x14ac:dyDescent="0.2">
      <c r="B112" s="291"/>
      <c r="C112" s="320"/>
      <c r="D112" s="321"/>
      <c r="E112" s="321"/>
      <c r="F112" s="321"/>
      <c r="G112" s="322"/>
      <c r="H112" s="269"/>
      <c r="I112" s="270"/>
      <c r="J112" s="273"/>
      <c r="K112" s="274"/>
      <c r="L112" s="275"/>
      <c r="M112" s="279"/>
      <c r="N112" s="280"/>
    </row>
    <row r="113" spans="2:14" x14ac:dyDescent="0.2">
      <c r="B113" s="291"/>
      <c r="C113" s="320"/>
      <c r="D113" s="321"/>
      <c r="E113" s="321"/>
      <c r="F113" s="321"/>
      <c r="G113" s="322"/>
      <c r="H113" s="271"/>
      <c r="I113" s="272"/>
      <c r="J113" s="276"/>
      <c r="K113" s="277"/>
      <c r="L113" s="278"/>
      <c r="M113" s="281"/>
      <c r="N113" s="282"/>
    </row>
    <row r="114" spans="2:14" ht="27.75" customHeight="1" x14ac:dyDescent="0.2">
      <c r="B114" s="291"/>
      <c r="C114" s="320"/>
      <c r="D114" s="321"/>
      <c r="E114" s="321"/>
      <c r="F114" s="321"/>
      <c r="G114" s="322"/>
      <c r="H114" s="310"/>
      <c r="I114" s="310"/>
      <c r="J114" s="310"/>
      <c r="K114" s="310"/>
      <c r="L114" s="310"/>
      <c r="M114" s="285"/>
      <c r="N114" s="285"/>
    </row>
    <row r="115" spans="2:14" ht="18.75" hidden="1" customHeight="1" x14ac:dyDescent="0.2">
      <c r="B115" s="291"/>
      <c r="C115" s="320"/>
      <c r="D115" s="321"/>
      <c r="E115" s="321"/>
      <c r="F115" s="321"/>
      <c r="G115" s="322"/>
      <c r="H115" s="32"/>
      <c r="I115" s="28"/>
      <c r="J115" s="25"/>
      <c r="K115" s="25"/>
      <c r="L115" s="25"/>
      <c r="M115" s="26"/>
      <c r="N115" s="11"/>
    </row>
    <row r="116" spans="2:14" ht="51" hidden="1" customHeight="1" x14ac:dyDescent="0.2">
      <c r="B116" s="291"/>
      <c r="C116" s="320"/>
      <c r="D116" s="321"/>
      <c r="E116" s="321"/>
      <c r="F116" s="321"/>
      <c r="G116" s="322"/>
      <c r="H116" s="35"/>
      <c r="I116" s="28"/>
      <c r="J116" s="28"/>
      <c r="K116" s="28"/>
      <c r="L116" s="28"/>
      <c r="M116" s="29"/>
      <c r="N116" s="11"/>
    </row>
    <row r="117" spans="2:14" ht="9.75" customHeight="1" x14ac:dyDescent="0.2">
      <c r="B117" s="291"/>
      <c r="C117" s="320"/>
      <c r="D117" s="321"/>
      <c r="E117" s="321"/>
      <c r="F117" s="321"/>
      <c r="G117" s="322"/>
      <c r="H117" s="36"/>
      <c r="I117" s="33"/>
      <c r="J117" s="33"/>
      <c r="K117" s="33"/>
      <c r="L117" s="33"/>
      <c r="M117" s="34"/>
      <c r="N117" s="13"/>
    </row>
    <row r="118" spans="2:14" x14ac:dyDescent="0.2">
      <c r="B118" s="291"/>
      <c r="C118" s="320"/>
      <c r="D118" s="321"/>
      <c r="E118" s="321"/>
      <c r="F118" s="321"/>
      <c r="G118" s="322"/>
      <c r="H118" s="28"/>
      <c r="I118" s="28"/>
      <c r="J118" s="28"/>
      <c r="K118" s="28"/>
      <c r="L118" s="28"/>
      <c r="M118" s="29"/>
      <c r="N118" s="11"/>
    </row>
    <row r="119" spans="2:14" x14ac:dyDescent="0.2">
      <c r="B119" s="291"/>
      <c r="C119" s="123"/>
      <c r="D119" s="98"/>
      <c r="E119" s="124"/>
      <c r="F119" s="124"/>
      <c r="G119" s="125"/>
      <c r="H119" s="37" t="s">
        <v>79</v>
      </c>
      <c r="J119" s="32" t="s">
        <v>80</v>
      </c>
      <c r="K119" s="39"/>
      <c r="L119" s="40"/>
      <c r="M119" s="29"/>
      <c r="N119" s="41"/>
    </row>
    <row r="120" spans="2:14" x14ac:dyDescent="0.2">
      <c r="B120" s="291"/>
      <c r="C120" s="123"/>
      <c r="D120" s="98"/>
      <c r="E120" s="124"/>
      <c r="F120" s="124"/>
      <c r="G120" s="125"/>
      <c r="H120" s="37"/>
      <c r="J120" s="32"/>
      <c r="K120" s="39"/>
      <c r="L120" s="42"/>
      <c r="M120" s="29"/>
      <c r="N120" s="41"/>
    </row>
    <row r="121" spans="2:14" x14ac:dyDescent="0.2">
      <c r="B121" s="291"/>
      <c r="C121" s="123" t="s">
        <v>81</v>
      </c>
      <c r="D121" s="98"/>
      <c r="E121" s="126"/>
      <c r="F121" s="126"/>
      <c r="G121" s="127"/>
      <c r="H121" s="37"/>
      <c r="J121" s="32"/>
      <c r="K121" s="39"/>
      <c r="L121" s="42"/>
      <c r="M121" s="29"/>
      <c r="N121" s="41"/>
    </row>
    <row r="122" spans="2:14" x14ac:dyDescent="0.2">
      <c r="B122" s="291"/>
      <c r="C122" s="98"/>
      <c r="D122" s="98"/>
      <c r="E122" s="128"/>
      <c r="F122" s="128"/>
      <c r="G122" s="129"/>
      <c r="H122" s="37"/>
      <c r="J122" s="32"/>
      <c r="K122" s="39"/>
      <c r="L122" s="46"/>
      <c r="M122" s="29"/>
      <c r="N122" s="41"/>
    </row>
    <row r="123" spans="2:14" x14ac:dyDescent="0.2">
      <c r="B123" s="291"/>
      <c r="C123" s="98" t="s">
        <v>82</v>
      </c>
      <c r="D123" s="98"/>
      <c r="E123" s="130"/>
      <c r="F123" s="126"/>
      <c r="G123" s="127"/>
      <c r="H123" s="37"/>
      <c r="I123" s="326" t="s">
        <v>103</v>
      </c>
      <c r="J123" s="326"/>
      <c r="K123" s="327"/>
      <c r="L123" s="40" t="s">
        <v>149</v>
      </c>
      <c r="M123" s="29"/>
      <c r="N123" s="41"/>
    </row>
    <row r="124" spans="2:14" x14ac:dyDescent="0.2">
      <c r="B124" s="47"/>
      <c r="C124" s="131"/>
      <c r="D124" s="131"/>
      <c r="E124" s="131"/>
      <c r="F124" s="131"/>
      <c r="G124" s="132"/>
      <c r="H124" s="49"/>
      <c r="I124" s="49"/>
      <c r="J124" s="49"/>
      <c r="K124" s="46"/>
      <c r="L124" s="33"/>
      <c r="M124" s="34"/>
      <c r="N124" s="50"/>
    </row>
  </sheetData>
  <mergeCells count="84">
    <mergeCell ref="B6:N6"/>
    <mergeCell ref="B7:D7"/>
    <mergeCell ref="E7:O7"/>
    <mergeCell ref="B8:D8"/>
    <mergeCell ref="E8:O8"/>
    <mergeCell ref="B10:K10"/>
    <mergeCell ref="B19:O21"/>
    <mergeCell ref="B24:G25"/>
    <mergeCell ref="H24:O25"/>
    <mergeCell ref="L10:O10"/>
    <mergeCell ref="L11:O15"/>
    <mergeCell ref="B29:D29"/>
    <mergeCell ref="H26:O26"/>
    <mergeCell ref="B27:G28"/>
    <mergeCell ref="B11:K15"/>
    <mergeCell ref="H27:O28"/>
    <mergeCell ref="E29:O29"/>
    <mergeCell ref="B26:G26"/>
    <mergeCell ref="B30:D31"/>
    <mergeCell ref="E30:G30"/>
    <mergeCell ref="B17:O17"/>
    <mergeCell ref="B23:G23"/>
    <mergeCell ref="H23:O23"/>
    <mergeCell ref="L31:O31"/>
    <mergeCell ref="E31:G31"/>
    <mergeCell ref="H31:K31"/>
    <mergeCell ref="H30:K30"/>
    <mergeCell ref="L30:O30"/>
    <mergeCell ref="C2:O2"/>
    <mergeCell ref="C3:O3"/>
    <mergeCell ref="B2:B5"/>
    <mergeCell ref="C4:O4"/>
    <mergeCell ref="C5:F5"/>
    <mergeCell ref="G5:J5"/>
    <mergeCell ref="K5:O5"/>
    <mergeCell ref="B110:B123"/>
    <mergeCell ref="H111:I111"/>
    <mergeCell ref="J111:L111"/>
    <mergeCell ref="M111:N111"/>
    <mergeCell ref="H114:I114"/>
    <mergeCell ref="I123:K123"/>
    <mergeCell ref="C71:C72"/>
    <mergeCell ref="D71:D72"/>
    <mergeCell ref="E71:E72"/>
    <mergeCell ref="H33:O34"/>
    <mergeCell ref="I107:K107"/>
    <mergeCell ref="H94:I94"/>
    <mergeCell ref="J94:L94"/>
    <mergeCell ref="M94:N94"/>
    <mergeCell ref="J98:L98"/>
    <mergeCell ref="H99:N101"/>
    <mergeCell ref="J95:L95"/>
    <mergeCell ref="C110:G118"/>
    <mergeCell ref="J114:L114"/>
    <mergeCell ref="M114:N114"/>
    <mergeCell ref="H110:N110"/>
    <mergeCell ref="C109:G109"/>
    <mergeCell ref="J97:L97"/>
    <mergeCell ref="M97:N97"/>
    <mergeCell ref="B35:O35"/>
    <mergeCell ref="B53:N53"/>
    <mergeCell ref="H109:N109"/>
    <mergeCell ref="B69:B70"/>
    <mergeCell ref="D69:D70"/>
    <mergeCell ref="E69:E70"/>
    <mergeCell ref="B32:G32"/>
    <mergeCell ref="H32:O32"/>
    <mergeCell ref="H95:I95"/>
    <mergeCell ref="H112:I113"/>
    <mergeCell ref="J112:L113"/>
    <mergeCell ref="M112:N113"/>
    <mergeCell ref="B33:G34"/>
    <mergeCell ref="M98:N98"/>
    <mergeCell ref="H92:N92"/>
    <mergeCell ref="B90:N91"/>
    <mergeCell ref="B93:B107"/>
    <mergeCell ref="E107:G107"/>
    <mergeCell ref="M95:N96"/>
    <mergeCell ref="B71:B72"/>
    <mergeCell ref="C69:C70"/>
    <mergeCell ref="B41:O41"/>
    <mergeCell ref="C92:G92"/>
    <mergeCell ref="C93:G104"/>
    <mergeCell ref="H98:I98"/>
  </mergeCells>
  <phoneticPr fontId="10" type="noConversion"/>
  <dataValidations disablePrompts="1" count="1">
    <dataValidation type="list" allowBlank="1" showInputMessage="1" showErrorMessage="1" sqref="L11:O15" xr:uid="{00000000-0002-0000-0200-000000000000}">
      <formula1>"EFICACIA,EFICIENCIA,EFECTIVIDAD"</formula1>
    </dataValidation>
  </dataValidations>
  <printOptions horizontalCentered="1"/>
  <pageMargins left="0.39370078740157483" right="0.39370078740157483" top="0.39370078740157483" bottom="0.39370078740157483" header="0.19685039370078741" footer="0.19685039370078741"/>
  <pageSetup scale="80" fitToHeight="2" orientation="portrait" r:id="rId1"/>
  <headerFooter alignWithMargins="0">
    <oddFooter>&amp;CPágina &amp;P de &amp;N&amp;REd. 1 /03-01-2012</oddFooter>
  </headerFooter>
  <rowBreaks count="1" manualBreakCount="1">
    <brk id="64"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A13"/>
  <sheetViews>
    <sheetView workbookViewId="0">
      <selection activeCell="A6" sqref="A6"/>
    </sheetView>
  </sheetViews>
  <sheetFormatPr baseColWidth="10" defaultRowHeight="12.75" x14ac:dyDescent="0.2"/>
  <cols>
    <col min="1" max="1" width="45.7109375" customWidth="1"/>
  </cols>
  <sheetData>
    <row r="3" spans="1:1" x14ac:dyDescent="0.2">
      <c r="A3" t="s">
        <v>89</v>
      </c>
    </row>
    <row r="4" spans="1:1" ht="32.25" customHeight="1" x14ac:dyDescent="0.2">
      <c r="A4" s="2" t="s">
        <v>38</v>
      </c>
    </row>
    <row r="5" spans="1:1" ht="18.75" customHeight="1" x14ac:dyDescent="0.2">
      <c r="A5" s="2" t="s">
        <v>39</v>
      </c>
    </row>
    <row r="6" spans="1:1" ht="48" customHeight="1" x14ac:dyDescent="0.2">
      <c r="A6" s="2" t="s">
        <v>40</v>
      </c>
    </row>
    <row r="7" spans="1:1" x14ac:dyDescent="0.2">
      <c r="A7" s="53" t="s">
        <v>22</v>
      </c>
    </row>
    <row r="8" spans="1:1" ht="12.75" customHeight="1" x14ac:dyDescent="0.2">
      <c r="A8" s="53" t="s">
        <v>41</v>
      </c>
    </row>
    <row r="9" spans="1:1" ht="25.5" x14ac:dyDescent="0.2">
      <c r="A9" s="53" t="s">
        <v>25</v>
      </c>
    </row>
    <row r="10" spans="1:1" ht="29.25" customHeight="1" x14ac:dyDescent="0.2">
      <c r="A10" s="2" t="s">
        <v>28</v>
      </c>
    </row>
    <row r="11" spans="1:1" x14ac:dyDescent="0.2">
      <c r="A11" s="248" t="s">
        <v>31</v>
      </c>
    </row>
    <row r="12" spans="1:1" x14ac:dyDescent="0.2">
      <c r="A12" s="249"/>
    </row>
    <row r="13" spans="1:1" ht="27" customHeight="1" x14ac:dyDescent="0.2">
      <c r="A13" s="2" t="s">
        <v>32</v>
      </c>
    </row>
  </sheetData>
  <mergeCells count="1">
    <mergeCell ref="A11:A12"/>
  </mergeCells>
  <phoneticPr fontId="0" type="noConversion"/>
  <pageMargins left="0.75" right="0.75" top="1" bottom="1" header="0" footer="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R136"/>
  <sheetViews>
    <sheetView showGridLines="0" topLeftCell="A41" zoomScale="80" zoomScaleNormal="112" zoomScaleSheetLayoutView="100" workbookViewId="0">
      <selection activeCell="D41" sqref="D41"/>
    </sheetView>
  </sheetViews>
  <sheetFormatPr baseColWidth="10" defaultColWidth="3.28515625" defaultRowHeight="14.25" x14ac:dyDescent="0.2"/>
  <cols>
    <col min="1" max="1" width="3.28515625" style="20"/>
    <col min="2" max="2" width="24.28515625" style="20" customWidth="1"/>
    <col min="3" max="3" width="12.140625" style="20" customWidth="1"/>
    <col min="4" max="4" width="13.28515625" style="20" customWidth="1"/>
    <col min="5" max="5" width="19.85546875" style="20" customWidth="1"/>
    <col min="6" max="6" width="8.7109375" style="20" customWidth="1"/>
    <col min="7" max="7" width="9.7109375" style="20" customWidth="1"/>
    <col min="8" max="10" width="8.7109375" style="20" customWidth="1"/>
    <col min="11" max="11" width="11.5703125" style="20" customWidth="1"/>
    <col min="12" max="21" width="10.140625" style="20" customWidth="1"/>
    <col min="22" max="16384" width="3.28515625" style="20"/>
  </cols>
  <sheetData>
    <row r="1" spans="2:18" ht="6" customHeight="1" x14ac:dyDescent="0.2">
      <c r="C1" s="167"/>
      <c r="D1" s="167"/>
      <c r="E1" s="167"/>
      <c r="F1" s="167"/>
      <c r="G1" s="167"/>
      <c r="H1" s="167"/>
      <c r="I1" s="167"/>
      <c r="J1" s="167"/>
      <c r="K1" s="167"/>
      <c r="L1" s="167"/>
      <c r="M1" s="167"/>
      <c r="N1" s="167"/>
      <c r="O1" s="168"/>
    </row>
    <row r="2" spans="2:18" ht="12" customHeight="1" x14ac:dyDescent="0.2">
      <c r="B2" s="345"/>
      <c r="C2" s="345" t="s">
        <v>99</v>
      </c>
      <c r="D2" s="345"/>
      <c r="E2" s="345"/>
      <c r="F2" s="345"/>
      <c r="G2" s="345"/>
      <c r="H2" s="345"/>
      <c r="I2" s="345"/>
      <c r="J2" s="345"/>
      <c r="K2" s="345"/>
      <c r="L2" s="345"/>
      <c r="M2" s="345"/>
      <c r="N2" s="345"/>
      <c r="O2" s="345"/>
    </row>
    <row r="3" spans="2:18" ht="13.5" customHeight="1" x14ac:dyDescent="0.25">
      <c r="B3" s="345"/>
      <c r="C3" s="346" t="s">
        <v>100</v>
      </c>
      <c r="D3" s="346"/>
      <c r="E3" s="346"/>
      <c r="F3" s="346"/>
      <c r="G3" s="346"/>
      <c r="H3" s="346"/>
      <c r="I3" s="346"/>
      <c r="J3" s="346"/>
      <c r="K3" s="346"/>
      <c r="L3" s="346"/>
      <c r="M3" s="346"/>
      <c r="N3" s="346"/>
      <c r="O3" s="346"/>
    </row>
    <row r="4" spans="2:18" ht="19.5" customHeight="1" x14ac:dyDescent="0.2">
      <c r="B4" s="345"/>
      <c r="C4" s="345" t="s">
        <v>91</v>
      </c>
      <c r="D4" s="345"/>
      <c r="E4" s="345"/>
      <c r="F4" s="345"/>
      <c r="G4" s="345"/>
      <c r="H4" s="345"/>
      <c r="I4" s="345"/>
      <c r="J4" s="345"/>
      <c r="K4" s="345"/>
      <c r="L4" s="345"/>
      <c r="M4" s="345"/>
      <c r="N4" s="345"/>
      <c r="O4" s="345"/>
    </row>
    <row r="5" spans="2:18" ht="12" customHeight="1" x14ac:dyDescent="0.2">
      <c r="B5" s="345"/>
      <c r="C5" s="347" t="s">
        <v>152</v>
      </c>
      <c r="D5" s="347"/>
      <c r="E5" s="347"/>
      <c r="F5" s="347"/>
      <c r="G5" s="347" t="s">
        <v>158</v>
      </c>
      <c r="H5" s="347"/>
      <c r="I5" s="347"/>
      <c r="J5" s="347"/>
      <c r="K5" s="348" t="s">
        <v>102</v>
      </c>
      <c r="L5" s="349"/>
      <c r="M5" s="349"/>
      <c r="N5" s="349"/>
      <c r="O5" s="350"/>
    </row>
    <row r="6" spans="2:18" ht="4.5" customHeight="1" x14ac:dyDescent="0.25">
      <c r="B6" s="473"/>
      <c r="C6" s="473"/>
      <c r="D6" s="473"/>
      <c r="E6" s="461"/>
      <c r="F6" s="461"/>
      <c r="G6" s="461"/>
      <c r="H6" s="461"/>
      <c r="I6" s="461"/>
      <c r="J6" s="461"/>
      <c r="K6" s="461"/>
      <c r="L6" s="461"/>
      <c r="M6" s="461"/>
      <c r="N6" s="461"/>
    </row>
    <row r="7" spans="2:18" ht="22.5" customHeight="1" x14ac:dyDescent="0.2">
      <c r="B7" s="403" t="s">
        <v>16</v>
      </c>
      <c r="C7" s="404"/>
      <c r="D7" s="405"/>
      <c r="E7" s="403" t="s">
        <v>166</v>
      </c>
      <c r="F7" s="404"/>
      <c r="G7" s="404"/>
      <c r="H7" s="404"/>
      <c r="I7" s="404"/>
      <c r="J7" s="404"/>
      <c r="K7" s="404"/>
      <c r="L7" s="404"/>
      <c r="M7" s="404"/>
      <c r="N7" s="404"/>
      <c r="O7" s="405"/>
    </row>
    <row r="8" spans="2:18" ht="48.75" customHeight="1" x14ac:dyDescent="0.2">
      <c r="B8" s="403" t="s">
        <v>44</v>
      </c>
      <c r="C8" s="404"/>
      <c r="D8" s="405"/>
      <c r="E8" s="472" t="s">
        <v>112</v>
      </c>
      <c r="F8" s="472"/>
      <c r="G8" s="472"/>
      <c r="H8" s="472"/>
      <c r="I8" s="472"/>
      <c r="J8" s="472"/>
      <c r="K8" s="472"/>
      <c r="L8" s="472"/>
      <c r="M8" s="472"/>
      <c r="N8" s="472"/>
      <c r="O8" s="472"/>
      <c r="P8" s="170"/>
      <c r="Q8" s="170"/>
      <c r="R8" s="170"/>
    </row>
    <row r="9" spans="2:18" ht="5.25" customHeight="1" x14ac:dyDescent="0.25">
      <c r="B9" s="474"/>
      <c r="C9" s="475"/>
      <c r="D9" s="475"/>
      <c r="E9" s="461"/>
      <c r="F9" s="461"/>
      <c r="G9" s="461"/>
      <c r="H9" s="461"/>
      <c r="I9" s="461"/>
      <c r="J9" s="461"/>
      <c r="K9" s="461"/>
      <c r="L9" s="461"/>
      <c r="M9" s="461"/>
      <c r="N9" s="461"/>
      <c r="O9" s="171"/>
    </row>
    <row r="10" spans="2:18" ht="5.25" customHeight="1" x14ac:dyDescent="0.25">
      <c r="B10" s="169"/>
      <c r="C10" s="169"/>
      <c r="D10" s="172"/>
      <c r="E10" s="172"/>
      <c r="F10" s="172"/>
      <c r="G10" s="172"/>
      <c r="H10" s="172"/>
      <c r="I10" s="172"/>
      <c r="J10" s="172"/>
      <c r="K10" s="172"/>
      <c r="L10" s="173"/>
      <c r="O10" s="171"/>
    </row>
    <row r="11" spans="2:18" ht="15" x14ac:dyDescent="0.25">
      <c r="B11" s="346" t="s">
        <v>55</v>
      </c>
      <c r="C11" s="346"/>
      <c r="D11" s="346"/>
      <c r="E11" s="346"/>
      <c r="F11" s="346"/>
      <c r="G11" s="346"/>
      <c r="H11" s="346"/>
      <c r="I11" s="346"/>
      <c r="J11" s="346"/>
      <c r="K11" s="346"/>
      <c r="L11" s="346" t="s">
        <v>107</v>
      </c>
      <c r="M11" s="346"/>
      <c r="N11" s="346"/>
      <c r="O11" s="346"/>
      <c r="P11" s="174"/>
      <c r="Q11" s="174"/>
      <c r="R11" s="174"/>
    </row>
    <row r="12" spans="2:18" ht="12.75" customHeight="1" x14ac:dyDescent="0.2">
      <c r="B12" s="370" t="s">
        <v>151</v>
      </c>
      <c r="C12" s="371"/>
      <c r="D12" s="371"/>
      <c r="E12" s="371"/>
      <c r="F12" s="371"/>
      <c r="G12" s="371"/>
      <c r="H12" s="371"/>
      <c r="I12" s="371"/>
      <c r="J12" s="371"/>
      <c r="K12" s="372"/>
      <c r="L12" s="453" t="s">
        <v>109</v>
      </c>
      <c r="M12" s="453"/>
      <c r="N12" s="453"/>
      <c r="O12" s="453"/>
      <c r="P12" s="93"/>
      <c r="Q12" s="93"/>
      <c r="R12" s="93"/>
    </row>
    <row r="13" spans="2:18" ht="3" customHeight="1" x14ac:dyDescent="0.2">
      <c r="B13" s="373"/>
      <c r="C13" s="374"/>
      <c r="D13" s="374"/>
      <c r="E13" s="374"/>
      <c r="F13" s="374"/>
      <c r="G13" s="374"/>
      <c r="H13" s="374"/>
      <c r="I13" s="374"/>
      <c r="J13" s="374"/>
      <c r="K13" s="375"/>
      <c r="L13" s="453"/>
      <c r="M13" s="453"/>
      <c r="N13" s="453"/>
      <c r="O13" s="453"/>
      <c r="P13" s="93"/>
      <c r="Q13" s="93"/>
      <c r="R13" s="93"/>
    </row>
    <row r="14" spans="2:18" ht="12.75" customHeight="1" x14ac:dyDescent="0.2">
      <c r="B14" s="373"/>
      <c r="C14" s="374"/>
      <c r="D14" s="374"/>
      <c r="E14" s="374"/>
      <c r="F14" s="374"/>
      <c r="G14" s="374"/>
      <c r="H14" s="374"/>
      <c r="I14" s="374"/>
      <c r="J14" s="374"/>
      <c r="K14" s="375"/>
      <c r="L14" s="453"/>
      <c r="M14" s="453"/>
      <c r="N14" s="453"/>
      <c r="O14" s="453"/>
      <c r="P14" s="93"/>
      <c r="Q14" s="93"/>
      <c r="R14" s="93"/>
    </row>
    <row r="15" spans="2:18" ht="3.75" customHeight="1" x14ac:dyDescent="0.2">
      <c r="B15" s="373"/>
      <c r="C15" s="374"/>
      <c r="D15" s="374"/>
      <c r="E15" s="374"/>
      <c r="F15" s="374"/>
      <c r="G15" s="374"/>
      <c r="H15" s="374"/>
      <c r="I15" s="374"/>
      <c r="J15" s="374"/>
      <c r="K15" s="375"/>
      <c r="L15" s="453"/>
      <c r="M15" s="453"/>
      <c r="N15" s="453"/>
      <c r="O15" s="453"/>
      <c r="P15" s="93"/>
      <c r="Q15" s="93"/>
      <c r="R15" s="93"/>
    </row>
    <row r="16" spans="2:18" ht="12.75" customHeight="1" x14ac:dyDescent="0.2">
      <c r="B16" s="376"/>
      <c r="C16" s="377"/>
      <c r="D16" s="377"/>
      <c r="E16" s="377"/>
      <c r="F16" s="377"/>
      <c r="G16" s="377"/>
      <c r="H16" s="377"/>
      <c r="I16" s="377"/>
      <c r="J16" s="377"/>
      <c r="K16" s="378"/>
      <c r="L16" s="453"/>
      <c r="M16" s="453"/>
      <c r="N16" s="453"/>
      <c r="O16" s="453"/>
      <c r="P16" s="93"/>
      <c r="Q16" s="93"/>
      <c r="R16" s="93"/>
    </row>
    <row r="17" spans="2:18" ht="9.75" customHeight="1" x14ac:dyDescent="0.2">
      <c r="B17" s="140"/>
      <c r="C17" s="141"/>
      <c r="D17" s="141"/>
      <c r="E17" s="141"/>
      <c r="F17" s="141"/>
      <c r="G17" s="141"/>
      <c r="H17" s="141"/>
      <c r="I17" s="141"/>
      <c r="J17" s="141"/>
      <c r="K17" s="141"/>
      <c r="L17" s="141"/>
      <c r="M17" s="141"/>
      <c r="N17" s="141"/>
      <c r="O17" s="142"/>
      <c r="P17" s="93"/>
      <c r="Q17" s="93"/>
      <c r="R17" s="93"/>
    </row>
    <row r="18" spans="2:18" ht="15" x14ac:dyDescent="0.2">
      <c r="B18" s="403" t="s">
        <v>56</v>
      </c>
      <c r="C18" s="404"/>
      <c r="D18" s="404"/>
      <c r="E18" s="404"/>
      <c r="F18" s="404"/>
      <c r="G18" s="404"/>
      <c r="H18" s="404"/>
      <c r="I18" s="404"/>
      <c r="J18" s="404"/>
      <c r="K18" s="404"/>
      <c r="L18" s="404"/>
      <c r="M18" s="404"/>
      <c r="N18" s="404"/>
      <c r="O18" s="405"/>
    </row>
    <row r="19" spans="2:18" ht="6.75" customHeight="1" x14ac:dyDescent="0.25">
      <c r="B19" s="175"/>
      <c r="C19" s="176"/>
      <c r="D19" s="176"/>
      <c r="E19" s="176"/>
      <c r="F19" s="176"/>
      <c r="G19" s="176"/>
      <c r="H19" s="176"/>
      <c r="I19" s="176"/>
      <c r="J19" s="176"/>
      <c r="K19" s="176"/>
      <c r="L19" s="176"/>
      <c r="M19" s="176"/>
      <c r="N19" s="176"/>
      <c r="O19" s="171"/>
    </row>
    <row r="20" spans="2:18" ht="12.75" customHeight="1" x14ac:dyDescent="0.2">
      <c r="B20" s="373" t="s">
        <v>140</v>
      </c>
      <c r="C20" s="374"/>
      <c r="D20" s="374"/>
      <c r="E20" s="374"/>
      <c r="F20" s="374"/>
      <c r="G20" s="374"/>
      <c r="H20" s="374"/>
      <c r="I20" s="374"/>
      <c r="J20" s="374"/>
      <c r="K20" s="374"/>
      <c r="L20" s="374"/>
      <c r="M20" s="374"/>
      <c r="N20" s="374"/>
      <c r="O20" s="375"/>
    </row>
    <row r="21" spans="2:18" ht="12.75" customHeight="1" x14ac:dyDescent="0.2">
      <c r="B21" s="373"/>
      <c r="C21" s="374"/>
      <c r="D21" s="374"/>
      <c r="E21" s="374"/>
      <c r="F21" s="374"/>
      <c r="G21" s="374"/>
      <c r="H21" s="374"/>
      <c r="I21" s="374"/>
      <c r="J21" s="374"/>
      <c r="K21" s="374"/>
      <c r="L21" s="374"/>
      <c r="M21" s="374"/>
      <c r="N21" s="374"/>
      <c r="O21" s="375"/>
    </row>
    <row r="22" spans="2:18" ht="12.75" customHeight="1" x14ac:dyDescent="0.2">
      <c r="B22" s="373"/>
      <c r="C22" s="374"/>
      <c r="D22" s="374"/>
      <c r="E22" s="374"/>
      <c r="F22" s="374"/>
      <c r="G22" s="374"/>
      <c r="H22" s="374"/>
      <c r="I22" s="374"/>
      <c r="J22" s="374"/>
      <c r="K22" s="374"/>
      <c r="L22" s="374"/>
      <c r="M22" s="374"/>
      <c r="N22" s="374"/>
      <c r="O22" s="375"/>
    </row>
    <row r="23" spans="2:18" ht="6.75" customHeight="1" x14ac:dyDescent="0.25">
      <c r="B23" s="177"/>
      <c r="C23" s="178"/>
      <c r="D23" s="178"/>
      <c r="E23" s="178"/>
      <c r="F23" s="178"/>
      <c r="G23" s="178"/>
      <c r="H23" s="176"/>
      <c r="I23" s="176"/>
      <c r="J23" s="176"/>
      <c r="K23" s="176"/>
      <c r="L23" s="176"/>
      <c r="M23" s="176"/>
      <c r="N23" s="176"/>
      <c r="O23" s="171"/>
    </row>
    <row r="24" spans="2:18" ht="15" x14ac:dyDescent="0.2">
      <c r="B24" s="403" t="s">
        <v>57</v>
      </c>
      <c r="C24" s="404"/>
      <c r="D24" s="404"/>
      <c r="E24" s="404"/>
      <c r="F24" s="404"/>
      <c r="G24" s="404"/>
      <c r="H24" s="403" t="s">
        <v>58</v>
      </c>
      <c r="I24" s="404"/>
      <c r="J24" s="404"/>
      <c r="K24" s="404"/>
      <c r="L24" s="404"/>
      <c r="M24" s="404"/>
      <c r="N24" s="404"/>
      <c r="O24" s="405"/>
    </row>
    <row r="25" spans="2:18" ht="12.75" customHeight="1" x14ac:dyDescent="0.2">
      <c r="B25" s="390" t="s">
        <v>121</v>
      </c>
      <c r="C25" s="391"/>
      <c r="D25" s="391"/>
      <c r="E25" s="391"/>
      <c r="F25" s="391"/>
      <c r="G25" s="392"/>
      <c r="H25" s="396" t="s">
        <v>167</v>
      </c>
      <c r="I25" s="397"/>
      <c r="J25" s="397"/>
      <c r="K25" s="397"/>
      <c r="L25" s="397"/>
      <c r="M25" s="397"/>
      <c r="N25" s="397"/>
      <c r="O25" s="398"/>
    </row>
    <row r="26" spans="2:18" ht="48.75" customHeight="1" x14ac:dyDescent="0.2">
      <c r="B26" s="393"/>
      <c r="C26" s="394"/>
      <c r="D26" s="394"/>
      <c r="E26" s="394"/>
      <c r="F26" s="394"/>
      <c r="G26" s="395"/>
      <c r="H26" s="399"/>
      <c r="I26" s="400"/>
      <c r="J26" s="400"/>
      <c r="K26" s="400"/>
      <c r="L26" s="400"/>
      <c r="M26" s="400"/>
      <c r="N26" s="400"/>
      <c r="O26" s="401"/>
    </row>
    <row r="27" spans="2:18" ht="15" x14ac:dyDescent="0.2">
      <c r="B27" s="403" t="s">
        <v>59</v>
      </c>
      <c r="C27" s="404"/>
      <c r="D27" s="404"/>
      <c r="E27" s="404"/>
      <c r="F27" s="404"/>
      <c r="G27" s="404"/>
      <c r="H27" s="403" t="s">
        <v>60</v>
      </c>
      <c r="I27" s="404"/>
      <c r="J27" s="404"/>
      <c r="K27" s="404"/>
      <c r="L27" s="404"/>
      <c r="M27" s="404"/>
      <c r="N27" s="404"/>
      <c r="O27" s="405"/>
    </row>
    <row r="28" spans="2:18" x14ac:dyDescent="0.2">
      <c r="B28" s="364" t="s">
        <v>168</v>
      </c>
      <c r="C28" s="365"/>
      <c r="D28" s="365"/>
      <c r="E28" s="365"/>
      <c r="F28" s="365"/>
      <c r="G28" s="366"/>
      <c r="H28" s="370" t="s">
        <v>162</v>
      </c>
      <c r="I28" s="365"/>
      <c r="J28" s="365"/>
      <c r="K28" s="365"/>
      <c r="L28" s="365"/>
      <c r="M28" s="365"/>
      <c r="N28" s="365"/>
      <c r="O28" s="366"/>
    </row>
    <row r="29" spans="2:18" x14ac:dyDescent="0.2">
      <c r="B29" s="367"/>
      <c r="C29" s="368"/>
      <c r="D29" s="368"/>
      <c r="E29" s="368"/>
      <c r="F29" s="368"/>
      <c r="G29" s="369"/>
      <c r="H29" s="367"/>
      <c r="I29" s="368"/>
      <c r="J29" s="368"/>
      <c r="K29" s="368"/>
      <c r="L29" s="368"/>
      <c r="M29" s="368"/>
      <c r="N29" s="368"/>
      <c r="O29" s="369"/>
    </row>
    <row r="30" spans="2:18" ht="15" x14ac:dyDescent="0.25">
      <c r="B30" s="455" t="s">
        <v>61</v>
      </c>
      <c r="C30" s="456"/>
      <c r="D30" s="456"/>
      <c r="E30" s="455" t="s">
        <v>62</v>
      </c>
      <c r="F30" s="456"/>
      <c r="G30" s="456"/>
      <c r="H30" s="456"/>
      <c r="I30" s="456"/>
      <c r="J30" s="456"/>
      <c r="K30" s="456"/>
      <c r="L30" s="456"/>
      <c r="M30" s="456"/>
      <c r="N30" s="456"/>
      <c r="O30" s="457"/>
    </row>
    <row r="31" spans="2:18" ht="13.5" customHeight="1" x14ac:dyDescent="0.2">
      <c r="B31" s="465">
        <v>0.92</v>
      </c>
      <c r="C31" s="466"/>
      <c r="D31" s="467"/>
      <c r="E31" s="471" t="s">
        <v>63</v>
      </c>
      <c r="F31" s="471"/>
      <c r="G31" s="471"/>
      <c r="H31" s="471" t="s">
        <v>64</v>
      </c>
      <c r="I31" s="471"/>
      <c r="J31" s="471"/>
      <c r="K31" s="471"/>
      <c r="L31" s="440" t="s">
        <v>65</v>
      </c>
      <c r="M31" s="441"/>
      <c r="N31" s="441"/>
      <c r="O31" s="442"/>
    </row>
    <row r="32" spans="2:18" ht="15.75" customHeight="1" x14ac:dyDescent="0.25">
      <c r="B32" s="468"/>
      <c r="C32" s="469"/>
      <c r="D32" s="470"/>
      <c r="E32" s="443" t="s">
        <v>93</v>
      </c>
      <c r="F32" s="444"/>
      <c r="G32" s="444"/>
      <c r="H32" s="445" t="s">
        <v>122</v>
      </c>
      <c r="I32" s="446"/>
      <c r="J32" s="446"/>
      <c r="K32" s="447"/>
      <c r="L32" s="462" t="s">
        <v>94</v>
      </c>
      <c r="M32" s="463"/>
      <c r="N32" s="463"/>
      <c r="O32" s="464"/>
    </row>
    <row r="33" spans="2:15" ht="15" x14ac:dyDescent="0.2">
      <c r="B33" s="403" t="s">
        <v>66</v>
      </c>
      <c r="C33" s="404"/>
      <c r="D33" s="404"/>
      <c r="E33" s="404"/>
      <c r="F33" s="404"/>
      <c r="G33" s="404"/>
      <c r="H33" s="403" t="s">
        <v>67</v>
      </c>
      <c r="I33" s="404"/>
      <c r="J33" s="404"/>
      <c r="K33" s="404"/>
      <c r="L33" s="404"/>
      <c r="M33" s="404"/>
      <c r="N33" s="404"/>
      <c r="O33" s="405"/>
    </row>
    <row r="34" spans="2:15" x14ac:dyDescent="0.2">
      <c r="B34" s="283" t="s">
        <v>110</v>
      </c>
      <c r="C34" s="284"/>
      <c r="D34" s="284"/>
      <c r="E34" s="284"/>
      <c r="F34" s="284"/>
      <c r="G34" s="284"/>
      <c r="H34" s="328" t="s">
        <v>150</v>
      </c>
      <c r="I34" s="329"/>
      <c r="J34" s="329"/>
      <c r="K34" s="329"/>
      <c r="L34" s="329"/>
      <c r="M34" s="329"/>
      <c r="N34" s="329"/>
      <c r="O34" s="330"/>
    </row>
    <row r="35" spans="2:15" x14ac:dyDescent="0.2">
      <c r="B35" s="283"/>
      <c r="C35" s="284"/>
      <c r="D35" s="284"/>
      <c r="E35" s="284"/>
      <c r="F35" s="284"/>
      <c r="G35" s="284"/>
      <c r="H35" s="331"/>
      <c r="I35" s="332"/>
      <c r="J35" s="332"/>
      <c r="K35" s="332"/>
      <c r="L35" s="332"/>
      <c r="M35" s="332"/>
      <c r="N35" s="332"/>
      <c r="O35" s="333"/>
    </row>
    <row r="36" spans="2:15" ht="15" x14ac:dyDescent="0.2">
      <c r="B36" s="403" t="s">
        <v>68</v>
      </c>
      <c r="C36" s="404"/>
      <c r="D36" s="329"/>
      <c r="E36" s="329"/>
      <c r="F36" s="329"/>
      <c r="G36" s="329"/>
      <c r="H36" s="404"/>
      <c r="I36" s="404"/>
      <c r="J36" s="404"/>
      <c r="K36" s="404"/>
      <c r="L36" s="404"/>
      <c r="M36" s="404"/>
      <c r="N36" s="404"/>
      <c r="O36" s="405"/>
    </row>
    <row r="37" spans="2:15" ht="15" x14ac:dyDescent="0.2">
      <c r="B37" s="179" t="s">
        <v>69</v>
      </c>
      <c r="C37" s="179" t="s">
        <v>153</v>
      </c>
      <c r="D37" s="180" t="s">
        <v>171</v>
      </c>
      <c r="E37" s="180" t="s">
        <v>155</v>
      </c>
      <c r="F37" s="243"/>
      <c r="G37" s="458"/>
      <c r="H37" s="458"/>
      <c r="I37" s="458"/>
      <c r="J37" s="458"/>
      <c r="K37" s="458"/>
      <c r="L37" s="458"/>
      <c r="M37" s="458"/>
      <c r="N37" s="459"/>
      <c r="O37" s="181"/>
    </row>
    <row r="38" spans="2:15" x14ac:dyDescent="0.2">
      <c r="B38" s="182" t="s">
        <v>70</v>
      </c>
      <c r="C38" s="183"/>
      <c r="D38" s="183"/>
      <c r="E38" s="183"/>
      <c r="F38" s="244"/>
      <c r="G38" s="458"/>
      <c r="H38" s="458"/>
      <c r="I38" s="458"/>
      <c r="J38" s="458"/>
      <c r="K38" s="458"/>
      <c r="L38" s="458"/>
      <c r="M38" s="458"/>
      <c r="N38" s="459"/>
      <c r="O38" s="184"/>
    </row>
    <row r="39" spans="2:15" x14ac:dyDescent="0.2">
      <c r="B39" s="182" t="s">
        <v>71</v>
      </c>
      <c r="C39" s="183"/>
      <c r="D39" s="183"/>
      <c r="E39" s="183"/>
      <c r="F39" s="244"/>
      <c r="G39" s="458"/>
      <c r="H39" s="458"/>
      <c r="I39" s="458"/>
      <c r="J39" s="458"/>
      <c r="K39" s="458"/>
      <c r="L39" s="458"/>
      <c r="M39" s="458"/>
      <c r="N39" s="459"/>
      <c r="O39" s="184"/>
    </row>
    <row r="40" spans="2:15" ht="15" x14ac:dyDescent="0.2">
      <c r="B40" s="182" t="s">
        <v>72</v>
      </c>
      <c r="C40" s="185">
        <v>1</v>
      </c>
      <c r="D40" s="185">
        <v>1</v>
      </c>
      <c r="E40" s="185"/>
      <c r="F40" s="245"/>
      <c r="G40" s="458"/>
      <c r="H40" s="458"/>
      <c r="I40" s="458"/>
      <c r="J40" s="458"/>
      <c r="K40" s="458"/>
      <c r="L40" s="458"/>
      <c r="M40" s="458"/>
      <c r="N40" s="459"/>
      <c r="O40" s="184"/>
    </row>
    <row r="41" spans="2:15" ht="24" customHeight="1" x14ac:dyDescent="0.2">
      <c r="B41" s="186" t="s">
        <v>73</v>
      </c>
      <c r="C41" s="187"/>
      <c r="D41" s="247"/>
      <c r="E41" s="247"/>
      <c r="F41" s="246"/>
      <c r="G41" s="458"/>
      <c r="H41" s="458"/>
      <c r="I41" s="458"/>
      <c r="J41" s="458"/>
      <c r="K41" s="458"/>
      <c r="L41" s="458"/>
      <c r="M41" s="458"/>
      <c r="N41" s="459"/>
      <c r="O41" s="188"/>
    </row>
    <row r="42" spans="2:15" ht="18" customHeight="1" x14ac:dyDescent="0.2">
      <c r="B42" s="403" t="s">
        <v>74</v>
      </c>
      <c r="C42" s="404"/>
      <c r="D42" s="332"/>
      <c r="E42" s="332"/>
      <c r="F42" s="332"/>
      <c r="G42" s="332"/>
      <c r="H42" s="404"/>
      <c r="I42" s="404"/>
      <c r="J42" s="404"/>
      <c r="K42" s="404"/>
      <c r="L42" s="404"/>
      <c r="M42" s="404"/>
      <c r="N42" s="404"/>
      <c r="O42" s="405"/>
    </row>
    <row r="43" spans="2:15" ht="15" x14ac:dyDescent="0.25">
      <c r="B43" s="175"/>
      <c r="C43" s="176"/>
      <c r="D43" s="176"/>
      <c r="E43" s="176"/>
      <c r="F43" s="176"/>
      <c r="G43" s="176"/>
      <c r="H43" s="176"/>
      <c r="I43" s="176"/>
      <c r="J43" s="176"/>
      <c r="K43" s="176"/>
      <c r="L43" s="176"/>
      <c r="M43" s="176"/>
      <c r="N43" s="176"/>
      <c r="O43" s="171"/>
    </row>
    <row r="44" spans="2:15" ht="15" x14ac:dyDescent="0.25">
      <c r="B44" s="175"/>
      <c r="C44" s="176"/>
      <c r="D44" s="176"/>
      <c r="E44" s="176"/>
      <c r="F44" s="176"/>
      <c r="G44" s="176"/>
      <c r="H44" s="176"/>
      <c r="I44" s="176"/>
      <c r="J44" s="176"/>
      <c r="K44" s="176"/>
      <c r="L44" s="176"/>
      <c r="M44" s="176"/>
      <c r="N44" s="176"/>
      <c r="O44" s="171"/>
    </row>
    <row r="45" spans="2:15" ht="15" x14ac:dyDescent="0.25">
      <c r="B45" s="175"/>
      <c r="C45" s="176"/>
      <c r="D45" s="176"/>
      <c r="E45" s="176"/>
      <c r="F45" s="176"/>
      <c r="G45" s="176"/>
      <c r="H45" s="176"/>
      <c r="I45" s="176"/>
      <c r="J45" s="176"/>
      <c r="K45" s="176"/>
      <c r="L45" s="176"/>
      <c r="M45" s="176"/>
      <c r="N45" s="176"/>
      <c r="O45" s="171"/>
    </row>
    <row r="46" spans="2:15" ht="15" x14ac:dyDescent="0.25">
      <c r="B46" s="175"/>
      <c r="C46" s="176"/>
      <c r="D46" s="176"/>
      <c r="E46" s="176"/>
      <c r="F46" s="176"/>
      <c r="G46" s="176"/>
      <c r="H46" s="176"/>
      <c r="I46" s="176"/>
      <c r="J46" s="176"/>
      <c r="K46" s="176"/>
      <c r="L46" s="176"/>
      <c r="M46" s="176"/>
      <c r="N46" s="176"/>
      <c r="O46" s="171"/>
    </row>
    <row r="47" spans="2:15" ht="15" x14ac:dyDescent="0.25">
      <c r="B47" s="175"/>
      <c r="C47" s="176"/>
      <c r="D47" s="176"/>
      <c r="E47" s="176"/>
      <c r="F47" s="176"/>
      <c r="G47" s="176"/>
      <c r="H47" s="176"/>
      <c r="I47" s="176"/>
      <c r="J47" s="176"/>
      <c r="K47" s="176"/>
      <c r="L47" s="176"/>
      <c r="M47" s="176"/>
      <c r="N47" s="176"/>
      <c r="O47" s="171"/>
    </row>
    <row r="48" spans="2:15" ht="15" x14ac:dyDescent="0.25">
      <c r="B48" s="175"/>
      <c r="C48" s="176"/>
      <c r="D48" s="176"/>
      <c r="E48" s="176"/>
      <c r="F48" s="176"/>
      <c r="G48" s="176"/>
      <c r="H48" s="176"/>
      <c r="I48" s="176"/>
      <c r="J48" s="176"/>
      <c r="K48" s="176"/>
      <c r="L48" s="176"/>
      <c r="M48" s="176"/>
      <c r="N48" s="176"/>
      <c r="O48" s="171"/>
    </row>
    <row r="49" spans="2:15" ht="15" x14ac:dyDescent="0.25">
      <c r="B49" s="175"/>
      <c r="C49" s="176"/>
      <c r="D49" s="176"/>
      <c r="E49" s="176"/>
      <c r="F49" s="176"/>
      <c r="G49" s="176"/>
      <c r="H49" s="176"/>
      <c r="I49" s="176"/>
      <c r="J49" s="176"/>
      <c r="K49" s="176"/>
      <c r="L49" s="176"/>
      <c r="M49" s="176"/>
      <c r="N49" s="176"/>
      <c r="O49" s="171"/>
    </row>
    <row r="50" spans="2:15" ht="15" x14ac:dyDescent="0.25">
      <c r="B50" s="175"/>
      <c r="C50" s="176"/>
      <c r="D50" s="176"/>
      <c r="E50" s="176"/>
      <c r="F50" s="176"/>
      <c r="G50" s="176"/>
      <c r="H50" s="176"/>
      <c r="I50" s="176"/>
      <c r="J50" s="176"/>
      <c r="K50" s="176"/>
      <c r="L50" s="176"/>
      <c r="M50" s="176"/>
      <c r="N50" s="176"/>
      <c r="O50" s="171"/>
    </row>
    <row r="51" spans="2:15" ht="15" x14ac:dyDescent="0.25">
      <c r="B51" s="175"/>
      <c r="C51" s="176"/>
      <c r="D51" s="176"/>
      <c r="E51" s="176"/>
      <c r="F51" s="176"/>
      <c r="G51" s="176"/>
      <c r="H51" s="176"/>
      <c r="I51" s="176"/>
      <c r="J51" s="176"/>
      <c r="K51" s="176"/>
      <c r="L51" s="176"/>
      <c r="M51" s="176"/>
      <c r="N51" s="176"/>
      <c r="O51" s="171"/>
    </row>
    <row r="52" spans="2:15" ht="15" x14ac:dyDescent="0.25">
      <c r="B52" s="175"/>
      <c r="C52" s="176"/>
      <c r="D52" s="176"/>
      <c r="E52" s="176"/>
      <c r="F52" s="176"/>
      <c r="G52" s="176"/>
      <c r="H52" s="176"/>
      <c r="I52" s="176"/>
      <c r="J52" s="176"/>
      <c r="K52" s="176"/>
      <c r="L52" s="176"/>
      <c r="M52" s="176"/>
      <c r="N52" s="176"/>
      <c r="O52" s="171"/>
    </row>
    <row r="53" spans="2:15" ht="15" x14ac:dyDescent="0.25">
      <c r="B53" s="175"/>
      <c r="C53" s="176"/>
      <c r="D53" s="176"/>
      <c r="E53" s="176"/>
      <c r="F53" s="176"/>
      <c r="G53" s="176"/>
      <c r="H53" s="176"/>
      <c r="I53" s="176"/>
      <c r="J53" s="176"/>
      <c r="K53" s="176"/>
      <c r="L53" s="176"/>
      <c r="M53" s="176"/>
      <c r="N53" s="176"/>
      <c r="O53" s="171"/>
    </row>
    <row r="54" spans="2:15" ht="15" x14ac:dyDescent="0.25">
      <c r="B54" s="460"/>
      <c r="C54" s="461"/>
      <c r="D54" s="461"/>
      <c r="E54" s="461"/>
      <c r="F54" s="461"/>
      <c r="G54" s="461"/>
      <c r="H54" s="461"/>
      <c r="I54" s="461"/>
      <c r="J54" s="461"/>
      <c r="K54" s="461"/>
      <c r="L54" s="461"/>
      <c r="M54" s="461"/>
      <c r="N54" s="461"/>
      <c r="O54" s="171"/>
    </row>
    <row r="55" spans="2:15" ht="15" x14ac:dyDescent="0.25">
      <c r="B55" s="175"/>
      <c r="C55" s="176"/>
      <c r="D55" s="176"/>
      <c r="E55" s="176"/>
      <c r="F55" s="176"/>
      <c r="G55" s="176"/>
      <c r="H55" s="176"/>
      <c r="I55" s="176"/>
      <c r="J55" s="176"/>
      <c r="K55" s="176"/>
      <c r="L55" s="176"/>
      <c r="M55" s="176"/>
      <c r="N55" s="176"/>
      <c r="O55" s="171"/>
    </row>
    <row r="56" spans="2:15" ht="15" x14ac:dyDescent="0.25">
      <c r="B56" s="175"/>
      <c r="C56" s="176"/>
      <c r="D56" s="176"/>
      <c r="E56" s="176"/>
      <c r="F56" s="176"/>
      <c r="G56" s="176"/>
      <c r="H56" s="176"/>
      <c r="I56" s="176"/>
      <c r="J56" s="176"/>
      <c r="K56" s="176"/>
      <c r="L56" s="176"/>
      <c r="M56" s="176"/>
      <c r="N56" s="176"/>
      <c r="O56" s="171"/>
    </row>
    <row r="57" spans="2:15" ht="15" x14ac:dyDescent="0.25">
      <c r="B57" s="175"/>
      <c r="C57" s="176"/>
      <c r="D57" s="176"/>
      <c r="E57" s="176"/>
      <c r="F57" s="176"/>
      <c r="G57" s="176"/>
      <c r="H57" s="176"/>
      <c r="I57" s="176"/>
      <c r="J57" s="176"/>
      <c r="K57" s="176"/>
      <c r="L57" s="176"/>
      <c r="M57" s="176"/>
      <c r="N57" s="176"/>
      <c r="O57" s="171"/>
    </row>
    <row r="58" spans="2:15" ht="15" x14ac:dyDescent="0.25">
      <c r="B58" s="175"/>
      <c r="C58" s="176"/>
      <c r="D58" s="176"/>
      <c r="E58" s="176"/>
      <c r="F58" s="176"/>
      <c r="G58" s="176"/>
      <c r="H58" s="176"/>
      <c r="I58" s="176"/>
      <c r="J58" s="176"/>
      <c r="K58" s="176"/>
      <c r="L58" s="176"/>
      <c r="M58" s="176"/>
      <c r="N58" s="176"/>
      <c r="O58" s="171"/>
    </row>
    <row r="59" spans="2:15" ht="15" x14ac:dyDescent="0.25">
      <c r="B59" s="175"/>
      <c r="C59" s="176"/>
      <c r="D59" s="176"/>
      <c r="F59" s="176"/>
      <c r="G59" s="176"/>
      <c r="H59" s="176"/>
      <c r="I59" s="176"/>
      <c r="J59" s="176"/>
      <c r="K59" s="176"/>
      <c r="L59" s="176"/>
      <c r="M59" s="176"/>
      <c r="N59" s="176"/>
      <c r="O59" s="171"/>
    </row>
    <row r="60" spans="2:15" ht="15" x14ac:dyDescent="0.25">
      <c r="B60" s="175"/>
      <c r="C60" s="176"/>
      <c r="D60" s="176"/>
      <c r="F60" s="176"/>
      <c r="G60" s="176"/>
      <c r="H60" s="176"/>
      <c r="I60" s="176"/>
      <c r="J60" s="176"/>
      <c r="K60" s="176"/>
      <c r="L60" s="176"/>
      <c r="M60" s="176"/>
      <c r="N60" s="176"/>
      <c r="O60" s="171"/>
    </row>
    <row r="61" spans="2:15" ht="15" x14ac:dyDescent="0.25">
      <c r="B61" s="175"/>
      <c r="C61" s="176"/>
      <c r="D61" s="176"/>
      <c r="F61" s="176"/>
      <c r="G61" s="176"/>
      <c r="H61" s="176"/>
      <c r="I61" s="176"/>
      <c r="J61" s="176"/>
      <c r="K61" s="176"/>
      <c r="L61" s="176"/>
      <c r="M61" s="176"/>
      <c r="N61" s="176"/>
      <c r="O61" s="171"/>
    </row>
    <row r="62" spans="2:15" ht="15" x14ac:dyDescent="0.25">
      <c r="B62" s="175"/>
      <c r="C62" s="176"/>
      <c r="D62" s="176"/>
      <c r="F62" s="176"/>
      <c r="G62" s="176"/>
      <c r="H62" s="176"/>
      <c r="I62" s="176"/>
      <c r="J62" s="176"/>
      <c r="K62" s="176"/>
      <c r="L62" s="176"/>
      <c r="M62" s="176"/>
      <c r="N62" s="176"/>
      <c r="O62" s="171"/>
    </row>
    <row r="63" spans="2:15" ht="15" x14ac:dyDescent="0.25">
      <c r="B63" s="175"/>
      <c r="C63" s="176"/>
      <c r="D63" s="176"/>
      <c r="E63" s="176"/>
      <c r="F63" s="176"/>
      <c r="G63" s="176"/>
      <c r="H63" s="176"/>
      <c r="I63" s="176"/>
      <c r="J63" s="176"/>
      <c r="K63" s="176"/>
      <c r="L63" s="176"/>
      <c r="M63" s="176"/>
      <c r="N63" s="176"/>
      <c r="O63" s="171"/>
    </row>
    <row r="64" spans="2:15" ht="15" x14ac:dyDescent="0.25">
      <c r="B64" s="175"/>
      <c r="C64" s="176"/>
      <c r="D64" s="176"/>
      <c r="E64" s="176"/>
      <c r="F64" s="176"/>
      <c r="G64" s="176"/>
      <c r="H64" s="176"/>
      <c r="I64" s="176"/>
      <c r="J64" s="176"/>
      <c r="K64" s="176"/>
      <c r="L64" s="176"/>
      <c r="M64" s="176"/>
      <c r="N64" s="176"/>
      <c r="O64" s="171"/>
    </row>
    <row r="65" spans="2:15" ht="15" x14ac:dyDescent="0.25">
      <c r="B65" s="175"/>
      <c r="C65" s="176"/>
      <c r="D65" s="176"/>
      <c r="E65" s="176"/>
      <c r="F65" s="176"/>
      <c r="G65" s="176"/>
      <c r="H65" s="176"/>
      <c r="I65" s="176"/>
      <c r="J65" s="176"/>
      <c r="K65" s="176"/>
      <c r="L65" s="176"/>
      <c r="M65" s="176"/>
      <c r="N65" s="176"/>
      <c r="O65" s="171"/>
    </row>
    <row r="66" spans="2:15" ht="105" x14ac:dyDescent="0.25">
      <c r="B66" s="145" t="s">
        <v>119</v>
      </c>
      <c r="C66" s="189" t="s">
        <v>125</v>
      </c>
      <c r="D66" s="189" t="s">
        <v>126</v>
      </c>
      <c r="E66" s="189" t="s">
        <v>118</v>
      </c>
      <c r="F66" s="176"/>
      <c r="G66" s="176"/>
      <c r="H66" s="176"/>
      <c r="I66" s="176"/>
      <c r="J66" s="176"/>
      <c r="K66" s="176"/>
      <c r="L66" s="176"/>
      <c r="M66" s="176"/>
      <c r="N66" s="176"/>
      <c r="O66" s="171"/>
    </row>
    <row r="67" spans="2:15" ht="15" x14ac:dyDescent="0.25">
      <c r="B67" s="146" t="s">
        <v>144</v>
      </c>
      <c r="C67" s="190">
        <v>0</v>
      </c>
      <c r="D67" s="190">
        <v>0</v>
      </c>
      <c r="E67" s="191">
        <v>1</v>
      </c>
      <c r="F67" s="176"/>
      <c r="G67" s="176"/>
      <c r="H67" s="176"/>
      <c r="I67" s="176"/>
      <c r="J67" s="176"/>
      <c r="K67" s="176"/>
      <c r="L67" s="176"/>
      <c r="M67" s="176"/>
      <c r="N67" s="176"/>
      <c r="O67" s="171"/>
    </row>
    <row r="68" spans="2:15" ht="15" x14ac:dyDescent="0.25">
      <c r="B68" s="146" t="s">
        <v>129</v>
      </c>
      <c r="C68" s="190">
        <v>26</v>
      </c>
      <c r="D68" s="190">
        <v>26</v>
      </c>
      <c r="E68" s="191">
        <v>1</v>
      </c>
      <c r="F68" s="176"/>
      <c r="G68" s="176"/>
      <c r="H68" s="176"/>
      <c r="I68" s="176"/>
      <c r="J68" s="176"/>
      <c r="K68" s="176"/>
      <c r="L68" s="176"/>
      <c r="M68" s="176"/>
      <c r="N68" s="176"/>
      <c r="O68" s="171"/>
    </row>
    <row r="69" spans="2:15" ht="15" x14ac:dyDescent="0.25">
      <c r="B69" s="146" t="s">
        <v>130</v>
      </c>
      <c r="C69" s="190">
        <v>10</v>
      </c>
      <c r="D69" s="190">
        <v>10</v>
      </c>
      <c r="E69" s="191">
        <v>1</v>
      </c>
      <c r="F69" s="176"/>
      <c r="G69" s="176"/>
      <c r="H69" s="176"/>
      <c r="I69" s="176"/>
      <c r="J69" s="176"/>
      <c r="K69" s="176"/>
      <c r="L69" s="176"/>
      <c r="M69" s="176"/>
      <c r="N69" s="176"/>
      <c r="O69" s="171"/>
    </row>
    <row r="70" spans="2:15" ht="15" x14ac:dyDescent="0.25">
      <c r="B70" s="146" t="s">
        <v>131</v>
      </c>
      <c r="C70" s="190">
        <v>13</v>
      </c>
      <c r="D70" s="190">
        <v>13</v>
      </c>
      <c r="E70" s="191">
        <v>1</v>
      </c>
      <c r="F70" s="176"/>
      <c r="G70" s="176"/>
      <c r="H70" s="176"/>
      <c r="I70" s="176"/>
      <c r="J70" s="176"/>
      <c r="K70" s="176"/>
      <c r="L70" s="176"/>
      <c r="M70" s="176"/>
      <c r="N70" s="176"/>
      <c r="O70" s="171"/>
    </row>
    <row r="71" spans="2:15" ht="15" x14ac:dyDescent="0.25">
      <c r="B71" s="146" t="s">
        <v>132</v>
      </c>
      <c r="C71" s="190">
        <v>11</v>
      </c>
      <c r="D71" s="190">
        <v>11</v>
      </c>
      <c r="E71" s="191">
        <v>1</v>
      </c>
      <c r="F71" s="176"/>
      <c r="G71" s="176"/>
      <c r="H71" s="176"/>
      <c r="I71" s="176"/>
      <c r="J71" s="176"/>
      <c r="K71" s="176"/>
      <c r="L71" s="176"/>
      <c r="M71" s="176"/>
      <c r="N71" s="176"/>
      <c r="O71" s="171"/>
    </row>
    <row r="72" spans="2:15" ht="15" x14ac:dyDescent="0.25">
      <c r="B72" s="146" t="s">
        <v>133</v>
      </c>
      <c r="C72" s="190">
        <v>14</v>
      </c>
      <c r="D72" s="190">
        <v>14</v>
      </c>
      <c r="E72" s="191">
        <v>1</v>
      </c>
      <c r="F72" s="176"/>
      <c r="G72" s="176"/>
      <c r="H72" s="176"/>
      <c r="I72" s="176"/>
      <c r="J72" s="176"/>
      <c r="K72" s="176"/>
      <c r="L72" s="176"/>
      <c r="M72" s="176"/>
      <c r="N72" s="176"/>
      <c r="O72" s="171"/>
    </row>
    <row r="73" spans="2:15" ht="15" x14ac:dyDescent="0.25">
      <c r="B73" s="146" t="s">
        <v>134</v>
      </c>
      <c r="C73" s="190">
        <v>12</v>
      </c>
      <c r="D73" s="190">
        <v>12</v>
      </c>
      <c r="E73" s="191">
        <v>1</v>
      </c>
      <c r="F73" s="176"/>
      <c r="G73" s="176"/>
      <c r="H73" s="176"/>
      <c r="I73" s="176"/>
      <c r="J73" s="176"/>
      <c r="K73" s="176"/>
      <c r="L73" s="176"/>
      <c r="M73" s="176"/>
      <c r="N73" s="176"/>
      <c r="O73" s="171"/>
    </row>
    <row r="74" spans="2:15" ht="15" x14ac:dyDescent="0.25">
      <c r="B74" s="146" t="s">
        <v>135</v>
      </c>
      <c r="C74" s="190">
        <v>13</v>
      </c>
      <c r="D74" s="190">
        <v>13</v>
      </c>
      <c r="E74" s="191">
        <v>1</v>
      </c>
      <c r="F74" s="176"/>
      <c r="G74" s="176"/>
      <c r="H74" s="176"/>
      <c r="I74" s="176"/>
      <c r="J74" s="176"/>
      <c r="K74" s="176"/>
      <c r="L74" s="176"/>
      <c r="M74" s="176"/>
      <c r="N74" s="176"/>
      <c r="O74" s="171"/>
    </row>
    <row r="75" spans="2:15" ht="15" x14ac:dyDescent="0.25">
      <c r="B75" s="146" t="s">
        <v>136</v>
      </c>
      <c r="C75" s="190"/>
      <c r="D75" s="190"/>
      <c r="E75" s="191"/>
      <c r="F75" s="176"/>
      <c r="G75" s="176"/>
      <c r="H75" s="176"/>
      <c r="I75" s="176"/>
      <c r="J75" s="176"/>
      <c r="K75" s="176"/>
      <c r="L75" s="176"/>
      <c r="M75" s="176"/>
      <c r="N75" s="176"/>
      <c r="O75" s="171"/>
    </row>
    <row r="76" spans="2:15" ht="15" x14ac:dyDescent="0.25">
      <c r="B76" s="146" t="s">
        <v>137</v>
      </c>
      <c r="C76" s="190"/>
      <c r="D76" s="190"/>
      <c r="E76" s="191"/>
      <c r="F76" s="176"/>
      <c r="G76" s="176"/>
      <c r="H76" s="176"/>
      <c r="I76" s="176"/>
      <c r="J76" s="176"/>
      <c r="K76" s="176"/>
      <c r="L76" s="176"/>
      <c r="M76" s="176"/>
      <c r="N76" s="176"/>
      <c r="O76" s="171"/>
    </row>
    <row r="77" spans="2:15" ht="15" x14ac:dyDescent="0.25">
      <c r="B77" s="146" t="s">
        <v>138</v>
      </c>
      <c r="C77" s="190"/>
      <c r="D77" s="190"/>
      <c r="E77" s="191"/>
      <c r="F77" s="176"/>
      <c r="G77" s="176"/>
      <c r="H77" s="176"/>
      <c r="I77" s="176"/>
      <c r="J77" s="176"/>
      <c r="K77" s="176"/>
      <c r="L77" s="176"/>
      <c r="M77" s="176"/>
      <c r="N77" s="176"/>
      <c r="O77" s="171"/>
    </row>
    <row r="78" spans="2:15" ht="15" x14ac:dyDescent="0.25">
      <c r="B78" s="146" t="s">
        <v>139</v>
      </c>
      <c r="C78" s="192"/>
      <c r="D78" s="192"/>
      <c r="E78" s="191"/>
      <c r="F78" s="176"/>
      <c r="G78" s="176"/>
      <c r="H78" s="176"/>
      <c r="I78" s="176"/>
      <c r="J78" s="176"/>
      <c r="K78" s="176"/>
      <c r="L78" s="176"/>
      <c r="M78" s="176"/>
      <c r="N78" s="176"/>
      <c r="O78" s="171"/>
    </row>
    <row r="79" spans="2:15" ht="15" x14ac:dyDescent="0.25">
      <c r="B79" s="193" t="s">
        <v>120</v>
      </c>
      <c r="C79" s="194">
        <f>SUM(C67:C78)</f>
        <v>99</v>
      </c>
      <c r="D79" s="194">
        <f>SUM(D67:D78)</f>
        <v>99</v>
      </c>
      <c r="E79" s="195">
        <f t="shared" ref="E79" si="0">+C79/D79</f>
        <v>1</v>
      </c>
      <c r="F79" s="176"/>
      <c r="G79" s="176"/>
      <c r="H79" s="176"/>
      <c r="I79" s="176"/>
      <c r="J79" s="176"/>
      <c r="K79" s="176"/>
      <c r="L79" s="176"/>
      <c r="M79" s="176"/>
      <c r="N79" s="176"/>
      <c r="O79" s="171"/>
    </row>
    <row r="80" spans="2:15" ht="15" x14ac:dyDescent="0.25">
      <c r="B80" s="175"/>
      <c r="C80" s="176"/>
      <c r="D80" s="176"/>
      <c r="E80" s="176"/>
      <c r="F80" s="176"/>
      <c r="G80" s="176"/>
      <c r="H80" s="176"/>
      <c r="I80" s="176"/>
      <c r="J80" s="176"/>
      <c r="K80" s="176"/>
      <c r="L80" s="176"/>
      <c r="M80" s="176"/>
      <c r="N80" s="176"/>
      <c r="O80" s="171"/>
    </row>
    <row r="81" spans="2:16" ht="15" x14ac:dyDescent="0.25">
      <c r="B81" s="176"/>
      <c r="C81" s="176"/>
      <c r="D81" s="176"/>
      <c r="E81" s="176"/>
      <c r="F81" s="176"/>
      <c r="G81" s="176"/>
      <c r="H81" s="176"/>
      <c r="I81" s="176"/>
      <c r="J81" s="176"/>
      <c r="K81" s="176"/>
      <c r="L81" s="176"/>
      <c r="M81" s="176"/>
      <c r="N81" s="176"/>
    </row>
    <row r="82" spans="2:16" ht="15" x14ac:dyDescent="0.25">
      <c r="B82" s="178"/>
      <c r="C82" s="178"/>
      <c r="D82" s="178"/>
      <c r="E82" s="178"/>
      <c r="F82" s="178"/>
      <c r="G82" s="178"/>
      <c r="H82" s="178"/>
      <c r="I82" s="178"/>
      <c r="J82" s="178"/>
      <c r="K82" s="178"/>
      <c r="L82" s="178"/>
      <c r="M82" s="178"/>
      <c r="N82" s="178"/>
      <c r="O82" s="173"/>
    </row>
    <row r="83" spans="2:16" ht="15" x14ac:dyDescent="0.25">
      <c r="B83" s="196"/>
      <c r="C83" s="197"/>
      <c r="D83" s="197"/>
      <c r="E83" s="197"/>
      <c r="F83" s="176"/>
      <c r="G83" s="176"/>
      <c r="H83" s="176"/>
      <c r="I83" s="176"/>
      <c r="J83" s="176"/>
      <c r="K83" s="176"/>
      <c r="L83" s="176"/>
      <c r="M83" s="176"/>
      <c r="N83" s="176"/>
      <c r="O83" s="171"/>
    </row>
    <row r="84" spans="2:16" ht="15.75" customHeight="1" x14ac:dyDescent="0.2">
      <c r="B84" s="328" t="s">
        <v>75</v>
      </c>
      <c r="C84" s="329"/>
      <c r="D84" s="329"/>
      <c r="E84" s="329"/>
      <c r="F84" s="329"/>
      <c r="G84" s="329"/>
      <c r="H84" s="329"/>
      <c r="I84" s="329"/>
      <c r="J84" s="329"/>
      <c r="K84" s="329"/>
      <c r="L84" s="329"/>
      <c r="M84" s="329"/>
      <c r="N84" s="330"/>
    </row>
    <row r="85" spans="2:16" ht="15.75" customHeight="1" x14ac:dyDescent="0.2">
      <c r="B85" s="331"/>
      <c r="C85" s="332"/>
      <c r="D85" s="332"/>
      <c r="E85" s="332"/>
      <c r="F85" s="332"/>
      <c r="G85" s="332"/>
      <c r="H85" s="332"/>
      <c r="I85" s="332"/>
      <c r="J85" s="332"/>
      <c r="K85" s="332"/>
      <c r="L85" s="332"/>
      <c r="M85" s="332"/>
      <c r="N85" s="333"/>
      <c r="P85" s="198"/>
    </row>
    <row r="86" spans="2:16" ht="14.25" customHeight="1" x14ac:dyDescent="0.2">
      <c r="B86" s="448" t="s">
        <v>69</v>
      </c>
      <c r="C86" s="410" t="s">
        <v>76</v>
      </c>
      <c r="D86" s="411"/>
      <c r="E86" s="411"/>
      <c r="F86" s="411"/>
      <c r="G86" s="412"/>
      <c r="H86" s="410" t="s">
        <v>77</v>
      </c>
      <c r="I86" s="411"/>
      <c r="J86" s="411"/>
      <c r="K86" s="411"/>
      <c r="L86" s="411"/>
      <c r="M86" s="411"/>
      <c r="N86" s="412"/>
    </row>
    <row r="87" spans="2:16" ht="4.5" customHeight="1" x14ac:dyDescent="0.2">
      <c r="B87" s="449"/>
      <c r="C87" s="450"/>
      <c r="D87" s="451"/>
      <c r="E87" s="451"/>
      <c r="F87" s="451"/>
      <c r="G87" s="452"/>
      <c r="H87" s="413"/>
      <c r="I87" s="414"/>
      <c r="J87" s="414"/>
      <c r="K87" s="414"/>
      <c r="L87" s="414"/>
      <c r="M87" s="414"/>
      <c r="N87" s="415"/>
    </row>
    <row r="88" spans="2:16" ht="20.25" customHeight="1" x14ac:dyDescent="0.25">
      <c r="B88" s="449"/>
      <c r="C88" s="450"/>
      <c r="D88" s="451"/>
      <c r="E88" s="451"/>
      <c r="F88" s="451"/>
      <c r="G88" s="452"/>
      <c r="H88" s="430" t="s">
        <v>104</v>
      </c>
      <c r="I88" s="430"/>
      <c r="J88" s="430" t="s">
        <v>105</v>
      </c>
      <c r="K88" s="430"/>
      <c r="L88" s="430"/>
      <c r="M88" s="431" t="s">
        <v>97</v>
      </c>
      <c r="N88" s="431"/>
    </row>
    <row r="89" spans="2:16" ht="27.75" customHeight="1" x14ac:dyDescent="0.2">
      <c r="B89" s="408" t="s">
        <v>153</v>
      </c>
      <c r="C89" s="437" t="s">
        <v>172</v>
      </c>
      <c r="D89" s="438"/>
      <c r="E89" s="438"/>
      <c r="F89" s="438"/>
      <c r="G89" s="439"/>
      <c r="H89" s="416"/>
      <c r="I89" s="417"/>
      <c r="J89" s="420"/>
      <c r="K89" s="421"/>
      <c r="L89" s="422"/>
      <c r="M89" s="426"/>
      <c r="N89" s="427"/>
    </row>
    <row r="90" spans="2:16" ht="9" customHeight="1" x14ac:dyDescent="0.2">
      <c r="B90" s="408"/>
      <c r="C90" s="437"/>
      <c r="D90" s="438"/>
      <c r="E90" s="438"/>
      <c r="F90" s="438"/>
      <c r="G90" s="439"/>
      <c r="H90" s="418"/>
      <c r="I90" s="419"/>
      <c r="J90" s="423"/>
      <c r="K90" s="424"/>
      <c r="L90" s="425"/>
      <c r="M90" s="428"/>
      <c r="N90" s="429"/>
    </row>
    <row r="91" spans="2:16" ht="33.75" customHeight="1" x14ac:dyDescent="0.2">
      <c r="B91" s="408"/>
      <c r="C91" s="437"/>
      <c r="D91" s="438"/>
      <c r="E91" s="438"/>
      <c r="F91" s="438"/>
      <c r="G91" s="439"/>
      <c r="H91" s="416"/>
      <c r="I91" s="417"/>
      <c r="J91" s="420"/>
      <c r="K91" s="421"/>
      <c r="L91" s="422"/>
      <c r="M91" s="426"/>
      <c r="N91" s="427"/>
    </row>
    <row r="92" spans="2:16" x14ac:dyDescent="0.2">
      <c r="B92" s="408"/>
      <c r="C92" s="437"/>
      <c r="D92" s="438"/>
      <c r="E92" s="438"/>
      <c r="F92" s="438"/>
      <c r="G92" s="439"/>
      <c r="H92" s="418"/>
      <c r="I92" s="419"/>
      <c r="J92" s="423"/>
      <c r="K92" s="424"/>
      <c r="L92" s="425"/>
      <c r="M92" s="428"/>
      <c r="N92" s="429"/>
    </row>
    <row r="93" spans="2:16" ht="45.75" customHeight="1" x14ac:dyDescent="0.2">
      <c r="B93" s="408"/>
      <c r="C93" s="437"/>
      <c r="D93" s="438"/>
      <c r="E93" s="438"/>
      <c r="F93" s="438"/>
      <c r="G93" s="439"/>
      <c r="H93" s="416"/>
      <c r="I93" s="417"/>
      <c r="J93" s="420"/>
      <c r="K93" s="421"/>
      <c r="L93" s="422"/>
      <c r="M93" s="426"/>
      <c r="N93" s="427"/>
    </row>
    <row r="94" spans="2:16" ht="18.75" customHeight="1" x14ac:dyDescent="0.2">
      <c r="B94" s="408"/>
      <c r="C94" s="437"/>
      <c r="D94" s="438"/>
      <c r="E94" s="438"/>
      <c r="F94" s="438"/>
      <c r="G94" s="439"/>
      <c r="H94" s="418"/>
      <c r="I94" s="419"/>
      <c r="J94" s="423"/>
      <c r="K94" s="424"/>
      <c r="L94" s="425"/>
      <c r="M94" s="428"/>
      <c r="N94" s="429"/>
    </row>
    <row r="95" spans="2:16" ht="15" x14ac:dyDescent="0.25">
      <c r="B95" s="408"/>
      <c r="C95" s="437"/>
      <c r="D95" s="438"/>
      <c r="E95" s="438"/>
      <c r="F95" s="438"/>
      <c r="G95" s="439"/>
      <c r="H95" s="199"/>
      <c r="I95" s="200"/>
      <c r="J95" s="200"/>
      <c r="K95" s="200"/>
      <c r="L95" s="200"/>
      <c r="M95" s="173"/>
      <c r="N95" s="201"/>
    </row>
    <row r="96" spans="2:16" ht="15" x14ac:dyDescent="0.25">
      <c r="B96" s="408"/>
      <c r="C96" s="437"/>
      <c r="D96" s="438"/>
      <c r="E96" s="438"/>
      <c r="F96" s="438"/>
      <c r="G96" s="439"/>
      <c r="H96" s="202"/>
      <c r="I96" s="202"/>
      <c r="J96" s="202"/>
      <c r="K96" s="202"/>
      <c r="L96" s="202"/>
      <c r="N96" s="171"/>
    </row>
    <row r="97" spans="2:14" ht="15" x14ac:dyDescent="0.25">
      <c r="B97" s="408"/>
      <c r="C97" s="437"/>
      <c r="D97" s="438"/>
      <c r="E97" s="438"/>
      <c r="F97" s="438"/>
      <c r="G97" s="439"/>
      <c r="H97" s="203" t="s">
        <v>79</v>
      </c>
      <c r="J97" s="204" t="s">
        <v>80</v>
      </c>
      <c r="K97" s="203"/>
      <c r="L97" s="205"/>
      <c r="N97" s="171"/>
    </row>
    <row r="98" spans="2:14" ht="15" x14ac:dyDescent="0.25">
      <c r="B98" s="408"/>
      <c r="C98" s="437"/>
      <c r="D98" s="438"/>
      <c r="E98" s="438"/>
      <c r="F98" s="438"/>
      <c r="G98" s="439"/>
      <c r="H98" s="203"/>
      <c r="J98" s="204"/>
      <c r="K98" s="203"/>
      <c r="L98" s="206"/>
      <c r="N98" s="171"/>
    </row>
    <row r="99" spans="2:14" ht="15" x14ac:dyDescent="0.25">
      <c r="B99" s="408"/>
      <c r="C99" s="207" t="s">
        <v>81</v>
      </c>
      <c r="D99" s="208"/>
      <c r="E99" s="209" t="s">
        <v>169</v>
      </c>
      <c r="F99" s="210"/>
      <c r="G99" s="211"/>
      <c r="H99" s="203"/>
      <c r="J99" s="204"/>
      <c r="K99" s="203"/>
      <c r="L99" s="206"/>
      <c r="N99" s="171"/>
    </row>
    <row r="100" spans="2:14" ht="15" x14ac:dyDescent="0.25">
      <c r="B100" s="408"/>
      <c r="C100" s="208"/>
      <c r="D100" s="208"/>
      <c r="E100" s="212"/>
      <c r="F100" s="212"/>
      <c r="G100" s="213"/>
      <c r="H100" s="203"/>
      <c r="J100" s="204"/>
      <c r="K100" s="203"/>
      <c r="L100" s="214"/>
      <c r="N100" s="171"/>
    </row>
    <row r="101" spans="2:14" ht="15" x14ac:dyDescent="0.25">
      <c r="B101" s="408"/>
      <c r="C101" s="208" t="s">
        <v>82</v>
      </c>
      <c r="D101" s="208"/>
      <c r="E101" s="215">
        <v>45779</v>
      </c>
      <c r="F101" s="210"/>
      <c r="G101" s="211"/>
      <c r="H101" s="203"/>
      <c r="I101" s="432" t="s">
        <v>103</v>
      </c>
      <c r="J101" s="432"/>
      <c r="K101" s="433"/>
      <c r="L101" s="205"/>
      <c r="N101" s="171"/>
    </row>
    <row r="102" spans="2:14" ht="15" x14ac:dyDescent="0.25">
      <c r="B102" s="409"/>
      <c r="C102" s="210"/>
      <c r="D102" s="210"/>
      <c r="E102" s="210"/>
      <c r="F102" s="210"/>
      <c r="G102" s="216"/>
      <c r="H102" s="217"/>
      <c r="I102" s="217"/>
      <c r="J102" s="217"/>
      <c r="K102" s="214"/>
      <c r="L102" s="200"/>
      <c r="M102" s="173"/>
      <c r="N102" s="201"/>
    </row>
    <row r="103" spans="2:14" ht="14.25" customHeight="1" x14ac:dyDescent="0.2">
      <c r="B103" s="406" t="s">
        <v>69</v>
      </c>
      <c r="C103" s="407" t="s">
        <v>76</v>
      </c>
      <c r="D103" s="407"/>
      <c r="E103" s="407"/>
      <c r="F103" s="407"/>
      <c r="G103" s="407"/>
      <c r="H103" s="410" t="s">
        <v>77</v>
      </c>
      <c r="I103" s="411"/>
      <c r="J103" s="411"/>
      <c r="K103" s="411"/>
      <c r="L103" s="411"/>
      <c r="M103" s="411"/>
      <c r="N103" s="412"/>
    </row>
    <row r="104" spans="2:14" ht="4.5" customHeight="1" x14ac:dyDescent="0.2">
      <c r="B104" s="406"/>
      <c r="C104" s="407"/>
      <c r="D104" s="407"/>
      <c r="E104" s="407"/>
      <c r="F104" s="407"/>
      <c r="G104" s="407"/>
      <c r="H104" s="413"/>
      <c r="I104" s="414"/>
      <c r="J104" s="414"/>
      <c r="K104" s="414"/>
      <c r="L104" s="414"/>
      <c r="M104" s="414"/>
      <c r="N104" s="415"/>
    </row>
    <row r="105" spans="2:14" ht="20.25" customHeight="1" x14ac:dyDescent="0.25">
      <c r="B105" s="406"/>
      <c r="C105" s="407"/>
      <c r="D105" s="407"/>
      <c r="E105" s="407"/>
      <c r="F105" s="407"/>
      <c r="G105" s="407"/>
      <c r="H105" s="430" t="s">
        <v>104</v>
      </c>
      <c r="I105" s="430"/>
      <c r="J105" s="430" t="s">
        <v>105</v>
      </c>
      <c r="K105" s="430"/>
      <c r="L105" s="430"/>
      <c r="M105" s="431" t="s">
        <v>97</v>
      </c>
      <c r="N105" s="431"/>
    </row>
    <row r="106" spans="2:14" ht="27.75" customHeight="1" x14ac:dyDescent="0.2">
      <c r="B106" s="408" t="s">
        <v>154</v>
      </c>
      <c r="H106" s="416"/>
      <c r="I106" s="417"/>
      <c r="J106" s="420"/>
      <c r="K106" s="421"/>
      <c r="L106" s="422"/>
      <c r="M106" s="426"/>
      <c r="N106" s="427"/>
    </row>
    <row r="107" spans="2:14" ht="30.75" customHeight="1" x14ac:dyDescent="0.2">
      <c r="B107" s="408"/>
      <c r="H107" s="418"/>
      <c r="I107" s="419"/>
      <c r="J107" s="423"/>
      <c r="K107" s="424"/>
      <c r="L107" s="425"/>
      <c r="M107" s="428"/>
      <c r="N107" s="429"/>
    </row>
    <row r="108" spans="2:14" ht="26.25" customHeight="1" x14ac:dyDescent="0.2">
      <c r="B108" s="408"/>
      <c r="C108" s="434" t="s">
        <v>174</v>
      </c>
      <c r="D108" s="435"/>
      <c r="E108" s="435"/>
      <c r="F108" s="435"/>
      <c r="G108" s="436"/>
      <c r="H108" s="416"/>
      <c r="I108" s="417"/>
      <c r="J108" s="420"/>
      <c r="K108" s="421"/>
      <c r="L108" s="422"/>
      <c r="M108" s="426"/>
      <c r="N108" s="427"/>
    </row>
    <row r="109" spans="2:14" ht="21" customHeight="1" x14ac:dyDescent="0.2">
      <c r="B109" s="408"/>
      <c r="C109" s="434"/>
      <c r="D109" s="435"/>
      <c r="E109" s="435"/>
      <c r="F109" s="435"/>
      <c r="G109" s="436"/>
      <c r="H109" s="418"/>
      <c r="I109" s="419"/>
      <c r="J109" s="423"/>
      <c r="K109" s="424"/>
      <c r="L109" s="425"/>
      <c r="M109" s="428"/>
      <c r="N109" s="429"/>
    </row>
    <row r="110" spans="2:14" ht="30.75" customHeight="1" x14ac:dyDescent="0.2">
      <c r="B110" s="408"/>
      <c r="C110" s="434"/>
      <c r="D110" s="435"/>
      <c r="E110" s="435"/>
      <c r="F110" s="435"/>
      <c r="G110" s="436"/>
      <c r="H110" s="416"/>
      <c r="I110" s="417"/>
      <c r="J110" s="420"/>
      <c r="K110" s="421"/>
      <c r="L110" s="422"/>
      <c r="M110" s="426"/>
      <c r="N110" s="427"/>
    </row>
    <row r="111" spans="2:14" ht="18.75" customHeight="1" x14ac:dyDescent="0.2">
      <c r="B111" s="408"/>
      <c r="C111" s="434"/>
      <c r="D111" s="435"/>
      <c r="E111" s="435"/>
      <c r="F111" s="435"/>
      <c r="G111" s="436"/>
      <c r="H111" s="418"/>
      <c r="I111" s="419"/>
      <c r="J111" s="423"/>
      <c r="K111" s="424"/>
      <c r="L111" s="425"/>
      <c r="M111" s="428"/>
      <c r="N111" s="429"/>
    </row>
    <row r="112" spans="2:14" ht="15" x14ac:dyDescent="0.25">
      <c r="B112" s="408"/>
      <c r="C112" s="218"/>
      <c r="D112" s="219"/>
      <c r="E112" s="219"/>
      <c r="F112" s="219"/>
      <c r="G112" s="220"/>
      <c r="H112" s="199"/>
      <c r="I112" s="200"/>
      <c r="J112" s="200"/>
      <c r="K112" s="200"/>
      <c r="L112" s="200"/>
      <c r="M112" s="173"/>
      <c r="N112" s="201"/>
    </row>
    <row r="113" spans="2:14" ht="15" x14ac:dyDescent="0.25">
      <c r="B113" s="408"/>
      <c r="C113" s="218"/>
      <c r="D113" s="219"/>
      <c r="E113" s="219"/>
      <c r="F113" s="219"/>
      <c r="G113" s="220"/>
      <c r="H113" s="202"/>
      <c r="I113" s="202"/>
      <c r="J113" s="202"/>
      <c r="K113" s="202"/>
      <c r="L113" s="202"/>
      <c r="N113" s="171"/>
    </row>
    <row r="114" spans="2:14" ht="15" x14ac:dyDescent="0.25">
      <c r="B114" s="408"/>
      <c r="C114" s="218"/>
      <c r="D114" s="219"/>
      <c r="E114" s="219"/>
      <c r="F114" s="219"/>
      <c r="G114" s="220"/>
      <c r="H114" s="203" t="s">
        <v>79</v>
      </c>
      <c r="J114" s="204" t="s">
        <v>80</v>
      </c>
      <c r="K114" s="203"/>
      <c r="L114" s="205"/>
      <c r="N114" s="171"/>
    </row>
    <row r="115" spans="2:14" ht="15" x14ac:dyDescent="0.25">
      <c r="B115" s="408"/>
      <c r="C115" s="207"/>
      <c r="D115" s="208"/>
      <c r="E115" s="221"/>
      <c r="F115" s="221"/>
      <c r="G115" s="222"/>
      <c r="H115" s="203"/>
      <c r="J115" s="204"/>
      <c r="K115" s="203"/>
      <c r="L115" s="206"/>
      <c r="N115" s="171"/>
    </row>
    <row r="116" spans="2:14" ht="15" x14ac:dyDescent="0.25">
      <c r="B116" s="408"/>
      <c r="C116" s="207" t="s">
        <v>81</v>
      </c>
      <c r="D116" s="208"/>
      <c r="E116" s="209" t="s">
        <v>169</v>
      </c>
      <c r="F116" s="210"/>
      <c r="G116" s="211"/>
      <c r="H116" s="203"/>
      <c r="J116" s="204"/>
      <c r="K116" s="203"/>
      <c r="L116" s="206"/>
      <c r="N116" s="171"/>
    </row>
    <row r="117" spans="2:14" ht="15" x14ac:dyDescent="0.25">
      <c r="B117" s="408"/>
      <c r="C117" s="208"/>
      <c r="D117" s="208"/>
      <c r="E117" s="212"/>
      <c r="F117" s="212"/>
      <c r="G117" s="213"/>
      <c r="H117" s="203"/>
      <c r="J117" s="204"/>
      <c r="K117" s="203"/>
      <c r="L117" s="214"/>
      <c r="N117" s="171"/>
    </row>
    <row r="118" spans="2:14" ht="15" x14ac:dyDescent="0.25">
      <c r="B118" s="408"/>
      <c r="C118" s="208" t="s">
        <v>82</v>
      </c>
      <c r="D118" s="208"/>
      <c r="E118" s="215">
        <v>45902</v>
      </c>
      <c r="F118" s="210"/>
      <c r="G118" s="211"/>
      <c r="H118" s="203"/>
      <c r="I118" s="432" t="s">
        <v>103</v>
      </c>
      <c r="J118" s="432"/>
      <c r="K118" s="433"/>
      <c r="L118" s="205"/>
      <c r="N118" s="171"/>
    </row>
    <row r="119" spans="2:14" ht="15" x14ac:dyDescent="0.25">
      <c r="B119" s="409"/>
      <c r="C119" s="210"/>
      <c r="D119" s="210"/>
      <c r="E119" s="210"/>
      <c r="F119" s="210"/>
      <c r="G119" s="216"/>
      <c r="H119" s="217"/>
      <c r="I119" s="217"/>
      <c r="J119" s="217"/>
      <c r="K119" s="214"/>
      <c r="L119" s="200"/>
      <c r="M119" s="173"/>
      <c r="N119" s="201"/>
    </row>
    <row r="120" spans="2:14" ht="14.25" customHeight="1" x14ac:dyDescent="0.2">
      <c r="B120" s="406" t="s">
        <v>69</v>
      </c>
      <c r="C120" s="454" t="s">
        <v>76</v>
      </c>
      <c r="D120" s="454"/>
      <c r="E120" s="454"/>
      <c r="F120" s="454"/>
      <c r="G120" s="454"/>
      <c r="H120" s="410" t="s">
        <v>77</v>
      </c>
      <c r="I120" s="411"/>
      <c r="J120" s="411"/>
      <c r="K120" s="411"/>
      <c r="L120" s="411"/>
      <c r="M120" s="411"/>
      <c r="N120" s="412"/>
    </row>
    <row r="121" spans="2:14" ht="4.5" customHeight="1" x14ac:dyDescent="0.2">
      <c r="B121" s="406"/>
      <c r="C121" s="454"/>
      <c r="D121" s="454"/>
      <c r="E121" s="454"/>
      <c r="F121" s="454"/>
      <c r="G121" s="454"/>
      <c r="H121" s="413"/>
      <c r="I121" s="414"/>
      <c r="J121" s="414"/>
      <c r="K121" s="414"/>
      <c r="L121" s="414"/>
      <c r="M121" s="414"/>
      <c r="N121" s="415"/>
    </row>
    <row r="122" spans="2:14" ht="20.25" customHeight="1" x14ac:dyDescent="0.25">
      <c r="B122" s="406"/>
      <c r="C122" s="454"/>
      <c r="D122" s="454"/>
      <c r="E122" s="454"/>
      <c r="F122" s="454"/>
      <c r="G122" s="454"/>
      <c r="H122" s="430" t="s">
        <v>104</v>
      </c>
      <c r="I122" s="430"/>
      <c r="J122" s="430" t="s">
        <v>105</v>
      </c>
      <c r="K122" s="430"/>
      <c r="L122" s="430"/>
      <c r="M122" s="431" t="s">
        <v>97</v>
      </c>
      <c r="N122" s="431"/>
    </row>
    <row r="123" spans="2:14" ht="27.75" customHeight="1" x14ac:dyDescent="0.2">
      <c r="B123" s="408" t="s">
        <v>155</v>
      </c>
      <c r="C123" s="476"/>
      <c r="D123" s="477"/>
      <c r="E123" s="477"/>
      <c r="F123" s="477"/>
      <c r="G123" s="478"/>
      <c r="H123" s="416"/>
      <c r="I123" s="417"/>
      <c r="J123" s="420"/>
      <c r="K123" s="421"/>
      <c r="L123" s="422"/>
      <c r="M123" s="426"/>
      <c r="N123" s="427"/>
    </row>
    <row r="124" spans="2:14" ht="30.75" customHeight="1" x14ac:dyDescent="0.2">
      <c r="B124" s="408"/>
      <c r="C124" s="476"/>
      <c r="D124" s="477"/>
      <c r="E124" s="477"/>
      <c r="F124" s="477"/>
      <c r="G124" s="478"/>
      <c r="H124" s="418"/>
      <c r="I124" s="419"/>
      <c r="J124" s="423"/>
      <c r="K124" s="424"/>
      <c r="L124" s="425"/>
      <c r="M124" s="428"/>
      <c r="N124" s="429"/>
    </row>
    <row r="125" spans="2:14" ht="26.25" customHeight="1" x14ac:dyDescent="0.2">
      <c r="B125" s="408"/>
      <c r="C125" s="476"/>
      <c r="D125" s="477"/>
      <c r="E125" s="477"/>
      <c r="F125" s="477"/>
      <c r="G125" s="478"/>
      <c r="H125" s="416"/>
      <c r="I125" s="417"/>
      <c r="J125" s="420"/>
      <c r="K125" s="421"/>
      <c r="L125" s="422"/>
      <c r="M125" s="426"/>
      <c r="N125" s="427"/>
    </row>
    <row r="126" spans="2:14" ht="21" customHeight="1" x14ac:dyDescent="0.2">
      <c r="B126" s="408"/>
      <c r="C126" s="476"/>
      <c r="D126" s="477"/>
      <c r="E126" s="477"/>
      <c r="F126" s="477"/>
      <c r="G126" s="478"/>
      <c r="H126" s="418"/>
      <c r="I126" s="419"/>
      <c r="J126" s="423"/>
      <c r="K126" s="424"/>
      <c r="L126" s="425"/>
      <c r="M126" s="428"/>
      <c r="N126" s="429"/>
    </row>
    <row r="127" spans="2:14" ht="30.75" customHeight="1" x14ac:dyDescent="0.2">
      <c r="B127" s="408"/>
      <c r="C127" s="476"/>
      <c r="D127" s="477"/>
      <c r="E127" s="477"/>
      <c r="F127" s="477"/>
      <c r="G127" s="478"/>
      <c r="H127" s="416"/>
      <c r="I127" s="417"/>
      <c r="J127" s="420"/>
      <c r="K127" s="421"/>
      <c r="L127" s="422"/>
      <c r="M127" s="426"/>
      <c r="N127" s="427"/>
    </row>
    <row r="128" spans="2:14" ht="18.75" customHeight="1" x14ac:dyDescent="0.2">
      <c r="B128" s="408"/>
      <c r="C128" s="476"/>
      <c r="D128" s="477"/>
      <c r="E128" s="477"/>
      <c r="F128" s="477"/>
      <c r="G128" s="478"/>
      <c r="H128" s="418"/>
      <c r="I128" s="419"/>
      <c r="J128" s="423"/>
      <c r="K128" s="424"/>
      <c r="L128" s="425"/>
      <c r="M128" s="428"/>
      <c r="N128" s="429"/>
    </row>
    <row r="129" spans="2:14" ht="15" x14ac:dyDescent="0.25">
      <c r="B129" s="408"/>
      <c r="C129" s="218"/>
      <c r="D129" s="219"/>
      <c r="E129" s="219"/>
      <c r="F129" s="219"/>
      <c r="G129" s="220"/>
      <c r="H129" s="199"/>
      <c r="I129" s="200"/>
      <c r="J129" s="200"/>
      <c r="K129" s="200"/>
      <c r="L129" s="200"/>
      <c r="M129" s="173"/>
      <c r="N129" s="201"/>
    </row>
    <row r="130" spans="2:14" ht="15" x14ac:dyDescent="0.25">
      <c r="B130" s="408"/>
      <c r="C130" s="218"/>
      <c r="D130" s="219"/>
      <c r="E130" s="219"/>
      <c r="F130" s="219"/>
      <c r="G130" s="220"/>
      <c r="H130" s="202"/>
      <c r="I130" s="202"/>
      <c r="J130" s="202"/>
      <c r="K130" s="202"/>
      <c r="L130" s="202"/>
      <c r="N130" s="171"/>
    </row>
    <row r="131" spans="2:14" ht="15" x14ac:dyDescent="0.25">
      <c r="B131" s="408"/>
      <c r="C131" s="218"/>
      <c r="D131" s="219"/>
      <c r="E131" s="219"/>
      <c r="F131" s="219"/>
      <c r="G131" s="220"/>
      <c r="H131" s="203" t="s">
        <v>79</v>
      </c>
      <c r="J131" s="204" t="s">
        <v>80</v>
      </c>
      <c r="K131" s="203"/>
      <c r="L131" s="205"/>
      <c r="N131" s="171"/>
    </row>
    <row r="132" spans="2:14" ht="15" x14ac:dyDescent="0.25">
      <c r="B132" s="408"/>
      <c r="C132" s="207"/>
      <c r="D132" s="208"/>
      <c r="E132" s="221"/>
      <c r="F132" s="221"/>
      <c r="G132" s="222"/>
      <c r="H132" s="203"/>
      <c r="J132" s="204"/>
      <c r="K132" s="203"/>
      <c r="L132" s="206"/>
      <c r="N132" s="171"/>
    </row>
    <row r="133" spans="2:14" ht="15" x14ac:dyDescent="0.25">
      <c r="B133" s="408"/>
      <c r="C133" s="207" t="s">
        <v>81</v>
      </c>
      <c r="D133" s="208"/>
      <c r="E133" s="209"/>
      <c r="F133" s="210"/>
      <c r="G133" s="211"/>
      <c r="H133" s="203"/>
      <c r="J133" s="204"/>
      <c r="K133" s="203"/>
      <c r="L133" s="206"/>
      <c r="N133" s="171"/>
    </row>
    <row r="134" spans="2:14" ht="15" x14ac:dyDescent="0.25">
      <c r="B134" s="408"/>
      <c r="C134" s="208"/>
      <c r="D134" s="208"/>
      <c r="E134" s="212"/>
      <c r="F134" s="212"/>
      <c r="G134" s="213"/>
      <c r="H134" s="203"/>
      <c r="J134" s="204"/>
      <c r="K134" s="203"/>
      <c r="L134" s="214"/>
      <c r="N134" s="171"/>
    </row>
    <row r="135" spans="2:14" ht="15" x14ac:dyDescent="0.25">
      <c r="B135" s="408"/>
      <c r="C135" s="208" t="s">
        <v>82</v>
      </c>
      <c r="D135" s="208"/>
      <c r="E135" s="215"/>
      <c r="F135" s="210"/>
      <c r="G135" s="211"/>
      <c r="H135" s="203"/>
      <c r="I135" s="432" t="s">
        <v>103</v>
      </c>
      <c r="J135" s="432"/>
      <c r="K135" s="433"/>
      <c r="L135" s="205"/>
      <c r="N135" s="171"/>
    </row>
    <row r="136" spans="2:14" ht="15" x14ac:dyDescent="0.25">
      <c r="B136" s="409"/>
      <c r="C136" s="210"/>
      <c r="D136" s="210"/>
      <c r="E136" s="210"/>
      <c r="F136" s="210"/>
      <c r="G136" s="216"/>
      <c r="H136" s="217"/>
      <c r="I136" s="217"/>
      <c r="J136" s="217"/>
      <c r="K136" s="214"/>
      <c r="L136" s="200"/>
      <c r="M136" s="173"/>
      <c r="N136" s="201"/>
    </row>
  </sheetData>
  <mergeCells count="101">
    <mergeCell ref="B9:N9"/>
    <mergeCell ref="B11:K11"/>
    <mergeCell ref="H122:I122"/>
    <mergeCell ref="J122:L122"/>
    <mergeCell ref="M122:N122"/>
    <mergeCell ref="B123:B136"/>
    <mergeCell ref="C123:G124"/>
    <mergeCell ref="H123:I124"/>
    <mergeCell ref="J123:L124"/>
    <mergeCell ref="M123:N124"/>
    <mergeCell ref="C125:G126"/>
    <mergeCell ref="H125:I126"/>
    <mergeCell ref="J125:L126"/>
    <mergeCell ref="M125:N126"/>
    <mergeCell ref="C127:G128"/>
    <mergeCell ref="H127:I128"/>
    <mergeCell ref="J127:L128"/>
    <mergeCell ref="M127:N128"/>
    <mergeCell ref="I135:K135"/>
    <mergeCell ref="B34:G35"/>
    <mergeCell ref="H34:O35"/>
    <mergeCell ref="B36:O36"/>
    <mergeCell ref="L11:O11"/>
    <mergeCell ref="B18:O18"/>
    <mergeCell ref="B2:B5"/>
    <mergeCell ref="C2:O2"/>
    <mergeCell ref="C3:O3"/>
    <mergeCell ref="C4:O4"/>
    <mergeCell ref="C5:F5"/>
    <mergeCell ref="G5:J5"/>
    <mergeCell ref="K5:O5"/>
    <mergeCell ref="B8:D8"/>
    <mergeCell ref="E8:O8"/>
    <mergeCell ref="B6:N6"/>
    <mergeCell ref="B7:D7"/>
    <mergeCell ref="E7:O7"/>
    <mergeCell ref="B20:O22"/>
    <mergeCell ref="B24:G24"/>
    <mergeCell ref="H24:O24"/>
    <mergeCell ref="B12:K16"/>
    <mergeCell ref="L12:O16"/>
    <mergeCell ref="B120:B122"/>
    <mergeCell ref="C120:G122"/>
    <mergeCell ref="H120:N121"/>
    <mergeCell ref="B84:N85"/>
    <mergeCell ref="B25:G26"/>
    <mergeCell ref="H25:O26"/>
    <mergeCell ref="B27:G27"/>
    <mergeCell ref="H27:O27"/>
    <mergeCell ref="B28:G29"/>
    <mergeCell ref="H28:O29"/>
    <mergeCell ref="B30:D30"/>
    <mergeCell ref="E30:O30"/>
    <mergeCell ref="B42:O42"/>
    <mergeCell ref="G37:N41"/>
    <mergeCell ref="B54:N54"/>
    <mergeCell ref="L32:O32"/>
    <mergeCell ref="B31:D32"/>
    <mergeCell ref="E31:G31"/>
    <mergeCell ref="H31:K31"/>
    <mergeCell ref="L31:O31"/>
    <mergeCell ref="E32:G32"/>
    <mergeCell ref="H32:K32"/>
    <mergeCell ref="B33:G33"/>
    <mergeCell ref="H33:O33"/>
    <mergeCell ref="B86:B88"/>
    <mergeCell ref="C86:G88"/>
    <mergeCell ref="H86:N87"/>
    <mergeCell ref="H88:I88"/>
    <mergeCell ref="J88:L88"/>
    <mergeCell ref="M88:N88"/>
    <mergeCell ref="B89:B102"/>
    <mergeCell ref="H89:I90"/>
    <mergeCell ref="J89:L90"/>
    <mergeCell ref="M89:N90"/>
    <mergeCell ref="H91:I92"/>
    <mergeCell ref="J91:L92"/>
    <mergeCell ref="M91:N92"/>
    <mergeCell ref="H93:I94"/>
    <mergeCell ref="J93:L94"/>
    <mergeCell ref="M93:N94"/>
    <mergeCell ref="I101:K101"/>
    <mergeCell ref="C89:G98"/>
    <mergeCell ref="B103:B105"/>
    <mergeCell ref="C103:G105"/>
    <mergeCell ref="B106:B119"/>
    <mergeCell ref="H103:N104"/>
    <mergeCell ref="H106:I107"/>
    <mergeCell ref="J106:L107"/>
    <mergeCell ref="M106:N107"/>
    <mergeCell ref="H108:I109"/>
    <mergeCell ref="J108:L109"/>
    <mergeCell ref="M108:N109"/>
    <mergeCell ref="H110:I111"/>
    <mergeCell ref="J110:L111"/>
    <mergeCell ref="M110:N111"/>
    <mergeCell ref="H105:I105"/>
    <mergeCell ref="J105:L105"/>
    <mergeCell ref="M105:N105"/>
    <mergeCell ref="I118:K118"/>
    <mergeCell ref="C108:G111"/>
  </mergeCells>
  <phoneticPr fontId="9" type="noConversion"/>
  <dataValidations disablePrompts="1" count="1">
    <dataValidation type="list" allowBlank="1" showInputMessage="1" showErrorMessage="1" sqref="L12:O16" xr:uid="{00000000-0002-0000-0400-000000000000}">
      <formula1>"EFICACIA,EFICIENCIA,EFECTIVIDAD"</formula1>
    </dataValidation>
  </dataValidations>
  <printOptions horizontalCentered="1"/>
  <pageMargins left="0.39370078740157483" right="0.39370078740157483" top="0.39370078740157483" bottom="0.39370078740157483" header="0.19685039370078741" footer="0.19685039370078741"/>
  <pageSetup scale="80" fitToHeight="2" orientation="portrait" r:id="rId1"/>
  <headerFooter alignWithMargins="0">
    <oddFooter>&amp;CPágina &amp;P de &amp;N&amp;REd. 1 /03-01-2012</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R116"/>
  <sheetViews>
    <sheetView showGridLines="0" tabSelected="1" zoomScale="82" zoomScaleNormal="100" zoomScaleSheetLayoutView="100" workbookViewId="0">
      <selection activeCell="AK101" sqref="AK101"/>
    </sheetView>
  </sheetViews>
  <sheetFormatPr baseColWidth="10" defaultColWidth="3.28515625" defaultRowHeight="12.75" x14ac:dyDescent="0.2"/>
  <cols>
    <col min="1" max="1" width="3.28515625" style="10"/>
    <col min="2" max="2" width="23.140625" style="10" customWidth="1"/>
    <col min="3" max="3" width="10.5703125" style="10" customWidth="1"/>
    <col min="4" max="4" width="11.85546875" style="10" customWidth="1"/>
    <col min="5" max="5" width="11.5703125" style="10" customWidth="1"/>
    <col min="6" max="6" width="8.7109375" style="10" customWidth="1"/>
    <col min="7" max="7" width="9.7109375" style="10" customWidth="1"/>
    <col min="8" max="10" width="8.7109375" style="10" customWidth="1"/>
    <col min="11" max="11" width="11.5703125" style="10" customWidth="1"/>
    <col min="12" max="21" width="10.140625" style="10" customWidth="1"/>
    <col min="22" max="16384" width="3.28515625" style="10"/>
  </cols>
  <sheetData>
    <row r="1" spans="2:18" ht="6" customHeight="1" x14ac:dyDescent="0.2">
      <c r="C1" s="51"/>
      <c r="D1" s="51"/>
      <c r="E1" s="51"/>
      <c r="F1" s="51"/>
      <c r="G1" s="51"/>
      <c r="H1" s="51"/>
      <c r="I1" s="51"/>
      <c r="J1" s="51"/>
      <c r="K1" s="51"/>
      <c r="L1" s="51"/>
      <c r="M1" s="51"/>
      <c r="N1" s="51"/>
      <c r="O1" s="9"/>
    </row>
    <row r="2" spans="2:18" ht="12" customHeight="1" x14ac:dyDescent="0.2">
      <c r="B2" s="289"/>
      <c r="C2" s="345" t="s">
        <v>99</v>
      </c>
      <c r="D2" s="345"/>
      <c r="E2" s="345"/>
      <c r="F2" s="345"/>
      <c r="G2" s="345"/>
      <c r="H2" s="345"/>
      <c r="I2" s="345"/>
      <c r="J2" s="345"/>
      <c r="K2" s="345"/>
      <c r="L2" s="345"/>
      <c r="M2" s="345"/>
      <c r="N2" s="345"/>
      <c r="O2" s="345"/>
    </row>
    <row r="3" spans="2:18" ht="13.5" customHeight="1" x14ac:dyDescent="0.25">
      <c r="B3" s="289"/>
      <c r="C3" s="346" t="s">
        <v>100</v>
      </c>
      <c r="D3" s="346"/>
      <c r="E3" s="346"/>
      <c r="F3" s="346"/>
      <c r="G3" s="346"/>
      <c r="H3" s="346"/>
      <c r="I3" s="346"/>
      <c r="J3" s="346"/>
      <c r="K3" s="346"/>
      <c r="L3" s="346"/>
      <c r="M3" s="346"/>
      <c r="N3" s="346"/>
      <c r="O3" s="346"/>
    </row>
    <row r="4" spans="2:18" ht="19.5" customHeight="1" x14ac:dyDescent="0.2">
      <c r="B4" s="289"/>
      <c r="C4" s="345" t="s">
        <v>91</v>
      </c>
      <c r="D4" s="345"/>
      <c r="E4" s="345"/>
      <c r="F4" s="345"/>
      <c r="G4" s="345"/>
      <c r="H4" s="345"/>
      <c r="I4" s="345"/>
      <c r="J4" s="345"/>
      <c r="K4" s="345"/>
      <c r="L4" s="345"/>
      <c r="M4" s="345"/>
      <c r="N4" s="345"/>
      <c r="O4" s="345"/>
    </row>
    <row r="5" spans="2:18" ht="12" customHeight="1" x14ac:dyDescent="0.2">
      <c r="B5" s="289"/>
      <c r="C5" s="347" t="s">
        <v>152</v>
      </c>
      <c r="D5" s="347"/>
      <c r="E5" s="347"/>
      <c r="F5" s="347"/>
      <c r="G5" s="347" t="s">
        <v>157</v>
      </c>
      <c r="H5" s="347"/>
      <c r="I5" s="347"/>
      <c r="J5" s="347"/>
      <c r="K5" s="348" t="s">
        <v>102</v>
      </c>
      <c r="L5" s="349"/>
      <c r="M5" s="349"/>
      <c r="N5" s="349"/>
      <c r="O5" s="350"/>
    </row>
    <row r="6" spans="2:18" ht="4.5" customHeight="1" x14ac:dyDescent="0.2">
      <c r="B6" s="402"/>
      <c r="C6" s="402"/>
      <c r="D6" s="402"/>
      <c r="E6" s="316"/>
      <c r="F6" s="316"/>
      <c r="G6" s="316"/>
      <c r="H6" s="316"/>
      <c r="I6" s="316"/>
      <c r="J6" s="316"/>
      <c r="K6" s="316"/>
      <c r="L6" s="316"/>
      <c r="M6" s="316"/>
      <c r="N6" s="316"/>
    </row>
    <row r="7" spans="2:18" ht="22.5" customHeight="1" x14ac:dyDescent="0.2">
      <c r="B7" s="298" t="s">
        <v>16</v>
      </c>
      <c r="C7" s="299"/>
      <c r="D7" s="301"/>
      <c r="E7" s="498" t="s">
        <v>166</v>
      </c>
      <c r="F7" s="499"/>
      <c r="G7" s="499"/>
      <c r="H7" s="499"/>
      <c r="I7" s="499"/>
      <c r="J7" s="499"/>
      <c r="K7" s="499"/>
      <c r="L7" s="499"/>
      <c r="M7" s="499"/>
      <c r="N7" s="499"/>
      <c r="O7" s="500"/>
    </row>
    <row r="8" spans="2:18" ht="48.75" customHeight="1" x14ac:dyDescent="0.2">
      <c r="B8" s="298" t="s">
        <v>44</v>
      </c>
      <c r="C8" s="299"/>
      <c r="D8" s="301"/>
      <c r="E8" s="388" t="s">
        <v>112</v>
      </c>
      <c r="F8" s="388"/>
      <c r="G8" s="388"/>
      <c r="H8" s="388"/>
      <c r="I8" s="388"/>
      <c r="J8" s="388"/>
      <c r="K8" s="388"/>
      <c r="L8" s="388"/>
      <c r="M8" s="388"/>
      <c r="N8" s="388"/>
      <c r="O8" s="388"/>
      <c r="P8" s="91"/>
      <c r="Q8" s="91"/>
      <c r="R8" s="91"/>
    </row>
    <row r="9" spans="2:18" ht="5.25" customHeight="1" x14ac:dyDescent="0.2">
      <c r="B9" s="495"/>
      <c r="C9" s="496"/>
      <c r="D9" s="496"/>
      <c r="E9" s="316"/>
      <c r="F9" s="316"/>
      <c r="G9" s="316"/>
      <c r="H9" s="316"/>
      <c r="I9" s="316"/>
      <c r="J9" s="316"/>
      <c r="K9" s="316"/>
      <c r="L9" s="316"/>
      <c r="M9" s="316"/>
      <c r="N9" s="316"/>
      <c r="O9" s="11"/>
    </row>
    <row r="10" spans="2:18" ht="5.25" customHeight="1" x14ac:dyDescent="0.2">
      <c r="B10" s="14"/>
      <c r="C10" s="14"/>
      <c r="D10" s="15"/>
      <c r="E10" s="15"/>
      <c r="F10" s="15"/>
      <c r="G10" s="15"/>
      <c r="H10" s="15"/>
      <c r="I10" s="15"/>
      <c r="J10" s="15"/>
      <c r="K10" s="15"/>
      <c r="L10" s="12"/>
      <c r="O10" s="11"/>
    </row>
    <row r="11" spans="2:18" x14ac:dyDescent="0.2">
      <c r="B11" s="389" t="s">
        <v>55</v>
      </c>
      <c r="C11" s="389"/>
      <c r="D11" s="389"/>
      <c r="E11" s="389"/>
      <c r="F11" s="389"/>
      <c r="G11" s="389"/>
      <c r="H11" s="389"/>
      <c r="I11" s="389"/>
      <c r="J11" s="389"/>
      <c r="K11" s="389"/>
      <c r="L11" s="389" t="s">
        <v>107</v>
      </c>
      <c r="M11" s="389"/>
      <c r="N11" s="389"/>
      <c r="O11" s="389"/>
      <c r="P11" s="92"/>
      <c r="Q11" s="92"/>
      <c r="R11" s="92"/>
    </row>
    <row r="12" spans="2:18" ht="12.75" customHeight="1" x14ac:dyDescent="0.2">
      <c r="B12" s="370" t="s">
        <v>113</v>
      </c>
      <c r="C12" s="371"/>
      <c r="D12" s="371"/>
      <c r="E12" s="371"/>
      <c r="F12" s="371"/>
      <c r="G12" s="371"/>
      <c r="H12" s="371"/>
      <c r="I12" s="371"/>
      <c r="J12" s="371"/>
      <c r="K12" s="372"/>
      <c r="L12" s="497" t="s">
        <v>109</v>
      </c>
      <c r="M12" s="497"/>
      <c r="N12" s="497"/>
      <c r="O12" s="497"/>
      <c r="P12" s="93"/>
      <c r="Q12" s="93"/>
      <c r="R12" s="93"/>
    </row>
    <row r="13" spans="2:18" ht="3" customHeight="1" x14ac:dyDescent="0.2">
      <c r="B13" s="373"/>
      <c r="C13" s="374"/>
      <c r="D13" s="374"/>
      <c r="E13" s="374"/>
      <c r="F13" s="374"/>
      <c r="G13" s="374"/>
      <c r="H13" s="374"/>
      <c r="I13" s="374"/>
      <c r="J13" s="374"/>
      <c r="K13" s="375"/>
      <c r="L13" s="497"/>
      <c r="M13" s="497"/>
      <c r="N13" s="497"/>
      <c r="O13" s="497"/>
      <c r="P13" s="93"/>
      <c r="Q13" s="93"/>
      <c r="R13" s="93"/>
    </row>
    <row r="14" spans="2:18" ht="12.75" customHeight="1" x14ac:dyDescent="0.2">
      <c r="B14" s="373"/>
      <c r="C14" s="374"/>
      <c r="D14" s="374"/>
      <c r="E14" s="374"/>
      <c r="F14" s="374"/>
      <c r="G14" s="374"/>
      <c r="H14" s="374"/>
      <c r="I14" s="374"/>
      <c r="J14" s="374"/>
      <c r="K14" s="375"/>
      <c r="L14" s="497"/>
      <c r="M14" s="497"/>
      <c r="N14" s="497"/>
      <c r="O14" s="497"/>
      <c r="P14" s="93"/>
      <c r="Q14" s="93"/>
      <c r="R14" s="93"/>
    </row>
    <row r="15" spans="2:18" ht="3.75" customHeight="1" x14ac:dyDescent="0.2">
      <c r="B15" s="373"/>
      <c r="C15" s="374"/>
      <c r="D15" s="374"/>
      <c r="E15" s="374"/>
      <c r="F15" s="374"/>
      <c r="G15" s="374"/>
      <c r="H15" s="374"/>
      <c r="I15" s="374"/>
      <c r="J15" s="374"/>
      <c r="K15" s="375"/>
      <c r="L15" s="497"/>
      <c r="M15" s="497"/>
      <c r="N15" s="497"/>
      <c r="O15" s="497"/>
      <c r="P15" s="93"/>
      <c r="Q15" s="93"/>
      <c r="R15" s="93"/>
    </row>
    <row r="16" spans="2:18" ht="12.75" customHeight="1" x14ac:dyDescent="0.2">
      <c r="B16" s="376"/>
      <c r="C16" s="377"/>
      <c r="D16" s="377"/>
      <c r="E16" s="377"/>
      <c r="F16" s="377"/>
      <c r="G16" s="377"/>
      <c r="H16" s="377"/>
      <c r="I16" s="377"/>
      <c r="J16" s="377"/>
      <c r="K16" s="378"/>
      <c r="L16" s="497"/>
      <c r="M16" s="497"/>
      <c r="N16" s="497"/>
      <c r="O16" s="497"/>
      <c r="P16" s="93"/>
      <c r="Q16" s="93"/>
      <c r="R16" s="93"/>
    </row>
    <row r="17" spans="2:18" ht="9.75" customHeight="1" x14ac:dyDescent="0.2">
      <c r="B17" s="140"/>
      <c r="C17" s="141"/>
      <c r="D17" s="141"/>
      <c r="E17" s="141"/>
      <c r="F17" s="141"/>
      <c r="G17" s="141"/>
      <c r="H17" s="141"/>
      <c r="I17" s="141"/>
      <c r="J17" s="141"/>
      <c r="K17" s="141"/>
      <c r="L17" s="141"/>
      <c r="M17" s="141"/>
      <c r="N17" s="141"/>
      <c r="O17" s="142"/>
      <c r="P17" s="93"/>
      <c r="Q17" s="93"/>
      <c r="R17" s="93"/>
    </row>
    <row r="18" spans="2:18" x14ac:dyDescent="0.2">
      <c r="B18" s="298" t="s">
        <v>56</v>
      </c>
      <c r="C18" s="299"/>
      <c r="D18" s="299"/>
      <c r="E18" s="299"/>
      <c r="F18" s="299"/>
      <c r="G18" s="299"/>
      <c r="H18" s="299"/>
      <c r="I18" s="299"/>
      <c r="J18" s="299"/>
      <c r="K18" s="299"/>
      <c r="L18" s="299"/>
      <c r="M18" s="299"/>
      <c r="N18" s="299"/>
      <c r="O18" s="301"/>
    </row>
    <row r="19" spans="2:18" ht="6.75" customHeight="1" x14ac:dyDescent="0.2">
      <c r="B19" s="16"/>
      <c r="C19" s="17"/>
      <c r="D19" s="17"/>
      <c r="E19" s="17"/>
      <c r="F19" s="17"/>
      <c r="G19" s="17"/>
      <c r="H19" s="17"/>
      <c r="I19" s="17"/>
      <c r="J19" s="17"/>
      <c r="K19" s="17"/>
      <c r="L19" s="17"/>
      <c r="M19" s="17"/>
      <c r="N19" s="17"/>
      <c r="O19" s="143"/>
    </row>
    <row r="20" spans="2:18" ht="12.75" customHeight="1" x14ac:dyDescent="0.2">
      <c r="B20" s="373" t="s">
        <v>116</v>
      </c>
      <c r="C20" s="374"/>
      <c r="D20" s="374"/>
      <c r="E20" s="374"/>
      <c r="F20" s="374"/>
      <c r="G20" s="374"/>
      <c r="H20" s="374"/>
      <c r="I20" s="374"/>
      <c r="J20" s="374"/>
      <c r="K20" s="374"/>
      <c r="L20" s="374"/>
      <c r="M20" s="374"/>
      <c r="N20" s="374"/>
      <c r="O20" s="375"/>
    </row>
    <row r="21" spans="2:18" ht="12.75" customHeight="1" x14ac:dyDescent="0.2">
      <c r="B21" s="373"/>
      <c r="C21" s="374"/>
      <c r="D21" s="374"/>
      <c r="E21" s="374"/>
      <c r="F21" s="374"/>
      <c r="G21" s="374"/>
      <c r="H21" s="374"/>
      <c r="I21" s="374"/>
      <c r="J21" s="374"/>
      <c r="K21" s="374"/>
      <c r="L21" s="374"/>
      <c r="M21" s="374"/>
      <c r="N21" s="374"/>
      <c r="O21" s="375"/>
    </row>
    <row r="22" spans="2:18" ht="12.75" customHeight="1" x14ac:dyDescent="0.2">
      <c r="B22" s="373"/>
      <c r="C22" s="374"/>
      <c r="D22" s="374"/>
      <c r="E22" s="374"/>
      <c r="F22" s="374"/>
      <c r="G22" s="374"/>
      <c r="H22" s="374"/>
      <c r="I22" s="374"/>
      <c r="J22" s="374"/>
      <c r="K22" s="374"/>
      <c r="L22" s="374"/>
      <c r="M22" s="374"/>
      <c r="N22" s="374"/>
      <c r="O22" s="375"/>
    </row>
    <row r="23" spans="2:18" ht="6.75" customHeight="1" x14ac:dyDescent="0.2">
      <c r="B23" s="18"/>
      <c r="C23" s="19"/>
      <c r="D23" s="19"/>
      <c r="E23" s="19"/>
      <c r="F23" s="19"/>
      <c r="G23" s="19"/>
      <c r="H23" s="17"/>
      <c r="I23" s="17"/>
      <c r="J23" s="17"/>
      <c r="K23" s="17"/>
      <c r="L23" s="17"/>
      <c r="M23" s="17"/>
      <c r="N23" s="17"/>
      <c r="O23" s="143"/>
    </row>
    <row r="24" spans="2:18" x14ac:dyDescent="0.2">
      <c r="B24" s="298" t="s">
        <v>57</v>
      </c>
      <c r="C24" s="299"/>
      <c r="D24" s="299"/>
      <c r="E24" s="299"/>
      <c r="F24" s="299"/>
      <c r="G24" s="299"/>
      <c r="H24" s="298" t="s">
        <v>58</v>
      </c>
      <c r="I24" s="299"/>
      <c r="J24" s="299"/>
      <c r="K24" s="299"/>
      <c r="L24" s="299"/>
      <c r="M24" s="299"/>
      <c r="N24" s="299"/>
      <c r="O24" s="301"/>
    </row>
    <row r="25" spans="2:18" ht="12.75" customHeight="1" x14ac:dyDescent="0.2">
      <c r="B25" s="390" t="s">
        <v>114</v>
      </c>
      <c r="C25" s="391"/>
      <c r="D25" s="391"/>
      <c r="E25" s="391"/>
      <c r="F25" s="391"/>
      <c r="G25" s="392"/>
      <c r="H25" s="396" t="s">
        <v>115</v>
      </c>
      <c r="I25" s="397"/>
      <c r="J25" s="397"/>
      <c r="K25" s="397"/>
      <c r="L25" s="397"/>
      <c r="M25" s="397"/>
      <c r="N25" s="397"/>
      <c r="O25" s="398"/>
    </row>
    <row r="26" spans="2:18" ht="61.5" customHeight="1" x14ac:dyDescent="0.2">
      <c r="B26" s="393"/>
      <c r="C26" s="394"/>
      <c r="D26" s="394"/>
      <c r="E26" s="394"/>
      <c r="F26" s="394"/>
      <c r="G26" s="395"/>
      <c r="H26" s="399"/>
      <c r="I26" s="400"/>
      <c r="J26" s="400"/>
      <c r="K26" s="400"/>
      <c r="L26" s="400"/>
      <c r="M26" s="400"/>
      <c r="N26" s="400"/>
      <c r="O26" s="401"/>
    </row>
    <row r="27" spans="2:18" x14ac:dyDescent="0.2">
      <c r="B27" s="298" t="s">
        <v>59</v>
      </c>
      <c r="C27" s="299"/>
      <c r="D27" s="299"/>
      <c r="E27" s="299"/>
      <c r="F27" s="299"/>
      <c r="G27" s="299"/>
      <c r="H27" s="298" t="s">
        <v>60</v>
      </c>
      <c r="I27" s="299"/>
      <c r="J27" s="299"/>
      <c r="K27" s="299"/>
      <c r="L27" s="299"/>
      <c r="M27" s="299"/>
      <c r="N27" s="299"/>
      <c r="O27" s="301"/>
    </row>
    <row r="28" spans="2:18" s="20" customFormat="1" ht="14.25" x14ac:dyDescent="0.2">
      <c r="B28" s="364" t="s">
        <v>162</v>
      </c>
      <c r="C28" s="365"/>
      <c r="D28" s="365"/>
      <c r="E28" s="365"/>
      <c r="F28" s="365"/>
      <c r="G28" s="366"/>
      <c r="H28" s="370" t="s">
        <v>165</v>
      </c>
      <c r="I28" s="365"/>
      <c r="J28" s="365"/>
      <c r="K28" s="365"/>
      <c r="L28" s="365"/>
      <c r="M28" s="365"/>
      <c r="N28" s="365"/>
      <c r="O28" s="366"/>
    </row>
    <row r="29" spans="2:18" s="20" customFormat="1" ht="14.25" x14ac:dyDescent="0.2">
      <c r="B29" s="367"/>
      <c r="C29" s="368"/>
      <c r="D29" s="368"/>
      <c r="E29" s="368"/>
      <c r="F29" s="368"/>
      <c r="G29" s="369"/>
      <c r="H29" s="367"/>
      <c r="I29" s="368"/>
      <c r="J29" s="368"/>
      <c r="K29" s="368"/>
      <c r="L29" s="368"/>
      <c r="M29" s="368"/>
      <c r="N29" s="368"/>
      <c r="O29" s="369"/>
    </row>
    <row r="30" spans="2:18" x14ac:dyDescent="0.2">
      <c r="B30" s="362" t="s">
        <v>61</v>
      </c>
      <c r="C30" s="363"/>
      <c r="D30" s="363"/>
      <c r="E30" s="362" t="s">
        <v>62</v>
      </c>
      <c r="F30" s="363"/>
      <c r="G30" s="363"/>
      <c r="H30" s="363"/>
      <c r="I30" s="363"/>
      <c r="J30" s="363"/>
      <c r="K30" s="363"/>
      <c r="L30" s="363"/>
      <c r="M30" s="363"/>
      <c r="N30" s="363"/>
      <c r="O30" s="387"/>
    </row>
    <row r="31" spans="2:18" ht="13.5" customHeight="1" x14ac:dyDescent="0.2">
      <c r="B31" s="351">
        <v>0.9</v>
      </c>
      <c r="C31" s="492"/>
      <c r="D31" s="492"/>
      <c r="E31" s="357" t="s">
        <v>63</v>
      </c>
      <c r="F31" s="357"/>
      <c r="G31" s="357"/>
      <c r="H31" s="357" t="s">
        <v>64</v>
      </c>
      <c r="I31" s="357"/>
      <c r="J31" s="357"/>
      <c r="K31" s="357"/>
      <c r="L31" s="384" t="s">
        <v>65</v>
      </c>
      <c r="M31" s="385"/>
      <c r="N31" s="385"/>
      <c r="O31" s="386"/>
    </row>
    <row r="32" spans="2:18" ht="15.75" customHeight="1" x14ac:dyDescent="0.2">
      <c r="B32" s="493"/>
      <c r="C32" s="494"/>
      <c r="D32" s="494"/>
      <c r="E32" s="379" t="s">
        <v>93</v>
      </c>
      <c r="F32" s="380"/>
      <c r="G32" s="380"/>
      <c r="H32" s="501" t="s">
        <v>117</v>
      </c>
      <c r="I32" s="502"/>
      <c r="J32" s="502"/>
      <c r="K32" s="502"/>
      <c r="L32" s="503" t="s">
        <v>92</v>
      </c>
      <c r="M32" s="504"/>
      <c r="N32" s="504"/>
      <c r="O32" s="505"/>
    </row>
    <row r="33" spans="2:15" x14ac:dyDescent="0.2">
      <c r="B33" s="298" t="s">
        <v>66</v>
      </c>
      <c r="C33" s="299"/>
      <c r="D33" s="299"/>
      <c r="E33" s="299"/>
      <c r="F33" s="299"/>
      <c r="G33" s="299"/>
      <c r="H33" s="298" t="s">
        <v>67</v>
      </c>
      <c r="I33" s="299"/>
      <c r="J33" s="299"/>
      <c r="K33" s="299"/>
      <c r="L33" s="299"/>
      <c r="M33" s="299"/>
      <c r="N33" s="299"/>
      <c r="O33" s="301"/>
    </row>
    <row r="34" spans="2:15" s="20" customFormat="1" ht="14.25" x14ac:dyDescent="0.2">
      <c r="B34" s="283" t="s">
        <v>110</v>
      </c>
      <c r="C34" s="284"/>
      <c r="D34" s="284"/>
      <c r="E34" s="284"/>
      <c r="F34" s="284"/>
      <c r="G34" s="284"/>
      <c r="H34" s="328" t="s">
        <v>148</v>
      </c>
      <c r="I34" s="329"/>
      <c r="J34" s="329"/>
      <c r="K34" s="329"/>
      <c r="L34" s="329"/>
      <c r="M34" s="329"/>
      <c r="N34" s="329"/>
      <c r="O34" s="330"/>
    </row>
    <row r="35" spans="2:15" s="20" customFormat="1" ht="14.25" x14ac:dyDescent="0.2">
      <c r="B35" s="283"/>
      <c r="C35" s="284"/>
      <c r="D35" s="284"/>
      <c r="E35" s="284"/>
      <c r="F35" s="284"/>
      <c r="G35" s="284"/>
      <c r="H35" s="331"/>
      <c r="I35" s="332"/>
      <c r="J35" s="332"/>
      <c r="K35" s="332"/>
      <c r="L35" s="332"/>
      <c r="M35" s="332"/>
      <c r="N35" s="332"/>
      <c r="O35" s="333"/>
    </row>
    <row r="36" spans="2:15" x14ac:dyDescent="0.2">
      <c r="B36" s="298" t="s">
        <v>68</v>
      </c>
      <c r="C36" s="299"/>
      <c r="D36" s="314"/>
      <c r="E36" s="314"/>
      <c r="F36" s="314"/>
      <c r="G36" s="314"/>
      <c r="H36" s="299"/>
      <c r="I36" s="299"/>
      <c r="J36" s="299"/>
      <c r="K36" s="299"/>
      <c r="L36" s="299"/>
      <c r="M36" s="299"/>
      <c r="N36" s="299"/>
      <c r="O36" s="301"/>
    </row>
    <row r="37" spans="2:15" x14ac:dyDescent="0.2">
      <c r="B37" s="154" t="s">
        <v>69</v>
      </c>
      <c r="C37" s="154" t="s">
        <v>142</v>
      </c>
      <c r="D37" s="155" t="s">
        <v>143</v>
      </c>
      <c r="E37" s="486"/>
      <c r="F37" s="487"/>
      <c r="G37" s="487"/>
      <c r="H37" s="487"/>
      <c r="I37" s="487"/>
      <c r="J37" s="487"/>
      <c r="K37" s="487"/>
      <c r="L37" s="487"/>
      <c r="M37" s="487"/>
      <c r="N37" s="487"/>
      <c r="O37" s="164"/>
    </row>
    <row r="38" spans="2:15" x14ac:dyDescent="0.2">
      <c r="B38" s="157" t="s">
        <v>70</v>
      </c>
      <c r="C38" s="158"/>
      <c r="D38" s="158"/>
      <c r="E38" s="488"/>
      <c r="F38" s="489"/>
      <c r="G38" s="489"/>
      <c r="H38" s="489"/>
      <c r="I38" s="489"/>
      <c r="J38" s="489"/>
      <c r="K38" s="489"/>
      <c r="L38" s="489"/>
      <c r="M38" s="489"/>
      <c r="N38" s="489"/>
      <c r="O38" s="143"/>
    </row>
    <row r="39" spans="2:15" x14ac:dyDescent="0.2">
      <c r="B39" s="157" t="s">
        <v>71</v>
      </c>
      <c r="C39" s="158"/>
      <c r="D39" s="158"/>
      <c r="E39" s="488"/>
      <c r="F39" s="489"/>
      <c r="G39" s="489"/>
      <c r="H39" s="489"/>
      <c r="I39" s="489"/>
      <c r="J39" s="489"/>
      <c r="K39" s="489"/>
      <c r="L39" s="489"/>
      <c r="M39" s="489"/>
      <c r="N39" s="489"/>
      <c r="O39" s="143"/>
    </row>
    <row r="40" spans="2:15" x14ac:dyDescent="0.2">
      <c r="B40" s="157" t="s">
        <v>72</v>
      </c>
      <c r="C40" s="165">
        <v>1</v>
      </c>
      <c r="D40" s="165"/>
      <c r="E40" s="488"/>
      <c r="F40" s="489"/>
      <c r="G40" s="489"/>
      <c r="H40" s="489"/>
      <c r="I40" s="489"/>
      <c r="J40" s="489"/>
      <c r="K40" s="489"/>
      <c r="L40" s="489"/>
      <c r="M40" s="489"/>
      <c r="N40" s="489"/>
      <c r="O40" s="143"/>
    </row>
    <row r="41" spans="2:15" ht="24" customHeight="1" x14ac:dyDescent="0.2">
      <c r="B41" s="223" t="s">
        <v>73</v>
      </c>
      <c r="C41" s="224"/>
      <c r="D41" s="224"/>
      <c r="E41" s="490"/>
      <c r="F41" s="491"/>
      <c r="G41" s="491"/>
      <c r="H41" s="491"/>
      <c r="I41" s="491"/>
      <c r="J41" s="491"/>
      <c r="K41" s="491"/>
      <c r="L41" s="491"/>
      <c r="M41" s="491"/>
      <c r="N41" s="491"/>
      <c r="O41" s="143"/>
    </row>
    <row r="42" spans="2:15" ht="18" customHeight="1" x14ac:dyDescent="0.2">
      <c r="B42" s="479" t="s">
        <v>74</v>
      </c>
      <c r="C42" s="479"/>
      <c r="D42" s="479"/>
      <c r="E42" s="479"/>
      <c r="F42" s="479"/>
      <c r="G42" s="479"/>
      <c r="H42" s="479"/>
      <c r="I42" s="479"/>
      <c r="J42" s="479"/>
      <c r="K42" s="479"/>
      <c r="L42" s="479"/>
      <c r="M42" s="479"/>
      <c r="N42" s="479"/>
      <c r="O42" s="479"/>
    </row>
    <row r="43" spans="2:15" x14ac:dyDescent="0.2">
      <c r="B43" s="16"/>
      <c r="C43" s="17"/>
      <c r="D43" s="17"/>
      <c r="E43" s="17"/>
      <c r="F43" s="17"/>
      <c r="G43" s="17"/>
      <c r="H43" s="17"/>
      <c r="I43" s="17"/>
      <c r="J43" s="17"/>
      <c r="K43" s="17"/>
      <c r="L43" s="17"/>
      <c r="M43" s="17"/>
      <c r="N43" s="17"/>
      <c r="O43" s="11"/>
    </row>
    <row r="44" spans="2:15" x14ac:dyDescent="0.2">
      <c r="B44" s="16"/>
      <c r="C44" s="17"/>
      <c r="D44" s="17"/>
      <c r="E44" s="17"/>
      <c r="F44" s="17"/>
      <c r="G44" s="17"/>
      <c r="H44" s="17"/>
      <c r="I44" s="17"/>
      <c r="J44" s="17"/>
      <c r="K44" s="17"/>
      <c r="L44" s="17"/>
      <c r="M44" s="17"/>
      <c r="N44" s="17"/>
      <c r="O44" s="11"/>
    </row>
    <row r="45" spans="2:15" x14ac:dyDescent="0.2">
      <c r="B45" s="16"/>
      <c r="C45" s="17"/>
      <c r="D45" s="17"/>
      <c r="E45" s="17"/>
      <c r="F45" s="17"/>
      <c r="G45" s="17"/>
      <c r="H45" s="17"/>
      <c r="I45" s="17"/>
      <c r="J45" s="17"/>
      <c r="K45" s="17"/>
      <c r="L45" s="17"/>
      <c r="M45" s="17"/>
      <c r="N45" s="17"/>
      <c r="O45" s="11"/>
    </row>
    <row r="46" spans="2:15" x14ac:dyDescent="0.2">
      <c r="B46" s="16"/>
      <c r="C46" s="17"/>
      <c r="D46" s="17"/>
      <c r="E46" s="17"/>
      <c r="F46" s="17"/>
      <c r="G46" s="17"/>
      <c r="H46" s="17"/>
      <c r="I46" s="17"/>
      <c r="J46" s="17"/>
      <c r="K46" s="17"/>
      <c r="L46" s="17"/>
      <c r="M46" s="17"/>
      <c r="N46" s="17"/>
      <c r="O46" s="11"/>
    </row>
    <row r="47" spans="2:15" x14ac:dyDescent="0.2">
      <c r="B47" s="16"/>
      <c r="C47" s="17"/>
      <c r="D47" s="17"/>
      <c r="E47" s="17"/>
      <c r="F47" s="17"/>
      <c r="G47" s="17"/>
      <c r="H47" s="17"/>
      <c r="I47" s="17"/>
      <c r="J47" s="17"/>
      <c r="K47" s="17"/>
      <c r="L47" s="17"/>
      <c r="M47" s="17"/>
      <c r="N47" s="17"/>
      <c r="O47" s="11"/>
    </row>
    <row r="48" spans="2:15" x14ac:dyDescent="0.2">
      <c r="B48" s="16"/>
      <c r="C48" s="17"/>
      <c r="D48" s="17"/>
      <c r="E48" s="17"/>
      <c r="F48" s="17"/>
      <c r="G48" s="17"/>
      <c r="H48" s="17"/>
      <c r="I48" s="17"/>
      <c r="J48" s="17"/>
      <c r="K48" s="17"/>
      <c r="L48" s="17"/>
      <c r="M48" s="17"/>
      <c r="N48" s="17"/>
      <c r="O48" s="11"/>
    </row>
    <row r="49" spans="2:15" x14ac:dyDescent="0.2">
      <c r="B49" s="16"/>
      <c r="C49" s="17"/>
      <c r="D49" s="17"/>
      <c r="E49" s="17"/>
      <c r="F49" s="17"/>
      <c r="G49" s="17"/>
      <c r="H49" s="17"/>
      <c r="I49" s="17"/>
      <c r="J49" s="17"/>
      <c r="K49" s="17"/>
      <c r="L49" s="17"/>
      <c r="M49" s="17"/>
      <c r="N49" s="17"/>
      <c r="O49" s="11"/>
    </row>
    <row r="50" spans="2:15" x14ac:dyDescent="0.2">
      <c r="B50" s="16"/>
      <c r="C50" s="17"/>
      <c r="D50" s="17"/>
      <c r="E50" s="17"/>
      <c r="F50" s="17"/>
      <c r="G50" s="17"/>
      <c r="H50" s="17"/>
      <c r="I50" s="17"/>
      <c r="J50" s="17"/>
      <c r="K50" s="17"/>
      <c r="L50" s="17"/>
      <c r="M50" s="17"/>
      <c r="N50" s="17"/>
      <c r="O50" s="11"/>
    </row>
    <row r="51" spans="2:15" x14ac:dyDescent="0.2">
      <c r="B51" s="16"/>
      <c r="C51" s="17"/>
      <c r="D51" s="17"/>
      <c r="E51" s="17"/>
      <c r="F51" s="17"/>
      <c r="G51" s="17"/>
      <c r="H51" s="17"/>
      <c r="I51" s="17"/>
      <c r="J51" s="17"/>
      <c r="K51" s="17"/>
      <c r="L51" s="17"/>
      <c r="M51" s="17"/>
      <c r="N51" s="17"/>
      <c r="O51" s="11"/>
    </row>
    <row r="52" spans="2:15" x14ac:dyDescent="0.2">
      <c r="B52" s="16"/>
      <c r="C52" s="17"/>
      <c r="D52" s="17"/>
      <c r="E52" s="17"/>
      <c r="F52" s="17"/>
      <c r="G52" s="17"/>
      <c r="H52" s="17"/>
      <c r="I52" s="17"/>
      <c r="J52" s="17"/>
      <c r="K52" s="17"/>
      <c r="L52" s="17"/>
      <c r="M52" s="17"/>
      <c r="N52" s="17"/>
      <c r="O52" s="11"/>
    </row>
    <row r="53" spans="2:15" x14ac:dyDescent="0.2">
      <c r="B53" s="16"/>
      <c r="C53" s="17"/>
      <c r="D53" s="17"/>
      <c r="E53" s="17"/>
      <c r="F53" s="17"/>
      <c r="G53" s="17"/>
      <c r="H53" s="17"/>
      <c r="I53" s="17"/>
      <c r="J53" s="17"/>
      <c r="K53" s="17"/>
      <c r="L53" s="17"/>
      <c r="M53" s="17"/>
      <c r="N53" s="17"/>
      <c r="O53" s="11"/>
    </row>
    <row r="54" spans="2:15" x14ac:dyDescent="0.2">
      <c r="B54" s="315"/>
      <c r="C54" s="316"/>
      <c r="D54" s="316"/>
      <c r="E54" s="316"/>
      <c r="F54" s="316"/>
      <c r="G54" s="316"/>
      <c r="H54" s="316"/>
      <c r="I54" s="316"/>
      <c r="J54" s="316"/>
      <c r="K54" s="316"/>
      <c r="L54" s="316"/>
      <c r="M54" s="316"/>
      <c r="N54" s="316"/>
      <c r="O54" s="11"/>
    </row>
    <row r="55" spans="2:15" x14ac:dyDescent="0.2">
      <c r="B55" s="16"/>
      <c r="C55" s="17"/>
      <c r="D55" s="17"/>
      <c r="E55" s="17"/>
      <c r="F55" s="17"/>
      <c r="G55" s="17"/>
      <c r="H55" s="17"/>
      <c r="I55" s="17"/>
      <c r="J55" s="17"/>
      <c r="K55" s="17"/>
      <c r="L55" s="17"/>
      <c r="M55" s="17"/>
      <c r="N55" s="17"/>
      <c r="O55" s="11"/>
    </row>
    <row r="56" spans="2:15" x14ac:dyDescent="0.2">
      <c r="B56" s="16"/>
      <c r="C56" s="17"/>
      <c r="D56" s="17"/>
      <c r="E56" s="17"/>
      <c r="F56" s="17"/>
      <c r="G56" s="17"/>
      <c r="H56" s="17"/>
      <c r="I56" s="17"/>
      <c r="J56" s="17"/>
      <c r="K56" s="17"/>
      <c r="L56" s="17"/>
      <c r="M56" s="17"/>
      <c r="N56" s="17"/>
      <c r="O56" s="11"/>
    </row>
    <row r="57" spans="2:15" x14ac:dyDescent="0.2">
      <c r="B57" s="16"/>
      <c r="C57" s="17"/>
      <c r="D57" s="17"/>
      <c r="E57" s="17"/>
      <c r="F57" s="17"/>
      <c r="G57" s="17"/>
      <c r="H57" s="17"/>
      <c r="I57" s="17"/>
      <c r="J57" s="17"/>
      <c r="K57" s="17"/>
      <c r="L57" s="17"/>
      <c r="M57" s="17"/>
      <c r="N57" s="17"/>
      <c r="O57" s="11"/>
    </row>
    <row r="58" spans="2:15" x14ac:dyDescent="0.2">
      <c r="B58" s="16"/>
      <c r="C58" s="17"/>
      <c r="D58" s="17"/>
      <c r="E58" s="17"/>
      <c r="F58" s="17"/>
      <c r="G58" s="17"/>
      <c r="H58" s="17"/>
      <c r="I58" s="17"/>
      <c r="J58" s="17"/>
      <c r="K58" s="17"/>
      <c r="L58" s="17"/>
      <c r="M58" s="17"/>
      <c r="N58" s="17"/>
      <c r="O58" s="11"/>
    </row>
    <row r="59" spans="2:15" x14ac:dyDescent="0.2">
      <c r="B59" s="16"/>
      <c r="C59" s="17"/>
      <c r="D59" s="17"/>
      <c r="F59" s="17"/>
      <c r="G59" s="17"/>
      <c r="H59" s="17"/>
      <c r="I59" s="17"/>
      <c r="J59" s="17"/>
      <c r="K59" s="17"/>
      <c r="L59" s="17"/>
      <c r="M59" s="17"/>
      <c r="N59" s="17"/>
      <c r="O59" s="11"/>
    </row>
    <row r="60" spans="2:15" x14ac:dyDescent="0.2">
      <c r="B60" s="16"/>
      <c r="C60" s="17"/>
      <c r="D60" s="17"/>
      <c r="F60" s="17"/>
      <c r="G60" s="17"/>
      <c r="H60" s="17"/>
      <c r="I60" s="17"/>
      <c r="J60" s="17"/>
      <c r="K60" s="17"/>
      <c r="L60" s="17"/>
      <c r="M60" s="17"/>
      <c r="N60" s="17"/>
      <c r="O60" s="11"/>
    </row>
    <row r="61" spans="2:15" x14ac:dyDescent="0.2">
      <c r="B61" s="16"/>
      <c r="C61" s="17"/>
      <c r="D61" s="17"/>
      <c r="F61" s="17"/>
      <c r="G61" s="17"/>
      <c r="H61" s="17"/>
      <c r="I61" s="17"/>
      <c r="J61" s="17"/>
      <c r="K61" s="17"/>
      <c r="L61" s="17"/>
      <c r="M61" s="17"/>
      <c r="N61" s="17"/>
      <c r="O61" s="11"/>
    </row>
    <row r="62" spans="2:15" x14ac:dyDescent="0.2">
      <c r="B62" s="16"/>
      <c r="C62" s="17"/>
      <c r="D62" s="17"/>
      <c r="F62" s="17"/>
      <c r="G62" s="17"/>
      <c r="H62" s="17"/>
      <c r="I62" s="17"/>
      <c r="J62" s="17"/>
      <c r="K62" s="17"/>
      <c r="L62" s="17"/>
      <c r="M62" s="17"/>
      <c r="N62" s="17"/>
      <c r="O62" s="11"/>
    </row>
    <row r="63" spans="2:15" x14ac:dyDescent="0.2">
      <c r="B63" s="16"/>
      <c r="C63" s="17"/>
      <c r="D63" s="17"/>
      <c r="E63" s="17"/>
      <c r="F63" s="17"/>
      <c r="G63" s="17"/>
      <c r="H63" s="17"/>
      <c r="I63" s="17"/>
      <c r="J63" s="17"/>
      <c r="K63" s="17"/>
      <c r="L63" s="17"/>
      <c r="M63" s="17"/>
      <c r="N63" s="17"/>
      <c r="O63" s="11"/>
    </row>
    <row r="64" spans="2:15" x14ac:dyDescent="0.2">
      <c r="B64" s="16"/>
      <c r="C64" s="17"/>
      <c r="D64" s="17"/>
      <c r="E64" s="17"/>
      <c r="F64" s="17"/>
      <c r="G64" s="17"/>
      <c r="H64" s="17"/>
      <c r="I64" s="17"/>
      <c r="J64" s="17"/>
      <c r="K64" s="17"/>
      <c r="L64" s="17"/>
      <c r="M64" s="17"/>
      <c r="N64" s="17"/>
      <c r="O64" s="11"/>
    </row>
    <row r="65" spans="2:16" x14ac:dyDescent="0.2">
      <c r="B65" s="16"/>
      <c r="C65" s="17"/>
      <c r="D65" s="17"/>
      <c r="E65" s="17"/>
      <c r="F65" s="17"/>
      <c r="G65" s="17"/>
      <c r="H65" s="17"/>
      <c r="I65" s="17"/>
      <c r="J65" s="17"/>
      <c r="K65" s="17"/>
      <c r="L65" s="17"/>
      <c r="M65" s="17"/>
      <c r="N65" s="17"/>
      <c r="P65" s="106"/>
    </row>
    <row r="66" spans="2:16" ht="43.5" customHeight="1" x14ac:dyDescent="0.2">
      <c r="B66" s="138" t="s">
        <v>119</v>
      </c>
      <c r="C66" s="225" t="s">
        <v>123</v>
      </c>
      <c r="D66" s="225" t="s">
        <v>124</v>
      </c>
      <c r="E66" s="139" t="s">
        <v>118</v>
      </c>
      <c r="F66" s="103"/>
      <c r="G66" s="17"/>
      <c r="H66" s="17"/>
      <c r="I66" s="17"/>
      <c r="J66" s="17"/>
      <c r="K66" s="17"/>
      <c r="L66" s="17"/>
      <c r="P66" s="106"/>
    </row>
    <row r="67" spans="2:16" x14ac:dyDescent="0.2">
      <c r="B67" s="101" t="s">
        <v>142</v>
      </c>
      <c r="C67" s="133">
        <v>8</v>
      </c>
      <c r="D67" s="133">
        <v>8</v>
      </c>
      <c r="E67" s="134">
        <f>+C67/D67</f>
        <v>1</v>
      </c>
      <c r="F67" s="104"/>
      <c r="G67" s="17"/>
      <c r="H67" s="17"/>
      <c r="I67" s="17"/>
      <c r="J67" s="17"/>
      <c r="K67" s="17"/>
      <c r="L67" s="17"/>
      <c r="P67" s="106"/>
    </row>
    <row r="68" spans="2:16" x14ac:dyDescent="0.2">
      <c r="B68" s="101" t="s">
        <v>143</v>
      </c>
      <c r="C68" s="133"/>
      <c r="D68" s="133"/>
      <c r="E68" s="134"/>
      <c r="F68" s="104"/>
      <c r="G68" s="17"/>
      <c r="H68" s="17"/>
      <c r="I68" s="17"/>
      <c r="J68" s="17"/>
      <c r="K68" s="17"/>
      <c r="L68" s="17"/>
      <c r="P68" s="106"/>
    </row>
    <row r="69" spans="2:16" x14ac:dyDescent="0.2">
      <c r="B69" s="102" t="s">
        <v>120</v>
      </c>
      <c r="C69" s="105">
        <f>SUM(C67:C68)</f>
        <v>8</v>
      </c>
      <c r="D69" s="105">
        <f>SUM(D67:D68)</f>
        <v>8</v>
      </c>
      <c r="E69" s="134">
        <f>+C69/D69</f>
        <v>1</v>
      </c>
      <c r="F69" s="104"/>
      <c r="G69" s="17"/>
      <c r="H69" s="17"/>
      <c r="I69" s="17"/>
      <c r="J69" s="17"/>
      <c r="K69" s="17"/>
      <c r="L69" s="17"/>
      <c r="P69" s="106"/>
    </row>
    <row r="70" spans="2:16" x14ac:dyDescent="0.2">
      <c r="B70" s="16"/>
      <c r="C70" s="17"/>
      <c r="D70" s="17"/>
      <c r="E70" s="17"/>
      <c r="F70" s="17"/>
      <c r="G70" s="17"/>
      <c r="H70" s="17"/>
      <c r="I70" s="17"/>
      <c r="J70" s="17"/>
      <c r="K70" s="17"/>
      <c r="L70" s="17"/>
      <c r="M70" s="17"/>
      <c r="N70" s="17"/>
      <c r="P70" s="106"/>
    </row>
    <row r="71" spans="2:16" x14ac:dyDescent="0.2">
      <c r="B71" s="16"/>
      <c r="C71" s="17"/>
      <c r="D71" s="17"/>
      <c r="E71" s="17"/>
      <c r="F71" s="17"/>
      <c r="G71" s="17"/>
      <c r="H71" s="17"/>
      <c r="I71" s="17"/>
      <c r="J71" s="17"/>
      <c r="K71" s="17"/>
      <c r="L71" s="17"/>
      <c r="M71" s="17"/>
      <c r="N71" s="17"/>
      <c r="O71" s="11"/>
    </row>
    <row r="72" spans="2:16" x14ac:dyDescent="0.2">
      <c r="B72" s="16"/>
      <c r="C72" s="17"/>
      <c r="D72" s="17"/>
      <c r="E72" s="17"/>
      <c r="F72" s="17"/>
      <c r="G72" s="17"/>
      <c r="H72" s="17"/>
      <c r="I72" s="17"/>
      <c r="J72" s="17"/>
      <c r="K72" s="17"/>
      <c r="L72" s="17"/>
      <c r="M72" s="17"/>
      <c r="N72" s="17"/>
      <c r="O72" s="11"/>
    </row>
    <row r="73" spans="2:16" x14ac:dyDescent="0.2">
      <c r="B73" s="16"/>
      <c r="C73" s="17"/>
      <c r="D73" s="17"/>
      <c r="E73" s="17"/>
      <c r="F73" s="17"/>
      <c r="G73" s="17"/>
      <c r="H73" s="17"/>
      <c r="I73" s="17"/>
      <c r="J73" s="17"/>
      <c r="K73" s="17"/>
      <c r="L73" s="17"/>
      <c r="M73" s="17"/>
      <c r="N73" s="17"/>
      <c r="O73" s="11"/>
    </row>
    <row r="74" spans="2:16" x14ac:dyDescent="0.2">
      <c r="B74" s="16"/>
      <c r="C74" s="17"/>
      <c r="D74" s="17"/>
      <c r="E74" s="17"/>
      <c r="F74" s="17"/>
      <c r="G74" s="17"/>
      <c r="H74" s="17"/>
      <c r="I74" s="17"/>
      <c r="J74" s="17"/>
      <c r="K74" s="17"/>
      <c r="L74" s="17"/>
      <c r="M74" s="17"/>
      <c r="N74" s="17"/>
      <c r="O74" s="11"/>
    </row>
    <row r="75" spans="2:16" x14ac:dyDescent="0.2">
      <c r="B75" s="16"/>
      <c r="C75" s="17"/>
      <c r="D75" s="17"/>
      <c r="E75" s="17"/>
      <c r="F75" s="17"/>
      <c r="G75" s="17"/>
      <c r="H75" s="17"/>
      <c r="I75" s="17"/>
      <c r="J75" s="17"/>
      <c r="K75" s="17"/>
      <c r="L75" s="17"/>
      <c r="M75" s="17"/>
      <c r="N75" s="17"/>
      <c r="O75" s="11"/>
    </row>
    <row r="76" spans="2:16" x14ac:dyDescent="0.2">
      <c r="B76" s="16"/>
      <c r="C76" s="17"/>
      <c r="D76" s="17"/>
      <c r="E76" s="17"/>
      <c r="F76" s="17"/>
      <c r="G76" s="17"/>
      <c r="H76" s="17"/>
      <c r="I76" s="17"/>
      <c r="J76" s="17"/>
      <c r="K76" s="17"/>
      <c r="L76" s="17"/>
      <c r="M76" s="17"/>
      <c r="N76" s="17"/>
      <c r="O76" s="11"/>
    </row>
    <row r="77" spans="2:16" x14ac:dyDescent="0.2">
      <c r="B77" s="16"/>
      <c r="C77" s="17"/>
      <c r="D77" s="17"/>
      <c r="E77" s="17"/>
      <c r="F77" s="17"/>
      <c r="G77" s="17"/>
      <c r="H77" s="17"/>
      <c r="I77" s="17"/>
      <c r="J77" s="17"/>
      <c r="K77" s="17"/>
      <c r="L77" s="17"/>
      <c r="M77" s="17"/>
      <c r="N77" s="17"/>
      <c r="O77" s="11"/>
    </row>
    <row r="78" spans="2:16" x14ac:dyDescent="0.2">
      <c r="B78" s="16"/>
      <c r="C78" s="17"/>
      <c r="D78" s="17"/>
      <c r="E78" s="17"/>
      <c r="F78" s="17"/>
      <c r="G78" s="17"/>
      <c r="H78" s="17"/>
      <c r="I78" s="17"/>
      <c r="J78" s="17"/>
      <c r="K78" s="17"/>
      <c r="L78" s="17"/>
      <c r="M78" s="17"/>
      <c r="N78" s="17"/>
      <c r="O78" s="11"/>
    </row>
    <row r="79" spans="2:16" x14ac:dyDescent="0.2">
      <c r="B79" s="16"/>
      <c r="C79" s="17"/>
      <c r="D79" s="17"/>
      <c r="E79" s="17"/>
      <c r="F79" s="17"/>
      <c r="G79" s="17"/>
      <c r="H79" s="17"/>
      <c r="I79" s="17"/>
      <c r="J79" s="17"/>
      <c r="K79" s="17"/>
      <c r="L79" s="17"/>
      <c r="M79" s="17"/>
      <c r="N79" s="17"/>
      <c r="O79" s="13"/>
    </row>
    <row r="80" spans="2:16" x14ac:dyDescent="0.2">
      <c r="B80" s="480"/>
      <c r="C80" s="481"/>
      <c r="D80" s="481"/>
      <c r="E80" s="481"/>
      <c r="F80" s="481"/>
      <c r="G80" s="481"/>
      <c r="H80" s="481"/>
      <c r="I80" s="481"/>
      <c r="J80" s="481"/>
      <c r="K80" s="481"/>
      <c r="L80" s="481"/>
      <c r="M80" s="481"/>
      <c r="N80" s="482"/>
      <c r="O80" s="100"/>
      <c r="P80" s="99"/>
    </row>
    <row r="81" spans="2:14" ht="7.5" customHeight="1" x14ac:dyDescent="0.2">
      <c r="B81" s="289" t="s">
        <v>75</v>
      </c>
      <c r="C81" s="289"/>
      <c r="D81" s="289"/>
      <c r="E81" s="289"/>
      <c r="F81" s="289"/>
      <c r="G81" s="289"/>
      <c r="H81" s="289"/>
      <c r="I81" s="289"/>
      <c r="J81" s="289"/>
      <c r="K81" s="289"/>
      <c r="L81" s="289"/>
      <c r="M81" s="289"/>
      <c r="N81" s="289"/>
    </row>
    <row r="82" spans="2:14" ht="9.75" customHeight="1" x14ac:dyDescent="0.2">
      <c r="B82" s="289"/>
      <c r="C82" s="289"/>
      <c r="D82" s="289"/>
      <c r="E82" s="289"/>
      <c r="F82" s="289"/>
      <c r="G82" s="289"/>
      <c r="H82" s="289"/>
      <c r="I82" s="289"/>
      <c r="J82" s="289"/>
      <c r="K82" s="289"/>
      <c r="L82" s="289"/>
      <c r="M82" s="289"/>
      <c r="N82" s="289"/>
    </row>
    <row r="83" spans="2:14" ht="12.75" customHeight="1" x14ac:dyDescent="0.2">
      <c r="B83" s="21" t="s">
        <v>69</v>
      </c>
      <c r="C83" s="286" t="s">
        <v>76</v>
      </c>
      <c r="D83" s="302"/>
      <c r="E83" s="302"/>
      <c r="F83" s="302"/>
      <c r="G83" s="303"/>
      <c r="H83" s="286" t="s">
        <v>77</v>
      </c>
      <c r="I83" s="287"/>
      <c r="J83" s="287"/>
      <c r="K83" s="287"/>
      <c r="L83" s="287"/>
      <c r="M83" s="287"/>
      <c r="N83" s="288"/>
    </row>
    <row r="84" spans="2:14" ht="12.75" customHeight="1" x14ac:dyDescent="0.2">
      <c r="B84" s="290" t="s">
        <v>146</v>
      </c>
      <c r="C84" s="22"/>
      <c r="D84" s="22"/>
      <c r="E84" s="22"/>
      <c r="F84" s="22"/>
      <c r="G84" s="23"/>
      <c r="H84" s="24" t="s">
        <v>78</v>
      </c>
      <c r="I84" s="24"/>
      <c r="J84" s="24"/>
      <c r="K84" s="24"/>
      <c r="L84" s="25"/>
      <c r="M84" s="26"/>
      <c r="N84" s="9"/>
    </row>
    <row r="85" spans="2:14" x14ac:dyDescent="0.2">
      <c r="B85" s="291"/>
      <c r="C85" s="483" t="s">
        <v>173</v>
      </c>
      <c r="D85" s="484"/>
      <c r="E85" s="484"/>
      <c r="F85" s="484"/>
      <c r="G85" s="485"/>
      <c r="H85" s="334" t="s">
        <v>104</v>
      </c>
      <c r="I85" s="334"/>
      <c r="J85" s="334" t="s">
        <v>105</v>
      </c>
      <c r="K85" s="334"/>
      <c r="L85" s="334"/>
      <c r="M85" s="335" t="s">
        <v>97</v>
      </c>
      <c r="N85" s="335"/>
    </row>
    <row r="86" spans="2:14" x14ac:dyDescent="0.2">
      <c r="B86" s="291"/>
      <c r="C86" s="483"/>
      <c r="D86" s="484"/>
      <c r="E86" s="484"/>
      <c r="F86" s="484"/>
      <c r="G86" s="485"/>
      <c r="H86" s="313"/>
      <c r="I86" s="310"/>
      <c r="J86" s="310"/>
      <c r="K86" s="310"/>
      <c r="L86" s="310"/>
      <c r="M86" s="285"/>
      <c r="N86" s="285"/>
    </row>
    <row r="87" spans="2:14" x14ac:dyDescent="0.2">
      <c r="B87" s="291"/>
      <c r="C87" s="483"/>
      <c r="D87" s="484"/>
      <c r="E87" s="484"/>
      <c r="F87" s="484"/>
      <c r="G87" s="485"/>
      <c r="H87" s="310"/>
      <c r="I87" s="310"/>
      <c r="J87" s="310"/>
      <c r="K87" s="310"/>
      <c r="L87" s="310"/>
      <c r="M87" s="285"/>
      <c r="N87" s="285"/>
    </row>
    <row r="88" spans="2:14" x14ac:dyDescent="0.2">
      <c r="B88" s="291"/>
      <c r="C88" s="483"/>
      <c r="D88" s="484"/>
      <c r="E88" s="484"/>
      <c r="F88" s="484"/>
      <c r="G88" s="485"/>
      <c r="H88" s="310"/>
      <c r="I88" s="310"/>
      <c r="J88" s="310"/>
      <c r="K88" s="310"/>
      <c r="L88" s="310"/>
      <c r="M88" s="285"/>
      <c r="N88" s="285"/>
    </row>
    <row r="89" spans="2:14" x14ac:dyDescent="0.2">
      <c r="B89" s="291"/>
      <c r="C89" s="483"/>
      <c r="D89" s="484"/>
      <c r="E89" s="484"/>
      <c r="F89" s="484"/>
      <c r="G89" s="485"/>
      <c r="H89" s="310"/>
      <c r="I89" s="310"/>
      <c r="J89" s="310"/>
      <c r="K89" s="310"/>
      <c r="L89" s="310"/>
      <c r="M89" s="285"/>
      <c r="N89" s="285"/>
    </row>
    <row r="90" spans="2:14" x14ac:dyDescent="0.2">
      <c r="B90" s="291"/>
      <c r="C90" s="30"/>
      <c r="D90" s="30"/>
      <c r="E90" s="30"/>
      <c r="F90" s="30"/>
      <c r="G90" s="31"/>
      <c r="H90" s="32"/>
      <c r="I90" s="28"/>
      <c r="J90" s="25"/>
      <c r="K90" s="25"/>
      <c r="L90" s="25"/>
      <c r="M90" s="26"/>
      <c r="N90" s="11"/>
    </row>
    <row r="91" spans="2:14" ht="17.25" customHeight="1" x14ac:dyDescent="0.2">
      <c r="B91" s="291"/>
      <c r="C91" s="30"/>
      <c r="D91" s="30"/>
      <c r="E91" s="30"/>
      <c r="F91" s="30"/>
      <c r="G91" s="31"/>
      <c r="H91" s="35"/>
      <c r="I91" s="28"/>
      <c r="J91" s="28"/>
      <c r="K91" s="28"/>
      <c r="L91" s="28"/>
      <c r="M91" s="29"/>
      <c r="N91" s="11"/>
    </row>
    <row r="92" spans="2:14" ht="3.75" customHeight="1" x14ac:dyDescent="0.2">
      <c r="B92" s="291"/>
      <c r="C92" s="30"/>
      <c r="D92" s="30"/>
      <c r="E92" s="30"/>
      <c r="F92" s="30"/>
      <c r="G92" s="31"/>
      <c r="H92" s="36"/>
      <c r="I92" s="33"/>
      <c r="J92" s="33"/>
      <c r="K92" s="33"/>
      <c r="L92" s="33"/>
      <c r="M92" s="34"/>
      <c r="N92" s="13"/>
    </row>
    <row r="93" spans="2:14" ht="4.5" customHeight="1" x14ac:dyDescent="0.2">
      <c r="B93" s="291"/>
      <c r="C93" s="30"/>
      <c r="D93" s="30"/>
      <c r="E93" s="30"/>
      <c r="F93" s="30"/>
      <c r="G93" s="31"/>
      <c r="H93" s="28"/>
      <c r="I93" s="28"/>
      <c r="J93" s="28"/>
      <c r="K93" s="28"/>
      <c r="L93" s="28"/>
      <c r="M93" s="29"/>
      <c r="N93" s="11"/>
    </row>
    <row r="94" spans="2:14" x14ac:dyDescent="0.2">
      <c r="B94" s="291"/>
      <c r="C94" s="37"/>
      <c r="D94" s="30"/>
      <c r="E94" s="27"/>
      <c r="F94" s="27"/>
      <c r="G94" s="38"/>
      <c r="H94" s="37" t="s">
        <v>79</v>
      </c>
      <c r="J94" s="32" t="s">
        <v>80</v>
      </c>
      <c r="K94" s="39"/>
      <c r="L94" s="40"/>
      <c r="M94" s="29"/>
      <c r="N94" s="41"/>
    </row>
    <row r="95" spans="2:14" ht="3" customHeight="1" x14ac:dyDescent="0.2">
      <c r="B95" s="291"/>
      <c r="C95" s="37"/>
      <c r="D95" s="30"/>
      <c r="E95" s="27"/>
      <c r="F95" s="27"/>
      <c r="G95" s="38"/>
      <c r="H95" s="37"/>
      <c r="J95" s="32"/>
      <c r="K95" s="39"/>
      <c r="L95" s="42"/>
      <c r="M95" s="29"/>
      <c r="N95" s="41"/>
    </row>
    <row r="96" spans="2:14" x14ac:dyDescent="0.2">
      <c r="B96" s="291"/>
      <c r="C96" s="37" t="s">
        <v>81</v>
      </c>
      <c r="D96" s="30"/>
      <c r="E96" s="119" t="s">
        <v>156</v>
      </c>
      <c r="F96" s="43"/>
      <c r="G96" s="44"/>
      <c r="H96" s="37"/>
      <c r="J96" s="32"/>
      <c r="K96" s="39"/>
      <c r="L96" s="42"/>
      <c r="M96" s="29"/>
      <c r="N96" s="41"/>
    </row>
    <row r="97" spans="2:15" ht="4.5" customHeight="1" x14ac:dyDescent="0.2">
      <c r="B97" s="291"/>
      <c r="C97" s="30"/>
      <c r="D97" s="30"/>
      <c r="E97" s="120"/>
      <c r="F97" s="22"/>
      <c r="G97" s="45"/>
      <c r="H97" s="37"/>
      <c r="J97" s="32"/>
      <c r="K97" s="39"/>
      <c r="L97" s="46"/>
      <c r="M97" s="29"/>
      <c r="N97" s="41"/>
    </row>
    <row r="98" spans="2:15" ht="14.25" customHeight="1" x14ac:dyDescent="0.2">
      <c r="B98" s="291"/>
      <c r="C98" s="30" t="s">
        <v>82</v>
      </c>
      <c r="D98" s="30"/>
      <c r="E98" s="135">
        <v>45840</v>
      </c>
      <c r="F98" s="126"/>
      <c r="G98" s="44"/>
      <c r="H98" s="37"/>
      <c r="I98" s="326" t="s">
        <v>103</v>
      </c>
      <c r="J98" s="326"/>
      <c r="K98" s="327"/>
      <c r="L98" s="40"/>
      <c r="M98" s="29"/>
      <c r="N98" s="41"/>
    </row>
    <row r="99" spans="2:15" ht="4.5" customHeight="1" x14ac:dyDescent="0.2">
      <c r="B99" s="47"/>
      <c r="C99" s="48"/>
      <c r="D99" s="48"/>
      <c r="E99" s="48"/>
      <c r="F99" s="48"/>
      <c r="G99" s="52"/>
      <c r="H99" s="49"/>
      <c r="I99" s="49"/>
      <c r="J99" s="49"/>
      <c r="K99" s="46"/>
      <c r="L99" s="33"/>
      <c r="M99" s="34"/>
      <c r="N99" s="50"/>
    </row>
    <row r="100" spans="2:15" x14ac:dyDescent="0.2">
      <c r="B100" s="21" t="s">
        <v>69</v>
      </c>
      <c r="C100" s="286" t="s">
        <v>76</v>
      </c>
      <c r="D100" s="302"/>
      <c r="E100" s="302"/>
      <c r="F100" s="302"/>
      <c r="G100" s="303"/>
      <c r="H100" s="286" t="s">
        <v>77</v>
      </c>
      <c r="I100" s="287"/>
      <c r="J100" s="287"/>
      <c r="K100" s="287"/>
      <c r="L100" s="287"/>
      <c r="M100" s="287"/>
      <c r="N100" s="288"/>
    </row>
    <row r="101" spans="2:15" x14ac:dyDescent="0.2">
      <c r="B101" s="290" t="s">
        <v>145</v>
      </c>
      <c r="C101" s="317"/>
      <c r="D101" s="318"/>
      <c r="E101" s="318"/>
      <c r="F101" s="318"/>
      <c r="G101" s="319"/>
      <c r="H101" s="24" t="s">
        <v>78</v>
      </c>
      <c r="I101" s="24"/>
      <c r="J101" s="24"/>
      <c r="K101" s="24"/>
      <c r="L101" s="25"/>
      <c r="M101" s="26"/>
      <c r="N101" s="9"/>
    </row>
    <row r="102" spans="2:15" x14ac:dyDescent="0.2">
      <c r="B102" s="291"/>
      <c r="C102" s="320"/>
      <c r="D102" s="321"/>
      <c r="E102" s="321"/>
      <c r="F102" s="321"/>
      <c r="G102" s="322"/>
      <c r="H102" s="334" t="s">
        <v>104</v>
      </c>
      <c r="I102" s="334"/>
      <c r="J102" s="334" t="s">
        <v>105</v>
      </c>
      <c r="K102" s="334"/>
      <c r="L102" s="334"/>
      <c r="M102" s="335" t="s">
        <v>97</v>
      </c>
      <c r="N102" s="335"/>
    </row>
    <row r="103" spans="2:15" x14ac:dyDescent="0.2">
      <c r="B103" s="291"/>
      <c r="C103" s="320"/>
      <c r="D103" s="321"/>
      <c r="E103" s="321"/>
      <c r="F103" s="321"/>
      <c r="G103" s="322"/>
      <c r="H103" s="313"/>
      <c r="I103" s="310"/>
      <c r="J103" s="310"/>
      <c r="K103" s="310"/>
      <c r="L103" s="310"/>
      <c r="M103" s="285"/>
      <c r="N103" s="285"/>
    </row>
    <row r="104" spans="2:15" x14ac:dyDescent="0.2">
      <c r="B104" s="291"/>
      <c r="C104" s="320"/>
      <c r="D104" s="321"/>
      <c r="E104" s="321"/>
      <c r="F104" s="321"/>
      <c r="G104" s="322"/>
      <c r="H104" s="310"/>
      <c r="I104" s="310"/>
      <c r="J104" s="310"/>
      <c r="K104" s="310"/>
      <c r="L104" s="310"/>
      <c r="M104" s="285"/>
      <c r="N104" s="285"/>
    </row>
    <row r="105" spans="2:15" x14ac:dyDescent="0.2">
      <c r="B105" s="291"/>
      <c r="C105" s="320"/>
      <c r="D105" s="321"/>
      <c r="E105" s="321"/>
      <c r="F105" s="321"/>
      <c r="G105" s="322"/>
      <c r="H105" s="310"/>
      <c r="I105" s="310"/>
      <c r="J105" s="310"/>
      <c r="K105" s="310"/>
      <c r="L105" s="310"/>
      <c r="M105" s="285"/>
      <c r="N105" s="285"/>
    </row>
    <row r="106" spans="2:15" x14ac:dyDescent="0.2">
      <c r="B106" s="291"/>
      <c r="C106" s="320"/>
      <c r="D106" s="321"/>
      <c r="E106" s="321"/>
      <c r="F106" s="321"/>
      <c r="G106" s="322"/>
      <c r="H106" s="310"/>
      <c r="I106" s="310"/>
      <c r="J106" s="310"/>
      <c r="K106" s="310"/>
      <c r="L106" s="310"/>
      <c r="M106" s="285"/>
      <c r="N106" s="285"/>
    </row>
    <row r="107" spans="2:15" x14ac:dyDescent="0.2">
      <c r="B107" s="291"/>
      <c r="C107" s="320"/>
      <c r="D107" s="321"/>
      <c r="E107" s="321"/>
      <c r="F107" s="321"/>
      <c r="G107" s="322"/>
      <c r="H107" s="32"/>
      <c r="I107" s="28"/>
      <c r="J107" s="25"/>
      <c r="K107" s="25"/>
      <c r="L107" s="25"/>
      <c r="M107" s="26"/>
      <c r="N107" s="11"/>
      <c r="O107" s="118"/>
    </row>
    <row r="108" spans="2:15" x14ac:dyDescent="0.2">
      <c r="B108" s="291"/>
      <c r="C108" s="320"/>
      <c r="D108" s="321"/>
      <c r="E108" s="321"/>
      <c r="F108" s="321"/>
      <c r="G108" s="322"/>
      <c r="H108" s="35"/>
      <c r="I108" s="28"/>
      <c r="J108" s="28"/>
      <c r="K108" s="28"/>
      <c r="L108" s="28"/>
      <c r="M108" s="29"/>
      <c r="N108" s="11"/>
    </row>
    <row r="109" spans="2:15" x14ac:dyDescent="0.2">
      <c r="B109" s="291"/>
      <c r="C109" s="320"/>
      <c r="D109" s="321"/>
      <c r="E109" s="321"/>
      <c r="F109" s="321"/>
      <c r="G109" s="322"/>
      <c r="H109" s="36"/>
      <c r="I109" s="33"/>
      <c r="J109" s="33"/>
      <c r="K109" s="33"/>
      <c r="L109" s="33"/>
      <c r="M109" s="34"/>
      <c r="N109" s="13"/>
    </row>
    <row r="110" spans="2:15" x14ac:dyDescent="0.2">
      <c r="B110" s="291"/>
      <c r="C110" s="320"/>
      <c r="D110" s="321"/>
      <c r="E110" s="321"/>
      <c r="F110" s="321"/>
      <c r="G110" s="322"/>
      <c r="H110" s="28"/>
      <c r="I110" s="28"/>
      <c r="J110" s="28"/>
      <c r="K110" s="28"/>
      <c r="L110" s="28"/>
      <c r="M110" s="29"/>
      <c r="N110" s="11"/>
    </row>
    <row r="111" spans="2:15" x14ac:dyDescent="0.2">
      <c r="B111" s="291"/>
      <c r="C111" s="320"/>
      <c r="D111" s="321"/>
      <c r="E111" s="321"/>
      <c r="F111" s="321"/>
      <c r="G111" s="322"/>
      <c r="H111" s="37" t="s">
        <v>79</v>
      </c>
      <c r="J111" s="32" t="s">
        <v>80</v>
      </c>
      <c r="K111" s="39"/>
      <c r="L111" s="40"/>
      <c r="M111" s="29"/>
      <c r="N111" s="41"/>
    </row>
    <row r="112" spans="2:15" ht="83.25" customHeight="1" x14ac:dyDescent="0.2">
      <c r="B112" s="291"/>
      <c r="C112" s="320"/>
      <c r="D112" s="321"/>
      <c r="E112" s="321"/>
      <c r="F112" s="321"/>
      <c r="G112" s="322"/>
      <c r="H112" s="37"/>
      <c r="J112" s="32"/>
      <c r="K112" s="39"/>
      <c r="L112" s="42"/>
      <c r="M112" s="29"/>
      <c r="N112" s="41"/>
    </row>
    <row r="113" spans="2:14" x14ac:dyDescent="0.2">
      <c r="B113" s="291"/>
      <c r="C113" s="37" t="s">
        <v>81</v>
      </c>
      <c r="D113" s="30"/>
      <c r="E113" s="119"/>
      <c r="F113" s="43"/>
      <c r="G113" s="44"/>
      <c r="H113" s="37"/>
      <c r="J113" s="32"/>
      <c r="K113" s="39"/>
      <c r="L113" s="42"/>
      <c r="M113" s="29"/>
      <c r="N113" s="41"/>
    </row>
    <row r="114" spans="2:14" x14ac:dyDescent="0.2">
      <c r="B114" s="291"/>
      <c r="C114" s="30"/>
      <c r="D114" s="30"/>
      <c r="E114" s="22"/>
      <c r="F114" s="22"/>
      <c r="G114" s="45"/>
      <c r="H114" s="37"/>
      <c r="J114" s="32"/>
      <c r="K114" s="39"/>
      <c r="L114" s="46"/>
      <c r="M114" s="29"/>
      <c r="N114" s="41"/>
    </row>
    <row r="115" spans="2:14" x14ac:dyDescent="0.2">
      <c r="B115" s="291"/>
      <c r="C115" s="30" t="s">
        <v>82</v>
      </c>
      <c r="D115" s="30"/>
      <c r="E115" s="130"/>
      <c r="F115" s="43"/>
      <c r="G115" s="44"/>
      <c r="H115" s="37"/>
      <c r="I115" s="326" t="s">
        <v>103</v>
      </c>
      <c r="J115" s="326"/>
      <c r="K115" s="327"/>
      <c r="L115" s="40"/>
      <c r="M115" s="29"/>
      <c r="N115" s="41"/>
    </row>
    <row r="116" spans="2:14" x14ac:dyDescent="0.2">
      <c r="B116" s="47"/>
      <c r="C116" s="48"/>
      <c r="D116" s="48"/>
      <c r="E116" s="48"/>
      <c r="F116" s="48"/>
      <c r="G116" s="52"/>
      <c r="H116" s="49"/>
      <c r="I116" s="49"/>
      <c r="J116" s="49"/>
      <c r="K116" s="46"/>
      <c r="L116" s="33"/>
      <c r="M116" s="34"/>
      <c r="N116" s="50"/>
    </row>
  </sheetData>
  <mergeCells count="86">
    <mergeCell ref="B33:G33"/>
    <mergeCell ref="C101:G112"/>
    <mergeCell ref="B24:G24"/>
    <mergeCell ref="H24:O24"/>
    <mergeCell ref="B2:B5"/>
    <mergeCell ref="C2:O2"/>
    <mergeCell ref="C3:O3"/>
    <mergeCell ref="C4:O4"/>
    <mergeCell ref="C5:F5"/>
    <mergeCell ref="G5:J5"/>
    <mergeCell ref="K5:O5"/>
    <mergeCell ref="B20:O22"/>
    <mergeCell ref="B6:N6"/>
    <mergeCell ref="B7:D7"/>
    <mergeCell ref="E7:O7"/>
    <mergeCell ref="B8:D8"/>
    <mergeCell ref="E8:O8"/>
    <mergeCell ref="H31:K31"/>
    <mergeCell ref="L31:O31"/>
    <mergeCell ref="E32:G32"/>
    <mergeCell ref="B9:N9"/>
    <mergeCell ref="B11:K11"/>
    <mergeCell ref="L11:O11"/>
    <mergeCell ref="B12:K16"/>
    <mergeCell ref="L12:O16"/>
    <mergeCell ref="H32:K32"/>
    <mergeCell ref="L32:O32"/>
    <mergeCell ref="H33:O33"/>
    <mergeCell ref="B34:G35"/>
    <mergeCell ref="H34:O35"/>
    <mergeCell ref="B18:O18"/>
    <mergeCell ref="E37:N41"/>
    <mergeCell ref="B25:G26"/>
    <mergeCell ref="H25:O26"/>
    <mergeCell ref="B27:G27"/>
    <mergeCell ref="H27:O27"/>
    <mergeCell ref="B36:O36"/>
    <mergeCell ref="B28:G29"/>
    <mergeCell ref="H28:O29"/>
    <mergeCell ref="B30:D30"/>
    <mergeCell ref="E30:O30"/>
    <mergeCell ref="B31:D32"/>
    <mergeCell ref="E31:G31"/>
    <mergeCell ref="H87:I87"/>
    <mergeCell ref="C85:G89"/>
    <mergeCell ref="J87:L87"/>
    <mergeCell ref="M87:N87"/>
    <mergeCell ref="I98:K98"/>
    <mergeCell ref="H88:I88"/>
    <mergeCell ref="J88:L88"/>
    <mergeCell ref="M88:N88"/>
    <mergeCell ref="H89:I89"/>
    <mergeCell ref="J89:L89"/>
    <mergeCell ref="M89:N89"/>
    <mergeCell ref="H106:I106"/>
    <mergeCell ref="J106:L106"/>
    <mergeCell ref="M106:N106"/>
    <mergeCell ref="B42:O42"/>
    <mergeCell ref="B54:N54"/>
    <mergeCell ref="B80:N80"/>
    <mergeCell ref="B81:N82"/>
    <mergeCell ref="C83:G83"/>
    <mergeCell ref="H83:N83"/>
    <mergeCell ref="B84:B98"/>
    <mergeCell ref="H85:I85"/>
    <mergeCell ref="J85:L85"/>
    <mergeCell ref="M85:N85"/>
    <mergeCell ref="H86:I86"/>
    <mergeCell ref="J86:L86"/>
    <mergeCell ref="M86:N86"/>
    <mergeCell ref="I115:K115"/>
    <mergeCell ref="C100:G100"/>
    <mergeCell ref="H100:N100"/>
    <mergeCell ref="B101:B115"/>
    <mergeCell ref="H102:I102"/>
    <mergeCell ref="J102:L102"/>
    <mergeCell ref="M102:N102"/>
    <mergeCell ref="H103:I103"/>
    <mergeCell ref="J103:L103"/>
    <mergeCell ref="M103:N103"/>
    <mergeCell ref="H104:I104"/>
    <mergeCell ref="J104:L104"/>
    <mergeCell ref="M104:N104"/>
    <mergeCell ref="H105:I105"/>
    <mergeCell ref="J105:L105"/>
    <mergeCell ref="M105:N105"/>
  </mergeCells>
  <dataValidations count="1">
    <dataValidation type="list" allowBlank="1" showInputMessage="1" showErrorMessage="1" sqref="L12:O16" xr:uid="{00000000-0002-0000-0500-000000000000}">
      <formula1>"EFICACIA,EFICIENCIA,EFECTIVIDAD"</formula1>
    </dataValidation>
  </dataValidations>
  <printOptions horizontalCentered="1"/>
  <pageMargins left="0.39370078740157483" right="0.39370078740157483" top="0.39370078740157483" bottom="0.39370078740157483" header="0.19685039370078741" footer="0.19685039370078741"/>
  <pageSetup scale="80" fitToHeight="2" orientation="portrait" r:id="rId1"/>
  <headerFooter alignWithMargins="0">
    <oddFooter>&amp;CPágina &amp;P de &amp;N&amp;REd. 1 /03-01-2012</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election activeCell="B18" sqref="B18"/>
    </sheetView>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11</vt:i4>
      </vt:variant>
    </vt:vector>
  </HeadingPairs>
  <TitlesOfParts>
    <vt:vector size="18" baseType="lpstr">
      <vt:lpstr>despliegue politica y obj</vt:lpstr>
      <vt:lpstr>Bateria</vt:lpstr>
      <vt:lpstr>Indicador 1</vt:lpstr>
      <vt:lpstr>Hoja3</vt:lpstr>
      <vt:lpstr>Indicador 2</vt:lpstr>
      <vt:lpstr>Indicador 3</vt:lpstr>
      <vt:lpstr>Hoja1</vt:lpstr>
      <vt:lpstr>Bateria!Área_de_impresión</vt:lpstr>
      <vt:lpstr>'Indicador 1'!Área_de_impresión</vt:lpstr>
      <vt:lpstr>'Indicador 2'!Área_de_impresión</vt:lpstr>
      <vt:lpstr>'Indicador 3'!Área_de_impresión</vt:lpstr>
      <vt:lpstr>Objetivo</vt:lpstr>
      <vt:lpstr>OBJETIVOS</vt:lpstr>
      <vt:lpstr>objetivoscalidad</vt:lpstr>
      <vt:lpstr>Bateria!Títulos_a_imprimir</vt:lpstr>
      <vt:lpstr>'Indicador 1'!Títulos_a_imprimir</vt:lpstr>
      <vt:lpstr>'Indicador 2'!Títulos_a_imprimir</vt:lpstr>
      <vt:lpstr>'Indicador 3'!Títulos_a_imprimir</vt:lpstr>
    </vt:vector>
  </TitlesOfParts>
  <Company>casa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jgonzalez</dc:creator>
  <cp:lastModifiedBy>concejo chia</cp:lastModifiedBy>
  <cp:lastPrinted>2017-05-15T20:12:26Z</cp:lastPrinted>
  <dcterms:created xsi:type="dcterms:W3CDTF">2005-02-24T14:09:49Z</dcterms:created>
  <dcterms:modified xsi:type="dcterms:W3CDTF">2025-09-11T21:44:19Z</dcterms:modified>
</cp:coreProperties>
</file>