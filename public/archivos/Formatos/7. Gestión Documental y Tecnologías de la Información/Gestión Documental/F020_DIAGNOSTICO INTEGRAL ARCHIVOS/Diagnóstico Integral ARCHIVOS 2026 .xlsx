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30.30.30.51\compartida\SGC CONCEJO CHIA\5. Procesos  SGC\7. GESTIÓN DOCUMENTAL  Y TECNOLOGIAS DE LA INFORMACIÓN\3. Formatos\3.1 Formatos - Gestión Documental\F020_DIAGNOSTICO INTEGRAL ARCHIVOS\"/>
    </mc:Choice>
  </mc:AlternateContent>
  <xr:revisionPtr revIDLastSave="0" documentId="13_ncr:1_{CDC6C23F-CC0E-473B-8B16-05DDBE329A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TRODUCCIÓN" sheetId="12" r:id="rId1"/>
    <sheet name="IDENTIFICACIÓN" sheetId="2" r:id="rId2"/>
    <sheet name="EQUIPO DE TRABAJO" sheetId="11" r:id="rId3"/>
    <sheet name="ASPECTOS ADMINISTRATIVOS" sheetId="1" r:id="rId4"/>
    <sheet name="ASPECTOS DE FUNCIÓN ARCHIVÍSTIC" sheetId="6" r:id="rId5"/>
    <sheet name="ASPECTOS DE PRESERVACIÓN" sheetId="5" r:id="rId6"/>
    <sheet name="GESTIÓN TECNOLÓGICA Y DIGIT" sheetId="15" r:id="rId7"/>
    <sheet name="ANALISIS DE RESULTADOS" sheetId="13" state="hidden" r:id="rId8"/>
  </sheets>
  <definedNames>
    <definedName name="_xlnm.Print_Area" localSheetId="3">'ASPECTOS ADMINISTRATIVOS'!$A$1:$L$56</definedName>
    <definedName name="_xlnm.Print_Area" localSheetId="4">'ASPECTOS DE FUNCIÓN ARCHIVÍSTIC'!$B$2:$H$65</definedName>
    <definedName name="_xlnm.Print_Titles" localSheetId="4">'ASPECTOS DE FUNCIÓN ARCHIVÍSTIC'!$8:$8</definedName>
    <definedName name="_xlnm.Print_Titles" localSheetId="5">'ASPECTOS DE PRESERVACIÓN'!$8:$8</definedName>
    <definedName name="_xlnm.Print_Titles" localSheetId="6">'GESTIÓN TECNOLÓGICA Y DIGIT'!$8:$8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3" l="1"/>
  <c r="J5" i="13"/>
  <c r="J4" i="13"/>
  <c r="I29" i="13"/>
  <c r="K20" i="13"/>
  <c r="K17" i="13"/>
  <c r="K13" i="13"/>
  <c r="K25" i="13"/>
  <c r="K29" i="13" l="1"/>
</calcChain>
</file>

<file path=xl/sharedStrings.xml><?xml version="1.0" encoding="utf-8"?>
<sst xmlns="http://schemas.openxmlformats.org/spreadsheetml/2006/main" count="274" uniqueCount="85">
  <si>
    <t>INSTRUMENTOS ARCHIVÍSTICOS</t>
  </si>
  <si>
    <t>NOMBRE DE LA ENTIDAD</t>
  </si>
  <si>
    <t>NIT</t>
  </si>
  <si>
    <t>CIUDAD / MUNICIPIO</t>
  </si>
  <si>
    <t>DIRECCIÓN</t>
  </si>
  <si>
    <t>TELÉFONO</t>
  </si>
  <si>
    <t>PAGINA WEB</t>
  </si>
  <si>
    <t>CORREO ELECTRÓNICO INSTITUCIONAL</t>
  </si>
  <si>
    <t>IDENTIFICACIÓN DE LA ENTIDAD</t>
  </si>
  <si>
    <t>CATEGORÍA DEL MUNICIPIO</t>
  </si>
  <si>
    <t>CARÁCTER DE LA ENTIDAD</t>
  </si>
  <si>
    <t>PUBLICA</t>
  </si>
  <si>
    <t>PRIVADA</t>
  </si>
  <si>
    <t>PRIVADA CON FUNCIONES PÚBLICAS</t>
  </si>
  <si>
    <t>OBSERVACIONES</t>
  </si>
  <si>
    <t>INSTANCIAS ASESORAS</t>
  </si>
  <si>
    <t>ASPECTOS ORGANIZACIONALES</t>
  </si>
  <si>
    <t>MANTENIMIENTO</t>
  </si>
  <si>
    <t>ASPECTOS DE FINANCIACIÓN</t>
  </si>
  <si>
    <t>COMUNICACIONES OFICIALES</t>
  </si>
  <si>
    <t>CONDICIONES DE EDIFICIOS Y LOCALES DESTINADOS A ARCHIVOS</t>
  </si>
  <si>
    <t>UNIDADES DE CONSERVACIÓN</t>
  </si>
  <si>
    <t>SEGURIDAD Y EMERGENCIAS</t>
  </si>
  <si>
    <t>ORGANIZACIÓN Y DESCRIPCIÓN</t>
  </si>
  <si>
    <t>ASPECTOS DE FORMACIÓN Y CAPACITACIÓN</t>
  </si>
  <si>
    <r>
      <rPr>
        <b/>
        <sz val="12"/>
        <color indexed="8"/>
        <rFont val="Calibri"/>
        <family val="2"/>
      </rPr>
      <t>Objetivo:</t>
    </r>
    <r>
      <rPr>
        <sz val="12"/>
        <color indexed="8"/>
        <rFont val="Calibri"/>
        <family val="2"/>
      </rPr>
      <t xml:space="preserve"> Definir el equipo de trabajo que realizará el Diagnóstico Integral de Archivos. Es importante, que el equipo establecido sea interdisciplinario y se involucren todas las áreas de la entidad.</t>
    </r>
  </si>
  <si>
    <t>No</t>
  </si>
  <si>
    <t>AREA/DEPENDENCIA</t>
  </si>
  <si>
    <t>NORMATIVIDAD</t>
  </si>
  <si>
    <t>Parcial</t>
  </si>
  <si>
    <t>Si</t>
  </si>
  <si>
    <t>SECTOR - ORDEN</t>
  </si>
  <si>
    <t>CONDICIONES AMBIENTALES</t>
  </si>
  <si>
    <t>CONCEJO MUNICIPAL DE CHÍA</t>
  </si>
  <si>
    <t>SISTEMA DE GESTIÓN DE CALIDAD</t>
  </si>
  <si>
    <t xml:space="preserve">GESTIÓN DOCUMENTAL Y TECNOLOGÍAS DE LA INFORMACIÓN  </t>
  </si>
  <si>
    <t>SEDES</t>
  </si>
  <si>
    <t>MISIÓN</t>
  </si>
  <si>
    <t>ENTIDAD: CONCEJO MUNICIPAL DE CHIA</t>
  </si>
  <si>
    <t xml:space="preserve">FECHA DE ELABORACIÓN: </t>
  </si>
  <si>
    <t>PERFIL (PROFESION)</t>
  </si>
  <si>
    <t>ROL (CARGO)</t>
  </si>
  <si>
    <t>RESPONSABILIDAD PRINCIPAL</t>
  </si>
  <si>
    <t>DIAGNÓSTICO INTEGRAL DE ARCHIVO</t>
  </si>
  <si>
    <t xml:space="preserve"> DIAGNÓSTICO INTEGRAL DE ARCHIVOS</t>
  </si>
  <si>
    <t xml:space="preserve">observación </t>
  </si>
  <si>
    <t xml:space="preserve"> calificación</t>
  </si>
  <si>
    <t xml:space="preserve">PUNTAJE OBTENIDO </t>
  </si>
  <si>
    <t xml:space="preserve">% DE CUMPLIMIENTO </t>
  </si>
  <si>
    <t>VARIABLES EN AMARILLO</t>
  </si>
  <si>
    <t>VARIABLES EN VERDE</t>
  </si>
  <si>
    <t xml:space="preserve">VARIABLES EN ROJO </t>
  </si>
  <si>
    <t>TENDENCIA A ESTAR REGULAR</t>
  </si>
  <si>
    <t xml:space="preserve">SIGUE LA MEDIDA DE PRIORIZAR ACTIVIDADES </t>
  </si>
  <si>
    <t xml:space="preserve">SON POCAS VARIABLES SE DEBEN AUMENTAR </t>
  </si>
  <si>
    <t xml:space="preserve">ASPECTOS ADMINISTRATIVOS </t>
  </si>
  <si>
    <t>ASPECTOS FUNCIÓN ARCHIVISITCA</t>
  </si>
  <si>
    <t xml:space="preserve">ASPECTOS PRESERVACIÓN </t>
  </si>
  <si>
    <t xml:space="preserve">PROMEDIO GENERAL </t>
  </si>
  <si>
    <t>Software de Radicación y Correspondencia</t>
  </si>
  <si>
    <t>Gestión de Documentos Electrónicos</t>
  </si>
  <si>
    <t>Seguridad y Preservación Digital</t>
  </si>
  <si>
    <t>A. Infraestructura y Administración del Servidor</t>
  </si>
  <si>
    <t>MODULOS</t>
  </si>
  <si>
    <t xml:space="preserve">CALIFICACIÓN POR MODULO </t>
  </si>
  <si>
    <t>INSTRUMENTOS ARCHIVISTICOS</t>
  </si>
  <si>
    <t>GESTIÓN TECNOLÓGICA Y DIGITAL</t>
  </si>
  <si>
    <t xml:space="preserve"> Infraestructura y Administración del Servidor</t>
  </si>
  <si>
    <t xml:space="preserve">VARIABLES </t>
  </si>
  <si>
    <t>TOTAL 16</t>
  </si>
  <si>
    <t>N/A</t>
  </si>
  <si>
    <t>NIVEL DE RIESGO</t>
  </si>
  <si>
    <t>MEDIO BAJO</t>
  </si>
  <si>
    <t>COMPONENTE</t>
  </si>
  <si>
    <t>OBSERVACIÓN</t>
  </si>
  <si>
    <t>CALIFICACIÓN</t>
  </si>
  <si>
    <t>FECHA: 25/03/2026</t>
  </si>
  <si>
    <t>VERSIÓN: 05</t>
  </si>
  <si>
    <t>Página 1 de 7</t>
  </si>
  <si>
    <t>Página 2 de 7</t>
  </si>
  <si>
    <t>Página 3 de 7</t>
  </si>
  <si>
    <t>Página 4 de 7</t>
  </si>
  <si>
    <t>Página 5 de 7</t>
  </si>
  <si>
    <t>Página 6 de 7</t>
  </si>
  <si>
    <t>Página 7 de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</si>
</sst>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Arial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rgb="FFFF0000"/>
      <name val="Arial"/>
      <family val="2"/>
    </font>
    <font>
      <b/>
      <sz val="11"/>
      <name val="Calibri"/>
      <family val="2"/>
      <scheme val="minor"/>
    </font>
    <font>
      <b/>
      <sz val="1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222222"/>
      <name val="Calibri"/>
      <family val="2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b/>
      <sz val="18"/>
      <name val="Calibri"/>
      <family val="2"/>
      <scheme val="minor"/>
    </font>
    <font>
      <b/>
      <sz val="12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4">
    <xf numFmtId="0" fontId="0" fillId="0" borderId="0"/>
    <xf numFmtId="0" fontId="1" fillId="0" borderId="1" applyNumberFormat="0" applyFill="0" applyAlignment="0" applyProtection="0"/>
    <xf numFmtId="0" fontId="3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7" fillId="5" borderId="0" applyNumberFormat="0" applyBorder="0" applyAlignment="0" applyProtection="0"/>
    <xf numFmtId="0" fontId="12" fillId="17" borderId="8" applyNumberFormat="0" applyAlignment="0" applyProtection="0"/>
    <xf numFmtId="0" fontId="14" fillId="18" borderId="9" applyNumberFormat="0" applyAlignment="0" applyProtection="0"/>
    <xf numFmtId="0" fontId="13" fillId="0" borderId="10" applyNumberFormat="0" applyFill="0" applyAlignment="0" applyProtection="0"/>
    <xf numFmtId="0" fontId="6" fillId="0" borderId="0" applyNumberFormat="0" applyFill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2" borderId="0" applyNumberFormat="0" applyBorder="0" applyAlignment="0" applyProtection="0"/>
    <xf numFmtId="0" fontId="10" fillId="8" borderId="8" applyNumberFormat="0" applyAlignment="0" applyProtection="0"/>
    <xf numFmtId="0" fontId="8" fillId="4" borderId="0" applyNumberFormat="0" applyBorder="0" applyAlignment="0" applyProtection="0"/>
    <xf numFmtId="0" fontId="9" fillId="23" borderId="0" applyNumberFormat="0" applyBorder="0" applyAlignment="0" applyProtection="0"/>
    <xf numFmtId="0" fontId="3" fillId="24" borderId="11" applyNumberFormat="0" applyFont="0" applyAlignment="0" applyProtection="0"/>
    <xf numFmtId="0" fontId="11" fillId="1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3" applyNumberFormat="0" applyFill="0" applyAlignment="0" applyProtection="0"/>
    <xf numFmtId="0" fontId="6" fillId="0" borderId="14" applyNumberFormat="0" applyFill="0" applyAlignment="0" applyProtection="0"/>
    <xf numFmtId="0" fontId="17" fillId="0" borderId="15" applyNumberFormat="0" applyFill="0" applyAlignment="0" applyProtection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0" fillId="2" borderId="0" xfId="0" applyFill="1"/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0" xfId="0" applyFont="1" applyFill="1"/>
    <xf numFmtId="0" fontId="23" fillId="2" borderId="0" xfId="0" applyFont="1" applyFill="1" applyAlignment="1">
      <alignment horizontal="justify" vertical="center" wrapText="1"/>
    </xf>
    <xf numFmtId="0" fontId="23" fillId="2" borderId="0" xfId="0" applyFont="1" applyFill="1" applyAlignment="1">
      <alignment vertical="center" wrapText="1"/>
    </xf>
    <xf numFmtId="0" fontId="24" fillId="2" borderId="23" xfId="43" applyFont="1" applyFill="1" applyBorder="1" applyAlignment="1">
      <alignment wrapText="1"/>
    </xf>
    <xf numFmtId="0" fontId="24" fillId="2" borderId="27" xfId="43" applyFont="1" applyFill="1" applyBorder="1" applyAlignment="1">
      <alignment wrapText="1"/>
    </xf>
    <xf numFmtId="0" fontId="23" fillId="0" borderId="0" xfId="0" applyFont="1" applyAlignment="1">
      <alignment vertical="center" wrapText="1"/>
    </xf>
    <xf numFmtId="0" fontId="23" fillId="0" borderId="2" xfId="0" applyFont="1" applyBorder="1"/>
    <xf numFmtId="0" fontId="23" fillId="0" borderId="4" xfId="0" applyFont="1" applyBorder="1"/>
    <xf numFmtId="0" fontId="23" fillId="0" borderId="0" xfId="0" applyFont="1"/>
    <xf numFmtId="0" fontId="23" fillId="0" borderId="2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justify" vertical="center" wrapText="1"/>
    </xf>
    <xf numFmtId="0" fontId="23" fillId="0" borderId="0" xfId="0" applyFont="1" applyAlignment="1">
      <alignment horizontal="justify" vertical="center" wrapText="1"/>
    </xf>
    <xf numFmtId="0" fontId="23" fillId="0" borderId="7" xfId="0" applyFont="1" applyBorder="1" applyAlignment="1">
      <alignment horizontal="justify" vertical="center" wrapText="1"/>
    </xf>
    <xf numFmtId="0" fontId="23" fillId="0" borderId="16" xfId="0" applyFont="1" applyBorder="1" applyAlignment="1">
      <alignment horizontal="justify" vertical="center" wrapText="1"/>
    </xf>
    <xf numFmtId="0" fontId="23" fillId="0" borderId="4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3" fillId="0" borderId="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27" fillId="2" borderId="0" xfId="0" applyFont="1" applyFill="1"/>
    <xf numFmtId="0" fontId="29" fillId="2" borderId="2" xfId="0" applyFont="1" applyFill="1" applyBorder="1" applyAlignment="1">
      <alignment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30" fillId="2" borderId="2" xfId="2" applyFont="1" applyFill="1" applyBorder="1" applyAlignment="1">
      <alignment horizontal="justify" vertical="center" wrapText="1"/>
    </xf>
    <xf numFmtId="0" fontId="29" fillId="0" borderId="2" xfId="0" applyFont="1" applyBorder="1" applyAlignment="1">
      <alignment horizontal="center" vertical="center" wrapText="1"/>
    </xf>
    <xf numFmtId="0" fontId="30" fillId="2" borderId="2" xfId="2" applyFont="1" applyFill="1" applyBorder="1" applyAlignment="1">
      <alignment horizontal="justify" vertical="justify" wrapText="1"/>
    </xf>
    <xf numFmtId="0" fontId="30" fillId="2" borderId="2" xfId="2" applyFont="1" applyFill="1" applyBorder="1" applyAlignment="1">
      <alignment horizontal="left" vertical="center" wrapText="1"/>
    </xf>
    <xf numFmtId="0" fontId="29" fillId="2" borderId="2" xfId="0" applyFont="1" applyFill="1" applyBorder="1" applyAlignment="1">
      <alignment horizontal="justify" vertical="center" wrapText="1"/>
    </xf>
    <xf numFmtId="0" fontId="29" fillId="2" borderId="2" xfId="0" applyFont="1" applyFill="1" applyBorder="1" applyAlignment="1">
      <alignment wrapText="1"/>
    </xf>
    <xf numFmtId="0" fontId="29" fillId="2" borderId="2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vertical="center"/>
    </xf>
    <xf numFmtId="0" fontId="27" fillId="0" borderId="0" xfId="0" applyFont="1"/>
    <xf numFmtId="0" fontId="23" fillId="0" borderId="28" xfId="0" applyFont="1" applyBorder="1" applyAlignment="1">
      <alignment horizontal="justify" vertical="center" wrapText="1"/>
    </xf>
    <xf numFmtId="0" fontId="23" fillId="0" borderId="28" xfId="0" applyFont="1" applyBorder="1" applyAlignment="1">
      <alignment horizontal="center" vertical="center" wrapText="1"/>
    </xf>
    <xf numFmtId="0" fontId="23" fillId="0" borderId="28" xfId="0" applyFont="1" applyBorder="1"/>
    <xf numFmtId="0" fontId="24" fillId="0" borderId="23" xfId="43" applyFont="1" applyFill="1" applyBorder="1" applyAlignment="1">
      <alignment vertical="center" wrapText="1"/>
    </xf>
    <xf numFmtId="0" fontId="24" fillId="0" borderId="27" xfId="43" applyFont="1" applyFill="1" applyBorder="1" applyAlignment="1">
      <alignment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/>
    </xf>
    <xf numFmtId="0" fontId="32" fillId="2" borderId="40" xfId="0" applyFont="1" applyFill="1" applyBorder="1" applyAlignment="1">
      <alignment vertical="center" wrapText="1"/>
    </xf>
    <xf numFmtId="0" fontId="34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vertical="center"/>
    </xf>
    <xf numFmtId="0" fontId="34" fillId="0" borderId="2" xfId="0" applyFont="1" applyBorder="1"/>
    <xf numFmtId="0" fontId="19" fillId="0" borderId="48" xfId="0" applyFont="1" applyBorder="1" applyAlignment="1">
      <alignment horizontal="center"/>
    </xf>
    <xf numFmtId="0" fontId="19" fillId="0" borderId="49" xfId="0" applyFont="1" applyBorder="1" applyAlignment="1">
      <alignment horizontal="center"/>
    </xf>
    <xf numFmtId="0" fontId="36" fillId="0" borderId="40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/>
    </xf>
    <xf numFmtId="0" fontId="23" fillId="2" borderId="55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23" fillId="2" borderId="4" xfId="0" applyFont="1" applyFill="1" applyBorder="1" applyAlignment="1">
      <alignment horizontal="center" vertical="center"/>
    </xf>
    <xf numFmtId="0" fontId="23" fillId="2" borderId="4" xfId="0" applyFont="1" applyFill="1" applyBorder="1"/>
    <xf numFmtId="0" fontId="0" fillId="2" borderId="3" xfId="0" applyFill="1" applyBorder="1"/>
    <xf numFmtId="0" fontId="23" fillId="2" borderId="56" xfId="0" applyFont="1" applyFill="1" applyBorder="1"/>
    <xf numFmtId="0" fontId="0" fillId="2" borderId="45" xfId="0" applyFill="1" applyBorder="1"/>
    <xf numFmtId="0" fontId="0" fillId="2" borderId="46" xfId="0" applyFill="1" applyBorder="1"/>
    <xf numFmtId="0" fontId="23" fillId="2" borderId="16" xfId="0" applyFont="1" applyFill="1" applyBorder="1" applyAlignment="1">
      <alignment horizontal="center" vertical="center" wrapText="1"/>
    </xf>
    <xf numFmtId="0" fontId="26" fillId="2" borderId="32" xfId="0" applyFont="1" applyFill="1" applyBorder="1" applyAlignment="1">
      <alignment horizontal="center" vertical="center" wrapText="1"/>
    </xf>
    <xf numFmtId="0" fontId="26" fillId="2" borderId="33" xfId="0" applyFont="1" applyFill="1" applyBorder="1" applyAlignment="1">
      <alignment vertical="center" wrapText="1"/>
    </xf>
    <xf numFmtId="0" fontId="26" fillId="2" borderId="31" xfId="0" applyFont="1" applyFill="1" applyBorder="1" applyAlignment="1">
      <alignment horizontal="center" vertical="center" wrapText="1"/>
    </xf>
    <xf numFmtId="0" fontId="26" fillId="2" borderId="32" xfId="0" applyFont="1" applyFill="1" applyBorder="1" applyAlignment="1">
      <alignment horizontal="justify" vertical="center" wrapText="1"/>
    </xf>
    <xf numFmtId="0" fontId="38" fillId="0" borderId="0" xfId="0" applyFont="1" applyAlignment="1" applyProtection="1">
      <alignment horizontal="justify" vertical="center" wrapText="1"/>
      <protection locked="0"/>
    </xf>
    <xf numFmtId="0" fontId="39" fillId="0" borderId="19" xfId="0" applyFont="1" applyBorder="1" applyAlignment="1">
      <alignment horizontal="justify" vertical="center" wrapText="1"/>
    </xf>
    <xf numFmtId="0" fontId="0" fillId="0" borderId="2" xfId="0" applyBorder="1" applyAlignment="1">
      <alignment horizontal="center"/>
    </xf>
    <xf numFmtId="0" fontId="23" fillId="2" borderId="4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9" fillId="2" borderId="4" xfId="0" applyFont="1" applyFill="1" applyBorder="1" applyAlignment="1">
      <alignment vertical="center" wrapText="1"/>
    </xf>
    <xf numFmtId="0" fontId="27" fillId="2" borderId="2" xfId="0" applyFont="1" applyFill="1" applyBorder="1" applyAlignment="1">
      <alignment horizontal="center" vertical="center"/>
    </xf>
    <xf numFmtId="0" fontId="46" fillId="2" borderId="2" xfId="0" applyFont="1" applyFill="1" applyBorder="1" applyAlignment="1">
      <alignment vertical="center" wrapText="1"/>
    </xf>
    <xf numFmtId="0" fontId="46" fillId="2" borderId="2" xfId="0" applyFont="1" applyFill="1" applyBorder="1" applyAlignment="1">
      <alignment wrapText="1"/>
    </xf>
    <xf numFmtId="2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2" borderId="0" xfId="0" applyNumberFormat="1" applyFill="1"/>
    <xf numFmtId="0" fontId="27" fillId="2" borderId="2" xfId="0" applyFont="1" applyFill="1" applyBorder="1"/>
    <xf numFmtId="0" fontId="23" fillId="0" borderId="2" xfId="0" applyFont="1" applyBorder="1" applyAlignment="1">
      <alignment wrapText="1"/>
    </xf>
    <xf numFmtId="0" fontId="0" fillId="26" borderId="2" xfId="0" applyFill="1" applyBorder="1"/>
    <xf numFmtId="0" fontId="0" fillId="27" borderId="2" xfId="0" applyFill="1" applyBorder="1"/>
    <xf numFmtId="0" fontId="0" fillId="28" borderId="2" xfId="0" applyFill="1" applyBorder="1"/>
    <xf numFmtId="0" fontId="34" fillId="0" borderId="16" xfId="0" applyFont="1" applyBorder="1" applyAlignment="1">
      <alignment horizontal="center"/>
    </xf>
    <xf numFmtId="0" fontId="34" fillId="0" borderId="16" xfId="0" applyFont="1" applyBorder="1" applyAlignment="1">
      <alignment horizontal="center" wrapText="1"/>
    </xf>
    <xf numFmtId="0" fontId="34" fillId="0" borderId="60" xfId="0" applyFont="1" applyBorder="1" applyAlignment="1">
      <alignment horizontal="center"/>
    </xf>
    <xf numFmtId="0" fontId="0" fillId="0" borderId="63" xfId="0" applyBorder="1"/>
    <xf numFmtId="0" fontId="0" fillId="0" borderId="46" xfId="0" applyBorder="1"/>
    <xf numFmtId="0" fontId="0" fillId="0" borderId="64" xfId="0" applyBorder="1"/>
    <xf numFmtId="0" fontId="0" fillId="0" borderId="63" xfId="0" applyBorder="1" applyAlignment="1">
      <alignment wrapText="1"/>
    </xf>
    <xf numFmtId="0" fontId="34" fillId="0" borderId="41" xfId="0" applyFont="1" applyBorder="1" applyAlignment="1">
      <alignment horizontal="center" vertical="center"/>
    </xf>
    <xf numFmtId="0" fontId="26" fillId="2" borderId="52" xfId="0" applyFont="1" applyFill="1" applyBorder="1" applyAlignment="1">
      <alignment horizontal="center" vertical="center" wrapText="1"/>
    </xf>
    <xf numFmtId="0" fontId="23" fillId="0" borderId="56" xfId="0" applyFont="1" applyBorder="1"/>
    <xf numFmtId="0" fontId="23" fillId="0" borderId="56" xfId="0" applyFont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0" borderId="30" xfId="0" applyFont="1" applyBorder="1"/>
    <xf numFmtId="0" fontId="23" fillId="0" borderId="16" xfId="0" applyFont="1" applyBorder="1" applyAlignment="1">
      <alignment horizontal="center"/>
    </xf>
    <xf numFmtId="0" fontId="23" fillId="0" borderId="55" xfId="0" applyFont="1" applyBorder="1" applyAlignment="1">
      <alignment horizontal="center" vertical="center"/>
    </xf>
    <xf numFmtId="9" fontId="0" fillId="29" borderId="34" xfId="0" applyNumberFormat="1" applyFill="1" applyBorder="1" applyAlignment="1">
      <alignment horizontal="center" vertical="center"/>
    </xf>
    <xf numFmtId="10" fontId="0" fillId="29" borderId="2" xfId="0" applyNumberFormat="1" applyFill="1" applyBorder="1" applyAlignment="1">
      <alignment horizontal="center" vertical="center"/>
    </xf>
    <xf numFmtId="9" fontId="0" fillId="29" borderId="2" xfId="0" applyNumberFormat="1" applyFill="1" applyBorder="1" applyAlignment="1">
      <alignment horizontal="center" vertical="center"/>
    </xf>
    <xf numFmtId="9" fontId="0" fillId="29" borderId="28" xfId="0" applyNumberFormat="1" applyFill="1" applyBorder="1" applyAlignment="1">
      <alignment horizontal="center" vertical="center"/>
    </xf>
    <xf numFmtId="164" fontId="0" fillId="29" borderId="34" xfId="0" applyNumberForma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vertical="center"/>
    </xf>
    <xf numFmtId="10" fontId="0" fillId="29" borderId="34" xfId="0" applyNumberFormat="1" applyFill="1" applyBorder="1" applyAlignment="1">
      <alignment horizontal="center" vertical="center"/>
    </xf>
    <xf numFmtId="9" fontId="34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64" fontId="34" fillId="0" borderId="0" xfId="0" applyNumberFormat="1" applyFont="1" applyAlignment="1">
      <alignment horizontal="center" vertical="center"/>
    </xf>
    <xf numFmtId="9" fontId="0" fillId="29" borderId="45" xfId="0" applyNumberFormat="1" applyFill="1" applyBorder="1" applyAlignment="1">
      <alignment horizontal="center" vertical="center"/>
    </xf>
    <xf numFmtId="164" fontId="0" fillId="29" borderId="46" xfId="0" applyNumberFormat="1" applyFill="1" applyBorder="1" applyAlignment="1">
      <alignment horizontal="center" vertical="center"/>
    </xf>
    <xf numFmtId="0" fontId="0" fillId="0" borderId="65" xfId="0" applyBorder="1"/>
    <xf numFmtId="0" fontId="0" fillId="0" borderId="48" xfId="0" applyBorder="1"/>
    <xf numFmtId="0" fontId="0" fillId="0" borderId="49" xfId="0" applyBorder="1"/>
    <xf numFmtId="0" fontId="34" fillId="0" borderId="0" xfId="0" applyFont="1"/>
    <xf numFmtId="0" fontId="34" fillId="0" borderId="24" xfId="0" applyFont="1" applyBorder="1"/>
    <xf numFmtId="0" fontId="27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3" fillId="0" borderId="24" xfId="0" applyFont="1" applyBorder="1" applyAlignment="1">
      <alignment vertical="center" wrapText="1"/>
    </xf>
    <xf numFmtId="0" fontId="22" fillId="0" borderId="24" xfId="43" applyFill="1" applyBorder="1" applyAlignment="1">
      <alignment vertical="center" wrapText="1"/>
    </xf>
    <xf numFmtId="0" fontId="22" fillId="0" borderId="24" xfId="43" applyBorder="1" applyAlignment="1">
      <alignment vertical="center" wrapText="1"/>
    </xf>
    <xf numFmtId="0" fontId="31" fillId="0" borderId="24" xfId="0" applyFont="1" applyBorder="1" applyAlignment="1">
      <alignment vertical="center" wrapText="1"/>
    </xf>
    <xf numFmtId="0" fontId="23" fillId="0" borderId="29" xfId="0" applyFont="1" applyBorder="1" applyAlignment="1">
      <alignment vertical="center" wrapText="1"/>
    </xf>
    <xf numFmtId="0" fontId="23" fillId="0" borderId="21" xfId="0" applyFont="1" applyBorder="1" applyAlignment="1">
      <alignment vertical="center" wrapText="1"/>
    </xf>
    <xf numFmtId="0" fontId="23" fillId="0" borderId="22" xfId="0" applyFont="1" applyBorder="1" applyAlignment="1">
      <alignment horizontal="justify" vertical="center" wrapText="1"/>
    </xf>
    <xf numFmtId="0" fontId="22" fillId="0" borderId="29" xfId="43" applyFill="1" applyBorder="1" applyAlignment="1">
      <alignment vertical="center" wrapText="1"/>
    </xf>
    <xf numFmtId="0" fontId="0" fillId="0" borderId="46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9" fillId="2" borderId="3" xfId="0" applyFont="1" applyFill="1" applyBorder="1" applyAlignment="1">
      <alignment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vertical="center" wrapText="1"/>
    </xf>
    <xf numFmtId="0" fontId="25" fillId="0" borderId="32" xfId="0" applyFont="1" applyBorder="1" applyAlignment="1">
      <alignment horizontal="center" vertical="center" wrapText="1"/>
    </xf>
    <xf numFmtId="0" fontId="34" fillId="2" borderId="32" xfId="0" applyFont="1" applyFill="1" applyBorder="1" applyAlignment="1">
      <alignment horizontal="center" vertical="center" wrapText="1"/>
    </xf>
    <xf numFmtId="0" fontId="34" fillId="2" borderId="33" xfId="0" applyFont="1" applyFill="1" applyBorder="1" applyAlignment="1">
      <alignment horizontal="center" vertical="center" wrapText="1"/>
    </xf>
    <xf numFmtId="0" fontId="30" fillId="2" borderId="3" xfId="2" applyFont="1" applyFill="1" applyBorder="1" applyAlignment="1">
      <alignment horizontal="justify" vertical="justify" wrapText="1"/>
    </xf>
    <xf numFmtId="0" fontId="29" fillId="2" borderId="3" xfId="0" applyFont="1" applyFill="1" applyBorder="1" applyAlignment="1">
      <alignment vertical="center"/>
    </xf>
    <xf numFmtId="0" fontId="29" fillId="2" borderId="56" xfId="0" applyFont="1" applyFill="1" applyBorder="1" applyAlignment="1">
      <alignment vertical="center"/>
    </xf>
    <xf numFmtId="0" fontId="29" fillId="2" borderId="3" xfId="0" applyFont="1" applyFill="1" applyBorder="1" applyAlignment="1">
      <alignment horizontal="justify" vertical="center" wrapText="1"/>
    </xf>
    <xf numFmtId="0" fontId="46" fillId="2" borderId="3" xfId="0" applyFont="1" applyFill="1" applyBorder="1" applyAlignment="1">
      <alignment vertical="center" wrapText="1"/>
    </xf>
    <xf numFmtId="0" fontId="23" fillId="0" borderId="3" xfId="0" applyFont="1" applyBorder="1" applyAlignment="1">
      <alignment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justify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3" xfId="0" applyFont="1" applyBorder="1"/>
    <xf numFmtId="0" fontId="23" fillId="0" borderId="66" xfId="0" applyFont="1" applyBorder="1" applyAlignment="1">
      <alignment vertical="center" wrapText="1"/>
    </xf>
    <xf numFmtId="0" fontId="0" fillId="0" borderId="45" xfId="0" applyBorder="1" applyAlignment="1">
      <alignment horizontal="center" vertical="center"/>
    </xf>
    <xf numFmtId="0" fontId="25" fillId="0" borderId="44" xfId="0" applyFont="1" applyBorder="1" applyAlignment="1">
      <alignment horizontal="center" vertical="center" wrapText="1"/>
    </xf>
    <xf numFmtId="0" fontId="24" fillId="0" borderId="26" xfId="43" applyFont="1" applyFill="1" applyBorder="1" applyAlignment="1">
      <alignment vertical="center" wrapText="1"/>
    </xf>
    <xf numFmtId="0" fontId="23" fillId="0" borderId="2" xfId="0" applyFont="1" applyBorder="1" applyAlignment="1">
      <alignment vertical="center" wrapText="1"/>
    </xf>
    <xf numFmtId="0" fontId="23" fillId="0" borderId="3" xfId="0" applyFont="1" applyBorder="1" applyAlignment="1">
      <alignment vertical="center" wrapText="1"/>
    </xf>
    <xf numFmtId="0" fontId="23" fillId="2" borderId="21" xfId="0" applyFont="1" applyFill="1" applyBorder="1"/>
    <xf numFmtId="0" fontId="23" fillId="2" borderId="5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23" fillId="2" borderId="56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vertical="center" wrapText="1"/>
    </xf>
    <xf numFmtId="0" fontId="23" fillId="2" borderId="71" xfId="0" applyFont="1" applyFill="1" applyBorder="1" applyAlignment="1">
      <alignment wrapText="1"/>
    </xf>
    <xf numFmtId="0" fontId="23" fillId="2" borderId="68" xfId="0" applyFont="1" applyFill="1" applyBorder="1" applyAlignment="1">
      <alignment wrapText="1"/>
    </xf>
    <xf numFmtId="0" fontId="23" fillId="2" borderId="60" xfId="0" applyFont="1" applyFill="1" applyBorder="1" applyAlignment="1">
      <alignment wrapText="1"/>
    </xf>
    <xf numFmtId="0" fontId="24" fillId="2" borderId="26" xfId="43" applyFont="1" applyFill="1" applyBorder="1" applyAlignment="1">
      <alignment wrapText="1"/>
    </xf>
    <xf numFmtId="0" fontId="41" fillId="2" borderId="32" xfId="0" applyFont="1" applyFill="1" applyBorder="1" applyAlignment="1">
      <alignment horizontal="center" vertical="center" wrapText="1"/>
    </xf>
    <xf numFmtId="0" fontId="41" fillId="2" borderId="31" xfId="0" applyFont="1" applyFill="1" applyBorder="1" applyAlignment="1" applyProtection="1">
      <alignment horizontal="center" vertical="center" wrapText="1"/>
      <protection locked="0"/>
    </xf>
    <xf numFmtId="0" fontId="41" fillId="2" borderId="52" xfId="0" applyFont="1" applyFill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1" fillId="2" borderId="31" xfId="0" applyFont="1" applyFill="1" applyBorder="1" applyAlignment="1">
      <alignment horizontal="center" vertical="center" wrapText="1"/>
    </xf>
    <xf numFmtId="0" fontId="41" fillId="2" borderId="52" xfId="0" applyFont="1" applyFill="1" applyBorder="1" applyAlignment="1">
      <alignment vertical="center" wrapText="1"/>
    </xf>
    <xf numFmtId="0" fontId="41" fillId="2" borderId="31" xfId="0" applyFont="1" applyFill="1" applyBorder="1" applyAlignment="1">
      <alignment vertical="center" wrapText="1"/>
    </xf>
    <xf numFmtId="0" fontId="41" fillId="2" borderId="40" xfId="0" applyFont="1" applyFill="1" applyBorder="1" applyAlignment="1">
      <alignment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52" xfId="0" applyFont="1" applyBorder="1" applyAlignment="1">
      <alignment horizontal="center" vertical="center" wrapText="1"/>
    </xf>
    <xf numFmtId="0" fontId="24" fillId="0" borderId="2" xfId="43" applyFont="1" applyFill="1" applyBorder="1" applyAlignment="1">
      <alignment vertical="center" wrapText="1"/>
    </xf>
    <xf numFmtId="0" fontId="23" fillId="2" borderId="23" xfId="0" applyFont="1" applyFill="1" applyBorder="1" applyAlignment="1">
      <alignment wrapText="1"/>
    </xf>
    <xf numFmtId="0" fontId="23" fillId="2" borderId="2" xfId="0" applyFont="1" applyFill="1" applyBorder="1" applyAlignment="1">
      <alignment wrapText="1"/>
    </xf>
    <xf numFmtId="0" fontId="26" fillId="2" borderId="35" xfId="0" applyFont="1" applyFill="1" applyBorder="1" applyAlignment="1">
      <alignment horizontal="center" vertical="center" wrapText="1"/>
    </xf>
    <xf numFmtId="0" fontId="24" fillId="0" borderId="2" xfId="43" applyFont="1" applyFill="1" applyBorder="1" applyAlignment="1">
      <alignment horizontal="center" vertical="center" wrapText="1"/>
    </xf>
    <xf numFmtId="0" fontId="28" fillId="2" borderId="26" xfId="43" applyFont="1" applyFill="1" applyBorder="1" applyAlignment="1">
      <alignment vertical="center" wrapText="1"/>
    </xf>
    <xf numFmtId="0" fontId="28" fillId="2" borderId="23" xfId="43" applyFont="1" applyFill="1" applyBorder="1" applyAlignment="1">
      <alignment vertical="center" wrapText="1"/>
    </xf>
    <xf numFmtId="0" fontId="28" fillId="2" borderId="27" xfId="43" applyFont="1" applyFill="1" applyBorder="1" applyAlignment="1">
      <alignment vertical="center" wrapText="1"/>
    </xf>
    <xf numFmtId="0" fontId="46" fillId="2" borderId="28" xfId="0" applyFont="1" applyFill="1" applyBorder="1" applyAlignment="1">
      <alignment wrapText="1"/>
    </xf>
    <xf numFmtId="0" fontId="29" fillId="2" borderId="28" xfId="0" applyFont="1" applyFill="1" applyBorder="1" applyAlignment="1">
      <alignment horizontal="center" vertical="center" wrapText="1"/>
    </xf>
    <xf numFmtId="0" fontId="29" fillId="2" borderId="28" xfId="0" applyFont="1" applyFill="1" applyBorder="1" applyAlignment="1">
      <alignment vertical="center"/>
    </xf>
    <xf numFmtId="0" fontId="29" fillId="2" borderId="30" xfId="0" applyFont="1" applyFill="1" applyBorder="1" applyAlignment="1">
      <alignment vertical="center"/>
    </xf>
    <xf numFmtId="0" fontId="29" fillId="2" borderId="30" xfId="0" applyFont="1" applyFill="1" applyBorder="1" applyAlignment="1">
      <alignment vertical="center" wrapText="1"/>
    </xf>
    <xf numFmtId="0" fontId="27" fillId="2" borderId="28" xfId="0" applyFont="1" applyFill="1" applyBorder="1" applyAlignment="1">
      <alignment horizontal="center" vertical="center"/>
    </xf>
    <xf numFmtId="0" fontId="29" fillId="2" borderId="27" xfId="0" applyFont="1" applyFill="1" applyBorder="1"/>
    <xf numFmtId="0" fontId="29" fillId="2" borderId="28" xfId="0" applyFont="1" applyFill="1" applyBorder="1"/>
    <xf numFmtId="0" fontId="29" fillId="2" borderId="30" xfId="0" applyFont="1" applyFill="1" applyBorder="1" applyAlignment="1">
      <alignment horizontal="center" vertical="center" wrapText="1"/>
    </xf>
    <xf numFmtId="0" fontId="27" fillId="2" borderId="29" xfId="0" applyFont="1" applyFill="1" applyBorder="1" applyAlignment="1">
      <alignment horizontal="center" vertical="center"/>
    </xf>
    <xf numFmtId="0" fontId="29" fillId="2" borderId="28" xfId="0" applyFont="1" applyFill="1" applyBorder="1" applyAlignment="1">
      <alignment horizontal="justify" vertical="center" wrapText="1"/>
    </xf>
    <xf numFmtId="0" fontId="30" fillId="2" borderId="28" xfId="2" applyFont="1" applyFill="1" applyBorder="1" applyAlignment="1">
      <alignment horizontal="justify" vertical="justify" wrapText="1"/>
    </xf>
    <xf numFmtId="0" fontId="29" fillId="2" borderId="30" xfId="0" applyFont="1" applyFill="1" applyBorder="1" applyAlignment="1">
      <alignment horizontal="justify" vertical="center" wrapText="1"/>
    </xf>
    <xf numFmtId="0" fontId="29" fillId="0" borderId="28" xfId="0" applyFont="1" applyBorder="1" applyAlignment="1">
      <alignment horizontal="center" vertical="center" wrapText="1"/>
    </xf>
    <xf numFmtId="0" fontId="27" fillId="2" borderId="28" xfId="0" applyFont="1" applyFill="1" applyBorder="1"/>
    <xf numFmtId="0" fontId="29" fillId="2" borderId="28" xfId="0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3" fillId="0" borderId="28" xfId="0" applyFont="1" applyBorder="1" applyAlignment="1">
      <alignment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46" xfId="0" applyFont="1" applyFill="1" applyBorder="1" applyAlignment="1">
      <alignment horizontal="center" vertical="center" wrapText="1"/>
    </xf>
    <xf numFmtId="0" fontId="23" fillId="2" borderId="28" xfId="0" applyFont="1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/>
    </xf>
    <xf numFmtId="0" fontId="27" fillId="2" borderId="61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27" fillId="2" borderId="57" xfId="0" applyFont="1" applyFill="1" applyBorder="1" applyAlignment="1">
      <alignment horizontal="center" vertical="center" wrapText="1"/>
    </xf>
    <xf numFmtId="0" fontId="45" fillId="2" borderId="61" xfId="0" applyFont="1" applyFill="1" applyBorder="1" applyAlignment="1">
      <alignment horizontal="center" vertical="center"/>
    </xf>
    <xf numFmtId="0" fontId="45" fillId="2" borderId="7" xfId="0" applyFont="1" applyFill="1" applyBorder="1" applyAlignment="1">
      <alignment horizontal="center" vertical="center"/>
    </xf>
    <xf numFmtId="0" fontId="45" fillId="2" borderId="57" xfId="0" applyFont="1" applyFill="1" applyBorder="1" applyAlignment="1">
      <alignment horizontal="center" vertical="center"/>
    </xf>
    <xf numFmtId="164" fontId="45" fillId="2" borderId="62" xfId="0" applyNumberFormat="1" applyFont="1" applyFill="1" applyBorder="1" applyAlignment="1">
      <alignment horizontal="center" vertical="center"/>
    </xf>
    <xf numFmtId="164" fontId="45" fillId="2" borderId="58" xfId="0" applyNumberFormat="1" applyFont="1" applyFill="1" applyBorder="1" applyAlignment="1">
      <alignment horizontal="center" vertical="center"/>
    </xf>
    <xf numFmtId="164" fontId="45" fillId="2" borderId="59" xfId="0" applyNumberFormat="1" applyFont="1" applyFill="1" applyBorder="1" applyAlignment="1">
      <alignment horizontal="center" vertical="center"/>
    </xf>
    <xf numFmtId="0" fontId="28" fillId="2" borderId="7" xfId="43" applyFont="1" applyFill="1" applyBorder="1" applyAlignment="1">
      <alignment horizontal="center" vertical="center" wrapText="1"/>
    </xf>
    <xf numFmtId="0" fontId="28" fillId="2" borderId="17" xfId="43" applyFont="1" applyFill="1" applyBorder="1" applyAlignment="1">
      <alignment horizontal="center" vertical="center" wrapText="1"/>
    </xf>
    <xf numFmtId="0" fontId="28" fillId="2" borderId="0" xfId="43" applyFont="1" applyFill="1" applyBorder="1" applyAlignment="1">
      <alignment horizontal="center" vertical="center" wrapText="1"/>
    </xf>
    <xf numFmtId="0" fontId="28" fillId="2" borderId="54" xfId="43" applyFont="1" applyFill="1" applyBorder="1" applyAlignment="1">
      <alignment horizontal="center" vertical="center" wrapText="1"/>
    </xf>
    <xf numFmtId="10" fontId="45" fillId="2" borderId="58" xfId="0" applyNumberFormat="1" applyFont="1" applyFill="1" applyBorder="1" applyAlignment="1">
      <alignment horizontal="center" vertical="center"/>
    </xf>
    <xf numFmtId="0" fontId="45" fillId="2" borderId="58" xfId="0" applyFont="1" applyFill="1" applyBorder="1" applyAlignment="1">
      <alignment horizontal="center" vertical="center"/>
    </xf>
    <xf numFmtId="0" fontId="45" fillId="2" borderId="59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27" fillId="2" borderId="57" xfId="0" applyFont="1" applyFill="1" applyBorder="1" applyAlignment="1">
      <alignment horizontal="center" vertical="center"/>
    </xf>
    <xf numFmtId="9" fontId="45" fillId="2" borderId="58" xfId="0" applyNumberFormat="1" applyFont="1" applyFill="1" applyBorder="1" applyAlignment="1">
      <alignment horizontal="center" vertical="center"/>
    </xf>
    <xf numFmtId="0" fontId="29" fillId="2" borderId="17" xfId="0" applyFont="1" applyFill="1" applyBorder="1" applyAlignment="1">
      <alignment horizontal="center"/>
    </xf>
    <xf numFmtId="0" fontId="29" fillId="2" borderId="0" xfId="0" applyFont="1" applyFill="1" applyAlignment="1">
      <alignment horizontal="center"/>
    </xf>
    <xf numFmtId="0" fontId="29" fillId="2" borderId="54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9" fontId="47" fillId="2" borderId="58" xfId="0" applyNumberFormat="1" applyFont="1" applyFill="1" applyBorder="1" applyAlignment="1">
      <alignment horizontal="center" vertical="center"/>
    </xf>
    <xf numFmtId="9" fontId="47" fillId="2" borderId="59" xfId="0" applyNumberFormat="1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0" fontId="37" fillId="0" borderId="19" xfId="0" applyFont="1" applyBorder="1" applyAlignment="1">
      <alignment horizontal="center" vertical="center" wrapText="1"/>
    </xf>
    <xf numFmtId="0" fontId="37" fillId="0" borderId="20" xfId="0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37" fillId="0" borderId="50" xfId="0" applyFont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0" fontId="38" fillId="0" borderId="18" xfId="0" applyFont="1" applyBorder="1" applyAlignment="1" applyProtection="1">
      <alignment horizontal="justify" vertical="top" wrapText="1"/>
      <protection locked="0"/>
    </xf>
    <xf numFmtId="0" fontId="38" fillId="0" borderId="19" xfId="0" applyFont="1" applyBorder="1" applyAlignment="1" applyProtection="1">
      <alignment horizontal="justify" vertical="top" wrapText="1"/>
      <protection locked="0"/>
    </xf>
    <xf numFmtId="0" fontId="38" fillId="0" borderId="20" xfId="0" applyFont="1" applyBorder="1" applyAlignment="1" applyProtection="1">
      <alignment horizontal="justify" vertical="top" wrapText="1"/>
      <protection locked="0"/>
    </xf>
    <xf numFmtId="0" fontId="38" fillId="0" borderId="21" xfId="0" applyFont="1" applyBorder="1" applyAlignment="1" applyProtection="1">
      <alignment horizontal="justify" vertical="top" wrapText="1"/>
      <protection locked="0"/>
    </xf>
    <xf numFmtId="0" fontId="38" fillId="0" borderId="0" xfId="0" applyFont="1" applyAlignment="1" applyProtection="1">
      <alignment horizontal="justify" vertical="top" wrapText="1"/>
      <protection locked="0"/>
    </xf>
    <xf numFmtId="0" fontId="38" fillId="0" borderId="22" xfId="0" applyFont="1" applyBorder="1" applyAlignment="1" applyProtection="1">
      <alignment horizontal="justify" vertical="top" wrapText="1"/>
      <protection locked="0"/>
    </xf>
    <xf numFmtId="0" fontId="38" fillId="0" borderId="36" xfId="0" applyFont="1" applyBorder="1" applyAlignment="1" applyProtection="1">
      <alignment horizontal="justify" vertical="top" wrapText="1"/>
      <protection locked="0"/>
    </xf>
    <xf numFmtId="0" fontId="38" fillId="0" borderId="50" xfId="0" applyFont="1" applyBorder="1" applyAlignment="1" applyProtection="1">
      <alignment horizontal="justify" vertical="top" wrapText="1"/>
      <protection locked="0"/>
    </xf>
    <xf numFmtId="0" fontId="38" fillId="0" borderId="51" xfId="0" applyFont="1" applyBorder="1" applyAlignment="1" applyProtection="1">
      <alignment horizontal="justify" vertical="top" wrapText="1"/>
      <protection locked="0"/>
    </xf>
    <xf numFmtId="0" fontId="27" fillId="0" borderId="37" xfId="0" applyFont="1" applyBorder="1" applyAlignment="1">
      <alignment horizontal="justify" vertical="center" wrapText="1"/>
    </xf>
    <xf numFmtId="0" fontId="27" fillId="0" borderId="38" xfId="0" applyFont="1" applyBorder="1" applyAlignment="1">
      <alignment horizontal="justify" vertical="center" wrapText="1"/>
    </xf>
    <xf numFmtId="0" fontId="27" fillId="0" borderId="39" xfId="0" applyFont="1" applyBorder="1" applyAlignment="1">
      <alignment horizontal="justify" vertical="center" wrapText="1"/>
    </xf>
    <xf numFmtId="0" fontId="37" fillId="0" borderId="18" xfId="0" applyFont="1" applyBorder="1" applyAlignment="1" applyProtection="1">
      <alignment horizontal="center" vertical="center" wrapText="1"/>
      <protection locked="0"/>
    </xf>
    <xf numFmtId="0" fontId="37" fillId="0" borderId="20" xfId="0" applyFont="1" applyBorder="1" applyAlignment="1" applyProtection="1">
      <alignment horizontal="center" vertical="center" wrapText="1"/>
      <protection locked="0"/>
    </xf>
    <xf numFmtId="0" fontId="37" fillId="0" borderId="36" xfId="0" applyFont="1" applyBorder="1" applyAlignment="1" applyProtection="1">
      <alignment horizontal="center" vertical="center" wrapText="1"/>
      <protection locked="0"/>
    </xf>
    <xf numFmtId="0" fontId="37" fillId="0" borderId="51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34" fillId="0" borderId="38" xfId="0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40" fillId="0" borderId="44" xfId="0" applyFont="1" applyBorder="1" applyAlignment="1">
      <alignment horizontal="center" vertical="top"/>
    </xf>
    <xf numFmtId="0" fontId="40" fillId="0" borderId="32" xfId="0" applyFont="1" applyBorder="1" applyAlignment="1">
      <alignment horizontal="center" vertical="top"/>
    </xf>
    <xf numFmtId="0" fontId="40" fillId="0" borderId="33" xfId="0" applyFont="1" applyBorder="1" applyAlignment="1">
      <alignment horizontal="center" vertical="top"/>
    </xf>
    <xf numFmtId="0" fontId="33" fillId="2" borderId="18" xfId="1" applyFont="1" applyFill="1" applyBorder="1" applyAlignment="1">
      <alignment horizontal="center"/>
    </xf>
    <xf numFmtId="0" fontId="33" fillId="2" borderId="19" xfId="1" applyFont="1" applyFill="1" applyBorder="1" applyAlignment="1">
      <alignment horizontal="center"/>
    </xf>
    <xf numFmtId="0" fontId="33" fillId="2" borderId="20" xfId="1" applyFont="1" applyFill="1" applyBorder="1" applyAlignment="1">
      <alignment horizontal="center"/>
    </xf>
    <xf numFmtId="0" fontId="0" fillId="0" borderId="45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66" xfId="0" applyBorder="1" applyAlignment="1">
      <alignment horizontal="center" vertical="top"/>
    </xf>
    <xf numFmtId="0" fontId="0" fillId="0" borderId="46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4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4" xfId="0" applyBorder="1" applyAlignment="1">
      <alignment horizontal="center"/>
    </xf>
    <xf numFmtId="0" fontId="22" fillId="0" borderId="46" xfId="43" applyBorder="1" applyAlignment="1">
      <alignment horizontal="center"/>
    </xf>
    <xf numFmtId="0" fontId="22" fillId="0" borderId="2" xfId="43" applyBorder="1" applyAlignment="1">
      <alignment horizontal="center"/>
    </xf>
    <xf numFmtId="0" fontId="22" fillId="0" borderId="24" xfId="43" applyBorder="1" applyAlignment="1">
      <alignment horizontal="center"/>
    </xf>
    <xf numFmtId="0" fontId="22" fillId="0" borderId="64" xfId="43" applyBorder="1" applyAlignment="1">
      <alignment horizontal="center"/>
    </xf>
    <xf numFmtId="0" fontId="22" fillId="0" borderId="28" xfId="43" applyBorder="1" applyAlignment="1">
      <alignment horizontal="center"/>
    </xf>
    <xf numFmtId="0" fontId="22" fillId="0" borderId="29" xfId="43" applyBorder="1" applyAlignment="1">
      <alignment horizontal="center"/>
    </xf>
    <xf numFmtId="0" fontId="35" fillId="0" borderId="4" xfId="0" applyFont="1" applyBorder="1" applyAlignment="1">
      <alignment horizontal="center" vertical="center" wrapText="1"/>
    </xf>
    <xf numFmtId="0" fontId="35" fillId="0" borderId="46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4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51" xfId="0" applyBorder="1" applyAlignment="1">
      <alignment horizontal="center"/>
    </xf>
    <xf numFmtId="0" fontId="34" fillId="0" borderId="52" xfId="0" applyFont="1" applyBorder="1" applyAlignment="1">
      <alignment horizontal="center" vertical="center"/>
    </xf>
    <xf numFmtId="0" fontId="34" fillId="0" borderId="44" xfId="0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21" fillId="0" borderId="31" xfId="0" applyFont="1" applyBorder="1" applyAlignment="1">
      <alignment horizontal="center" vertical="justify"/>
    </xf>
    <xf numFmtId="0" fontId="21" fillId="0" borderId="32" xfId="0" applyFont="1" applyBorder="1" applyAlignment="1">
      <alignment horizontal="center" vertical="justify"/>
    </xf>
    <xf numFmtId="0" fontId="21" fillId="0" borderId="33" xfId="0" applyFont="1" applyBorder="1" applyAlignment="1">
      <alignment horizontal="center" vertical="justify"/>
    </xf>
    <xf numFmtId="0" fontId="34" fillId="0" borderId="3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42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46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/>
    </xf>
    <xf numFmtId="0" fontId="0" fillId="2" borderId="57" xfId="0" applyFill="1" applyBorder="1" applyAlignment="1">
      <alignment horizontal="center" vertical="top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5" fillId="2" borderId="3" xfId="0" applyFont="1" applyFill="1" applyBorder="1" applyAlignment="1">
      <alignment horizontal="center" vertical="center"/>
    </xf>
    <xf numFmtId="9" fontId="45" fillId="2" borderId="7" xfId="0" applyNumberFormat="1" applyFont="1" applyFill="1" applyBorder="1" applyAlignment="1">
      <alignment horizontal="center" vertical="center"/>
    </xf>
    <xf numFmtId="10" fontId="45" fillId="2" borderId="7" xfId="0" applyNumberFormat="1" applyFont="1" applyFill="1" applyBorder="1" applyAlignment="1">
      <alignment horizontal="center" vertical="center"/>
    </xf>
    <xf numFmtId="0" fontId="23" fillId="2" borderId="56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45" xfId="0" applyFont="1" applyFill="1" applyBorder="1" applyAlignment="1">
      <alignment horizontal="center" vertical="center" wrapText="1"/>
    </xf>
    <xf numFmtId="0" fontId="41" fillId="0" borderId="52" xfId="0" applyFont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0" fontId="41" fillId="0" borderId="44" xfId="0" applyFont="1" applyBorder="1" applyAlignment="1">
      <alignment horizontal="center" vertical="center" wrapText="1"/>
    </xf>
    <xf numFmtId="0" fontId="23" fillId="2" borderId="28" xfId="0" applyFont="1" applyFill="1" applyBorder="1" applyAlignment="1">
      <alignment horizontal="center" vertical="center" wrapText="1"/>
    </xf>
    <xf numFmtId="0" fontId="41" fillId="2" borderId="3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71" xfId="0" applyFont="1" applyFill="1" applyBorder="1" applyAlignment="1">
      <alignment horizontal="center" wrapText="1"/>
    </xf>
    <xf numFmtId="0" fontId="23" fillId="2" borderId="68" xfId="0" applyFont="1" applyFill="1" applyBorder="1" applyAlignment="1">
      <alignment horizontal="center" wrapText="1"/>
    </xf>
    <xf numFmtId="0" fontId="23" fillId="2" borderId="60" xfId="0" applyFont="1" applyFill="1" applyBorder="1" applyAlignment="1">
      <alignment horizontal="center" wrapText="1"/>
    </xf>
    <xf numFmtId="0" fontId="23" fillId="2" borderId="16" xfId="0" applyFont="1" applyFill="1" applyBorder="1" applyAlignment="1">
      <alignment horizontal="center" vertical="center" wrapText="1"/>
    </xf>
    <xf numFmtId="0" fontId="42" fillId="2" borderId="2" xfId="0" applyFont="1" applyFill="1" applyBorder="1" applyAlignment="1">
      <alignment horizontal="center" vertical="center" wrapText="1"/>
    </xf>
    <xf numFmtId="0" fontId="23" fillId="2" borderId="50" xfId="0" applyFont="1" applyFill="1" applyBorder="1" applyAlignment="1">
      <alignment horizontal="center"/>
    </xf>
    <xf numFmtId="0" fontId="23" fillId="2" borderId="0" xfId="0" applyFont="1" applyFill="1" applyAlignment="1">
      <alignment horizontal="center"/>
    </xf>
    <xf numFmtId="0" fontId="43" fillId="2" borderId="32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23" fillId="2" borderId="26" xfId="0" applyFont="1" applyFill="1" applyBorder="1" applyAlignment="1">
      <alignment horizontal="center" wrapText="1"/>
    </xf>
    <xf numFmtId="0" fontId="23" fillId="2" borderId="2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31" fillId="2" borderId="46" xfId="0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horizontal="center" vertical="center" wrapText="1"/>
    </xf>
    <xf numFmtId="0" fontId="42" fillId="2" borderId="5" xfId="0" applyFont="1" applyFill="1" applyBorder="1" applyAlignment="1">
      <alignment horizontal="center" vertical="center" wrapText="1"/>
    </xf>
    <xf numFmtId="0" fontId="42" fillId="2" borderId="46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23" fillId="2" borderId="54" xfId="0" applyFont="1" applyFill="1" applyBorder="1" applyAlignment="1">
      <alignment horizontal="center"/>
    </xf>
    <xf numFmtId="0" fontId="34" fillId="2" borderId="0" xfId="0" applyFont="1" applyFill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45" fillId="0" borderId="7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10" fontId="45" fillId="0" borderId="58" xfId="0" applyNumberFormat="1" applyFont="1" applyBorder="1" applyAlignment="1">
      <alignment horizontal="center" vertical="center"/>
    </xf>
    <xf numFmtId="0" fontId="45" fillId="0" borderId="58" xfId="0" applyFont="1" applyBorder="1" applyAlignment="1">
      <alignment horizontal="center" vertical="center"/>
    </xf>
    <xf numFmtId="0" fontId="45" fillId="0" borderId="59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9" fontId="45" fillId="0" borderId="7" xfId="0" applyNumberFormat="1" applyFont="1" applyBorder="1" applyAlignment="1">
      <alignment horizontal="center" vertical="center"/>
    </xf>
    <xf numFmtId="9" fontId="45" fillId="0" borderId="3" xfId="0" applyNumberFormat="1" applyFont="1" applyBorder="1" applyAlignment="1">
      <alignment horizontal="center" vertical="center"/>
    </xf>
    <xf numFmtId="9" fontId="45" fillId="2" borderId="66" xfId="0" applyNumberFormat="1" applyFont="1" applyFill="1" applyBorder="1" applyAlignment="1">
      <alignment horizontal="center" vertical="center"/>
    </xf>
    <xf numFmtId="0" fontId="47" fillId="2" borderId="7" xfId="0" applyFont="1" applyFill="1" applyBorder="1" applyAlignment="1">
      <alignment horizontal="center" vertical="center"/>
    </xf>
    <xf numFmtId="0" fontId="47" fillId="2" borderId="57" xfId="0" applyFont="1" applyFill="1" applyBorder="1" applyAlignment="1">
      <alignment horizontal="center" vertical="center"/>
    </xf>
    <xf numFmtId="0" fontId="47" fillId="2" borderId="58" xfId="0" applyFont="1" applyFill="1" applyBorder="1" applyAlignment="1">
      <alignment horizontal="center" vertical="center"/>
    </xf>
    <xf numFmtId="0" fontId="47" fillId="2" borderId="59" xfId="0" applyFont="1" applyFill="1" applyBorder="1" applyAlignment="1">
      <alignment horizontal="center" vertical="center"/>
    </xf>
    <xf numFmtId="0" fontId="45" fillId="2" borderId="66" xfId="0" applyFont="1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0" fontId="0" fillId="0" borderId="62" xfId="0" applyNumberFormat="1" applyBorder="1" applyAlignment="1">
      <alignment horizontal="center" vertical="center"/>
    </xf>
    <xf numFmtId="10" fontId="0" fillId="0" borderId="58" xfId="0" applyNumberFormat="1" applyBorder="1" applyAlignment="1">
      <alignment horizontal="center" vertical="center"/>
    </xf>
    <xf numFmtId="10" fontId="0" fillId="0" borderId="59" xfId="0" applyNumberForma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62" xfId="0" applyNumberFormat="1" applyBorder="1" applyAlignment="1">
      <alignment horizontal="center" vertical="center"/>
    </xf>
    <xf numFmtId="164" fontId="0" fillId="0" borderId="58" xfId="0" applyNumberFormat="1" applyBorder="1" applyAlignment="1">
      <alignment horizontal="center" vertical="center"/>
    </xf>
    <xf numFmtId="164" fontId="0" fillId="0" borderId="59" xfId="0" applyNumberFormat="1" applyBorder="1" applyAlignment="1">
      <alignment horizontal="center" vertical="center"/>
    </xf>
    <xf numFmtId="0" fontId="0" fillId="0" borderId="65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41" fillId="2" borderId="44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wrapText="1"/>
    </xf>
    <xf numFmtId="0" fontId="41" fillId="2" borderId="40" xfId="0" applyFont="1" applyFill="1" applyBorder="1" applyAlignment="1">
      <alignment horizontal="center" vertical="center" wrapText="1"/>
    </xf>
    <xf numFmtId="0" fontId="41" fillId="2" borderId="37" xfId="0" applyFont="1" applyFill="1" applyBorder="1" applyAlignment="1">
      <alignment horizontal="center" vertical="center" wrapText="1"/>
    </xf>
    <xf numFmtId="0" fontId="41" fillId="2" borderId="44" xfId="0" applyFont="1" applyFill="1" applyBorder="1" applyAlignment="1">
      <alignment horizontal="center" vertical="center" wrapText="1"/>
    </xf>
    <xf numFmtId="0" fontId="41" fillId="2" borderId="31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24" fillId="0" borderId="3" xfId="43" applyFont="1" applyFill="1" applyBorder="1" applyAlignment="1">
      <alignment vertical="center" wrapText="1"/>
    </xf>
    <xf numFmtId="0" fontId="41" fillId="0" borderId="40" xfId="0" applyFont="1" applyBorder="1" applyAlignment="1">
      <alignment horizontal="center" vertical="center" wrapText="1"/>
    </xf>
    <xf numFmtId="0" fontId="26" fillId="2" borderId="40" xfId="0" applyFont="1" applyFill="1" applyBorder="1" applyAlignment="1">
      <alignment horizontal="center" vertical="center" wrapText="1"/>
    </xf>
    <xf numFmtId="0" fontId="41" fillId="0" borderId="32" xfId="0" applyFont="1" applyBorder="1" applyAlignment="1">
      <alignment horizontal="center" wrapText="1"/>
    </xf>
    <xf numFmtId="0" fontId="19" fillId="0" borderId="25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58" xfId="0" applyFont="1" applyBorder="1" applyAlignment="1">
      <alignment horizontal="center"/>
    </xf>
    <xf numFmtId="0" fontId="19" fillId="0" borderId="69" xfId="0" applyFont="1" applyBorder="1" applyAlignment="1">
      <alignment horizontal="center"/>
    </xf>
    <xf numFmtId="0" fontId="19" fillId="0" borderId="57" xfId="0" applyFont="1" applyBorder="1" applyAlignment="1">
      <alignment horizontal="center"/>
    </xf>
    <xf numFmtId="0" fontId="19" fillId="0" borderId="59" xfId="0" applyFont="1" applyBorder="1" applyAlignment="1">
      <alignment horizontal="center"/>
    </xf>
    <xf numFmtId="0" fontId="19" fillId="0" borderId="70" xfId="0" applyFont="1" applyBorder="1" applyAlignment="1">
      <alignment horizontal="center"/>
    </xf>
    <xf numFmtId="0" fontId="19" fillId="0" borderId="43" xfId="0" applyFont="1" applyBorder="1" applyAlignment="1">
      <alignment horizontal="center"/>
    </xf>
    <xf numFmtId="0" fontId="19" fillId="0" borderId="37" xfId="0" applyFont="1" applyBorder="1" applyAlignment="1">
      <alignment horizontal="center"/>
    </xf>
    <xf numFmtId="0" fontId="19" fillId="0" borderId="38" xfId="0" applyFont="1" applyBorder="1" applyAlignment="1">
      <alignment horizontal="center"/>
    </xf>
    <xf numFmtId="0" fontId="19" fillId="0" borderId="39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22" xfId="0" applyFont="1" applyBorder="1" applyAlignment="1">
      <alignment horizontal="center"/>
    </xf>
    <xf numFmtId="0" fontId="48" fillId="25" borderId="37" xfId="0" applyFont="1" applyFill="1" applyBorder="1" applyAlignment="1">
      <alignment horizontal="center" wrapText="1"/>
    </xf>
    <xf numFmtId="0" fontId="48" fillId="25" borderId="39" xfId="0" applyFont="1" applyFill="1" applyBorder="1" applyAlignment="1">
      <alignment horizont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48" fillId="25" borderId="41" xfId="0" applyFont="1" applyFill="1" applyBorder="1" applyAlignment="1">
      <alignment horizontal="center" vertical="center" wrapText="1"/>
    </xf>
  </cellXfs>
  <cellStyles count="44">
    <cellStyle name="20% - Énfasis1 2" xfId="3" xr:uid="{00000000-0005-0000-0000-000000000000}"/>
    <cellStyle name="20% - Énfasis2 2" xfId="4" xr:uid="{00000000-0005-0000-0000-000001000000}"/>
    <cellStyle name="20% - Énfasis3 2" xfId="5" xr:uid="{00000000-0005-0000-0000-000002000000}"/>
    <cellStyle name="20% - Énfasis4 2" xfId="6" xr:uid="{00000000-0005-0000-0000-000003000000}"/>
    <cellStyle name="20% - Énfasis5 2" xfId="7" xr:uid="{00000000-0005-0000-0000-000004000000}"/>
    <cellStyle name="20% - Énfasis6 2" xfId="8" xr:uid="{00000000-0005-0000-0000-000005000000}"/>
    <cellStyle name="40% - Énfasis1 2" xfId="9" xr:uid="{00000000-0005-0000-0000-000006000000}"/>
    <cellStyle name="40% - Énfasis2 2" xfId="10" xr:uid="{00000000-0005-0000-0000-000007000000}"/>
    <cellStyle name="40% - Énfasis3 2" xfId="11" xr:uid="{00000000-0005-0000-0000-000008000000}"/>
    <cellStyle name="40% - Énfasis4 2" xfId="12" xr:uid="{00000000-0005-0000-0000-000009000000}"/>
    <cellStyle name="40% - Énfasis5 2" xfId="13" xr:uid="{00000000-0005-0000-0000-00000A000000}"/>
    <cellStyle name="40% - Énfasis6 2" xfId="14" xr:uid="{00000000-0005-0000-0000-00000B000000}"/>
    <cellStyle name="60% - Énfasis1 2" xfId="15" xr:uid="{00000000-0005-0000-0000-00000C000000}"/>
    <cellStyle name="60% - Énfasis2 2" xfId="16" xr:uid="{00000000-0005-0000-0000-00000D000000}"/>
    <cellStyle name="60% - Énfasis3 2" xfId="17" xr:uid="{00000000-0005-0000-0000-00000E000000}"/>
    <cellStyle name="60% - Énfasis4 2" xfId="18" xr:uid="{00000000-0005-0000-0000-00000F000000}"/>
    <cellStyle name="60% - Énfasis5 2" xfId="19" xr:uid="{00000000-0005-0000-0000-000010000000}"/>
    <cellStyle name="60% - Énfasis6 2" xfId="20" xr:uid="{00000000-0005-0000-0000-000011000000}"/>
    <cellStyle name="Buena 2" xfId="21" xr:uid="{00000000-0005-0000-0000-000012000000}"/>
    <cellStyle name="Cálculo 2" xfId="22" xr:uid="{00000000-0005-0000-0000-000013000000}"/>
    <cellStyle name="Celda de comprobación 2" xfId="23" xr:uid="{00000000-0005-0000-0000-000014000000}"/>
    <cellStyle name="Celda vinculada 2" xfId="24" xr:uid="{00000000-0005-0000-0000-000015000000}"/>
    <cellStyle name="Encabezado 1" xfId="1" builtinId="16"/>
    <cellStyle name="Encabezado 4 2" xfId="25" xr:uid="{00000000-0005-0000-0000-000017000000}"/>
    <cellStyle name="Énfasis1 2" xfId="26" xr:uid="{00000000-0005-0000-0000-000018000000}"/>
    <cellStyle name="Énfasis2 2" xfId="27" xr:uid="{00000000-0005-0000-0000-000019000000}"/>
    <cellStyle name="Énfasis3 2" xfId="28" xr:uid="{00000000-0005-0000-0000-00001A000000}"/>
    <cellStyle name="Énfasis4 2" xfId="29" xr:uid="{00000000-0005-0000-0000-00001B000000}"/>
    <cellStyle name="Énfasis5 2" xfId="30" xr:uid="{00000000-0005-0000-0000-00001C000000}"/>
    <cellStyle name="Énfasis6 2" xfId="31" xr:uid="{00000000-0005-0000-0000-00001D000000}"/>
    <cellStyle name="Entrada 2" xfId="32" xr:uid="{00000000-0005-0000-0000-00001E000000}"/>
    <cellStyle name="Hipervínculo" xfId="43" builtinId="8"/>
    <cellStyle name="Incorrecto 2" xfId="33" xr:uid="{00000000-0005-0000-0000-000020000000}"/>
    <cellStyle name="Neutral 2" xfId="34" xr:uid="{00000000-0005-0000-0000-000021000000}"/>
    <cellStyle name="Normal" xfId="0" builtinId="0"/>
    <cellStyle name="Normal 2" xfId="2" xr:uid="{00000000-0005-0000-0000-000023000000}"/>
    <cellStyle name="Notas 2" xfId="35" xr:uid="{00000000-0005-0000-0000-000024000000}"/>
    <cellStyle name="Salida 2" xfId="36" xr:uid="{00000000-0005-0000-0000-000025000000}"/>
    <cellStyle name="Texto de advertencia 2" xfId="37" xr:uid="{00000000-0005-0000-0000-000026000000}"/>
    <cellStyle name="Texto explicativo 2" xfId="38" xr:uid="{00000000-0005-0000-0000-000027000000}"/>
    <cellStyle name="Título 2 2" xfId="40" xr:uid="{00000000-0005-0000-0000-000028000000}"/>
    <cellStyle name="Título 3 2" xfId="41" xr:uid="{00000000-0005-0000-0000-000029000000}"/>
    <cellStyle name="Título 4" xfId="39" xr:uid="{00000000-0005-0000-0000-00002A000000}"/>
    <cellStyle name="Total 2" xfId="42" xr:uid="{00000000-0005-0000-0000-00002B000000}"/>
  </cellStyles>
  <dxfs count="32"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8</xdr:row>
      <xdr:rowOff>190499</xdr:rowOff>
    </xdr:from>
    <xdr:to>
      <xdr:col>9</xdr:col>
      <xdr:colOff>1371600</xdr:colOff>
      <xdr:row>9</xdr:row>
      <xdr:rowOff>962269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04B37C5-F435-4F7C-82E8-938C36AC6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2457449"/>
          <a:ext cx="1914525" cy="962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203155</xdr:colOff>
      <xdr:row>2</xdr:row>
      <xdr:rowOff>181841</xdr:rowOff>
    </xdr:from>
    <xdr:to>
      <xdr:col>3</xdr:col>
      <xdr:colOff>449498</xdr:colOff>
      <xdr:row>6</xdr:row>
      <xdr:rowOff>247650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63F8745-1FF4-4C07-8A89-ED6E47BF6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155" y="1105766"/>
          <a:ext cx="1770343" cy="942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203156</xdr:colOff>
      <xdr:row>1</xdr:row>
      <xdr:rowOff>86591</xdr:rowOff>
    </xdr:from>
    <xdr:to>
      <xdr:col>1</xdr:col>
      <xdr:colOff>1454728</xdr:colOff>
      <xdr:row>5</xdr:row>
      <xdr:rowOff>102637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7EA74F-0C1B-4AB6-A3B8-FD2B35828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156" y="285750"/>
          <a:ext cx="1251572" cy="812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177177</xdr:colOff>
      <xdr:row>1</xdr:row>
      <xdr:rowOff>77933</xdr:rowOff>
    </xdr:from>
    <xdr:to>
      <xdr:col>2</xdr:col>
      <xdr:colOff>943839</xdr:colOff>
      <xdr:row>5</xdr:row>
      <xdr:rowOff>273307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F663B2-1BD6-425F-98C0-07A5E1778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177" y="277092"/>
          <a:ext cx="1485367" cy="992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607218</xdr:colOff>
      <xdr:row>1</xdr:row>
      <xdr:rowOff>146123</xdr:rowOff>
    </xdr:from>
    <xdr:to>
      <xdr:col>1</xdr:col>
      <xdr:colOff>559592</xdr:colOff>
      <xdr:row>5</xdr:row>
      <xdr:rowOff>71438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117C680-1B94-4226-A807-EBA846B02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8" y="348529"/>
          <a:ext cx="1452562" cy="687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1</xdr:row>
      <xdr:rowOff>119930</xdr:rowOff>
    </xdr:from>
    <xdr:to>
      <xdr:col>1</xdr:col>
      <xdr:colOff>1452958</xdr:colOff>
      <xdr:row>5</xdr:row>
      <xdr:rowOff>10583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DB7996-BF21-47A8-9099-5824F90A1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4" y="321013"/>
          <a:ext cx="1424384" cy="694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115165</xdr:colOff>
      <xdr:row>1</xdr:row>
      <xdr:rowOff>119930</xdr:rowOff>
    </xdr:from>
    <xdr:to>
      <xdr:col>1</xdr:col>
      <xdr:colOff>1385455</xdr:colOff>
      <xdr:row>5</xdr:row>
      <xdr:rowOff>43295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0102F4-EE63-4894-9735-53D1E243F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006" y="319089"/>
          <a:ext cx="1270290" cy="720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78920</xdr:colOff>
      <xdr:row>1</xdr:row>
      <xdr:rowOff>134899</xdr:rowOff>
    </xdr:from>
    <xdr:to>
      <xdr:col>1</xdr:col>
      <xdr:colOff>1265464</xdr:colOff>
      <xdr:row>5</xdr:row>
      <xdr:rowOff>71316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CD4D17-DFA3-4F6C-9CFB-F8BF88993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813" y="339006"/>
          <a:ext cx="1186544" cy="752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2D249-4F74-454D-995C-7942C3645D38}">
  <sheetPr>
    <tabColor theme="5"/>
  </sheetPr>
  <dimension ref="A2:J23"/>
  <sheetViews>
    <sheetView tabSelected="1" topLeftCell="A6" zoomScale="90" zoomScaleNormal="90" workbookViewId="0">
      <selection activeCell="R26" sqref="R26"/>
    </sheetView>
  </sheetViews>
  <sheetFormatPr baseColWidth="10" defaultRowHeight="15" x14ac:dyDescent="0.25"/>
  <cols>
    <col min="2" max="2" width="10.140625" customWidth="1"/>
    <col min="3" max="3" width="8.28515625" customWidth="1"/>
    <col min="4" max="4" width="9" customWidth="1"/>
    <col min="7" max="7" width="3.28515625" customWidth="1"/>
    <col min="10" max="10" width="24" customWidth="1"/>
  </cols>
  <sheetData>
    <row r="2" spans="1:10" ht="57.75" customHeight="1" thickBot="1" x14ac:dyDescent="0.3"/>
    <row r="3" spans="1:10" ht="15.75" customHeight="1" thickBot="1" x14ac:dyDescent="0.3">
      <c r="A3" s="262"/>
      <c r="B3" s="265"/>
      <c r="C3" s="266"/>
      <c r="D3" s="267"/>
      <c r="E3" s="437" t="s">
        <v>34</v>
      </c>
      <c r="F3" s="438"/>
      <c r="G3" s="438"/>
      <c r="H3" s="438"/>
      <c r="I3" s="438"/>
      <c r="J3" s="439"/>
    </row>
    <row r="4" spans="1:10" ht="18.75" customHeight="1" thickBot="1" x14ac:dyDescent="0.3">
      <c r="A4" s="262"/>
      <c r="B4" s="268"/>
      <c r="C4" s="262"/>
      <c r="D4" s="269"/>
      <c r="E4" s="440"/>
      <c r="F4" s="441" t="s">
        <v>33</v>
      </c>
      <c r="G4" s="441"/>
      <c r="H4" s="441"/>
      <c r="I4" s="441"/>
      <c r="J4" s="442"/>
    </row>
    <row r="5" spans="1:10" ht="18.75" customHeight="1" thickBot="1" x14ac:dyDescent="0.3">
      <c r="A5" s="262"/>
      <c r="B5" s="268"/>
      <c r="C5" s="262"/>
      <c r="D5" s="269"/>
      <c r="E5" s="443" t="s">
        <v>35</v>
      </c>
      <c r="F5" s="441"/>
      <c r="G5" s="441"/>
      <c r="H5" s="441"/>
      <c r="I5" s="441"/>
      <c r="J5" s="442"/>
    </row>
    <row r="6" spans="1:10" ht="16.5" thickBot="1" x14ac:dyDescent="0.3">
      <c r="A6" s="262"/>
      <c r="B6" s="268"/>
      <c r="C6" s="262"/>
      <c r="D6" s="269"/>
      <c r="E6" s="444" t="s">
        <v>43</v>
      </c>
      <c r="F6" s="445"/>
      <c r="G6" s="445"/>
      <c r="H6" s="445"/>
      <c r="I6" s="445"/>
      <c r="J6" s="446"/>
    </row>
    <row r="7" spans="1:10" ht="26.25" customHeight="1" thickBot="1" x14ac:dyDescent="0.3">
      <c r="A7" s="262"/>
      <c r="B7" s="268"/>
      <c r="C7" s="262"/>
      <c r="D7" s="269"/>
      <c r="E7" s="443" t="s">
        <v>77</v>
      </c>
      <c r="F7" s="441"/>
      <c r="G7" s="442"/>
      <c r="H7" s="443" t="s">
        <v>76</v>
      </c>
      <c r="I7" s="442"/>
      <c r="J7" s="447" t="s">
        <v>78</v>
      </c>
    </row>
    <row r="8" spans="1:10" ht="10.5" customHeight="1" thickBot="1" x14ac:dyDescent="0.3">
      <c r="B8" s="270"/>
      <c r="C8" s="271"/>
      <c r="D8" s="271"/>
      <c r="E8" s="271"/>
      <c r="F8" s="271"/>
      <c r="G8" s="271"/>
      <c r="H8" s="271"/>
      <c r="I8" s="271"/>
      <c r="J8" s="272"/>
    </row>
    <row r="9" spans="1:10" x14ac:dyDescent="0.25">
      <c r="B9" s="240" t="s">
        <v>44</v>
      </c>
      <c r="C9" s="241"/>
      <c r="D9" s="241"/>
      <c r="E9" s="241"/>
      <c r="F9" s="241"/>
      <c r="G9" s="241"/>
      <c r="H9" s="242"/>
      <c r="I9" s="258"/>
      <c r="J9" s="259"/>
    </row>
    <row r="10" spans="1:10" ht="93.75" customHeight="1" thickBot="1" x14ac:dyDescent="0.3">
      <c r="B10" s="243"/>
      <c r="C10" s="244"/>
      <c r="D10" s="244"/>
      <c r="E10" s="244"/>
      <c r="F10" s="244"/>
      <c r="G10" s="244"/>
      <c r="H10" s="245"/>
      <c r="I10" s="260"/>
      <c r="J10" s="261"/>
    </row>
    <row r="11" spans="1:10" x14ac:dyDescent="0.25">
      <c r="B11" s="246"/>
      <c r="C11" s="247"/>
      <c r="D11" s="247"/>
      <c r="E11" s="247"/>
      <c r="F11" s="247"/>
      <c r="G11" s="247"/>
      <c r="H11" s="247"/>
      <c r="I11" s="247"/>
      <c r="J11" s="248"/>
    </row>
    <row r="12" spans="1:10" x14ac:dyDescent="0.25">
      <c r="B12" s="249"/>
      <c r="C12" s="250"/>
      <c r="D12" s="250"/>
      <c r="E12" s="250"/>
      <c r="F12" s="250"/>
      <c r="G12" s="250"/>
      <c r="H12" s="250"/>
      <c r="I12" s="250"/>
      <c r="J12" s="251"/>
    </row>
    <row r="13" spans="1:10" x14ac:dyDescent="0.25">
      <c r="B13" s="249"/>
      <c r="C13" s="250"/>
      <c r="D13" s="250"/>
      <c r="E13" s="250"/>
      <c r="F13" s="250"/>
      <c r="G13" s="250"/>
      <c r="H13" s="250"/>
      <c r="I13" s="250"/>
      <c r="J13" s="251"/>
    </row>
    <row r="14" spans="1:10" x14ac:dyDescent="0.25">
      <c r="B14" s="249"/>
      <c r="C14" s="250"/>
      <c r="D14" s="250"/>
      <c r="E14" s="250"/>
      <c r="F14" s="250"/>
      <c r="G14" s="250"/>
      <c r="H14" s="250"/>
      <c r="I14" s="250"/>
      <c r="J14" s="251"/>
    </row>
    <row r="15" spans="1:10" x14ac:dyDescent="0.25">
      <c r="B15" s="249"/>
      <c r="C15" s="250"/>
      <c r="D15" s="250"/>
      <c r="E15" s="250"/>
      <c r="F15" s="250"/>
      <c r="G15" s="250"/>
      <c r="H15" s="250"/>
      <c r="I15" s="250"/>
      <c r="J15" s="251"/>
    </row>
    <row r="16" spans="1:10" x14ac:dyDescent="0.25">
      <c r="B16" s="249"/>
      <c r="C16" s="250"/>
      <c r="D16" s="250"/>
      <c r="E16" s="250"/>
      <c r="F16" s="250"/>
      <c r="G16" s="250"/>
      <c r="H16" s="250"/>
      <c r="I16" s="250"/>
      <c r="J16" s="251"/>
    </row>
    <row r="17" spans="2:10" ht="64.5" customHeight="1" x14ac:dyDescent="0.25">
      <c r="B17" s="249"/>
      <c r="C17" s="250"/>
      <c r="D17" s="250"/>
      <c r="E17" s="250"/>
      <c r="F17" s="250"/>
      <c r="G17" s="250"/>
      <c r="H17" s="250"/>
      <c r="I17" s="250"/>
      <c r="J17" s="251"/>
    </row>
    <row r="18" spans="2:10" x14ac:dyDescent="0.25">
      <c r="B18" s="249"/>
      <c r="C18" s="250"/>
      <c r="D18" s="250"/>
      <c r="E18" s="250"/>
      <c r="F18" s="250"/>
      <c r="G18" s="250"/>
      <c r="H18" s="250"/>
      <c r="I18" s="250"/>
      <c r="J18" s="251"/>
    </row>
    <row r="19" spans="2:10" x14ac:dyDescent="0.25">
      <c r="B19" s="249"/>
      <c r="C19" s="250"/>
      <c r="D19" s="250"/>
      <c r="E19" s="250"/>
      <c r="F19" s="250"/>
      <c r="G19" s="250"/>
      <c r="H19" s="250"/>
      <c r="I19" s="250"/>
      <c r="J19" s="251"/>
    </row>
    <row r="20" spans="2:10" ht="45" customHeight="1" thickBot="1" x14ac:dyDescent="0.3">
      <c r="B20" s="252"/>
      <c r="C20" s="253"/>
      <c r="D20" s="253"/>
      <c r="E20" s="253"/>
      <c r="F20" s="253"/>
      <c r="G20" s="253"/>
      <c r="H20" s="253"/>
      <c r="I20" s="253"/>
      <c r="J20" s="254"/>
    </row>
    <row r="21" spans="2:10" ht="6" customHeight="1" thickBot="1" x14ac:dyDescent="0.3">
      <c r="B21" s="68"/>
      <c r="C21" s="68"/>
      <c r="D21" s="68"/>
      <c r="E21" s="68"/>
      <c r="F21" s="68"/>
      <c r="G21" s="68"/>
      <c r="H21" s="68"/>
      <c r="I21" s="68"/>
      <c r="J21" s="68"/>
    </row>
    <row r="22" spans="2:10" ht="60.75" customHeight="1" thickBot="1" x14ac:dyDescent="0.3">
      <c r="B22" s="255"/>
      <c r="C22" s="256"/>
      <c r="D22" s="256"/>
      <c r="E22" s="256"/>
      <c r="F22" s="256"/>
      <c r="G22" s="256"/>
      <c r="H22" s="256"/>
      <c r="I22" s="256"/>
      <c r="J22" s="257"/>
    </row>
    <row r="23" spans="2:10" x14ac:dyDescent="0.25">
      <c r="B23" s="69"/>
      <c r="C23" s="69"/>
      <c r="D23" s="69"/>
      <c r="E23" s="69"/>
      <c r="F23" s="69"/>
      <c r="G23" s="69"/>
      <c r="H23" s="69"/>
      <c r="I23" s="69"/>
      <c r="J23" s="69"/>
    </row>
  </sheetData>
  <mergeCells count="13">
    <mergeCell ref="B9:H10"/>
    <mergeCell ref="B11:J20"/>
    <mergeCell ref="B22:J22"/>
    <mergeCell ref="I9:J10"/>
    <mergeCell ref="A3:A7"/>
    <mergeCell ref="E3:J3"/>
    <mergeCell ref="F4:J4"/>
    <mergeCell ref="E5:J5"/>
    <mergeCell ref="E6:J6"/>
    <mergeCell ref="E7:G7"/>
    <mergeCell ref="H7:I7"/>
    <mergeCell ref="B3:D7"/>
    <mergeCell ref="B8:J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B1:K22"/>
  <sheetViews>
    <sheetView zoomScale="110" zoomScaleNormal="110" workbookViewId="0">
      <selection activeCell="C2" sqref="C2:K6"/>
    </sheetView>
  </sheetViews>
  <sheetFormatPr baseColWidth="10" defaultRowHeight="15" x14ac:dyDescent="0.25"/>
  <cols>
    <col min="2" max="2" width="26.140625" customWidth="1"/>
    <col min="3" max="3" width="4.42578125" customWidth="1"/>
    <col min="4" max="4" width="7" customWidth="1"/>
    <col min="5" max="5" width="6.140625" customWidth="1"/>
    <col min="6" max="6" width="8.140625" customWidth="1"/>
    <col min="7" max="7" width="11.28515625" customWidth="1"/>
    <col min="8" max="8" width="6.5703125" customWidth="1"/>
    <col min="11" max="11" width="8.42578125" customWidth="1"/>
  </cols>
  <sheetData>
    <row r="1" spans="2:11" ht="15.75" thickBot="1" x14ac:dyDescent="0.3"/>
    <row r="2" spans="2:11" ht="16.5" thickBot="1" x14ac:dyDescent="0.3">
      <c r="B2" s="235"/>
      <c r="C2" s="431" t="s">
        <v>34</v>
      </c>
      <c r="D2" s="431"/>
      <c r="E2" s="431"/>
      <c r="F2" s="431"/>
      <c r="G2" s="431"/>
      <c r="H2" s="431"/>
      <c r="I2" s="431"/>
      <c r="J2" s="431"/>
      <c r="K2" s="432"/>
    </row>
    <row r="3" spans="2:11" ht="16.5" thickBot="1" x14ac:dyDescent="0.3">
      <c r="B3" s="236"/>
      <c r="C3" s="428" t="s">
        <v>33</v>
      </c>
      <c r="D3" s="429"/>
      <c r="E3" s="429"/>
      <c r="F3" s="429"/>
      <c r="G3" s="429"/>
      <c r="H3" s="429"/>
      <c r="I3" s="429"/>
      <c r="J3" s="429"/>
      <c r="K3" s="430"/>
    </row>
    <row r="4" spans="2:11" ht="16.5" thickBot="1" x14ac:dyDescent="0.3">
      <c r="B4" s="236"/>
      <c r="C4" s="428" t="s">
        <v>35</v>
      </c>
      <c r="D4" s="429"/>
      <c r="E4" s="429"/>
      <c r="F4" s="429"/>
      <c r="G4" s="429"/>
      <c r="H4" s="429"/>
      <c r="I4" s="429"/>
      <c r="J4" s="429"/>
      <c r="K4" s="430"/>
    </row>
    <row r="5" spans="2:11" ht="16.5" thickBot="1" x14ac:dyDescent="0.3">
      <c r="B5" s="236"/>
      <c r="C5" s="433" t="s">
        <v>43</v>
      </c>
      <c r="D5" s="433"/>
      <c r="E5" s="433"/>
      <c r="F5" s="433"/>
      <c r="G5" s="433"/>
      <c r="H5" s="433"/>
      <c r="I5" s="433"/>
      <c r="J5" s="433"/>
      <c r="K5" s="434"/>
    </row>
    <row r="6" spans="2:11" ht="16.5" thickBot="1" x14ac:dyDescent="0.3">
      <c r="B6" s="237"/>
      <c r="C6" s="428" t="s">
        <v>77</v>
      </c>
      <c r="D6" s="429"/>
      <c r="E6" s="429"/>
      <c r="F6" s="430"/>
      <c r="G6" s="428" t="s">
        <v>76</v>
      </c>
      <c r="H6" s="429"/>
      <c r="I6" s="430"/>
      <c r="J6" s="435" t="s">
        <v>79</v>
      </c>
      <c r="K6" s="436"/>
    </row>
    <row r="7" spans="2:11" ht="6" customHeight="1" thickBot="1" x14ac:dyDescent="0.3">
      <c r="B7" s="266"/>
      <c r="C7" s="266"/>
      <c r="D7" s="266"/>
      <c r="E7" s="266"/>
      <c r="F7" s="266"/>
      <c r="G7" s="266"/>
      <c r="H7" s="266"/>
      <c r="I7" s="266"/>
      <c r="J7" s="266"/>
      <c r="K7" s="266"/>
    </row>
    <row r="8" spans="2:11" ht="20.25" thickBot="1" x14ac:dyDescent="0.35">
      <c r="B8" s="276" t="s">
        <v>8</v>
      </c>
      <c r="C8" s="277"/>
      <c r="D8" s="277"/>
      <c r="E8" s="277"/>
      <c r="F8" s="277"/>
      <c r="G8" s="277"/>
      <c r="H8" s="277"/>
      <c r="I8" s="277"/>
      <c r="J8" s="277"/>
      <c r="K8" s="278"/>
    </row>
    <row r="9" spans="2:11" ht="21.75" thickBot="1" x14ac:dyDescent="0.3">
      <c r="B9" s="46" t="s">
        <v>1</v>
      </c>
      <c r="C9" s="273"/>
      <c r="D9" s="274"/>
      <c r="E9" s="274"/>
      <c r="F9" s="274"/>
      <c r="G9" s="274"/>
      <c r="H9" s="274"/>
      <c r="I9" s="274"/>
      <c r="J9" s="274"/>
      <c r="K9" s="275"/>
    </row>
    <row r="10" spans="2:11" ht="13.5" customHeight="1" thickBot="1" x14ac:dyDescent="0.3">
      <c r="B10" s="46" t="s">
        <v>2</v>
      </c>
      <c r="C10" s="279"/>
      <c r="D10" s="280"/>
      <c r="E10" s="280"/>
      <c r="F10" s="280"/>
      <c r="G10" s="280"/>
      <c r="H10" s="280"/>
      <c r="I10" s="280"/>
      <c r="J10" s="280"/>
      <c r="K10" s="281"/>
    </row>
    <row r="11" spans="2:11" ht="15.75" thickBot="1" x14ac:dyDescent="0.3">
      <c r="B11" s="46" t="s">
        <v>3</v>
      </c>
      <c r="C11" s="282"/>
      <c r="D11" s="283"/>
      <c r="E11" s="283"/>
      <c r="F11" s="283"/>
      <c r="G11" s="283"/>
      <c r="H11" s="283"/>
      <c r="I11" s="283"/>
      <c r="J11" s="283"/>
      <c r="K11" s="284"/>
    </row>
    <row r="12" spans="2:11" ht="15.75" thickBot="1" x14ac:dyDescent="0.3">
      <c r="B12" s="46" t="s">
        <v>9</v>
      </c>
      <c r="C12" s="285"/>
      <c r="D12" s="286"/>
      <c r="E12" s="286"/>
      <c r="F12" s="286"/>
      <c r="G12" s="286"/>
      <c r="H12" s="286"/>
      <c r="I12" s="286"/>
      <c r="J12" s="286"/>
      <c r="K12" s="287"/>
    </row>
    <row r="13" spans="2:11" ht="33.75" customHeight="1" thickBot="1" x14ac:dyDescent="0.3">
      <c r="B13" s="46" t="s">
        <v>10</v>
      </c>
      <c r="C13" s="296" t="s">
        <v>11</v>
      </c>
      <c r="D13" s="297"/>
      <c r="E13" s="47"/>
      <c r="F13" s="120"/>
      <c r="G13" s="48" t="s">
        <v>12</v>
      </c>
      <c r="H13" s="49"/>
      <c r="I13" s="294" t="s">
        <v>13</v>
      </c>
      <c r="J13" s="295"/>
      <c r="K13" s="121"/>
    </row>
    <row r="14" spans="2:11" ht="15.75" thickBot="1" x14ac:dyDescent="0.3">
      <c r="B14" s="46" t="s">
        <v>31</v>
      </c>
      <c r="C14" s="285"/>
      <c r="D14" s="286"/>
      <c r="E14" s="286"/>
      <c r="F14" s="286"/>
      <c r="G14" s="286"/>
      <c r="H14" s="286"/>
      <c r="I14" s="286"/>
      <c r="J14" s="286"/>
      <c r="K14" s="287"/>
    </row>
    <row r="15" spans="2:11" ht="35.25" customHeight="1" thickBot="1" x14ac:dyDescent="0.3">
      <c r="B15" s="46" t="s">
        <v>37</v>
      </c>
      <c r="C15" s="301"/>
      <c r="D15" s="302"/>
      <c r="E15" s="302"/>
      <c r="F15" s="302"/>
      <c r="G15" s="302"/>
      <c r="H15" s="302"/>
      <c r="I15" s="302"/>
      <c r="J15" s="302"/>
      <c r="K15" s="303"/>
    </row>
    <row r="16" spans="2:11" ht="15.75" thickBot="1" x14ac:dyDescent="0.3">
      <c r="B16" s="46" t="s">
        <v>4</v>
      </c>
      <c r="C16" s="285"/>
      <c r="D16" s="286"/>
      <c r="E16" s="286"/>
      <c r="F16" s="286"/>
      <c r="G16" s="286"/>
      <c r="H16" s="286"/>
      <c r="I16" s="286"/>
      <c r="J16" s="286"/>
      <c r="K16" s="287"/>
    </row>
    <row r="17" spans="2:11" ht="15.75" thickBot="1" x14ac:dyDescent="0.3">
      <c r="B17" s="46" t="s">
        <v>36</v>
      </c>
      <c r="C17" s="298"/>
      <c r="D17" s="299"/>
      <c r="E17" s="299"/>
      <c r="F17" s="299"/>
      <c r="G17" s="299"/>
      <c r="H17" s="299"/>
      <c r="I17" s="299"/>
      <c r="J17" s="299"/>
      <c r="K17" s="300"/>
    </row>
    <row r="18" spans="2:11" ht="15.75" thickBot="1" x14ac:dyDescent="0.3">
      <c r="B18" s="46" t="s">
        <v>5</v>
      </c>
      <c r="C18" s="285"/>
      <c r="D18" s="286"/>
      <c r="E18" s="286"/>
      <c r="F18" s="286"/>
      <c r="G18" s="286"/>
      <c r="H18" s="286"/>
      <c r="I18" s="286"/>
      <c r="J18" s="286"/>
      <c r="K18" s="287"/>
    </row>
    <row r="19" spans="2:11" ht="15.75" thickBot="1" x14ac:dyDescent="0.3">
      <c r="B19" s="46" t="s">
        <v>6</v>
      </c>
      <c r="C19" s="288"/>
      <c r="D19" s="289"/>
      <c r="E19" s="289"/>
      <c r="F19" s="289"/>
      <c r="G19" s="289"/>
      <c r="H19" s="289"/>
      <c r="I19" s="289"/>
      <c r="J19" s="289"/>
      <c r="K19" s="290"/>
    </row>
    <row r="20" spans="2:11" ht="34.5" customHeight="1" thickBot="1" x14ac:dyDescent="0.3">
      <c r="B20" s="46" t="s">
        <v>7</v>
      </c>
      <c r="C20" s="291"/>
      <c r="D20" s="292"/>
      <c r="E20" s="292"/>
      <c r="F20" s="292"/>
      <c r="G20" s="292"/>
      <c r="H20" s="292"/>
      <c r="I20" s="292"/>
      <c r="J20" s="292"/>
      <c r="K20" s="293"/>
    </row>
    <row r="22" spans="2:11" x14ac:dyDescent="0.25">
      <c r="C22" s="1"/>
      <c r="D22" s="1"/>
      <c r="E22" s="1"/>
      <c r="F22" s="1"/>
      <c r="G22" s="1"/>
      <c r="H22" s="1"/>
      <c r="I22" s="1"/>
      <c r="J22" s="1"/>
      <c r="K22" s="1"/>
    </row>
  </sheetData>
  <mergeCells count="23">
    <mergeCell ref="C18:K18"/>
    <mergeCell ref="C19:K19"/>
    <mergeCell ref="C20:K20"/>
    <mergeCell ref="I13:J13"/>
    <mergeCell ref="C13:D13"/>
    <mergeCell ref="C17:K17"/>
    <mergeCell ref="C15:K15"/>
    <mergeCell ref="C10:K10"/>
    <mergeCell ref="C11:K11"/>
    <mergeCell ref="C12:K12"/>
    <mergeCell ref="C14:K14"/>
    <mergeCell ref="C16:K16"/>
    <mergeCell ref="C9:K9"/>
    <mergeCell ref="C2:K2"/>
    <mergeCell ref="C3:K3"/>
    <mergeCell ref="C4:K4"/>
    <mergeCell ref="C5:K5"/>
    <mergeCell ref="G6:I6"/>
    <mergeCell ref="C6:F6"/>
    <mergeCell ref="J6:K6"/>
    <mergeCell ref="B7:K7"/>
    <mergeCell ref="B2:B6"/>
    <mergeCell ref="B8:K8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8A5E-DA8D-4948-AB0E-91680B8977DA}">
  <sheetPr>
    <tabColor theme="5" tint="0.79998168889431442"/>
  </sheetPr>
  <dimension ref="B1:K28"/>
  <sheetViews>
    <sheetView zoomScaleNormal="100" workbookViewId="0">
      <selection activeCell="D2" sqref="D2:K6"/>
    </sheetView>
  </sheetViews>
  <sheetFormatPr baseColWidth="10" defaultRowHeight="15" x14ac:dyDescent="0.25"/>
  <cols>
    <col min="2" max="2" width="10.7109375" customWidth="1"/>
    <col min="3" max="3" width="18.140625" customWidth="1"/>
    <col min="4" max="4" width="11.5703125" customWidth="1"/>
    <col min="5" max="5" width="5.5703125" customWidth="1"/>
    <col min="6" max="6" width="14" customWidth="1"/>
    <col min="7" max="7" width="8.42578125" customWidth="1"/>
    <col min="8" max="8" width="8.5703125" customWidth="1"/>
    <col min="9" max="9" width="6.85546875" customWidth="1"/>
    <col min="11" max="11" width="6" customWidth="1"/>
  </cols>
  <sheetData>
    <row r="1" spans="2:11" ht="15.75" thickBot="1" x14ac:dyDescent="0.3"/>
    <row r="2" spans="2:11" ht="16.5" thickBot="1" x14ac:dyDescent="0.3">
      <c r="B2" s="265"/>
      <c r="C2" s="267"/>
      <c r="D2" s="428" t="s">
        <v>34</v>
      </c>
      <c r="E2" s="429"/>
      <c r="F2" s="429"/>
      <c r="G2" s="429"/>
      <c r="H2" s="429"/>
      <c r="I2" s="429"/>
      <c r="J2" s="429"/>
      <c r="K2" s="430"/>
    </row>
    <row r="3" spans="2:11" ht="16.5" thickBot="1" x14ac:dyDescent="0.3">
      <c r="B3" s="268"/>
      <c r="C3" s="269"/>
      <c r="D3" s="428" t="s">
        <v>33</v>
      </c>
      <c r="E3" s="429"/>
      <c r="F3" s="429"/>
      <c r="G3" s="429"/>
      <c r="H3" s="429"/>
      <c r="I3" s="429"/>
      <c r="J3" s="429"/>
      <c r="K3" s="430"/>
    </row>
    <row r="4" spans="2:11" ht="16.5" thickBot="1" x14ac:dyDescent="0.3">
      <c r="B4" s="268"/>
      <c r="C4" s="269"/>
      <c r="D4" s="428" t="s">
        <v>35</v>
      </c>
      <c r="E4" s="429"/>
      <c r="F4" s="429"/>
      <c r="G4" s="429"/>
      <c r="H4" s="429"/>
      <c r="I4" s="429"/>
      <c r="J4" s="429"/>
      <c r="K4" s="430"/>
    </row>
    <row r="5" spans="2:11" ht="16.5" thickBot="1" x14ac:dyDescent="0.3">
      <c r="B5" s="268"/>
      <c r="C5" s="269"/>
      <c r="D5" s="428" t="s">
        <v>43</v>
      </c>
      <c r="E5" s="429"/>
      <c r="F5" s="429"/>
      <c r="G5" s="429"/>
      <c r="H5" s="429"/>
      <c r="I5" s="429"/>
      <c r="J5" s="429"/>
      <c r="K5" s="430"/>
    </row>
    <row r="6" spans="2:11" ht="29.25" customHeight="1" thickBot="1" x14ac:dyDescent="0.3">
      <c r="B6" s="307"/>
      <c r="C6" s="308"/>
      <c r="D6" s="428" t="s">
        <v>77</v>
      </c>
      <c r="E6" s="430"/>
      <c r="F6" s="428" t="s">
        <v>76</v>
      </c>
      <c r="G6" s="429"/>
      <c r="H6" s="429"/>
      <c r="I6" s="430"/>
      <c r="J6" s="429" t="s">
        <v>80</v>
      </c>
      <c r="K6" s="430"/>
    </row>
    <row r="7" spans="2:11" ht="8.25" customHeight="1" thickBot="1" x14ac:dyDescent="0.3">
      <c r="B7" s="266"/>
      <c r="C7" s="266"/>
      <c r="D7" s="266"/>
      <c r="E7" s="266"/>
      <c r="F7" s="266"/>
      <c r="G7" s="266"/>
      <c r="H7" s="266"/>
      <c r="I7" s="266"/>
      <c r="J7" s="266"/>
      <c r="K7" s="266"/>
    </row>
    <row r="8" spans="2:11" ht="16.5" thickBot="1" x14ac:dyDescent="0.3">
      <c r="B8" s="317" t="s">
        <v>38</v>
      </c>
      <c r="C8" s="318"/>
      <c r="D8" s="318"/>
      <c r="E8" s="318"/>
      <c r="F8" s="318"/>
      <c r="G8" s="318"/>
      <c r="H8" s="318"/>
      <c r="I8" s="318"/>
      <c r="J8" s="318"/>
      <c r="K8" s="319"/>
    </row>
    <row r="9" spans="2:11" ht="16.5" thickBot="1" x14ac:dyDescent="0.3">
      <c r="B9" s="317" t="s">
        <v>39</v>
      </c>
      <c r="C9" s="318"/>
      <c r="D9" s="318"/>
      <c r="E9" s="318"/>
      <c r="F9" s="318"/>
      <c r="G9" s="318"/>
      <c r="H9" s="318"/>
      <c r="I9" s="318"/>
      <c r="J9" s="318"/>
      <c r="K9" s="319"/>
    </row>
    <row r="10" spans="2:11" ht="41.25" customHeight="1" thickBot="1" x14ac:dyDescent="0.3">
      <c r="B10" s="320" t="s">
        <v>25</v>
      </c>
      <c r="C10" s="321"/>
      <c r="D10" s="321"/>
      <c r="E10" s="321"/>
      <c r="F10" s="321"/>
      <c r="G10" s="321"/>
      <c r="H10" s="321"/>
      <c r="I10" s="321"/>
      <c r="J10" s="321"/>
      <c r="K10" s="322"/>
    </row>
    <row r="11" spans="2:11" ht="16.5" thickBot="1" x14ac:dyDescent="0.3">
      <c r="B11" s="52" t="s">
        <v>26</v>
      </c>
      <c r="C11" s="311" t="s">
        <v>27</v>
      </c>
      <c r="D11" s="312"/>
      <c r="E11" s="309" t="s">
        <v>40</v>
      </c>
      <c r="F11" s="310"/>
      <c r="G11" s="309" t="s">
        <v>41</v>
      </c>
      <c r="H11" s="310"/>
      <c r="I11" s="309" t="s">
        <v>42</v>
      </c>
      <c r="J11" s="263"/>
      <c r="K11" s="264"/>
    </row>
    <row r="12" spans="2:11" ht="19.5" customHeight="1" x14ac:dyDescent="0.25">
      <c r="B12" s="53">
        <v>1</v>
      </c>
      <c r="C12" s="313"/>
      <c r="D12" s="314"/>
      <c r="E12" s="315"/>
      <c r="F12" s="315"/>
      <c r="G12" s="323"/>
      <c r="H12" s="323"/>
      <c r="I12" s="324"/>
      <c r="J12" s="324"/>
      <c r="K12" s="324"/>
    </row>
    <row r="13" spans="2:11" ht="15.75" customHeight="1" x14ac:dyDescent="0.25">
      <c r="B13" s="50">
        <v>2</v>
      </c>
      <c r="C13" s="305"/>
      <c r="D13" s="306"/>
      <c r="E13" s="304"/>
      <c r="F13" s="304"/>
      <c r="G13" s="304"/>
      <c r="H13" s="304"/>
      <c r="I13" s="316"/>
      <c r="J13" s="316"/>
      <c r="K13" s="316"/>
    </row>
    <row r="14" spans="2:11" ht="15.75" customHeight="1" x14ac:dyDescent="0.25">
      <c r="B14" s="50">
        <v>3</v>
      </c>
      <c r="C14" s="305"/>
      <c r="D14" s="306"/>
      <c r="E14" s="304"/>
      <c r="F14" s="304"/>
      <c r="G14" s="304"/>
      <c r="H14" s="304"/>
      <c r="I14" s="304"/>
      <c r="J14" s="304"/>
      <c r="K14" s="304"/>
    </row>
    <row r="15" spans="2:11" ht="15.75" customHeight="1" x14ac:dyDescent="0.25">
      <c r="B15" s="50">
        <v>4</v>
      </c>
      <c r="C15" s="305"/>
      <c r="D15" s="306"/>
      <c r="E15" s="304"/>
      <c r="F15" s="304"/>
      <c r="G15" s="304"/>
      <c r="H15" s="304"/>
      <c r="I15" s="304"/>
      <c r="J15" s="304"/>
      <c r="K15" s="304"/>
    </row>
    <row r="16" spans="2:11" ht="15.75" customHeight="1" x14ac:dyDescent="0.25">
      <c r="B16" s="50">
        <v>5</v>
      </c>
      <c r="C16" s="305"/>
      <c r="D16" s="306"/>
      <c r="E16" s="304"/>
      <c r="F16" s="304"/>
      <c r="G16" s="304"/>
      <c r="H16" s="304"/>
      <c r="I16" s="304"/>
      <c r="J16" s="304"/>
      <c r="K16" s="304"/>
    </row>
    <row r="17" spans="2:11" ht="15.75" customHeight="1" x14ac:dyDescent="0.25">
      <c r="B17" s="50">
        <v>6</v>
      </c>
      <c r="C17" s="305"/>
      <c r="D17" s="306"/>
      <c r="E17" s="304"/>
      <c r="F17" s="304"/>
      <c r="G17" s="304"/>
      <c r="H17" s="304"/>
      <c r="I17" s="304"/>
      <c r="J17" s="304"/>
      <c r="K17" s="304"/>
    </row>
    <row r="18" spans="2:11" ht="16.5" customHeight="1" x14ac:dyDescent="0.25">
      <c r="B18" s="50">
        <v>7</v>
      </c>
      <c r="C18" s="305"/>
      <c r="D18" s="306"/>
      <c r="E18" s="304"/>
      <c r="F18" s="304"/>
      <c r="G18" s="304"/>
      <c r="H18" s="304"/>
      <c r="I18" s="304"/>
      <c r="J18" s="304"/>
      <c r="K18" s="304"/>
    </row>
    <row r="19" spans="2:11" ht="15.75" x14ac:dyDescent="0.25">
      <c r="B19" s="50">
        <v>8</v>
      </c>
      <c r="C19" s="305"/>
      <c r="D19" s="306"/>
      <c r="E19" s="304"/>
      <c r="F19" s="304"/>
      <c r="G19" s="304"/>
      <c r="H19" s="304"/>
      <c r="I19" s="304"/>
      <c r="J19" s="304"/>
      <c r="K19" s="304"/>
    </row>
    <row r="20" spans="2:11" ht="15.75" x14ac:dyDescent="0.25">
      <c r="B20" s="50">
        <v>9</v>
      </c>
      <c r="C20" s="305"/>
      <c r="D20" s="306"/>
      <c r="E20" s="304"/>
      <c r="F20" s="304"/>
      <c r="G20" s="304"/>
      <c r="H20" s="304"/>
      <c r="I20" s="304"/>
      <c r="J20" s="304"/>
      <c r="K20" s="304"/>
    </row>
    <row r="21" spans="2:11" ht="15.75" x14ac:dyDescent="0.25">
      <c r="B21" s="50">
        <v>10</v>
      </c>
      <c r="C21" s="305"/>
      <c r="D21" s="306"/>
      <c r="E21" s="304"/>
      <c r="F21" s="304"/>
      <c r="G21" s="304"/>
      <c r="H21" s="304"/>
      <c r="I21" s="304"/>
      <c r="J21" s="304"/>
      <c r="K21" s="304"/>
    </row>
    <row r="22" spans="2:11" ht="15.75" x14ac:dyDescent="0.25">
      <c r="B22" s="50">
        <v>11</v>
      </c>
      <c r="C22" s="305"/>
      <c r="D22" s="306"/>
      <c r="E22" s="304"/>
      <c r="F22" s="304"/>
      <c r="G22" s="304"/>
      <c r="H22" s="304"/>
      <c r="I22" s="304"/>
      <c r="J22" s="304"/>
      <c r="K22" s="304"/>
    </row>
    <row r="23" spans="2:11" ht="15.75" x14ac:dyDescent="0.25">
      <c r="B23" s="50">
        <v>12</v>
      </c>
      <c r="C23" s="305"/>
      <c r="D23" s="306"/>
      <c r="E23" s="304"/>
      <c r="F23" s="304"/>
      <c r="G23" s="304"/>
      <c r="H23" s="304"/>
      <c r="I23" s="304"/>
      <c r="J23" s="304"/>
      <c r="K23" s="304"/>
    </row>
    <row r="24" spans="2:11" ht="15.75" x14ac:dyDescent="0.25">
      <c r="B24" s="50">
        <v>13</v>
      </c>
      <c r="C24" s="305"/>
      <c r="D24" s="306"/>
      <c r="E24" s="304"/>
      <c r="F24" s="304"/>
      <c r="G24" s="304"/>
      <c r="H24" s="304"/>
      <c r="I24" s="304"/>
      <c r="J24" s="304"/>
      <c r="K24" s="304"/>
    </row>
    <row r="25" spans="2:11" ht="15.75" x14ac:dyDescent="0.25">
      <c r="B25" s="50">
        <v>14</v>
      </c>
      <c r="C25" s="305"/>
      <c r="D25" s="306"/>
      <c r="E25" s="304"/>
      <c r="F25" s="304"/>
      <c r="G25" s="304"/>
      <c r="H25" s="304"/>
      <c r="I25" s="304"/>
      <c r="J25" s="304"/>
      <c r="K25" s="304"/>
    </row>
    <row r="26" spans="2:11" ht="15.75" x14ac:dyDescent="0.25">
      <c r="B26" s="50">
        <v>15</v>
      </c>
      <c r="C26" s="305"/>
      <c r="D26" s="306"/>
      <c r="E26" s="304"/>
      <c r="F26" s="304"/>
      <c r="G26" s="304"/>
      <c r="H26" s="304"/>
      <c r="I26" s="304"/>
      <c r="J26" s="304"/>
      <c r="K26" s="304"/>
    </row>
    <row r="27" spans="2:11" ht="15.75" x14ac:dyDescent="0.25">
      <c r="B27" s="50">
        <v>16</v>
      </c>
      <c r="C27" s="305"/>
      <c r="D27" s="306"/>
      <c r="E27" s="304"/>
      <c r="F27" s="304"/>
      <c r="G27" s="304"/>
      <c r="H27" s="304"/>
      <c r="I27" s="304"/>
      <c r="J27" s="304"/>
      <c r="K27" s="304"/>
    </row>
    <row r="28" spans="2:11" ht="16.5" thickBot="1" x14ac:dyDescent="0.3">
      <c r="B28" s="51">
        <v>17</v>
      </c>
      <c r="C28" s="305"/>
      <c r="D28" s="306"/>
      <c r="E28" s="304"/>
      <c r="F28" s="304"/>
      <c r="G28" s="304"/>
      <c r="H28" s="304"/>
      <c r="I28" s="304"/>
      <c r="J28" s="304"/>
      <c r="K28" s="304"/>
    </row>
  </sheetData>
  <mergeCells count="84">
    <mergeCell ref="B7:K7"/>
    <mergeCell ref="I13:K13"/>
    <mergeCell ref="I14:K14"/>
    <mergeCell ref="I15:K15"/>
    <mergeCell ref="B9:K9"/>
    <mergeCell ref="B8:K8"/>
    <mergeCell ref="B10:K10"/>
    <mergeCell ref="G12:H12"/>
    <mergeCell ref="G13:H13"/>
    <mergeCell ref="G14:H14"/>
    <mergeCell ref="G15:H15"/>
    <mergeCell ref="I12:K12"/>
    <mergeCell ref="C18:D18"/>
    <mergeCell ref="E12:F12"/>
    <mergeCell ref="E13:F13"/>
    <mergeCell ref="E14:F14"/>
    <mergeCell ref="E15:F15"/>
    <mergeCell ref="E18:F18"/>
    <mergeCell ref="C16:D16"/>
    <mergeCell ref="C17:D17"/>
    <mergeCell ref="G16:H16"/>
    <mergeCell ref="G17:H17"/>
    <mergeCell ref="G18:H18"/>
    <mergeCell ref="D4:K4"/>
    <mergeCell ref="D5:K5"/>
    <mergeCell ref="D6:E6"/>
    <mergeCell ref="E16:F16"/>
    <mergeCell ref="E17:F17"/>
    <mergeCell ref="I11:K11"/>
    <mergeCell ref="G11:H11"/>
    <mergeCell ref="E11:F11"/>
    <mergeCell ref="C11:D11"/>
    <mergeCell ref="C12:D12"/>
    <mergeCell ref="C13:D13"/>
    <mergeCell ref="C14:D14"/>
    <mergeCell ref="C15:D15"/>
    <mergeCell ref="C25:D25"/>
    <mergeCell ref="C26:D26"/>
    <mergeCell ref="F6:I6"/>
    <mergeCell ref="J6:K6"/>
    <mergeCell ref="C19:D19"/>
    <mergeCell ref="C20:D20"/>
    <mergeCell ref="C21:D21"/>
    <mergeCell ref="G19:H19"/>
    <mergeCell ref="G20:H20"/>
    <mergeCell ref="G21:H21"/>
    <mergeCell ref="I16:K16"/>
    <mergeCell ref="I17:K17"/>
    <mergeCell ref="I18:K18"/>
    <mergeCell ref="B2:C6"/>
    <mergeCell ref="D2:K2"/>
    <mergeCell ref="D3:K3"/>
    <mergeCell ref="G26:H26"/>
    <mergeCell ref="C27:D27"/>
    <mergeCell ref="C28:D2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C22:D22"/>
    <mergeCell ref="C23:D23"/>
    <mergeCell ref="C24:D24"/>
    <mergeCell ref="G27:H27"/>
    <mergeCell ref="G28:H2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G22:H22"/>
    <mergeCell ref="G23:H23"/>
    <mergeCell ref="G24:H24"/>
    <mergeCell ref="G25:H25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Q346"/>
  <sheetViews>
    <sheetView zoomScale="80" zoomScaleNormal="80" zoomScaleSheetLayoutView="80" workbookViewId="0">
      <selection activeCell="C2" sqref="C2:P6"/>
    </sheetView>
  </sheetViews>
  <sheetFormatPr baseColWidth="10" defaultRowHeight="15" x14ac:dyDescent="0.25"/>
  <cols>
    <col min="1" max="1" width="22.42578125" style="5" customWidth="1"/>
    <col min="2" max="2" width="20.28515625" style="5" customWidth="1"/>
    <col min="3" max="3" width="31.42578125" style="6" customWidth="1"/>
    <col min="4" max="4" width="2.140625" style="7" customWidth="1"/>
    <col min="5" max="5" width="5" style="7" customWidth="1"/>
    <col min="6" max="6" width="6.5703125" style="5" customWidth="1"/>
    <col min="7" max="8" width="11.28515625" style="5" customWidth="1"/>
    <col min="9" max="9" width="9.42578125" style="58" customWidth="1"/>
    <col min="10" max="10" width="14.7109375" style="5" customWidth="1"/>
    <col min="11" max="11" width="3.7109375" style="62" customWidth="1"/>
    <col min="12" max="12" width="1.7109375" style="56" customWidth="1"/>
    <col min="13" max="13" width="24.7109375" style="1" customWidth="1"/>
    <col min="14" max="14" width="22.140625" style="1" customWidth="1"/>
    <col min="15" max="15" width="17.140625" style="1" customWidth="1"/>
    <col min="16" max="16" width="23.140625" style="1" customWidth="1"/>
    <col min="17" max="16384" width="11.42578125" style="1"/>
  </cols>
  <sheetData>
    <row r="1" spans="1:17" ht="15.75" thickBot="1" x14ac:dyDescent="0.3">
      <c r="A1" s="355"/>
      <c r="B1" s="355"/>
      <c r="C1" s="356"/>
      <c r="D1" s="356"/>
      <c r="E1" s="356"/>
      <c r="F1" s="356"/>
      <c r="G1" s="356"/>
      <c r="H1" s="356"/>
      <c r="I1" s="356"/>
      <c r="J1" s="356"/>
      <c r="K1" s="356"/>
      <c r="L1" s="356"/>
    </row>
    <row r="2" spans="1:17" ht="16.5" thickBot="1" x14ac:dyDescent="0.3">
      <c r="A2" s="265"/>
      <c r="B2" s="266"/>
      <c r="C2" s="317" t="s">
        <v>34</v>
      </c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9"/>
    </row>
    <row r="3" spans="1:17" ht="16.5" thickBot="1" x14ac:dyDescent="0.3">
      <c r="A3" s="268"/>
      <c r="B3" s="262"/>
      <c r="C3" s="317" t="s">
        <v>33</v>
      </c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9"/>
    </row>
    <row r="4" spans="1:17" ht="16.5" thickBot="1" x14ac:dyDescent="0.3">
      <c r="A4" s="268"/>
      <c r="B4" s="262"/>
      <c r="C4" s="317" t="s">
        <v>35</v>
      </c>
      <c r="D4" s="318"/>
      <c r="E4" s="318"/>
      <c r="F4" s="318"/>
      <c r="G4" s="318"/>
      <c r="H4" s="318"/>
      <c r="I4" s="318"/>
      <c r="J4" s="318"/>
      <c r="K4" s="318"/>
      <c r="L4" s="318"/>
      <c r="M4" s="318"/>
      <c r="N4" s="318"/>
      <c r="O4" s="318"/>
      <c r="P4" s="319"/>
    </row>
    <row r="5" spans="1:17" ht="16.5" thickBot="1" x14ac:dyDescent="0.3">
      <c r="A5" s="268"/>
      <c r="B5" s="262"/>
      <c r="C5" s="317" t="s">
        <v>43</v>
      </c>
      <c r="D5" s="318"/>
      <c r="E5" s="318"/>
      <c r="F5" s="318"/>
      <c r="G5" s="318"/>
      <c r="H5" s="318"/>
      <c r="I5" s="318"/>
      <c r="J5" s="318"/>
      <c r="K5" s="318"/>
      <c r="L5" s="318"/>
      <c r="M5" s="318"/>
      <c r="N5" s="318"/>
      <c r="O5" s="318"/>
      <c r="P5" s="319"/>
    </row>
    <row r="6" spans="1:17" ht="16.5" thickBot="1" x14ac:dyDescent="0.3">
      <c r="A6" s="307"/>
      <c r="B6" s="369"/>
      <c r="C6" s="423" t="s">
        <v>77</v>
      </c>
      <c r="D6" s="424"/>
      <c r="E6" s="424"/>
      <c r="F6" s="424"/>
      <c r="G6" s="424"/>
      <c r="H6" s="424"/>
      <c r="I6" s="424"/>
      <c r="J6" s="424"/>
      <c r="K6" s="424"/>
      <c r="L6" s="424"/>
      <c r="M6" s="425"/>
      <c r="N6" s="427" t="s">
        <v>76</v>
      </c>
      <c r="O6" s="426" t="s">
        <v>81</v>
      </c>
      <c r="P6" s="425"/>
    </row>
    <row r="7" spans="1:17" ht="12.75" customHeight="1" thickBot="1" x14ac:dyDescent="0.3">
      <c r="A7" s="370"/>
      <c r="B7" s="370"/>
      <c r="C7" s="356"/>
      <c r="D7" s="356"/>
      <c r="E7" s="356"/>
      <c r="F7" s="356"/>
      <c r="G7" s="356"/>
      <c r="H7" s="356"/>
      <c r="I7" s="356"/>
      <c r="J7" s="356"/>
      <c r="K7" s="356"/>
      <c r="L7" s="371"/>
      <c r="M7" s="372"/>
      <c r="N7" s="372"/>
    </row>
    <row r="8" spans="1:17" ht="13.5" hidden="1" customHeight="1" x14ac:dyDescent="0.25">
      <c r="A8" s="161"/>
      <c r="C8" s="5"/>
      <c r="D8" s="5"/>
      <c r="E8" s="5"/>
      <c r="I8" s="5"/>
      <c r="K8" s="5"/>
      <c r="L8" s="5"/>
    </row>
    <row r="9" spans="1:17" ht="29.25" customHeight="1" thickBot="1" x14ac:dyDescent="0.3">
      <c r="A9" s="417" t="s">
        <v>28</v>
      </c>
      <c r="B9" s="344" t="s">
        <v>15</v>
      </c>
      <c r="C9" s="344"/>
      <c r="D9" s="345"/>
      <c r="E9" s="176" t="s">
        <v>30</v>
      </c>
      <c r="F9" s="176" t="s">
        <v>26</v>
      </c>
      <c r="G9" s="182" t="s">
        <v>29</v>
      </c>
      <c r="H9" s="182" t="s">
        <v>70</v>
      </c>
      <c r="I9" s="343" t="s">
        <v>14</v>
      </c>
      <c r="J9" s="344"/>
      <c r="K9" s="344"/>
      <c r="L9" s="345"/>
      <c r="M9" s="176" t="s">
        <v>75</v>
      </c>
      <c r="N9" s="176" t="s">
        <v>74</v>
      </c>
      <c r="O9" s="142" t="s">
        <v>47</v>
      </c>
      <c r="P9" s="143" t="s">
        <v>48</v>
      </c>
      <c r="Q9" s="22"/>
    </row>
    <row r="10" spans="1:17" ht="22.5" customHeight="1" x14ac:dyDescent="0.25">
      <c r="A10" s="416"/>
      <c r="B10" s="340"/>
      <c r="C10" s="341"/>
      <c r="D10" s="342"/>
      <c r="E10" s="163"/>
      <c r="F10" s="163"/>
      <c r="G10" s="162"/>
      <c r="H10" s="162"/>
      <c r="I10" s="340"/>
      <c r="J10" s="341"/>
      <c r="K10" s="341"/>
      <c r="L10" s="342"/>
      <c r="M10" s="123"/>
      <c r="N10" s="335"/>
      <c r="O10" s="217"/>
      <c r="P10" s="338"/>
    </row>
    <row r="11" spans="1:17" ht="19.5" customHeight="1" x14ac:dyDescent="0.25">
      <c r="A11" s="183"/>
      <c r="B11" s="327"/>
      <c r="C11" s="328"/>
      <c r="D11" s="329"/>
      <c r="E11" s="4"/>
      <c r="F11" s="4"/>
      <c r="G11" s="55"/>
      <c r="H11" s="55"/>
      <c r="I11" s="327"/>
      <c r="J11" s="328"/>
      <c r="K11" s="328"/>
      <c r="L11" s="329"/>
      <c r="M11" s="135"/>
      <c r="N11" s="335"/>
      <c r="O11" s="217"/>
      <c r="P11" s="217"/>
    </row>
    <row r="12" spans="1:17" ht="19.5" customHeight="1" x14ac:dyDescent="0.25">
      <c r="A12" s="183"/>
      <c r="B12" s="55"/>
      <c r="C12" s="209"/>
      <c r="D12" s="210"/>
      <c r="E12" s="4"/>
      <c r="F12" s="4"/>
      <c r="G12" s="55"/>
      <c r="H12" s="55"/>
      <c r="I12" s="55"/>
      <c r="J12" s="209"/>
      <c r="K12" s="209"/>
      <c r="L12" s="210"/>
      <c r="M12" s="135"/>
      <c r="N12" s="335"/>
      <c r="O12" s="217"/>
      <c r="P12" s="217"/>
    </row>
    <row r="13" spans="1:17" ht="19.5" customHeight="1" x14ac:dyDescent="0.25">
      <c r="A13" s="183"/>
      <c r="B13" s="55"/>
      <c r="C13" s="209"/>
      <c r="D13" s="210"/>
      <c r="E13" s="4"/>
      <c r="F13" s="4"/>
      <c r="G13" s="55"/>
      <c r="H13" s="55"/>
      <c r="I13" s="55"/>
      <c r="J13" s="209"/>
      <c r="K13" s="209"/>
      <c r="L13" s="210"/>
      <c r="M13" s="135"/>
      <c r="N13" s="335"/>
      <c r="O13" s="217"/>
      <c r="P13" s="217"/>
    </row>
    <row r="14" spans="1:17" ht="19.5" customHeight="1" x14ac:dyDescent="0.25">
      <c r="A14" s="183"/>
      <c r="B14" s="55"/>
      <c r="C14" s="209"/>
      <c r="D14" s="210"/>
      <c r="E14" s="4"/>
      <c r="F14" s="4"/>
      <c r="G14" s="55"/>
      <c r="H14" s="55"/>
      <c r="I14" s="55"/>
      <c r="J14" s="209"/>
      <c r="K14" s="209"/>
      <c r="L14" s="210"/>
      <c r="M14" s="135"/>
      <c r="N14" s="335"/>
      <c r="O14" s="217"/>
      <c r="P14" s="217"/>
    </row>
    <row r="15" spans="1:17" ht="26.25" customHeight="1" x14ac:dyDescent="0.25">
      <c r="A15" s="183"/>
      <c r="B15" s="327"/>
      <c r="C15" s="328"/>
      <c r="D15" s="329"/>
      <c r="E15" s="4"/>
      <c r="F15" s="4"/>
      <c r="G15" s="57"/>
      <c r="H15" s="57"/>
      <c r="I15" s="327"/>
      <c r="J15" s="328"/>
      <c r="K15" s="328"/>
      <c r="L15" s="329"/>
      <c r="M15" s="135"/>
      <c r="N15" s="335"/>
      <c r="O15" s="217"/>
      <c r="P15" s="217"/>
    </row>
    <row r="16" spans="1:17" ht="29.25" customHeight="1" x14ac:dyDescent="0.25">
      <c r="A16" s="183"/>
      <c r="B16" s="327"/>
      <c r="C16" s="328"/>
      <c r="D16" s="329"/>
      <c r="E16" s="4"/>
      <c r="F16" s="4"/>
      <c r="G16" s="57"/>
      <c r="H16" s="57"/>
      <c r="I16" s="366"/>
      <c r="J16" s="367"/>
      <c r="K16" s="367"/>
      <c r="L16" s="368"/>
      <c r="M16" s="135"/>
      <c r="N16" s="335"/>
      <c r="O16" s="217"/>
      <c r="P16" s="217"/>
    </row>
    <row r="17" spans="1:16" ht="24" customHeight="1" x14ac:dyDescent="0.25">
      <c r="A17" s="183"/>
      <c r="B17" s="327"/>
      <c r="C17" s="328"/>
      <c r="D17" s="329"/>
      <c r="E17" s="4"/>
      <c r="F17" s="4"/>
      <c r="G17" s="57"/>
      <c r="H17" s="57"/>
      <c r="I17" s="363"/>
      <c r="J17" s="364"/>
      <c r="K17" s="364"/>
      <c r="L17" s="365"/>
      <c r="M17" s="135"/>
      <c r="N17" s="336"/>
      <c r="O17" s="337"/>
      <c r="P17" s="337"/>
    </row>
    <row r="18" spans="1:16" ht="15.75" thickBot="1" x14ac:dyDescent="0.3">
      <c r="I18" s="5"/>
      <c r="K18" s="1"/>
      <c r="L18" s="1"/>
    </row>
    <row r="19" spans="1:16" ht="34.5" customHeight="1" thickBot="1" x14ac:dyDescent="0.3">
      <c r="A19" s="177" t="s">
        <v>28</v>
      </c>
      <c r="B19" s="347" t="s">
        <v>16</v>
      </c>
      <c r="C19" s="347"/>
      <c r="D19" s="347"/>
      <c r="E19" s="173" t="s">
        <v>30</v>
      </c>
      <c r="F19" s="173" t="s">
        <v>26</v>
      </c>
      <c r="G19" s="175" t="s">
        <v>29</v>
      </c>
      <c r="H19" s="175" t="s">
        <v>70</v>
      </c>
      <c r="I19" s="357" t="s">
        <v>14</v>
      </c>
      <c r="J19" s="357"/>
      <c r="K19" s="357"/>
      <c r="L19" s="357"/>
      <c r="M19" s="176" t="s">
        <v>75</v>
      </c>
      <c r="N19" s="176" t="s">
        <v>74</v>
      </c>
      <c r="O19" s="142" t="s">
        <v>47</v>
      </c>
      <c r="P19" s="143" t="s">
        <v>48</v>
      </c>
    </row>
    <row r="20" spans="1:16" x14ac:dyDescent="0.25">
      <c r="A20" s="360"/>
      <c r="B20" s="362"/>
      <c r="C20" s="362"/>
      <c r="D20" s="362"/>
      <c r="E20" s="164"/>
      <c r="F20" s="164"/>
      <c r="G20" s="165"/>
      <c r="H20" s="165"/>
      <c r="I20" s="359"/>
      <c r="J20" s="359"/>
      <c r="K20" s="359"/>
      <c r="L20" s="359"/>
      <c r="M20" s="124"/>
      <c r="N20" s="330"/>
      <c r="O20" s="217"/>
      <c r="P20" s="339"/>
    </row>
    <row r="21" spans="1:16" x14ac:dyDescent="0.25">
      <c r="A21" s="361"/>
      <c r="B21" s="348"/>
      <c r="C21" s="348"/>
      <c r="D21" s="348"/>
      <c r="E21" s="4"/>
      <c r="F21" s="2"/>
      <c r="G21" s="3"/>
      <c r="H21" s="3"/>
      <c r="I21" s="349"/>
      <c r="J21" s="349"/>
      <c r="K21" s="349"/>
      <c r="L21" s="349"/>
      <c r="M21" s="75"/>
      <c r="N21" s="330"/>
      <c r="O21" s="217"/>
      <c r="P21" s="217"/>
    </row>
    <row r="22" spans="1:16" x14ac:dyDescent="0.25">
      <c r="A22" s="8"/>
      <c r="B22" s="348"/>
      <c r="C22" s="348"/>
      <c r="D22" s="348"/>
      <c r="E22" s="4"/>
      <c r="F22" s="2"/>
      <c r="G22" s="3"/>
      <c r="H22" s="3"/>
      <c r="I22" s="354"/>
      <c r="J22" s="354"/>
      <c r="K22" s="354"/>
      <c r="L22" s="354"/>
      <c r="M22" s="75"/>
      <c r="N22" s="330"/>
      <c r="O22" s="217"/>
      <c r="P22" s="217"/>
    </row>
    <row r="23" spans="1:16" x14ac:dyDescent="0.25">
      <c r="A23" s="184"/>
      <c r="B23" s="348"/>
      <c r="C23" s="348"/>
      <c r="D23" s="348"/>
      <c r="E23" s="4"/>
      <c r="F23" s="2"/>
      <c r="G23" s="3"/>
      <c r="H23" s="3"/>
      <c r="I23" s="354"/>
      <c r="J23" s="354"/>
      <c r="K23" s="354"/>
      <c r="L23" s="354"/>
      <c r="M23" s="75"/>
      <c r="N23" s="330"/>
      <c r="O23" s="217"/>
      <c r="P23" s="217"/>
    </row>
    <row r="24" spans="1:16" x14ac:dyDescent="0.25">
      <c r="A24" s="184"/>
      <c r="B24" s="348"/>
      <c r="C24" s="348"/>
      <c r="D24" s="348"/>
      <c r="E24" s="4"/>
      <c r="F24" s="2"/>
      <c r="G24" s="3"/>
      <c r="H24" s="3"/>
      <c r="I24" s="354"/>
      <c r="J24" s="354"/>
      <c r="K24" s="354"/>
      <c r="L24" s="354"/>
      <c r="M24" s="75"/>
      <c r="N24" s="330"/>
      <c r="O24" s="217"/>
      <c r="P24" s="217"/>
    </row>
    <row r="25" spans="1:16" x14ac:dyDescent="0.25">
      <c r="A25" s="184"/>
      <c r="B25" s="348"/>
      <c r="C25" s="348"/>
      <c r="D25" s="348"/>
      <c r="E25" s="4"/>
      <c r="F25" s="2"/>
      <c r="G25" s="3"/>
      <c r="H25" s="3"/>
      <c r="I25" s="354"/>
      <c r="J25" s="354"/>
      <c r="K25" s="354"/>
      <c r="L25" s="354"/>
      <c r="M25" s="75"/>
      <c r="N25" s="330"/>
      <c r="O25" s="217"/>
      <c r="P25" s="217"/>
    </row>
    <row r="26" spans="1:16" ht="17.25" customHeight="1" x14ac:dyDescent="0.25">
      <c r="A26" s="184"/>
      <c r="B26" s="348"/>
      <c r="C26" s="348"/>
      <c r="D26" s="348"/>
      <c r="E26" s="4"/>
      <c r="F26" s="2"/>
      <c r="G26" s="3"/>
      <c r="H26" s="3"/>
      <c r="I26" s="354"/>
      <c r="J26" s="354"/>
      <c r="K26" s="354"/>
      <c r="L26" s="354"/>
      <c r="M26" s="75"/>
      <c r="N26" s="330"/>
      <c r="O26" s="217"/>
      <c r="P26" s="217"/>
    </row>
    <row r="27" spans="1:16" x14ac:dyDescent="0.25">
      <c r="A27" s="184"/>
      <c r="B27" s="348"/>
      <c r="C27" s="348"/>
      <c r="D27" s="348"/>
      <c r="E27" s="4"/>
      <c r="F27" s="2"/>
      <c r="G27" s="3"/>
      <c r="H27" s="3"/>
      <c r="I27" s="354"/>
      <c r="J27" s="354"/>
      <c r="K27" s="354"/>
      <c r="L27" s="354"/>
      <c r="M27" s="75"/>
      <c r="N27" s="330"/>
      <c r="O27" s="217"/>
      <c r="P27" s="217"/>
    </row>
    <row r="28" spans="1:16" x14ac:dyDescent="0.25">
      <c r="A28" s="184"/>
      <c r="B28" s="348"/>
      <c r="C28" s="348"/>
      <c r="D28" s="348"/>
      <c r="E28" s="4"/>
      <c r="F28" s="4"/>
      <c r="G28" s="57"/>
      <c r="H28" s="57"/>
      <c r="I28" s="354"/>
      <c r="J28" s="354"/>
      <c r="K28" s="354"/>
      <c r="L28" s="354"/>
      <c r="M28" s="75"/>
      <c r="N28" s="330"/>
      <c r="O28" s="217"/>
      <c r="P28" s="217"/>
    </row>
    <row r="29" spans="1:16" x14ac:dyDescent="0.25">
      <c r="A29" s="184"/>
      <c r="B29" s="348"/>
      <c r="C29" s="348"/>
      <c r="D29" s="348"/>
      <c r="E29" s="4"/>
      <c r="F29" s="4"/>
      <c r="G29" s="45"/>
      <c r="H29" s="45"/>
      <c r="I29" s="354"/>
      <c r="J29" s="354"/>
      <c r="K29" s="354"/>
      <c r="L29" s="354"/>
      <c r="M29" s="75"/>
      <c r="N29" s="330"/>
      <c r="O29" s="217"/>
      <c r="P29" s="217"/>
    </row>
    <row r="30" spans="1:16" x14ac:dyDescent="0.25">
      <c r="A30" s="184"/>
      <c r="B30" s="348"/>
      <c r="C30" s="348"/>
      <c r="D30" s="348"/>
      <c r="E30" s="4"/>
      <c r="F30" s="4"/>
      <c r="G30" s="45"/>
      <c r="H30" s="45"/>
      <c r="I30" s="354"/>
      <c r="J30" s="354"/>
      <c r="K30" s="354"/>
      <c r="L30" s="354"/>
      <c r="M30" s="75"/>
      <c r="N30" s="330"/>
      <c r="O30" s="217"/>
      <c r="P30" s="217"/>
    </row>
    <row r="31" spans="1:16" x14ac:dyDescent="0.25">
      <c r="A31" s="8"/>
      <c r="B31" s="348"/>
      <c r="C31" s="348"/>
      <c r="D31" s="348"/>
      <c r="E31" s="4"/>
      <c r="F31" s="4"/>
      <c r="G31" s="45"/>
      <c r="H31" s="45"/>
      <c r="I31" s="354"/>
      <c r="J31" s="354"/>
      <c r="K31" s="354"/>
      <c r="L31" s="354"/>
      <c r="M31" s="75"/>
      <c r="N31" s="330"/>
      <c r="O31" s="217"/>
      <c r="P31" s="217"/>
    </row>
    <row r="32" spans="1:16" x14ac:dyDescent="0.25">
      <c r="A32" s="8"/>
      <c r="B32" s="348"/>
      <c r="C32" s="348"/>
      <c r="D32" s="348"/>
      <c r="E32" s="4"/>
      <c r="F32" s="4"/>
      <c r="G32" s="45"/>
      <c r="H32" s="45"/>
      <c r="I32" s="354"/>
      <c r="J32" s="354"/>
      <c r="K32" s="354"/>
      <c r="L32" s="354"/>
      <c r="M32" s="75"/>
      <c r="N32" s="330"/>
      <c r="O32" s="217"/>
      <c r="P32" s="217"/>
    </row>
    <row r="33" spans="1:16" ht="25.5" customHeight="1" x14ac:dyDescent="0.25">
      <c r="A33" s="8"/>
      <c r="B33" s="348"/>
      <c r="C33" s="348"/>
      <c r="D33" s="348"/>
      <c r="E33" s="4"/>
      <c r="F33" s="4"/>
      <c r="G33" s="45"/>
      <c r="H33" s="45"/>
      <c r="I33" s="354"/>
      <c r="J33" s="354"/>
      <c r="K33" s="354"/>
      <c r="L33" s="354"/>
      <c r="M33" s="75"/>
      <c r="N33" s="330"/>
      <c r="O33" s="217"/>
      <c r="P33" s="217"/>
    </row>
    <row r="34" spans="1:16" x14ac:dyDescent="0.25">
      <c r="A34" s="8"/>
      <c r="B34" s="348"/>
      <c r="C34" s="348"/>
      <c r="D34" s="348"/>
      <c r="E34" s="4"/>
      <c r="F34" s="4"/>
      <c r="G34" s="45"/>
      <c r="H34" s="45"/>
      <c r="I34" s="354"/>
      <c r="J34" s="354"/>
      <c r="K34" s="354"/>
      <c r="L34" s="354"/>
      <c r="M34" s="75"/>
      <c r="N34" s="331"/>
      <c r="O34" s="337"/>
      <c r="P34" s="337"/>
    </row>
    <row r="35" spans="1:16" ht="15.75" thickBot="1" x14ac:dyDescent="0.3">
      <c r="A35" s="350"/>
      <c r="B35" s="351"/>
      <c r="C35" s="351"/>
      <c r="D35" s="351"/>
      <c r="E35" s="351"/>
      <c r="F35" s="351"/>
      <c r="G35" s="351"/>
      <c r="H35" s="351"/>
      <c r="I35" s="351"/>
      <c r="J35" s="351"/>
      <c r="K35" s="351"/>
      <c r="L35" s="352"/>
    </row>
    <row r="36" spans="1:16" ht="32.25" customHeight="1" thickBot="1" x14ac:dyDescent="0.3">
      <c r="A36" s="411" t="s">
        <v>28</v>
      </c>
      <c r="B36" s="409" t="s">
        <v>18</v>
      </c>
      <c r="C36" s="347"/>
      <c r="D36" s="347"/>
      <c r="E36" s="173" t="s">
        <v>30</v>
      </c>
      <c r="F36" s="173" t="s">
        <v>26</v>
      </c>
      <c r="G36" s="175" t="s">
        <v>29</v>
      </c>
      <c r="H36" s="175" t="s">
        <v>70</v>
      </c>
      <c r="I36" s="357" t="s">
        <v>14</v>
      </c>
      <c r="J36" s="357"/>
      <c r="K36" s="357"/>
      <c r="L36" s="357"/>
      <c r="M36" s="176" t="s">
        <v>75</v>
      </c>
      <c r="N36" s="176" t="s">
        <v>74</v>
      </c>
      <c r="O36" s="142" t="s">
        <v>47</v>
      </c>
      <c r="P36" s="143" t="s">
        <v>48</v>
      </c>
    </row>
    <row r="37" spans="1:16" x14ac:dyDescent="0.25">
      <c r="A37" s="410"/>
      <c r="B37" s="325"/>
      <c r="C37" s="325"/>
      <c r="D37" s="325"/>
      <c r="E37" s="163"/>
      <c r="F37" s="163"/>
      <c r="G37" s="166"/>
      <c r="H37" s="166"/>
      <c r="I37" s="326"/>
      <c r="J37" s="326"/>
      <c r="K37" s="326"/>
      <c r="L37" s="326"/>
      <c r="M37" s="167"/>
      <c r="N37" s="168"/>
      <c r="O37" s="217"/>
      <c r="P37" s="338"/>
    </row>
    <row r="38" spans="1:16" x14ac:dyDescent="0.25">
      <c r="A38" s="185"/>
      <c r="B38" s="349"/>
      <c r="C38" s="349"/>
      <c r="D38" s="349"/>
      <c r="E38" s="4"/>
      <c r="F38" s="4"/>
      <c r="G38" s="71"/>
      <c r="H38" s="71"/>
      <c r="I38" s="326"/>
      <c r="J38" s="326"/>
      <c r="K38" s="326"/>
      <c r="L38" s="326"/>
      <c r="M38" s="72"/>
      <c r="N38" s="73"/>
      <c r="O38" s="217"/>
      <c r="P38" s="217"/>
    </row>
    <row r="39" spans="1:16" x14ac:dyDescent="0.25">
      <c r="A39" s="185"/>
      <c r="B39" s="325"/>
      <c r="C39" s="325"/>
      <c r="D39" s="325"/>
      <c r="E39" s="4"/>
      <c r="F39" s="4"/>
      <c r="G39" s="71"/>
      <c r="H39" s="71"/>
      <c r="I39" s="326"/>
      <c r="J39" s="326"/>
      <c r="K39" s="326"/>
      <c r="L39" s="326"/>
      <c r="M39" s="72"/>
      <c r="N39" s="73"/>
      <c r="O39" s="217"/>
      <c r="P39" s="217"/>
    </row>
    <row r="40" spans="1:16" x14ac:dyDescent="0.25">
      <c r="A40" s="185"/>
      <c r="B40" s="325"/>
      <c r="C40" s="325"/>
      <c r="D40" s="325"/>
      <c r="E40" s="4"/>
      <c r="F40" s="4"/>
      <c r="G40" s="71"/>
      <c r="H40" s="71"/>
      <c r="I40" s="326"/>
      <c r="J40" s="326"/>
      <c r="K40" s="326"/>
      <c r="L40" s="326"/>
      <c r="M40" s="72"/>
      <c r="N40" s="73"/>
      <c r="O40" s="217"/>
      <c r="P40" s="217"/>
    </row>
    <row r="41" spans="1:16" x14ac:dyDescent="0.25">
      <c r="A41" s="185"/>
      <c r="B41" s="325"/>
      <c r="C41" s="325"/>
      <c r="D41" s="325"/>
      <c r="E41" s="4"/>
      <c r="F41" s="4"/>
      <c r="G41" s="71"/>
      <c r="H41" s="71"/>
      <c r="I41" s="326"/>
      <c r="J41" s="326"/>
      <c r="K41" s="326"/>
      <c r="L41" s="326"/>
      <c r="M41" s="72"/>
      <c r="N41" s="73"/>
      <c r="O41" s="217"/>
      <c r="P41" s="217"/>
    </row>
    <row r="42" spans="1:16" x14ac:dyDescent="0.25">
      <c r="A42" s="185"/>
      <c r="B42" s="325"/>
      <c r="C42" s="325"/>
      <c r="D42" s="325"/>
      <c r="E42" s="4"/>
      <c r="F42" s="2"/>
      <c r="G42" s="3"/>
      <c r="H42" s="3"/>
      <c r="I42" s="326"/>
      <c r="J42" s="326"/>
      <c r="K42" s="326"/>
      <c r="L42" s="326"/>
      <c r="M42" s="72"/>
      <c r="N42" s="73"/>
      <c r="O42" s="217"/>
      <c r="P42" s="217"/>
    </row>
    <row r="43" spans="1:16" x14ac:dyDescent="0.25">
      <c r="A43" s="185"/>
      <c r="B43" s="349"/>
      <c r="C43" s="349"/>
      <c r="D43" s="349"/>
      <c r="E43" s="4"/>
      <c r="F43" s="4"/>
      <c r="G43" s="3"/>
      <c r="H43" s="3"/>
      <c r="I43" s="326"/>
      <c r="J43" s="326"/>
      <c r="K43" s="326"/>
      <c r="L43" s="326"/>
      <c r="M43" s="72"/>
      <c r="N43" s="73"/>
      <c r="O43" s="217"/>
      <c r="P43" s="217"/>
    </row>
    <row r="44" spans="1:16" x14ac:dyDescent="0.25">
      <c r="A44" s="185"/>
      <c r="B44" s="349"/>
      <c r="C44" s="349"/>
      <c r="D44" s="349"/>
      <c r="E44" s="4"/>
      <c r="F44" s="4"/>
      <c r="G44" s="45"/>
      <c r="H44" s="45"/>
      <c r="I44" s="354"/>
      <c r="J44" s="358"/>
      <c r="K44" s="358"/>
      <c r="L44" s="358"/>
      <c r="M44" s="72"/>
      <c r="N44" s="73"/>
      <c r="O44" s="337"/>
      <c r="P44" s="337"/>
    </row>
    <row r="45" spans="1:16" ht="21" customHeight="1" thickBot="1" x14ac:dyDescent="0.3">
      <c r="A45" s="169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1"/>
    </row>
    <row r="46" spans="1:16" ht="56.25" customHeight="1" thickBot="1" x14ac:dyDescent="0.3">
      <c r="A46" s="412" t="s">
        <v>28</v>
      </c>
      <c r="B46" s="414" t="s">
        <v>24</v>
      </c>
      <c r="C46" s="347"/>
      <c r="D46" s="415"/>
      <c r="E46" s="413" t="s">
        <v>30</v>
      </c>
      <c r="F46" s="173" t="s">
        <v>26</v>
      </c>
      <c r="G46" s="175" t="s">
        <v>29</v>
      </c>
      <c r="H46" s="175"/>
      <c r="I46" s="347" t="s">
        <v>14</v>
      </c>
      <c r="J46" s="347"/>
      <c r="K46" s="347"/>
      <c r="L46" s="347"/>
      <c r="M46" s="176" t="s">
        <v>75</v>
      </c>
      <c r="N46" s="176" t="s">
        <v>74</v>
      </c>
      <c r="O46" s="142" t="s">
        <v>47</v>
      </c>
      <c r="P46" s="143" t="s">
        <v>48</v>
      </c>
    </row>
    <row r="47" spans="1:16" ht="22.5" customHeight="1" x14ac:dyDescent="0.25">
      <c r="A47" s="172"/>
      <c r="B47" s="340"/>
      <c r="C47" s="341"/>
      <c r="D47" s="342"/>
      <c r="E47" s="163"/>
      <c r="F47" s="163"/>
      <c r="G47" s="162"/>
      <c r="H47" s="162"/>
      <c r="I47" s="325"/>
      <c r="J47" s="325"/>
      <c r="K47" s="325"/>
      <c r="L47" s="325"/>
      <c r="M47" s="167"/>
      <c r="N47" s="332"/>
      <c r="O47" s="217"/>
      <c r="P47" s="231"/>
    </row>
    <row r="48" spans="1:16" ht="22.5" customHeight="1" x14ac:dyDescent="0.25">
      <c r="A48" s="172"/>
      <c r="B48" s="327"/>
      <c r="C48" s="328"/>
      <c r="D48" s="329"/>
      <c r="E48" s="163"/>
      <c r="F48" s="163"/>
      <c r="G48" s="162"/>
      <c r="H48" s="162"/>
      <c r="I48" s="325"/>
      <c r="J48" s="325"/>
      <c r="K48" s="325"/>
      <c r="L48" s="325"/>
      <c r="M48" s="167"/>
      <c r="N48" s="332"/>
      <c r="O48" s="217"/>
      <c r="P48" s="231"/>
    </row>
    <row r="49" spans="1:16" ht="22.5" customHeight="1" x14ac:dyDescent="0.25">
      <c r="A49" s="172"/>
      <c r="B49" s="327"/>
      <c r="C49" s="328"/>
      <c r="D49" s="329"/>
      <c r="E49" s="163"/>
      <c r="F49" s="163"/>
      <c r="G49" s="162"/>
      <c r="H49" s="162"/>
      <c r="I49" s="325"/>
      <c r="J49" s="325"/>
      <c r="K49" s="325"/>
      <c r="L49" s="325"/>
      <c r="M49" s="167"/>
      <c r="N49" s="332"/>
      <c r="O49" s="217"/>
      <c r="P49" s="231"/>
    </row>
    <row r="50" spans="1:16" ht="22.5" customHeight="1" x14ac:dyDescent="0.25">
      <c r="A50" s="172"/>
      <c r="B50" s="327"/>
      <c r="C50" s="328"/>
      <c r="D50" s="329"/>
      <c r="E50" s="163"/>
      <c r="F50" s="163"/>
      <c r="G50" s="162"/>
      <c r="H50" s="162"/>
      <c r="I50" s="325"/>
      <c r="J50" s="325"/>
      <c r="K50" s="325"/>
      <c r="L50" s="325"/>
      <c r="M50" s="167"/>
      <c r="N50" s="332"/>
      <c r="O50" s="217"/>
      <c r="P50" s="231"/>
    </row>
    <row r="51" spans="1:16" ht="22.5" customHeight="1" x14ac:dyDescent="0.25">
      <c r="A51" s="172"/>
      <c r="B51" s="327"/>
      <c r="C51" s="328"/>
      <c r="D51" s="329"/>
      <c r="E51" s="163"/>
      <c r="F51" s="163"/>
      <c r="G51" s="162"/>
      <c r="H51" s="162"/>
      <c r="I51" s="325"/>
      <c r="J51" s="325"/>
      <c r="K51" s="325"/>
      <c r="L51" s="325"/>
      <c r="M51" s="167"/>
      <c r="N51" s="332"/>
      <c r="O51" s="217"/>
      <c r="P51" s="231"/>
    </row>
    <row r="52" spans="1:16" ht="24.75" customHeight="1" x14ac:dyDescent="0.25">
      <c r="A52" s="8"/>
      <c r="B52" s="349"/>
      <c r="C52" s="349"/>
      <c r="D52" s="349"/>
      <c r="E52" s="4"/>
      <c r="F52" s="4"/>
      <c r="G52" s="55"/>
      <c r="H52" s="55"/>
      <c r="I52" s="349"/>
      <c r="J52" s="349"/>
      <c r="K52" s="349"/>
      <c r="L52" s="349"/>
      <c r="M52" s="72"/>
      <c r="N52" s="333"/>
      <c r="O52" s="217"/>
      <c r="P52" s="227"/>
    </row>
    <row r="53" spans="1:16" ht="27.75" customHeight="1" x14ac:dyDescent="0.25">
      <c r="A53" s="8"/>
      <c r="B53" s="349"/>
      <c r="C53" s="349"/>
      <c r="D53" s="349"/>
      <c r="E53" s="4"/>
      <c r="F53" s="4"/>
      <c r="G53" s="55"/>
      <c r="H53" s="55"/>
      <c r="I53" s="349"/>
      <c r="J53" s="349"/>
      <c r="K53" s="349"/>
      <c r="L53" s="349"/>
      <c r="M53" s="72"/>
      <c r="N53" s="333"/>
      <c r="O53" s="217"/>
      <c r="P53" s="227"/>
    </row>
    <row r="54" spans="1:16" ht="19.5" customHeight="1" x14ac:dyDescent="0.25">
      <c r="A54" s="8"/>
      <c r="B54" s="349"/>
      <c r="C54" s="349"/>
      <c r="D54" s="349"/>
      <c r="E54" s="63"/>
      <c r="F54" s="63"/>
      <c r="G54" s="54"/>
      <c r="H54" s="54"/>
      <c r="I54" s="353"/>
      <c r="J54" s="353"/>
      <c r="K54" s="353"/>
      <c r="L54" s="353"/>
      <c r="M54" s="72"/>
      <c r="N54" s="333"/>
      <c r="O54" s="217"/>
      <c r="P54" s="227"/>
    </row>
    <row r="55" spans="1:16" ht="26.25" customHeight="1" thickBot="1" x14ac:dyDescent="0.3">
      <c r="A55" s="9"/>
      <c r="B55" s="346"/>
      <c r="C55" s="346"/>
      <c r="D55" s="346"/>
      <c r="E55" s="211"/>
      <c r="F55" s="211"/>
      <c r="G55" s="211"/>
      <c r="H55" s="211"/>
      <c r="I55" s="346"/>
      <c r="J55" s="346"/>
      <c r="K55" s="346"/>
      <c r="L55" s="346"/>
      <c r="M55" s="212"/>
      <c r="N55" s="334"/>
      <c r="O55" s="218"/>
      <c r="P55" s="228"/>
    </row>
    <row r="56" spans="1:16" ht="36.75" customHeight="1" x14ac:dyDescent="0.25">
      <c r="I56" s="5"/>
      <c r="K56" s="1"/>
      <c r="L56" s="1"/>
      <c r="P56" s="82"/>
    </row>
    <row r="57" spans="1:16" ht="11.25" customHeight="1" x14ac:dyDescent="0.25">
      <c r="G57" s="6"/>
      <c r="H57" s="6"/>
      <c r="I57" s="6"/>
      <c r="J57" s="6"/>
      <c r="K57" s="1"/>
      <c r="L57" s="1"/>
    </row>
    <row r="58" spans="1:16" ht="11.25" customHeight="1" x14ac:dyDescent="0.25">
      <c r="I58" s="5"/>
      <c r="K58" s="1"/>
      <c r="L58" s="1"/>
    </row>
    <row r="59" spans="1:16" ht="11.25" customHeight="1" x14ac:dyDescent="0.25">
      <c r="I59" s="5"/>
      <c r="K59" s="1"/>
      <c r="L59" s="1"/>
    </row>
    <row r="60" spans="1:16" ht="11.25" customHeight="1" x14ac:dyDescent="0.25">
      <c r="I60" s="5"/>
      <c r="K60" s="1"/>
      <c r="L60" s="1"/>
    </row>
    <row r="61" spans="1:16" ht="11.25" customHeight="1" x14ac:dyDescent="0.25">
      <c r="I61" s="5"/>
      <c r="K61" s="1"/>
      <c r="L61" s="1"/>
    </row>
    <row r="62" spans="1:16" ht="11.25" customHeight="1" x14ac:dyDescent="0.25">
      <c r="I62" s="5"/>
      <c r="K62" s="1"/>
      <c r="L62" s="1"/>
    </row>
    <row r="63" spans="1:16" ht="11.25" customHeight="1" x14ac:dyDescent="0.25">
      <c r="I63" s="5"/>
      <c r="K63" s="1"/>
      <c r="L63" s="1"/>
    </row>
    <row r="64" spans="1:16" ht="11.25" customHeight="1" x14ac:dyDescent="0.25">
      <c r="I64" s="5"/>
      <c r="K64" s="1"/>
      <c r="L64" s="1"/>
    </row>
    <row r="65" spans="9:12" ht="11.25" customHeight="1" x14ac:dyDescent="0.25">
      <c r="I65" s="5"/>
      <c r="K65" s="1"/>
      <c r="L65" s="1"/>
    </row>
    <row r="66" spans="9:12" ht="11.25" customHeight="1" x14ac:dyDescent="0.25">
      <c r="I66" s="5"/>
      <c r="K66" s="1"/>
      <c r="L66" s="1"/>
    </row>
    <row r="67" spans="9:12" ht="11.25" customHeight="1" x14ac:dyDescent="0.25">
      <c r="I67" s="5"/>
      <c r="K67" s="1"/>
      <c r="L67" s="1"/>
    </row>
    <row r="68" spans="9:12" ht="11.25" customHeight="1" x14ac:dyDescent="0.25">
      <c r="I68" s="5"/>
      <c r="K68" s="1"/>
      <c r="L68" s="1"/>
    </row>
    <row r="69" spans="9:12" ht="11.25" customHeight="1" x14ac:dyDescent="0.25">
      <c r="I69" s="5"/>
      <c r="K69" s="1"/>
      <c r="L69" s="1"/>
    </row>
    <row r="70" spans="9:12" ht="11.25" customHeight="1" x14ac:dyDescent="0.25">
      <c r="I70" s="5"/>
      <c r="K70" s="1"/>
      <c r="L70" s="1"/>
    </row>
    <row r="71" spans="9:12" ht="11.25" customHeight="1" x14ac:dyDescent="0.25">
      <c r="I71" s="5"/>
      <c r="K71" s="1"/>
      <c r="L71" s="1"/>
    </row>
    <row r="72" spans="9:12" ht="11.25" customHeight="1" x14ac:dyDescent="0.25">
      <c r="I72" s="5"/>
      <c r="K72" s="1"/>
      <c r="L72" s="1"/>
    </row>
    <row r="73" spans="9:12" ht="11.25" customHeight="1" x14ac:dyDescent="0.25">
      <c r="I73" s="5"/>
      <c r="K73" s="1"/>
      <c r="L73" s="1"/>
    </row>
    <row r="74" spans="9:12" ht="11.25" customHeight="1" x14ac:dyDescent="0.25">
      <c r="I74" s="5"/>
      <c r="K74" s="1"/>
      <c r="L74" s="1"/>
    </row>
    <row r="75" spans="9:12" ht="11.25" customHeight="1" x14ac:dyDescent="0.25">
      <c r="I75" s="5"/>
      <c r="K75" s="1"/>
      <c r="L75" s="1"/>
    </row>
    <row r="76" spans="9:12" ht="11.25" customHeight="1" x14ac:dyDescent="0.25">
      <c r="I76" s="5"/>
      <c r="K76" s="1"/>
      <c r="L76" s="1"/>
    </row>
    <row r="77" spans="9:12" ht="11.25" customHeight="1" x14ac:dyDescent="0.25">
      <c r="I77" s="5"/>
      <c r="K77" s="1"/>
      <c r="L77" s="1"/>
    </row>
    <row r="78" spans="9:12" ht="11.25" customHeight="1" x14ac:dyDescent="0.25">
      <c r="I78" s="5"/>
      <c r="K78" s="1"/>
      <c r="L78" s="1"/>
    </row>
    <row r="79" spans="9:12" ht="11.25" customHeight="1" x14ac:dyDescent="0.25">
      <c r="I79" s="5"/>
      <c r="K79" s="1"/>
      <c r="L79" s="1"/>
    </row>
    <row r="80" spans="9:12" ht="11.25" customHeight="1" x14ac:dyDescent="0.25">
      <c r="I80" s="5"/>
      <c r="K80" s="1"/>
      <c r="L80" s="1"/>
    </row>
    <row r="81" spans="9:12" ht="11.25" customHeight="1" x14ac:dyDescent="0.25">
      <c r="I81" s="5"/>
      <c r="K81" s="1"/>
      <c r="L81" s="1"/>
    </row>
    <row r="82" spans="9:12" ht="11.25" customHeight="1" x14ac:dyDescent="0.25">
      <c r="I82" s="5"/>
      <c r="K82" s="1"/>
      <c r="L82" s="1"/>
    </row>
    <row r="83" spans="9:12" ht="11.25" customHeight="1" x14ac:dyDescent="0.25">
      <c r="I83" s="5"/>
      <c r="K83" s="1"/>
      <c r="L83" s="1"/>
    </row>
    <row r="84" spans="9:12" ht="11.25" customHeight="1" x14ac:dyDescent="0.25">
      <c r="I84" s="5"/>
      <c r="K84" s="1"/>
      <c r="L84" s="1"/>
    </row>
    <row r="85" spans="9:12" ht="11.25" customHeight="1" x14ac:dyDescent="0.25">
      <c r="I85" s="5"/>
      <c r="K85" s="1"/>
      <c r="L85" s="1"/>
    </row>
    <row r="86" spans="9:12" ht="11.25" customHeight="1" x14ac:dyDescent="0.25">
      <c r="I86" s="5"/>
      <c r="K86" s="1"/>
      <c r="L86" s="1"/>
    </row>
    <row r="87" spans="9:12" ht="11.25" customHeight="1" x14ac:dyDescent="0.25">
      <c r="I87" s="5"/>
      <c r="K87" s="1"/>
      <c r="L87" s="1"/>
    </row>
    <row r="88" spans="9:12" ht="11.25" customHeight="1" x14ac:dyDescent="0.25">
      <c r="I88" s="5"/>
      <c r="K88" s="1"/>
      <c r="L88" s="1"/>
    </row>
    <row r="89" spans="9:12" ht="11.25" customHeight="1" x14ac:dyDescent="0.25">
      <c r="I89" s="5"/>
      <c r="K89" s="1"/>
      <c r="L89" s="1"/>
    </row>
    <row r="90" spans="9:12" ht="11.25" customHeight="1" x14ac:dyDescent="0.25">
      <c r="I90" s="5"/>
      <c r="K90" s="1"/>
      <c r="L90" s="1"/>
    </row>
    <row r="91" spans="9:12" ht="11.25" customHeight="1" x14ac:dyDescent="0.25">
      <c r="I91" s="5"/>
      <c r="K91" s="1"/>
      <c r="L91" s="1"/>
    </row>
    <row r="92" spans="9:12" ht="11.25" customHeight="1" x14ac:dyDescent="0.25">
      <c r="I92" s="5"/>
      <c r="K92" s="1"/>
      <c r="L92" s="1"/>
    </row>
    <row r="93" spans="9:12" ht="11.25" customHeight="1" x14ac:dyDescent="0.25">
      <c r="I93" s="5"/>
      <c r="K93" s="1"/>
      <c r="L93" s="1"/>
    </row>
    <row r="94" spans="9:12" ht="11.25" customHeight="1" x14ac:dyDescent="0.25">
      <c r="I94" s="5"/>
      <c r="K94" s="1"/>
      <c r="L94" s="1"/>
    </row>
    <row r="95" spans="9:12" ht="11.25" customHeight="1" x14ac:dyDescent="0.25">
      <c r="I95" s="5"/>
      <c r="K95" s="1"/>
      <c r="L95" s="1"/>
    </row>
    <row r="96" spans="9:12" ht="11.25" customHeight="1" x14ac:dyDescent="0.25">
      <c r="I96" s="5"/>
      <c r="K96" s="1"/>
      <c r="L96" s="1"/>
    </row>
    <row r="97" spans="9:12" ht="11.25" customHeight="1" x14ac:dyDescent="0.25">
      <c r="I97" s="5"/>
      <c r="K97" s="1"/>
      <c r="L97" s="1"/>
    </row>
    <row r="98" spans="9:12" ht="11.25" customHeight="1" x14ac:dyDescent="0.25">
      <c r="I98" s="5"/>
      <c r="K98" s="1"/>
      <c r="L98" s="1"/>
    </row>
    <row r="99" spans="9:12" ht="11.25" customHeight="1" x14ac:dyDescent="0.25">
      <c r="I99" s="5"/>
      <c r="K99" s="1"/>
      <c r="L99" s="1"/>
    </row>
    <row r="100" spans="9:12" ht="11.25" customHeight="1" x14ac:dyDescent="0.25">
      <c r="I100" s="5"/>
      <c r="K100" s="1"/>
      <c r="L100" s="1"/>
    </row>
    <row r="101" spans="9:12" ht="11.25" customHeight="1" x14ac:dyDescent="0.25">
      <c r="I101" s="5"/>
      <c r="K101" s="1"/>
      <c r="L101" s="1"/>
    </row>
    <row r="102" spans="9:12" ht="11.25" customHeight="1" x14ac:dyDescent="0.25">
      <c r="I102" s="5"/>
      <c r="K102" s="1"/>
      <c r="L102" s="1"/>
    </row>
    <row r="103" spans="9:12" ht="11.25" customHeight="1" x14ac:dyDescent="0.25">
      <c r="I103" s="5"/>
      <c r="K103" s="1"/>
      <c r="L103" s="1"/>
    </row>
    <row r="104" spans="9:12" ht="11.25" customHeight="1" x14ac:dyDescent="0.25">
      <c r="I104" s="5"/>
      <c r="K104" s="1"/>
      <c r="L104" s="1"/>
    </row>
    <row r="105" spans="9:12" ht="11.25" customHeight="1" x14ac:dyDescent="0.25">
      <c r="I105" s="5"/>
      <c r="K105" s="1"/>
      <c r="L105" s="1"/>
    </row>
    <row r="106" spans="9:12" ht="11.25" customHeight="1" x14ac:dyDescent="0.25">
      <c r="I106" s="5"/>
      <c r="K106" s="1"/>
      <c r="L106" s="1"/>
    </row>
    <row r="107" spans="9:12" ht="11.25" customHeight="1" x14ac:dyDescent="0.25">
      <c r="I107" s="5"/>
      <c r="K107" s="1"/>
      <c r="L107" s="1"/>
    </row>
    <row r="108" spans="9:12" ht="11.25" customHeight="1" x14ac:dyDescent="0.25">
      <c r="I108" s="5"/>
      <c r="K108" s="1"/>
      <c r="L108" s="1"/>
    </row>
    <row r="109" spans="9:12" ht="11.25" customHeight="1" x14ac:dyDescent="0.25">
      <c r="I109" s="5"/>
      <c r="K109" s="1"/>
      <c r="L109" s="1"/>
    </row>
    <row r="110" spans="9:12" ht="11.25" customHeight="1" x14ac:dyDescent="0.25">
      <c r="I110" s="5"/>
      <c r="K110" s="1"/>
      <c r="L110" s="1"/>
    </row>
    <row r="111" spans="9:12" ht="11.25" customHeight="1" x14ac:dyDescent="0.25">
      <c r="I111" s="5"/>
      <c r="K111" s="1"/>
      <c r="L111" s="1"/>
    </row>
    <row r="112" spans="9:12" ht="11.25" customHeight="1" x14ac:dyDescent="0.25">
      <c r="I112" s="5"/>
      <c r="K112" s="1"/>
      <c r="L112" s="1"/>
    </row>
    <row r="113" spans="9:12" ht="11.25" customHeight="1" x14ac:dyDescent="0.25">
      <c r="I113" s="5"/>
      <c r="K113" s="1"/>
      <c r="L113" s="1"/>
    </row>
    <row r="114" spans="9:12" ht="11.25" customHeight="1" x14ac:dyDescent="0.25">
      <c r="I114" s="5"/>
      <c r="K114" s="1"/>
      <c r="L114" s="1"/>
    </row>
    <row r="115" spans="9:12" ht="11.25" customHeight="1" x14ac:dyDescent="0.25">
      <c r="I115" s="5"/>
      <c r="K115" s="1"/>
      <c r="L115" s="1"/>
    </row>
    <row r="116" spans="9:12" ht="11.25" customHeight="1" x14ac:dyDescent="0.25">
      <c r="I116" s="5"/>
      <c r="K116" s="1"/>
      <c r="L116" s="1"/>
    </row>
    <row r="117" spans="9:12" ht="11.25" customHeight="1" x14ac:dyDescent="0.25">
      <c r="I117" s="5"/>
      <c r="K117" s="1"/>
      <c r="L117" s="1"/>
    </row>
    <row r="118" spans="9:12" ht="11.25" customHeight="1" x14ac:dyDescent="0.25">
      <c r="I118" s="5"/>
      <c r="K118" s="1"/>
      <c r="L118" s="1"/>
    </row>
    <row r="119" spans="9:12" ht="11.25" customHeight="1" x14ac:dyDescent="0.25">
      <c r="I119" s="5"/>
      <c r="K119" s="1"/>
      <c r="L119" s="1"/>
    </row>
    <row r="120" spans="9:12" ht="11.25" customHeight="1" x14ac:dyDescent="0.25">
      <c r="I120" s="5"/>
      <c r="K120" s="1"/>
      <c r="L120" s="1"/>
    </row>
    <row r="121" spans="9:12" ht="11.25" customHeight="1" x14ac:dyDescent="0.25">
      <c r="I121" s="5"/>
      <c r="K121" s="1"/>
      <c r="L121" s="1"/>
    </row>
    <row r="122" spans="9:12" ht="11.25" customHeight="1" x14ac:dyDescent="0.25">
      <c r="I122" s="5"/>
      <c r="K122" s="1"/>
      <c r="L122" s="1"/>
    </row>
    <row r="123" spans="9:12" ht="11.25" customHeight="1" x14ac:dyDescent="0.25">
      <c r="I123" s="5"/>
      <c r="K123" s="1"/>
      <c r="L123" s="1"/>
    </row>
    <row r="124" spans="9:12" ht="11.25" customHeight="1" x14ac:dyDescent="0.25">
      <c r="I124" s="5"/>
      <c r="K124" s="1"/>
      <c r="L124" s="1"/>
    </row>
    <row r="125" spans="9:12" ht="11.25" customHeight="1" x14ac:dyDescent="0.25">
      <c r="I125" s="5"/>
      <c r="K125" s="1"/>
      <c r="L125" s="1"/>
    </row>
    <row r="126" spans="9:12" ht="11.25" customHeight="1" x14ac:dyDescent="0.25">
      <c r="I126" s="5"/>
      <c r="K126" s="1"/>
      <c r="L126" s="1"/>
    </row>
    <row r="127" spans="9:12" ht="11.25" customHeight="1" x14ac:dyDescent="0.25">
      <c r="I127" s="5"/>
      <c r="K127" s="1"/>
      <c r="L127" s="1"/>
    </row>
    <row r="128" spans="9:12" ht="11.25" customHeight="1" x14ac:dyDescent="0.25">
      <c r="I128" s="5"/>
      <c r="K128" s="1"/>
      <c r="L128" s="1"/>
    </row>
    <row r="129" spans="9:12" ht="11.25" customHeight="1" x14ac:dyDescent="0.25">
      <c r="I129" s="5"/>
      <c r="K129" s="1"/>
      <c r="L129" s="1"/>
    </row>
    <row r="130" spans="9:12" ht="11.25" customHeight="1" x14ac:dyDescent="0.25">
      <c r="I130" s="5"/>
      <c r="K130" s="1"/>
      <c r="L130" s="1"/>
    </row>
    <row r="131" spans="9:12" ht="11.25" customHeight="1" x14ac:dyDescent="0.25">
      <c r="I131" s="5"/>
      <c r="K131" s="1"/>
      <c r="L131" s="1"/>
    </row>
    <row r="132" spans="9:12" ht="11.25" customHeight="1" x14ac:dyDescent="0.25">
      <c r="I132" s="5"/>
      <c r="K132" s="1"/>
      <c r="L132" s="1"/>
    </row>
    <row r="133" spans="9:12" ht="11.25" customHeight="1" x14ac:dyDescent="0.25">
      <c r="I133" s="5"/>
      <c r="K133" s="1"/>
      <c r="L133" s="1"/>
    </row>
    <row r="134" spans="9:12" ht="11.25" customHeight="1" x14ac:dyDescent="0.25">
      <c r="I134" s="5"/>
      <c r="K134" s="1"/>
      <c r="L134" s="1"/>
    </row>
    <row r="135" spans="9:12" ht="11.25" customHeight="1" x14ac:dyDescent="0.25">
      <c r="I135" s="5"/>
      <c r="K135" s="1"/>
      <c r="L135" s="1"/>
    </row>
    <row r="136" spans="9:12" ht="11.25" customHeight="1" x14ac:dyDescent="0.25">
      <c r="I136" s="5"/>
      <c r="K136" s="1"/>
      <c r="L136" s="1"/>
    </row>
    <row r="137" spans="9:12" ht="11.25" customHeight="1" x14ac:dyDescent="0.25">
      <c r="I137" s="5"/>
      <c r="K137" s="1"/>
      <c r="L137" s="1"/>
    </row>
    <row r="138" spans="9:12" ht="11.25" customHeight="1" x14ac:dyDescent="0.25">
      <c r="I138" s="5"/>
      <c r="K138" s="1"/>
      <c r="L138" s="1"/>
    </row>
    <row r="139" spans="9:12" ht="11.25" customHeight="1" x14ac:dyDescent="0.25">
      <c r="I139" s="5"/>
      <c r="K139" s="1"/>
      <c r="L139" s="1"/>
    </row>
    <row r="140" spans="9:12" ht="11.25" customHeight="1" x14ac:dyDescent="0.25">
      <c r="I140" s="5"/>
      <c r="K140" s="1"/>
      <c r="L140" s="1"/>
    </row>
    <row r="141" spans="9:12" ht="11.25" customHeight="1" x14ac:dyDescent="0.25">
      <c r="I141" s="5"/>
      <c r="K141" s="1"/>
      <c r="L141" s="1"/>
    </row>
    <row r="142" spans="9:12" ht="11.25" customHeight="1" x14ac:dyDescent="0.25">
      <c r="I142" s="5"/>
      <c r="K142" s="1"/>
      <c r="L142" s="1"/>
    </row>
    <row r="143" spans="9:12" ht="11.25" customHeight="1" x14ac:dyDescent="0.25">
      <c r="I143" s="5"/>
      <c r="K143" s="1"/>
      <c r="L143" s="1"/>
    </row>
    <row r="144" spans="9:12" ht="11.25" customHeight="1" x14ac:dyDescent="0.25">
      <c r="I144" s="5"/>
      <c r="K144" s="1"/>
      <c r="L144" s="1"/>
    </row>
    <row r="145" spans="9:12" ht="11.25" customHeight="1" x14ac:dyDescent="0.25">
      <c r="I145" s="5"/>
      <c r="K145" s="1"/>
      <c r="L145" s="1"/>
    </row>
    <row r="146" spans="9:12" ht="11.25" customHeight="1" x14ac:dyDescent="0.25">
      <c r="I146" s="5"/>
      <c r="K146" s="1"/>
      <c r="L146" s="1"/>
    </row>
    <row r="147" spans="9:12" ht="11.25" customHeight="1" x14ac:dyDescent="0.25">
      <c r="I147" s="5"/>
      <c r="K147" s="1"/>
      <c r="L147" s="1"/>
    </row>
    <row r="148" spans="9:12" ht="11.25" customHeight="1" x14ac:dyDescent="0.25">
      <c r="I148" s="5"/>
      <c r="K148" s="1"/>
      <c r="L148" s="1"/>
    </row>
    <row r="149" spans="9:12" ht="11.25" customHeight="1" x14ac:dyDescent="0.25">
      <c r="I149" s="5"/>
      <c r="K149" s="1"/>
      <c r="L149" s="1"/>
    </row>
    <row r="150" spans="9:12" ht="11.25" customHeight="1" x14ac:dyDescent="0.25">
      <c r="I150" s="5"/>
      <c r="K150" s="1"/>
      <c r="L150" s="1"/>
    </row>
    <row r="151" spans="9:12" ht="11.25" customHeight="1" x14ac:dyDescent="0.25">
      <c r="I151" s="5"/>
      <c r="K151" s="1"/>
      <c r="L151" s="1"/>
    </row>
    <row r="152" spans="9:12" ht="11.25" customHeight="1" x14ac:dyDescent="0.25">
      <c r="I152" s="5"/>
      <c r="K152" s="1"/>
      <c r="L152" s="1"/>
    </row>
    <row r="153" spans="9:12" ht="11.25" customHeight="1" x14ac:dyDescent="0.25">
      <c r="I153" s="5"/>
      <c r="K153" s="1"/>
      <c r="L153" s="1"/>
    </row>
    <row r="154" spans="9:12" ht="11.25" customHeight="1" x14ac:dyDescent="0.25">
      <c r="I154" s="5"/>
      <c r="K154" s="1"/>
      <c r="L154" s="1"/>
    </row>
    <row r="155" spans="9:12" ht="11.25" customHeight="1" x14ac:dyDescent="0.25">
      <c r="I155" s="5"/>
      <c r="K155" s="1"/>
      <c r="L155" s="1"/>
    </row>
    <row r="156" spans="9:12" ht="11.25" customHeight="1" x14ac:dyDescent="0.25">
      <c r="I156" s="5"/>
      <c r="K156" s="1"/>
      <c r="L156" s="1"/>
    </row>
    <row r="157" spans="9:12" ht="11.25" customHeight="1" x14ac:dyDescent="0.25">
      <c r="I157" s="5"/>
      <c r="K157" s="1"/>
      <c r="L157" s="1"/>
    </row>
    <row r="158" spans="9:12" ht="11.25" customHeight="1" x14ac:dyDescent="0.25">
      <c r="I158" s="5"/>
      <c r="K158" s="1"/>
      <c r="L158" s="1"/>
    </row>
    <row r="159" spans="9:12" ht="11.25" customHeight="1" x14ac:dyDescent="0.25">
      <c r="I159" s="5"/>
      <c r="K159" s="1"/>
      <c r="L159" s="1"/>
    </row>
    <row r="160" spans="9:12" ht="11.25" customHeight="1" x14ac:dyDescent="0.25">
      <c r="I160" s="5"/>
      <c r="K160" s="1"/>
      <c r="L160" s="1"/>
    </row>
    <row r="161" spans="9:12" ht="11.25" customHeight="1" x14ac:dyDescent="0.25">
      <c r="I161" s="5"/>
      <c r="K161" s="1"/>
      <c r="L161" s="1"/>
    </row>
    <row r="162" spans="9:12" ht="11.25" customHeight="1" x14ac:dyDescent="0.25">
      <c r="I162" s="5"/>
      <c r="K162" s="1"/>
      <c r="L162" s="1"/>
    </row>
    <row r="163" spans="9:12" ht="11.25" customHeight="1" x14ac:dyDescent="0.25">
      <c r="I163" s="5"/>
      <c r="K163" s="1"/>
      <c r="L163" s="1"/>
    </row>
    <row r="164" spans="9:12" ht="11.25" customHeight="1" x14ac:dyDescent="0.25">
      <c r="I164" s="5"/>
      <c r="K164" s="1"/>
      <c r="L164" s="1"/>
    </row>
    <row r="165" spans="9:12" ht="11.25" customHeight="1" x14ac:dyDescent="0.25">
      <c r="I165" s="5"/>
      <c r="K165" s="1"/>
      <c r="L165" s="1"/>
    </row>
    <row r="166" spans="9:12" ht="11.25" customHeight="1" x14ac:dyDescent="0.25">
      <c r="I166" s="5"/>
      <c r="K166" s="1"/>
      <c r="L166" s="1"/>
    </row>
    <row r="167" spans="9:12" ht="11.25" customHeight="1" x14ac:dyDescent="0.25">
      <c r="I167" s="5"/>
      <c r="K167" s="1"/>
      <c r="L167" s="1"/>
    </row>
    <row r="168" spans="9:12" ht="11.25" customHeight="1" x14ac:dyDescent="0.25">
      <c r="I168" s="5"/>
      <c r="K168" s="1"/>
      <c r="L168" s="1"/>
    </row>
    <row r="169" spans="9:12" ht="11.25" customHeight="1" x14ac:dyDescent="0.25">
      <c r="I169" s="5"/>
      <c r="K169" s="1"/>
      <c r="L169" s="1"/>
    </row>
    <row r="170" spans="9:12" ht="11.25" customHeight="1" x14ac:dyDescent="0.25">
      <c r="I170" s="5"/>
      <c r="K170" s="1"/>
      <c r="L170" s="1"/>
    </row>
    <row r="171" spans="9:12" ht="11.25" customHeight="1" x14ac:dyDescent="0.25">
      <c r="I171" s="5"/>
      <c r="K171" s="1"/>
      <c r="L171" s="1"/>
    </row>
    <row r="172" spans="9:12" ht="11.25" customHeight="1" x14ac:dyDescent="0.25">
      <c r="I172" s="5"/>
      <c r="K172" s="1"/>
      <c r="L172" s="1"/>
    </row>
    <row r="173" spans="9:12" ht="11.25" customHeight="1" x14ac:dyDescent="0.25">
      <c r="I173" s="5"/>
      <c r="K173" s="1"/>
      <c r="L173" s="1"/>
    </row>
    <row r="174" spans="9:12" ht="11.25" customHeight="1" x14ac:dyDescent="0.25">
      <c r="I174" s="5"/>
      <c r="K174" s="1"/>
      <c r="L174" s="1"/>
    </row>
    <row r="175" spans="9:12" ht="11.25" customHeight="1" x14ac:dyDescent="0.25">
      <c r="I175" s="5"/>
      <c r="K175" s="1"/>
      <c r="L175" s="1"/>
    </row>
    <row r="176" spans="9:12" ht="11.25" customHeight="1" x14ac:dyDescent="0.25">
      <c r="I176" s="5"/>
      <c r="K176" s="1"/>
      <c r="L176" s="1"/>
    </row>
    <row r="177" spans="9:12" ht="11.25" customHeight="1" x14ac:dyDescent="0.25">
      <c r="I177" s="5"/>
      <c r="K177" s="1"/>
      <c r="L177" s="1"/>
    </row>
    <row r="178" spans="9:12" ht="11.25" customHeight="1" x14ac:dyDescent="0.25">
      <c r="I178" s="5"/>
      <c r="K178" s="1"/>
      <c r="L178" s="1"/>
    </row>
    <row r="179" spans="9:12" ht="11.25" customHeight="1" x14ac:dyDescent="0.25">
      <c r="I179" s="5"/>
      <c r="K179" s="1"/>
      <c r="L179" s="1"/>
    </row>
    <row r="180" spans="9:12" ht="11.25" customHeight="1" x14ac:dyDescent="0.25">
      <c r="I180" s="5"/>
      <c r="K180" s="1"/>
      <c r="L180" s="1"/>
    </row>
    <row r="181" spans="9:12" ht="11.25" customHeight="1" x14ac:dyDescent="0.25">
      <c r="I181" s="5"/>
      <c r="K181" s="1"/>
      <c r="L181" s="1"/>
    </row>
    <row r="182" spans="9:12" ht="11.25" customHeight="1" x14ac:dyDescent="0.25">
      <c r="I182" s="5"/>
      <c r="K182" s="1"/>
      <c r="L182" s="1"/>
    </row>
    <row r="183" spans="9:12" ht="11.25" customHeight="1" x14ac:dyDescent="0.25">
      <c r="I183" s="5"/>
      <c r="K183" s="1"/>
      <c r="L183" s="1"/>
    </row>
    <row r="184" spans="9:12" ht="11.25" customHeight="1" x14ac:dyDescent="0.25">
      <c r="I184" s="5"/>
      <c r="K184" s="1"/>
      <c r="L184" s="1"/>
    </row>
    <row r="185" spans="9:12" ht="11.25" customHeight="1" x14ac:dyDescent="0.25">
      <c r="I185" s="5"/>
      <c r="K185" s="1"/>
      <c r="L185" s="1"/>
    </row>
    <row r="186" spans="9:12" ht="11.25" customHeight="1" x14ac:dyDescent="0.25">
      <c r="I186" s="5"/>
      <c r="K186" s="1"/>
      <c r="L186" s="1"/>
    </row>
    <row r="187" spans="9:12" ht="11.25" customHeight="1" x14ac:dyDescent="0.25">
      <c r="I187" s="5"/>
      <c r="K187" s="1"/>
      <c r="L187" s="1"/>
    </row>
    <row r="188" spans="9:12" ht="11.25" customHeight="1" x14ac:dyDescent="0.25">
      <c r="I188" s="5"/>
      <c r="K188" s="1"/>
      <c r="L188" s="1"/>
    </row>
    <row r="189" spans="9:12" ht="11.25" customHeight="1" x14ac:dyDescent="0.25">
      <c r="I189" s="5"/>
      <c r="K189" s="1"/>
      <c r="L189" s="1"/>
    </row>
    <row r="190" spans="9:12" ht="11.25" customHeight="1" x14ac:dyDescent="0.25">
      <c r="I190" s="5"/>
      <c r="K190" s="1"/>
      <c r="L190" s="1"/>
    </row>
    <row r="191" spans="9:12" ht="11.25" customHeight="1" x14ac:dyDescent="0.25">
      <c r="I191" s="5"/>
      <c r="K191" s="1"/>
      <c r="L191" s="1"/>
    </row>
    <row r="192" spans="9:12" ht="11.25" customHeight="1" x14ac:dyDescent="0.25">
      <c r="I192" s="5"/>
      <c r="K192" s="1"/>
      <c r="L192" s="1"/>
    </row>
    <row r="193" spans="9:12" ht="11.25" customHeight="1" x14ac:dyDescent="0.25">
      <c r="I193" s="5"/>
      <c r="K193" s="1"/>
      <c r="L193" s="1"/>
    </row>
    <row r="194" spans="9:12" ht="11.25" customHeight="1" x14ac:dyDescent="0.25">
      <c r="I194" s="5"/>
      <c r="K194" s="1"/>
      <c r="L194" s="1"/>
    </row>
    <row r="195" spans="9:12" ht="11.25" customHeight="1" x14ac:dyDescent="0.25">
      <c r="I195" s="5"/>
      <c r="K195" s="1"/>
      <c r="L195" s="1"/>
    </row>
    <row r="196" spans="9:12" ht="11.25" customHeight="1" x14ac:dyDescent="0.25">
      <c r="I196" s="5"/>
      <c r="K196" s="1"/>
      <c r="L196" s="1"/>
    </row>
    <row r="197" spans="9:12" ht="11.25" customHeight="1" x14ac:dyDescent="0.25">
      <c r="I197" s="5"/>
      <c r="K197" s="1"/>
      <c r="L197" s="1"/>
    </row>
    <row r="198" spans="9:12" ht="11.25" customHeight="1" x14ac:dyDescent="0.25">
      <c r="I198" s="5"/>
      <c r="K198" s="1"/>
      <c r="L198" s="1"/>
    </row>
    <row r="199" spans="9:12" ht="11.25" customHeight="1" x14ac:dyDescent="0.25">
      <c r="I199" s="5"/>
      <c r="K199" s="1"/>
      <c r="L199" s="1"/>
    </row>
    <row r="200" spans="9:12" ht="11.25" customHeight="1" x14ac:dyDescent="0.25">
      <c r="I200" s="5"/>
      <c r="K200" s="1"/>
      <c r="L200" s="1"/>
    </row>
    <row r="201" spans="9:12" ht="11.25" customHeight="1" x14ac:dyDescent="0.25">
      <c r="I201" s="5"/>
      <c r="K201" s="1"/>
      <c r="L201" s="1"/>
    </row>
    <row r="202" spans="9:12" ht="11.25" customHeight="1" x14ac:dyDescent="0.25">
      <c r="I202" s="5"/>
      <c r="K202" s="1"/>
      <c r="L202" s="1"/>
    </row>
    <row r="203" spans="9:12" ht="11.25" customHeight="1" x14ac:dyDescent="0.25">
      <c r="I203" s="5"/>
      <c r="K203" s="1"/>
      <c r="L203" s="1"/>
    </row>
    <row r="204" spans="9:12" ht="11.25" customHeight="1" x14ac:dyDescent="0.25">
      <c r="I204" s="5"/>
      <c r="K204" s="1"/>
      <c r="L204" s="1"/>
    </row>
    <row r="205" spans="9:12" ht="11.25" customHeight="1" x14ac:dyDescent="0.25">
      <c r="I205" s="5"/>
      <c r="K205" s="1"/>
      <c r="L205" s="1"/>
    </row>
    <row r="206" spans="9:12" ht="11.25" customHeight="1" x14ac:dyDescent="0.25">
      <c r="I206" s="5"/>
      <c r="K206" s="1"/>
      <c r="L206" s="1"/>
    </row>
    <row r="207" spans="9:12" ht="11.25" customHeight="1" x14ac:dyDescent="0.25">
      <c r="I207" s="5"/>
      <c r="K207" s="1"/>
      <c r="L207" s="1"/>
    </row>
    <row r="208" spans="9:12" ht="11.25" customHeight="1" x14ac:dyDescent="0.25">
      <c r="I208" s="5"/>
      <c r="K208" s="1"/>
      <c r="L208" s="1"/>
    </row>
    <row r="209" spans="9:12" ht="11.25" customHeight="1" x14ac:dyDescent="0.25">
      <c r="I209" s="5"/>
      <c r="K209" s="1"/>
      <c r="L209" s="1"/>
    </row>
    <row r="210" spans="9:12" ht="11.25" customHeight="1" x14ac:dyDescent="0.25">
      <c r="I210" s="5"/>
      <c r="K210" s="1"/>
      <c r="L210" s="1"/>
    </row>
    <row r="211" spans="9:12" ht="11.25" customHeight="1" x14ac:dyDescent="0.25">
      <c r="I211" s="5"/>
      <c r="K211" s="1"/>
      <c r="L211" s="1"/>
    </row>
    <row r="212" spans="9:12" ht="11.25" customHeight="1" x14ac:dyDescent="0.25">
      <c r="I212" s="5"/>
      <c r="K212" s="1"/>
      <c r="L212" s="1"/>
    </row>
    <row r="213" spans="9:12" ht="11.25" customHeight="1" x14ac:dyDescent="0.25">
      <c r="I213" s="5"/>
      <c r="K213" s="1"/>
      <c r="L213" s="1"/>
    </row>
    <row r="214" spans="9:12" ht="11.25" customHeight="1" x14ac:dyDescent="0.25">
      <c r="I214" s="5"/>
      <c r="K214" s="1"/>
      <c r="L214" s="1"/>
    </row>
    <row r="215" spans="9:12" ht="11.25" customHeight="1" x14ac:dyDescent="0.25">
      <c r="I215" s="5"/>
      <c r="K215" s="1"/>
      <c r="L215" s="1"/>
    </row>
    <row r="216" spans="9:12" ht="11.25" customHeight="1" x14ac:dyDescent="0.25">
      <c r="I216" s="5"/>
      <c r="K216" s="1"/>
      <c r="L216" s="1"/>
    </row>
    <row r="217" spans="9:12" ht="11.25" customHeight="1" x14ac:dyDescent="0.25">
      <c r="I217" s="5"/>
      <c r="K217" s="1"/>
      <c r="L217" s="1"/>
    </row>
    <row r="218" spans="9:12" ht="11.25" customHeight="1" x14ac:dyDescent="0.25">
      <c r="I218" s="5"/>
      <c r="K218" s="1"/>
      <c r="L218" s="1"/>
    </row>
    <row r="219" spans="9:12" ht="11.25" customHeight="1" x14ac:dyDescent="0.25">
      <c r="I219" s="5"/>
      <c r="K219" s="1"/>
      <c r="L219" s="1"/>
    </row>
    <row r="220" spans="9:12" ht="11.25" customHeight="1" x14ac:dyDescent="0.25">
      <c r="I220" s="5"/>
      <c r="K220" s="1"/>
      <c r="L220" s="1"/>
    </row>
    <row r="221" spans="9:12" ht="11.25" customHeight="1" x14ac:dyDescent="0.25">
      <c r="I221" s="5"/>
      <c r="K221" s="1"/>
      <c r="L221" s="1"/>
    </row>
    <row r="222" spans="9:12" ht="11.25" customHeight="1" x14ac:dyDescent="0.25">
      <c r="I222" s="5"/>
      <c r="K222" s="1"/>
      <c r="L222" s="1"/>
    </row>
    <row r="223" spans="9:12" ht="11.25" customHeight="1" x14ac:dyDescent="0.25">
      <c r="I223" s="5"/>
      <c r="K223" s="1"/>
      <c r="L223" s="1"/>
    </row>
    <row r="224" spans="9:12" ht="11.25" customHeight="1" x14ac:dyDescent="0.25">
      <c r="I224" s="5"/>
      <c r="K224" s="1"/>
      <c r="L224" s="1"/>
    </row>
    <row r="225" spans="9:12" ht="11.25" customHeight="1" x14ac:dyDescent="0.25">
      <c r="I225" s="5"/>
      <c r="K225" s="1"/>
      <c r="L225" s="1"/>
    </row>
    <row r="226" spans="9:12" ht="11.25" customHeight="1" x14ac:dyDescent="0.25">
      <c r="I226" s="5"/>
      <c r="K226" s="1"/>
      <c r="L226" s="1"/>
    </row>
    <row r="227" spans="9:12" ht="11.25" customHeight="1" x14ac:dyDescent="0.25">
      <c r="I227" s="5"/>
      <c r="K227" s="1"/>
      <c r="L227" s="1"/>
    </row>
    <row r="228" spans="9:12" ht="11.25" customHeight="1" x14ac:dyDescent="0.25">
      <c r="I228" s="5"/>
      <c r="K228" s="1"/>
      <c r="L228" s="1"/>
    </row>
    <row r="229" spans="9:12" ht="11.25" customHeight="1" x14ac:dyDescent="0.25">
      <c r="I229" s="5"/>
      <c r="K229" s="1"/>
      <c r="L229" s="1"/>
    </row>
    <row r="230" spans="9:12" ht="11.25" customHeight="1" x14ac:dyDescent="0.25">
      <c r="I230" s="5"/>
      <c r="K230" s="1"/>
      <c r="L230" s="1"/>
    </row>
    <row r="231" spans="9:12" ht="11.25" customHeight="1" x14ac:dyDescent="0.25">
      <c r="I231" s="5"/>
      <c r="K231" s="1"/>
      <c r="L231" s="1"/>
    </row>
    <row r="232" spans="9:12" ht="11.25" customHeight="1" x14ac:dyDescent="0.25">
      <c r="I232" s="5"/>
      <c r="K232" s="1"/>
      <c r="L232" s="1"/>
    </row>
    <row r="233" spans="9:12" ht="11.25" customHeight="1" x14ac:dyDescent="0.25">
      <c r="I233" s="5"/>
      <c r="K233" s="1"/>
      <c r="L233" s="1"/>
    </row>
    <row r="234" spans="9:12" ht="11.25" customHeight="1" x14ac:dyDescent="0.25">
      <c r="I234" s="5"/>
      <c r="K234" s="1"/>
      <c r="L234" s="1"/>
    </row>
    <row r="235" spans="9:12" ht="11.25" customHeight="1" x14ac:dyDescent="0.25">
      <c r="I235" s="5"/>
      <c r="K235" s="1"/>
      <c r="L235" s="1"/>
    </row>
    <row r="236" spans="9:12" ht="11.25" customHeight="1" x14ac:dyDescent="0.25">
      <c r="I236" s="5"/>
      <c r="K236" s="1"/>
      <c r="L236" s="1"/>
    </row>
    <row r="237" spans="9:12" ht="11.25" customHeight="1" x14ac:dyDescent="0.25">
      <c r="I237" s="5"/>
      <c r="K237" s="1"/>
      <c r="L237" s="1"/>
    </row>
    <row r="238" spans="9:12" ht="11.25" customHeight="1" x14ac:dyDescent="0.25">
      <c r="I238" s="5"/>
      <c r="K238" s="1"/>
      <c r="L238" s="1"/>
    </row>
    <row r="239" spans="9:12" ht="11.25" customHeight="1" x14ac:dyDescent="0.25">
      <c r="I239" s="5"/>
      <c r="K239" s="1"/>
      <c r="L239" s="1"/>
    </row>
    <row r="240" spans="9:12" ht="11.25" customHeight="1" x14ac:dyDescent="0.25">
      <c r="I240" s="5"/>
      <c r="K240" s="1"/>
      <c r="L240" s="1"/>
    </row>
    <row r="241" spans="9:12" ht="11.25" customHeight="1" x14ac:dyDescent="0.25">
      <c r="I241" s="5"/>
      <c r="K241" s="1"/>
      <c r="L241" s="1"/>
    </row>
    <row r="242" spans="9:12" ht="11.25" customHeight="1" x14ac:dyDescent="0.25">
      <c r="I242" s="5"/>
      <c r="K242" s="1"/>
      <c r="L242" s="1"/>
    </row>
    <row r="243" spans="9:12" ht="11.25" customHeight="1" x14ac:dyDescent="0.25">
      <c r="I243" s="5"/>
      <c r="K243" s="1"/>
      <c r="L243" s="1"/>
    </row>
    <row r="244" spans="9:12" ht="11.25" customHeight="1" x14ac:dyDescent="0.25">
      <c r="I244" s="5"/>
      <c r="K244" s="1"/>
      <c r="L244" s="1"/>
    </row>
    <row r="245" spans="9:12" ht="11.25" customHeight="1" x14ac:dyDescent="0.25">
      <c r="I245" s="5"/>
      <c r="K245" s="1"/>
      <c r="L245" s="1"/>
    </row>
    <row r="246" spans="9:12" ht="11.25" customHeight="1" x14ac:dyDescent="0.25">
      <c r="I246" s="5"/>
      <c r="K246" s="1"/>
      <c r="L246" s="1"/>
    </row>
    <row r="247" spans="9:12" ht="11.25" customHeight="1" x14ac:dyDescent="0.25">
      <c r="I247" s="5"/>
      <c r="K247" s="1"/>
      <c r="L247" s="1"/>
    </row>
    <row r="248" spans="9:12" ht="11.25" customHeight="1" x14ac:dyDescent="0.25">
      <c r="I248" s="5"/>
      <c r="K248" s="1"/>
      <c r="L248" s="1"/>
    </row>
    <row r="249" spans="9:12" ht="11.25" customHeight="1" x14ac:dyDescent="0.25">
      <c r="I249" s="5"/>
      <c r="K249" s="1"/>
      <c r="L249" s="1"/>
    </row>
    <row r="250" spans="9:12" ht="11.25" customHeight="1" x14ac:dyDescent="0.25">
      <c r="I250" s="5"/>
      <c r="K250" s="1"/>
      <c r="L250" s="1"/>
    </row>
    <row r="251" spans="9:12" ht="11.25" customHeight="1" x14ac:dyDescent="0.25">
      <c r="I251" s="5"/>
      <c r="K251" s="1"/>
      <c r="L251" s="1"/>
    </row>
    <row r="252" spans="9:12" ht="11.25" customHeight="1" x14ac:dyDescent="0.25">
      <c r="I252" s="5"/>
      <c r="K252" s="1"/>
      <c r="L252" s="1"/>
    </row>
    <row r="253" spans="9:12" ht="11.25" customHeight="1" x14ac:dyDescent="0.25">
      <c r="I253" s="5"/>
      <c r="K253" s="1"/>
      <c r="L253" s="1"/>
    </row>
    <row r="254" spans="9:12" ht="11.25" customHeight="1" x14ac:dyDescent="0.25">
      <c r="I254" s="5"/>
      <c r="K254" s="1"/>
      <c r="L254" s="1"/>
    </row>
    <row r="255" spans="9:12" ht="11.25" customHeight="1" x14ac:dyDescent="0.25">
      <c r="I255" s="5"/>
      <c r="K255" s="1"/>
      <c r="L255" s="1"/>
    </row>
    <row r="256" spans="9:12" ht="11.25" customHeight="1" x14ac:dyDescent="0.25">
      <c r="I256" s="5"/>
      <c r="K256" s="1"/>
      <c r="L256" s="1"/>
    </row>
    <row r="257" spans="9:12" ht="11.25" customHeight="1" x14ac:dyDescent="0.25">
      <c r="I257" s="5"/>
      <c r="K257" s="1"/>
      <c r="L257" s="1"/>
    </row>
    <row r="258" spans="9:12" ht="11.25" customHeight="1" x14ac:dyDescent="0.25">
      <c r="I258" s="5"/>
      <c r="K258" s="1"/>
      <c r="L258" s="1"/>
    </row>
    <row r="259" spans="9:12" ht="11.25" customHeight="1" x14ac:dyDescent="0.25">
      <c r="I259" s="5"/>
      <c r="K259" s="1"/>
      <c r="L259" s="1"/>
    </row>
    <row r="260" spans="9:12" ht="11.25" customHeight="1" x14ac:dyDescent="0.25">
      <c r="I260" s="5"/>
      <c r="K260" s="1"/>
      <c r="L260" s="1"/>
    </row>
    <row r="261" spans="9:12" ht="11.25" customHeight="1" x14ac:dyDescent="0.25">
      <c r="I261" s="5"/>
      <c r="K261" s="1"/>
      <c r="L261" s="1"/>
    </row>
    <row r="262" spans="9:12" ht="11.25" customHeight="1" x14ac:dyDescent="0.25">
      <c r="I262" s="5"/>
      <c r="K262" s="1"/>
      <c r="L262" s="1"/>
    </row>
    <row r="263" spans="9:12" ht="11.25" customHeight="1" x14ac:dyDescent="0.25">
      <c r="I263" s="5"/>
      <c r="K263" s="1"/>
      <c r="L263" s="1"/>
    </row>
    <row r="264" spans="9:12" ht="11.25" customHeight="1" x14ac:dyDescent="0.25">
      <c r="I264" s="5"/>
      <c r="K264" s="1"/>
      <c r="L264" s="1"/>
    </row>
    <row r="265" spans="9:12" ht="11.25" customHeight="1" x14ac:dyDescent="0.25">
      <c r="I265" s="5"/>
      <c r="K265" s="1"/>
      <c r="L265" s="1"/>
    </row>
    <row r="266" spans="9:12" ht="11.25" customHeight="1" x14ac:dyDescent="0.25">
      <c r="I266" s="5"/>
      <c r="K266" s="1"/>
      <c r="L266" s="1"/>
    </row>
    <row r="267" spans="9:12" ht="11.25" customHeight="1" x14ac:dyDescent="0.25">
      <c r="I267" s="5"/>
      <c r="K267" s="1"/>
      <c r="L267" s="1"/>
    </row>
    <row r="268" spans="9:12" ht="11.25" customHeight="1" x14ac:dyDescent="0.25">
      <c r="I268" s="5"/>
      <c r="K268" s="1"/>
      <c r="L268" s="1"/>
    </row>
    <row r="269" spans="9:12" ht="11.25" customHeight="1" x14ac:dyDescent="0.25">
      <c r="I269" s="5"/>
      <c r="K269" s="1"/>
      <c r="L269" s="1"/>
    </row>
    <row r="270" spans="9:12" ht="11.25" customHeight="1" x14ac:dyDescent="0.25">
      <c r="I270" s="5"/>
      <c r="K270" s="1"/>
      <c r="L270" s="1"/>
    </row>
    <row r="271" spans="9:12" ht="11.25" customHeight="1" x14ac:dyDescent="0.25">
      <c r="I271" s="5"/>
      <c r="K271" s="1"/>
      <c r="L271" s="1"/>
    </row>
    <row r="272" spans="9:12" ht="11.25" customHeight="1" x14ac:dyDescent="0.25">
      <c r="I272" s="5"/>
      <c r="K272" s="1"/>
      <c r="L272" s="1"/>
    </row>
    <row r="273" spans="9:12" ht="11.25" customHeight="1" x14ac:dyDescent="0.25">
      <c r="I273" s="5"/>
      <c r="K273" s="1"/>
      <c r="L273" s="1"/>
    </row>
    <row r="274" spans="9:12" ht="11.25" customHeight="1" x14ac:dyDescent="0.25">
      <c r="I274" s="5"/>
      <c r="K274" s="1"/>
      <c r="L274" s="1"/>
    </row>
    <row r="275" spans="9:12" ht="11.25" customHeight="1" x14ac:dyDescent="0.25">
      <c r="I275" s="5"/>
      <c r="K275" s="1"/>
      <c r="L275" s="1"/>
    </row>
    <row r="276" spans="9:12" ht="11.25" customHeight="1" x14ac:dyDescent="0.25">
      <c r="I276" s="5"/>
      <c r="K276" s="1"/>
      <c r="L276" s="1"/>
    </row>
    <row r="277" spans="9:12" ht="11.25" customHeight="1" x14ac:dyDescent="0.25">
      <c r="I277" s="5"/>
      <c r="K277" s="1"/>
      <c r="L277" s="1"/>
    </row>
    <row r="278" spans="9:12" ht="11.25" customHeight="1" x14ac:dyDescent="0.25">
      <c r="I278" s="5"/>
      <c r="K278" s="1"/>
      <c r="L278" s="1"/>
    </row>
    <row r="279" spans="9:12" ht="11.25" customHeight="1" x14ac:dyDescent="0.25">
      <c r="I279" s="5"/>
      <c r="K279" s="1"/>
      <c r="L279" s="1"/>
    </row>
    <row r="280" spans="9:12" ht="11.25" customHeight="1" x14ac:dyDescent="0.25">
      <c r="I280" s="5"/>
      <c r="K280" s="1"/>
      <c r="L280" s="1"/>
    </row>
    <row r="281" spans="9:12" ht="11.25" customHeight="1" x14ac:dyDescent="0.25">
      <c r="I281" s="5"/>
      <c r="K281" s="1"/>
      <c r="L281" s="1"/>
    </row>
    <row r="282" spans="9:12" ht="11.25" customHeight="1" x14ac:dyDescent="0.25">
      <c r="I282" s="5"/>
      <c r="K282" s="1"/>
      <c r="L282" s="1"/>
    </row>
    <row r="283" spans="9:12" ht="11.25" customHeight="1" x14ac:dyDescent="0.25">
      <c r="I283" s="5"/>
      <c r="K283" s="1"/>
      <c r="L283" s="1"/>
    </row>
    <row r="284" spans="9:12" ht="11.25" customHeight="1" x14ac:dyDescent="0.25">
      <c r="I284" s="5"/>
      <c r="K284" s="1"/>
      <c r="L284" s="1"/>
    </row>
    <row r="285" spans="9:12" ht="11.25" customHeight="1" x14ac:dyDescent="0.25">
      <c r="I285" s="5"/>
      <c r="K285" s="1"/>
      <c r="L285" s="1"/>
    </row>
    <row r="286" spans="9:12" ht="11.25" customHeight="1" x14ac:dyDescent="0.25">
      <c r="I286" s="5"/>
      <c r="K286" s="1"/>
      <c r="L286" s="1"/>
    </row>
    <row r="287" spans="9:12" ht="11.25" customHeight="1" x14ac:dyDescent="0.25">
      <c r="I287" s="5"/>
      <c r="K287" s="1"/>
      <c r="L287" s="1"/>
    </row>
    <row r="288" spans="9:12" ht="11.25" customHeight="1" x14ac:dyDescent="0.25">
      <c r="I288" s="5"/>
      <c r="K288" s="1"/>
      <c r="L288" s="1"/>
    </row>
    <row r="289" spans="9:12" ht="11.25" customHeight="1" x14ac:dyDescent="0.25">
      <c r="I289" s="5"/>
      <c r="K289" s="1"/>
      <c r="L289" s="1"/>
    </row>
    <row r="290" spans="9:12" ht="11.25" customHeight="1" x14ac:dyDescent="0.25">
      <c r="I290" s="5"/>
      <c r="K290" s="1"/>
      <c r="L290" s="1"/>
    </row>
    <row r="291" spans="9:12" ht="11.25" customHeight="1" x14ac:dyDescent="0.25">
      <c r="I291" s="5"/>
      <c r="K291" s="1"/>
      <c r="L291" s="1"/>
    </row>
    <row r="292" spans="9:12" ht="11.25" customHeight="1" x14ac:dyDescent="0.25">
      <c r="I292" s="5"/>
      <c r="K292" s="1"/>
      <c r="L292" s="1"/>
    </row>
    <row r="293" spans="9:12" ht="11.25" customHeight="1" x14ac:dyDescent="0.25">
      <c r="I293" s="5"/>
      <c r="K293" s="1"/>
      <c r="L293" s="1"/>
    </row>
    <row r="294" spans="9:12" ht="11.25" customHeight="1" x14ac:dyDescent="0.25">
      <c r="I294" s="5"/>
      <c r="K294" s="1"/>
      <c r="L294" s="1"/>
    </row>
    <row r="295" spans="9:12" ht="11.25" customHeight="1" x14ac:dyDescent="0.25">
      <c r="I295" s="5"/>
      <c r="K295" s="1"/>
      <c r="L295" s="1"/>
    </row>
    <row r="296" spans="9:12" ht="11.25" customHeight="1" x14ac:dyDescent="0.25">
      <c r="I296" s="5"/>
      <c r="K296" s="1"/>
      <c r="L296" s="1"/>
    </row>
    <row r="297" spans="9:12" ht="11.25" customHeight="1" x14ac:dyDescent="0.25">
      <c r="I297" s="5"/>
      <c r="K297" s="1"/>
      <c r="L297" s="1"/>
    </row>
    <row r="298" spans="9:12" ht="11.25" customHeight="1" x14ac:dyDescent="0.25">
      <c r="I298" s="5"/>
      <c r="K298" s="1"/>
      <c r="L298" s="1"/>
    </row>
    <row r="299" spans="9:12" ht="11.25" customHeight="1" x14ac:dyDescent="0.25">
      <c r="I299" s="5"/>
      <c r="K299" s="1"/>
      <c r="L299" s="1"/>
    </row>
    <row r="300" spans="9:12" ht="11.25" customHeight="1" x14ac:dyDescent="0.25">
      <c r="I300" s="5"/>
      <c r="K300" s="1"/>
      <c r="L300" s="1"/>
    </row>
    <row r="301" spans="9:12" ht="11.25" customHeight="1" x14ac:dyDescent="0.25">
      <c r="I301" s="5"/>
      <c r="K301" s="1"/>
      <c r="L301" s="1"/>
    </row>
    <row r="302" spans="9:12" ht="11.25" customHeight="1" x14ac:dyDescent="0.25">
      <c r="I302" s="5"/>
      <c r="K302" s="1"/>
      <c r="L302" s="1"/>
    </row>
    <row r="303" spans="9:12" ht="11.25" customHeight="1" x14ac:dyDescent="0.25">
      <c r="I303" s="5"/>
      <c r="K303" s="1"/>
      <c r="L303" s="1"/>
    </row>
    <row r="304" spans="9:12" ht="11.25" customHeight="1" x14ac:dyDescent="0.25">
      <c r="I304" s="5"/>
      <c r="K304" s="1"/>
      <c r="L304" s="1"/>
    </row>
    <row r="305" spans="9:12" ht="11.25" customHeight="1" x14ac:dyDescent="0.25">
      <c r="I305" s="60"/>
      <c r="K305" s="61"/>
      <c r="L305" s="59"/>
    </row>
    <row r="306" spans="9:12" ht="11.25" customHeight="1" x14ac:dyDescent="0.25"/>
    <row r="307" spans="9:12" ht="11.25" customHeight="1" x14ac:dyDescent="0.25"/>
    <row r="308" spans="9:12" ht="11.25" customHeight="1" x14ac:dyDescent="0.25"/>
    <row r="309" spans="9:12" ht="11.25" customHeight="1" x14ac:dyDescent="0.25"/>
    <row r="310" spans="9:12" ht="11.25" customHeight="1" x14ac:dyDescent="0.25"/>
    <row r="311" spans="9:12" ht="11.25" customHeight="1" x14ac:dyDescent="0.25"/>
    <row r="312" spans="9:12" ht="11.25" customHeight="1" x14ac:dyDescent="0.25"/>
    <row r="313" spans="9:12" ht="11.25" customHeight="1" x14ac:dyDescent="0.25"/>
    <row r="314" spans="9:12" ht="11.25" customHeight="1" x14ac:dyDescent="0.25"/>
    <row r="315" spans="9:12" ht="11.25" customHeight="1" x14ac:dyDescent="0.25"/>
    <row r="316" spans="9:12" ht="11.25" customHeight="1" x14ac:dyDescent="0.25"/>
    <row r="317" spans="9:12" ht="11.25" customHeight="1" x14ac:dyDescent="0.25"/>
    <row r="318" spans="9:12" ht="11.25" customHeight="1" x14ac:dyDescent="0.25"/>
    <row r="319" spans="9:12" ht="11.25" customHeight="1" x14ac:dyDescent="0.25"/>
    <row r="320" spans="9:12" ht="11.25" customHeight="1" x14ac:dyDescent="0.25"/>
    <row r="321" ht="11.25" customHeight="1" x14ac:dyDescent="0.25"/>
    <row r="322" ht="11.25" customHeight="1" x14ac:dyDescent="0.25"/>
    <row r="323" ht="11.25" customHeight="1" x14ac:dyDescent="0.25"/>
    <row r="324" ht="11.25" customHeight="1" x14ac:dyDescent="0.25"/>
    <row r="325" ht="11.25" customHeight="1" x14ac:dyDescent="0.25"/>
    <row r="326" ht="11.25" customHeight="1" x14ac:dyDescent="0.25"/>
    <row r="327" ht="11.25" customHeight="1" x14ac:dyDescent="0.25"/>
    <row r="328" ht="11.25" customHeight="1" x14ac:dyDescent="0.25"/>
    <row r="329" ht="11.25" customHeight="1" x14ac:dyDescent="0.25"/>
    <row r="330" ht="11.25" customHeight="1" x14ac:dyDescent="0.25"/>
    <row r="331" ht="11.25" customHeight="1" x14ac:dyDescent="0.25"/>
    <row r="332" ht="11.25" customHeight="1" x14ac:dyDescent="0.25"/>
    <row r="333" ht="11.25" customHeight="1" x14ac:dyDescent="0.25"/>
    <row r="334" ht="11.25" customHeight="1" x14ac:dyDescent="0.25"/>
    <row r="335" ht="11.25" customHeight="1" x14ac:dyDescent="0.25"/>
    <row r="336" ht="11.25" customHeight="1" x14ac:dyDescent="0.25"/>
    <row r="337" ht="11.25" customHeight="1" x14ac:dyDescent="0.25"/>
    <row r="338" ht="11.25" customHeight="1" x14ac:dyDescent="0.25"/>
    <row r="339" ht="11.25" customHeight="1" x14ac:dyDescent="0.25"/>
    <row r="340" ht="11.25" customHeight="1" x14ac:dyDescent="0.25"/>
    <row r="341" ht="11.25" customHeight="1" x14ac:dyDescent="0.25"/>
    <row r="342" ht="11.25" customHeight="1" x14ac:dyDescent="0.25"/>
    <row r="343" ht="11.25" customHeight="1" x14ac:dyDescent="0.25"/>
    <row r="344" ht="11.25" customHeight="1" x14ac:dyDescent="0.25"/>
    <row r="345" ht="11.25" customHeight="1" x14ac:dyDescent="0.25"/>
    <row r="346" ht="11.25" customHeight="1" x14ac:dyDescent="0.25"/>
  </sheetData>
  <mergeCells count="105">
    <mergeCell ref="A2:B6"/>
    <mergeCell ref="A7:L7"/>
    <mergeCell ref="O6:P6"/>
    <mergeCell ref="C5:P5"/>
    <mergeCell ref="C4:P4"/>
    <mergeCell ref="C3:P3"/>
    <mergeCell ref="C2:P2"/>
    <mergeCell ref="C6:M6"/>
    <mergeCell ref="M7:N7"/>
    <mergeCell ref="A1:L1"/>
    <mergeCell ref="I23:L23"/>
    <mergeCell ref="I26:L26"/>
    <mergeCell ref="I24:L24"/>
    <mergeCell ref="I27:L27"/>
    <mergeCell ref="I36:L36"/>
    <mergeCell ref="I37:L37"/>
    <mergeCell ref="I38:L38"/>
    <mergeCell ref="I42:L42"/>
    <mergeCell ref="I25:L25"/>
    <mergeCell ref="I28:L28"/>
    <mergeCell ref="I29:L29"/>
    <mergeCell ref="I20:L20"/>
    <mergeCell ref="I21:L21"/>
    <mergeCell ref="I22:L22"/>
    <mergeCell ref="A20:A21"/>
    <mergeCell ref="I9:L9"/>
    <mergeCell ref="B10:D10"/>
    <mergeCell ref="B11:D11"/>
    <mergeCell ref="B15:D15"/>
    <mergeCell ref="B19:D19"/>
    <mergeCell ref="B20:D20"/>
    <mergeCell ref="B21:D21"/>
    <mergeCell ref="B22:D22"/>
    <mergeCell ref="B9:D9"/>
    <mergeCell ref="B17:D17"/>
    <mergeCell ref="B16:D16"/>
    <mergeCell ref="B55:D55"/>
    <mergeCell ref="B46:D46"/>
    <mergeCell ref="B36:D36"/>
    <mergeCell ref="B34:D34"/>
    <mergeCell ref="B37:D37"/>
    <mergeCell ref="B38:D38"/>
    <mergeCell ref="B42:D42"/>
    <mergeCell ref="B43:D43"/>
    <mergeCell ref="B54:D54"/>
    <mergeCell ref="B44:D44"/>
    <mergeCell ref="B47:D47"/>
    <mergeCell ref="B52:D52"/>
    <mergeCell ref="B53:D53"/>
    <mergeCell ref="A35:L35"/>
    <mergeCell ref="I52:L52"/>
    <mergeCell ref="I53:L53"/>
    <mergeCell ref="I54:L54"/>
    <mergeCell ref="I30:L30"/>
    <mergeCell ref="I31:L31"/>
    <mergeCell ref="I32:L32"/>
    <mergeCell ref="I33:L33"/>
    <mergeCell ref="N10:N17"/>
    <mergeCell ref="O10:O17"/>
    <mergeCell ref="P10:P17"/>
    <mergeCell ref="O20:O34"/>
    <mergeCell ref="P20:P34"/>
    <mergeCell ref="O37:O44"/>
    <mergeCell ref="P37:P44"/>
    <mergeCell ref="I11:L11"/>
    <mergeCell ref="I10:L10"/>
    <mergeCell ref="I34:L34"/>
    <mergeCell ref="I44:L44"/>
    <mergeCell ref="I43:L43"/>
    <mergeCell ref="I19:L19"/>
    <mergeCell ref="I17:L17"/>
    <mergeCell ref="I16:L16"/>
    <mergeCell ref="I15:L15"/>
    <mergeCell ref="I51:L51"/>
    <mergeCell ref="B48:D48"/>
    <mergeCell ref="B49:D49"/>
    <mergeCell ref="B50:D50"/>
    <mergeCell ref="B51:D51"/>
    <mergeCell ref="O47:O55"/>
    <mergeCell ref="P47:P55"/>
    <mergeCell ref="N20:N34"/>
    <mergeCell ref="N47:N55"/>
    <mergeCell ref="I47:L47"/>
    <mergeCell ref="I55:L55"/>
    <mergeCell ref="I46:L46"/>
    <mergeCell ref="B23:D23"/>
    <mergeCell ref="B29:D29"/>
    <mergeCell ref="B32:D32"/>
    <mergeCell ref="B33:D33"/>
    <mergeCell ref="B30:D30"/>
    <mergeCell ref="B31:D31"/>
    <mergeCell ref="B24:D24"/>
    <mergeCell ref="B25:D25"/>
    <mergeCell ref="B26:D26"/>
    <mergeCell ref="B27:D27"/>
    <mergeCell ref="B28:D28"/>
    <mergeCell ref="B39:D39"/>
    <mergeCell ref="B40:D40"/>
    <mergeCell ref="B41:D41"/>
    <mergeCell ref="I39:L39"/>
    <mergeCell ref="I40:L40"/>
    <mergeCell ref="I41:L41"/>
    <mergeCell ref="I48:L48"/>
    <mergeCell ref="I49:L49"/>
    <mergeCell ref="I50:L50"/>
  </mergeCells>
  <phoneticPr fontId="44" type="noConversion"/>
  <conditionalFormatting sqref="P9:P17 P19:P34 P36:P44 P46:P55">
    <cfRule type="cellIs" dxfId="31" priority="1" operator="between">
      <formula>0.8</formula>
      <formula>1</formula>
    </cfRule>
    <cfRule type="cellIs" dxfId="30" priority="2" operator="between">
      <formula>0.6</formula>
      <formula>0.79</formula>
    </cfRule>
    <cfRule type="cellIs" dxfId="29" priority="3" operator="lessThanOrEqual">
      <formula>0.59</formula>
    </cfRule>
    <cfRule type="cellIs" dxfId="28" priority="4" operator="between">
      <formula>0.76</formula>
      <formula>100</formula>
    </cfRule>
    <cfRule type="cellIs" dxfId="27" priority="5" operator="between">
      <formula>0.51</formula>
      <formula>0.75</formula>
    </cfRule>
    <cfRule type="cellIs" dxfId="26" priority="6" operator="lessThanOrEqual">
      <formula>0.5</formula>
    </cfRule>
  </conditionalFormatting>
  <pageMargins left="0.70866141732283472" right="0.70866141732283472" top="0.74803149606299213" bottom="0.74803149606299213" header="0.31496062992125984" footer="0.31496062992125984"/>
  <pageSetup paperSize="14" scale="77" orientation="landscape" r:id="rId1"/>
  <rowBreaks count="1" manualBreakCount="1">
    <brk id="45" max="1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B1:L71"/>
  <sheetViews>
    <sheetView zoomScale="60" zoomScaleNormal="60" zoomScaleSheetLayoutView="80" workbookViewId="0">
      <pane ySplit="8" topLeftCell="A12" activePane="bottomLeft" state="frozen"/>
      <selection pane="bottomLeft" activeCell="C2" sqref="C2:L6"/>
    </sheetView>
  </sheetViews>
  <sheetFormatPr baseColWidth="10" defaultRowHeight="15" x14ac:dyDescent="0.25"/>
  <cols>
    <col min="2" max="2" width="23.140625" style="10" customWidth="1"/>
    <col min="3" max="3" width="47.140625" style="18" customWidth="1"/>
    <col min="4" max="4" width="6.140625" style="15" customWidth="1"/>
    <col min="5" max="5" width="9.28515625" style="15" customWidth="1"/>
    <col min="6" max="7" width="12.28515625" style="13" customWidth="1"/>
    <col min="8" max="8" width="25.42578125" style="13" customWidth="1"/>
    <col min="9" max="9" width="19.28515625" style="74" customWidth="1"/>
    <col min="10" max="10" width="18.7109375" customWidth="1"/>
    <col min="11" max="11" width="21.42578125" customWidth="1"/>
    <col min="12" max="12" width="27" customWidth="1"/>
  </cols>
  <sheetData>
    <row r="1" spans="2:12" ht="15.75" thickBot="1" x14ac:dyDescent="0.3"/>
    <row r="2" spans="2:12" ht="16.5" thickBot="1" x14ac:dyDescent="0.3">
      <c r="B2" s="265"/>
      <c r="C2" s="317" t="s">
        <v>34</v>
      </c>
      <c r="D2" s="318"/>
      <c r="E2" s="318"/>
      <c r="F2" s="318"/>
      <c r="G2" s="318"/>
      <c r="H2" s="318"/>
      <c r="I2" s="318"/>
      <c r="J2" s="318"/>
      <c r="K2" s="318"/>
      <c r="L2" s="319"/>
    </row>
    <row r="3" spans="2:12" ht="16.5" thickBot="1" x14ac:dyDescent="0.3">
      <c r="B3" s="268"/>
      <c r="C3" s="317" t="s">
        <v>33</v>
      </c>
      <c r="D3" s="318"/>
      <c r="E3" s="318"/>
      <c r="F3" s="318"/>
      <c r="G3" s="318"/>
      <c r="H3" s="318"/>
      <c r="I3" s="318"/>
      <c r="J3" s="318"/>
      <c r="K3" s="318"/>
      <c r="L3" s="319"/>
    </row>
    <row r="4" spans="2:12" ht="16.5" thickBot="1" x14ac:dyDescent="0.3">
      <c r="B4" s="268"/>
      <c r="C4" s="317" t="s">
        <v>35</v>
      </c>
      <c r="D4" s="318"/>
      <c r="E4" s="318"/>
      <c r="F4" s="318"/>
      <c r="G4" s="318"/>
      <c r="H4" s="318"/>
      <c r="I4" s="318"/>
      <c r="J4" s="318"/>
      <c r="K4" s="318"/>
      <c r="L4" s="319"/>
    </row>
    <row r="5" spans="2:12" ht="16.5" thickBot="1" x14ac:dyDescent="0.3">
      <c r="B5" s="268"/>
      <c r="C5" s="317" t="s">
        <v>43</v>
      </c>
      <c r="D5" s="318"/>
      <c r="E5" s="318"/>
      <c r="F5" s="318"/>
      <c r="G5" s="318"/>
      <c r="H5" s="318"/>
      <c r="I5" s="318"/>
      <c r="J5" s="318"/>
      <c r="K5" s="318"/>
      <c r="L5" s="319"/>
    </row>
    <row r="6" spans="2:12" ht="16.5" thickBot="1" x14ac:dyDescent="0.3">
      <c r="B6" s="307"/>
      <c r="C6" s="423" t="s">
        <v>77</v>
      </c>
      <c r="D6" s="424"/>
      <c r="E6" s="424"/>
      <c r="F6" s="424"/>
      <c r="G6" s="424"/>
      <c r="H6" s="425"/>
      <c r="I6" s="317" t="s">
        <v>76</v>
      </c>
      <c r="J6" s="319"/>
      <c r="K6" s="426" t="s">
        <v>82</v>
      </c>
      <c r="L6" s="425"/>
    </row>
    <row r="7" spans="2:12" ht="15.75" thickBot="1" x14ac:dyDescent="0.3"/>
    <row r="8" spans="2:12" s="38" customFormat="1" ht="27" customHeight="1" thickBot="1" x14ac:dyDescent="0.25">
      <c r="B8" s="179" t="s">
        <v>28</v>
      </c>
      <c r="C8" s="173" t="s">
        <v>0</v>
      </c>
      <c r="D8" s="173" t="s">
        <v>30</v>
      </c>
      <c r="E8" s="173" t="s">
        <v>26</v>
      </c>
      <c r="F8" s="173" t="s">
        <v>29</v>
      </c>
      <c r="G8" s="175" t="s">
        <v>70</v>
      </c>
      <c r="H8" s="180" t="s">
        <v>14</v>
      </c>
      <c r="I8" s="181" t="s">
        <v>46</v>
      </c>
      <c r="J8" s="176" t="s">
        <v>45</v>
      </c>
      <c r="K8" s="142" t="s">
        <v>47</v>
      </c>
      <c r="L8" s="143" t="s">
        <v>48</v>
      </c>
    </row>
    <row r="9" spans="2:12" ht="14.25" customHeight="1" x14ac:dyDescent="0.25">
      <c r="B9" s="158"/>
      <c r="C9" s="152"/>
      <c r="D9" s="153"/>
      <c r="E9" s="153"/>
      <c r="F9" s="98"/>
      <c r="G9" s="98"/>
      <c r="H9" s="155"/>
      <c r="I9" s="156"/>
      <c r="J9" s="373"/>
      <c r="K9" s="376"/>
      <c r="L9" s="378"/>
    </row>
    <row r="10" spans="2:12" x14ac:dyDescent="0.25">
      <c r="B10" s="42"/>
      <c r="C10" s="17"/>
      <c r="D10" s="14"/>
      <c r="E10" s="14"/>
      <c r="F10" s="23"/>
      <c r="G10" s="23"/>
      <c r="H10" s="125"/>
      <c r="I10" s="133"/>
      <c r="J10" s="373"/>
      <c r="K10" s="376"/>
      <c r="L10" s="379"/>
    </row>
    <row r="11" spans="2:12" x14ac:dyDescent="0.25">
      <c r="B11" s="42"/>
      <c r="C11" s="17"/>
      <c r="D11" s="14"/>
      <c r="E11" s="14"/>
      <c r="F11" s="23"/>
      <c r="G11" s="23"/>
      <c r="H11" s="125"/>
      <c r="I11" s="133"/>
      <c r="J11" s="373"/>
      <c r="K11" s="376"/>
      <c r="L11" s="379"/>
    </row>
    <row r="12" spans="2:12" x14ac:dyDescent="0.25">
      <c r="B12" s="42"/>
      <c r="C12" s="17"/>
      <c r="D12" s="14"/>
      <c r="E12" s="14"/>
      <c r="F12" s="23"/>
      <c r="G12" s="23"/>
      <c r="H12" s="125"/>
      <c r="I12" s="133"/>
      <c r="J12" s="373"/>
      <c r="K12" s="376"/>
      <c r="L12" s="379"/>
    </row>
    <row r="13" spans="2:12" ht="14.25" customHeight="1" x14ac:dyDescent="0.25">
      <c r="B13" s="42"/>
      <c r="C13" s="17"/>
      <c r="D13" s="14"/>
      <c r="E13" s="14"/>
      <c r="F13" s="23"/>
      <c r="G13" s="23"/>
      <c r="H13" s="125"/>
      <c r="I13" s="133"/>
      <c r="J13" s="373"/>
      <c r="K13" s="376"/>
      <c r="L13" s="379"/>
    </row>
    <row r="14" spans="2:12" x14ac:dyDescent="0.25">
      <c r="B14" s="42"/>
      <c r="C14" s="17"/>
      <c r="D14" s="14"/>
      <c r="E14" s="14"/>
      <c r="F14" s="23"/>
      <c r="G14" s="23"/>
      <c r="H14" s="126"/>
      <c r="I14" s="133"/>
      <c r="J14" s="373"/>
      <c r="K14" s="376"/>
      <c r="L14" s="379"/>
    </row>
    <row r="15" spans="2:12" x14ac:dyDescent="0.25">
      <c r="B15" s="42"/>
      <c r="C15" s="17"/>
      <c r="D15" s="14"/>
      <c r="E15" s="14"/>
      <c r="F15" s="23"/>
      <c r="G15" s="23"/>
      <c r="H15" s="125"/>
      <c r="I15" s="133"/>
      <c r="J15" s="373"/>
      <c r="K15" s="376"/>
      <c r="L15" s="379"/>
    </row>
    <row r="16" spans="2:12" x14ac:dyDescent="0.25">
      <c r="B16" s="42"/>
      <c r="C16" s="17"/>
      <c r="D16" s="14"/>
      <c r="E16" s="14"/>
      <c r="F16" s="23"/>
      <c r="G16" s="23"/>
      <c r="H16" s="125"/>
      <c r="I16" s="133"/>
      <c r="J16" s="373"/>
      <c r="K16" s="376"/>
      <c r="L16" s="379"/>
    </row>
    <row r="17" spans="2:12" x14ac:dyDescent="0.25">
      <c r="B17" s="42"/>
      <c r="C17" s="17"/>
      <c r="D17" s="14"/>
      <c r="E17" s="14"/>
      <c r="F17" s="23"/>
      <c r="G17" s="23"/>
      <c r="H17" s="125"/>
      <c r="I17" s="133"/>
      <c r="J17" s="373"/>
      <c r="K17" s="376"/>
      <c r="L17" s="379"/>
    </row>
    <row r="18" spans="2:12" x14ac:dyDescent="0.25">
      <c r="B18" s="42"/>
      <c r="C18" s="17"/>
      <c r="D18" s="14"/>
      <c r="E18" s="14"/>
      <c r="F18" s="23"/>
      <c r="G18" s="23"/>
      <c r="H18" s="125"/>
      <c r="I18" s="133"/>
      <c r="J18" s="373"/>
      <c r="K18" s="376"/>
      <c r="L18" s="379"/>
    </row>
    <row r="19" spans="2:12" x14ac:dyDescent="0.25">
      <c r="B19" s="42"/>
      <c r="C19" s="17"/>
      <c r="D19" s="14"/>
      <c r="E19" s="14"/>
      <c r="F19" s="23"/>
      <c r="G19" s="23"/>
      <c r="H19" s="125"/>
      <c r="I19" s="133"/>
      <c r="J19" s="373"/>
      <c r="K19" s="376"/>
      <c r="L19" s="379"/>
    </row>
    <row r="20" spans="2:12" x14ac:dyDescent="0.25">
      <c r="B20" s="42"/>
      <c r="C20" s="17"/>
      <c r="D20" s="14"/>
      <c r="E20" s="14"/>
      <c r="F20" s="23"/>
      <c r="G20" s="23"/>
      <c r="H20" s="126"/>
      <c r="I20" s="133"/>
      <c r="J20" s="373"/>
      <c r="K20" s="376"/>
      <c r="L20" s="379"/>
    </row>
    <row r="21" spans="2:12" x14ac:dyDescent="0.25">
      <c r="B21" s="42"/>
      <c r="C21" s="17"/>
      <c r="D21" s="14"/>
      <c r="E21" s="14"/>
      <c r="F21" s="23"/>
      <c r="G21" s="23"/>
      <c r="H21" s="126"/>
      <c r="I21" s="133"/>
      <c r="J21" s="373"/>
      <c r="K21" s="376"/>
      <c r="L21" s="379"/>
    </row>
    <row r="22" spans="2:12" x14ac:dyDescent="0.25">
      <c r="B22" s="42"/>
      <c r="C22" s="17"/>
      <c r="D22" s="14"/>
      <c r="E22" s="14"/>
      <c r="F22" s="23"/>
      <c r="G22" s="23"/>
      <c r="H22" s="125"/>
      <c r="I22" s="133"/>
      <c r="J22" s="373"/>
      <c r="K22" s="376"/>
      <c r="L22" s="379"/>
    </row>
    <row r="23" spans="2:12" x14ac:dyDescent="0.25">
      <c r="B23" s="42"/>
      <c r="C23" s="17"/>
      <c r="D23" s="14"/>
      <c r="E23" s="14"/>
      <c r="F23" s="23"/>
      <c r="G23" s="23"/>
      <c r="H23" s="125"/>
      <c r="I23" s="133"/>
      <c r="J23" s="373"/>
      <c r="K23" s="376"/>
      <c r="L23" s="379"/>
    </row>
    <row r="24" spans="2:12" x14ac:dyDescent="0.25">
      <c r="B24" s="42"/>
      <c r="C24" s="17"/>
      <c r="D24" s="14"/>
      <c r="E24" s="14"/>
      <c r="F24" s="23"/>
      <c r="G24" s="23"/>
      <c r="H24" s="125"/>
      <c r="I24" s="133"/>
      <c r="J24" s="373"/>
      <c r="K24" s="376"/>
      <c r="L24" s="379"/>
    </row>
    <row r="25" spans="2:12" x14ac:dyDescent="0.25">
      <c r="B25" s="42"/>
      <c r="C25" s="17"/>
      <c r="D25" s="14"/>
      <c r="E25" s="14"/>
      <c r="F25" s="23"/>
      <c r="G25" s="23"/>
      <c r="H25" s="125"/>
      <c r="I25" s="133"/>
      <c r="J25" s="373"/>
      <c r="K25" s="376"/>
      <c r="L25" s="379"/>
    </row>
    <row r="26" spans="2:12" x14ac:dyDescent="0.25">
      <c r="B26" s="42"/>
      <c r="C26" s="17"/>
      <c r="D26" s="14"/>
      <c r="E26" s="14"/>
      <c r="F26" s="21"/>
      <c r="G26" s="21"/>
      <c r="H26" s="127"/>
      <c r="I26" s="133"/>
      <c r="J26" s="373"/>
      <c r="K26" s="376"/>
      <c r="L26" s="379"/>
    </row>
    <row r="27" spans="2:12" x14ac:dyDescent="0.25">
      <c r="B27" s="42"/>
      <c r="C27" s="17"/>
      <c r="D27" s="14"/>
      <c r="E27" s="14"/>
      <c r="F27" s="23"/>
      <c r="G27" s="23"/>
      <c r="H27" s="125"/>
      <c r="I27" s="133"/>
      <c r="J27" s="373"/>
      <c r="K27" s="376"/>
      <c r="L27" s="379"/>
    </row>
    <row r="28" spans="2:12" x14ac:dyDescent="0.25">
      <c r="B28" s="42"/>
      <c r="C28" s="17"/>
      <c r="D28" s="14"/>
      <c r="E28" s="14"/>
      <c r="F28" s="14"/>
      <c r="G28" s="21"/>
      <c r="H28" s="125"/>
      <c r="I28" s="133"/>
      <c r="J28" s="373"/>
      <c r="K28" s="376"/>
      <c r="L28" s="379"/>
    </row>
    <row r="29" spans="2:12" x14ac:dyDescent="0.25">
      <c r="B29" s="42"/>
      <c r="C29" s="17"/>
      <c r="D29" s="14"/>
      <c r="E29" s="14"/>
      <c r="F29" s="23"/>
      <c r="G29" s="23"/>
      <c r="H29" s="128"/>
      <c r="I29" s="133"/>
      <c r="J29" s="373"/>
      <c r="K29" s="376"/>
      <c r="L29" s="379"/>
    </row>
    <row r="30" spans="2:12" x14ac:dyDescent="0.25">
      <c r="B30" s="42"/>
      <c r="C30" s="17"/>
      <c r="D30" s="14"/>
      <c r="E30" s="14"/>
      <c r="F30" s="14"/>
      <c r="G30" s="21"/>
      <c r="H30" s="128"/>
      <c r="I30" s="133"/>
      <c r="J30" s="373"/>
      <c r="K30" s="376"/>
      <c r="L30" s="379"/>
    </row>
    <row r="31" spans="2:12" x14ac:dyDescent="0.25">
      <c r="B31" s="42"/>
      <c r="C31" s="17"/>
      <c r="D31" s="14"/>
      <c r="E31" s="14"/>
      <c r="F31" s="24"/>
      <c r="G31" s="23"/>
      <c r="H31" s="125"/>
      <c r="I31" s="133"/>
      <c r="J31" s="373"/>
      <c r="K31" s="376"/>
      <c r="L31" s="379"/>
    </row>
    <row r="32" spans="2:12" ht="15.75" thickBot="1" x14ac:dyDescent="0.3">
      <c r="B32" s="43"/>
      <c r="C32" s="39"/>
      <c r="D32" s="40"/>
      <c r="E32" s="40"/>
      <c r="F32" s="40"/>
      <c r="G32" s="44"/>
      <c r="H32" s="129"/>
      <c r="I32" s="134"/>
      <c r="J32" s="375"/>
      <c r="K32" s="377"/>
      <c r="L32" s="380"/>
    </row>
    <row r="33" spans="2:12" ht="15.75" thickBot="1" x14ac:dyDescent="0.3">
      <c r="B33" s="130"/>
      <c r="H33" s="131"/>
    </row>
    <row r="34" spans="2:12" s="38" customFormat="1" ht="41.25" customHeight="1" thickBot="1" x14ac:dyDescent="0.25">
      <c r="B34" s="66" t="s">
        <v>28</v>
      </c>
      <c r="C34" s="64" t="s">
        <v>23</v>
      </c>
      <c r="D34" s="64" t="s">
        <v>30</v>
      </c>
      <c r="E34" s="64" t="s">
        <v>26</v>
      </c>
      <c r="F34" s="64" t="s">
        <v>29</v>
      </c>
      <c r="G34" s="96" t="s">
        <v>70</v>
      </c>
      <c r="H34" s="418" t="s">
        <v>14</v>
      </c>
      <c r="I34" s="157" t="s">
        <v>46</v>
      </c>
      <c r="J34" s="141" t="s">
        <v>45</v>
      </c>
      <c r="K34" s="142" t="s">
        <v>47</v>
      </c>
      <c r="L34" s="143" t="s">
        <v>48</v>
      </c>
    </row>
    <row r="35" spans="2:12" x14ac:dyDescent="0.25">
      <c r="B35" s="416"/>
      <c r="C35" s="152"/>
      <c r="D35" s="153"/>
      <c r="E35" s="153"/>
      <c r="F35" s="154"/>
      <c r="G35" s="97"/>
      <c r="H35" s="160"/>
      <c r="I35" s="156"/>
      <c r="J35" s="373"/>
      <c r="K35" s="376"/>
      <c r="L35" s="382"/>
    </row>
    <row r="36" spans="2:12" x14ac:dyDescent="0.25">
      <c r="B36" s="183"/>
      <c r="C36" s="17"/>
      <c r="D36" s="14"/>
      <c r="E36" s="14"/>
      <c r="F36" s="11"/>
      <c r="G36" s="97"/>
      <c r="H36" s="159"/>
      <c r="I36" s="133"/>
      <c r="J36" s="373"/>
      <c r="K36" s="376"/>
      <c r="L36" s="382"/>
    </row>
    <row r="37" spans="2:12" x14ac:dyDescent="0.25">
      <c r="B37" s="183"/>
      <c r="C37" s="17"/>
      <c r="D37" s="14"/>
      <c r="E37" s="14"/>
      <c r="F37" s="11"/>
      <c r="G37" s="97"/>
      <c r="H37" s="159"/>
      <c r="I37" s="133"/>
      <c r="J37" s="373"/>
      <c r="K37" s="376"/>
      <c r="L37" s="382"/>
    </row>
    <row r="38" spans="2:12" x14ac:dyDescent="0.25">
      <c r="B38" s="183"/>
      <c r="C38" s="17"/>
      <c r="D38" s="14"/>
      <c r="E38" s="14"/>
      <c r="F38" s="24"/>
      <c r="G38" s="98"/>
      <c r="H38" s="159"/>
      <c r="I38" s="133"/>
      <c r="J38" s="373"/>
      <c r="K38" s="376"/>
      <c r="L38" s="382"/>
    </row>
    <row r="39" spans="2:12" x14ac:dyDescent="0.25">
      <c r="B39" s="183"/>
      <c r="C39" s="17"/>
      <c r="D39" s="14"/>
      <c r="E39" s="14"/>
      <c r="F39" s="11"/>
      <c r="G39" s="97"/>
      <c r="H39" s="159"/>
      <c r="I39" s="133"/>
      <c r="J39" s="373"/>
      <c r="K39" s="376"/>
      <c r="L39" s="382"/>
    </row>
    <row r="40" spans="2:12" x14ac:dyDescent="0.25">
      <c r="B40" s="183"/>
      <c r="C40" s="17"/>
      <c r="D40" s="14"/>
      <c r="E40" s="14"/>
      <c r="F40" s="12"/>
      <c r="G40" s="12"/>
      <c r="H40" s="159"/>
      <c r="I40" s="133"/>
      <c r="J40" s="373"/>
      <c r="K40" s="376"/>
      <c r="L40" s="382"/>
    </row>
    <row r="41" spans="2:12" x14ac:dyDescent="0.25">
      <c r="B41" s="183"/>
      <c r="C41" s="17"/>
      <c r="D41" s="14"/>
      <c r="E41" s="14"/>
      <c r="F41" s="11"/>
      <c r="G41" s="12"/>
      <c r="H41" s="159"/>
      <c r="I41" s="133"/>
      <c r="J41" s="373"/>
      <c r="K41" s="376"/>
      <c r="L41" s="382"/>
    </row>
    <row r="42" spans="2:12" x14ac:dyDescent="0.25">
      <c r="B42" s="183"/>
      <c r="C42" s="17"/>
      <c r="D42" s="14"/>
      <c r="E42" s="14"/>
      <c r="F42" s="12"/>
      <c r="G42" s="12"/>
      <c r="H42" s="159"/>
      <c r="I42" s="133"/>
      <c r="J42" s="373"/>
      <c r="K42" s="376"/>
      <c r="L42" s="382"/>
    </row>
    <row r="43" spans="2:12" ht="18" customHeight="1" x14ac:dyDescent="0.25">
      <c r="B43" s="187"/>
      <c r="C43" s="17"/>
      <c r="D43" s="14"/>
      <c r="E43" s="14"/>
      <c r="F43" s="14"/>
      <c r="G43" s="21"/>
      <c r="H43" s="159"/>
      <c r="I43" s="133"/>
      <c r="J43" s="373"/>
      <c r="K43" s="376"/>
      <c r="L43" s="382"/>
    </row>
    <row r="44" spans="2:12" x14ac:dyDescent="0.25">
      <c r="B44" s="183"/>
      <c r="C44" s="17"/>
      <c r="D44" s="14"/>
      <c r="E44" s="14"/>
      <c r="F44" s="25"/>
      <c r="G44" s="99"/>
      <c r="H44" s="159"/>
      <c r="I44" s="133"/>
      <c r="J44" s="373"/>
      <c r="K44" s="376"/>
      <c r="L44" s="382"/>
    </row>
    <row r="45" spans="2:12" x14ac:dyDescent="0.25">
      <c r="B45" s="183"/>
      <c r="C45" s="17"/>
      <c r="D45" s="14"/>
      <c r="E45" s="14"/>
      <c r="F45" s="11"/>
      <c r="G45" s="12"/>
      <c r="H45" s="159"/>
      <c r="I45" s="133"/>
      <c r="J45" s="373"/>
      <c r="K45" s="376"/>
      <c r="L45" s="382"/>
    </row>
    <row r="46" spans="2:12" x14ac:dyDescent="0.25">
      <c r="B46" s="183"/>
      <c r="C46" s="19"/>
      <c r="D46" s="14"/>
      <c r="E46" s="14"/>
      <c r="F46" s="11"/>
      <c r="G46" s="12"/>
      <c r="H46" s="159"/>
      <c r="I46" s="133"/>
      <c r="J46" s="373"/>
      <c r="K46" s="376"/>
      <c r="L46" s="382"/>
    </row>
    <row r="47" spans="2:12" x14ac:dyDescent="0.25">
      <c r="B47" s="183"/>
      <c r="C47" s="17"/>
      <c r="D47" s="14"/>
      <c r="E47" s="14"/>
      <c r="F47" s="24"/>
      <c r="G47" s="23"/>
      <c r="H47" s="159"/>
      <c r="I47" s="133"/>
      <c r="J47" s="373"/>
      <c r="K47" s="376"/>
      <c r="L47" s="382"/>
    </row>
    <row r="48" spans="2:12" ht="13.5" customHeight="1" x14ac:dyDescent="0.25">
      <c r="B48" s="183"/>
      <c r="C48" s="17"/>
      <c r="D48" s="14"/>
      <c r="E48" s="14"/>
      <c r="F48" s="25"/>
      <c r="G48" s="99"/>
      <c r="H48" s="159"/>
      <c r="I48" s="133"/>
      <c r="J48" s="373"/>
      <c r="K48" s="376"/>
      <c r="L48" s="382"/>
    </row>
    <row r="49" spans="2:12" x14ac:dyDescent="0.25">
      <c r="B49" s="183"/>
      <c r="C49" s="17"/>
      <c r="D49" s="14"/>
      <c r="E49" s="14"/>
      <c r="F49" s="24"/>
      <c r="G49" s="23"/>
      <c r="H49" s="159"/>
      <c r="I49" s="133"/>
      <c r="J49" s="373"/>
      <c r="K49" s="376"/>
      <c r="L49" s="382"/>
    </row>
    <row r="50" spans="2:12" x14ac:dyDescent="0.25">
      <c r="B50" s="183"/>
      <c r="C50" s="17"/>
      <c r="D50" s="14"/>
      <c r="E50" s="14"/>
      <c r="F50" s="24"/>
      <c r="G50" s="23"/>
      <c r="H50" s="159"/>
      <c r="I50" s="133"/>
      <c r="J50" s="373"/>
      <c r="K50" s="376"/>
      <c r="L50" s="382"/>
    </row>
    <row r="51" spans="2:12" x14ac:dyDescent="0.25">
      <c r="B51" s="183"/>
      <c r="C51" s="17"/>
      <c r="D51" s="14"/>
      <c r="E51" s="14"/>
      <c r="F51" s="24"/>
      <c r="G51" s="23"/>
      <c r="H51" s="159"/>
      <c r="I51" s="133"/>
      <c r="J51" s="373"/>
      <c r="K51" s="376"/>
      <c r="L51" s="382"/>
    </row>
    <row r="52" spans="2:12" x14ac:dyDescent="0.25">
      <c r="B52" s="183"/>
      <c r="C52" s="17"/>
      <c r="D52" s="14"/>
      <c r="E52" s="14"/>
      <c r="F52" s="24"/>
      <c r="G52" s="23"/>
      <c r="H52" s="159"/>
      <c r="I52" s="133"/>
      <c r="J52" s="373"/>
      <c r="K52" s="376"/>
      <c r="L52" s="382"/>
    </row>
    <row r="53" spans="2:12" x14ac:dyDescent="0.25">
      <c r="B53" s="183"/>
      <c r="C53" s="17"/>
      <c r="D53" s="14"/>
      <c r="E53" s="14"/>
      <c r="F53" s="24"/>
      <c r="G53" s="99"/>
      <c r="H53" s="159"/>
      <c r="I53" s="133"/>
      <c r="J53" s="373"/>
      <c r="K53" s="376"/>
      <c r="L53" s="382"/>
    </row>
    <row r="54" spans="2:12" x14ac:dyDescent="0.25">
      <c r="B54" s="183"/>
      <c r="C54" s="17"/>
      <c r="D54" s="14"/>
      <c r="E54" s="14"/>
      <c r="F54" s="24"/>
      <c r="G54" s="99"/>
      <c r="H54" s="159"/>
      <c r="I54" s="133"/>
      <c r="J54" s="373"/>
      <c r="K54" s="376"/>
      <c r="L54" s="382"/>
    </row>
    <row r="55" spans="2:12" x14ac:dyDescent="0.25">
      <c r="B55" s="183"/>
      <c r="C55" s="20"/>
      <c r="D55" s="16"/>
      <c r="E55" s="16"/>
      <c r="F55" s="101"/>
      <c r="G55" s="102"/>
      <c r="H55" s="159"/>
      <c r="I55" s="133"/>
      <c r="J55" s="373"/>
      <c r="K55" s="376"/>
      <c r="L55" s="382"/>
    </row>
    <row r="56" spans="2:12" ht="15.75" thickBot="1" x14ac:dyDescent="0.3">
      <c r="B56" s="183"/>
      <c r="C56" s="39"/>
      <c r="D56" s="40"/>
      <c r="E56" s="40"/>
      <c r="F56" s="44"/>
      <c r="G56" s="44"/>
      <c r="H56" s="159"/>
      <c r="I56" s="133"/>
      <c r="J56" s="374"/>
      <c r="K56" s="381"/>
      <c r="L56" s="383"/>
    </row>
    <row r="57" spans="2:12" ht="15.75" thickBot="1" x14ac:dyDescent="0.3">
      <c r="B57" s="130"/>
      <c r="H57" s="131"/>
    </row>
    <row r="58" spans="2:12" s="38" customFormat="1" ht="31.5" customHeight="1" thickBot="1" x14ac:dyDescent="0.25">
      <c r="B58" s="66" t="s">
        <v>28</v>
      </c>
      <c r="C58" s="67" t="s">
        <v>19</v>
      </c>
      <c r="D58" s="64" t="s">
        <v>30</v>
      </c>
      <c r="E58" s="64" t="s">
        <v>26</v>
      </c>
      <c r="F58" s="64" t="s">
        <v>29</v>
      </c>
      <c r="G58" s="96"/>
      <c r="H58" s="65" t="s">
        <v>14</v>
      </c>
      <c r="I58" s="157" t="s">
        <v>46</v>
      </c>
      <c r="J58" s="141" t="s">
        <v>45</v>
      </c>
      <c r="K58" s="142" t="s">
        <v>47</v>
      </c>
      <c r="L58" s="143" t="s">
        <v>48</v>
      </c>
    </row>
    <row r="59" spans="2:12" x14ac:dyDescent="0.25">
      <c r="B59" s="158"/>
      <c r="C59" s="152"/>
      <c r="D59" s="153"/>
      <c r="E59" s="153"/>
      <c r="F59" s="154"/>
      <c r="G59" s="97"/>
      <c r="H59" s="155"/>
      <c r="I59" s="156"/>
      <c r="J59" s="373"/>
      <c r="K59" s="376"/>
      <c r="L59" s="382"/>
    </row>
    <row r="60" spans="2:12" ht="21" customHeight="1" x14ac:dyDescent="0.25">
      <c r="B60" s="42"/>
      <c r="C60" s="17"/>
      <c r="D60" s="14"/>
      <c r="E60" s="14"/>
      <c r="F60" s="11"/>
      <c r="G60" s="12"/>
      <c r="H60" s="125"/>
      <c r="I60" s="133"/>
      <c r="J60" s="373"/>
      <c r="K60" s="376"/>
      <c r="L60" s="376"/>
    </row>
    <row r="61" spans="2:12" ht="20.25" customHeight="1" x14ac:dyDescent="0.25">
      <c r="B61" s="42"/>
      <c r="C61" s="17"/>
      <c r="D61" s="14"/>
      <c r="E61" s="14"/>
      <c r="F61" s="11"/>
      <c r="G61" s="12"/>
      <c r="H61" s="125"/>
      <c r="I61" s="133"/>
      <c r="J61" s="373"/>
      <c r="K61" s="376"/>
      <c r="L61" s="376"/>
    </row>
    <row r="62" spans="2:12" ht="23.25" customHeight="1" x14ac:dyDescent="0.25">
      <c r="B62" s="42"/>
      <c r="C62" s="17"/>
      <c r="D62" s="14"/>
      <c r="E62" s="14"/>
      <c r="F62" s="14"/>
      <c r="G62" s="21"/>
      <c r="H62" s="125"/>
      <c r="I62" s="133"/>
      <c r="J62" s="373"/>
      <c r="K62" s="376"/>
      <c r="L62" s="376"/>
    </row>
    <row r="63" spans="2:12" x14ac:dyDescent="0.25">
      <c r="B63" s="42"/>
      <c r="C63" s="17"/>
      <c r="D63" s="14"/>
      <c r="E63" s="14"/>
      <c r="F63" s="12"/>
      <c r="G63" s="12"/>
      <c r="H63" s="125"/>
      <c r="I63" s="133"/>
      <c r="J63" s="373"/>
      <c r="K63" s="376"/>
      <c r="L63" s="376"/>
    </row>
    <row r="64" spans="2:12" x14ac:dyDescent="0.25">
      <c r="B64" s="42"/>
      <c r="C64" s="17"/>
      <c r="D64" s="14"/>
      <c r="E64" s="14"/>
      <c r="F64" s="12"/>
      <c r="G64" s="12"/>
      <c r="H64" s="125"/>
      <c r="I64" s="133"/>
      <c r="J64" s="373"/>
      <c r="K64" s="376"/>
      <c r="L64" s="376"/>
    </row>
    <row r="65" spans="2:12" ht="15.75" thickBot="1" x14ac:dyDescent="0.3">
      <c r="B65" s="43"/>
      <c r="C65" s="39"/>
      <c r="D65" s="40"/>
      <c r="E65" s="40"/>
      <c r="F65" s="41"/>
      <c r="G65" s="100"/>
      <c r="H65" s="132"/>
      <c r="I65" s="133"/>
      <c r="J65" s="374"/>
      <c r="K65" s="381"/>
      <c r="L65" s="381"/>
    </row>
    <row r="66" spans="2:12" x14ac:dyDescent="0.25">
      <c r="H66" s="18"/>
    </row>
    <row r="67" spans="2:12" x14ac:dyDescent="0.25">
      <c r="H67" s="18"/>
    </row>
    <row r="68" spans="2:12" x14ac:dyDescent="0.25">
      <c r="H68" s="18"/>
    </row>
    <row r="69" spans="2:12" x14ac:dyDescent="0.25">
      <c r="H69" s="18"/>
    </row>
    <row r="70" spans="2:12" x14ac:dyDescent="0.25">
      <c r="H70" s="18"/>
    </row>
    <row r="71" spans="2:12" x14ac:dyDescent="0.25">
      <c r="H71" s="18"/>
    </row>
  </sheetData>
  <mergeCells count="17">
    <mergeCell ref="J59:J65"/>
    <mergeCell ref="J9:J32"/>
    <mergeCell ref="J35:J56"/>
    <mergeCell ref="K9:K32"/>
    <mergeCell ref="L9:L32"/>
    <mergeCell ref="K35:K56"/>
    <mergeCell ref="L35:L56"/>
    <mergeCell ref="K59:K65"/>
    <mergeCell ref="L59:L65"/>
    <mergeCell ref="C4:L4"/>
    <mergeCell ref="C5:L5"/>
    <mergeCell ref="B2:B6"/>
    <mergeCell ref="C3:L3"/>
    <mergeCell ref="C2:L2"/>
    <mergeCell ref="K6:L6"/>
    <mergeCell ref="I6:J6"/>
    <mergeCell ref="C6:H6"/>
  </mergeCells>
  <conditionalFormatting sqref="L8:L32 L34:L56 L58:L65">
    <cfRule type="cellIs" dxfId="25" priority="1" operator="lessThanOrEqual">
      <formula>0.59</formula>
    </cfRule>
    <cfRule type="cellIs" dxfId="24" priority="2" operator="between">
      <formula>0.8</formula>
      <formula>1</formula>
    </cfRule>
    <cfRule type="cellIs" dxfId="23" priority="3" operator="between">
      <formula>0.6</formula>
      <formula>0.79</formula>
    </cfRule>
    <cfRule type="cellIs" priority="4" operator="lessThanOrEqual">
      <formula>0.59</formula>
    </cfRule>
    <cfRule type="cellIs" dxfId="22" priority="5" operator="between">
      <formula>0.76</formula>
      <formula>1</formula>
    </cfRule>
    <cfRule type="cellIs" priority="6" operator="between">
      <formula>0.76</formula>
      <formula>1</formula>
    </cfRule>
    <cfRule type="cellIs" dxfId="21" priority="7" operator="between">
      <formula>0.51</formula>
      <formula>0.75</formula>
    </cfRule>
  </conditionalFormatting>
  <conditionalFormatting sqref="L9:L32 L34:L56 L58:L65">
    <cfRule type="cellIs" dxfId="20" priority="8" operator="lessThanOrEqual">
      <formula>0.5</formula>
    </cfRule>
  </conditionalFormatting>
  <printOptions horizontalCentered="1"/>
  <pageMargins left="0.25" right="0.25" top="0.75" bottom="0.75" header="0.3" footer="0.3"/>
  <pageSetup paperSize="8" scale="79" orientation="landscape" r:id="rId1"/>
  <headerFooter>
    <oddHeader>&amp;R
&amp;P                  .</oddHeader>
  </headerFooter>
  <rowBreaks count="4" manualBreakCount="4">
    <brk id="21" min="1" max="7" man="1"/>
    <brk id="33" min="1" max="7" man="1"/>
    <brk id="48" min="1" max="7" man="1"/>
    <brk id="65" min="1" max="9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</sheetPr>
  <dimension ref="B1:R488"/>
  <sheetViews>
    <sheetView showGridLines="0" zoomScale="70" zoomScaleNormal="70" zoomScaleSheetLayoutView="100" workbookViewId="0">
      <selection activeCell="C2" sqref="C2:L6"/>
    </sheetView>
  </sheetViews>
  <sheetFormatPr baseColWidth="10" defaultRowHeight="15" x14ac:dyDescent="0.25"/>
  <cols>
    <col min="1" max="1" width="2.7109375" style="1" customWidth="1"/>
    <col min="2" max="2" width="24" style="1" customWidth="1"/>
    <col min="3" max="3" width="39.7109375" style="1" customWidth="1"/>
    <col min="4" max="4" width="4.5703125" style="22" customWidth="1"/>
    <col min="5" max="5" width="4.42578125" style="22" customWidth="1"/>
    <col min="6" max="6" width="10.85546875" style="26" customWidth="1"/>
    <col min="7" max="7" width="6.42578125" style="26" customWidth="1"/>
    <col min="8" max="8" width="30.42578125" style="1" customWidth="1"/>
    <col min="9" max="9" width="18.42578125" style="1" customWidth="1"/>
    <col min="10" max="10" width="20.28515625" style="1" customWidth="1"/>
    <col min="11" max="11" width="21.28515625" style="1" customWidth="1"/>
    <col min="12" max="12" width="26.28515625" style="1" customWidth="1"/>
    <col min="13" max="13" width="6.28515625" style="1" customWidth="1"/>
    <col min="14" max="14" width="6.42578125" style="1" customWidth="1"/>
    <col min="15" max="18" width="11.42578125" style="1" hidden="1" customWidth="1"/>
    <col min="19" max="16384" width="11.42578125" style="1"/>
  </cols>
  <sheetData>
    <row r="1" spans="2:12" ht="15.75" thickBot="1" x14ac:dyDescent="0.3"/>
    <row r="2" spans="2:12" ht="16.5" thickBot="1" x14ac:dyDescent="0.3">
      <c r="B2" s="265"/>
      <c r="C2" s="317" t="s">
        <v>34</v>
      </c>
      <c r="D2" s="318"/>
      <c r="E2" s="318"/>
      <c r="F2" s="318"/>
      <c r="G2" s="318"/>
      <c r="H2" s="318"/>
      <c r="I2" s="318"/>
      <c r="J2" s="318"/>
      <c r="K2" s="318"/>
      <c r="L2" s="319"/>
    </row>
    <row r="3" spans="2:12" ht="16.5" thickBot="1" x14ac:dyDescent="0.3">
      <c r="B3" s="268"/>
      <c r="C3" s="317" t="s">
        <v>33</v>
      </c>
      <c r="D3" s="318"/>
      <c r="E3" s="318"/>
      <c r="F3" s="318"/>
      <c r="G3" s="318"/>
      <c r="H3" s="318"/>
      <c r="I3" s="318"/>
      <c r="J3" s="318"/>
      <c r="K3" s="318"/>
      <c r="L3" s="319"/>
    </row>
    <row r="4" spans="2:12" ht="16.5" thickBot="1" x14ac:dyDescent="0.3">
      <c r="B4" s="268"/>
      <c r="C4" s="420" t="s">
        <v>35</v>
      </c>
      <c r="D4" s="421"/>
      <c r="E4" s="421"/>
      <c r="F4" s="421"/>
      <c r="G4" s="421"/>
      <c r="H4" s="421"/>
      <c r="I4" s="421"/>
      <c r="J4" s="421"/>
      <c r="K4" s="421"/>
      <c r="L4" s="422"/>
    </row>
    <row r="5" spans="2:12" ht="16.5" thickBot="1" x14ac:dyDescent="0.3">
      <c r="B5" s="268"/>
      <c r="C5" s="317" t="s">
        <v>43</v>
      </c>
      <c r="D5" s="318"/>
      <c r="E5" s="318"/>
      <c r="F5" s="318"/>
      <c r="G5" s="318"/>
      <c r="H5" s="318"/>
      <c r="I5" s="318"/>
      <c r="J5" s="318"/>
      <c r="K5" s="318"/>
      <c r="L5" s="319"/>
    </row>
    <row r="6" spans="2:12" ht="16.5" thickBot="1" x14ac:dyDescent="0.3">
      <c r="B6" s="307"/>
      <c r="C6" s="317" t="s">
        <v>77</v>
      </c>
      <c r="D6" s="318"/>
      <c r="E6" s="318"/>
      <c r="F6" s="318"/>
      <c r="G6" s="319"/>
      <c r="H6" s="317" t="s">
        <v>76</v>
      </c>
      <c r="I6" s="318"/>
      <c r="J6" s="319"/>
      <c r="K6" s="317" t="s">
        <v>83</v>
      </c>
      <c r="L6" s="319"/>
    </row>
    <row r="7" spans="2:12" ht="8.25" customHeight="1" thickBot="1" x14ac:dyDescent="0.3"/>
    <row r="8" spans="2:12" s="27" customFormat="1" ht="49.5" customHeight="1" thickBot="1" x14ac:dyDescent="0.25">
      <c r="B8" s="174" t="s">
        <v>28</v>
      </c>
      <c r="C8" s="173" t="s">
        <v>20</v>
      </c>
      <c r="D8" s="173" t="s">
        <v>30</v>
      </c>
      <c r="E8" s="173" t="s">
        <v>26</v>
      </c>
      <c r="F8" s="173" t="s">
        <v>29</v>
      </c>
      <c r="G8" s="175" t="s">
        <v>70</v>
      </c>
      <c r="H8" s="175" t="s">
        <v>14</v>
      </c>
      <c r="I8" s="176" t="s">
        <v>75</v>
      </c>
      <c r="J8" s="176" t="s">
        <v>74</v>
      </c>
      <c r="K8" s="142" t="s">
        <v>47</v>
      </c>
      <c r="L8" s="143" t="s">
        <v>48</v>
      </c>
    </row>
    <row r="9" spans="2:12" s="27" customFormat="1" ht="16.5" customHeight="1" x14ac:dyDescent="0.2">
      <c r="B9" s="188"/>
      <c r="C9" s="136"/>
      <c r="D9" s="137"/>
      <c r="E9" s="137"/>
      <c r="F9" s="138"/>
      <c r="G9" s="139"/>
      <c r="H9" s="140"/>
      <c r="I9" s="122"/>
      <c r="J9" s="214"/>
      <c r="K9" s="217"/>
      <c r="L9" s="226"/>
    </row>
    <row r="10" spans="2:12" s="27" customFormat="1" ht="23.25" customHeight="1" x14ac:dyDescent="0.2">
      <c r="B10" s="189"/>
      <c r="C10" s="30"/>
      <c r="D10" s="31"/>
      <c r="E10" s="31"/>
      <c r="F10" s="36"/>
      <c r="G10" s="109"/>
      <c r="H10" s="76"/>
      <c r="I10" s="77"/>
      <c r="J10" s="229"/>
      <c r="K10" s="217"/>
      <c r="L10" s="227"/>
    </row>
    <row r="11" spans="2:12" s="27" customFormat="1" ht="17.25" customHeight="1" x14ac:dyDescent="0.2">
      <c r="B11" s="189"/>
      <c r="C11" s="32"/>
      <c r="D11" s="31"/>
      <c r="E11" s="31"/>
      <c r="F11" s="37"/>
      <c r="G11" s="110"/>
      <c r="H11" s="76"/>
      <c r="I11" s="77"/>
      <c r="J11" s="229"/>
      <c r="K11" s="217"/>
      <c r="L11" s="227"/>
    </row>
    <row r="12" spans="2:12" s="27" customFormat="1" ht="18.75" customHeight="1" x14ac:dyDescent="0.2">
      <c r="B12" s="189"/>
      <c r="C12" s="32"/>
      <c r="D12" s="31"/>
      <c r="E12" s="31"/>
      <c r="F12" s="36"/>
      <c r="G12" s="109"/>
      <c r="H12" s="76"/>
      <c r="I12" s="77"/>
      <c r="J12" s="229"/>
      <c r="K12" s="217"/>
      <c r="L12" s="227"/>
    </row>
    <row r="13" spans="2:12" s="27" customFormat="1" ht="18" customHeight="1" x14ac:dyDescent="0.2">
      <c r="B13" s="189"/>
      <c r="C13" s="32"/>
      <c r="D13" s="31"/>
      <c r="E13" s="31"/>
      <c r="F13" s="37"/>
      <c r="G13" s="110"/>
      <c r="H13" s="76"/>
      <c r="I13" s="77"/>
      <c r="J13" s="229"/>
      <c r="K13" s="217"/>
      <c r="L13" s="227"/>
    </row>
    <row r="14" spans="2:12" s="27" customFormat="1" ht="12.75" x14ac:dyDescent="0.2">
      <c r="B14" s="189"/>
      <c r="C14" s="32"/>
      <c r="D14" s="31"/>
      <c r="E14" s="31"/>
      <c r="F14" s="37"/>
      <c r="G14" s="110"/>
      <c r="H14" s="76"/>
      <c r="I14" s="77"/>
      <c r="J14" s="229"/>
      <c r="K14" s="217"/>
      <c r="L14" s="227"/>
    </row>
    <row r="15" spans="2:12" s="27" customFormat="1" ht="18" customHeight="1" x14ac:dyDescent="0.2">
      <c r="B15" s="189"/>
      <c r="C15" s="32"/>
      <c r="D15" s="31"/>
      <c r="E15" s="31"/>
      <c r="F15" s="37"/>
      <c r="G15" s="110"/>
      <c r="H15" s="76"/>
      <c r="I15" s="77"/>
      <c r="J15" s="229"/>
      <c r="K15" s="217"/>
      <c r="L15" s="227"/>
    </row>
    <row r="16" spans="2:12" s="27" customFormat="1" ht="18" customHeight="1" x14ac:dyDescent="0.2">
      <c r="B16" s="189"/>
      <c r="C16" s="32"/>
      <c r="D16" s="31"/>
      <c r="E16" s="31"/>
      <c r="F16" s="37"/>
      <c r="G16" s="110"/>
      <c r="H16" s="76"/>
      <c r="I16" s="77"/>
      <c r="J16" s="229"/>
      <c r="K16" s="217"/>
      <c r="L16" s="227"/>
    </row>
    <row r="17" spans="2:12" s="27" customFormat="1" ht="15.75" customHeight="1" x14ac:dyDescent="0.2">
      <c r="B17" s="189"/>
      <c r="C17" s="30"/>
      <c r="D17" s="31"/>
      <c r="E17" s="31"/>
      <c r="F17" s="37"/>
      <c r="G17" s="110"/>
      <c r="H17" s="76"/>
      <c r="I17" s="77"/>
      <c r="J17" s="229"/>
      <c r="K17" s="217"/>
      <c r="L17" s="227"/>
    </row>
    <row r="18" spans="2:12" s="27" customFormat="1" ht="15.75" customHeight="1" x14ac:dyDescent="0.2">
      <c r="B18" s="189"/>
      <c r="C18" s="32"/>
      <c r="D18" s="31"/>
      <c r="E18" s="31"/>
      <c r="F18" s="36"/>
      <c r="G18" s="109"/>
      <c r="H18" s="76"/>
      <c r="I18" s="77"/>
      <c r="J18" s="229"/>
      <c r="K18" s="217"/>
      <c r="L18" s="227"/>
    </row>
    <row r="19" spans="2:12" s="27" customFormat="1" ht="12.75" x14ac:dyDescent="0.2">
      <c r="B19" s="189"/>
      <c r="C19" s="32"/>
      <c r="D19" s="31"/>
      <c r="E19" s="31"/>
      <c r="F19" s="36"/>
      <c r="G19" s="109"/>
      <c r="H19" s="76"/>
      <c r="I19" s="77"/>
      <c r="J19" s="229"/>
      <c r="K19" s="217"/>
      <c r="L19" s="227"/>
    </row>
    <row r="20" spans="2:12" s="27" customFormat="1" ht="12.75" x14ac:dyDescent="0.2">
      <c r="B20" s="189"/>
      <c r="C20" s="32"/>
      <c r="D20" s="31"/>
      <c r="E20" s="31"/>
      <c r="F20" s="37"/>
      <c r="G20" s="110"/>
      <c r="H20" s="76"/>
      <c r="I20" s="77"/>
      <c r="J20" s="229"/>
      <c r="K20" s="217"/>
      <c r="L20" s="227"/>
    </row>
    <row r="21" spans="2:12" s="27" customFormat="1" ht="12.75" x14ac:dyDescent="0.2">
      <c r="B21" s="189"/>
      <c r="C21" s="32"/>
      <c r="D21" s="31"/>
      <c r="E21" s="31"/>
      <c r="F21" s="37"/>
      <c r="G21" s="110"/>
      <c r="H21" s="76"/>
      <c r="I21" s="77"/>
      <c r="J21" s="229"/>
      <c r="K21" s="217"/>
      <c r="L21" s="227"/>
    </row>
    <row r="22" spans="2:12" s="27" customFormat="1" ht="12.75" x14ac:dyDescent="0.2">
      <c r="B22" s="189"/>
      <c r="C22" s="32"/>
      <c r="D22" s="31"/>
      <c r="E22" s="31"/>
      <c r="F22" s="36"/>
      <c r="G22" s="109"/>
      <c r="H22" s="76"/>
      <c r="I22" s="77"/>
      <c r="J22" s="229"/>
      <c r="K22" s="217"/>
      <c r="L22" s="227"/>
    </row>
    <row r="23" spans="2:12" s="27" customFormat="1" ht="12.75" x14ac:dyDescent="0.2">
      <c r="B23" s="189"/>
      <c r="C23" s="32"/>
      <c r="D23" s="31"/>
      <c r="E23" s="31"/>
      <c r="F23" s="36"/>
      <c r="G23" s="109"/>
      <c r="H23" s="76"/>
      <c r="I23" s="77"/>
      <c r="J23" s="229"/>
      <c r="K23" s="217"/>
      <c r="L23" s="227"/>
    </row>
    <row r="24" spans="2:12" s="27" customFormat="1" ht="12.75" x14ac:dyDescent="0.2">
      <c r="B24" s="189"/>
      <c r="C24" s="32"/>
      <c r="D24" s="31"/>
      <c r="E24" s="31"/>
      <c r="F24" s="36"/>
      <c r="G24" s="109"/>
      <c r="H24" s="76"/>
      <c r="I24" s="77"/>
      <c r="J24" s="229"/>
      <c r="K24" s="217"/>
      <c r="L24" s="227"/>
    </row>
    <row r="25" spans="2:12" s="27" customFormat="1" ht="15.75" customHeight="1" x14ac:dyDescent="0.2">
      <c r="B25" s="189"/>
      <c r="C25" s="32"/>
      <c r="D25" s="31"/>
      <c r="E25" s="31"/>
      <c r="F25" s="36"/>
      <c r="G25" s="109"/>
      <c r="H25" s="76"/>
      <c r="I25" s="77"/>
      <c r="J25" s="229"/>
      <c r="K25" s="217"/>
      <c r="L25" s="227"/>
    </row>
    <row r="26" spans="2:12" s="27" customFormat="1" ht="12.75" x14ac:dyDescent="0.2">
      <c r="B26" s="189"/>
      <c r="C26" s="32"/>
      <c r="D26" s="31"/>
      <c r="E26" s="31"/>
      <c r="F26" s="36"/>
      <c r="G26" s="109"/>
      <c r="H26" s="76"/>
      <c r="I26" s="77"/>
      <c r="J26" s="229"/>
      <c r="K26" s="217"/>
      <c r="L26" s="227"/>
    </row>
    <row r="27" spans="2:12" s="27" customFormat="1" ht="12.75" x14ac:dyDescent="0.2">
      <c r="B27" s="189"/>
      <c r="C27" s="32"/>
      <c r="D27" s="31"/>
      <c r="E27" s="31"/>
      <c r="F27" s="36"/>
      <c r="G27" s="109"/>
      <c r="H27" s="76"/>
      <c r="I27" s="108"/>
      <c r="J27" s="229"/>
      <c r="K27" s="217"/>
      <c r="L27" s="227"/>
    </row>
    <row r="28" spans="2:12" s="27" customFormat="1" ht="17.25" customHeight="1" x14ac:dyDescent="0.2">
      <c r="B28" s="189"/>
      <c r="C28" s="32"/>
      <c r="D28" s="31"/>
      <c r="E28" s="31"/>
      <c r="F28" s="37"/>
      <c r="G28" s="110"/>
      <c r="H28" s="76"/>
      <c r="I28" s="108"/>
      <c r="J28" s="229"/>
      <c r="K28" s="217"/>
      <c r="L28" s="227"/>
    </row>
    <row r="29" spans="2:12" s="27" customFormat="1" ht="12.75" x14ac:dyDescent="0.2">
      <c r="B29" s="189"/>
      <c r="C29" s="32"/>
      <c r="D29" s="31"/>
      <c r="E29" s="31"/>
      <c r="F29" s="36"/>
      <c r="G29" s="109"/>
      <c r="H29" s="76"/>
      <c r="I29" s="77"/>
      <c r="J29" s="229"/>
      <c r="K29" s="217"/>
      <c r="L29" s="227"/>
    </row>
    <row r="30" spans="2:12" s="27" customFormat="1" ht="12.75" x14ac:dyDescent="0.2">
      <c r="B30" s="189"/>
      <c r="C30" s="32"/>
      <c r="D30" s="31"/>
      <c r="E30" s="31"/>
      <c r="F30" s="37"/>
      <c r="G30" s="110"/>
      <c r="H30" s="76"/>
      <c r="I30" s="77"/>
      <c r="J30" s="229"/>
      <c r="K30" s="217"/>
      <c r="L30" s="227"/>
    </row>
    <row r="31" spans="2:12" s="27" customFormat="1" ht="12.75" x14ac:dyDescent="0.2">
      <c r="B31" s="189"/>
      <c r="C31" s="32"/>
      <c r="D31" s="29"/>
      <c r="E31" s="31"/>
      <c r="F31" s="37"/>
      <c r="G31" s="110"/>
      <c r="H31" s="76"/>
      <c r="I31" s="77"/>
      <c r="J31" s="229"/>
      <c r="K31" s="217"/>
      <c r="L31" s="227"/>
    </row>
    <row r="32" spans="2:12" s="27" customFormat="1" ht="12.75" x14ac:dyDescent="0.2">
      <c r="B32" s="189"/>
      <c r="C32" s="32"/>
      <c r="D32" s="31"/>
      <c r="E32" s="31"/>
      <c r="F32" s="83"/>
      <c r="G32" s="36"/>
      <c r="H32" s="76"/>
      <c r="I32" s="108"/>
      <c r="J32" s="229"/>
      <c r="K32" s="217"/>
      <c r="L32" s="227"/>
    </row>
    <row r="33" spans="2:12" s="27" customFormat="1" ht="12.75" x14ac:dyDescent="0.2">
      <c r="B33" s="189"/>
      <c r="C33" s="32"/>
      <c r="D33" s="31"/>
      <c r="E33" s="31"/>
      <c r="F33" s="83"/>
      <c r="G33" s="36"/>
      <c r="H33" s="76"/>
      <c r="I33" s="108"/>
      <c r="J33" s="229"/>
      <c r="K33" s="217"/>
      <c r="L33" s="227"/>
    </row>
    <row r="34" spans="2:12" s="27" customFormat="1" ht="13.5" thickBot="1" x14ac:dyDescent="0.25">
      <c r="B34" s="190"/>
      <c r="C34" s="202"/>
      <c r="D34" s="204"/>
      <c r="E34" s="204"/>
      <c r="F34" s="205"/>
      <c r="G34" s="206"/>
      <c r="H34" s="195"/>
      <c r="I34" s="207"/>
      <c r="J34" s="230"/>
      <c r="K34" s="218"/>
      <c r="L34" s="228"/>
    </row>
    <row r="35" spans="2:12" s="27" customFormat="1" ht="27.75" customHeight="1" thickBot="1" x14ac:dyDescent="0.25">
      <c r="B35" s="177" t="s">
        <v>28</v>
      </c>
      <c r="C35" s="173" t="s">
        <v>21</v>
      </c>
      <c r="D35" s="173" t="s">
        <v>30</v>
      </c>
      <c r="E35" s="173" t="s">
        <v>26</v>
      </c>
      <c r="F35" s="173" t="s">
        <v>29</v>
      </c>
      <c r="G35" s="175"/>
      <c r="H35" s="178" t="s">
        <v>14</v>
      </c>
      <c r="I35" s="176" t="s">
        <v>75</v>
      </c>
      <c r="J35" s="176" t="s">
        <v>74</v>
      </c>
      <c r="K35" s="142" t="s">
        <v>47</v>
      </c>
      <c r="L35" s="143" t="s">
        <v>48</v>
      </c>
    </row>
    <row r="36" spans="2:12" s="27" customFormat="1" ht="15" customHeight="1" x14ac:dyDescent="0.2">
      <c r="B36" s="188"/>
      <c r="C36" s="144"/>
      <c r="D36" s="137"/>
      <c r="E36" s="137"/>
      <c r="F36" s="145"/>
      <c r="G36" s="146"/>
      <c r="H36" s="140"/>
      <c r="I36" s="122"/>
      <c r="J36" s="213"/>
      <c r="K36" s="216"/>
      <c r="L36" s="226"/>
    </row>
    <row r="37" spans="2:12" s="27" customFormat="1" ht="15" customHeight="1" x14ac:dyDescent="0.2">
      <c r="B37" s="189"/>
      <c r="C37" s="32"/>
      <c r="D37" s="29"/>
      <c r="E37" s="29"/>
      <c r="F37" s="37"/>
      <c r="G37" s="110"/>
      <c r="H37" s="76"/>
      <c r="I37" s="77"/>
      <c r="J37" s="214"/>
      <c r="K37" s="217"/>
      <c r="L37" s="227"/>
    </row>
    <row r="38" spans="2:12" s="27" customFormat="1" ht="15" customHeight="1" x14ac:dyDescent="0.2">
      <c r="B38" s="189"/>
      <c r="C38" s="32"/>
      <c r="D38" s="29"/>
      <c r="E38" s="29"/>
      <c r="F38" s="37"/>
      <c r="G38" s="110"/>
      <c r="H38" s="76"/>
      <c r="I38" s="77"/>
      <c r="J38" s="214"/>
      <c r="K38" s="217"/>
      <c r="L38" s="227"/>
    </row>
    <row r="39" spans="2:12" s="27" customFormat="1" ht="15" customHeight="1" x14ac:dyDescent="0.2">
      <c r="B39" s="189"/>
      <c r="C39" s="32"/>
      <c r="D39" s="29"/>
      <c r="E39" s="29"/>
      <c r="F39" s="37"/>
      <c r="G39" s="110"/>
      <c r="H39" s="76"/>
      <c r="I39" s="77"/>
      <c r="J39" s="214"/>
      <c r="K39" s="217"/>
      <c r="L39" s="227"/>
    </row>
    <row r="40" spans="2:12" s="27" customFormat="1" ht="15" customHeight="1" x14ac:dyDescent="0.2">
      <c r="B40" s="189"/>
      <c r="C40" s="32"/>
      <c r="D40" s="29"/>
      <c r="E40" s="29"/>
      <c r="F40" s="37"/>
      <c r="G40" s="110"/>
      <c r="H40" s="76"/>
      <c r="I40" s="77"/>
      <c r="J40" s="214"/>
      <c r="K40" s="217"/>
      <c r="L40" s="227"/>
    </row>
    <row r="41" spans="2:12" s="27" customFormat="1" ht="15" customHeight="1" x14ac:dyDescent="0.2">
      <c r="B41" s="189"/>
      <c r="C41" s="33"/>
      <c r="D41" s="29"/>
      <c r="E41" s="29"/>
      <c r="F41" s="37"/>
      <c r="G41" s="110"/>
      <c r="H41" s="76"/>
      <c r="I41" s="77"/>
      <c r="J41" s="214"/>
      <c r="K41" s="217"/>
      <c r="L41" s="227"/>
    </row>
    <row r="42" spans="2:12" s="27" customFormat="1" ht="12.75" customHeight="1" x14ac:dyDescent="0.2">
      <c r="B42" s="189"/>
      <c r="C42" s="32"/>
      <c r="D42" s="29"/>
      <c r="E42" s="29"/>
      <c r="F42" s="37"/>
      <c r="G42" s="110"/>
      <c r="H42" s="76"/>
      <c r="I42" s="77"/>
      <c r="J42" s="214"/>
      <c r="K42" s="217"/>
      <c r="L42" s="389"/>
    </row>
    <row r="43" spans="2:12" s="27" customFormat="1" ht="15.75" customHeight="1" thickBot="1" x14ac:dyDescent="0.25">
      <c r="B43" s="197"/>
      <c r="C43" s="202"/>
      <c r="D43" s="192"/>
      <c r="E43" s="192"/>
      <c r="F43" s="193"/>
      <c r="G43" s="194"/>
      <c r="H43" s="203"/>
      <c r="I43" s="196"/>
      <c r="J43" s="215"/>
      <c r="K43" s="218"/>
      <c r="L43" s="200"/>
    </row>
    <row r="44" spans="2:12" s="27" customFormat="1" ht="27" customHeight="1" thickBot="1" x14ac:dyDescent="0.25">
      <c r="B44" s="177" t="s">
        <v>28</v>
      </c>
      <c r="C44" s="173" t="s">
        <v>32</v>
      </c>
      <c r="D44" s="173" t="s">
        <v>30</v>
      </c>
      <c r="E44" s="173" t="s">
        <v>26</v>
      </c>
      <c r="F44" s="173" t="s">
        <v>29</v>
      </c>
      <c r="G44" s="175"/>
      <c r="H44" s="175" t="s">
        <v>14</v>
      </c>
      <c r="I44" s="176" t="s">
        <v>75</v>
      </c>
      <c r="J44" s="176" t="s">
        <v>74</v>
      </c>
      <c r="K44" s="142" t="s">
        <v>47</v>
      </c>
      <c r="L44" s="143" t="s">
        <v>48</v>
      </c>
    </row>
    <row r="45" spans="2:12" s="27" customFormat="1" ht="12.75" x14ac:dyDescent="0.2">
      <c r="B45" s="188"/>
      <c r="C45" s="147"/>
      <c r="D45" s="137"/>
      <c r="E45" s="137"/>
      <c r="F45" s="145"/>
      <c r="G45" s="146"/>
      <c r="H45" s="150"/>
      <c r="I45" s="122"/>
      <c r="J45" s="214"/>
      <c r="K45" s="217"/>
      <c r="L45" s="231"/>
    </row>
    <row r="46" spans="2:12" s="27" customFormat="1" ht="12.75" x14ac:dyDescent="0.2">
      <c r="B46" s="189"/>
      <c r="C46" s="34"/>
      <c r="D46" s="29"/>
      <c r="E46" s="29"/>
      <c r="F46" s="36"/>
      <c r="G46" s="109"/>
      <c r="H46" s="151"/>
      <c r="I46" s="77"/>
      <c r="J46" s="229"/>
      <c r="K46" s="217"/>
      <c r="L46" s="227"/>
    </row>
    <row r="47" spans="2:12" s="27" customFormat="1" ht="12.75" x14ac:dyDescent="0.2">
      <c r="B47" s="189"/>
      <c r="C47" s="34"/>
      <c r="D47" s="29"/>
      <c r="E47" s="29"/>
      <c r="F47" s="37"/>
      <c r="G47" s="110"/>
      <c r="H47" s="151"/>
      <c r="I47" s="77"/>
      <c r="J47" s="229"/>
      <c r="K47" s="217"/>
      <c r="L47" s="227"/>
    </row>
    <row r="48" spans="2:12" s="27" customFormat="1" ht="12.75" x14ac:dyDescent="0.2">
      <c r="B48" s="189"/>
      <c r="C48" s="34"/>
      <c r="D48" s="29"/>
      <c r="E48" s="29"/>
      <c r="F48" s="37"/>
      <c r="G48" s="110"/>
      <c r="H48" s="151"/>
      <c r="I48" s="77"/>
      <c r="J48" s="229"/>
      <c r="K48" s="217"/>
      <c r="L48" s="227"/>
    </row>
    <row r="49" spans="2:12" s="27" customFormat="1" ht="13.5" thickBot="1" x14ac:dyDescent="0.25">
      <c r="B49" s="190"/>
      <c r="C49" s="201"/>
      <c r="D49" s="192"/>
      <c r="E49" s="192"/>
      <c r="F49" s="193"/>
      <c r="G49" s="194"/>
      <c r="H49" s="199"/>
      <c r="I49" s="196"/>
      <c r="J49" s="230"/>
      <c r="K49" s="218"/>
      <c r="L49" s="228"/>
    </row>
    <row r="50" spans="2:12" s="27" customFormat="1" ht="30" customHeight="1" thickBot="1" x14ac:dyDescent="0.25">
      <c r="B50" s="177" t="s">
        <v>28</v>
      </c>
      <c r="C50" s="173" t="s">
        <v>17</v>
      </c>
      <c r="D50" s="173" t="s">
        <v>30</v>
      </c>
      <c r="E50" s="173" t="s">
        <v>26</v>
      </c>
      <c r="F50" s="173" t="s">
        <v>29</v>
      </c>
      <c r="G50" s="175"/>
      <c r="H50" s="175" t="s">
        <v>14</v>
      </c>
      <c r="I50" s="176" t="s">
        <v>75</v>
      </c>
      <c r="J50" s="176" t="s">
        <v>74</v>
      </c>
      <c r="K50" s="142" t="s">
        <v>47</v>
      </c>
      <c r="L50" s="143" t="s">
        <v>48</v>
      </c>
    </row>
    <row r="51" spans="2:12" s="27" customFormat="1" ht="17.25" customHeight="1" x14ac:dyDescent="0.2">
      <c r="B51" s="188"/>
      <c r="C51" s="136"/>
      <c r="D51" s="137"/>
      <c r="E51" s="137"/>
      <c r="F51" s="138"/>
      <c r="G51" s="139"/>
      <c r="H51" s="150"/>
      <c r="I51" s="122"/>
      <c r="J51" s="213"/>
      <c r="K51" s="216"/>
      <c r="L51" s="231"/>
    </row>
    <row r="52" spans="2:12" s="27" customFormat="1" ht="15" customHeight="1" x14ac:dyDescent="0.2">
      <c r="B52" s="189"/>
      <c r="C52" s="28"/>
      <c r="D52" s="29"/>
      <c r="E52" s="29"/>
      <c r="F52" s="36"/>
      <c r="G52" s="110"/>
      <c r="H52" s="151"/>
      <c r="I52" s="77"/>
      <c r="J52" s="214"/>
      <c r="K52" s="217"/>
      <c r="L52" s="231"/>
    </row>
    <row r="53" spans="2:12" s="27" customFormat="1" ht="15" customHeight="1" x14ac:dyDescent="0.2">
      <c r="B53" s="189"/>
      <c r="C53" s="35"/>
      <c r="D53" s="29"/>
      <c r="E53" s="29"/>
      <c r="F53" s="36"/>
      <c r="G53" s="110"/>
      <c r="H53" s="151"/>
      <c r="I53" s="77"/>
      <c r="J53" s="214"/>
      <c r="K53" s="217"/>
      <c r="L53" s="384"/>
    </row>
    <row r="54" spans="2:12" s="27" customFormat="1" ht="15.75" customHeight="1" thickBot="1" x14ac:dyDescent="0.25">
      <c r="B54" s="197"/>
      <c r="C54" s="198"/>
      <c r="D54" s="192"/>
      <c r="E54" s="192"/>
      <c r="F54" s="193"/>
      <c r="G54" s="194"/>
      <c r="H54" s="199"/>
      <c r="I54" s="196"/>
      <c r="J54" s="215"/>
      <c r="K54" s="218"/>
      <c r="L54" s="200"/>
    </row>
    <row r="55" spans="2:12" s="27" customFormat="1" ht="30.75" customHeight="1" thickBot="1" x14ac:dyDescent="0.25">
      <c r="B55" s="177" t="s">
        <v>28</v>
      </c>
      <c r="C55" s="173" t="s">
        <v>22</v>
      </c>
      <c r="D55" s="173" t="s">
        <v>30</v>
      </c>
      <c r="E55" s="173" t="s">
        <v>26</v>
      </c>
      <c r="F55" s="173" t="s">
        <v>29</v>
      </c>
      <c r="G55" s="175"/>
      <c r="H55" s="175" t="s">
        <v>14</v>
      </c>
      <c r="I55" s="176" t="s">
        <v>75</v>
      </c>
      <c r="J55" s="176" t="s">
        <v>74</v>
      </c>
      <c r="K55" s="142" t="s">
        <v>47</v>
      </c>
      <c r="L55" s="143" t="s">
        <v>48</v>
      </c>
    </row>
    <row r="56" spans="2:12" s="27" customFormat="1" ht="12.75" x14ac:dyDescent="0.2">
      <c r="B56" s="188"/>
      <c r="C56" s="148"/>
      <c r="D56" s="137"/>
      <c r="E56" s="137"/>
      <c r="F56" s="145"/>
      <c r="G56" s="146"/>
      <c r="H56" s="140"/>
      <c r="I56" s="122"/>
      <c r="J56" s="214"/>
      <c r="K56" s="385"/>
      <c r="L56" s="238"/>
    </row>
    <row r="57" spans="2:12" s="27" customFormat="1" ht="12.75" x14ac:dyDescent="0.2">
      <c r="B57" s="189"/>
      <c r="C57" s="78"/>
      <c r="D57" s="29"/>
      <c r="E57" s="29"/>
      <c r="F57" s="37"/>
      <c r="G57" s="110"/>
      <c r="H57" s="76"/>
      <c r="I57" s="77"/>
      <c r="J57" s="229"/>
      <c r="K57" s="385"/>
      <c r="L57" s="387"/>
    </row>
    <row r="58" spans="2:12" s="27" customFormat="1" ht="12.75" x14ac:dyDescent="0.2">
      <c r="B58" s="189"/>
      <c r="C58" s="78"/>
      <c r="D58" s="29"/>
      <c r="E58" s="29"/>
      <c r="F58" s="37"/>
      <c r="G58" s="110"/>
      <c r="H58" s="76"/>
      <c r="I58" s="77"/>
      <c r="J58" s="229"/>
      <c r="K58" s="385"/>
      <c r="L58" s="387"/>
    </row>
    <row r="59" spans="2:12" s="27" customFormat="1" ht="15.75" customHeight="1" x14ac:dyDescent="0.2">
      <c r="B59" s="189"/>
      <c r="C59" s="78"/>
      <c r="D59" s="29"/>
      <c r="E59" s="29"/>
      <c r="F59" s="37"/>
      <c r="G59" s="110"/>
      <c r="H59" s="76"/>
      <c r="I59" s="77"/>
      <c r="J59" s="229"/>
      <c r="K59" s="385"/>
      <c r="L59" s="387"/>
    </row>
    <row r="60" spans="2:12" s="27" customFormat="1" ht="12.75" x14ac:dyDescent="0.2">
      <c r="B60" s="189"/>
      <c r="C60" s="78"/>
      <c r="D60" s="29"/>
      <c r="E60" s="29"/>
      <c r="F60" s="37"/>
      <c r="G60" s="110"/>
      <c r="H60" s="76"/>
      <c r="I60" s="77"/>
      <c r="J60" s="229"/>
      <c r="K60" s="385"/>
      <c r="L60" s="387"/>
    </row>
    <row r="61" spans="2:12" s="27" customFormat="1" ht="12.75" x14ac:dyDescent="0.2">
      <c r="B61" s="189"/>
      <c r="C61" s="78"/>
      <c r="D61" s="29"/>
      <c r="E61" s="29"/>
      <c r="F61" s="37"/>
      <c r="G61" s="110"/>
      <c r="H61" s="76"/>
      <c r="I61" s="77"/>
      <c r="J61" s="229"/>
      <c r="K61" s="385"/>
      <c r="L61" s="387"/>
    </row>
    <row r="62" spans="2:12" s="27" customFormat="1" ht="12.75" x14ac:dyDescent="0.2">
      <c r="B62" s="189"/>
      <c r="C62" s="78"/>
      <c r="D62" s="29"/>
      <c r="E62" s="29"/>
      <c r="F62" s="37"/>
      <c r="G62" s="110"/>
      <c r="H62" s="76"/>
      <c r="I62" s="77"/>
      <c r="J62" s="229"/>
      <c r="K62" s="385"/>
      <c r="L62" s="387"/>
    </row>
    <row r="63" spans="2:12" s="27" customFormat="1" ht="12.75" x14ac:dyDescent="0.2">
      <c r="B63" s="189"/>
      <c r="C63" s="79"/>
      <c r="D63" s="29"/>
      <c r="E63" s="29"/>
      <c r="F63" s="37"/>
      <c r="G63" s="110"/>
      <c r="H63" s="76"/>
      <c r="I63" s="77"/>
      <c r="J63" s="229"/>
      <c r="K63" s="385"/>
      <c r="L63" s="387"/>
    </row>
    <row r="64" spans="2:12" s="27" customFormat="1" ht="12.75" customHeight="1" thickBot="1" x14ac:dyDescent="0.25">
      <c r="B64" s="190"/>
      <c r="C64" s="191"/>
      <c r="D64" s="192"/>
      <c r="E64" s="192"/>
      <c r="F64" s="193"/>
      <c r="G64" s="194"/>
      <c r="H64" s="195"/>
      <c r="I64" s="196"/>
      <c r="J64" s="230"/>
      <c r="K64" s="386"/>
      <c r="L64" s="388"/>
    </row>
    <row r="65" spans="12:12" x14ac:dyDescent="0.25">
      <c r="L65"/>
    </row>
    <row r="66" spans="12:12" x14ac:dyDescent="0.25">
      <c r="L66"/>
    </row>
    <row r="67" spans="12:12" x14ac:dyDescent="0.25">
      <c r="L67"/>
    </row>
    <row r="68" spans="12:12" x14ac:dyDescent="0.25">
      <c r="L68"/>
    </row>
    <row r="69" spans="12:12" x14ac:dyDescent="0.25">
      <c r="L69"/>
    </row>
    <row r="70" spans="12:12" x14ac:dyDescent="0.25">
      <c r="L70"/>
    </row>
    <row r="71" spans="12:12" x14ac:dyDescent="0.25">
      <c r="L71"/>
    </row>
    <row r="72" spans="12:12" x14ac:dyDescent="0.25">
      <c r="L72"/>
    </row>
    <row r="73" spans="12:12" x14ac:dyDescent="0.25">
      <c r="L73"/>
    </row>
    <row r="74" spans="12:12" x14ac:dyDescent="0.25">
      <c r="L74"/>
    </row>
    <row r="75" spans="12:12" x14ac:dyDescent="0.25">
      <c r="L75"/>
    </row>
    <row r="76" spans="12:12" x14ac:dyDescent="0.25">
      <c r="L76"/>
    </row>
    <row r="77" spans="12:12" x14ac:dyDescent="0.25">
      <c r="L77"/>
    </row>
    <row r="78" spans="12:12" x14ac:dyDescent="0.25">
      <c r="L78"/>
    </row>
    <row r="79" spans="12:12" x14ac:dyDescent="0.25">
      <c r="L79"/>
    </row>
    <row r="80" spans="12:12" x14ac:dyDescent="0.25">
      <c r="L80"/>
    </row>
    <row r="81" spans="12:12" x14ac:dyDescent="0.25">
      <c r="L81"/>
    </row>
    <row r="82" spans="12:12" x14ac:dyDescent="0.25">
      <c r="L82"/>
    </row>
    <row r="83" spans="12:12" x14ac:dyDescent="0.25">
      <c r="L83"/>
    </row>
    <row r="84" spans="12:12" x14ac:dyDescent="0.25">
      <c r="L84"/>
    </row>
    <row r="85" spans="12:12" x14ac:dyDescent="0.25">
      <c r="L85"/>
    </row>
    <row r="86" spans="12:12" x14ac:dyDescent="0.25">
      <c r="L86"/>
    </row>
    <row r="87" spans="12:12" x14ac:dyDescent="0.25">
      <c r="L87"/>
    </row>
    <row r="88" spans="12:12" x14ac:dyDescent="0.25">
      <c r="L88"/>
    </row>
    <row r="89" spans="12:12" x14ac:dyDescent="0.25">
      <c r="L89"/>
    </row>
    <row r="90" spans="12:12" x14ac:dyDescent="0.25">
      <c r="L90"/>
    </row>
    <row r="91" spans="12:12" x14ac:dyDescent="0.25">
      <c r="L91"/>
    </row>
    <row r="92" spans="12:12" x14ac:dyDescent="0.25">
      <c r="L92"/>
    </row>
    <row r="93" spans="12:12" x14ac:dyDescent="0.25">
      <c r="L93"/>
    </row>
    <row r="94" spans="12:12" x14ac:dyDescent="0.25">
      <c r="L94"/>
    </row>
    <row r="95" spans="12:12" x14ac:dyDescent="0.25">
      <c r="L95"/>
    </row>
    <row r="96" spans="12:12" x14ac:dyDescent="0.25">
      <c r="L96"/>
    </row>
    <row r="97" spans="12:12" x14ac:dyDescent="0.25">
      <c r="L97"/>
    </row>
    <row r="98" spans="12:12" x14ac:dyDescent="0.25">
      <c r="L98"/>
    </row>
    <row r="99" spans="12:12" x14ac:dyDescent="0.25">
      <c r="L99"/>
    </row>
    <row r="100" spans="12:12" x14ac:dyDescent="0.25">
      <c r="L100"/>
    </row>
    <row r="101" spans="12:12" x14ac:dyDescent="0.25">
      <c r="L101"/>
    </row>
    <row r="102" spans="12:12" x14ac:dyDescent="0.25">
      <c r="L102"/>
    </row>
    <row r="103" spans="12:12" x14ac:dyDescent="0.25">
      <c r="L103"/>
    </row>
    <row r="104" spans="12:12" x14ac:dyDescent="0.25">
      <c r="L104"/>
    </row>
    <row r="105" spans="12:12" x14ac:dyDescent="0.25">
      <c r="L105"/>
    </row>
    <row r="106" spans="12:12" x14ac:dyDescent="0.25">
      <c r="L106"/>
    </row>
    <row r="107" spans="12:12" x14ac:dyDescent="0.25">
      <c r="L107"/>
    </row>
    <row r="108" spans="12:12" x14ac:dyDescent="0.25">
      <c r="L108"/>
    </row>
    <row r="109" spans="12:12" x14ac:dyDescent="0.25">
      <c r="L109"/>
    </row>
    <row r="110" spans="12:12" x14ac:dyDescent="0.25">
      <c r="L110"/>
    </row>
    <row r="111" spans="12:12" x14ac:dyDescent="0.25">
      <c r="L111"/>
    </row>
    <row r="112" spans="12:12" x14ac:dyDescent="0.25">
      <c r="L112"/>
    </row>
    <row r="113" spans="12:12" x14ac:dyDescent="0.25">
      <c r="L113"/>
    </row>
    <row r="114" spans="12:12" x14ac:dyDescent="0.25">
      <c r="L114"/>
    </row>
    <row r="115" spans="12:12" x14ac:dyDescent="0.25">
      <c r="L115"/>
    </row>
    <row r="116" spans="12:12" x14ac:dyDescent="0.25">
      <c r="L116"/>
    </row>
    <row r="117" spans="12:12" x14ac:dyDescent="0.25">
      <c r="L117"/>
    </row>
    <row r="118" spans="12:12" x14ac:dyDescent="0.25">
      <c r="L118"/>
    </row>
    <row r="119" spans="12:12" x14ac:dyDescent="0.25">
      <c r="L119"/>
    </row>
    <row r="120" spans="12:12" x14ac:dyDescent="0.25">
      <c r="L120"/>
    </row>
    <row r="121" spans="12:12" x14ac:dyDescent="0.25">
      <c r="L121"/>
    </row>
    <row r="122" spans="12:12" x14ac:dyDescent="0.25">
      <c r="L122"/>
    </row>
    <row r="123" spans="12:12" x14ac:dyDescent="0.25">
      <c r="L123"/>
    </row>
    <row r="124" spans="12:12" x14ac:dyDescent="0.25">
      <c r="L124"/>
    </row>
    <row r="125" spans="12:12" x14ac:dyDescent="0.25">
      <c r="L125"/>
    </row>
    <row r="126" spans="12:12" x14ac:dyDescent="0.25">
      <c r="L126"/>
    </row>
    <row r="127" spans="12:12" x14ac:dyDescent="0.25">
      <c r="L127"/>
    </row>
    <row r="128" spans="12:12" x14ac:dyDescent="0.25">
      <c r="L128"/>
    </row>
    <row r="129" spans="12:12" x14ac:dyDescent="0.25">
      <c r="L129"/>
    </row>
    <row r="130" spans="12:12" x14ac:dyDescent="0.25">
      <c r="L130"/>
    </row>
    <row r="131" spans="12:12" x14ac:dyDescent="0.25">
      <c r="L131"/>
    </row>
    <row r="132" spans="12:12" x14ac:dyDescent="0.25">
      <c r="L132"/>
    </row>
    <row r="133" spans="12:12" x14ac:dyDescent="0.25">
      <c r="L133"/>
    </row>
    <row r="134" spans="12:12" x14ac:dyDescent="0.25">
      <c r="L134"/>
    </row>
    <row r="135" spans="12:12" x14ac:dyDescent="0.25">
      <c r="L135"/>
    </row>
    <row r="136" spans="12:12" x14ac:dyDescent="0.25">
      <c r="L136"/>
    </row>
    <row r="137" spans="12:12" x14ac:dyDescent="0.25">
      <c r="L137"/>
    </row>
    <row r="138" spans="12:12" x14ac:dyDescent="0.25">
      <c r="L138"/>
    </row>
    <row r="139" spans="12:12" x14ac:dyDescent="0.25">
      <c r="L139"/>
    </row>
    <row r="140" spans="12:12" x14ac:dyDescent="0.25">
      <c r="L140"/>
    </row>
    <row r="141" spans="12:12" x14ac:dyDescent="0.25">
      <c r="L141"/>
    </row>
    <row r="142" spans="12:12" x14ac:dyDescent="0.25">
      <c r="L142"/>
    </row>
    <row r="143" spans="12:12" x14ac:dyDescent="0.25">
      <c r="L143"/>
    </row>
    <row r="144" spans="12:12" x14ac:dyDescent="0.25">
      <c r="L144"/>
    </row>
    <row r="145" spans="12:12" x14ac:dyDescent="0.25">
      <c r="L145"/>
    </row>
    <row r="146" spans="12:12" x14ac:dyDescent="0.25">
      <c r="L146"/>
    </row>
    <row r="147" spans="12:12" x14ac:dyDescent="0.25">
      <c r="L147"/>
    </row>
    <row r="148" spans="12:12" x14ac:dyDescent="0.25">
      <c r="L148"/>
    </row>
    <row r="149" spans="12:12" x14ac:dyDescent="0.25">
      <c r="L149"/>
    </row>
    <row r="150" spans="12:12" x14ac:dyDescent="0.25">
      <c r="L150"/>
    </row>
    <row r="151" spans="12:12" x14ac:dyDescent="0.25">
      <c r="L151"/>
    </row>
    <row r="152" spans="12:12" x14ac:dyDescent="0.25">
      <c r="L152"/>
    </row>
    <row r="153" spans="12:12" x14ac:dyDescent="0.25">
      <c r="L153"/>
    </row>
    <row r="154" spans="12:12" x14ac:dyDescent="0.25">
      <c r="L154"/>
    </row>
    <row r="155" spans="12:12" x14ac:dyDescent="0.25">
      <c r="L155"/>
    </row>
    <row r="156" spans="12:12" x14ac:dyDescent="0.25">
      <c r="L156"/>
    </row>
    <row r="157" spans="12:12" x14ac:dyDescent="0.25">
      <c r="L157"/>
    </row>
    <row r="158" spans="12:12" x14ac:dyDescent="0.25">
      <c r="L158"/>
    </row>
    <row r="159" spans="12:12" x14ac:dyDescent="0.25">
      <c r="L159"/>
    </row>
    <row r="160" spans="12:12" x14ac:dyDescent="0.25">
      <c r="L160"/>
    </row>
    <row r="161" spans="12:12" x14ac:dyDescent="0.25">
      <c r="L161"/>
    </row>
    <row r="162" spans="12:12" x14ac:dyDescent="0.25">
      <c r="L162"/>
    </row>
    <row r="163" spans="12:12" x14ac:dyDescent="0.25">
      <c r="L163"/>
    </row>
    <row r="164" spans="12:12" x14ac:dyDescent="0.25">
      <c r="L164"/>
    </row>
    <row r="165" spans="12:12" x14ac:dyDescent="0.25">
      <c r="L165"/>
    </row>
    <row r="166" spans="12:12" x14ac:dyDescent="0.25">
      <c r="L166"/>
    </row>
    <row r="167" spans="12:12" x14ac:dyDescent="0.25">
      <c r="L167"/>
    </row>
    <row r="168" spans="12:12" x14ac:dyDescent="0.25">
      <c r="L168"/>
    </row>
    <row r="169" spans="12:12" x14ac:dyDescent="0.25">
      <c r="L169"/>
    </row>
    <row r="170" spans="12:12" x14ac:dyDescent="0.25">
      <c r="L170"/>
    </row>
    <row r="171" spans="12:12" x14ac:dyDescent="0.25">
      <c r="L171"/>
    </row>
    <row r="172" spans="12:12" x14ac:dyDescent="0.25">
      <c r="L172"/>
    </row>
    <row r="173" spans="12:12" x14ac:dyDescent="0.25">
      <c r="L173"/>
    </row>
    <row r="174" spans="12:12" x14ac:dyDescent="0.25">
      <c r="L174"/>
    </row>
    <row r="175" spans="12:12" x14ac:dyDescent="0.25">
      <c r="L175"/>
    </row>
    <row r="176" spans="12:12" x14ac:dyDescent="0.25">
      <c r="L176"/>
    </row>
    <row r="177" spans="12:12" x14ac:dyDescent="0.25">
      <c r="L177"/>
    </row>
    <row r="178" spans="12:12" x14ac:dyDescent="0.25">
      <c r="L178"/>
    </row>
    <row r="179" spans="12:12" x14ac:dyDescent="0.25">
      <c r="L179"/>
    </row>
    <row r="180" spans="12:12" x14ac:dyDescent="0.25">
      <c r="L180"/>
    </row>
    <row r="181" spans="12:12" x14ac:dyDescent="0.25">
      <c r="L181"/>
    </row>
    <row r="182" spans="12:12" x14ac:dyDescent="0.25">
      <c r="L182"/>
    </row>
    <row r="183" spans="12:12" x14ac:dyDescent="0.25">
      <c r="L183"/>
    </row>
    <row r="184" spans="12:12" x14ac:dyDescent="0.25">
      <c r="L184"/>
    </row>
    <row r="185" spans="12:12" x14ac:dyDescent="0.25">
      <c r="L185"/>
    </row>
    <row r="186" spans="12:12" x14ac:dyDescent="0.25">
      <c r="L186"/>
    </row>
    <row r="187" spans="12:12" x14ac:dyDescent="0.25">
      <c r="L187"/>
    </row>
    <row r="188" spans="12:12" x14ac:dyDescent="0.25">
      <c r="L188"/>
    </row>
    <row r="189" spans="12:12" x14ac:dyDescent="0.25">
      <c r="L189"/>
    </row>
    <row r="190" spans="12:12" x14ac:dyDescent="0.25">
      <c r="L190"/>
    </row>
    <row r="191" spans="12:12" x14ac:dyDescent="0.25">
      <c r="L191"/>
    </row>
    <row r="192" spans="12:12" x14ac:dyDescent="0.25">
      <c r="L192"/>
    </row>
    <row r="193" spans="12:12" x14ac:dyDescent="0.25">
      <c r="L193"/>
    </row>
    <row r="194" spans="12:12" x14ac:dyDescent="0.25">
      <c r="L194"/>
    </row>
    <row r="195" spans="12:12" x14ac:dyDescent="0.25">
      <c r="L195"/>
    </row>
    <row r="196" spans="12:12" x14ac:dyDescent="0.25">
      <c r="L196"/>
    </row>
    <row r="197" spans="12:12" x14ac:dyDescent="0.25">
      <c r="L197"/>
    </row>
    <row r="198" spans="12:12" x14ac:dyDescent="0.25">
      <c r="L198"/>
    </row>
    <row r="199" spans="12:12" x14ac:dyDescent="0.25">
      <c r="L199"/>
    </row>
    <row r="200" spans="12:12" x14ac:dyDescent="0.25">
      <c r="L200"/>
    </row>
    <row r="201" spans="12:12" x14ac:dyDescent="0.25">
      <c r="L201"/>
    </row>
    <row r="202" spans="12:12" x14ac:dyDescent="0.25">
      <c r="L202"/>
    </row>
    <row r="203" spans="12:12" x14ac:dyDescent="0.25">
      <c r="L203"/>
    </row>
    <row r="204" spans="12:12" x14ac:dyDescent="0.25">
      <c r="L204"/>
    </row>
    <row r="205" spans="12:12" x14ac:dyDescent="0.25">
      <c r="L205"/>
    </row>
    <row r="206" spans="12:12" x14ac:dyDescent="0.25">
      <c r="L206"/>
    </row>
    <row r="207" spans="12:12" x14ac:dyDescent="0.25">
      <c r="L207"/>
    </row>
    <row r="208" spans="12:12" x14ac:dyDescent="0.25">
      <c r="L208"/>
    </row>
    <row r="209" spans="12:12" x14ac:dyDescent="0.25">
      <c r="L209"/>
    </row>
    <row r="210" spans="12:12" x14ac:dyDescent="0.25">
      <c r="L210"/>
    </row>
    <row r="211" spans="12:12" x14ac:dyDescent="0.25">
      <c r="L211"/>
    </row>
    <row r="212" spans="12:12" x14ac:dyDescent="0.25">
      <c r="L212"/>
    </row>
    <row r="213" spans="12:12" x14ac:dyDescent="0.25">
      <c r="L213"/>
    </row>
    <row r="214" spans="12:12" x14ac:dyDescent="0.25">
      <c r="L214"/>
    </row>
    <row r="215" spans="12:12" x14ac:dyDescent="0.25">
      <c r="L215"/>
    </row>
    <row r="216" spans="12:12" x14ac:dyDescent="0.25">
      <c r="L216"/>
    </row>
    <row r="217" spans="12:12" x14ac:dyDescent="0.25">
      <c r="L217"/>
    </row>
    <row r="218" spans="12:12" x14ac:dyDescent="0.25">
      <c r="L218"/>
    </row>
    <row r="219" spans="12:12" x14ac:dyDescent="0.25">
      <c r="L219"/>
    </row>
    <row r="220" spans="12:12" x14ac:dyDescent="0.25">
      <c r="L220"/>
    </row>
    <row r="221" spans="12:12" x14ac:dyDescent="0.25">
      <c r="L221"/>
    </row>
    <row r="222" spans="12:12" x14ac:dyDescent="0.25">
      <c r="L222"/>
    </row>
    <row r="223" spans="12:12" x14ac:dyDescent="0.25">
      <c r="L223"/>
    </row>
    <row r="224" spans="12:12" x14ac:dyDescent="0.25">
      <c r="L224"/>
    </row>
    <row r="225" spans="12:12" x14ac:dyDescent="0.25">
      <c r="L225"/>
    </row>
    <row r="226" spans="12:12" x14ac:dyDescent="0.25">
      <c r="L226"/>
    </row>
    <row r="227" spans="12:12" x14ac:dyDescent="0.25">
      <c r="L227"/>
    </row>
    <row r="228" spans="12:12" x14ac:dyDescent="0.25">
      <c r="L228"/>
    </row>
    <row r="229" spans="12:12" x14ac:dyDescent="0.25">
      <c r="L229"/>
    </row>
    <row r="230" spans="12:12" x14ac:dyDescent="0.25">
      <c r="L230"/>
    </row>
    <row r="231" spans="12:12" x14ac:dyDescent="0.25">
      <c r="L231"/>
    </row>
    <row r="232" spans="12:12" x14ac:dyDescent="0.25">
      <c r="L232"/>
    </row>
    <row r="233" spans="12:12" x14ac:dyDescent="0.25">
      <c r="L233"/>
    </row>
    <row r="234" spans="12:12" x14ac:dyDescent="0.25">
      <c r="L234"/>
    </row>
    <row r="235" spans="12:12" x14ac:dyDescent="0.25">
      <c r="L235"/>
    </row>
    <row r="236" spans="12:12" x14ac:dyDescent="0.25">
      <c r="L236"/>
    </row>
    <row r="237" spans="12:12" x14ac:dyDescent="0.25">
      <c r="L237"/>
    </row>
    <row r="238" spans="12:12" x14ac:dyDescent="0.25">
      <c r="L238"/>
    </row>
    <row r="239" spans="12:12" x14ac:dyDescent="0.25">
      <c r="L239"/>
    </row>
    <row r="240" spans="12:12" x14ac:dyDescent="0.25">
      <c r="L240"/>
    </row>
    <row r="241" spans="12:12" x14ac:dyDescent="0.25">
      <c r="L241"/>
    </row>
    <row r="242" spans="12:12" x14ac:dyDescent="0.25">
      <c r="L242"/>
    </row>
    <row r="243" spans="12:12" x14ac:dyDescent="0.25">
      <c r="L243"/>
    </row>
    <row r="244" spans="12:12" x14ac:dyDescent="0.25">
      <c r="L244"/>
    </row>
    <row r="245" spans="12:12" x14ac:dyDescent="0.25">
      <c r="L245"/>
    </row>
    <row r="246" spans="12:12" x14ac:dyDescent="0.25">
      <c r="L246"/>
    </row>
    <row r="247" spans="12:12" x14ac:dyDescent="0.25">
      <c r="L247"/>
    </row>
    <row r="248" spans="12:12" x14ac:dyDescent="0.25">
      <c r="L248"/>
    </row>
    <row r="249" spans="12:12" x14ac:dyDescent="0.25">
      <c r="L249"/>
    </row>
    <row r="250" spans="12:12" x14ac:dyDescent="0.25">
      <c r="L250"/>
    </row>
    <row r="251" spans="12:12" x14ac:dyDescent="0.25">
      <c r="L251"/>
    </row>
    <row r="252" spans="12:12" x14ac:dyDescent="0.25">
      <c r="L252"/>
    </row>
    <row r="253" spans="12:12" x14ac:dyDescent="0.25">
      <c r="L253"/>
    </row>
    <row r="254" spans="12:12" x14ac:dyDescent="0.25">
      <c r="L254"/>
    </row>
    <row r="255" spans="12:12" x14ac:dyDescent="0.25">
      <c r="L255"/>
    </row>
    <row r="256" spans="12:12" x14ac:dyDescent="0.25">
      <c r="L256"/>
    </row>
    <row r="257" spans="12:12" x14ac:dyDescent="0.25">
      <c r="L257"/>
    </row>
    <row r="258" spans="12:12" x14ac:dyDescent="0.25">
      <c r="L258"/>
    </row>
    <row r="259" spans="12:12" x14ac:dyDescent="0.25">
      <c r="L259"/>
    </row>
    <row r="260" spans="12:12" x14ac:dyDescent="0.25">
      <c r="L260"/>
    </row>
    <row r="261" spans="12:12" x14ac:dyDescent="0.25">
      <c r="L261"/>
    </row>
    <row r="262" spans="12:12" x14ac:dyDescent="0.25">
      <c r="L262"/>
    </row>
    <row r="263" spans="12:12" x14ac:dyDescent="0.25">
      <c r="L263"/>
    </row>
    <row r="264" spans="12:12" x14ac:dyDescent="0.25">
      <c r="L264"/>
    </row>
    <row r="265" spans="12:12" x14ac:dyDescent="0.25">
      <c r="L265"/>
    </row>
    <row r="266" spans="12:12" x14ac:dyDescent="0.25">
      <c r="L266"/>
    </row>
    <row r="267" spans="12:12" x14ac:dyDescent="0.25">
      <c r="L267"/>
    </row>
    <row r="268" spans="12:12" x14ac:dyDescent="0.25">
      <c r="L268"/>
    </row>
    <row r="269" spans="12:12" x14ac:dyDescent="0.25">
      <c r="L269"/>
    </row>
    <row r="270" spans="12:12" x14ac:dyDescent="0.25">
      <c r="L270"/>
    </row>
    <row r="271" spans="12:12" x14ac:dyDescent="0.25">
      <c r="L271"/>
    </row>
    <row r="272" spans="12:12" x14ac:dyDescent="0.25">
      <c r="L272"/>
    </row>
    <row r="273" spans="12:12" x14ac:dyDescent="0.25">
      <c r="L273"/>
    </row>
    <row r="274" spans="12:12" x14ac:dyDescent="0.25">
      <c r="L274"/>
    </row>
    <row r="275" spans="12:12" x14ac:dyDescent="0.25">
      <c r="L275"/>
    </row>
    <row r="276" spans="12:12" x14ac:dyDescent="0.25">
      <c r="L276"/>
    </row>
    <row r="277" spans="12:12" x14ac:dyDescent="0.25">
      <c r="L277"/>
    </row>
    <row r="278" spans="12:12" x14ac:dyDescent="0.25">
      <c r="L278"/>
    </row>
    <row r="279" spans="12:12" x14ac:dyDescent="0.25">
      <c r="L279"/>
    </row>
    <row r="280" spans="12:12" x14ac:dyDescent="0.25">
      <c r="L280"/>
    </row>
    <row r="281" spans="12:12" x14ac:dyDescent="0.25">
      <c r="L281"/>
    </row>
    <row r="282" spans="12:12" x14ac:dyDescent="0.25">
      <c r="L282"/>
    </row>
    <row r="283" spans="12:12" x14ac:dyDescent="0.25">
      <c r="L283"/>
    </row>
    <row r="284" spans="12:12" x14ac:dyDescent="0.25">
      <c r="L284"/>
    </row>
    <row r="285" spans="12:12" x14ac:dyDescent="0.25">
      <c r="L285"/>
    </row>
    <row r="286" spans="12:12" x14ac:dyDescent="0.25">
      <c r="L286"/>
    </row>
    <row r="287" spans="12:12" x14ac:dyDescent="0.25">
      <c r="L287"/>
    </row>
    <row r="288" spans="12:12" x14ac:dyDescent="0.25">
      <c r="L288"/>
    </row>
    <row r="289" spans="12:12" x14ac:dyDescent="0.25">
      <c r="L289"/>
    </row>
    <row r="290" spans="12:12" x14ac:dyDescent="0.25">
      <c r="L290"/>
    </row>
    <row r="291" spans="12:12" x14ac:dyDescent="0.25">
      <c r="L291"/>
    </row>
    <row r="292" spans="12:12" x14ac:dyDescent="0.25">
      <c r="L292"/>
    </row>
    <row r="293" spans="12:12" x14ac:dyDescent="0.25">
      <c r="L293"/>
    </row>
    <row r="294" spans="12:12" x14ac:dyDescent="0.25">
      <c r="L294"/>
    </row>
    <row r="295" spans="12:12" x14ac:dyDescent="0.25">
      <c r="L295"/>
    </row>
    <row r="296" spans="12:12" x14ac:dyDescent="0.25">
      <c r="L296"/>
    </row>
    <row r="297" spans="12:12" x14ac:dyDescent="0.25">
      <c r="L297"/>
    </row>
    <row r="298" spans="12:12" x14ac:dyDescent="0.25">
      <c r="L298"/>
    </row>
    <row r="299" spans="12:12" x14ac:dyDescent="0.25">
      <c r="L299"/>
    </row>
    <row r="300" spans="12:12" x14ac:dyDescent="0.25">
      <c r="L300"/>
    </row>
    <row r="301" spans="12:12" x14ac:dyDescent="0.25">
      <c r="L301"/>
    </row>
    <row r="302" spans="12:12" x14ac:dyDescent="0.25">
      <c r="L302"/>
    </row>
    <row r="303" spans="12:12" x14ac:dyDescent="0.25">
      <c r="L303"/>
    </row>
    <row r="304" spans="12:12" x14ac:dyDescent="0.25">
      <c r="L304"/>
    </row>
    <row r="305" spans="12:12" x14ac:dyDescent="0.25">
      <c r="L305"/>
    </row>
    <row r="306" spans="12:12" x14ac:dyDescent="0.25">
      <c r="L306"/>
    </row>
    <row r="307" spans="12:12" x14ac:dyDescent="0.25">
      <c r="L307"/>
    </row>
    <row r="308" spans="12:12" x14ac:dyDescent="0.25">
      <c r="L308"/>
    </row>
    <row r="309" spans="12:12" x14ac:dyDescent="0.25">
      <c r="L309"/>
    </row>
    <row r="310" spans="12:12" x14ac:dyDescent="0.25">
      <c r="L310"/>
    </row>
    <row r="311" spans="12:12" x14ac:dyDescent="0.25">
      <c r="L311"/>
    </row>
    <row r="312" spans="12:12" x14ac:dyDescent="0.25">
      <c r="L312"/>
    </row>
    <row r="313" spans="12:12" x14ac:dyDescent="0.25">
      <c r="L313"/>
    </row>
    <row r="314" spans="12:12" x14ac:dyDescent="0.25">
      <c r="L314"/>
    </row>
    <row r="315" spans="12:12" x14ac:dyDescent="0.25">
      <c r="L315"/>
    </row>
    <row r="316" spans="12:12" x14ac:dyDescent="0.25">
      <c r="L316"/>
    </row>
    <row r="317" spans="12:12" x14ac:dyDescent="0.25">
      <c r="L317"/>
    </row>
    <row r="318" spans="12:12" x14ac:dyDescent="0.25">
      <c r="L318"/>
    </row>
    <row r="319" spans="12:12" x14ac:dyDescent="0.25">
      <c r="L319"/>
    </row>
    <row r="320" spans="12:12" x14ac:dyDescent="0.25">
      <c r="L320"/>
    </row>
    <row r="321" spans="12:12" x14ac:dyDescent="0.25">
      <c r="L321"/>
    </row>
    <row r="322" spans="12:12" x14ac:dyDescent="0.25">
      <c r="L322"/>
    </row>
    <row r="323" spans="12:12" x14ac:dyDescent="0.25">
      <c r="L323"/>
    </row>
    <row r="324" spans="12:12" x14ac:dyDescent="0.25">
      <c r="L324"/>
    </row>
    <row r="325" spans="12:12" x14ac:dyDescent="0.25">
      <c r="L325"/>
    </row>
    <row r="326" spans="12:12" x14ac:dyDescent="0.25">
      <c r="L326"/>
    </row>
    <row r="327" spans="12:12" x14ac:dyDescent="0.25">
      <c r="L327"/>
    </row>
    <row r="328" spans="12:12" x14ac:dyDescent="0.25">
      <c r="L328"/>
    </row>
    <row r="329" spans="12:12" x14ac:dyDescent="0.25">
      <c r="L329"/>
    </row>
    <row r="330" spans="12:12" x14ac:dyDescent="0.25">
      <c r="L330"/>
    </row>
    <row r="331" spans="12:12" x14ac:dyDescent="0.25">
      <c r="L331"/>
    </row>
    <row r="332" spans="12:12" x14ac:dyDescent="0.25">
      <c r="L332"/>
    </row>
    <row r="333" spans="12:12" x14ac:dyDescent="0.25">
      <c r="L333"/>
    </row>
    <row r="334" spans="12:12" x14ac:dyDescent="0.25">
      <c r="L334"/>
    </row>
    <row r="335" spans="12:12" x14ac:dyDescent="0.25">
      <c r="L335"/>
    </row>
    <row r="336" spans="12:12" x14ac:dyDescent="0.25">
      <c r="L336"/>
    </row>
    <row r="337" spans="12:12" x14ac:dyDescent="0.25">
      <c r="L337"/>
    </row>
    <row r="338" spans="12:12" x14ac:dyDescent="0.25">
      <c r="L338"/>
    </row>
    <row r="339" spans="12:12" x14ac:dyDescent="0.25">
      <c r="L339"/>
    </row>
    <row r="340" spans="12:12" x14ac:dyDescent="0.25">
      <c r="L340"/>
    </row>
    <row r="341" spans="12:12" x14ac:dyDescent="0.25">
      <c r="L341"/>
    </row>
    <row r="342" spans="12:12" x14ac:dyDescent="0.25">
      <c r="L342"/>
    </row>
    <row r="343" spans="12:12" x14ac:dyDescent="0.25">
      <c r="L343"/>
    </row>
    <row r="344" spans="12:12" x14ac:dyDescent="0.25">
      <c r="L344"/>
    </row>
    <row r="345" spans="12:12" x14ac:dyDescent="0.25">
      <c r="L345"/>
    </row>
    <row r="346" spans="12:12" x14ac:dyDescent="0.25">
      <c r="L346"/>
    </row>
    <row r="347" spans="12:12" x14ac:dyDescent="0.25">
      <c r="L347"/>
    </row>
    <row r="348" spans="12:12" x14ac:dyDescent="0.25">
      <c r="L348"/>
    </row>
    <row r="349" spans="12:12" x14ac:dyDescent="0.25">
      <c r="L349"/>
    </row>
    <row r="350" spans="12:12" x14ac:dyDescent="0.25">
      <c r="L350"/>
    </row>
    <row r="351" spans="12:12" x14ac:dyDescent="0.25">
      <c r="L351"/>
    </row>
    <row r="352" spans="12:12" x14ac:dyDescent="0.25">
      <c r="L352"/>
    </row>
    <row r="353" spans="12:12" x14ac:dyDescent="0.25">
      <c r="L353"/>
    </row>
    <row r="354" spans="12:12" x14ac:dyDescent="0.25">
      <c r="L354"/>
    </row>
    <row r="355" spans="12:12" x14ac:dyDescent="0.25">
      <c r="L355"/>
    </row>
    <row r="356" spans="12:12" x14ac:dyDescent="0.25">
      <c r="L356"/>
    </row>
    <row r="357" spans="12:12" x14ac:dyDescent="0.25">
      <c r="L357"/>
    </row>
    <row r="358" spans="12:12" x14ac:dyDescent="0.25">
      <c r="L358"/>
    </row>
    <row r="359" spans="12:12" x14ac:dyDescent="0.25">
      <c r="L359"/>
    </row>
    <row r="360" spans="12:12" x14ac:dyDescent="0.25">
      <c r="L360"/>
    </row>
    <row r="361" spans="12:12" x14ac:dyDescent="0.25">
      <c r="L361"/>
    </row>
    <row r="362" spans="12:12" x14ac:dyDescent="0.25">
      <c r="L362"/>
    </row>
    <row r="363" spans="12:12" x14ac:dyDescent="0.25">
      <c r="L363"/>
    </row>
    <row r="364" spans="12:12" x14ac:dyDescent="0.25">
      <c r="L364"/>
    </row>
    <row r="365" spans="12:12" x14ac:dyDescent="0.25">
      <c r="L365"/>
    </row>
    <row r="366" spans="12:12" x14ac:dyDescent="0.25">
      <c r="L366"/>
    </row>
    <row r="367" spans="12:12" x14ac:dyDescent="0.25">
      <c r="L367"/>
    </row>
    <row r="368" spans="12:12" x14ac:dyDescent="0.25">
      <c r="L368"/>
    </row>
    <row r="369" spans="12:12" x14ac:dyDescent="0.25">
      <c r="L369"/>
    </row>
    <row r="370" spans="12:12" x14ac:dyDescent="0.25">
      <c r="L370"/>
    </row>
    <row r="371" spans="12:12" x14ac:dyDescent="0.25">
      <c r="L371"/>
    </row>
    <row r="372" spans="12:12" x14ac:dyDescent="0.25">
      <c r="L372"/>
    </row>
    <row r="373" spans="12:12" x14ac:dyDescent="0.25">
      <c r="L373"/>
    </row>
    <row r="374" spans="12:12" x14ac:dyDescent="0.25">
      <c r="L374"/>
    </row>
    <row r="375" spans="12:12" x14ac:dyDescent="0.25">
      <c r="L375"/>
    </row>
    <row r="376" spans="12:12" x14ac:dyDescent="0.25">
      <c r="L376"/>
    </row>
    <row r="377" spans="12:12" x14ac:dyDescent="0.25">
      <c r="L377"/>
    </row>
    <row r="378" spans="12:12" x14ac:dyDescent="0.25">
      <c r="L378"/>
    </row>
    <row r="379" spans="12:12" x14ac:dyDescent="0.25">
      <c r="L379"/>
    </row>
    <row r="380" spans="12:12" x14ac:dyDescent="0.25">
      <c r="L380"/>
    </row>
    <row r="381" spans="12:12" x14ac:dyDescent="0.25">
      <c r="L381"/>
    </row>
    <row r="382" spans="12:12" x14ac:dyDescent="0.25">
      <c r="L382"/>
    </row>
    <row r="383" spans="12:12" x14ac:dyDescent="0.25">
      <c r="L383"/>
    </row>
    <row r="384" spans="12:12" x14ac:dyDescent="0.25">
      <c r="L384"/>
    </row>
    <row r="385" spans="12:12" x14ac:dyDescent="0.25">
      <c r="L385"/>
    </row>
    <row r="386" spans="12:12" x14ac:dyDescent="0.25">
      <c r="L386"/>
    </row>
    <row r="387" spans="12:12" x14ac:dyDescent="0.25">
      <c r="L387"/>
    </row>
    <row r="388" spans="12:12" x14ac:dyDescent="0.25">
      <c r="L388"/>
    </row>
    <row r="389" spans="12:12" x14ac:dyDescent="0.25">
      <c r="L389"/>
    </row>
    <row r="390" spans="12:12" x14ac:dyDescent="0.25">
      <c r="L390"/>
    </row>
    <row r="391" spans="12:12" x14ac:dyDescent="0.25">
      <c r="L391"/>
    </row>
    <row r="392" spans="12:12" x14ac:dyDescent="0.25">
      <c r="L392"/>
    </row>
    <row r="393" spans="12:12" x14ac:dyDescent="0.25">
      <c r="L393"/>
    </row>
    <row r="394" spans="12:12" x14ac:dyDescent="0.25">
      <c r="L394"/>
    </row>
    <row r="395" spans="12:12" x14ac:dyDescent="0.25">
      <c r="L395"/>
    </row>
    <row r="396" spans="12:12" x14ac:dyDescent="0.25">
      <c r="L396"/>
    </row>
    <row r="397" spans="12:12" x14ac:dyDescent="0.25">
      <c r="L397"/>
    </row>
    <row r="398" spans="12:12" x14ac:dyDescent="0.25">
      <c r="L398"/>
    </row>
    <row r="399" spans="12:12" x14ac:dyDescent="0.25">
      <c r="L399"/>
    </row>
    <row r="400" spans="12:12" x14ac:dyDescent="0.25">
      <c r="L400"/>
    </row>
    <row r="401" spans="12:12" x14ac:dyDescent="0.25">
      <c r="L401"/>
    </row>
    <row r="402" spans="12:12" x14ac:dyDescent="0.25">
      <c r="L402"/>
    </row>
    <row r="403" spans="12:12" x14ac:dyDescent="0.25">
      <c r="L403"/>
    </row>
    <row r="404" spans="12:12" x14ac:dyDescent="0.25">
      <c r="L404"/>
    </row>
    <row r="405" spans="12:12" x14ac:dyDescent="0.25">
      <c r="L405"/>
    </row>
    <row r="406" spans="12:12" x14ac:dyDescent="0.25">
      <c r="L406"/>
    </row>
    <row r="407" spans="12:12" x14ac:dyDescent="0.25">
      <c r="L407"/>
    </row>
    <row r="408" spans="12:12" x14ac:dyDescent="0.25">
      <c r="L408"/>
    </row>
    <row r="409" spans="12:12" x14ac:dyDescent="0.25">
      <c r="L409"/>
    </row>
    <row r="410" spans="12:12" x14ac:dyDescent="0.25">
      <c r="L410"/>
    </row>
    <row r="411" spans="12:12" x14ac:dyDescent="0.25">
      <c r="L411"/>
    </row>
    <row r="412" spans="12:12" x14ac:dyDescent="0.25">
      <c r="L412"/>
    </row>
    <row r="413" spans="12:12" x14ac:dyDescent="0.25">
      <c r="L413"/>
    </row>
    <row r="414" spans="12:12" x14ac:dyDescent="0.25">
      <c r="L414"/>
    </row>
    <row r="415" spans="12:12" x14ac:dyDescent="0.25">
      <c r="L415"/>
    </row>
    <row r="416" spans="12:12" x14ac:dyDescent="0.25">
      <c r="L416"/>
    </row>
    <row r="417" spans="12:12" x14ac:dyDescent="0.25">
      <c r="L417"/>
    </row>
    <row r="418" spans="12:12" x14ac:dyDescent="0.25">
      <c r="L418"/>
    </row>
    <row r="419" spans="12:12" x14ac:dyDescent="0.25">
      <c r="L419"/>
    </row>
    <row r="420" spans="12:12" x14ac:dyDescent="0.25">
      <c r="L420"/>
    </row>
    <row r="421" spans="12:12" x14ac:dyDescent="0.25">
      <c r="L421"/>
    </row>
    <row r="422" spans="12:12" x14ac:dyDescent="0.25">
      <c r="L422"/>
    </row>
    <row r="423" spans="12:12" x14ac:dyDescent="0.25">
      <c r="L423"/>
    </row>
    <row r="424" spans="12:12" x14ac:dyDescent="0.25">
      <c r="L424"/>
    </row>
    <row r="425" spans="12:12" x14ac:dyDescent="0.25">
      <c r="L425"/>
    </row>
    <row r="426" spans="12:12" x14ac:dyDescent="0.25">
      <c r="L426"/>
    </row>
    <row r="427" spans="12:12" x14ac:dyDescent="0.25">
      <c r="L427"/>
    </row>
    <row r="428" spans="12:12" x14ac:dyDescent="0.25">
      <c r="L428"/>
    </row>
    <row r="429" spans="12:12" x14ac:dyDescent="0.25">
      <c r="L429"/>
    </row>
    <row r="430" spans="12:12" x14ac:dyDescent="0.25">
      <c r="L430"/>
    </row>
    <row r="431" spans="12:12" x14ac:dyDescent="0.25">
      <c r="L431"/>
    </row>
    <row r="432" spans="12:12" x14ac:dyDescent="0.25">
      <c r="L432"/>
    </row>
    <row r="433" spans="12:12" x14ac:dyDescent="0.25">
      <c r="L433"/>
    </row>
    <row r="434" spans="12:12" x14ac:dyDescent="0.25">
      <c r="L434"/>
    </row>
    <row r="435" spans="12:12" x14ac:dyDescent="0.25">
      <c r="L435"/>
    </row>
    <row r="436" spans="12:12" x14ac:dyDescent="0.25">
      <c r="L436"/>
    </row>
    <row r="437" spans="12:12" x14ac:dyDescent="0.25">
      <c r="L437"/>
    </row>
    <row r="438" spans="12:12" x14ac:dyDescent="0.25">
      <c r="L438"/>
    </row>
    <row r="439" spans="12:12" x14ac:dyDescent="0.25">
      <c r="L439"/>
    </row>
    <row r="440" spans="12:12" x14ac:dyDescent="0.25">
      <c r="L440"/>
    </row>
    <row r="441" spans="12:12" x14ac:dyDescent="0.25">
      <c r="L441"/>
    </row>
    <row r="442" spans="12:12" x14ac:dyDescent="0.25">
      <c r="L442"/>
    </row>
    <row r="443" spans="12:12" x14ac:dyDescent="0.25">
      <c r="L443"/>
    </row>
    <row r="444" spans="12:12" x14ac:dyDescent="0.25">
      <c r="L444"/>
    </row>
    <row r="445" spans="12:12" x14ac:dyDescent="0.25">
      <c r="L445"/>
    </row>
    <row r="446" spans="12:12" x14ac:dyDescent="0.25">
      <c r="L446"/>
    </row>
    <row r="447" spans="12:12" x14ac:dyDescent="0.25">
      <c r="L447"/>
    </row>
    <row r="448" spans="12:12" x14ac:dyDescent="0.25">
      <c r="L448"/>
    </row>
    <row r="449" spans="12:12" x14ac:dyDescent="0.25">
      <c r="L449"/>
    </row>
    <row r="450" spans="12:12" x14ac:dyDescent="0.25">
      <c r="L450"/>
    </row>
    <row r="451" spans="12:12" x14ac:dyDescent="0.25">
      <c r="L451"/>
    </row>
    <row r="452" spans="12:12" x14ac:dyDescent="0.25">
      <c r="L452"/>
    </row>
    <row r="453" spans="12:12" x14ac:dyDescent="0.25">
      <c r="L453"/>
    </row>
    <row r="454" spans="12:12" x14ac:dyDescent="0.25">
      <c r="L454"/>
    </row>
    <row r="455" spans="12:12" x14ac:dyDescent="0.25">
      <c r="L455"/>
    </row>
    <row r="456" spans="12:12" x14ac:dyDescent="0.25">
      <c r="L456"/>
    </row>
    <row r="457" spans="12:12" x14ac:dyDescent="0.25">
      <c r="L457"/>
    </row>
    <row r="458" spans="12:12" x14ac:dyDescent="0.25">
      <c r="L458"/>
    </row>
    <row r="459" spans="12:12" x14ac:dyDescent="0.25">
      <c r="L459"/>
    </row>
    <row r="460" spans="12:12" x14ac:dyDescent="0.25">
      <c r="L460"/>
    </row>
    <row r="461" spans="12:12" x14ac:dyDescent="0.25">
      <c r="L461"/>
    </row>
    <row r="462" spans="12:12" x14ac:dyDescent="0.25">
      <c r="L462"/>
    </row>
    <row r="463" spans="12:12" x14ac:dyDescent="0.25">
      <c r="L463"/>
    </row>
    <row r="464" spans="12:12" x14ac:dyDescent="0.25">
      <c r="L464"/>
    </row>
    <row r="465" spans="12:12" x14ac:dyDescent="0.25">
      <c r="L465"/>
    </row>
    <row r="466" spans="12:12" x14ac:dyDescent="0.25">
      <c r="L466"/>
    </row>
    <row r="467" spans="12:12" x14ac:dyDescent="0.25">
      <c r="L467"/>
    </row>
    <row r="468" spans="12:12" x14ac:dyDescent="0.25">
      <c r="L468"/>
    </row>
    <row r="469" spans="12:12" x14ac:dyDescent="0.25">
      <c r="L469"/>
    </row>
    <row r="470" spans="12:12" x14ac:dyDescent="0.25">
      <c r="L470"/>
    </row>
    <row r="471" spans="12:12" x14ac:dyDescent="0.25">
      <c r="L471"/>
    </row>
    <row r="472" spans="12:12" x14ac:dyDescent="0.25">
      <c r="L472"/>
    </row>
    <row r="473" spans="12:12" x14ac:dyDescent="0.25">
      <c r="L473"/>
    </row>
    <row r="474" spans="12:12" x14ac:dyDescent="0.25">
      <c r="L474"/>
    </row>
    <row r="475" spans="12:12" x14ac:dyDescent="0.25">
      <c r="L475"/>
    </row>
    <row r="476" spans="12:12" x14ac:dyDescent="0.25">
      <c r="L476"/>
    </row>
    <row r="477" spans="12:12" x14ac:dyDescent="0.25">
      <c r="L477"/>
    </row>
    <row r="478" spans="12:12" x14ac:dyDescent="0.25">
      <c r="L478"/>
    </row>
    <row r="479" spans="12:12" x14ac:dyDescent="0.25">
      <c r="L479"/>
    </row>
    <row r="480" spans="12:12" x14ac:dyDescent="0.25">
      <c r="L480"/>
    </row>
    <row r="481" spans="12:12" x14ac:dyDescent="0.25">
      <c r="L481"/>
    </row>
    <row r="482" spans="12:12" x14ac:dyDescent="0.25">
      <c r="L482"/>
    </row>
    <row r="483" spans="12:12" x14ac:dyDescent="0.25">
      <c r="L483"/>
    </row>
    <row r="484" spans="12:12" x14ac:dyDescent="0.25">
      <c r="L484"/>
    </row>
    <row r="485" spans="12:12" x14ac:dyDescent="0.25">
      <c r="L485"/>
    </row>
    <row r="486" spans="12:12" x14ac:dyDescent="0.25">
      <c r="L486"/>
    </row>
    <row r="487" spans="12:12" x14ac:dyDescent="0.25">
      <c r="L487"/>
    </row>
    <row r="488" spans="12:12" x14ac:dyDescent="0.25">
      <c r="L488"/>
    </row>
  </sheetData>
  <mergeCells count="23">
    <mergeCell ref="B2:B6"/>
    <mergeCell ref="H6:J6"/>
    <mergeCell ref="C2:L2"/>
    <mergeCell ref="C3:L3"/>
    <mergeCell ref="C4:L4"/>
    <mergeCell ref="C5:L5"/>
    <mergeCell ref="K6:L6"/>
    <mergeCell ref="C6:G6"/>
    <mergeCell ref="K9:K34"/>
    <mergeCell ref="L9:L34"/>
    <mergeCell ref="J9:J34"/>
    <mergeCell ref="K45:K49"/>
    <mergeCell ref="J45:J49"/>
    <mergeCell ref="L45:L49"/>
    <mergeCell ref="L36:L42"/>
    <mergeCell ref="J36:J43"/>
    <mergeCell ref="K36:K43"/>
    <mergeCell ref="L51:L53"/>
    <mergeCell ref="J56:J64"/>
    <mergeCell ref="K56:K64"/>
    <mergeCell ref="L56:L64"/>
    <mergeCell ref="J51:J54"/>
    <mergeCell ref="K51:K54"/>
  </mergeCells>
  <conditionalFormatting sqref="L8:L42 L44:L53 L55:L64 L490:L1048576">
    <cfRule type="cellIs" dxfId="19" priority="4" operator="lessThanOrEqual">
      <formula>0.5</formula>
    </cfRule>
    <cfRule type="cellIs" dxfId="18" priority="5" operator="between">
      <formula>0.76</formula>
      <formula>1</formula>
    </cfRule>
    <cfRule type="cellIs" dxfId="17" priority="6" operator="between">
      <formula>0.51</formula>
      <formula>0.75</formula>
    </cfRule>
  </conditionalFormatting>
  <conditionalFormatting sqref="L8:L42 L44:L53 L55:L64">
    <cfRule type="cellIs" dxfId="16" priority="1" operator="between">
      <formula>0.8</formula>
      <formula>1</formula>
    </cfRule>
    <cfRule type="cellIs" dxfId="15" priority="2" operator="between">
      <formula>0.6</formula>
      <formula>0.79</formula>
    </cfRule>
    <cfRule type="cellIs" dxfId="14" priority="3" operator="lessThanOrEqual">
      <formula>0.59</formula>
    </cfRule>
  </conditionalFormatting>
  <conditionalFormatting sqref="L9:L34">
    <cfRule type="colorScale" priority="13">
      <colorScale>
        <cfvo type="percent" val="40"/>
        <cfvo type="percent" val="50"/>
        <cfvo type="percent" val="60"/>
        <color rgb="FFF8696B"/>
        <color rgb="FFFFEB84"/>
        <color rgb="FF63BE7B"/>
      </colorScale>
    </cfRule>
    <cfRule type="colorScale" priority="14">
      <colorScale>
        <cfvo type="percentile" val="40"/>
        <cfvo type="percentile" val="50"/>
        <cfvo type="percent" val="60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" priority="17" operator="between">
      <formula>0.6</formula>
      <formula>1</formula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" priority="19" operator="between">
      <formula>0.6</formula>
      <formula>1</formula>
    </cfRule>
  </conditionalFormatting>
  <conditionalFormatting sqref="L9:L42 L44:L53 L55:L64">
    <cfRule type="cellIs" dxfId="11" priority="10" operator="lessThanOrEqual">
      <formula>50</formula>
    </cfRule>
  </conditionalFormatting>
  <conditionalFormatting sqref="L36:L42">
    <cfRule type="cellIs" dxfId="10" priority="8" operator="lessThan">
      <formula>0.5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14" scale="90" orientation="landscape" r:id="rId1"/>
  <headerFooter>
    <oddHeader xml:space="preserve">&amp;R
&amp;P                    .  </oddHeader>
  </headerFooter>
  <rowBreaks count="2" manualBreakCount="2">
    <brk id="43" max="6" man="1"/>
    <brk id="64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7480-8B30-4EF8-B6AB-BA1F1C474030}">
  <sheetPr>
    <tabColor rgb="FF7030A0"/>
  </sheetPr>
  <dimension ref="B1:Q461"/>
  <sheetViews>
    <sheetView showGridLines="0" zoomScale="90" zoomScaleNormal="90" zoomScaleSheetLayoutView="100" workbookViewId="0">
      <selection activeCell="C2" sqref="C2:K6"/>
    </sheetView>
  </sheetViews>
  <sheetFormatPr baseColWidth="10" defaultRowHeight="15" x14ac:dyDescent="0.25"/>
  <cols>
    <col min="1" max="1" width="2.7109375" style="1" customWidth="1"/>
    <col min="2" max="2" width="21.42578125" style="1" customWidth="1"/>
    <col min="3" max="3" width="50.42578125" style="1" customWidth="1"/>
    <col min="4" max="4" width="4.5703125" style="22" customWidth="1"/>
    <col min="5" max="5" width="4.42578125" style="22" customWidth="1"/>
    <col min="6" max="6" width="10.5703125" style="26" customWidth="1"/>
    <col min="7" max="7" width="22.140625" style="1" customWidth="1"/>
    <col min="8" max="8" width="21.5703125" style="1" customWidth="1"/>
    <col min="9" max="9" width="18.28515625" style="1" customWidth="1"/>
    <col min="10" max="10" width="14.42578125" style="1" customWidth="1"/>
    <col min="11" max="11" width="20.28515625" style="1" customWidth="1"/>
    <col min="12" max="12" width="6.28515625" style="1" customWidth="1"/>
    <col min="13" max="13" width="6.42578125" style="1" customWidth="1"/>
    <col min="14" max="17" width="11.42578125" style="1" hidden="1" customWidth="1"/>
    <col min="18" max="16384" width="11.42578125" style="1"/>
  </cols>
  <sheetData>
    <row r="1" spans="2:11" ht="15.75" thickBot="1" x14ac:dyDescent="0.3"/>
    <row r="2" spans="2:11" ht="16.5" thickBot="1" x14ac:dyDescent="0.3">
      <c r="B2" s="235"/>
      <c r="C2" s="317" t="s">
        <v>34</v>
      </c>
      <c r="D2" s="318"/>
      <c r="E2" s="318"/>
      <c r="F2" s="318"/>
      <c r="G2" s="318"/>
      <c r="H2" s="318"/>
      <c r="I2" s="318"/>
      <c r="J2" s="318"/>
      <c r="K2" s="319"/>
    </row>
    <row r="3" spans="2:11" ht="16.5" thickBot="1" x14ac:dyDescent="0.3">
      <c r="B3" s="236"/>
      <c r="C3" s="317" t="s">
        <v>33</v>
      </c>
      <c r="D3" s="318"/>
      <c r="E3" s="318"/>
      <c r="F3" s="318"/>
      <c r="G3" s="318"/>
      <c r="H3" s="318"/>
      <c r="I3" s="318"/>
      <c r="J3" s="318"/>
      <c r="K3" s="319"/>
    </row>
    <row r="4" spans="2:11" ht="16.5" thickBot="1" x14ac:dyDescent="0.3">
      <c r="B4" s="236"/>
      <c r="C4" s="317" t="s">
        <v>35</v>
      </c>
      <c r="D4" s="318"/>
      <c r="E4" s="318"/>
      <c r="F4" s="318"/>
      <c r="G4" s="318"/>
      <c r="H4" s="318"/>
      <c r="I4" s="318"/>
      <c r="J4" s="318"/>
      <c r="K4" s="319"/>
    </row>
    <row r="5" spans="2:11" ht="16.5" thickBot="1" x14ac:dyDescent="0.3">
      <c r="B5" s="236"/>
      <c r="C5" s="317" t="s">
        <v>43</v>
      </c>
      <c r="D5" s="318"/>
      <c r="E5" s="318"/>
      <c r="F5" s="318"/>
      <c r="G5" s="318"/>
      <c r="H5" s="318"/>
      <c r="I5" s="318"/>
      <c r="J5" s="318"/>
      <c r="K5" s="319"/>
    </row>
    <row r="6" spans="2:11" ht="16.5" thickBot="1" x14ac:dyDescent="0.3">
      <c r="B6" s="237"/>
      <c r="C6" s="317" t="s">
        <v>77</v>
      </c>
      <c r="D6" s="318"/>
      <c r="E6" s="318"/>
      <c r="F6" s="318"/>
      <c r="G6" s="318" t="s">
        <v>76</v>
      </c>
      <c r="H6" s="318"/>
      <c r="I6" s="318"/>
      <c r="J6" s="318" t="s">
        <v>84</v>
      </c>
      <c r="K6" s="319"/>
    </row>
    <row r="7" spans="2:11" ht="8.25" customHeight="1" thickBot="1" x14ac:dyDescent="0.3"/>
    <row r="8" spans="2:11" s="27" customFormat="1" ht="31.5" customHeight="1" thickBot="1" x14ac:dyDescent="0.3">
      <c r="B8" s="174" t="s">
        <v>28</v>
      </c>
      <c r="C8" s="419" t="s">
        <v>62</v>
      </c>
      <c r="D8" s="173" t="s">
        <v>30</v>
      </c>
      <c r="E8" s="173" t="s">
        <v>26</v>
      </c>
      <c r="F8" s="173" t="s">
        <v>29</v>
      </c>
      <c r="G8" s="175" t="s">
        <v>14</v>
      </c>
      <c r="H8" s="176" t="s">
        <v>75</v>
      </c>
      <c r="I8" s="176" t="s">
        <v>74</v>
      </c>
      <c r="J8" s="142" t="s">
        <v>47</v>
      </c>
      <c r="K8" s="143" t="s">
        <v>48</v>
      </c>
    </row>
    <row r="9" spans="2:11" s="27" customFormat="1" ht="14.25" x14ac:dyDescent="0.2">
      <c r="B9" s="188"/>
      <c r="C9" s="149"/>
      <c r="D9" s="137"/>
      <c r="E9" s="137"/>
      <c r="F9" s="138"/>
      <c r="G9" s="140"/>
      <c r="H9" s="137"/>
      <c r="I9" s="214"/>
      <c r="J9" s="217"/>
      <c r="K9" s="238"/>
    </row>
    <row r="10" spans="2:11" s="27" customFormat="1" ht="14.25" x14ac:dyDescent="0.2">
      <c r="B10" s="189"/>
      <c r="C10" s="84"/>
      <c r="D10" s="29"/>
      <c r="E10" s="29"/>
      <c r="F10" s="36"/>
      <c r="G10" s="76"/>
      <c r="H10" s="29"/>
      <c r="I10" s="214"/>
      <c r="J10" s="217"/>
      <c r="K10" s="238"/>
    </row>
    <row r="11" spans="2:11" s="27" customFormat="1" ht="14.25" x14ac:dyDescent="0.2">
      <c r="B11" s="189"/>
      <c r="C11" s="84"/>
      <c r="D11" s="29"/>
      <c r="E11" s="29"/>
      <c r="F11" s="36"/>
      <c r="G11" s="76"/>
      <c r="H11" s="29"/>
      <c r="I11" s="214"/>
      <c r="J11" s="217"/>
      <c r="K11" s="238"/>
    </row>
    <row r="12" spans="2:11" s="27" customFormat="1" ht="14.25" x14ac:dyDescent="0.2">
      <c r="B12" s="189"/>
      <c r="C12" s="84"/>
      <c r="D12" s="29"/>
      <c r="E12" s="29"/>
      <c r="F12" s="36"/>
      <c r="G12" s="76"/>
      <c r="H12" s="29"/>
      <c r="I12" s="214"/>
      <c r="J12" s="217"/>
      <c r="K12" s="238"/>
    </row>
    <row r="13" spans="2:11" s="27" customFormat="1" ht="14.25" x14ac:dyDescent="0.2">
      <c r="B13" s="189"/>
      <c r="C13" s="84"/>
      <c r="D13" s="29"/>
      <c r="E13" s="29"/>
      <c r="F13" s="36"/>
      <c r="G13" s="76"/>
      <c r="H13" s="29"/>
      <c r="I13" s="214"/>
      <c r="J13" s="217"/>
      <c r="K13" s="238"/>
    </row>
    <row r="14" spans="2:11" s="27" customFormat="1" ht="14.25" x14ac:dyDescent="0.2">
      <c r="B14" s="189"/>
      <c r="C14" s="84"/>
      <c r="D14" s="31"/>
      <c r="E14" s="31"/>
      <c r="F14" s="36"/>
      <c r="G14" s="76"/>
      <c r="H14" s="31"/>
      <c r="I14" s="229"/>
      <c r="J14" s="217"/>
      <c r="K14" s="238"/>
    </row>
    <row r="15" spans="2:11" s="27" customFormat="1" ht="14.25" x14ac:dyDescent="0.2">
      <c r="B15" s="189"/>
      <c r="C15" s="84"/>
      <c r="D15" s="31"/>
      <c r="E15" s="31"/>
      <c r="F15" s="37"/>
      <c r="G15" s="76"/>
      <c r="H15" s="31"/>
      <c r="I15" s="229"/>
      <c r="J15" s="217"/>
      <c r="K15" s="238"/>
    </row>
    <row r="16" spans="2:11" s="27" customFormat="1" ht="14.25" x14ac:dyDescent="0.2">
      <c r="B16" s="189"/>
      <c r="C16" s="84"/>
      <c r="D16" s="31"/>
      <c r="E16" s="31"/>
      <c r="F16" s="36"/>
      <c r="G16" s="76"/>
      <c r="H16" s="31"/>
      <c r="I16" s="229"/>
      <c r="J16" s="217"/>
      <c r="K16" s="238"/>
    </row>
    <row r="17" spans="2:11" s="27" customFormat="1" ht="14.25" x14ac:dyDescent="0.2">
      <c r="B17" s="189"/>
      <c r="C17" s="84"/>
      <c r="D17" s="31"/>
      <c r="E17" s="31"/>
      <c r="F17" s="37"/>
      <c r="G17" s="76"/>
      <c r="H17" s="31"/>
      <c r="I17" s="229"/>
      <c r="J17" s="217"/>
      <c r="K17" s="238"/>
    </row>
    <row r="18" spans="2:11" s="27" customFormat="1" ht="13.5" thickBot="1" x14ac:dyDescent="0.25">
      <c r="B18" s="190"/>
      <c r="C18" s="202"/>
      <c r="D18" s="204"/>
      <c r="E18" s="204"/>
      <c r="F18" s="193"/>
      <c r="G18" s="195"/>
      <c r="H18" s="204"/>
      <c r="I18" s="230"/>
      <c r="J18" s="218"/>
      <c r="K18" s="239"/>
    </row>
    <row r="19" spans="2:11" s="27" customFormat="1" ht="18" customHeight="1" thickBot="1" x14ac:dyDescent="0.25">
      <c r="B19" s="222"/>
      <c r="C19" s="222"/>
      <c r="D19" s="222"/>
      <c r="E19" s="222"/>
      <c r="F19" s="222"/>
      <c r="G19" s="222"/>
      <c r="H19" s="222"/>
      <c r="I19" s="222"/>
      <c r="J19" s="222"/>
      <c r="K19" s="222"/>
    </row>
    <row r="20" spans="2:11" s="27" customFormat="1" ht="27.75" customHeight="1" thickBot="1" x14ac:dyDescent="0.25">
      <c r="B20" s="186" t="s">
        <v>28</v>
      </c>
      <c r="C20" s="64" t="s">
        <v>59</v>
      </c>
      <c r="D20" s="64" t="s">
        <v>30</v>
      </c>
      <c r="E20" s="64" t="s">
        <v>26</v>
      </c>
      <c r="F20" s="64" t="s">
        <v>29</v>
      </c>
      <c r="G20" s="96" t="s">
        <v>14</v>
      </c>
      <c r="H20" s="141" t="s">
        <v>75</v>
      </c>
      <c r="I20" s="141" t="s">
        <v>74</v>
      </c>
      <c r="J20" s="142" t="s">
        <v>47</v>
      </c>
      <c r="K20" s="143" t="s">
        <v>48</v>
      </c>
    </row>
    <row r="21" spans="2:11" s="27" customFormat="1" ht="24" customHeight="1" x14ac:dyDescent="0.2">
      <c r="B21" s="189"/>
      <c r="C21" s="149"/>
      <c r="D21" s="137"/>
      <c r="E21" s="137"/>
      <c r="F21" s="138"/>
      <c r="G21" s="140"/>
      <c r="H21" s="137"/>
      <c r="I21" s="214"/>
      <c r="J21" s="217"/>
      <c r="K21" s="226"/>
    </row>
    <row r="22" spans="2:11" s="27" customFormat="1" ht="14.25" x14ac:dyDescent="0.2">
      <c r="B22" s="189"/>
      <c r="C22" s="84"/>
      <c r="D22" s="29"/>
      <c r="E22" s="29"/>
      <c r="F22" s="36"/>
      <c r="G22" s="76"/>
      <c r="H22" s="29"/>
      <c r="I22" s="214"/>
      <c r="J22" s="217"/>
      <c r="K22" s="227"/>
    </row>
    <row r="23" spans="2:11" s="27" customFormat="1" ht="24.75" customHeight="1" x14ac:dyDescent="0.2">
      <c r="B23" s="189"/>
      <c r="C23" s="84"/>
      <c r="D23" s="29"/>
      <c r="E23" s="29"/>
      <c r="F23" s="36"/>
      <c r="G23" s="76"/>
      <c r="H23" s="29"/>
      <c r="I23" s="214"/>
      <c r="J23" s="217"/>
      <c r="K23" s="227"/>
    </row>
    <row r="24" spans="2:11" s="27" customFormat="1" ht="22.5" customHeight="1" x14ac:dyDescent="0.2">
      <c r="B24" s="189"/>
      <c r="C24" s="11"/>
      <c r="D24" s="29"/>
      <c r="E24" s="29"/>
      <c r="F24" s="36"/>
      <c r="G24" s="76"/>
      <c r="H24" s="29"/>
      <c r="I24" s="214"/>
      <c r="J24" s="217"/>
      <c r="K24" s="227"/>
    </row>
    <row r="25" spans="2:11" s="27" customFormat="1" ht="14.25" x14ac:dyDescent="0.2">
      <c r="B25" s="189"/>
      <c r="C25" s="11"/>
      <c r="D25" s="29"/>
      <c r="E25" s="29"/>
      <c r="F25" s="36"/>
      <c r="G25" s="76"/>
      <c r="H25" s="29"/>
      <c r="I25" s="214"/>
      <c r="J25" s="217"/>
      <c r="K25" s="227"/>
    </row>
    <row r="26" spans="2:11" s="27" customFormat="1" ht="21" customHeight="1" thickBot="1" x14ac:dyDescent="0.25">
      <c r="B26" s="190"/>
      <c r="C26" s="208"/>
      <c r="D26" s="192"/>
      <c r="E26" s="192"/>
      <c r="F26" s="206"/>
      <c r="G26" s="195"/>
      <c r="H26" s="192"/>
      <c r="I26" s="215"/>
      <c r="J26" s="218"/>
      <c r="K26" s="228"/>
    </row>
    <row r="27" spans="2:11" s="27" customFormat="1" ht="13.5" thickBot="1" x14ac:dyDescent="0.25">
      <c r="B27" s="232"/>
      <c r="C27" s="233"/>
      <c r="D27" s="233"/>
      <c r="E27" s="233"/>
      <c r="F27" s="233"/>
      <c r="G27" s="233"/>
      <c r="H27" s="233"/>
      <c r="I27" s="233"/>
      <c r="J27" s="233"/>
      <c r="K27" s="234"/>
    </row>
    <row r="28" spans="2:11" s="27" customFormat="1" ht="27" customHeight="1" thickBot="1" x14ac:dyDescent="0.25">
      <c r="B28" s="66" t="s">
        <v>28</v>
      </c>
      <c r="C28" s="64" t="s">
        <v>60</v>
      </c>
      <c r="D28" s="64" t="s">
        <v>30</v>
      </c>
      <c r="E28" s="64" t="s">
        <v>26</v>
      </c>
      <c r="F28" s="64" t="s">
        <v>29</v>
      </c>
      <c r="G28" s="96" t="s">
        <v>14</v>
      </c>
      <c r="H28" s="141" t="s">
        <v>75</v>
      </c>
      <c r="I28" s="141" t="s">
        <v>74</v>
      </c>
      <c r="J28" s="142" t="s">
        <v>47</v>
      </c>
      <c r="K28" s="143" t="s">
        <v>48</v>
      </c>
    </row>
    <row r="29" spans="2:11" s="27" customFormat="1" ht="12.75" x14ac:dyDescent="0.2">
      <c r="B29" s="188"/>
      <c r="C29" s="147"/>
      <c r="D29" s="137"/>
      <c r="E29" s="137"/>
      <c r="F29" s="138"/>
      <c r="G29" s="140"/>
      <c r="H29" s="137"/>
      <c r="I29" s="214"/>
      <c r="J29" s="217"/>
      <c r="K29" s="231"/>
    </row>
    <row r="30" spans="2:11" s="27" customFormat="1" ht="12.75" x14ac:dyDescent="0.2">
      <c r="B30" s="189"/>
      <c r="C30" s="34"/>
      <c r="D30" s="29"/>
      <c r="E30" s="29"/>
      <c r="F30" s="36"/>
      <c r="G30" s="76"/>
      <c r="H30" s="29"/>
      <c r="I30" s="229"/>
      <c r="J30" s="217"/>
      <c r="K30" s="227"/>
    </row>
    <row r="31" spans="2:11" s="27" customFormat="1" ht="12.75" x14ac:dyDescent="0.2">
      <c r="B31" s="189"/>
      <c r="C31" s="34"/>
      <c r="D31" s="29"/>
      <c r="E31" s="29"/>
      <c r="F31" s="36"/>
      <c r="G31" s="76"/>
      <c r="H31" s="29"/>
      <c r="I31" s="229"/>
      <c r="J31" s="217"/>
      <c r="K31" s="227"/>
    </row>
    <row r="32" spans="2:11" s="27" customFormat="1" ht="12.75" x14ac:dyDescent="0.2">
      <c r="B32" s="189"/>
      <c r="C32" s="34"/>
      <c r="D32" s="29"/>
      <c r="E32" s="29"/>
      <c r="F32" s="36"/>
      <c r="G32" s="76"/>
      <c r="H32" s="29"/>
      <c r="I32" s="229"/>
      <c r="J32" s="217"/>
      <c r="K32" s="227"/>
    </row>
    <row r="33" spans="2:11" s="27" customFormat="1" ht="12.75" x14ac:dyDescent="0.2">
      <c r="B33" s="189"/>
      <c r="C33" s="34"/>
      <c r="D33" s="29"/>
      <c r="E33" s="29"/>
      <c r="F33" s="36"/>
      <c r="G33" s="76"/>
      <c r="H33" s="29"/>
      <c r="I33" s="229"/>
      <c r="J33" s="217"/>
      <c r="K33" s="227"/>
    </row>
    <row r="34" spans="2:11" s="27" customFormat="1" ht="12.75" x14ac:dyDescent="0.2">
      <c r="B34" s="189"/>
      <c r="C34" s="34"/>
      <c r="D34" s="29"/>
      <c r="E34" s="29"/>
      <c r="F34" s="36"/>
      <c r="G34" s="76"/>
      <c r="H34" s="29"/>
      <c r="I34" s="229"/>
      <c r="J34" s="217"/>
      <c r="K34" s="227"/>
    </row>
    <row r="35" spans="2:11" s="27" customFormat="1" ht="12.75" x14ac:dyDescent="0.2">
      <c r="B35" s="189"/>
      <c r="C35" s="34"/>
      <c r="D35" s="29"/>
      <c r="E35" s="29"/>
      <c r="F35" s="36"/>
      <c r="G35" s="76"/>
      <c r="H35" s="29"/>
      <c r="I35" s="229"/>
      <c r="J35" s="217"/>
      <c r="K35" s="227"/>
    </row>
    <row r="36" spans="2:11" s="27" customFormat="1" ht="20.25" customHeight="1" thickBot="1" x14ac:dyDescent="0.25">
      <c r="B36" s="190"/>
      <c r="C36" s="201"/>
      <c r="D36" s="192"/>
      <c r="E36" s="192"/>
      <c r="F36" s="206"/>
      <c r="G36" s="195"/>
      <c r="H36" s="192"/>
      <c r="I36" s="230"/>
      <c r="J36" s="218"/>
      <c r="K36" s="228"/>
    </row>
    <row r="37" spans="2:11" s="27" customFormat="1" ht="11.25" customHeight="1" thickBot="1" x14ac:dyDescent="0.25">
      <c r="B37" s="223"/>
      <c r="C37" s="224"/>
      <c r="D37" s="224"/>
      <c r="E37" s="224"/>
      <c r="F37" s="224"/>
      <c r="G37" s="224"/>
      <c r="H37" s="224"/>
      <c r="I37" s="224"/>
      <c r="J37" s="224"/>
      <c r="K37" s="225"/>
    </row>
    <row r="38" spans="2:11" s="27" customFormat="1" ht="30" customHeight="1" thickBot="1" x14ac:dyDescent="0.25">
      <c r="B38" s="66" t="s">
        <v>28</v>
      </c>
      <c r="C38" s="64" t="s">
        <v>61</v>
      </c>
      <c r="D38" s="64" t="s">
        <v>30</v>
      </c>
      <c r="E38" s="64" t="s">
        <v>26</v>
      </c>
      <c r="F38" s="64" t="s">
        <v>29</v>
      </c>
      <c r="G38" s="96" t="s">
        <v>14</v>
      </c>
      <c r="H38" s="141" t="s">
        <v>75</v>
      </c>
      <c r="I38" s="141" t="s">
        <v>74</v>
      </c>
      <c r="J38" s="142" t="s">
        <v>47</v>
      </c>
      <c r="K38" s="143" t="s">
        <v>48</v>
      </c>
    </row>
    <row r="39" spans="2:11" s="27" customFormat="1" ht="14.25" customHeight="1" x14ac:dyDescent="0.2">
      <c r="B39" s="188"/>
      <c r="C39" s="136"/>
      <c r="D39" s="137"/>
      <c r="E39" s="137"/>
      <c r="F39" s="138"/>
      <c r="G39" s="140"/>
      <c r="H39" s="122"/>
      <c r="I39" s="213"/>
      <c r="J39" s="216"/>
      <c r="K39" s="219"/>
    </row>
    <row r="40" spans="2:11" s="27" customFormat="1" ht="12.75" customHeight="1" x14ac:dyDescent="0.2">
      <c r="B40" s="189"/>
      <c r="C40" s="28"/>
      <c r="D40" s="29"/>
      <c r="E40" s="29"/>
      <c r="F40" s="37"/>
      <c r="G40" s="76"/>
      <c r="H40" s="77"/>
      <c r="I40" s="214"/>
      <c r="J40" s="217"/>
      <c r="K40" s="220"/>
    </row>
    <row r="41" spans="2:11" s="27" customFormat="1" ht="12.75" customHeight="1" x14ac:dyDescent="0.2">
      <c r="B41" s="189"/>
      <c r="C41" s="28"/>
      <c r="D41" s="29"/>
      <c r="E41" s="29"/>
      <c r="F41" s="37"/>
      <c r="G41" s="76"/>
      <c r="H41" s="77"/>
      <c r="I41" s="214"/>
      <c r="J41" s="217"/>
      <c r="K41" s="220"/>
    </row>
    <row r="42" spans="2:11" s="27" customFormat="1" ht="14.25" customHeight="1" x14ac:dyDescent="0.2">
      <c r="B42" s="189"/>
      <c r="C42" s="35"/>
      <c r="D42" s="29"/>
      <c r="E42" s="29"/>
      <c r="F42" s="37"/>
      <c r="G42" s="76"/>
      <c r="H42" s="77"/>
      <c r="I42" s="214"/>
      <c r="J42" s="217"/>
      <c r="K42" s="220"/>
    </row>
    <row r="43" spans="2:11" s="27" customFormat="1" ht="13.5" thickBot="1" x14ac:dyDescent="0.25">
      <c r="B43" s="197"/>
      <c r="C43" s="198"/>
      <c r="D43" s="192"/>
      <c r="E43" s="192"/>
      <c r="F43" s="193"/>
      <c r="G43" s="203"/>
      <c r="H43" s="196"/>
      <c r="I43" s="215"/>
      <c r="J43" s="218"/>
      <c r="K43" s="221"/>
    </row>
    <row r="44" spans="2:11" x14ac:dyDescent="0.25">
      <c r="K44"/>
    </row>
    <row r="45" spans="2:11" x14ac:dyDescent="0.25">
      <c r="K45"/>
    </row>
    <row r="46" spans="2:11" x14ac:dyDescent="0.25">
      <c r="K46"/>
    </row>
    <row r="47" spans="2:11" x14ac:dyDescent="0.25">
      <c r="K47"/>
    </row>
    <row r="48" spans="2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</sheetData>
  <mergeCells count="23">
    <mergeCell ref="B2:B6"/>
    <mergeCell ref="G6:I6"/>
    <mergeCell ref="I9:I18"/>
    <mergeCell ref="J9:J18"/>
    <mergeCell ref="K9:K18"/>
    <mergeCell ref="J6:K6"/>
    <mergeCell ref="C6:F6"/>
    <mergeCell ref="C5:K5"/>
    <mergeCell ref="C4:K4"/>
    <mergeCell ref="C3:K3"/>
    <mergeCell ref="C2:K2"/>
    <mergeCell ref="I39:I43"/>
    <mergeCell ref="J39:J43"/>
    <mergeCell ref="K39:K43"/>
    <mergeCell ref="B19:K19"/>
    <mergeCell ref="B37:K37"/>
    <mergeCell ref="I21:I26"/>
    <mergeCell ref="J21:J26"/>
    <mergeCell ref="K21:K26"/>
    <mergeCell ref="I29:I36"/>
    <mergeCell ref="J29:J36"/>
    <mergeCell ref="K29:K36"/>
    <mergeCell ref="B27:K27"/>
  </mergeCells>
  <conditionalFormatting sqref="K8:K18 K20:K26 K28:K36 K38:K39 K463:K1048576">
    <cfRule type="cellIs" dxfId="9" priority="4" operator="lessThanOrEqual">
      <formula>0.5</formula>
    </cfRule>
    <cfRule type="cellIs" dxfId="8" priority="5" operator="between">
      <formula>0.76</formula>
      <formula>1</formula>
    </cfRule>
    <cfRule type="cellIs" dxfId="7" priority="6" operator="between">
      <formula>0.51</formula>
      <formula>0.75</formula>
    </cfRule>
  </conditionalFormatting>
  <conditionalFormatting sqref="K8:K18 K20:K26 K28:K36 K38:K39">
    <cfRule type="cellIs" dxfId="6" priority="1" operator="between">
      <formula>0.8</formula>
      <formula>1</formula>
    </cfRule>
    <cfRule type="cellIs" dxfId="5" priority="2" operator="between">
      <formula>0.6</formula>
      <formula>0.79</formula>
    </cfRule>
    <cfRule type="cellIs" dxfId="4" priority="3" operator="lessThanOrEqual">
      <formula>0.59</formula>
    </cfRule>
  </conditionalFormatting>
  <conditionalFormatting sqref="K9:K18 K20:K26 K28:K36 K38:K39">
    <cfRule type="cellIs" dxfId="3" priority="8" operator="lessThanOrEqual">
      <formula>50</formula>
    </cfRule>
  </conditionalFormatting>
  <conditionalFormatting sqref="K9:K18">
    <cfRule type="colorScale" priority="38">
      <colorScale>
        <cfvo type="percent" val="40"/>
        <cfvo type="percent" val="50"/>
        <cfvo type="percent" val="60"/>
        <color rgb="FFF8696B"/>
        <color rgb="FFFFEB84"/>
        <color rgb="FF63BE7B"/>
      </colorScale>
    </cfRule>
    <cfRule type="colorScale" priority="39">
      <colorScale>
        <cfvo type="percentile" val="40"/>
        <cfvo type="percentile" val="50"/>
        <cfvo type="percent" val="60"/>
        <color rgb="FFF8696B"/>
        <color rgb="FFFFEB84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" priority="41" operator="between">
      <formula>0.6</formula>
      <formula>1</formula>
    </cfRule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" priority="43" operator="between">
      <formula>0.6</formula>
      <formula>1</formula>
    </cfRule>
  </conditionalFormatting>
  <conditionalFormatting sqref="K21:K26">
    <cfRule type="cellIs" dxfId="0" priority="7" operator="lessThan">
      <formula>0.5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14" scale="90" orientation="landscape" r:id="rId1"/>
  <headerFooter>
    <oddHeader xml:space="preserve">&amp;R
&amp;P                    .  </oddHeader>
  </headerFooter>
  <rowBreaks count="1" manualBreakCount="1">
    <brk id="2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5BFE-6B73-491A-ADF5-996B5CB834DB}">
  <sheetPr>
    <tabColor theme="8"/>
  </sheetPr>
  <dimension ref="G4:K32"/>
  <sheetViews>
    <sheetView topLeftCell="A10" workbookViewId="0">
      <selection activeCell="H8" sqref="H8"/>
    </sheetView>
  </sheetViews>
  <sheetFormatPr baseColWidth="10" defaultRowHeight="15" x14ac:dyDescent="0.25"/>
  <cols>
    <col min="7" max="7" width="32.85546875" customWidth="1"/>
    <col min="8" max="8" width="46.42578125" customWidth="1"/>
    <col min="9" max="9" width="17.5703125" customWidth="1"/>
    <col min="10" max="10" width="31.42578125" customWidth="1"/>
    <col min="11" max="11" width="50.140625" customWidth="1"/>
  </cols>
  <sheetData>
    <row r="4" spans="7:11" x14ac:dyDescent="0.25">
      <c r="G4" s="85" t="s">
        <v>51</v>
      </c>
      <c r="H4" s="85"/>
      <c r="I4" s="70">
        <v>1</v>
      </c>
      <c r="J4" s="75">
        <f>1*100/16</f>
        <v>6.25</v>
      </c>
      <c r="K4" t="s">
        <v>53</v>
      </c>
    </row>
    <row r="5" spans="7:11" x14ac:dyDescent="0.25">
      <c r="G5" s="86" t="s">
        <v>49</v>
      </c>
      <c r="H5" s="86"/>
      <c r="I5" s="70">
        <v>6</v>
      </c>
      <c r="J5" s="80">
        <f>6*100/16</f>
        <v>37.5</v>
      </c>
      <c r="K5" t="s">
        <v>52</v>
      </c>
    </row>
    <row r="6" spans="7:11" x14ac:dyDescent="0.25">
      <c r="G6" s="87" t="s">
        <v>50</v>
      </c>
      <c r="H6" s="87"/>
      <c r="I6" s="70">
        <v>9</v>
      </c>
      <c r="J6" s="80">
        <f>9*100/16</f>
        <v>56.25</v>
      </c>
      <c r="K6" t="s">
        <v>54</v>
      </c>
    </row>
    <row r="7" spans="7:11" x14ac:dyDescent="0.25">
      <c r="I7" s="47" t="s">
        <v>69</v>
      </c>
      <c r="J7" s="47">
        <v>100</v>
      </c>
    </row>
    <row r="8" spans="7:11" x14ac:dyDescent="0.25">
      <c r="I8" s="81"/>
    </row>
    <row r="11" spans="7:11" ht="15.75" thickBot="1" x14ac:dyDescent="0.3"/>
    <row r="12" spans="7:11" ht="30.75" thickBot="1" x14ac:dyDescent="0.3">
      <c r="G12" s="95" t="s">
        <v>73</v>
      </c>
      <c r="H12" s="90" t="s">
        <v>68</v>
      </c>
      <c r="I12" s="89" t="s">
        <v>64</v>
      </c>
      <c r="J12" s="88" t="s">
        <v>63</v>
      </c>
      <c r="K12" s="88" t="s">
        <v>58</v>
      </c>
    </row>
    <row r="13" spans="7:11" x14ac:dyDescent="0.25">
      <c r="G13" s="396" t="s">
        <v>55</v>
      </c>
      <c r="H13" s="91" t="s">
        <v>15</v>
      </c>
      <c r="I13" s="103">
        <v>0.75</v>
      </c>
      <c r="J13" s="390">
        <v>4</v>
      </c>
      <c r="K13" s="403">
        <f>AVERAGE(I13,I14,I15,I16)</f>
        <v>0.76649999999999996</v>
      </c>
    </row>
    <row r="14" spans="7:11" x14ac:dyDescent="0.25">
      <c r="G14" s="397"/>
      <c r="H14" t="s">
        <v>16</v>
      </c>
      <c r="I14" s="104">
        <v>0.91600000000000004</v>
      </c>
      <c r="J14" s="391"/>
      <c r="K14" s="404"/>
    </row>
    <row r="15" spans="7:11" x14ac:dyDescent="0.25">
      <c r="G15" s="397"/>
      <c r="H15" s="92" t="s">
        <v>18</v>
      </c>
      <c r="I15" s="105">
        <v>0.6</v>
      </c>
      <c r="J15" s="391"/>
      <c r="K15" s="404"/>
    </row>
    <row r="16" spans="7:11" ht="15.75" thickBot="1" x14ac:dyDescent="0.3">
      <c r="G16" s="398"/>
      <c r="H16" s="93" t="s">
        <v>24</v>
      </c>
      <c r="I16" s="106">
        <v>0.8</v>
      </c>
      <c r="J16" s="392"/>
      <c r="K16" s="405"/>
    </row>
    <row r="17" spans="7:11" x14ac:dyDescent="0.25">
      <c r="G17" s="406" t="s">
        <v>56</v>
      </c>
      <c r="H17" s="91" t="s">
        <v>65</v>
      </c>
      <c r="I17" s="107">
        <v>0.63300000000000001</v>
      </c>
      <c r="J17" s="390">
        <v>3</v>
      </c>
      <c r="K17" s="403">
        <f>AVERAGE(I17,I18,I19)</f>
        <v>0.82500000000000007</v>
      </c>
    </row>
    <row r="18" spans="7:11" x14ac:dyDescent="0.25">
      <c r="G18" s="407"/>
      <c r="H18" s="92" t="s">
        <v>23</v>
      </c>
      <c r="I18" s="105">
        <v>0.84199999999999997</v>
      </c>
      <c r="J18" s="391"/>
      <c r="K18" s="404"/>
    </row>
    <row r="19" spans="7:11" ht="15.75" thickBot="1" x14ac:dyDescent="0.3">
      <c r="G19" s="408"/>
      <c r="H19" s="93" t="s">
        <v>19</v>
      </c>
      <c r="I19" s="106">
        <v>1</v>
      </c>
      <c r="J19" s="392"/>
      <c r="K19" s="405"/>
    </row>
    <row r="20" spans="7:11" ht="30" x14ac:dyDescent="0.25">
      <c r="G20" s="396" t="s">
        <v>57</v>
      </c>
      <c r="H20" s="94" t="s">
        <v>20</v>
      </c>
      <c r="I20" s="111">
        <v>0.82599999999999996</v>
      </c>
      <c r="J20" s="390">
        <v>5</v>
      </c>
      <c r="K20" s="393">
        <f>AVERAGE(I20,I21,I22,I23,I24)</f>
        <v>0.71840000000000004</v>
      </c>
    </row>
    <row r="21" spans="7:11" x14ac:dyDescent="0.25">
      <c r="G21" s="397"/>
      <c r="H21" s="92" t="s">
        <v>21</v>
      </c>
      <c r="I21" s="105">
        <v>1</v>
      </c>
      <c r="J21" s="391"/>
      <c r="K21" s="394"/>
    </row>
    <row r="22" spans="7:11" x14ac:dyDescent="0.25">
      <c r="G22" s="397"/>
      <c r="H22" s="92" t="s">
        <v>32</v>
      </c>
      <c r="I22" s="105">
        <v>0.6</v>
      </c>
      <c r="J22" s="391"/>
      <c r="K22" s="394"/>
    </row>
    <row r="23" spans="7:11" x14ac:dyDescent="0.25">
      <c r="G23" s="397"/>
      <c r="H23" s="92" t="s">
        <v>17</v>
      </c>
      <c r="I23" s="105">
        <v>0.5</v>
      </c>
      <c r="J23" s="391"/>
      <c r="K23" s="394"/>
    </row>
    <row r="24" spans="7:11" ht="15.75" thickBot="1" x14ac:dyDescent="0.3">
      <c r="G24" s="398"/>
      <c r="H24" s="93" t="s">
        <v>22</v>
      </c>
      <c r="I24" s="106">
        <v>0.66600000000000004</v>
      </c>
      <c r="J24" s="392"/>
      <c r="K24" s="395"/>
    </row>
    <row r="25" spans="7:11" x14ac:dyDescent="0.25">
      <c r="G25" s="401" t="s">
        <v>66</v>
      </c>
      <c r="H25" s="117" t="s">
        <v>67</v>
      </c>
      <c r="I25" s="115">
        <v>0.9</v>
      </c>
      <c r="J25" s="391">
        <v>4</v>
      </c>
      <c r="K25" s="399" t="e">
        <f>AVERAGE('GESTIÓN TECNOLÓGICA Y DIGIT'!K9:K18,'GESTIÓN TECNOLÓGICA Y DIGIT'!K21:K26,'GESTIÓN TECNOLÓGICA Y DIGIT'!K29:K36,'GESTIÓN TECNOLÓGICA Y DIGIT'!K39:K42)</f>
        <v>#DIV/0!</v>
      </c>
    </row>
    <row r="26" spans="7:11" x14ac:dyDescent="0.25">
      <c r="G26" s="397"/>
      <c r="H26" s="118" t="s">
        <v>59</v>
      </c>
      <c r="I26" s="116">
        <v>0.91600000000000004</v>
      </c>
      <c r="J26" s="391"/>
      <c r="K26" s="400"/>
    </row>
    <row r="27" spans="7:11" x14ac:dyDescent="0.25">
      <c r="G27" s="397"/>
      <c r="H27" s="118" t="s">
        <v>60</v>
      </c>
      <c r="I27" s="116">
        <v>0.69</v>
      </c>
      <c r="J27" s="391"/>
      <c r="K27" s="400"/>
    </row>
    <row r="28" spans="7:11" ht="15.75" thickBot="1" x14ac:dyDescent="0.3">
      <c r="G28" s="398"/>
      <c r="H28" s="119" t="s">
        <v>61</v>
      </c>
      <c r="I28" s="116">
        <v>0.875</v>
      </c>
      <c r="J28" s="402"/>
      <c r="K28" s="400"/>
    </row>
    <row r="29" spans="7:11" x14ac:dyDescent="0.25">
      <c r="I29" s="112">
        <f>AVERAGE(I13:I28)</f>
        <v>0.78212499999999996</v>
      </c>
      <c r="J29" s="113"/>
      <c r="K29" s="114" t="e">
        <f>AVERAGE(K13:K28)</f>
        <v>#DIV/0!</v>
      </c>
    </row>
    <row r="32" spans="7:11" x14ac:dyDescent="0.25">
      <c r="G32" t="s">
        <v>71</v>
      </c>
      <c r="H32" t="s">
        <v>72</v>
      </c>
    </row>
  </sheetData>
  <mergeCells count="12">
    <mergeCell ref="G13:G16"/>
    <mergeCell ref="J13:J16"/>
    <mergeCell ref="K13:K16"/>
    <mergeCell ref="J17:J19"/>
    <mergeCell ref="K17:K19"/>
    <mergeCell ref="G17:G19"/>
    <mergeCell ref="J20:J24"/>
    <mergeCell ref="K20:K24"/>
    <mergeCell ref="G20:G24"/>
    <mergeCell ref="K25:K28"/>
    <mergeCell ref="G25:G28"/>
    <mergeCell ref="J25:J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5</vt:i4>
      </vt:variant>
    </vt:vector>
  </HeadingPairs>
  <TitlesOfParts>
    <vt:vector size="13" baseType="lpstr">
      <vt:lpstr>INTRODUCCIÓN</vt:lpstr>
      <vt:lpstr>IDENTIFICACIÓN</vt:lpstr>
      <vt:lpstr>EQUIPO DE TRABAJO</vt:lpstr>
      <vt:lpstr>ASPECTOS ADMINISTRATIVOS</vt:lpstr>
      <vt:lpstr>ASPECTOS DE FUNCIÓN ARCHIVÍSTIC</vt:lpstr>
      <vt:lpstr>ASPECTOS DE PRESERVACIÓN</vt:lpstr>
      <vt:lpstr>GESTIÓN TECNOLÓGICA Y DIGIT</vt:lpstr>
      <vt:lpstr>ANALISIS DE RESULTADOS</vt:lpstr>
      <vt:lpstr>'ASPECTOS ADMINISTRATIVOS'!Área_de_impresión</vt:lpstr>
      <vt:lpstr>'ASPECTOS DE FUNCIÓN ARCHIVÍSTIC'!Área_de_impresión</vt:lpstr>
      <vt:lpstr>'ASPECTOS DE FUNCIÓN ARCHIVÍSTIC'!Títulos_a_imprimir</vt:lpstr>
      <vt:lpstr>'ASPECTOS DE PRESERVACIÓN'!Títulos_a_imprimir</vt:lpstr>
      <vt:lpstr>'GESTIÓN TECNOLÓGICA Y DIGIT'!Títulos_a_imprimir</vt:lpstr>
    </vt:vector>
  </TitlesOfParts>
  <Company>Daniel Isaacs Coral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 DE DIAGNÓSTICO INTEGRAL DE ARCHIVOS</dc:title>
  <dc:creator>Daniel Isaacs Coral</dc:creator>
  <cp:keywords>Modelo para uso entidades Chocó</cp:keywords>
  <cp:lastModifiedBy>concejo chia</cp:lastModifiedBy>
  <cp:lastPrinted>2026-03-05T17:49:10Z</cp:lastPrinted>
  <dcterms:created xsi:type="dcterms:W3CDTF">2015-07-04T23:29:07Z</dcterms:created>
  <dcterms:modified xsi:type="dcterms:W3CDTF">2026-03-26T16:56:01Z</dcterms:modified>
</cp:coreProperties>
</file>