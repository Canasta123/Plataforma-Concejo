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30.30.30.51\compartida\SGC CONCEJO CHIA\5. Procesos  SGC\7. GESTIÓN DOCUMENTAL  Y TECNOLOGIAS DE LA INFORMACIÓN\3. Formatos\3.1 Formatos - Gestión Documental\005_HOJ_CONTROL\"/>
    </mc:Choice>
  </mc:AlternateContent>
  <xr:revisionPtr revIDLastSave="0" documentId="13_ncr:1_{4E672BE5-28A1-4702-87E6-3EDB922DD0CD}" xr6:coauthVersionLast="47" xr6:coauthVersionMax="47" xr10:uidLastSave="{00000000-0000-0000-0000-000000000000}"/>
  <bookViews>
    <workbookView xWindow="-120" yWindow="-120" windowWidth="24240" windowHeight="13140" xr2:uid="{00000000-000D-0000-FFFF-FFFF00000000}"/>
  </bookViews>
  <sheets>
    <sheet name="HOJA 1" sheetId="1" r:id="rId1"/>
    <sheet name="LISTAS DESPLEGABLES" sheetId="2" state="hidden" r:id="rId2"/>
  </sheets>
  <definedNames>
    <definedName name="_xlnm._FilterDatabase" localSheetId="1" hidden="1">'LISTAS DESPLEGABLES'!$N$13:$O$179</definedName>
    <definedName name="DEPENDENCIAS">'LISTAS DESPLEGABLES'!$N$6:$O$10</definedName>
    <definedName name="SERIES">'LISTAS DESPLEGABLES'!$D$265:$E$304</definedName>
    <definedName name="SUBSECCION">'LISTAS DESPLEGABLES'!$F$7:$G$20</definedName>
    <definedName name="SUBSERIES">Tabla5[#All]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J11" i="1" l="1"/>
  <c r="J10" i="1"/>
  <c r="J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8" authorId="0" shapeId="0" xr:uid="{00000000-0006-0000-0000-000001000000}">
      <text>
        <r>
          <rPr>
            <b/>
            <sz val="9"/>
            <color indexed="81"/>
            <rFont val="Tahoma"/>
            <family val="2"/>
          </rPr>
          <t>User:</t>
        </r>
        <r>
          <rPr>
            <sz val="9"/>
            <color indexed="81"/>
            <rFont val="Tahoma"/>
            <family val="2"/>
          </rPr>
          <t xml:space="preserve">
Diligencie la dependencia a la que pertnece el archivo</t>
        </r>
      </text>
    </comment>
    <comment ref="B9" authorId="0" shapeId="0" xr:uid="{00000000-0006-0000-0000-000002000000}">
      <text>
        <r>
          <rPr>
            <b/>
            <sz val="9"/>
            <color indexed="81"/>
            <rFont val="Tahoma"/>
            <family val="2"/>
          </rPr>
          <t>User:</t>
        </r>
        <r>
          <rPr>
            <sz val="9"/>
            <color indexed="81"/>
            <rFont val="Tahoma"/>
            <family val="2"/>
          </rPr>
          <t xml:space="preserve">
ubique el proceso o unidad que produce los documentos</t>
        </r>
      </text>
    </comment>
    <comment ref="A10" authorId="0" shapeId="0" xr:uid="{00000000-0006-0000-0000-000003000000}">
      <text>
        <r>
          <rPr>
            <b/>
            <sz val="9"/>
            <color indexed="81"/>
            <rFont val="Tahoma"/>
            <family val="2"/>
          </rPr>
          <t>User:</t>
        </r>
        <r>
          <rPr>
            <sz val="9"/>
            <color indexed="81"/>
            <rFont val="Tahoma"/>
            <family val="2"/>
          </rPr>
          <t xml:space="preserve">
Identifiquela en la TRD de su area </t>
        </r>
      </text>
    </comment>
    <comment ref="B13" authorId="0" shapeId="0" xr:uid="{00000000-0006-0000-0000-000004000000}">
      <text>
        <r>
          <rPr>
            <b/>
            <sz val="9"/>
            <color indexed="81"/>
            <rFont val="Tahoma"/>
            <family val="2"/>
          </rPr>
          <t>User:</t>
        </r>
        <r>
          <rPr>
            <sz val="9"/>
            <color indexed="81"/>
            <rFont val="Tahoma"/>
            <family val="2"/>
          </rPr>
          <t xml:space="preserve">
Indique el nombre del documento que va a enlistar ej: invitación, hoja de vida, certificado...</t>
        </r>
      </text>
    </comment>
    <comment ref="C13" authorId="0" shapeId="0" xr:uid="{00000000-0006-0000-0000-000005000000}">
      <text>
        <r>
          <rPr>
            <b/>
            <sz val="9"/>
            <color indexed="81"/>
            <rFont val="Tahoma"/>
            <family val="2"/>
          </rPr>
          <t>User:</t>
        </r>
        <r>
          <rPr>
            <sz val="9"/>
            <color indexed="81"/>
            <rFont val="Tahoma"/>
            <family val="2"/>
          </rPr>
          <t xml:space="preserve">
Indique la fecha que tiene el documento </t>
        </r>
      </text>
    </comment>
    <comment ref="F13" authorId="0" shapeId="0" xr:uid="{00000000-0006-0000-0000-000006000000}">
      <text>
        <r>
          <rPr>
            <b/>
            <sz val="9"/>
            <color indexed="81"/>
            <rFont val="Tahoma"/>
            <family val="2"/>
          </rPr>
          <t>User:</t>
        </r>
        <r>
          <rPr>
            <sz val="9"/>
            <color indexed="81"/>
            <rFont val="Tahoma"/>
            <family val="2"/>
          </rPr>
          <t xml:space="preserve">
Indique el numero total que conforma el tipo doumental en este caso se calcula mediante la formula.</t>
        </r>
      </text>
    </comment>
    <comment ref="G13" authorId="0" shapeId="0" xr:uid="{00000000-0006-0000-0000-000007000000}">
      <text>
        <r>
          <rPr>
            <b/>
            <sz val="9"/>
            <color indexed="81"/>
            <rFont val="Tahoma"/>
            <family val="2"/>
          </rPr>
          <t>User:</t>
        </r>
        <r>
          <rPr>
            <sz val="9"/>
            <color indexed="81"/>
            <rFont val="Tahoma"/>
            <family val="2"/>
          </rPr>
          <t xml:space="preserve">
Indique en que soportre esta el tipo documental</t>
        </r>
      </text>
    </comment>
    <comment ref="I13" authorId="0" shapeId="0" xr:uid="{00000000-0006-0000-0000-000008000000}">
      <text>
        <r>
          <rPr>
            <b/>
            <sz val="9"/>
            <color indexed="81"/>
            <rFont val="Tahoma"/>
            <family val="2"/>
          </rPr>
          <t>User:</t>
        </r>
        <r>
          <rPr>
            <sz val="9"/>
            <color indexed="81"/>
            <rFont val="Tahoma"/>
            <family val="2"/>
          </rPr>
          <t xml:space="preserve">
Indique si se encuentra en mal estado, sin frimas, o la ruta o soporte de ubocacion usb, cd, etc.</t>
        </r>
      </text>
    </comment>
    <comment ref="D14" authorId="0" shapeId="0" xr:uid="{00000000-0006-0000-0000-000009000000}">
      <text>
        <r>
          <rPr>
            <b/>
            <sz val="9"/>
            <color indexed="81"/>
            <rFont val="Tahoma"/>
            <family val="2"/>
          </rPr>
          <t>User:</t>
        </r>
        <r>
          <rPr>
            <sz val="9"/>
            <color indexed="81"/>
            <rFont val="Tahoma"/>
            <family val="2"/>
          </rPr>
          <t xml:space="preserve">
indique el # de folio en el que inicia el tipo documental ej: 4</t>
        </r>
      </text>
    </comment>
    <comment ref="E14" authorId="0" shapeId="0" xr:uid="{00000000-0006-0000-0000-00000A000000}">
      <text>
        <r>
          <rPr>
            <b/>
            <sz val="9"/>
            <color indexed="81"/>
            <rFont val="Tahoma"/>
            <family val="2"/>
          </rPr>
          <t>User:</t>
        </r>
        <r>
          <rPr>
            <sz val="9"/>
            <color indexed="81"/>
            <rFont val="Tahoma"/>
            <family val="2"/>
          </rPr>
          <t xml:space="preserve">
Indique el numero de folio en el que termina el tipo documental ej: 5</t>
        </r>
      </text>
    </comment>
    <comment ref="A45" authorId="0" shapeId="0" xr:uid="{00000000-0006-0000-0000-00000B000000}">
      <text>
        <r>
          <rPr>
            <b/>
            <sz val="9"/>
            <color indexed="81"/>
            <rFont val="Tahoma"/>
            <family val="2"/>
          </rPr>
          <t>User:</t>
        </r>
        <r>
          <rPr>
            <sz val="9"/>
            <color indexed="81"/>
            <rFont val="Tahoma"/>
            <family val="2"/>
          </rPr>
          <t xml:space="preserve">
se indica esta siga cuando no se conoce le fecha del documento en la lista.</t>
        </r>
      </text>
    </comment>
    <comment ref="A46" authorId="0" shapeId="0" xr:uid="{00000000-0006-0000-0000-00000C000000}">
      <text>
        <r>
          <rPr>
            <b/>
            <sz val="9"/>
            <color indexed="81"/>
            <rFont val="Tahoma"/>
            <family val="2"/>
          </rPr>
          <t>User:</t>
        </r>
        <r>
          <rPr>
            <sz val="9"/>
            <color indexed="81"/>
            <rFont val="Tahoma"/>
            <family val="2"/>
          </rPr>
          <t xml:space="preserve">
Indique el nombre</t>
        </r>
      </text>
    </comment>
    <comment ref="H46" authorId="0" shapeId="0" xr:uid="{00000000-0006-0000-0000-00000D000000}">
      <text>
        <r>
          <rPr>
            <b/>
            <sz val="9"/>
            <color indexed="81"/>
            <rFont val="Tahoma"/>
            <family val="2"/>
          </rPr>
          <t>User:</t>
        </r>
        <r>
          <rPr>
            <sz val="9"/>
            <color indexed="81"/>
            <rFont val="Tahoma"/>
            <family val="2"/>
          </rPr>
          <t xml:space="preserve">
Indique el cargo</t>
        </r>
      </text>
    </comment>
    <comment ref="A48" authorId="0" shapeId="0" xr:uid="{00000000-0006-0000-0000-00000E000000}">
      <text>
        <r>
          <rPr>
            <b/>
            <sz val="9"/>
            <color indexed="81"/>
            <rFont val="Tahoma"/>
            <family val="2"/>
          </rPr>
          <t>User:</t>
        </r>
        <r>
          <rPr>
            <sz val="9"/>
            <color indexed="81"/>
            <rFont val="Tahoma"/>
            <family val="2"/>
          </rPr>
          <t xml:space="preserve">
Indique la fecha de diligenciamiento del formato</t>
        </r>
      </text>
    </comment>
  </commentList>
</comments>
</file>

<file path=xl/sharedStrings.xml><?xml version="1.0" encoding="utf-8"?>
<sst xmlns="http://schemas.openxmlformats.org/spreadsheetml/2006/main" count="1072" uniqueCount="297">
  <si>
    <t>DD/MM/AAAA</t>
  </si>
  <si>
    <t>FECHA DE DILIGENCIAMIENTO:</t>
  </si>
  <si>
    <t xml:space="preserve">FIRMA: </t>
  </si>
  <si>
    <t>Cargo:</t>
  </si>
  <si>
    <t>ELABORÓ:</t>
  </si>
  <si>
    <t>SIN FECHA</t>
  </si>
  <si>
    <t>S/F</t>
  </si>
  <si>
    <t xml:space="preserve">CONVENCIONES </t>
  </si>
  <si>
    <t>029</t>
  </si>
  <si>
    <t>028</t>
  </si>
  <si>
    <t>027</t>
  </si>
  <si>
    <t>026</t>
  </si>
  <si>
    <t>025</t>
  </si>
  <si>
    <t>024</t>
  </si>
  <si>
    <t>023</t>
  </si>
  <si>
    <t>022</t>
  </si>
  <si>
    <t>021</t>
  </si>
  <si>
    <t>020</t>
  </si>
  <si>
    <t>019</t>
  </si>
  <si>
    <t>018</t>
  </si>
  <si>
    <t>017</t>
  </si>
  <si>
    <t>016</t>
  </si>
  <si>
    <t>015</t>
  </si>
  <si>
    <t>014</t>
  </si>
  <si>
    <t>013</t>
  </si>
  <si>
    <t>012</t>
  </si>
  <si>
    <t>011</t>
  </si>
  <si>
    <t>010</t>
  </si>
  <si>
    <t>009</t>
  </si>
  <si>
    <t>008</t>
  </si>
  <si>
    <t>007</t>
  </si>
  <si>
    <t>006</t>
  </si>
  <si>
    <t>005</t>
  </si>
  <si>
    <t>004</t>
  </si>
  <si>
    <t>003</t>
  </si>
  <si>
    <t>002</t>
  </si>
  <si>
    <t>001</t>
  </si>
  <si>
    <t>ELECTRONÍCO</t>
  </si>
  <si>
    <t>FINAL</t>
  </si>
  <si>
    <t>INICIAL</t>
  </si>
  <si>
    <t>SOPORTE</t>
  </si>
  <si>
    <t>TOTAL FOLIOS TIPO DOCUMENTAL</t>
  </si>
  <si>
    <t>FOLIOS</t>
  </si>
  <si>
    <t>FECHA DEL DOCUMENTO</t>
  </si>
  <si>
    <t>TIPO DOCUMENTAL
(Nombre del documento)</t>
  </si>
  <si>
    <t>No.</t>
  </si>
  <si>
    <t>Código</t>
  </si>
  <si>
    <t>SUBSERIE DOCUMENTAL:</t>
  </si>
  <si>
    <t>SERIE:</t>
  </si>
  <si>
    <t>UNIDAD PRODUCTORA:</t>
  </si>
  <si>
    <t>DEPENDENCIA:</t>
  </si>
  <si>
    <t>VERSIÓN: 06</t>
  </si>
  <si>
    <t>CONCEJO MUNICIPAL DE CHÍA</t>
  </si>
  <si>
    <t>SISTEMA DE GESTIÓN DE CALIDAD</t>
  </si>
  <si>
    <t>Página 1 DE 1</t>
  </si>
  <si>
    <t>DEPENDENCIA SECCION</t>
  </si>
  <si>
    <t>CODIGO</t>
  </si>
  <si>
    <t>OFICINA DE CONTROL INTERNO</t>
  </si>
  <si>
    <t>OFICINA ASESORA DE PRENSA Y COMUNICACIONES</t>
  </si>
  <si>
    <t>SECRETARIA GENERAL</t>
  </si>
  <si>
    <t>DIRECCIÓN ADMINISTRATIVA Y FINANCIERA</t>
  </si>
  <si>
    <t>OFICINA PRODUCTORA SUBSECCION:</t>
  </si>
  <si>
    <t>GESTION JURIDICA</t>
  </si>
  <si>
    <t xml:space="preserve">GESTION DE RECURSOS FISICOS  TECNOLOGICOS </t>
  </si>
  <si>
    <t>GESTION DEL TALENTO HUMANO</t>
  </si>
  <si>
    <t xml:space="preserve">GESTION DOCUMENTAL </t>
  </si>
  <si>
    <t>SALUD Y SEGURIDAD EN EL TRABAJO</t>
  </si>
  <si>
    <t>PLANEACION Y DIRECCIONAMIENTO ESTRATEGICO</t>
  </si>
  <si>
    <t xml:space="preserve">GESTION DE TRECNOLOGIAS DE LA  INFORMACION </t>
  </si>
  <si>
    <t>GESTION DE GESTION DE  CALIDAD</t>
  </si>
  <si>
    <t>GESTION CONTRACTUAL</t>
  </si>
  <si>
    <t>VENTANILLA UNICA</t>
  </si>
  <si>
    <t>N/A</t>
  </si>
  <si>
    <t>NOMBRE DE LA SERIE, SUBSERIE O ASUNTOS</t>
  </si>
  <si>
    <t>ACTAS</t>
  </si>
  <si>
    <t>ACTOS ADMINISTRATIVOS</t>
  </si>
  <si>
    <t>AUDITORIAS</t>
  </si>
  <si>
    <t>INFORMES</t>
  </si>
  <si>
    <t>TRANSFERENCIAS DOCUMENTALES</t>
  </si>
  <si>
    <t>SISTEMA DE GESTION DE CALIDAD</t>
  </si>
  <si>
    <t>IMAGEN CORPORATIVA</t>
  </si>
  <si>
    <t>INFORMACIÓN INSTITUCIONAL</t>
  </si>
  <si>
    <t>ACUERDOS MUNICIPALES</t>
  </si>
  <si>
    <t>CERTIFICACIONES</t>
  </si>
  <si>
    <t>LIBROS</t>
  </si>
  <si>
    <t>PROPOSICIONES</t>
  </si>
  <si>
    <t>PROYECTOS DE ACUERDO ARCHIVADOS. NEGADOS Y RETIRADOS</t>
  </si>
  <si>
    <t>PUBLICACIONES INSTITUCIONALES</t>
  </si>
  <si>
    <t>MECANISMO PARTICIPACION CIUDADANA</t>
  </si>
  <si>
    <t>COMPROBANTES DE ALMACÉN</t>
  </si>
  <si>
    <t>CONCILIACIONES BANCARIAS</t>
  </si>
  <si>
    <t>CONTRATOS</t>
  </si>
  <si>
    <t>CONVENIOS</t>
  </si>
  <si>
    <t>DECLARACIONES TRIBUTARIAS</t>
  </si>
  <si>
    <t>DERECHOS DE PETICIÓN. QUEJAS. RECLAMOS. SUGERENCIAS Y DENUNCIAS</t>
  </si>
  <si>
    <t>HISTORIAS LABORALES</t>
  </si>
  <si>
    <t>INSTRUMENTOS ARCHIVISTICOS</t>
  </si>
  <si>
    <t>INSTRUMENTOS DE CONTROL</t>
  </si>
  <si>
    <t>LIBROS CONTABLE AUXILIARES</t>
  </si>
  <si>
    <t>LIBROS CONTABLES PRINCIPALES</t>
  </si>
  <si>
    <t>MANUAL</t>
  </si>
  <si>
    <t>NOMINA</t>
  </si>
  <si>
    <t>PAGOS</t>
  </si>
  <si>
    <t>PRESUPUESTO DE GASTO DE FUNCIONAMIENTO</t>
  </si>
  <si>
    <t>PROCESOS</t>
  </si>
  <si>
    <t>PROGRAMAS</t>
  </si>
  <si>
    <t>SISTEMA DE GESTIÓN DE LA SEGURIDAD Y LA SALUD EN EL TRABAJO</t>
  </si>
  <si>
    <t>SISTEMAS DE INFORMACIÓN</t>
  </si>
  <si>
    <t>TRASLADOS PRESUPUESTALES</t>
  </si>
  <si>
    <t>INFORMACIÓN FINANCIERA</t>
  </si>
  <si>
    <t>CONCEPTOS</t>
  </si>
  <si>
    <t>INVENTARIOS</t>
  </si>
  <si>
    <t>Actas de Comité de Control Interno</t>
  </si>
  <si>
    <t>1.4</t>
  </si>
  <si>
    <t xml:space="preserve">Circulares </t>
  </si>
  <si>
    <t>2.1</t>
  </si>
  <si>
    <t>Auditoria Interna</t>
  </si>
  <si>
    <t>4.1</t>
  </si>
  <si>
    <t>Auditoria Externa</t>
  </si>
  <si>
    <t>4.2</t>
  </si>
  <si>
    <t>Informe a Entes de Control</t>
  </si>
  <si>
    <t>15.1</t>
  </si>
  <si>
    <t>Informe de Auditoría del Sistema de Gestión de Calidad</t>
  </si>
  <si>
    <t>15.2</t>
  </si>
  <si>
    <t>Informe de Gestión</t>
  </si>
  <si>
    <t>15.4</t>
  </si>
  <si>
    <t>Informe de Seguimiento a Derechos de Petición y PQRS</t>
  </si>
  <si>
    <t>15.5</t>
  </si>
  <si>
    <t>Informe de Seguimiento a Mapas de Riesgo</t>
  </si>
  <si>
    <t>15.6</t>
  </si>
  <si>
    <t>Informe de Seguimiento de Controles de Advertencia</t>
  </si>
  <si>
    <t>15.7</t>
  </si>
  <si>
    <t>Informes Ejecutivos Anuales de Evaluación al Sistema de Control Interno</t>
  </si>
  <si>
    <t>15.8</t>
  </si>
  <si>
    <t>Informes Pormenorizados del Estado de Control Interno</t>
  </si>
  <si>
    <t>15.10</t>
  </si>
  <si>
    <t>Transferencia Documental Primaria</t>
  </si>
  <si>
    <t>33.1</t>
  </si>
  <si>
    <t>Sistema de Gestión de Calidad OCI</t>
  </si>
  <si>
    <t>38.1</t>
  </si>
  <si>
    <t>Sistema de Gestión de Calidad OAPC</t>
  </si>
  <si>
    <t>38.2</t>
  </si>
  <si>
    <t>Actas de Comisión Accidental y de Ética</t>
  </si>
  <si>
    <t>1.1</t>
  </si>
  <si>
    <t>Actas de Comisión Permanente</t>
  </si>
  <si>
    <t>1.2</t>
  </si>
  <si>
    <t>Actas de Posesion</t>
  </si>
  <si>
    <t>1.6</t>
  </si>
  <si>
    <t>Actas Sesión Plenaria</t>
  </si>
  <si>
    <t>1.7</t>
  </si>
  <si>
    <t>Certificados de Asistencia de Concejales</t>
  </si>
  <si>
    <t>5.1</t>
  </si>
  <si>
    <t>Certificados de Documentos</t>
  </si>
  <si>
    <t>5.2</t>
  </si>
  <si>
    <t>Certificados de Honorarios</t>
  </si>
  <si>
    <t>5.3</t>
  </si>
  <si>
    <t>Informes de Gestión</t>
  </si>
  <si>
    <t>Libros de Registro de Inscripciones de Participación Ciudadana</t>
  </si>
  <si>
    <t>18.1</t>
  </si>
  <si>
    <t>Libros de Intéres de Concejales</t>
  </si>
  <si>
    <t>18.2</t>
  </si>
  <si>
    <t>Gaceta Municipal</t>
  </si>
  <si>
    <t>29.1</t>
  </si>
  <si>
    <t>Cabildo Abierto</t>
  </si>
  <si>
    <t>35.1</t>
  </si>
  <si>
    <t>Sistema de Gestión de Calidad SG</t>
  </si>
  <si>
    <t>38.3</t>
  </si>
  <si>
    <t>Actas de Comisión de Personal</t>
  </si>
  <si>
    <t>1.3</t>
  </si>
  <si>
    <t>Actas de Comité Interno de Archivo</t>
  </si>
  <si>
    <t>1.5</t>
  </si>
  <si>
    <t>Comprobantes de Baja de bienes de Almacén</t>
  </si>
  <si>
    <t>6.1</t>
  </si>
  <si>
    <t>Comprobantes de Egreso de bienes de Almacén</t>
  </si>
  <si>
    <t>6.2</t>
  </si>
  <si>
    <t>Comprobantes de Ingreso de bienes de Almacén</t>
  </si>
  <si>
    <t>6.3</t>
  </si>
  <si>
    <t>Inventario general de bienes devolutivos y de consumo</t>
  </si>
  <si>
    <t>6.4</t>
  </si>
  <si>
    <t>Contratación Directa</t>
  </si>
  <si>
    <t>8.1</t>
  </si>
  <si>
    <t>Contratos de Mínima Cuantía</t>
  </si>
  <si>
    <t>8.2</t>
  </si>
  <si>
    <t>Contratos de Prestación de Servicios</t>
  </si>
  <si>
    <t>8.3</t>
  </si>
  <si>
    <t>Contratos de Subasta Inversa Presencial</t>
  </si>
  <si>
    <t>8.4</t>
  </si>
  <si>
    <t>Convenios Interadministrativos</t>
  </si>
  <si>
    <t>9.1</t>
  </si>
  <si>
    <t>Declaraciones de Retención de Industria y Comercio</t>
  </si>
  <si>
    <t>10.1</t>
  </si>
  <si>
    <t>Declaraciones de Retenciones en la Fuente</t>
  </si>
  <si>
    <t>10.2</t>
  </si>
  <si>
    <t>Estampilla Gerontológico</t>
  </si>
  <si>
    <t>10.3</t>
  </si>
  <si>
    <t>Estampilla Procultura</t>
  </si>
  <si>
    <t>10.4</t>
  </si>
  <si>
    <t>Informes a Entes de Control</t>
  </si>
  <si>
    <t>Informe de Ejecución presupuestal</t>
  </si>
  <si>
    <t>15.3</t>
  </si>
  <si>
    <t>Informe de Gestíón</t>
  </si>
  <si>
    <t>Informe Financiero y Contable</t>
  </si>
  <si>
    <t>15.9</t>
  </si>
  <si>
    <t>Informe a otros organismos del Estado</t>
  </si>
  <si>
    <t>15.11</t>
  </si>
  <si>
    <t>Planes Institucionales de Archivo - PINAR</t>
  </si>
  <si>
    <t>16.1</t>
  </si>
  <si>
    <t>Programa de Gestión Documetal - PGD</t>
  </si>
  <si>
    <t>16.2</t>
  </si>
  <si>
    <t>Tablas de Retención Documental</t>
  </si>
  <si>
    <t>16.3</t>
  </si>
  <si>
    <t>Instrumentos de Control de Comunicaciones Oficiales</t>
  </si>
  <si>
    <t>17.1</t>
  </si>
  <si>
    <t>Libro Diario</t>
  </si>
  <si>
    <t>20.1</t>
  </si>
  <si>
    <t>Libro Mayor</t>
  </si>
  <si>
    <t>20.2</t>
  </si>
  <si>
    <t>Manual de Contratación</t>
  </si>
  <si>
    <t>21.1</t>
  </si>
  <si>
    <t>Manual de Procesos y procedimientos</t>
  </si>
  <si>
    <t>21.2</t>
  </si>
  <si>
    <t>Manual Específico de Funciones. requisitos y Competencias laborales</t>
  </si>
  <si>
    <t>21.3</t>
  </si>
  <si>
    <t>Pagos de Servicios Públicos</t>
  </si>
  <si>
    <t>23.1</t>
  </si>
  <si>
    <t>EPS de Concejales</t>
  </si>
  <si>
    <t>23.2</t>
  </si>
  <si>
    <t>Honorarios a Concejales</t>
  </si>
  <si>
    <t>23.3</t>
  </si>
  <si>
    <t>Presupuesto de gasto de funcionamiento</t>
  </si>
  <si>
    <t>24.1</t>
  </si>
  <si>
    <t>Reducciones Presupuesto</t>
  </si>
  <si>
    <t>24.2</t>
  </si>
  <si>
    <t>Procesos Disciplinarios</t>
  </si>
  <si>
    <t>25.1</t>
  </si>
  <si>
    <t>Procesos Judiciales</t>
  </si>
  <si>
    <t>25.2</t>
  </si>
  <si>
    <t>Programas de Bienestar Social</t>
  </si>
  <si>
    <t>26.1</t>
  </si>
  <si>
    <t>Actas de Comité de Convivencia Laboral</t>
  </si>
  <si>
    <t>31.1</t>
  </si>
  <si>
    <t xml:space="preserve">Actas de Comité Paritario de Salud  Ocupacional - COPASST Vigia </t>
  </si>
  <si>
    <t>31.2</t>
  </si>
  <si>
    <t>Informe de Enfermedades Laborales. incidentes y Accidentes de Trabajo</t>
  </si>
  <si>
    <t>31.3</t>
  </si>
  <si>
    <t>Informe de Evaluación y Valoración de Riesgos</t>
  </si>
  <si>
    <t>31.4</t>
  </si>
  <si>
    <t>Plan Anual de Capacitaciones</t>
  </si>
  <si>
    <t>31.5</t>
  </si>
  <si>
    <t>Plan de Prevención. Preparación y Respuesta ante Emergencias</t>
  </si>
  <si>
    <t>31.6</t>
  </si>
  <si>
    <t>Politicas</t>
  </si>
  <si>
    <t>31.7</t>
  </si>
  <si>
    <t>Programa de promoción y prevención</t>
  </si>
  <si>
    <t>31.8</t>
  </si>
  <si>
    <t>Gestión al Cambio</t>
  </si>
  <si>
    <t>31.9</t>
  </si>
  <si>
    <t>Sistema Corrycom</t>
  </si>
  <si>
    <t>32.1</t>
  </si>
  <si>
    <t>Sistema de Información Financiera y Administrativa</t>
  </si>
  <si>
    <t>32.2</t>
  </si>
  <si>
    <t>34.1</t>
  </si>
  <si>
    <t>Entidades Bancarias</t>
  </si>
  <si>
    <t>36.1</t>
  </si>
  <si>
    <t>Conceptos Jurídicos</t>
  </si>
  <si>
    <t>37.1</t>
  </si>
  <si>
    <t>Sistema de gestión de Calidad DAF</t>
  </si>
  <si>
    <t>38.4</t>
  </si>
  <si>
    <t>39.1</t>
  </si>
  <si>
    <t>RESOLUCIONES</t>
  </si>
  <si>
    <t>1.9</t>
  </si>
  <si>
    <t>Actas de Comité Institucional de Gestión y
Desempeño</t>
  </si>
  <si>
    <t>1.8</t>
  </si>
  <si>
    <t>Acta Comisión Legal para la Equidad de la Mujer</t>
  </si>
  <si>
    <t>Estampilla Tasa Prodeporte</t>
  </si>
  <si>
    <t>10.5</t>
  </si>
  <si>
    <t>Inventario Documental (FUID)</t>
  </si>
  <si>
    <t>16.4</t>
  </si>
  <si>
    <t>Sistema de Gestión de la Seguridad y la Salud en el Trabajo</t>
  </si>
  <si>
    <t>31.10</t>
  </si>
  <si>
    <t>Sistema de Gestión de Calidad Mesa Directiva</t>
  </si>
  <si>
    <t>38.5</t>
  </si>
  <si>
    <t>Procedimientos</t>
  </si>
  <si>
    <t>38.6</t>
  </si>
  <si>
    <t>SERIES</t>
  </si>
  <si>
    <t>SUBSERIES</t>
  </si>
  <si>
    <t>x</t>
  </si>
  <si>
    <t>OTROS</t>
  </si>
  <si>
    <t xml:space="preserve">OBSERVACIONES </t>
  </si>
  <si>
    <t xml:space="preserve">GESTIÓN DOCUMENTAL Y TECNOLOGÍAS DE LA INFORMACIÓN  </t>
  </si>
  <si>
    <t>FÍSICO</t>
  </si>
  <si>
    <t xml:space="preserve"> HOJA DE CONTROL TIPO DOCUMENTAL</t>
  </si>
  <si>
    <t>FECHA: 07/04/2025</t>
  </si>
  <si>
    <r>
      <rPr>
        <b/>
        <sz val="9"/>
        <color theme="1"/>
        <rFont val="Arial"/>
        <family val="2"/>
      </rPr>
      <t>Nota:</t>
    </r>
    <r>
      <rPr>
        <sz val="9"/>
        <color theme="1"/>
        <rFont val="Arial"/>
        <family val="2"/>
      </rPr>
      <t xml:space="preserve"> En cumplimiento del Acuerdo 001 de 2024 del Archivo General de la Nación, la hoja de control debe ser diligenciada como requisito indispensable para la organización de archivos de gestión en soporte físico, digital o electrónico. </t>
    </r>
  </si>
  <si>
    <t xml:space="preserve">TESORERIA </t>
  </si>
  <si>
    <t>CONTABILIDAD</t>
  </si>
  <si>
    <t>Certificados de Honorarios Concejales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</si>
</sst>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2"/>
      <color theme="1"/>
      <name val="Arial"/>
      <family val="2"/>
    </font>
    <font>
      <b/>
      <sz val="11"/>
      <color theme="1"/>
      <name val="Arial"/>
      <family val="2"/>
    </font>
    <font>
      <b/>
      <sz val="9"/>
      <color theme="1"/>
      <name val="Arial"/>
      <family val="2"/>
    </font>
    <font>
      <sz val="9"/>
      <color theme="1"/>
      <name val="Arial"/>
      <family val="2"/>
    </font>
    <font>
      <sz val="11"/>
      <color theme="1"/>
      <name val="Arial"/>
      <family val="2"/>
    </font>
    <font>
      <b/>
      <sz val="8"/>
      <color theme="1"/>
      <name val="Arial"/>
      <family val="2"/>
    </font>
    <font>
      <b/>
      <sz val="9"/>
      <color rgb="FF000000"/>
      <name val="Arial"/>
      <family val="2"/>
    </font>
    <font>
      <b/>
      <sz val="11"/>
      <color theme="1"/>
      <name val="Aptos Narrow"/>
      <family val="2"/>
      <scheme val="minor"/>
    </font>
    <font>
      <sz val="11"/>
      <name val="Aptos Narrow"/>
      <family val="2"/>
      <scheme val="minor"/>
    </font>
    <font>
      <sz val="11"/>
      <name val="Calibri"/>
      <family val="2"/>
    </font>
    <font>
      <sz val="9"/>
      <color indexed="81"/>
      <name val="Tahoma"/>
      <family val="2"/>
    </font>
    <font>
      <b/>
      <sz val="9"/>
      <color indexed="81"/>
      <name val="Tahoma"/>
      <family val="2"/>
    </font>
    <font>
      <sz val="8"/>
      <name val="Aptos Narrow"/>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s>
  <cellStyleXfs count="1">
    <xf numFmtId="0" fontId="0" fillId="0" borderId="0"/>
  </cellStyleXfs>
  <cellXfs count="165">
    <xf numFmtId="0" fontId="0" fillId="0" borderId="0" xfId="0"/>
    <xf numFmtId="0" fontId="1" fillId="0" borderId="0" xfId="0" applyFont="1"/>
    <xf numFmtId="49" fontId="1" fillId="0" borderId="0" xfId="0" applyNumberFormat="1" applyFont="1"/>
    <xf numFmtId="0" fontId="2" fillId="0" borderId="2" xfId="0" applyFont="1" applyBorder="1" applyAlignment="1">
      <alignment horizontal="left" vertical="top"/>
    </xf>
    <xf numFmtId="1" fontId="2" fillId="0" borderId="1" xfId="0" applyNumberFormat="1" applyFont="1" applyBorder="1" applyAlignment="1">
      <alignment horizontal="center" vertical="center"/>
    </xf>
    <xf numFmtId="1" fontId="5" fillId="0" borderId="1" xfId="0" applyNumberFormat="1" applyFont="1" applyBorder="1" applyAlignment="1">
      <alignment horizontal="center" vertical="center"/>
    </xf>
    <xf numFmtId="49" fontId="5" fillId="0" borderId="1" xfId="0" applyNumberFormat="1" applyFont="1" applyBorder="1" applyAlignment="1">
      <alignment horizontal="center" vertical="center"/>
    </xf>
    <xf numFmtId="0" fontId="4" fillId="0" borderId="1" xfId="0" applyFont="1" applyBorder="1" applyAlignment="1">
      <alignment horizontal="left"/>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3" fillId="0" borderId="1" xfId="0" applyFont="1" applyBorder="1" applyAlignment="1">
      <alignment horizontal="center" vertical="center"/>
    </xf>
    <xf numFmtId="0" fontId="9" fillId="3" borderId="2" xfId="0" applyFont="1" applyFill="1" applyBorder="1" applyAlignment="1">
      <alignment horizontal="center" wrapText="1"/>
    </xf>
    <xf numFmtId="0" fontId="0" fillId="0" borderId="8" xfId="0" applyBorder="1"/>
    <xf numFmtId="0" fontId="0" fillId="0" borderId="28" xfId="0" applyBorder="1"/>
    <xf numFmtId="0" fontId="0" fillId="0" borderId="5" xfId="0" applyBorder="1"/>
    <xf numFmtId="0" fontId="0" fillId="0" borderId="11" xfId="0" applyBorder="1" applyAlignment="1">
      <alignment wrapText="1"/>
    </xf>
    <xf numFmtId="0" fontId="0" fillId="0" borderId="11" xfId="0" applyBorder="1" applyAlignment="1">
      <alignment horizontal="center" vertical="center" wrapText="1"/>
    </xf>
    <xf numFmtId="0" fontId="0" fillId="0" borderId="11" xfId="0" applyBorder="1" applyAlignment="1">
      <alignment horizontal="center" wrapText="1"/>
    </xf>
    <xf numFmtId="0" fontId="0" fillId="0" borderId="12" xfId="0" applyBorder="1" applyAlignment="1">
      <alignment wrapText="1"/>
    </xf>
    <xf numFmtId="0" fontId="0" fillId="0" borderId="12" xfId="0" applyBorder="1" applyAlignment="1">
      <alignment horizontal="center" vertical="center" wrapText="1"/>
    </xf>
    <xf numFmtId="0" fontId="0" fillId="3" borderId="2" xfId="0" applyFill="1" applyBorder="1" applyAlignment="1">
      <alignment horizontal="left" vertical="center" wrapText="1"/>
    </xf>
    <xf numFmtId="0" fontId="9" fillId="3" borderId="1" xfId="0" applyFont="1" applyFill="1"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2" xfId="0" applyBorder="1" applyAlignment="1">
      <alignment horizontal="left"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center" vertical="center"/>
    </xf>
    <xf numFmtId="0" fontId="0" fillId="0" borderId="29" xfId="0" applyBorder="1"/>
    <xf numFmtId="0" fontId="0" fillId="0" borderId="29" xfId="0" applyBorder="1" applyAlignment="1">
      <alignment horizontal="center"/>
    </xf>
    <xf numFmtId="0" fontId="0" fillId="0" borderId="1" xfId="0" applyBorder="1"/>
    <xf numFmtId="0" fontId="9" fillId="0" borderId="29" xfId="0" applyFont="1" applyBorder="1" applyAlignment="1" applyProtection="1">
      <alignment horizontal="left" vertical="center" wrapText="1"/>
      <protection locked="0"/>
    </xf>
    <xf numFmtId="0" fontId="0" fillId="0" borderId="29" xfId="0" applyBorder="1" applyAlignment="1">
      <alignment horizontal="center" vertical="center"/>
    </xf>
    <xf numFmtId="0" fontId="9" fillId="0" borderId="1" xfId="0" applyFont="1" applyBorder="1" applyAlignment="1" applyProtection="1">
      <alignment horizontal="left" vertical="center" wrapText="1"/>
      <protection locked="0"/>
    </xf>
    <xf numFmtId="0" fontId="9" fillId="0" borderId="1" xfId="0" applyFont="1" applyBorder="1" applyAlignment="1">
      <alignment vertical="center" wrapText="1"/>
    </xf>
    <xf numFmtId="0" fontId="0" fillId="4" borderId="28" xfId="0"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wrapText="1"/>
    </xf>
    <xf numFmtId="0" fontId="0" fillId="4" borderId="5" xfId="0" applyFill="1" applyBorder="1"/>
    <xf numFmtId="0" fontId="0" fillId="4" borderId="5"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top"/>
    </xf>
    <xf numFmtId="0" fontId="9" fillId="4" borderId="1" xfId="0" applyFont="1" applyFill="1" applyBorder="1" applyAlignment="1" applyProtection="1">
      <alignment horizontal="left" vertical="center" wrapText="1"/>
      <protection locked="0"/>
    </xf>
    <xf numFmtId="0" fontId="0" fillId="4" borderId="1" xfId="0" applyFill="1" applyBorder="1" applyAlignment="1">
      <alignment horizontal="center"/>
    </xf>
    <xf numFmtId="0" fontId="9" fillId="0" borderId="5" xfId="0" applyFont="1" applyBorder="1" applyAlignment="1" applyProtection="1">
      <alignment horizontal="left" vertical="center" wrapText="1"/>
      <protection locked="0"/>
    </xf>
    <xf numFmtId="0" fontId="9" fillId="0" borderId="8" xfId="0" applyFont="1" applyBorder="1" applyAlignment="1">
      <alignment vertical="center" wrapText="1"/>
    </xf>
    <xf numFmtId="0" fontId="0" fillId="0" borderId="8" xfId="0" applyBorder="1" applyAlignment="1">
      <alignment horizontal="center" vertical="center"/>
    </xf>
    <xf numFmtId="0" fontId="9" fillId="4" borderId="1" xfId="0" applyFont="1" applyFill="1" applyBorder="1" applyAlignment="1">
      <alignment vertical="center" wrapText="1"/>
    </xf>
    <xf numFmtId="0" fontId="9" fillId="0" borderId="8" xfId="0" applyFont="1" applyBorder="1" applyAlignment="1" applyProtection="1">
      <alignment horizontal="left" vertical="center" wrapText="1"/>
      <protection locked="0"/>
    </xf>
    <xf numFmtId="0" fontId="9" fillId="4" borderId="28" xfId="0" applyFont="1" applyFill="1" applyBorder="1" applyAlignment="1">
      <alignment vertical="center" wrapText="1"/>
    </xf>
    <xf numFmtId="0" fontId="9" fillId="0" borderId="30" xfId="0" applyFont="1" applyBorder="1" applyAlignment="1" applyProtection="1">
      <alignment horizontal="left" vertical="center" wrapText="1"/>
      <protection locked="0"/>
    </xf>
    <xf numFmtId="0" fontId="0" fillId="0" borderId="5" xfId="0" applyBorder="1" applyAlignment="1">
      <alignment horizontal="center"/>
    </xf>
    <xf numFmtId="0" fontId="0" fillId="0" borderId="28" xfId="0" applyBorder="1" applyAlignment="1">
      <alignment horizontal="center"/>
    </xf>
    <xf numFmtId="0" fontId="0" fillId="5" borderId="29" xfId="0" applyFill="1" applyBorder="1"/>
    <xf numFmtId="0" fontId="0" fillId="5" borderId="29" xfId="0" applyFill="1" applyBorder="1" applyAlignment="1">
      <alignment horizontal="center" vertical="center"/>
    </xf>
    <xf numFmtId="0" fontId="0" fillId="5" borderId="1" xfId="0" applyFill="1" applyBorder="1"/>
    <xf numFmtId="0" fontId="0" fillId="5" borderId="1" xfId="0" applyFill="1" applyBorder="1" applyAlignment="1">
      <alignment horizontal="center" vertical="center"/>
    </xf>
    <xf numFmtId="0" fontId="0" fillId="5" borderId="29" xfId="0" applyFill="1" applyBorder="1" applyAlignment="1">
      <alignment horizontal="center"/>
    </xf>
    <xf numFmtId="0" fontId="0" fillId="5" borderId="29" xfId="0" applyFill="1" applyBorder="1" applyAlignment="1">
      <alignment horizontal="left" vertical="center"/>
    </xf>
    <xf numFmtId="0" fontId="0" fillId="5" borderId="1" xfId="0" applyFill="1" applyBorder="1" applyAlignment="1">
      <alignment horizontal="left" vertical="center"/>
    </xf>
    <xf numFmtId="0" fontId="0" fillId="5" borderId="1" xfId="0" applyFill="1" applyBorder="1" applyAlignment="1">
      <alignment horizontal="center"/>
    </xf>
    <xf numFmtId="0" fontId="0" fillId="5" borderId="1" xfId="0" applyFill="1" applyBorder="1" applyAlignment="1">
      <alignment vertical="center"/>
    </xf>
    <xf numFmtId="0" fontId="0" fillId="5" borderId="8" xfId="0" applyFill="1" applyBorder="1"/>
    <xf numFmtId="0" fontId="9" fillId="5" borderId="29" xfId="0" applyFont="1" applyFill="1" applyBorder="1" applyAlignment="1" applyProtection="1">
      <alignment horizontal="left" vertical="center" wrapText="1"/>
      <protection locked="0"/>
    </xf>
    <xf numFmtId="0" fontId="9" fillId="5" borderId="1" xfId="0" applyFont="1" applyFill="1" applyBorder="1" applyAlignment="1" applyProtection="1">
      <alignment horizontal="left" vertical="center" wrapText="1"/>
      <protection locked="0"/>
    </xf>
    <xf numFmtId="0" fontId="0" fillId="5" borderId="1" xfId="0" applyFill="1" applyBorder="1" applyAlignment="1">
      <alignment horizontal="center" vertical="top"/>
    </xf>
    <xf numFmtId="0" fontId="9" fillId="5" borderId="5" xfId="0" applyFont="1" applyFill="1" applyBorder="1" applyAlignment="1" applyProtection="1">
      <alignment horizontal="left" vertical="center" wrapText="1"/>
      <protection locked="0"/>
    </xf>
    <xf numFmtId="0" fontId="0" fillId="5" borderId="28" xfId="0" applyFill="1" applyBorder="1"/>
    <xf numFmtId="0" fontId="0" fillId="5" borderId="28" xfId="0" applyFill="1" applyBorder="1" applyAlignment="1">
      <alignment horizontal="center"/>
    </xf>
    <xf numFmtId="0" fontId="9" fillId="5" borderId="1" xfId="0" applyFont="1" applyFill="1" applyBorder="1" applyAlignment="1">
      <alignment vertical="center" wrapText="1"/>
    </xf>
    <xf numFmtId="0" fontId="0" fillId="5" borderId="28" xfId="0" applyFill="1" applyBorder="1" applyAlignment="1">
      <alignment horizontal="center" vertical="center"/>
    </xf>
    <xf numFmtId="0" fontId="0" fillId="5" borderId="1" xfId="0" applyFill="1" applyBorder="1" applyAlignment="1">
      <alignment wrapText="1"/>
    </xf>
    <xf numFmtId="0" fontId="0" fillId="5" borderId="5" xfId="0" applyFill="1" applyBorder="1"/>
    <xf numFmtId="0" fontId="0" fillId="5" borderId="5" xfId="0" applyFill="1" applyBorder="1" applyAlignment="1">
      <alignment horizontal="center" vertical="center"/>
    </xf>
    <xf numFmtId="0" fontId="9" fillId="5" borderId="8" xfId="0" applyFont="1" applyFill="1" applyBorder="1" applyAlignment="1">
      <alignment vertical="center" wrapText="1"/>
    </xf>
    <xf numFmtId="0" fontId="0" fillId="5" borderId="8" xfId="0" applyFill="1" applyBorder="1" applyAlignment="1">
      <alignment horizontal="center" vertical="center"/>
    </xf>
    <xf numFmtId="0" fontId="9" fillId="5" borderId="8" xfId="0" applyFont="1" applyFill="1" applyBorder="1" applyAlignment="1" applyProtection="1">
      <alignment horizontal="left" vertical="center" wrapText="1"/>
      <protection locked="0"/>
    </xf>
    <xf numFmtId="0" fontId="9" fillId="5" borderId="28" xfId="0" applyFont="1" applyFill="1" applyBorder="1" applyAlignment="1">
      <alignment vertical="center" wrapText="1"/>
    </xf>
    <xf numFmtId="0" fontId="0" fillId="5" borderId="5" xfId="0" applyFill="1" applyBorder="1" applyAlignment="1">
      <alignment horizontal="left" vertical="center"/>
    </xf>
    <xf numFmtId="0" fontId="0" fillId="0" borderId="0" xfId="0" applyAlignment="1">
      <alignment horizontal="center" vertical="center"/>
    </xf>
    <xf numFmtId="0" fontId="9" fillId="0" borderId="0" xfId="0" applyFont="1" applyAlignment="1" applyProtection="1">
      <alignment horizontal="left" vertical="center" wrapText="1"/>
      <protection locked="0"/>
    </xf>
    <xf numFmtId="2" fontId="0" fillId="5" borderId="1" xfId="0" applyNumberFormat="1" applyFill="1" applyBorder="1" applyAlignment="1">
      <alignment horizontal="center" vertical="center"/>
    </xf>
    <xf numFmtId="0" fontId="10" fillId="5" borderId="8" xfId="0" applyFont="1" applyFill="1" applyBorder="1" applyAlignment="1">
      <alignment horizontal="left" vertical="center" wrapText="1"/>
    </xf>
    <xf numFmtId="0" fontId="10" fillId="0" borderId="0" xfId="0" applyFont="1" applyAlignment="1">
      <alignment horizontal="left" vertical="center" wrapText="1"/>
    </xf>
    <xf numFmtId="0" fontId="9" fillId="4" borderId="5" xfId="0" applyFont="1" applyFill="1" applyBorder="1" applyAlignment="1" applyProtection="1">
      <alignment horizontal="left" vertical="center" wrapText="1"/>
      <protection locked="0"/>
    </xf>
    <xf numFmtId="0" fontId="0" fillId="5" borderId="1" xfId="0" applyFill="1" applyBorder="1" applyAlignment="1">
      <alignment horizontal="center" vertical="center" wrapText="1"/>
    </xf>
    <xf numFmtId="0" fontId="9" fillId="0" borderId="0" xfId="0" applyFont="1" applyAlignment="1">
      <alignment vertical="center" wrapText="1"/>
    </xf>
    <xf numFmtId="0" fontId="0" fillId="0" borderId="31" xfId="0" applyBorder="1" applyAlignment="1">
      <alignment horizontal="center" vertical="center"/>
    </xf>
    <xf numFmtId="0" fontId="0" fillId="5" borderId="0" xfId="0" applyFill="1"/>
    <xf numFmtId="0" fontId="0" fillId="0" borderId="28" xfId="0" applyBorder="1" applyAlignment="1">
      <alignment horizontal="center" vertical="center"/>
    </xf>
    <xf numFmtId="2" fontId="0" fillId="0" borderId="1" xfId="0" applyNumberFormat="1" applyBorder="1" applyAlignment="1">
      <alignment horizontal="center" vertical="center"/>
    </xf>
    <xf numFmtId="0" fontId="10" fillId="0" borderId="8" xfId="0" applyFont="1" applyBorder="1" applyAlignment="1">
      <alignment horizontal="left" vertical="center" wrapText="1"/>
    </xf>
    <xf numFmtId="0" fontId="9" fillId="0" borderId="28" xfId="0" applyFont="1" applyBorder="1" applyAlignment="1">
      <alignment vertical="center" wrapText="1"/>
    </xf>
    <xf numFmtId="0" fontId="8" fillId="3" borderId="28" xfId="0" applyFont="1" applyFill="1" applyBorder="1" applyAlignment="1">
      <alignment horizontal="center" vertical="center" wrapText="1"/>
    </xf>
    <xf numFmtId="0" fontId="8" fillId="3" borderId="13" xfId="0" applyFont="1" applyFill="1" applyBorder="1" applyAlignment="1">
      <alignment horizontal="center" vertical="center"/>
    </xf>
    <xf numFmtId="0" fontId="0" fillId="0" borderId="13" xfId="0" applyBorder="1" applyAlignment="1">
      <alignment horizontal="center"/>
    </xf>
    <xf numFmtId="0" fontId="0" fillId="0" borderId="13" xfId="0" applyBorder="1"/>
    <xf numFmtId="0" fontId="10" fillId="0" borderId="1" xfId="0" applyFont="1" applyBorder="1" applyAlignment="1">
      <alignment horizontal="left" vertical="center" wrapText="1"/>
    </xf>
    <xf numFmtId="0" fontId="0" fillId="0" borderId="28" xfId="0" applyBorder="1" applyAlignment="1">
      <alignment horizontal="center" vertical="center" wrapText="1"/>
    </xf>
    <xf numFmtId="0" fontId="0" fillId="0" borderId="5" xfId="0" applyBorder="1" applyAlignment="1">
      <alignment horizontal="center" vertical="center"/>
    </xf>
    <xf numFmtId="0" fontId="8" fillId="0" borderId="0" xfId="0" applyFont="1" applyAlignment="1">
      <alignment horizontal="center"/>
    </xf>
    <xf numFmtId="0" fontId="2" fillId="0" borderId="1" xfId="0" applyFont="1" applyBorder="1" applyAlignment="1">
      <alignment horizontal="center" vertical="center"/>
    </xf>
    <xf numFmtId="49" fontId="3" fillId="0" borderId="1" xfId="0" applyNumberFormat="1" applyFont="1" applyBorder="1" applyAlignment="1">
      <alignment horizontal="left"/>
    </xf>
    <xf numFmtId="49" fontId="3" fillId="0" borderId="10" xfId="0" applyNumberFormat="1" applyFont="1" applyBorder="1" applyAlignment="1">
      <alignment horizontal="left"/>
    </xf>
    <xf numFmtId="1" fontId="5" fillId="0" borderId="1" xfId="0" applyNumberFormat="1" applyFont="1" applyBorder="1" applyAlignment="1">
      <alignment horizontal="left" vertical="center" wrapText="1"/>
    </xf>
    <xf numFmtId="14" fontId="5" fillId="0" borderId="1" xfId="0" applyNumberFormat="1" applyFont="1" applyBorder="1" applyAlignment="1">
      <alignment horizontal="center" vertical="center"/>
    </xf>
    <xf numFmtId="0" fontId="1" fillId="0" borderId="0" xfId="0" applyFont="1" applyAlignment="1">
      <alignment horizontal="center" vertical="center"/>
    </xf>
    <xf numFmtId="49" fontId="3" fillId="2" borderId="8"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0" fontId="5" fillId="0" borderId="1" xfId="0" applyFont="1" applyBorder="1" applyAlignment="1">
      <alignment horizontal="center"/>
    </xf>
    <xf numFmtId="0" fontId="3" fillId="2" borderId="10"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5" xfId="0" applyFont="1" applyFill="1" applyBorder="1" applyAlignment="1">
      <alignment horizontal="center" vertical="center" wrapText="1"/>
    </xf>
    <xf numFmtId="49" fontId="2" fillId="0" borderId="1" xfId="0" applyNumberFormat="1" applyFont="1" applyBorder="1" applyAlignment="1">
      <alignment horizontal="center" vertical="center"/>
    </xf>
    <xf numFmtId="14" fontId="3" fillId="0" borderId="10" xfId="0" applyNumberFormat="1" applyFont="1" applyBorder="1" applyAlignment="1">
      <alignment horizontal="center" vertical="top" wrapText="1"/>
    </xf>
    <xf numFmtId="0" fontId="3" fillId="0" borderId="11" xfId="0" applyFont="1" applyBorder="1" applyAlignment="1">
      <alignment horizontal="center" vertical="top" wrapText="1"/>
    </xf>
    <xf numFmtId="0" fontId="3" fillId="0" borderId="9" xfId="0" applyFont="1" applyBorder="1" applyAlignment="1">
      <alignment horizontal="center" vertical="top" wrapText="1"/>
    </xf>
    <xf numFmtId="0" fontId="3" fillId="0" borderId="1" xfId="0" applyFont="1" applyBorder="1" applyAlignment="1">
      <alignment horizontal="center" vertical="center"/>
    </xf>
    <xf numFmtId="1" fontId="2" fillId="0" borderId="1" xfId="0" applyNumberFormat="1" applyFont="1" applyBorder="1" applyAlignment="1">
      <alignment horizontal="center" vertical="center"/>
    </xf>
    <xf numFmtId="14" fontId="4" fillId="0" borderId="1" xfId="0" applyNumberFormat="1" applyFont="1" applyBorder="1" applyAlignment="1">
      <alignment horizontal="left" vertical="top" wrapText="1"/>
    </xf>
    <xf numFmtId="0" fontId="8" fillId="0" borderId="11" xfId="0" applyFont="1" applyBorder="1" applyAlignment="1">
      <alignment horizontal="center" vertical="center"/>
    </xf>
    <xf numFmtId="0" fontId="8" fillId="0" borderId="9" xfId="0" applyFont="1" applyBorder="1" applyAlignment="1">
      <alignment horizontal="center" vertical="center"/>
    </xf>
    <xf numFmtId="0" fontId="3" fillId="2" borderId="1" xfId="0" applyFont="1" applyFill="1" applyBorder="1" applyAlignment="1">
      <alignment horizontal="center" vertical="center" wrapText="1"/>
    </xf>
    <xf numFmtId="0" fontId="3" fillId="2" borderId="7"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10" xfId="0" applyFont="1" applyBorder="1" applyAlignment="1">
      <alignment horizontal="center"/>
    </xf>
    <xf numFmtId="0" fontId="1" fillId="0" borderId="11" xfId="0" applyFont="1" applyBorder="1" applyAlignment="1">
      <alignment horizontal="center"/>
    </xf>
    <xf numFmtId="0" fontId="7" fillId="0" borderId="0" xfId="0" applyFont="1" applyAlignment="1">
      <alignment horizontal="center" vertical="center"/>
    </xf>
    <xf numFmtId="0" fontId="7" fillId="0" borderId="19" xfId="0" applyFont="1" applyBorder="1" applyAlignment="1">
      <alignment horizontal="center" vertical="center"/>
    </xf>
    <xf numFmtId="0" fontId="7" fillId="0" borderId="16" xfId="0" applyFont="1" applyBorder="1" applyAlignment="1">
      <alignment horizontal="center" vertical="center"/>
    </xf>
    <xf numFmtId="0" fontId="7" fillId="0" borderId="15" xfId="0" applyFont="1" applyBorder="1" applyAlignment="1">
      <alignment horizontal="center" vertical="center"/>
    </xf>
    <xf numFmtId="0" fontId="1" fillId="0" borderId="13" xfId="0" applyFont="1" applyBorder="1" applyAlignment="1">
      <alignment horizontal="center"/>
    </xf>
    <xf numFmtId="0" fontId="1" fillId="0" borderId="0" xfId="0" applyFont="1" applyAlignment="1">
      <alignment horizontal="center"/>
    </xf>
    <xf numFmtId="0" fontId="1" fillId="0" borderId="12" xfId="0" applyFont="1" applyBorder="1" applyAlignment="1">
      <alignment horizontal="center"/>
    </xf>
    <xf numFmtId="0" fontId="8" fillId="0" borderId="1"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xf>
    <xf numFmtId="0" fontId="3" fillId="0" borderId="1" xfId="0" applyFont="1" applyBorder="1" applyAlignment="1">
      <alignment horizontal="left"/>
    </xf>
    <xf numFmtId="0" fontId="8" fillId="0" borderId="10" xfId="0" applyFont="1" applyBorder="1" applyAlignment="1">
      <alignment horizontal="center" vertical="center"/>
    </xf>
    <xf numFmtId="0" fontId="7" fillId="0" borderId="20" xfId="0" applyFont="1" applyBorder="1" applyAlignment="1">
      <alignment horizontal="center" vertical="center" wrapText="1"/>
    </xf>
    <xf numFmtId="0" fontId="7" fillId="0" borderId="0" xfId="0" applyFont="1" applyAlignment="1">
      <alignment horizontal="center" vertical="center" wrapText="1"/>
    </xf>
    <xf numFmtId="0" fontId="7" fillId="0" borderId="19"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5"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4" xfId="0" applyFont="1" applyBorder="1" applyAlignment="1">
      <alignment horizontal="center" vertical="center" wrapText="1"/>
    </xf>
    <xf numFmtId="0" fontId="1" fillId="0" borderId="27" xfId="0" applyFont="1" applyBorder="1" applyAlignment="1">
      <alignment horizontal="center"/>
    </xf>
    <xf numFmtId="0" fontId="1" fillId="0" borderId="26" xfId="0" applyFont="1" applyBorder="1" applyAlignment="1">
      <alignment horizontal="center"/>
    </xf>
    <xf numFmtId="0" fontId="1" fillId="0" borderId="20" xfId="0" applyFont="1" applyBorder="1" applyAlignment="1">
      <alignment horizontal="center"/>
    </xf>
    <xf numFmtId="0" fontId="1" fillId="0" borderId="19" xfId="0" applyFont="1" applyBorder="1" applyAlignment="1">
      <alignment horizontal="center"/>
    </xf>
    <xf numFmtId="0" fontId="1" fillId="0" borderId="17" xfId="0" applyFont="1" applyBorder="1" applyAlignment="1">
      <alignment horizontal="center"/>
    </xf>
    <xf numFmtId="0" fontId="1" fillId="0" borderId="15" xfId="0" applyFont="1" applyBorder="1" applyAlignment="1">
      <alignment horizontal="center"/>
    </xf>
    <xf numFmtId="0" fontId="3" fillId="0" borderId="25" xfId="0" applyFont="1" applyBorder="1" applyAlignment="1">
      <alignment horizontal="center" wrapText="1"/>
    </xf>
    <xf numFmtId="0" fontId="3" fillId="0" borderId="24" xfId="0" applyFont="1" applyBorder="1" applyAlignment="1">
      <alignment horizontal="center" wrapText="1"/>
    </xf>
    <xf numFmtId="0" fontId="3" fillId="0" borderId="23" xfId="0" applyFont="1" applyBorder="1" applyAlignment="1">
      <alignment horizontal="center" wrapText="1"/>
    </xf>
    <xf numFmtId="0" fontId="3" fillId="0" borderId="22" xfId="0" applyFont="1" applyBorder="1" applyAlignment="1">
      <alignment horizontal="center" wrapText="1"/>
    </xf>
    <xf numFmtId="0" fontId="3" fillId="0" borderId="21" xfId="0" applyFont="1" applyBorder="1" applyAlignment="1">
      <alignment horizontal="center" wrapText="1"/>
    </xf>
  </cellXfs>
  <cellStyles count="1">
    <cellStyle name="Normal" xfId="0" builtinId="0"/>
  </cellStyles>
  <dxfs count="29">
    <dxf>
      <font>
        <b/>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00B050"/>
        </patternFill>
      </fill>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ptos Narrow"/>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ill>
        <patternFill patternType="none">
          <fgColor indexed="64"/>
          <bgColor indexed="65"/>
        </patternFill>
      </fill>
      <alignment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fgColor indexed="64"/>
          <bgColor indexed="65"/>
        </patternFill>
      </fill>
      <alignment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theme="1"/>
        <name val="Aptos Narrow"/>
        <scheme val="minor"/>
      </font>
      <fill>
        <patternFill patternType="solid">
          <fgColor indexed="64"/>
          <bgColor rgb="FF92D050"/>
        </patternFill>
      </fill>
      <alignment horizontal="left" vertical="center" textRotation="0" wrapText="1" indent="0" justifyLastLine="0" shrinkToFit="0" readingOrder="0"/>
    </dxf>
    <dxf>
      <alignment horizontal="center" vertical="center"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auto="1"/>
        <name val="Aptos Narrow"/>
        <scheme val="minor"/>
      </font>
      <fill>
        <patternFill patternType="solid">
          <fgColor indexed="64"/>
          <bgColor rgb="FF92D050"/>
        </patternFill>
      </fill>
      <alignment horizontal="center" vertical="bottom" textRotation="0" wrapText="1" indent="0" justifyLastLine="0" shrinkToFit="0" readingOrder="0"/>
    </dxf>
    <dxf>
      <alignment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textRotation="0" wrapText="1" indent="0" justifyLastLine="0" shrinkToFit="0" readingOrder="0"/>
    </dxf>
    <dxf>
      <border outline="0">
        <bottom style="thin">
          <color indexed="64"/>
        </bottom>
      </border>
    </dxf>
    <dxf>
      <font>
        <b val="0"/>
        <i val="0"/>
        <strike val="0"/>
        <condense val="0"/>
        <extend val="0"/>
        <outline val="0"/>
        <shadow val="0"/>
        <u val="none"/>
        <vertAlign val="baseline"/>
        <sz val="11"/>
        <color auto="1"/>
        <name val="Aptos Narrow"/>
        <scheme val="minor"/>
      </font>
      <fill>
        <patternFill patternType="solid">
          <fgColor indexed="64"/>
          <bgColor rgb="FF92D050"/>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184668</xdr:colOff>
      <xdr:row>0</xdr:row>
      <xdr:rowOff>97194</xdr:rowOff>
    </xdr:from>
    <xdr:to>
      <xdr:col>1</xdr:col>
      <xdr:colOff>1817525</xdr:colOff>
      <xdr:row>4</xdr:row>
      <xdr:rowOff>119633</xdr:rowOff>
    </xdr:to>
    <xdr:pic>
      <xdr:nvPicPr>
        <xdr:cNvPr id="3" name="Imagen 2">
          <a:extLst>
            <a:ext uri="{FF2B5EF4-FFF2-40B4-BE49-F238E27FC236}">
              <a16:creationId xmlns:a16="http://schemas.microsoft.com/office/drawing/2014/main" id="{B0439002-8A33-4456-725D-EE6A93207F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668" y="97194"/>
          <a:ext cx="2128546" cy="829148"/>
        </a:xfrm>
        <a:prstGeom prst="rect">
          <a:avLst/>
        </a:prstGeom>
        <a:noFill/>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N6:N10" totalsRowShown="0" headerRowDxfId="28" dataDxfId="26" headerRowBorderDxfId="27" tableBorderDxfId="25" totalsRowBorderDxfId="24">
  <autoFilter ref="N6:N10" xr:uid="{00000000-0009-0000-0100-000001000000}"/>
  <tableColumns count="1">
    <tableColumn id="1" xr3:uid="{00000000-0010-0000-0000-000001000000}" name="DEPENDENCIA SECCION"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3" displayName="Tabla3" ref="O6:O10" totalsRowShown="0" headerRowDxfId="22" dataDxfId="20" headerRowBorderDxfId="21" tableBorderDxfId="19" totalsRowBorderDxfId="18">
  <autoFilter ref="O6:O10" xr:uid="{00000000-0009-0000-0100-000002000000}"/>
  <tableColumns count="1">
    <tableColumn id="1" xr3:uid="{00000000-0010-0000-0100-000001000000}" name="CODIGO"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a2" displayName="Tabla2" ref="F7:F21" totalsRowShown="0" headerRowDxfId="16" dataDxfId="14" headerRowBorderDxfId="15" tableBorderDxfId="13" totalsRowBorderDxfId="12">
  <autoFilter ref="F7:F21" xr:uid="{00000000-0009-0000-0100-000003000000}"/>
  <tableColumns count="1">
    <tableColumn id="1" xr3:uid="{00000000-0010-0000-0200-000001000000}" name="OFICINA PRODUCTORA SUBSECCIO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a4" displayName="Tabla4" ref="D265:E304" totalsRowShown="0" dataDxfId="9" headerRowBorderDxfId="10" tableBorderDxfId="8">
  <autoFilter ref="D265:E304" xr:uid="{00000000-0009-0000-0100-000004000000}"/>
  <tableColumns count="2">
    <tableColumn id="1" xr3:uid="{00000000-0010-0000-0300-000001000000}" name="SERIES" dataDxfId="7"/>
    <tableColumn id="2" xr3:uid="{00000000-0010-0000-0300-000002000000}" name="CODIGO"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a5" displayName="Tabla5" ref="D311:E396" totalsRowShown="0" headerRowDxfId="5">
  <autoFilter ref="D311:E396" xr:uid="{00000000-0009-0000-0100-000005000000}"/>
  <tableColumns count="2">
    <tableColumn id="1" xr3:uid="{00000000-0010-0000-0400-000001000000}" name="SUBSERIES" dataDxfId="4"/>
    <tableColumn id="2" xr3:uid="{00000000-0010-0000-0400-000002000000}" name="CODIGO" dataDxfId="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a6" displayName="Tabla6" ref="G266:G267" totalsRowShown="0" headerRowDxfId="2" dataDxfId="1">
  <autoFilter ref="G266:G267" xr:uid="{00000000-0009-0000-0100-000006000000}"/>
  <tableColumns count="1">
    <tableColumn id="1" xr3:uid="{00000000-0010-0000-0500-000001000000}" name="OTROS"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
  <sheetViews>
    <sheetView tabSelected="1" view="pageBreakPreview" zoomScale="98" zoomScaleNormal="98" zoomScaleSheetLayoutView="98" workbookViewId="0">
      <selection activeCell="O17" sqref="O17"/>
    </sheetView>
  </sheetViews>
  <sheetFormatPr baseColWidth="10" defaultColWidth="11.42578125" defaultRowHeight="15" x14ac:dyDescent="0.2"/>
  <cols>
    <col min="1" max="1" width="7.42578125" style="2" customWidth="1"/>
    <col min="2" max="2" width="44.140625" style="2" customWidth="1"/>
    <col min="3" max="3" width="20.42578125" style="1" customWidth="1"/>
    <col min="4" max="4" width="7" style="109" customWidth="1"/>
    <col min="5" max="5" width="6.42578125" style="109" customWidth="1"/>
    <col min="6" max="6" width="12.5703125" style="109" customWidth="1"/>
    <col min="7" max="7" width="9" style="109" customWidth="1"/>
    <col min="8" max="8" width="13.42578125" style="1" customWidth="1"/>
    <col min="9" max="9" width="15.140625" style="1" customWidth="1"/>
    <col min="10" max="10" width="35.7109375" style="1" customWidth="1"/>
    <col min="11" max="16384" width="11.42578125" style="1"/>
  </cols>
  <sheetData>
    <row r="1" spans="1:10" ht="15.75" customHeight="1" thickBot="1" x14ac:dyDescent="0.25">
      <c r="A1" s="154"/>
      <c r="B1" s="155"/>
      <c r="C1" s="160" t="s">
        <v>53</v>
      </c>
      <c r="D1" s="160"/>
      <c r="E1" s="160"/>
      <c r="F1" s="160"/>
      <c r="G1" s="160"/>
      <c r="H1" s="160"/>
      <c r="I1" s="160"/>
      <c r="J1" s="161"/>
    </row>
    <row r="2" spans="1:10" ht="15.75" customHeight="1" thickBot="1" x14ac:dyDescent="0.25">
      <c r="A2" s="156"/>
      <c r="B2" s="157"/>
      <c r="C2" s="162" t="s">
        <v>52</v>
      </c>
      <c r="D2" s="163"/>
      <c r="E2" s="163"/>
      <c r="F2" s="163"/>
      <c r="G2" s="163"/>
      <c r="H2" s="163"/>
      <c r="I2" s="163"/>
      <c r="J2" s="164"/>
    </row>
    <row r="3" spans="1:10" ht="15" customHeight="1" thickBot="1" x14ac:dyDescent="0.25">
      <c r="A3" s="156"/>
      <c r="B3" s="157"/>
      <c r="C3" s="162" t="s">
        <v>289</v>
      </c>
      <c r="D3" s="163"/>
      <c r="E3" s="163"/>
      <c r="F3" s="163"/>
      <c r="G3" s="163"/>
      <c r="H3" s="163"/>
      <c r="I3" s="163"/>
      <c r="J3" s="164"/>
    </row>
    <row r="4" spans="1:10" ht="15.75" customHeight="1" thickBot="1" x14ac:dyDescent="0.25">
      <c r="A4" s="156"/>
      <c r="B4" s="157"/>
      <c r="C4" s="162" t="s">
        <v>291</v>
      </c>
      <c r="D4" s="163"/>
      <c r="E4" s="163"/>
      <c r="F4" s="163"/>
      <c r="G4" s="163"/>
      <c r="H4" s="163"/>
      <c r="I4" s="163"/>
      <c r="J4" s="164"/>
    </row>
    <row r="5" spans="1:10" ht="11.25" customHeight="1" x14ac:dyDescent="0.2">
      <c r="A5" s="156"/>
      <c r="B5" s="157"/>
      <c r="C5" s="133" t="s">
        <v>51</v>
      </c>
      <c r="D5" s="133"/>
      <c r="E5" s="134"/>
      <c r="F5" s="146" t="s">
        <v>292</v>
      </c>
      <c r="G5" s="147"/>
      <c r="H5" s="147"/>
      <c r="I5" s="148"/>
      <c r="J5" s="152" t="s">
        <v>54</v>
      </c>
    </row>
    <row r="6" spans="1:10" ht="12" customHeight="1" thickBot="1" x14ac:dyDescent="0.25">
      <c r="A6" s="158"/>
      <c r="B6" s="159"/>
      <c r="C6" s="135"/>
      <c r="D6" s="135"/>
      <c r="E6" s="136"/>
      <c r="F6" s="149"/>
      <c r="G6" s="150"/>
      <c r="H6" s="150"/>
      <c r="I6" s="151"/>
      <c r="J6" s="153"/>
    </row>
    <row r="7" spans="1:10" ht="9.75" customHeight="1" x14ac:dyDescent="0.2">
      <c r="A7" s="137"/>
      <c r="B7" s="138"/>
      <c r="C7" s="138"/>
      <c r="D7" s="138"/>
      <c r="E7" s="138"/>
      <c r="F7" s="138"/>
      <c r="G7" s="138"/>
      <c r="H7" s="138"/>
      <c r="I7" s="138"/>
      <c r="J7" s="139"/>
    </row>
    <row r="8" spans="1:10" x14ac:dyDescent="0.2">
      <c r="A8" s="105" t="s">
        <v>50</v>
      </c>
      <c r="B8" s="106"/>
      <c r="C8" s="140"/>
      <c r="D8" s="140"/>
      <c r="E8" s="140"/>
      <c r="F8" s="140"/>
      <c r="G8" s="140"/>
      <c r="H8" s="140"/>
      <c r="I8" s="7" t="s">
        <v>46</v>
      </c>
      <c r="J8" s="11" t="e">
        <f>VLOOKUP(C8,DEPENDENCIAS,2,FALSE)</f>
        <v>#N/A</v>
      </c>
    </row>
    <row r="9" spans="1:10" x14ac:dyDescent="0.2">
      <c r="A9" s="105" t="s">
        <v>49</v>
      </c>
      <c r="B9" s="106"/>
      <c r="C9" s="141"/>
      <c r="D9" s="142"/>
      <c r="E9" s="142"/>
      <c r="F9" s="142"/>
      <c r="G9" s="142"/>
      <c r="H9" s="143"/>
      <c r="I9" s="7" t="s">
        <v>46</v>
      </c>
      <c r="J9" s="11" t="e">
        <f>VLOOKUP(C9,'LISTAS DESPLEGABLES'!F8:G21,2,FALSE)</f>
        <v>#N/A</v>
      </c>
    </row>
    <row r="10" spans="1:10" x14ac:dyDescent="0.2">
      <c r="A10" s="144" t="s">
        <v>48</v>
      </c>
      <c r="B10" s="144"/>
      <c r="C10" s="145"/>
      <c r="D10" s="124"/>
      <c r="E10" s="124"/>
      <c r="F10" s="124"/>
      <c r="G10" s="124"/>
      <c r="H10" s="125"/>
      <c r="I10" s="7" t="s">
        <v>46</v>
      </c>
      <c r="J10" s="11" t="e">
        <f>VLOOKUP(C10,'LISTAS DESPLEGABLES'!N14:O261,2,FALSE)</f>
        <v>#N/A</v>
      </c>
    </row>
    <row r="11" spans="1:10" x14ac:dyDescent="0.2">
      <c r="A11" s="105" t="s">
        <v>47</v>
      </c>
      <c r="B11" s="106"/>
      <c r="C11" s="124"/>
      <c r="D11" s="124"/>
      <c r="E11" s="124"/>
      <c r="F11" s="124"/>
      <c r="G11" s="124"/>
      <c r="H11" s="125"/>
      <c r="I11" s="7" t="s">
        <v>46</v>
      </c>
      <c r="J11" s="11" t="e">
        <f>VLOOKUP(C11,Tabla5[],2,FALSE)</f>
        <v>#N/A</v>
      </c>
    </row>
    <row r="12" spans="1:10" x14ac:dyDescent="0.2">
      <c r="A12" s="131"/>
      <c r="B12" s="132"/>
      <c r="C12" s="132"/>
      <c r="D12" s="132"/>
      <c r="E12" s="132"/>
      <c r="F12" s="132"/>
      <c r="G12" s="132"/>
      <c r="H12" s="132"/>
      <c r="I12" s="132"/>
      <c r="J12" s="132"/>
    </row>
    <row r="13" spans="1:10" ht="27" customHeight="1" x14ac:dyDescent="0.2">
      <c r="A13" s="110" t="s">
        <v>45</v>
      </c>
      <c r="B13" s="110" t="s">
        <v>44</v>
      </c>
      <c r="C13" s="8" t="s">
        <v>43</v>
      </c>
      <c r="D13" s="113" t="s">
        <v>42</v>
      </c>
      <c r="E13" s="114"/>
      <c r="F13" s="115" t="s">
        <v>41</v>
      </c>
      <c r="G13" s="126" t="s">
        <v>40</v>
      </c>
      <c r="H13" s="126"/>
      <c r="I13" s="127" t="s">
        <v>288</v>
      </c>
      <c r="J13" s="128"/>
    </row>
    <row r="14" spans="1:10" ht="36.75" customHeight="1" x14ac:dyDescent="0.2">
      <c r="A14" s="111"/>
      <c r="B14" s="111"/>
      <c r="C14" s="8" t="s">
        <v>0</v>
      </c>
      <c r="D14" s="8" t="s">
        <v>39</v>
      </c>
      <c r="E14" s="8" t="s">
        <v>38</v>
      </c>
      <c r="F14" s="116"/>
      <c r="G14" s="9" t="s">
        <v>290</v>
      </c>
      <c r="H14" s="10" t="s">
        <v>37</v>
      </c>
      <c r="I14" s="129"/>
      <c r="J14" s="130"/>
    </row>
    <row r="15" spans="1:10" ht="24.95" customHeight="1" x14ac:dyDescent="0.2">
      <c r="A15" s="6" t="s">
        <v>36</v>
      </c>
      <c r="B15" s="107"/>
      <c r="C15" s="108"/>
      <c r="D15" s="5"/>
      <c r="E15" s="5"/>
      <c r="F15" s="5"/>
      <c r="G15" s="104"/>
      <c r="H15" s="104"/>
      <c r="I15" s="112"/>
      <c r="J15" s="112"/>
    </row>
    <row r="16" spans="1:10" ht="24.95" customHeight="1" x14ac:dyDescent="0.2">
      <c r="A16" s="6" t="s">
        <v>35</v>
      </c>
      <c r="B16" s="107"/>
      <c r="C16" s="108"/>
      <c r="D16" s="5"/>
      <c r="E16" s="5"/>
      <c r="F16" s="5"/>
      <c r="G16" s="104"/>
      <c r="H16" s="104"/>
      <c r="I16" s="112"/>
      <c r="J16" s="112"/>
    </row>
    <row r="17" spans="1:10" ht="24.95" customHeight="1" x14ac:dyDescent="0.2">
      <c r="A17" s="6" t="s">
        <v>34</v>
      </c>
      <c r="B17" s="107"/>
      <c r="C17" s="108"/>
      <c r="D17" s="5"/>
      <c r="E17" s="5"/>
      <c r="F17" s="5"/>
      <c r="G17" s="104"/>
      <c r="H17" s="104"/>
      <c r="I17" s="112"/>
      <c r="J17" s="112"/>
    </row>
    <row r="18" spans="1:10" ht="24.75" customHeight="1" x14ac:dyDescent="0.2">
      <c r="A18" s="6" t="s">
        <v>33</v>
      </c>
      <c r="B18" s="107"/>
      <c r="C18" s="108"/>
      <c r="D18" s="5"/>
      <c r="E18" s="5"/>
      <c r="F18" s="5"/>
      <c r="G18" s="104"/>
      <c r="H18" s="104"/>
      <c r="I18" s="112"/>
      <c r="J18" s="112"/>
    </row>
    <row r="19" spans="1:10" ht="24.95" customHeight="1" x14ac:dyDescent="0.2">
      <c r="A19" s="6" t="s">
        <v>32</v>
      </c>
      <c r="B19" s="107"/>
      <c r="C19" s="108"/>
      <c r="D19" s="5"/>
      <c r="E19" s="5"/>
      <c r="F19" s="5"/>
      <c r="G19" s="104"/>
      <c r="H19" s="104"/>
      <c r="I19" s="112"/>
      <c r="J19" s="112"/>
    </row>
    <row r="20" spans="1:10" ht="24.95" customHeight="1" x14ac:dyDescent="0.2">
      <c r="A20" s="6" t="s">
        <v>31</v>
      </c>
      <c r="B20" s="107"/>
      <c r="C20" s="108"/>
      <c r="D20" s="5"/>
      <c r="E20" s="5"/>
      <c r="F20" s="5"/>
      <c r="G20" s="104"/>
      <c r="H20" s="104"/>
      <c r="I20" s="112"/>
      <c r="J20" s="112"/>
    </row>
    <row r="21" spans="1:10" ht="24.95" customHeight="1" x14ac:dyDescent="0.2">
      <c r="A21" s="6" t="s">
        <v>30</v>
      </c>
      <c r="B21" s="107"/>
      <c r="C21" s="108"/>
      <c r="D21" s="5"/>
      <c r="E21" s="5"/>
      <c r="F21" s="5"/>
      <c r="G21" s="104"/>
      <c r="H21" s="104"/>
      <c r="I21" s="112"/>
      <c r="J21" s="112"/>
    </row>
    <row r="22" spans="1:10" ht="24.95" customHeight="1" x14ac:dyDescent="0.2">
      <c r="A22" s="6" t="s">
        <v>29</v>
      </c>
      <c r="B22" s="107"/>
      <c r="C22" s="108"/>
      <c r="D22" s="5"/>
      <c r="E22" s="5"/>
      <c r="F22" s="5"/>
      <c r="G22" s="104"/>
      <c r="H22" s="104"/>
      <c r="I22" s="112"/>
      <c r="J22" s="112"/>
    </row>
    <row r="23" spans="1:10" ht="24.95" customHeight="1" x14ac:dyDescent="0.2">
      <c r="A23" s="6" t="s">
        <v>28</v>
      </c>
      <c r="B23" s="107"/>
      <c r="C23" s="108"/>
      <c r="D23" s="5"/>
      <c r="E23" s="5"/>
      <c r="F23" s="5"/>
      <c r="G23" s="104"/>
      <c r="H23" s="104"/>
      <c r="I23" s="112"/>
      <c r="J23" s="112"/>
    </row>
    <row r="24" spans="1:10" ht="24.95" customHeight="1" x14ac:dyDescent="0.2">
      <c r="A24" s="6" t="s">
        <v>27</v>
      </c>
      <c r="B24" s="107"/>
      <c r="C24" s="108"/>
      <c r="D24" s="5"/>
      <c r="E24" s="5"/>
      <c r="F24" s="5"/>
      <c r="G24" s="104"/>
      <c r="H24" s="104"/>
      <c r="I24" s="112"/>
      <c r="J24" s="112"/>
    </row>
    <row r="25" spans="1:10" ht="24.95" customHeight="1" x14ac:dyDescent="0.2">
      <c r="A25" s="6" t="s">
        <v>26</v>
      </c>
      <c r="B25" s="107"/>
      <c r="C25" s="108"/>
      <c r="D25" s="5"/>
      <c r="E25" s="5"/>
      <c r="F25" s="5"/>
      <c r="G25" s="104"/>
      <c r="H25" s="104"/>
      <c r="I25" s="112"/>
      <c r="J25" s="112"/>
    </row>
    <row r="26" spans="1:10" ht="24.95" customHeight="1" x14ac:dyDescent="0.2">
      <c r="A26" s="6" t="s">
        <v>25</v>
      </c>
      <c r="B26" s="107"/>
      <c r="C26" s="108"/>
      <c r="D26" s="5"/>
      <c r="E26" s="5"/>
      <c r="F26" s="5"/>
      <c r="G26" s="104"/>
      <c r="H26" s="104"/>
      <c r="I26" s="112"/>
      <c r="J26" s="112"/>
    </row>
    <row r="27" spans="1:10" ht="24.95" customHeight="1" x14ac:dyDescent="0.2">
      <c r="A27" s="6" t="s">
        <v>24</v>
      </c>
      <c r="B27" s="107"/>
      <c r="C27" s="108"/>
      <c r="D27" s="5"/>
      <c r="E27" s="5"/>
      <c r="F27" s="5"/>
      <c r="G27" s="104"/>
      <c r="H27" s="104"/>
      <c r="I27" s="112"/>
      <c r="J27" s="112"/>
    </row>
    <row r="28" spans="1:10" ht="24.95" customHeight="1" x14ac:dyDescent="0.2">
      <c r="A28" s="6" t="s">
        <v>23</v>
      </c>
      <c r="B28" s="107"/>
      <c r="C28" s="108"/>
      <c r="D28" s="5"/>
      <c r="E28" s="5"/>
      <c r="F28" s="5"/>
      <c r="G28" s="104"/>
      <c r="H28" s="104"/>
      <c r="I28" s="112"/>
      <c r="J28" s="112"/>
    </row>
    <row r="29" spans="1:10" ht="24.95" customHeight="1" x14ac:dyDescent="0.2">
      <c r="A29" s="6" t="s">
        <v>22</v>
      </c>
      <c r="B29" s="107"/>
      <c r="C29" s="108"/>
      <c r="D29" s="5"/>
      <c r="E29" s="5"/>
      <c r="F29" s="5"/>
      <c r="G29" s="104"/>
      <c r="H29" s="104"/>
      <c r="I29" s="112"/>
      <c r="J29" s="112"/>
    </row>
    <row r="30" spans="1:10" ht="24.95" customHeight="1" x14ac:dyDescent="0.2">
      <c r="A30" s="6" t="s">
        <v>21</v>
      </c>
      <c r="B30" s="107"/>
      <c r="C30" s="108"/>
      <c r="D30" s="5"/>
      <c r="E30" s="5"/>
      <c r="F30" s="5"/>
      <c r="G30" s="104"/>
      <c r="H30" s="104"/>
      <c r="I30" s="112"/>
      <c r="J30" s="112"/>
    </row>
    <row r="31" spans="1:10" ht="24.95" customHeight="1" x14ac:dyDescent="0.2">
      <c r="A31" s="6" t="s">
        <v>20</v>
      </c>
      <c r="B31" s="107"/>
      <c r="C31" s="108"/>
      <c r="D31" s="5"/>
      <c r="E31" s="5"/>
      <c r="F31" s="5"/>
      <c r="G31" s="104"/>
      <c r="H31" s="104"/>
      <c r="I31" s="112"/>
      <c r="J31" s="112"/>
    </row>
    <row r="32" spans="1:10" ht="24.95" customHeight="1" x14ac:dyDescent="0.2">
      <c r="A32" s="6" t="s">
        <v>19</v>
      </c>
      <c r="B32" s="107"/>
      <c r="C32" s="108"/>
      <c r="D32" s="5"/>
      <c r="E32" s="5"/>
      <c r="F32" s="5"/>
      <c r="G32" s="104"/>
      <c r="H32" s="104"/>
      <c r="I32" s="112"/>
      <c r="J32" s="112"/>
    </row>
    <row r="33" spans="1:10" ht="24.95" customHeight="1" x14ac:dyDescent="0.2">
      <c r="A33" s="6" t="s">
        <v>18</v>
      </c>
      <c r="B33" s="107"/>
      <c r="C33" s="108"/>
      <c r="D33" s="5"/>
      <c r="E33" s="5"/>
      <c r="F33" s="5"/>
      <c r="G33" s="104"/>
      <c r="H33" s="104"/>
      <c r="I33" s="112"/>
      <c r="J33" s="112"/>
    </row>
    <row r="34" spans="1:10" ht="24.95" customHeight="1" x14ac:dyDescent="0.2">
      <c r="A34" s="6" t="s">
        <v>17</v>
      </c>
      <c r="B34" s="107"/>
      <c r="C34" s="108"/>
      <c r="D34" s="5"/>
      <c r="E34" s="5"/>
      <c r="F34" s="5"/>
      <c r="G34" s="104"/>
      <c r="H34" s="104"/>
      <c r="I34" s="112"/>
      <c r="J34" s="112"/>
    </row>
    <row r="35" spans="1:10" ht="24.95" customHeight="1" x14ac:dyDescent="0.2">
      <c r="A35" s="6" t="s">
        <v>16</v>
      </c>
      <c r="B35" s="107"/>
      <c r="C35" s="108"/>
      <c r="D35" s="5"/>
      <c r="E35" s="5"/>
      <c r="F35" s="5"/>
      <c r="G35" s="104"/>
      <c r="H35" s="104"/>
      <c r="I35" s="112"/>
      <c r="J35" s="112"/>
    </row>
    <row r="36" spans="1:10" ht="24.95" customHeight="1" x14ac:dyDescent="0.2">
      <c r="A36" s="6" t="s">
        <v>15</v>
      </c>
      <c r="B36" s="107"/>
      <c r="C36" s="108"/>
      <c r="D36" s="5"/>
      <c r="E36" s="5"/>
      <c r="F36" s="5"/>
      <c r="G36" s="104"/>
      <c r="H36" s="104"/>
      <c r="I36" s="112"/>
      <c r="J36" s="112"/>
    </row>
    <row r="37" spans="1:10" ht="24.95" customHeight="1" x14ac:dyDescent="0.2">
      <c r="A37" s="6" t="s">
        <v>14</v>
      </c>
      <c r="B37" s="107"/>
      <c r="C37" s="108"/>
      <c r="D37" s="5"/>
      <c r="E37" s="5"/>
      <c r="F37" s="5"/>
      <c r="G37" s="104"/>
      <c r="H37" s="104"/>
      <c r="I37" s="112"/>
      <c r="J37" s="112"/>
    </row>
    <row r="38" spans="1:10" ht="24.95" customHeight="1" x14ac:dyDescent="0.2">
      <c r="A38" s="6" t="s">
        <v>13</v>
      </c>
      <c r="B38" s="107"/>
      <c r="C38" s="108"/>
      <c r="D38" s="5"/>
      <c r="E38" s="5"/>
      <c r="F38" s="5"/>
      <c r="G38" s="104"/>
      <c r="H38" s="104"/>
      <c r="I38" s="112"/>
      <c r="J38" s="112"/>
    </row>
    <row r="39" spans="1:10" ht="24.95" customHeight="1" x14ac:dyDescent="0.2">
      <c r="A39" s="6" t="s">
        <v>12</v>
      </c>
      <c r="B39" s="107"/>
      <c r="C39" s="108"/>
      <c r="D39" s="5"/>
      <c r="E39" s="5"/>
      <c r="F39" s="5"/>
      <c r="G39" s="104"/>
      <c r="H39" s="104"/>
      <c r="I39" s="112"/>
      <c r="J39" s="112"/>
    </row>
    <row r="40" spans="1:10" ht="24.95" customHeight="1" x14ac:dyDescent="0.2">
      <c r="A40" s="6" t="s">
        <v>11</v>
      </c>
      <c r="B40" s="107"/>
      <c r="C40" s="108"/>
      <c r="D40" s="5"/>
      <c r="E40" s="5"/>
      <c r="F40" s="5"/>
      <c r="G40" s="104"/>
      <c r="H40" s="104"/>
      <c r="I40" s="112"/>
      <c r="J40" s="112"/>
    </row>
    <row r="41" spans="1:10" ht="24.95" customHeight="1" x14ac:dyDescent="0.2">
      <c r="A41" s="6" t="s">
        <v>10</v>
      </c>
      <c r="B41" s="107"/>
      <c r="C41" s="108"/>
      <c r="D41" s="5"/>
      <c r="E41" s="5"/>
      <c r="F41" s="5"/>
      <c r="G41" s="104"/>
      <c r="H41" s="104"/>
      <c r="I41" s="112"/>
      <c r="J41" s="112"/>
    </row>
    <row r="42" spans="1:10" ht="24.95" customHeight="1" x14ac:dyDescent="0.2">
      <c r="A42" s="6" t="s">
        <v>9</v>
      </c>
      <c r="B42" s="107"/>
      <c r="C42" s="108"/>
      <c r="D42" s="5"/>
      <c r="E42" s="5"/>
      <c r="F42" s="5"/>
      <c r="G42" s="104"/>
      <c r="H42" s="104"/>
      <c r="I42" s="112"/>
      <c r="J42" s="112"/>
    </row>
    <row r="43" spans="1:10" ht="24.95" customHeight="1" x14ac:dyDescent="0.2">
      <c r="A43" s="6" t="s">
        <v>8</v>
      </c>
      <c r="B43" s="107"/>
      <c r="C43" s="108"/>
      <c r="D43" s="5"/>
      <c r="E43" s="5"/>
      <c r="F43" s="5"/>
      <c r="G43" s="104"/>
      <c r="H43" s="104"/>
      <c r="I43" s="112"/>
      <c r="J43" s="112"/>
    </row>
    <row r="44" spans="1:10" ht="14.25" customHeight="1" x14ac:dyDescent="0.2">
      <c r="A44" s="122" t="s">
        <v>7</v>
      </c>
      <c r="B44" s="122"/>
      <c r="C44" s="123" t="s">
        <v>293</v>
      </c>
      <c r="D44" s="123"/>
      <c r="E44" s="123"/>
      <c r="F44" s="123"/>
      <c r="G44" s="123"/>
      <c r="H44" s="123"/>
      <c r="I44" s="123"/>
      <c r="J44" s="123"/>
    </row>
    <row r="45" spans="1:10" ht="16.5" customHeight="1" x14ac:dyDescent="0.2">
      <c r="A45" s="4" t="s">
        <v>6</v>
      </c>
      <c r="B45" s="4" t="s">
        <v>5</v>
      </c>
      <c r="C45" s="123"/>
      <c r="D45" s="123"/>
      <c r="E45" s="123"/>
      <c r="F45" s="123"/>
      <c r="G45" s="123"/>
      <c r="H45" s="123"/>
      <c r="I45" s="123"/>
      <c r="J45" s="123"/>
    </row>
    <row r="46" spans="1:10" ht="18" customHeight="1" x14ac:dyDescent="0.2">
      <c r="A46" s="117" t="s">
        <v>4</v>
      </c>
      <c r="B46" s="117"/>
      <c r="C46" s="121"/>
      <c r="D46" s="121"/>
      <c r="E46" s="121"/>
      <c r="F46" s="121"/>
      <c r="G46" s="121"/>
      <c r="H46" s="3" t="s">
        <v>3</v>
      </c>
      <c r="I46" s="121"/>
      <c r="J46" s="121"/>
    </row>
    <row r="47" spans="1:10" ht="18.75" customHeight="1" x14ac:dyDescent="0.2">
      <c r="A47" s="117" t="s">
        <v>2</v>
      </c>
      <c r="B47" s="117"/>
      <c r="C47" s="121"/>
      <c r="D47" s="121"/>
      <c r="E47" s="121"/>
      <c r="F47" s="121"/>
      <c r="G47" s="121"/>
      <c r="H47" s="121"/>
      <c r="I47" s="121"/>
      <c r="J47" s="121"/>
    </row>
    <row r="48" spans="1:10" ht="15" customHeight="1" x14ac:dyDescent="0.2">
      <c r="A48" s="117" t="s">
        <v>1</v>
      </c>
      <c r="B48" s="117"/>
      <c r="C48" s="118"/>
      <c r="D48" s="119"/>
      <c r="E48" s="119"/>
      <c r="F48" s="119"/>
      <c r="G48" s="119"/>
      <c r="H48" s="119"/>
      <c r="I48" s="119"/>
      <c r="J48" s="120"/>
    </row>
    <row r="49" ht="16.5" customHeight="1" x14ac:dyDescent="0.2"/>
  </sheetData>
  <mergeCells count="59">
    <mergeCell ref="C5:E6"/>
    <mergeCell ref="A7:J7"/>
    <mergeCell ref="C8:H8"/>
    <mergeCell ref="C9:H9"/>
    <mergeCell ref="A10:B10"/>
    <mergeCell ref="C10:H10"/>
    <mergeCell ref="F5:I6"/>
    <mergeCell ref="J5:J6"/>
    <mergeCell ref="A1:B6"/>
    <mergeCell ref="C1:J1"/>
    <mergeCell ref="C2:J2"/>
    <mergeCell ref="C3:J3"/>
    <mergeCell ref="C4:J4"/>
    <mergeCell ref="C11:H11"/>
    <mergeCell ref="G13:H13"/>
    <mergeCell ref="I13:J14"/>
    <mergeCell ref="I23:J23"/>
    <mergeCell ref="I36:J36"/>
    <mergeCell ref="I25:J25"/>
    <mergeCell ref="I26:J26"/>
    <mergeCell ref="I27:J27"/>
    <mergeCell ref="I28:J28"/>
    <mergeCell ref="I29:J29"/>
    <mergeCell ref="I30:J30"/>
    <mergeCell ref="I24:J24"/>
    <mergeCell ref="I19:J19"/>
    <mergeCell ref="I20:J20"/>
    <mergeCell ref="A12:J12"/>
    <mergeCell ref="I15:J15"/>
    <mergeCell ref="I38:J38"/>
    <mergeCell ref="I21:J21"/>
    <mergeCell ref="I22:J22"/>
    <mergeCell ref="C47:J47"/>
    <mergeCell ref="I43:J43"/>
    <mergeCell ref="I37:J37"/>
    <mergeCell ref="I31:J31"/>
    <mergeCell ref="I32:J32"/>
    <mergeCell ref="I33:J33"/>
    <mergeCell ref="I34:J34"/>
    <mergeCell ref="I35:J35"/>
    <mergeCell ref="A44:B44"/>
    <mergeCell ref="C44:J45"/>
    <mergeCell ref="I39:J39"/>
    <mergeCell ref="I40:J40"/>
    <mergeCell ref="I41:J41"/>
    <mergeCell ref="I42:J42"/>
    <mergeCell ref="A48:B48"/>
    <mergeCell ref="C48:J48"/>
    <mergeCell ref="A46:B46"/>
    <mergeCell ref="C46:G46"/>
    <mergeCell ref="I46:J46"/>
    <mergeCell ref="A47:B47"/>
    <mergeCell ref="A13:A14"/>
    <mergeCell ref="B13:B14"/>
    <mergeCell ref="I16:J16"/>
    <mergeCell ref="I17:J17"/>
    <mergeCell ref="I18:J18"/>
    <mergeCell ref="D13:E13"/>
    <mergeCell ref="F13:F14"/>
  </mergeCells>
  <phoneticPr fontId="13" type="noConversion"/>
  <pageMargins left="0.7" right="0.7" top="0.75" bottom="0.75" header="0.3" footer="0.3"/>
  <pageSetup paperSize="211" scale="51" orientation="portrait" horizontalDpi="360" verticalDpi="360" r:id="rId1"/>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0000000}">
          <x14:formula1>
            <xm:f>'LISTAS DESPLEGABLES'!$N$7:$N$10</xm:f>
          </x14:formula1>
          <xm:sqref>C8:H8</xm:sqref>
        </x14:dataValidation>
        <x14:dataValidation type="list" allowBlank="1" showInputMessage="1" showErrorMessage="1" xr:uid="{00000000-0002-0000-0000-000001000000}">
          <x14:formula1>
            <xm:f>'LISTAS DESPLEGABLES'!$F$8:$F$21</xm:f>
          </x14:formula1>
          <xm:sqref>C9:H9</xm:sqref>
        </x14:dataValidation>
        <x14:dataValidation type="list" allowBlank="1" showInputMessage="1" showErrorMessage="1" xr:uid="{00000000-0002-0000-0000-000002000000}">
          <x14:formula1>
            <xm:f>'LISTAS DESPLEGABLES'!$D$266:$D$304</xm:f>
          </x14:formula1>
          <xm:sqref>C10:H10</xm:sqref>
        </x14:dataValidation>
        <x14:dataValidation type="list" allowBlank="1" showInputMessage="1" showErrorMessage="1" xr:uid="{00000000-0002-0000-0000-000003000000}">
          <x14:formula1>
            <xm:f>'LISTAS DESPLEGABLES'!$D$312:$D$396</xm:f>
          </x14:formula1>
          <xm:sqref>C11:H11</xm:sqref>
        </x14:dataValidation>
        <x14:dataValidation type="list" allowBlank="1" showInputMessage="1" showErrorMessage="1" xr:uid="{00000000-0002-0000-0000-000004000000}">
          <x14:formula1>
            <xm:f>'LISTAS DESPLEGABLES'!$G$267</xm:f>
          </x14:formula1>
          <xm:sqref>G15:H43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O513"/>
  <sheetViews>
    <sheetView topLeftCell="C104" workbookViewId="0">
      <selection activeCell="F41" sqref="F41"/>
    </sheetView>
  </sheetViews>
  <sheetFormatPr baseColWidth="10" defaultRowHeight="15" x14ac:dyDescent="0.25"/>
  <cols>
    <col min="4" max="4" width="60.85546875" customWidth="1"/>
    <col min="6" max="6" width="46.42578125" customWidth="1"/>
    <col min="14" max="14" width="42.42578125" customWidth="1"/>
  </cols>
  <sheetData>
    <row r="6" spans="6:15" x14ac:dyDescent="0.25">
      <c r="N6" s="12" t="s">
        <v>55</v>
      </c>
      <c r="O6" s="12" t="s">
        <v>56</v>
      </c>
    </row>
    <row r="7" spans="6:15" x14ac:dyDescent="0.25">
      <c r="F7" s="21" t="s">
        <v>61</v>
      </c>
      <c r="G7" s="22" t="s">
        <v>56</v>
      </c>
      <c r="N7" s="16" t="s">
        <v>57</v>
      </c>
      <c r="O7" s="17">
        <v>111</v>
      </c>
    </row>
    <row r="8" spans="6:15" ht="30" x14ac:dyDescent="0.25">
      <c r="F8" s="16" t="s">
        <v>62</v>
      </c>
      <c r="G8" s="25">
        <v>114</v>
      </c>
      <c r="N8" s="16" t="s">
        <v>58</v>
      </c>
      <c r="O8" s="17">
        <v>112</v>
      </c>
    </row>
    <row r="9" spans="6:15" x14ac:dyDescent="0.25">
      <c r="F9" s="16" t="s">
        <v>63</v>
      </c>
      <c r="G9" s="25">
        <v>114</v>
      </c>
      <c r="N9" s="16" t="s">
        <v>59</v>
      </c>
      <c r="O9" s="18">
        <v>113</v>
      </c>
    </row>
    <row r="10" spans="6:15" x14ac:dyDescent="0.25">
      <c r="F10" s="16" t="s">
        <v>64</v>
      </c>
      <c r="G10" s="25">
        <v>114</v>
      </c>
      <c r="N10" s="19" t="s">
        <v>60</v>
      </c>
      <c r="O10" s="20">
        <v>114</v>
      </c>
    </row>
    <row r="11" spans="6:15" x14ac:dyDescent="0.25">
      <c r="F11" s="16" t="s">
        <v>65</v>
      </c>
      <c r="G11" s="25">
        <v>114</v>
      </c>
    </row>
    <row r="12" spans="6:15" x14ac:dyDescent="0.25">
      <c r="F12" s="16" t="s">
        <v>294</v>
      </c>
      <c r="G12" s="25">
        <v>114</v>
      </c>
    </row>
    <row r="13" spans="6:15" ht="15.75" thickBot="1" x14ac:dyDescent="0.3">
      <c r="F13" s="16" t="s">
        <v>66</v>
      </c>
      <c r="G13" s="25">
        <v>114</v>
      </c>
      <c r="N13" s="28" t="s">
        <v>73</v>
      </c>
      <c r="O13" s="29" t="s">
        <v>56</v>
      </c>
    </row>
    <row r="14" spans="6:15" x14ac:dyDescent="0.25">
      <c r="F14" s="16" t="s">
        <v>67</v>
      </c>
      <c r="G14" s="25">
        <v>114</v>
      </c>
      <c r="N14" s="56" t="s">
        <v>74</v>
      </c>
      <c r="O14" s="60">
        <v>1</v>
      </c>
    </row>
    <row r="15" spans="6:15" x14ac:dyDescent="0.25">
      <c r="F15" s="16" t="s">
        <v>68</v>
      </c>
      <c r="G15" s="25">
        <v>114</v>
      </c>
      <c r="N15" s="58" t="s">
        <v>75</v>
      </c>
      <c r="O15" s="63">
        <v>2</v>
      </c>
    </row>
    <row r="16" spans="6:15" x14ac:dyDescent="0.25">
      <c r="F16" s="16" t="s">
        <v>69</v>
      </c>
      <c r="G16" s="25">
        <v>114</v>
      </c>
      <c r="N16" s="58" t="s">
        <v>76</v>
      </c>
      <c r="O16" s="63">
        <v>4</v>
      </c>
    </row>
    <row r="17" spans="4:15" x14ac:dyDescent="0.25">
      <c r="F17" s="16" t="s">
        <v>70</v>
      </c>
      <c r="G17" s="25">
        <v>114</v>
      </c>
      <c r="N17" s="58" t="s">
        <v>76</v>
      </c>
      <c r="O17" s="63">
        <v>4</v>
      </c>
    </row>
    <row r="18" spans="4:15" x14ac:dyDescent="0.25">
      <c r="F18" s="16" t="s">
        <v>71</v>
      </c>
      <c r="G18" s="26">
        <v>114</v>
      </c>
      <c r="N18" s="58" t="s">
        <v>77</v>
      </c>
      <c r="O18" s="63">
        <v>15</v>
      </c>
    </row>
    <row r="19" spans="4:15" x14ac:dyDescent="0.25">
      <c r="F19" s="16" t="s">
        <v>60</v>
      </c>
      <c r="G19" s="25">
        <v>114</v>
      </c>
      <c r="N19" s="58" t="s">
        <v>77</v>
      </c>
      <c r="O19" s="63">
        <v>15</v>
      </c>
    </row>
    <row r="20" spans="4:15" x14ac:dyDescent="0.25">
      <c r="F20" s="27" t="s">
        <v>72</v>
      </c>
      <c r="G20" s="26" t="s">
        <v>72</v>
      </c>
      <c r="N20" s="58" t="s">
        <v>77</v>
      </c>
      <c r="O20" s="63">
        <v>15</v>
      </c>
    </row>
    <row r="21" spans="4:15" x14ac:dyDescent="0.25">
      <c r="F21" s="39" t="s">
        <v>295</v>
      </c>
      <c r="G21" s="25">
        <v>114</v>
      </c>
      <c r="N21" s="58" t="s">
        <v>77</v>
      </c>
      <c r="O21" s="63">
        <v>15</v>
      </c>
    </row>
    <row r="22" spans="4:15" x14ac:dyDescent="0.25">
      <c r="N22" s="58" t="s">
        <v>77</v>
      </c>
      <c r="O22" s="63">
        <v>15</v>
      </c>
    </row>
    <row r="23" spans="4:15" x14ac:dyDescent="0.25">
      <c r="N23" s="58" t="s">
        <v>77</v>
      </c>
      <c r="O23" s="63">
        <v>15</v>
      </c>
    </row>
    <row r="24" spans="4:15" x14ac:dyDescent="0.25">
      <c r="N24" s="58" t="s">
        <v>77</v>
      </c>
      <c r="O24" s="63">
        <v>15</v>
      </c>
    </row>
    <row r="25" spans="4:15" ht="51.75" customHeight="1" thickBot="1" x14ac:dyDescent="0.3">
      <c r="D25" s="28" t="s">
        <v>284</v>
      </c>
      <c r="E25" s="29" t="s">
        <v>56</v>
      </c>
      <c r="F25" s="91" t="s">
        <v>285</v>
      </c>
      <c r="G25" s="91" t="s">
        <v>56</v>
      </c>
      <c r="N25" s="58" t="s">
        <v>77</v>
      </c>
      <c r="O25" s="63">
        <v>15</v>
      </c>
    </row>
    <row r="26" spans="4:15" x14ac:dyDescent="0.25">
      <c r="D26" s="30" t="s">
        <v>74</v>
      </c>
      <c r="E26" s="31">
        <v>1</v>
      </c>
      <c r="F26" s="30" t="s">
        <v>142</v>
      </c>
      <c r="G26" s="34" t="s">
        <v>143</v>
      </c>
      <c r="N26" s="58" t="s">
        <v>78</v>
      </c>
      <c r="O26" s="63">
        <v>33</v>
      </c>
    </row>
    <row r="27" spans="4:15" ht="15.75" thickBot="1" x14ac:dyDescent="0.3">
      <c r="D27" s="15"/>
      <c r="E27" s="54"/>
      <c r="F27" s="32" t="s">
        <v>144</v>
      </c>
      <c r="G27" s="23" t="s">
        <v>145</v>
      </c>
      <c r="N27" s="14"/>
      <c r="O27" s="55"/>
    </row>
    <row r="28" spans="4:15" ht="15.75" thickBot="1" x14ac:dyDescent="0.3">
      <c r="D28" s="15"/>
      <c r="E28" s="54"/>
      <c r="F28" s="30" t="s">
        <v>167</v>
      </c>
      <c r="G28" s="34" t="s">
        <v>168</v>
      </c>
      <c r="N28" s="14"/>
      <c r="O28" s="55"/>
    </row>
    <row r="29" spans="4:15" x14ac:dyDescent="0.25">
      <c r="D29" s="15"/>
      <c r="E29" s="54"/>
      <c r="F29" s="30" t="s">
        <v>112</v>
      </c>
      <c r="G29" s="34" t="s">
        <v>113</v>
      </c>
      <c r="N29" s="14"/>
      <c r="O29" s="55"/>
    </row>
    <row r="30" spans="4:15" x14ac:dyDescent="0.25">
      <c r="D30" s="15"/>
      <c r="E30" s="54"/>
      <c r="F30" s="32" t="s">
        <v>169</v>
      </c>
      <c r="G30" s="23" t="s">
        <v>170</v>
      </c>
      <c r="N30" s="14"/>
      <c r="O30" s="55"/>
    </row>
    <row r="31" spans="4:15" x14ac:dyDescent="0.25">
      <c r="D31" s="15"/>
      <c r="E31" s="54"/>
      <c r="F31" s="32" t="s">
        <v>146</v>
      </c>
      <c r="G31" s="23" t="s">
        <v>147</v>
      </c>
      <c r="N31" s="14"/>
      <c r="O31" s="55"/>
    </row>
    <row r="32" spans="4:15" x14ac:dyDescent="0.25">
      <c r="D32" s="15"/>
      <c r="E32" s="54"/>
      <c r="F32" s="32" t="s">
        <v>148</v>
      </c>
      <c r="G32" s="23" t="s">
        <v>149</v>
      </c>
      <c r="N32" s="14"/>
      <c r="O32" s="55"/>
    </row>
    <row r="33" spans="1:15" ht="30" x14ac:dyDescent="0.25">
      <c r="A33">
        <v>1.8</v>
      </c>
      <c r="D33" s="15"/>
      <c r="E33" s="54"/>
      <c r="F33" s="39" t="s">
        <v>271</v>
      </c>
      <c r="G33" s="23" t="s">
        <v>272</v>
      </c>
      <c r="N33" s="14"/>
      <c r="O33" s="55"/>
    </row>
    <row r="34" spans="1:15" x14ac:dyDescent="0.25">
      <c r="F34" t="s">
        <v>273</v>
      </c>
      <c r="G34" s="92" t="s">
        <v>270</v>
      </c>
    </row>
    <row r="35" spans="1:15" ht="15.75" thickBot="1" x14ac:dyDescent="0.3">
      <c r="D35" s="32" t="s">
        <v>75</v>
      </c>
      <c r="E35" s="24">
        <v>2</v>
      </c>
      <c r="F35" s="32" t="s">
        <v>114</v>
      </c>
      <c r="G35" s="23" t="s">
        <v>115</v>
      </c>
      <c r="N35" s="70" t="s">
        <v>79</v>
      </c>
      <c r="O35" s="71">
        <v>38</v>
      </c>
    </row>
    <row r="36" spans="1:15" x14ac:dyDescent="0.25">
      <c r="D36" s="32" t="s">
        <v>82</v>
      </c>
      <c r="E36" s="23">
        <v>3</v>
      </c>
      <c r="F36" s="14"/>
      <c r="G36" s="92"/>
      <c r="N36" s="66" t="s">
        <v>80</v>
      </c>
      <c r="O36" s="57">
        <v>13</v>
      </c>
    </row>
    <row r="37" spans="1:15" x14ac:dyDescent="0.25">
      <c r="D37" s="32" t="s">
        <v>76</v>
      </c>
      <c r="E37" s="24">
        <v>4</v>
      </c>
      <c r="F37" s="51" t="s">
        <v>116</v>
      </c>
      <c r="G37" s="23" t="s">
        <v>117</v>
      </c>
      <c r="N37" s="69"/>
      <c r="O37" s="76"/>
    </row>
    <row r="38" spans="1:15" x14ac:dyDescent="0.25">
      <c r="F38" s="51" t="s">
        <v>118</v>
      </c>
      <c r="G38" s="23" t="s">
        <v>119</v>
      </c>
      <c r="N38" s="69"/>
      <c r="O38" s="76"/>
    </row>
    <row r="39" spans="1:15" x14ac:dyDescent="0.25">
      <c r="D39" s="32" t="s">
        <v>83</v>
      </c>
      <c r="E39" s="23">
        <v>5</v>
      </c>
      <c r="F39" s="32" t="s">
        <v>150</v>
      </c>
      <c r="G39" s="23" t="s">
        <v>151</v>
      </c>
      <c r="N39" s="67" t="s">
        <v>81</v>
      </c>
      <c r="O39" s="59">
        <v>14</v>
      </c>
    </row>
    <row r="40" spans="1:15" x14ac:dyDescent="0.25">
      <c r="F40" s="32" t="s">
        <v>152</v>
      </c>
      <c r="G40" s="23" t="s">
        <v>153</v>
      </c>
      <c r="N40" s="67"/>
      <c r="O40" s="59"/>
    </row>
    <row r="41" spans="1:15" x14ac:dyDescent="0.25">
      <c r="F41" s="32" t="s">
        <v>296</v>
      </c>
      <c r="G41" s="23" t="s">
        <v>155</v>
      </c>
      <c r="N41" s="67"/>
      <c r="O41" s="59"/>
    </row>
    <row r="42" spans="1:15" x14ac:dyDescent="0.25">
      <c r="N42" s="67" t="s">
        <v>77</v>
      </c>
      <c r="O42" s="59">
        <v>15</v>
      </c>
    </row>
    <row r="43" spans="1:15" x14ac:dyDescent="0.25">
      <c r="D43" s="38" t="s">
        <v>89</v>
      </c>
      <c r="E43" s="23">
        <v>6</v>
      </c>
      <c r="F43" s="32" t="s">
        <v>171</v>
      </c>
      <c r="G43" s="23" t="s">
        <v>172</v>
      </c>
      <c r="N43" s="72" t="s">
        <v>78</v>
      </c>
      <c r="O43" s="59">
        <v>33</v>
      </c>
    </row>
    <row r="44" spans="1:15" x14ac:dyDescent="0.25">
      <c r="D44" s="38"/>
      <c r="E44" s="23"/>
      <c r="F44" s="32" t="s">
        <v>173</v>
      </c>
      <c r="G44" s="23" t="s">
        <v>174</v>
      </c>
      <c r="N44" s="80"/>
      <c r="O44" s="73"/>
    </row>
    <row r="45" spans="1:15" x14ac:dyDescent="0.25">
      <c r="D45" s="38"/>
      <c r="E45" s="23"/>
      <c r="F45" s="32" t="s">
        <v>175</v>
      </c>
      <c r="G45" s="23" t="s">
        <v>176</v>
      </c>
      <c r="N45" s="80"/>
      <c r="O45" s="73"/>
    </row>
    <row r="46" spans="1:15" ht="30" x14ac:dyDescent="0.25">
      <c r="D46" s="38"/>
      <c r="E46" s="23"/>
      <c r="F46" s="36" t="s">
        <v>177</v>
      </c>
      <c r="G46" s="23" t="s">
        <v>178</v>
      </c>
      <c r="N46" s="80"/>
      <c r="O46" s="73"/>
    </row>
    <row r="47" spans="1:15" ht="15.75" thickBot="1" x14ac:dyDescent="0.3">
      <c r="D47" s="32" t="s">
        <v>90</v>
      </c>
      <c r="E47" s="23">
        <v>7</v>
      </c>
      <c r="N47" s="70" t="s">
        <v>79</v>
      </c>
      <c r="O47" s="73">
        <v>38</v>
      </c>
    </row>
    <row r="48" spans="1:15" x14ac:dyDescent="0.25">
      <c r="D48" s="43" t="s">
        <v>91</v>
      </c>
      <c r="E48" s="23">
        <v>8</v>
      </c>
      <c r="F48" s="32" t="s">
        <v>179</v>
      </c>
      <c r="G48" s="23" t="s">
        <v>180</v>
      </c>
      <c r="N48" s="61" t="s">
        <v>74</v>
      </c>
      <c r="O48" s="57">
        <v>1</v>
      </c>
    </row>
    <row r="49" spans="4:15" x14ac:dyDescent="0.25">
      <c r="D49" s="43"/>
      <c r="E49" s="23"/>
      <c r="F49" s="32" t="s">
        <v>181</v>
      </c>
      <c r="G49" s="23" t="s">
        <v>182</v>
      </c>
      <c r="N49" s="81"/>
      <c r="O49" s="76"/>
    </row>
    <row r="50" spans="4:15" x14ac:dyDescent="0.25">
      <c r="D50" s="43"/>
      <c r="E50" s="23"/>
      <c r="F50" s="32" t="s">
        <v>183</v>
      </c>
      <c r="G50" s="23" t="s">
        <v>184</v>
      </c>
      <c r="N50" s="81"/>
      <c r="O50" s="76"/>
    </row>
    <row r="51" spans="4:15" x14ac:dyDescent="0.25">
      <c r="D51" s="43"/>
      <c r="E51" s="23"/>
      <c r="F51" s="32" t="s">
        <v>185</v>
      </c>
      <c r="G51" s="23" t="s">
        <v>186</v>
      </c>
      <c r="N51" s="81"/>
      <c r="O51" s="76"/>
    </row>
    <row r="52" spans="4:15" x14ac:dyDescent="0.25">
      <c r="D52" s="43" t="s">
        <v>92</v>
      </c>
      <c r="E52" s="23">
        <v>9</v>
      </c>
      <c r="F52" s="32" t="s">
        <v>187</v>
      </c>
      <c r="G52" s="23" t="s">
        <v>188</v>
      </c>
      <c r="N52" s="81"/>
      <c r="O52" s="76"/>
    </row>
    <row r="53" spans="4:15" ht="30" x14ac:dyDescent="0.25">
      <c r="D53" s="32" t="s">
        <v>93</v>
      </c>
      <c r="E53" s="23">
        <v>10</v>
      </c>
      <c r="F53" s="51" t="s">
        <v>189</v>
      </c>
      <c r="G53" s="23" t="s">
        <v>190</v>
      </c>
      <c r="N53" s="81"/>
      <c r="O53" s="76"/>
    </row>
    <row r="54" spans="4:15" x14ac:dyDescent="0.25">
      <c r="E54" s="82"/>
      <c r="F54" s="51" t="s">
        <v>191</v>
      </c>
      <c r="G54" s="23" t="s">
        <v>192</v>
      </c>
      <c r="N54" s="81"/>
      <c r="O54" s="76"/>
    </row>
    <row r="55" spans="4:15" x14ac:dyDescent="0.25">
      <c r="E55" s="82"/>
      <c r="F55" s="51" t="s">
        <v>193</v>
      </c>
      <c r="G55" s="23" t="s">
        <v>194</v>
      </c>
      <c r="N55" s="81"/>
      <c r="O55" s="76"/>
    </row>
    <row r="56" spans="4:15" x14ac:dyDescent="0.25">
      <c r="F56" s="51" t="s">
        <v>195</v>
      </c>
      <c r="G56" s="23" t="s">
        <v>196</v>
      </c>
      <c r="N56" s="62" t="s">
        <v>74</v>
      </c>
      <c r="O56" s="59">
        <v>1</v>
      </c>
    </row>
    <row r="57" spans="4:15" x14ac:dyDescent="0.25">
      <c r="F57" s="83" t="s">
        <v>274</v>
      </c>
      <c r="G57" s="82" t="s">
        <v>275</v>
      </c>
      <c r="N57" s="62"/>
      <c r="O57" s="59"/>
    </row>
    <row r="58" spans="4:15" ht="30" x14ac:dyDescent="0.25">
      <c r="D58" s="35" t="s">
        <v>94</v>
      </c>
      <c r="E58" s="44">
        <v>11</v>
      </c>
      <c r="N58" s="58" t="s">
        <v>74</v>
      </c>
      <c r="O58" s="59">
        <v>1</v>
      </c>
    </row>
    <row r="59" spans="4:15" ht="15.75" thickBot="1" x14ac:dyDescent="0.3">
      <c r="D59" s="32" t="s">
        <v>95</v>
      </c>
      <c r="E59" s="23">
        <v>12</v>
      </c>
      <c r="N59" s="58" t="s">
        <v>74</v>
      </c>
      <c r="O59" s="59">
        <v>1</v>
      </c>
    </row>
    <row r="60" spans="4:15" x14ac:dyDescent="0.25">
      <c r="D60" s="33" t="s">
        <v>80</v>
      </c>
      <c r="E60" s="34">
        <v>13</v>
      </c>
      <c r="N60" s="58" t="s">
        <v>82</v>
      </c>
      <c r="O60" s="59">
        <v>3</v>
      </c>
    </row>
    <row r="61" spans="4:15" x14ac:dyDescent="0.25">
      <c r="D61" s="35" t="s">
        <v>81</v>
      </c>
      <c r="E61" s="23">
        <v>14</v>
      </c>
      <c r="N61" s="58" t="s">
        <v>83</v>
      </c>
      <c r="O61" s="59">
        <v>5</v>
      </c>
    </row>
    <row r="62" spans="4:15" x14ac:dyDescent="0.25">
      <c r="D62" s="35" t="s">
        <v>77</v>
      </c>
      <c r="E62" s="23">
        <v>15</v>
      </c>
      <c r="F62" s="51" t="s">
        <v>120</v>
      </c>
      <c r="G62" s="23" t="s">
        <v>121</v>
      </c>
      <c r="N62" s="58"/>
      <c r="O62" s="59"/>
    </row>
    <row r="63" spans="4:15" ht="30" x14ac:dyDescent="0.25">
      <c r="D63" s="83"/>
      <c r="E63" s="82"/>
      <c r="F63" s="51" t="s">
        <v>122</v>
      </c>
      <c r="G63" s="23" t="s">
        <v>123</v>
      </c>
      <c r="N63" s="58"/>
      <c r="O63" s="59"/>
    </row>
    <row r="64" spans="4:15" x14ac:dyDescent="0.25">
      <c r="D64" s="83"/>
      <c r="E64" s="82"/>
      <c r="F64" s="32" t="s">
        <v>198</v>
      </c>
      <c r="G64" s="23" t="s">
        <v>199</v>
      </c>
      <c r="N64" s="58"/>
      <c r="O64" s="59"/>
    </row>
    <row r="65" spans="4:15" x14ac:dyDescent="0.25">
      <c r="D65" s="83"/>
      <c r="E65" s="82"/>
      <c r="F65" s="51" t="s">
        <v>124</v>
      </c>
      <c r="G65" s="23" t="s">
        <v>125</v>
      </c>
      <c r="N65" s="58"/>
      <c r="O65" s="59"/>
    </row>
    <row r="66" spans="4:15" ht="30" x14ac:dyDescent="0.25">
      <c r="D66" s="83"/>
      <c r="E66" s="82"/>
      <c r="F66" s="51" t="s">
        <v>126</v>
      </c>
      <c r="G66" s="23" t="s">
        <v>127</v>
      </c>
      <c r="N66" s="58"/>
      <c r="O66" s="59"/>
    </row>
    <row r="67" spans="4:15" x14ac:dyDescent="0.25">
      <c r="D67" s="83"/>
      <c r="E67" s="82"/>
      <c r="F67" s="51" t="s">
        <v>128</v>
      </c>
      <c r="G67" s="23" t="s">
        <v>129</v>
      </c>
      <c r="N67" s="58"/>
      <c r="O67" s="59"/>
    </row>
    <row r="68" spans="4:15" ht="30" x14ac:dyDescent="0.25">
      <c r="D68" s="83"/>
      <c r="E68" s="82"/>
      <c r="F68" s="51" t="s">
        <v>130</v>
      </c>
      <c r="G68" s="23" t="s">
        <v>131</v>
      </c>
      <c r="N68" s="58"/>
      <c r="O68" s="59"/>
    </row>
    <row r="69" spans="4:15" ht="30" x14ac:dyDescent="0.25">
      <c r="D69" s="83"/>
      <c r="E69" s="82"/>
      <c r="F69" s="51" t="s">
        <v>132</v>
      </c>
      <c r="G69" s="23" t="s">
        <v>133</v>
      </c>
      <c r="N69" s="58"/>
      <c r="O69" s="59"/>
    </row>
    <row r="70" spans="4:15" x14ac:dyDescent="0.25">
      <c r="D70" s="83"/>
      <c r="E70" s="82"/>
      <c r="F70" s="32" t="s">
        <v>201</v>
      </c>
      <c r="G70" s="23" t="s">
        <v>202</v>
      </c>
      <c r="N70" s="58"/>
      <c r="O70" s="59"/>
    </row>
    <row r="71" spans="4:15" x14ac:dyDescent="0.25">
      <c r="D71" s="83"/>
      <c r="E71" s="82"/>
      <c r="F71" s="32" t="s">
        <v>134</v>
      </c>
      <c r="G71" s="23" t="s">
        <v>135</v>
      </c>
      <c r="N71" s="58"/>
      <c r="O71" s="59"/>
    </row>
    <row r="72" spans="4:15" x14ac:dyDescent="0.25">
      <c r="D72" s="83"/>
      <c r="E72" s="82"/>
      <c r="F72" s="32" t="s">
        <v>203</v>
      </c>
      <c r="G72" s="93" t="s">
        <v>204</v>
      </c>
      <c r="N72" s="58"/>
      <c r="O72" s="59"/>
    </row>
    <row r="73" spans="4:15" x14ac:dyDescent="0.25">
      <c r="D73" s="32" t="s">
        <v>96</v>
      </c>
      <c r="E73" s="23">
        <v>16</v>
      </c>
      <c r="F73" s="32" t="s">
        <v>205</v>
      </c>
      <c r="G73" s="23" t="s">
        <v>206</v>
      </c>
      <c r="N73" s="58"/>
      <c r="O73" s="59"/>
    </row>
    <row r="74" spans="4:15" x14ac:dyDescent="0.25">
      <c r="D74" s="83"/>
      <c r="E74" s="82"/>
      <c r="F74" s="32" t="s">
        <v>207</v>
      </c>
      <c r="G74" s="23" t="s">
        <v>208</v>
      </c>
      <c r="N74" s="58"/>
      <c r="O74" s="59"/>
    </row>
    <row r="75" spans="4:15" x14ac:dyDescent="0.25">
      <c r="D75" s="83"/>
      <c r="E75" s="82"/>
      <c r="F75" s="32" t="s">
        <v>209</v>
      </c>
      <c r="G75" s="23" t="s">
        <v>210</v>
      </c>
      <c r="N75" s="58"/>
      <c r="O75" s="59"/>
    </row>
    <row r="76" spans="4:15" x14ac:dyDescent="0.25">
      <c r="D76" s="83"/>
      <c r="E76" s="82"/>
      <c r="F76" s="32" t="s">
        <v>276</v>
      </c>
      <c r="G76" s="23" t="s">
        <v>277</v>
      </c>
      <c r="N76" s="58"/>
      <c r="O76" s="59"/>
    </row>
    <row r="77" spans="4:15" x14ac:dyDescent="0.25">
      <c r="D77" s="32" t="s">
        <v>97</v>
      </c>
      <c r="E77" s="23">
        <v>17</v>
      </c>
      <c r="F77" s="32" t="s">
        <v>211</v>
      </c>
      <c r="G77" s="23" t="s">
        <v>212</v>
      </c>
      <c r="N77" s="58" t="s">
        <v>83</v>
      </c>
      <c r="O77" s="59">
        <v>5</v>
      </c>
    </row>
    <row r="78" spans="4:15" x14ac:dyDescent="0.25">
      <c r="D78" s="32" t="s">
        <v>84</v>
      </c>
      <c r="E78" s="23">
        <v>18</v>
      </c>
      <c r="F78" s="32" t="s">
        <v>157</v>
      </c>
      <c r="G78" s="23" t="s">
        <v>158</v>
      </c>
      <c r="N78" s="58" t="s">
        <v>83</v>
      </c>
      <c r="O78" s="59">
        <v>5</v>
      </c>
    </row>
    <row r="79" spans="4:15" x14ac:dyDescent="0.25">
      <c r="F79" s="32" t="s">
        <v>159</v>
      </c>
      <c r="G79" s="23" t="s">
        <v>160</v>
      </c>
      <c r="N79" s="58" t="s">
        <v>77</v>
      </c>
      <c r="O79" s="59">
        <v>15</v>
      </c>
    </row>
    <row r="80" spans="4:15" x14ac:dyDescent="0.25">
      <c r="D80" s="32" t="s">
        <v>98</v>
      </c>
      <c r="E80" s="23">
        <v>19</v>
      </c>
      <c r="N80" s="58" t="s">
        <v>84</v>
      </c>
      <c r="O80" s="59">
        <v>18</v>
      </c>
    </row>
    <row r="81" spans="4:15" x14ac:dyDescent="0.25">
      <c r="D81" s="32" t="s">
        <v>99</v>
      </c>
      <c r="E81" s="23">
        <v>20</v>
      </c>
      <c r="F81" s="32" t="s">
        <v>213</v>
      </c>
      <c r="G81" s="23" t="s">
        <v>214</v>
      </c>
      <c r="N81" s="58" t="s">
        <v>84</v>
      </c>
      <c r="O81" s="59">
        <v>18</v>
      </c>
    </row>
    <row r="82" spans="4:15" x14ac:dyDescent="0.25">
      <c r="F82" s="32" t="s">
        <v>215</v>
      </c>
      <c r="G82" s="23" t="s">
        <v>216</v>
      </c>
      <c r="N82" s="58" t="s">
        <v>85</v>
      </c>
      <c r="O82" s="59">
        <v>27</v>
      </c>
    </row>
    <row r="83" spans="4:15" ht="30" x14ac:dyDescent="0.25">
      <c r="D83" s="32" t="s">
        <v>100</v>
      </c>
      <c r="E83" s="23">
        <v>21</v>
      </c>
      <c r="F83" s="94" t="s">
        <v>217</v>
      </c>
      <c r="G83" s="23" t="s">
        <v>218</v>
      </c>
      <c r="N83" s="74" t="s">
        <v>86</v>
      </c>
      <c r="O83" s="59">
        <v>28</v>
      </c>
    </row>
    <row r="84" spans="4:15" x14ac:dyDescent="0.25">
      <c r="F84" s="94" t="s">
        <v>219</v>
      </c>
      <c r="G84" s="23" t="s">
        <v>220</v>
      </c>
      <c r="N84" s="58" t="s">
        <v>87</v>
      </c>
      <c r="O84" s="59">
        <v>29</v>
      </c>
    </row>
    <row r="85" spans="4:15" ht="30" x14ac:dyDescent="0.25">
      <c r="F85" s="94" t="s">
        <v>221</v>
      </c>
      <c r="G85" s="23" t="s">
        <v>222</v>
      </c>
      <c r="I85" s="86"/>
      <c r="J85" s="82"/>
      <c r="N85" s="58"/>
      <c r="O85" s="59"/>
    </row>
    <row r="86" spans="4:15" x14ac:dyDescent="0.25">
      <c r="D86" s="32" t="s">
        <v>101</v>
      </c>
      <c r="E86" s="23">
        <v>22</v>
      </c>
      <c r="N86" s="58" t="s">
        <v>78</v>
      </c>
      <c r="O86" s="59">
        <v>33</v>
      </c>
    </row>
    <row r="87" spans="4:15" x14ac:dyDescent="0.25">
      <c r="D87" s="38" t="s">
        <v>102</v>
      </c>
      <c r="E87" s="23">
        <v>23</v>
      </c>
      <c r="F87" s="32" t="s">
        <v>223</v>
      </c>
      <c r="G87" s="23" t="s">
        <v>224</v>
      </c>
      <c r="N87" s="75"/>
      <c r="O87" s="76"/>
    </row>
    <row r="88" spans="4:15" x14ac:dyDescent="0.25">
      <c r="D88" s="32"/>
      <c r="E88" s="23"/>
      <c r="F88" s="32" t="s">
        <v>225</v>
      </c>
      <c r="G88" s="23" t="s">
        <v>226</v>
      </c>
      <c r="N88" s="75"/>
      <c r="O88" s="76"/>
    </row>
    <row r="89" spans="4:15" x14ac:dyDescent="0.25">
      <c r="F89" s="32" t="s">
        <v>227</v>
      </c>
      <c r="G89" s="23" t="s">
        <v>228</v>
      </c>
      <c r="N89" s="75" t="s">
        <v>88</v>
      </c>
      <c r="O89" s="76">
        <v>35</v>
      </c>
    </row>
    <row r="90" spans="4:15" x14ac:dyDescent="0.25">
      <c r="D90" s="45" t="s">
        <v>103</v>
      </c>
      <c r="E90" s="46">
        <v>24</v>
      </c>
      <c r="F90" s="32" t="s">
        <v>229</v>
      </c>
      <c r="G90" s="25" t="s">
        <v>230</v>
      </c>
      <c r="N90" s="70" t="s">
        <v>79</v>
      </c>
      <c r="O90" s="73">
        <v>38</v>
      </c>
    </row>
    <row r="91" spans="4:15" x14ac:dyDescent="0.25">
      <c r="D91" s="87"/>
      <c r="E91" s="46"/>
      <c r="F91" s="32" t="s">
        <v>231</v>
      </c>
      <c r="G91" s="25" t="s">
        <v>232</v>
      </c>
      <c r="N91" s="70"/>
      <c r="O91" s="73"/>
    </row>
    <row r="92" spans="4:15" ht="15.75" thickBot="1" x14ac:dyDescent="0.3">
      <c r="D92" s="47" t="s">
        <v>104</v>
      </c>
      <c r="E92" s="24">
        <v>25</v>
      </c>
      <c r="F92" s="32" t="s">
        <v>233</v>
      </c>
      <c r="G92" s="25" t="s">
        <v>234</v>
      </c>
      <c r="N92" s="70"/>
      <c r="O92" s="73"/>
    </row>
    <row r="93" spans="4:15" x14ac:dyDescent="0.25">
      <c r="F93" s="32" t="s">
        <v>235</v>
      </c>
      <c r="G93" s="25" t="s">
        <v>236</v>
      </c>
      <c r="N93" s="56" t="s">
        <v>74</v>
      </c>
      <c r="O93" s="57">
        <v>1</v>
      </c>
    </row>
    <row r="94" spans="4:15" x14ac:dyDescent="0.25">
      <c r="D94" s="38" t="s">
        <v>105</v>
      </c>
      <c r="E94" s="23">
        <v>26</v>
      </c>
      <c r="F94" s="32" t="s">
        <v>237</v>
      </c>
      <c r="G94" s="23" t="s">
        <v>238</v>
      </c>
      <c r="N94" s="75"/>
      <c r="O94" s="76"/>
    </row>
    <row r="95" spans="4:15" x14ac:dyDescent="0.25">
      <c r="D95" s="32" t="s">
        <v>85</v>
      </c>
      <c r="E95" s="23">
        <v>27</v>
      </c>
      <c r="N95" s="58" t="s">
        <v>74</v>
      </c>
      <c r="O95" s="59">
        <v>1</v>
      </c>
    </row>
    <row r="96" spans="4:15" x14ac:dyDescent="0.25">
      <c r="D96" s="39" t="s">
        <v>86</v>
      </c>
      <c r="E96" s="23">
        <v>28</v>
      </c>
      <c r="N96" s="62" t="s">
        <v>89</v>
      </c>
      <c r="O96" s="59">
        <v>6</v>
      </c>
    </row>
    <row r="97" spans="4:15" x14ac:dyDescent="0.25">
      <c r="D97" s="32" t="s">
        <v>87</v>
      </c>
      <c r="E97" s="23">
        <v>29</v>
      </c>
      <c r="F97" s="32" t="s">
        <v>161</v>
      </c>
      <c r="G97" s="23" t="s">
        <v>162</v>
      </c>
      <c r="N97" s="62" t="s">
        <v>89</v>
      </c>
      <c r="O97" s="59">
        <v>6</v>
      </c>
    </row>
    <row r="98" spans="4:15" x14ac:dyDescent="0.25">
      <c r="D98" t="s">
        <v>269</v>
      </c>
      <c r="E98" s="90">
        <v>30</v>
      </c>
      <c r="N98" s="62" t="s">
        <v>89</v>
      </c>
      <c r="O98" s="59">
        <v>6</v>
      </c>
    </row>
    <row r="99" spans="4:15" x14ac:dyDescent="0.25">
      <c r="D99" s="36" t="s">
        <v>106</v>
      </c>
      <c r="E99" s="23">
        <v>31</v>
      </c>
      <c r="F99" s="51" t="s">
        <v>239</v>
      </c>
      <c r="G99" s="23" t="s">
        <v>240</v>
      </c>
      <c r="N99" s="62"/>
      <c r="O99" s="59"/>
    </row>
    <row r="100" spans="4:15" ht="30" x14ac:dyDescent="0.25">
      <c r="D100" s="89"/>
      <c r="E100" s="82"/>
      <c r="F100" s="51" t="s">
        <v>241</v>
      </c>
      <c r="G100" s="23" t="s">
        <v>242</v>
      </c>
      <c r="N100" s="62"/>
      <c r="O100" s="59"/>
    </row>
    <row r="101" spans="4:15" ht="30" x14ac:dyDescent="0.25">
      <c r="D101" s="89"/>
      <c r="E101" s="82"/>
      <c r="F101" s="51" t="s">
        <v>243</v>
      </c>
      <c r="G101" s="23" t="s">
        <v>244</v>
      </c>
      <c r="N101" s="62"/>
      <c r="O101" s="59"/>
    </row>
    <row r="102" spans="4:15" x14ac:dyDescent="0.25">
      <c r="D102" s="89"/>
      <c r="E102" s="82"/>
      <c r="F102" s="51" t="s">
        <v>245</v>
      </c>
      <c r="G102" s="23" t="s">
        <v>246</v>
      </c>
      <c r="N102" s="62"/>
      <c r="O102" s="59"/>
    </row>
    <row r="103" spans="4:15" x14ac:dyDescent="0.25">
      <c r="D103" s="89"/>
      <c r="E103" s="82"/>
      <c r="F103" s="51" t="s">
        <v>247</v>
      </c>
      <c r="G103" s="23" t="s">
        <v>248</v>
      </c>
      <c r="N103" s="62"/>
      <c r="O103" s="59"/>
    </row>
    <row r="104" spans="4:15" ht="30" x14ac:dyDescent="0.25">
      <c r="D104" s="89"/>
      <c r="E104" s="82"/>
      <c r="F104" s="51" t="s">
        <v>249</v>
      </c>
      <c r="G104" s="23" t="s">
        <v>250</v>
      </c>
      <c r="N104" s="62"/>
      <c r="O104" s="59"/>
    </row>
    <row r="105" spans="4:15" x14ac:dyDescent="0.25">
      <c r="D105" s="89"/>
      <c r="E105" s="82"/>
      <c r="F105" s="51" t="s">
        <v>251</v>
      </c>
      <c r="G105" s="23" t="s">
        <v>252</v>
      </c>
      <c r="N105" s="38" t="s">
        <v>89</v>
      </c>
      <c r="O105" s="42"/>
    </row>
    <row r="106" spans="4:15" x14ac:dyDescent="0.25">
      <c r="F106" s="51" t="s">
        <v>253</v>
      </c>
      <c r="G106" s="23" t="s">
        <v>254</v>
      </c>
      <c r="N106" s="58" t="s">
        <v>90</v>
      </c>
      <c r="O106" s="59">
        <v>7</v>
      </c>
    </row>
    <row r="107" spans="4:15" x14ac:dyDescent="0.25">
      <c r="F107" s="51" t="s">
        <v>255</v>
      </c>
      <c r="G107" s="23" t="s">
        <v>256</v>
      </c>
      <c r="N107" s="58"/>
      <c r="O107" s="59"/>
    </row>
    <row r="108" spans="4:15" ht="30" x14ac:dyDescent="0.25">
      <c r="F108" s="51" t="s">
        <v>278</v>
      </c>
      <c r="G108" s="23" t="s">
        <v>279</v>
      </c>
      <c r="N108" s="58"/>
      <c r="O108" s="59"/>
    </row>
    <row r="109" spans="4:15" x14ac:dyDescent="0.25">
      <c r="D109" s="36" t="s">
        <v>107</v>
      </c>
      <c r="E109" s="23">
        <v>32</v>
      </c>
      <c r="F109" s="48" t="s">
        <v>257</v>
      </c>
      <c r="G109" s="23" t="s">
        <v>258</v>
      </c>
      <c r="N109" s="64" t="s">
        <v>91</v>
      </c>
      <c r="O109" s="59">
        <v>8</v>
      </c>
    </row>
    <row r="110" spans="4:15" ht="30" x14ac:dyDescent="0.25">
      <c r="F110" s="48" t="s">
        <v>259</v>
      </c>
      <c r="G110" s="23" t="s">
        <v>260</v>
      </c>
      <c r="N110" s="64" t="s">
        <v>91</v>
      </c>
      <c r="O110" s="59">
        <v>8</v>
      </c>
    </row>
    <row r="111" spans="4:15" x14ac:dyDescent="0.25">
      <c r="D111" s="36" t="s">
        <v>78</v>
      </c>
      <c r="E111" s="23">
        <v>33</v>
      </c>
      <c r="F111" s="48" t="s">
        <v>136</v>
      </c>
      <c r="G111" s="23" t="s">
        <v>137</v>
      </c>
      <c r="N111" s="64" t="s">
        <v>91</v>
      </c>
      <c r="O111" s="59">
        <v>8</v>
      </c>
    </row>
    <row r="112" spans="4:15" x14ac:dyDescent="0.25">
      <c r="N112" s="64" t="s">
        <v>91</v>
      </c>
      <c r="O112" s="59">
        <v>8</v>
      </c>
    </row>
    <row r="113" spans="4:15" x14ac:dyDescent="0.25">
      <c r="D113" s="48" t="s">
        <v>108</v>
      </c>
      <c r="E113" s="49">
        <v>34</v>
      </c>
      <c r="N113" s="64" t="s">
        <v>92</v>
      </c>
      <c r="O113" s="59">
        <v>9</v>
      </c>
    </row>
    <row r="114" spans="4:15" x14ac:dyDescent="0.25">
      <c r="D114" s="40" t="s">
        <v>88</v>
      </c>
      <c r="E114" s="41">
        <v>35</v>
      </c>
      <c r="F114" s="32" t="s">
        <v>163</v>
      </c>
      <c r="G114" s="23" t="s">
        <v>164</v>
      </c>
      <c r="N114" s="58" t="s">
        <v>93</v>
      </c>
      <c r="O114" s="59">
        <v>10</v>
      </c>
    </row>
    <row r="115" spans="4:15" x14ac:dyDescent="0.25">
      <c r="D115" s="50" t="s">
        <v>109</v>
      </c>
      <c r="E115" s="42">
        <v>36</v>
      </c>
      <c r="F115" s="36" t="s">
        <v>262</v>
      </c>
      <c r="G115" s="23" t="s">
        <v>263</v>
      </c>
      <c r="N115" s="58" t="s">
        <v>93</v>
      </c>
      <c r="O115" s="59">
        <v>10</v>
      </c>
    </row>
    <row r="116" spans="4:15" x14ac:dyDescent="0.25">
      <c r="D116" s="50" t="s">
        <v>110</v>
      </c>
      <c r="E116" s="42">
        <v>37</v>
      </c>
      <c r="F116" s="36" t="s">
        <v>264</v>
      </c>
      <c r="G116" s="23" t="s">
        <v>265</v>
      </c>
      <c r="N116" s="58"/>
      <c r="O116" s="59"/>
    </row>
    <row r="117" spans="4:15" x14ac:dyDescent="0.25">
      <c r="D117" s="50" t="s">
        <v>53</v>
      </c>
      <c r="E117" s="42">
        <v>38</v>
      </c>
      <c r="F117" s="95" t="s">
        <v>138</v>
      </c>
      <c r="G117" s="92" t="s">
        <v>139</v>
      </c>
      <c r="N117" s="58"/>
      <c r="O117" s="59"/>
    </row>
    <row r="118" spans="4:15" x14ac:dyDescent="0.25">
      <c r="D118" s="50"/>
      <c r="E118" s="42"/>
      <c r="F118" s="95" t="s">
        <v>140</v>
      </c>
      <c r="G118" s="92" t="s">
        <v>141</v>
      </c>
      <c r="N118" s="58"/>
      <c r="O118" s="59"/>
    </row>
    <row r="119" spans="4:15" x14ac:dyDescent="0.25">
      <c r="D119" s="50"/>
      <c r="E119" s="42"/>
      <c r="F119" s="95" t="s">
        <v>165</v>
      </c>
      <c r="G119" s="92" t="s">
        <v>166</v>
      </c>
      <c r="N119" s="58" t="s">
        <v>93</v>
      </c>
      <c r="O119" s="59">
        <v>10</v>
      </c>
    </row>
    <row r="120" spans="4:15" x14ac:dyDescent="0.25">
      <c r="F120" s="36" t="s">
        <v>266</v>
      </c>
      <c r="G120" s="23" t="s">
        <v>267</v>
      </c>
      <c r="N120" s="65" t="s">
        <v>93</v>
      </c>
      <c r="O120" s="59">
        <v>10</v>
      </c>
    </row>
    <row r="121" spans="4:15" x14ac:dyDescent="0.25">
      <c r="F121" s="36" t="s">
        <v>280</v>
      </c>
      <c r="G121" s="23" t="s">
        <v>281</v>
      </c>
      <c r="N121" s="65"/>
      <c r="O121" s="59"/>
    </row>
    <row r="122" spans="4:15" x14ac:dyDescent="0.25">
      <c r="F122" s="36" t="s">
        <v>282</v>
      </c>
      <c r="G122" s="23" t="s">
        <v>283</v>
      </c>
      <c r="N122" s="65"/>
      <c r="O122" s="59"/>
    </row>
    <row r="123" spans="4:15" ht="30" x14ac:dyDescent="0.25">
      <c r="D123" s="50" t="s">
        <v>111</v>
      </c>
      <c r="E123" s="42">
        <v>39</v>
      </c>
      <c r="F123" s="36" t="s">
        <v>177</v>
      </c>
      <c r="G123" s="23" t="s">
        <v>268</v>
      </c>
      <c r="N123" s="67" t="s">
        <v>94</v>
      </c>
      <c r="O123" s="68">
        <v>11</v>
      </c>
    </row>
    <row r="124" spans="4:15" x14ac:dyDescent="0.25">
      <c r="F124" s="52" t="s">
        <v>72</v>
      </c>
      <c r="G124" s="37" t="s">
        <v>72</v>
      </c>
      <c r="N124" s="58" t="s">
        <v>95</v>
      </c>
      <c r="O124" s="59">
        <v>12</v>
      </c>
    </row>
    <row r="125" spans="4:15" x14ac:dyDescent="0.25">
      <c r="N125" s="62" t="s">
        <v>77</v>
      </c>
      <c r="O125" s="59">
        <v>15</v>
      </c>
    </row>
    <row r="126" spans="4:15" x14ac:dyDescent="0.25">
      <c r="N126" s="62" t="s">
        <v>77</v>
      </c>
      <c r="O126" s="59">
        <v>15</v>
      </c>
    </row>
    <row r="127" spans="4:15" x14ac:dyDescent="0.25">
      <c r="N127" s="62" t="s">
        <v>77</v>
      </c>
      <c r="O127" s="59">
        <v>15</v>
      </c>
    </row>
    <row r="128" spans="4:15" x14ac:dyDescent="0.25">
      <c r="N128" s="62" t="s">
        <v>77</v>
      </c>
      <c r="O128" s="59">
        <v>15</v>
      </c>
    </row>
    <row r="129" spans="14:15" x14ac:dyDescent="0.25">
      <c r="N129" s="62" t="s">
        <v>77</v>
      </c>
      <c r="O129" s="59">
        <v>15</v>
      </c>
    </row>
    <row r="130" spans="14:15" x14ac:dyDescent="0.25">
      <c r="N130" s="58" t="s">
        <v>96</v>
      </c>
      <c r="O130" s="59">
        <v>16</v>
      </c>
    </row>
    <row r="131" spans="14:15" x14ac:dyDescent="0.25">
      <c r="N131" s="58" t="s">
        <v>96</v>
      </c>
      <c r="O131" s="59">
        <v>16</v>
      </c>
    </row>
    <row r="132" spans="14:15" x14ac:dyDescent="0.25">
      <c r="N132" s="58" t="s">
        <v>96</v>
      </c>
      <c r="O132" s="59">
        <v>16</v>
      </c>
    </row>
    <row r="133" spans="14:15" x14ac:dyDescent="0.25">
      <c r="N133" s="58" t="s">
        <v>97</v>
      </c>
      <c r="O133" s="59">
        <v>17</v>
      </c>
    </row>
    <row r="134" spans="14:15" x14ac:dyDescent="0.25">
      <c r="N134" s="58" t="s">
        <v>98</v>
      </c>
      <c r="O134" s="59">
        <v>19</v>
      </c>
    </row>
    <row r="135" spans="14:15" x14ac:dyDescent="0.25">
      <c r="N135" s="58" t="s">
        <v>99</v>
      </c>
      <c r="O135" s="59">
        <v>20</v>
      </c>
    </row>
    <row r="136" spans="14:15" x14ac:dyDescent="0.25">
      <c r="N136" s="58" t="s">
        <v>99</v>
      </c>
      <c r="O136" s="59">
        <v>20</v>
      </c>
    </row>
    <row r="137" spans="14:15" x14ac:dyDescent="0.25">
      <c r="N137" s="58" t="s">
        <v>100</v>
      </c>
      <c r="O137" s="59">
        <v>21</v>
      </c>
    </row>
    <row r="138" spans="14:15" x14ac:dyDescent="0.25">
      <c r="N138" s="58" t="s">
        <v>100</v>
      </c>
      <c r="O138" s="59">
        <v>21</v>
      </c>
    </row>
    <row r="139" spans="14:15" x14ac:dyDescent="0.25">
      <c r="N139" s="58" t="s">
        <v>100</v>
      </c>
      <c r="O139" s="59">
        <v>21</v>
      </c>
    </row>
    <row r="140" spans="14:15" x14ac:dyDescent="0.25">
      <c r="N140" s="58" t="s">
        <v>101</v>
      </c>
      <c r="O140" s="59">
        <v>22</v>
      </c>
    </row>
    <row r="141" spans="14:15" x14ac:dyDescent="0.25">
      <c r="N141" s="62" t="s">
        <v>102</v>
      </c>
      <c r="O141" s="59">
        <v>23</v>
      </c>
    </row>
    <row r="142" spans="14:15" x14ac:dyDescent="0.25">
      <c r="N142" s="62" t="s">
        <v>102</v>
      </c>
      <c r="O142" s="59">
        <v>23</v>
      </c>
    </row>
    <row r="143" spans="14:15" x14ac:dyDescent="0.25">
      <c r="N143" s="65" t="s">
        <v>102</v>
      </c>
      <c r="O143" s="59">
        <v>23</v>
      </c>
    </row>
    <row r="144" spans="14:15" ht="30" x14ac:dyDescent="0.25">
      <c r="N144" s="67" t="s">
        <v>103</v>
      </c>
      <c r="O144" s="63">
        <v>24</v>
      </c>
    </row>
    <row r="145" spans="14:15" ht="30" x14ac:dyDescent="0.25">
      <c r="N145" s="67" t="s">
        <v>103</v>
      </c>
      <c r="O145" s="63">
        <v>24</v>
      </c>
    </row>
    <row r="146" spans="14:15" x14ac:dyDescent="0.25">
      <c r="N146" s="69" t="s">
        <v>104</v>
      </c>
      <c r="O146" s="63">
        <v>25</v>
      </c>
    </row>
    <row r="147" spans="14:15" x14ac:dyDescent="0.25">
      <c r="N147" s="69" t="s">
        <v>104</v>
      </c>
      <c r="O147" s="63">
        <v>25</v>
      </c>
    </row>
    <row r="148" spans="14:15" x14ac:dyDescent="0.25">
      <c r="N148" s="62" t="s">
        <v>105</v>
      </c>
      <c r="O148" s="59">
        <v>26</v>
      </c>
    </row>
    <row r="149" spans="14:15" ht="30" x14ac:dyDescent="0.25">
      <c r="N149" s="72" t="s">
        <v>106</v>
      </c>
      <c r="O149" s="59">
        <v>31</v>
      </c>
    </row>
    <row r="150" spans="14:15" ht="30" x14ac:dyDescent="0.25">
      <c r="N150" s="72" t="s">
        <v>106</v>
      </c>
      <c r="O150" s="59">
        <v>31</v>
      </c>
    </row>
    <row r="151" spans="14:15" ht="30" x14ac:dyDescent="0.25">
      <c r="N151" s="72" t="s">
        <v>106</v>
      </c>
      <c r="O151" s="59">
        <v>31</v>
      </c>
    </row>
    <row r="152" spans="14:15" ht="30" x14ac:dyDescent="0.25">
      <c r="N152" s="72" t="s">
        <v>106</v>
      </c>
      <c r="O152" s="59">
        <v>31</v>
      </c>
    </row>
    <row r="153" spans="14:15" ht="30" x14ac:dyDescent="0.25">
      <c r="N153" s="72" t="s">
        <v>106</v>
      </c>
      <c r="O153" s="59">
        <v>31</v>
      </c>
    </row>
    <row r="154" spans="14:15" ht="30" x14ac:dyDescent="0.25">
      <c r="N154" s="72" t="s">
        <v>106</v>
      </c>
      <c r="O154" s="59">
        <v>31</v>
      </c>
    </row>
    <row r="155" spans="14:15" ht="30" x14ac:dyDescent="0.25">
      <c r="N155" s="72" t="s">
        <v>106</v>
      </c>
      <c r="O155" s="59">
        <v>31</v>
      </c>
    </row>
    <row r="156" spans="14:15" ht="30" x14ac:dyDescent="0.25">
      <c r="N156" s="72" t="s">
        <v>106</v>
      </c>
      <c r="O156" s="59">
        <v>31</v>
      </c>
    </row>
    <row r="157" spans="14:15" ht="30" x14ac:dyDescent="0.25">
      <c r="N157" s="72" t="s">
        <v>106</v>
      </c>
      <c r="O157" s="59">
        <v>31</v>
      </c>
    </row>
    <row r="158" spans="14:15" x14ac:dyDescent="0.25">
      <c r="N158" s="72" t="s">
        <v>107</v>
      </c>
      <c r="O158" s="59">
        <v>32</v>
      </c>
    </row>
    <row r="159" spans="14:15" x14ac:dyDescent="0.25">
      <c r="N159" s="72" t="s">
        <v>107</v>
      </c>
      <c r="O159" s="59">
        <v>32</v>
      </c>
    </row>
    <row r="160" spans="14:15" x14ac:dyDescent="0.25">
      <c r="N160" s="72" t="s">
        <v>78</v>
      </c>
      <c r="O160" s="59">
        <v>33</v>
      </c>
    </row>
    <row r="161" spans="14:15" x14ac:dyDescent="0.25">
      <c r="N161" s="77" t="s">
        <v>108</v>
      </c>
      <c r="O161" s="78">
        <v>34</v>
      </c>
    </row>
    <row r="162" spans="14:15" x14ac:dyDescent="0.25">
      <c r="N162" s="72" t="s">
        <v>109</v>
      </c>
      <c r="O162" s="59">
        <v>36</v>
      </c>
    </row>
    <row r="163" spans="14:15" x14ac:dyDescent="0.25">
      <c r="N163" s="72" t="s">
        <v>110</v>
      </c>
      <c r="O163" s="59">
        <v>37</v>
      </c>
    </row>
    <row r="164" spans="14:15" x14ac:dyDescent="0.25">
      <c r="N164" s="72" t="s">
        <v>53</v>
      </c>
      <c r="O164" s="59">
        <v>38</v>
      </c>
    </row>
    <row r="165" spans="14:15" ht="15.75" thickBot="1" x14ac:dyDescent="0.3">
      <c r="N165" s="72" t="s">
        <v>111</v>
      </c>
      <c r="O165" s="59">
        <v>39</v>
      </c>
    </row>
    <row r="166" spans="14:15" x14ac:dyDescent="0.25">
      <c r="N166" s="56" t="s">
        <v>112</v>
      </c>
      <c r="O166" s="57" t="s">
        <v>113</v>
      </c>
    </row>
    <row r="167" spans="14:15" x14ac:dyDescent="0.25">
      <c r="N167" s="58" t="s">
        <v>114</v>
      </c>
      <c r="O167" s="59" t="s">
        <v>115</v>
      </c>
    </row>
    <row r="168" spans="14:15" x14ac:dyDescent="0.25">
      <c r="N168" s="79" t="s">
        <v>116</v>
      </c>
      <c r="O168" s="59" t="s">
        <v>117</v>
      </c>
    </row>
    <row r="169" spans="14:15" x14ac:dyDescent="0.25">
      <c r="N169" s="79" t="s">
        <v>118</v>
      </c>
      <c r="O169" s="59" t="s">
        <v>119</v>
      </c>
    </row>
    <row r="170" spans="14:15" x14ac:dyDescent="0.25">
      <c r="N170" s="79" t="s">
        <v>120</v>
      </c>
      <c r="O170" s="59" t="s">
        <v>121</v>
      </c>
    </row>
    <row r="171" spans="14:15" ht="30" x14ac:dyDescent="0.25">
      <c r="N171" s="79" t="s">
        <v>122</v>
      </c>
      <c r="O171" s="59" t="s">
        <v>123</v>
      </c>
    </row>
    <row r="172" spans="14:15" x14ac:dyDescent="0.25">
      <c r="N172" s="79" t="s">
        <v>124</v>
      </c>
      <c r="O172" s="59" t="s">
        <v>125</v>
      </c>
    </row>
    <row r="173" spans="14:15" ht="30" x14ac:dyDescent="0.25">
      <c r="N173" s="79" t="s">
        <v>126</v>
      </c>
      <c r="O173" s="59" t="s">
        <v>127</v>
      </c>
    </row>
    <row r="174" spans="14:15" x14ac:dyDescent="0.25">
      <c r="N174" s="79" t="s">
        <v>128</v>
      </c>
      <c r="O174" s="59" t="s">
        <v>129</v>
      </c>
    </row>
    <row r="175" spans="14:15" ht="30" x14ac:dyDescent="0.25">
      <c r="N175" s="79" t="s">
        <v>130</v>
      </c>
      <c r="O175" s="59" t="s">
        <v>131</v>
      </c>
    </row>
    <row r="176" spans="14:15" ht="30" x14ac:dyDescent="0.25">
      <c r="N176" s="79" t="s">
        <v>132</v>
      </c>
      <c r="O176" s="59" t="s">
        <v>133</v>
      </c>
    </row>
    <row r="177" spans="14:15" x14ac:dyDescent="0.25">
      <c r="N177" s="58" t="s">
        <v>134</v>
      </c>
      <c r="O177" s="59" t="s">
        <v>135</v>
      </c>
    </row>
    <row r="178" spans="14:15" x14ac:dyDescent="0.25">
      <c r="N178" s="72" t="s">
        <v>136</v>
      </c>
      <c r="O178" s="59" t="s">
        <v>137</v>
      </c>
    </row>
    <row r="179" spans="14:15" ht="15.75" thickBot="1" x14ac:dyDescent="0.3">
      <c r="N179" s="80" t="s">
        <v>138</v>
      </c>
      <c r="O179" s="73" t="s">
        <v>139</v>
      </c>
    </row>
    <row r="180" spans="14:15" x14ac:dyDescent="0.25">
      <c r="N180" s="53"/>
      <c r="O180" s="34"/>
    </row>
    <row r="181" spans="14:15" x14ac:dyDescent="0.25">
      <c r="N181" s="51"/>
      <c r="O181" s="23"/>
    </row>
    <row r="182" spans="14:15" x14ac:dyDescent="0.25">
      <c r="N182" s="79" t="s">
        <v>124</v>
      </c>
      <c r="O182" s="59" t="s">
        <v>125</v>
      </c>
    </row>
    <row r="183" spans="14:15" x14ac:dyDescent="0.25">
      <c r="N183" s="72" t="s">
        <v>136</v>
      </c>
      <c r="O183" s="59" t="s">
        <v>137</v>
      </c>
    </row>
    <row r="184" spans="14:15" ht="15.75" thickBot="1" x14ac:dyDescent="0.3">
      <c r="N184" s="80" t="s">
        <v>140</v>
      </c>
      <c r="O184" s="73" t="s">
        <v>141</v>
      </c>
    </row>
    <row r="185" spans="14:15" x14ac:dyDescent="0.25">
      <c r="N185" s="56" t="s">
        <v>142</v>
      </c>
      <c r="O185" s="57" t="s">
        <v>143</v>
      </c>
    </row>
    <row r="186" spans="14:15" x14ac:dyDescent="0.25">
      <c r="N186" s="58" t="s">
        <v>144</v>
      </c>
      <c r="O186" s="59" t="s">
        <v>145</v>
      </c>
    </row>
    <row r="187" spans="14:15" x14ac:dyDescent="0.25">
      <c r="N187" s="58" t="s">
        <v>146</v>
      </c>
      <c r="O187" s="59" t="s">
        <v>147</v>
      </c>
    </row>
    <row r="188" spans="14:15" x14ac:dyDescent="0.25">
      <c r="N188" s="58" t="s">
        <v>148</v>
      </c>
      <c r="O188" s="59" t="s">
        <v>149</v>
      </c>
    </row>
    <row r="189" spans="14:15" x14ac:dyDescent="0.25">
      <c r="N189" s="32"/>
      <c r="O189" s="23"/>
    </row>
    <row r="190" spans="14:15" x14ac:dyDescent="0.25">
      <c r="N190" s="58" t="s">
        <v>150</v>
      </c>
      <c r="O190" s="59" t="s">
        <v>151</v>
      </c>
    </row>
    <row r="191" spans="14:15" x14ac:dyDescent="0.25">
      <c r="N191" s="58" t="s">
        <v>152</v>
      </c>
      <c r="O191" s="59" t="s">
        <v>153</v>
      </c>
    </row>
    <row r="192" spans="14:15" x14ac:dyDescent="0.25">
      <c r="N192" s="58" t="s">
        <v>154</v>
      </c>
      <c r="O192" s="59" t="s">
        <v>155</v>
      </c>
    </row>
    <row r="193" spans="14:15" x14ac:dyDescent="0.25">
      <c r="N193" s="58" t="s">
        <v>156</v>
      </c>
      <c r="O193" s="59" t="s">
        <v>125</v>
      </c>
    </row>
    <row r="194" spans="14:15" x14ac:dyDescent="0.25">
      <c r="N194" s="58" t="s">
        <v>157</v>
      </c>
      <c r="O194" s="59" t="s">
        <v>158</v>
      </c>
    </row>
    <row r="195" spans="14:15" x14ac:dyDescent="0.25">
      <c r="N195" s="58" t="s">
        <v>159</v>
      </c>
      <c r="O195" s="59" t="s">
        <v>160</v>
      </c>
    </row>
    <row r="196" spans="14:15" x14ac:dyDescent="0.25">
      <c r="N196" s="32"/>
      <c r="O196" s="23"/>
    </row>
    <row r="197" spans="14:15" x14ac:dyDescent="0.25">
      <c r="N197" s="32"/>
      <c r="O197" s="23"/>
    </row>
    <row r="198" spans="14:15" x14ac:dyDescent="0.25">
      <c r="N198" s="58" t="s">
        <v>161</v>
      </c>
      <c r="O198" s="59" t="s">
        <v>162</v>
      </c>
    </row>
    <row r="199" spans="14:15" x14ac:dyDescent="0.25">
      <c r="N199" s="13"/>
      <c r="O199" s="49"/>
    </row>
    <row r="200" spans="14:15" x14ac:dyDescent="0.25">
      <c r="N200" s="58" t="s">
        <v>163</v>
      </c>
      <c r="O200" s="59" t="s">
        <v>164</v>
      </c>
    </row>
    <row r="201" spans="14:15" ht="15.75" thickBot="1" x14ac:dyDescent="0.3">
      <c r="N201" s="80" t="s">
        <v>165</v>
      </c>
      <c r="O201" s="73" t="s">
        <v>166</v>
      </c>
    </row>
    <row r="202" spans="14:15" x14ac:dyDescent="0.25">
      <c r="N202" s="56" t="s">
        <v>167</v>
      </c>
      <c r="O202" s="57" t="s">
        <v>168</v>
      </c>
    </row>
    <row r="203" spans="14:15" x14ac:dyDescent="0.25">
      <c r="N203" s="58" t="s">
        <v>169</v>
      </c>
      <c r="O203" s="59" t="s">
        <v>170</v>
      </c>
    </row>
    <row r="204" spans="14:15" x14ac:dyDescent="0.25">
      <c r="N204" s="58" t="s">
        <v>171</v>
      </c>
      <c r="O204" s="59" t="s">
        <v>172</v>
      </c>
    </row>
    <row r="205" spans="14:15" x14ac:dyDescent="0.25">
      <c r="N205" s="58" t="s">
        <v>173</v>
      </c>
      <c r="O205" s="59" t="s">
        <v>174</v>
      </c>
    </row>
    <row r="206" spans="14:15" x14ac:dyDescent="0.25">
      <c r="N206" s="58" t="s">
        <v>175</v>
      </c>
      <c r="O206" s="59" t="s">
        <v>176</v>
      </c>
    </row>
    <row r="207" spans="14:15" ht="30" x14ac:dyDescent="0.25">
      <c r="N207" s="72" t="s">
        <v>177</v>
      </c>
      <c r="O207" s="59" t="s">
        <v>178</v>
      </c>
    </row>
    <row r="208" spans="14:15" x14ac:dyDescent="0.25">
      <c r="N208" s="32"/>
      <c r="O208" s="23"/>
    </row>
    <row r="209" spans="14:15" x14ac:dyDescent="0.25">
      <c r="N209" s="58" t="s">
        <v>179</v>
      </c>
      <c r="O209" s="59" t="s">
        <v>180</v>
      </c>
    </row>
    <row r="210" spans="14:15" x14ac:dyDescent="0.25">
      <c r="N210" s="58" t="s">
        <v>181</v>
      </c>
      <c r="O210" s="59" t="s">
        <v>182</v>
      </c>
    </row>
    <row r="211" spans="14:15" x14ac:dyDescent="0.25">
      <c r="N211" s="58" t="s">
        <v>183</v>
      </c>
      <c r="O211" s="59" t="s">
        <v>184</v>
      </c>
    </row>
    <row r="212" spans="14:15" x14ac:dyDescent="0.25">
      <c r="N212" s="58" t="s">
        <v>185</v>
      </c>
      <c r="O212" s="59" t="s">
        <v>186</v>
      </c>
    </row>
    <row r="213" spans="14:15" x14ac:dyDescent="0.25">
      <c r="N213" s="58" t="s">
        <v>187</v>
      </c>
      <c r="O213" s="59" t="s">
        <v>188</v>
      </c>
    </row>
    <row r="214" spans="14:15" ht="30" x14ac:dyDescent="0.25">
      <c r="N214" s="79" t="s">
        <v>189</v>
      </c>
      <c r="O214" s="59" t="s">
        <v>190</v>
      </c>
    </row>
    <row r="215" spans="14:15" x14ac:dyDescent="0.25">
      <c r="N215" s="79" t="s">
        <v>191</v>
      </c>
      <c r="O215" s="59" t="s">
        <v>192</v>
      </c>
    </row>
    <row r="216" spans="14:15" x14ac:dyDescent="0.25">
      <c r="N216" s="79" t="s">
        <v>193</v>
      </c>
      <c r="O216" s="59" t="s">
        <v>194</v>
      </c>
    </row>
    <row r="217" spans="14:15" x14ac:dyDescent="0.25">
      <c r="N217" s="79" t="s">
        <v>195</v>
      </c>
      <c r="O217" s="59" t="s">
        <v>196</v>
      </c>
    </row>
    <row r="218" spans="14:15" x14ac:dyDescent="0.25">
      <c r="N218" s="32"/>
      <c r="O218" s="23"/>
    </row>
    <row r="219" spans="14:15" x14ac:dyDescent="0.25">
      <c r="N219" s="32"/>
      <c r="O219" s="23"/>
    </row>
    <row r="220" spans="14:15" x14ac:dyDescent="0.25">
      <c r="N220" s="58" t="s">
        <v>197</v>
      </c>
      <c r="O220" s="59" t="s">
        <v>121</v>
      </c>
    </row>
    <row r="221" spans="14:15" x14ac:dyDescent="0.25">
      <c r="N221" s="58" t="s">
        <v>198</v>
      </c>
      <c r="O221" s="59" t="s">
        <v>199</v>
      </c>
    </row>
    <row r="222" spans="14:15" x14ac:dyDescent="0.25">
      <c r="N222" s="58" t="s">
        <v>200</v>
      </c>
      <c r="O222" s="59" t="s">
        <v>125</v>
      </c>
    </row>
    <row r="223" spans="14:15" x14ac:dyDescent="0.25">
      <c r="N223" s="58" t="s">
        <v>201</v>
      </c>
      <c r="O223" s="59" t="s">
        <v>202</v>
      </c>
    </row>
    <row r="224" spans="14:15" x14ac:dyDescent="0.25">
      <c r="N224" s="58" t="s">
        <v>203</v>
      </c>
      <c r="O224" s="84" t="s">
        <v>204</v>
      </c>
    </row>
    <row r="225" spans="14:15" x14ac:dyDescent="0.25">
      <c r="N225" s="58" t="s">
        <v>205</v>
      </c>
      <c r="O225" s="59" t="s">
        <v>206</v>
      </c>
    </row>
    <row r="226" spans="14:15" x14ac:dyDescent="0.25">
      <c r="N226" s="58" t="s">
        <v>207</v>
      </c>
      <c r="O226" s="59" t="s">
        <v>208</v>
      </c>
    </row>
    <row r="227" spans="14:15" x14ac:dyDescent="0.25">
      <c r="N227" s="58" t="s">
        <v>209</v>
      </c>
      <c r="O227" s="59" t="s">
        <v>210</v>
      </c>
    </row>
    <row r="228" spans="14:15" x14ac:dyDescent="0.25">
      <c r="N228" s="58" t="s">
        <v>211</v>
      </c>
      <c r="O228" s="59" t="s">
        <v>212</v>
      </c>
    </row>
    <row r="229" spans="14:15" x14ac:dyDescent="0.25">
      <c r="N229" s="32"/>
      <c r="O229" s="23"/>
    </row>
    <row r="230" spans="14:15" x14ac:dyDescent="0.25">
      <c r="N230" s="58" t="s">
        <v>213</v>
      </c>
      <c r="O230" s="59" t="s">
        <v>214</v>
      </c>
    </row>
    <row r="231" spans="14:15" x14ac:dyDescent="0.25">
      <c r="N231" s="58" t="s">
        <v>215</v>
      </c>
      <c r="O231" s="59" t="s">
        <v>216</v>
      </c>
    </row>
    <row r="232" spans="14:15" x14ac:dyDescent="0.25">
      <c r="N232" s="85" t="s">
        <v>217</v>
      </c>
      <c r="O232" s="59" t="s">
        <v>218</v>
      </c>
    </row>
    <row r="233" spans="14:15" x14ac:dyDescent="0.25">
      <c r="N233" s="85" t="s">
        <v>219</v>
      </c>
      <c r="O233" s="59" t="s">
        <v>220</v>
      </c>
    </row>
    <row r="234" spans="14:15" ht="30" x14ac:dyDescent="0.25">
      <c r="N234" s="85" t="s">
        <v>221</v>
      </c>
      <c r="O234" s="59" t="s">
        <v>222</v>
      </c>
    </row>
    <row r="235" spans="14:15" x14ac:dyDescent="0.25">
      <c r="N235" s="32"/>
      <c r="O235" s="23"/>
    </row>
    <row r="236" spans="14:15" x14ac:dyDescent="0.25">
      <c r="N236" s="58" t="s">
        <v>223</v>
      </c>
      <c r="O236" s="59" t="s">
        <v>224</v>
      </c>
    </row>
    <row r="237" spans="14:15" x14ac:dyDescent="0.25">
      <c r="N237" s="58" t="s">
        <v>225</v>
      </c>
      <c r="O237" s="59" t="s">
        <v>226</v>
      </c>
    </row>
    <row r="238" spans="14:15" x14ac:dyDescent="0.25">
      <c r="N238" s="58" t="s">
        <v>227</v>
      </c>
      <c r="O238" s="59" t="s">
        <v>228</v>
      </c>
    </row>
    <row r="239" spans="14:15" x14ac:dyDescent="0.25">
      <c r="N239" s="58" t="s">
        <v>229</v>
      </c>
      <c r="O239" s="88" t="s">
        <v>230</v>
      </c>
    </row>
    <row r="240" spans="14:15" x14ac:dyDescent="0.25">
      <c r="N240" s="58" t="s">
        <v>231</v>
      </c>
      <c r="O240" s="88" t="s">
        <v>232</v>
      </c>
    </row>
    <row r="241" spans="14:15" x14ac:dyDescent="0.25">
      <c r="N241" s="58" t="s">
        <v>233</v>
      </c>
      <c r="O241" s="88" t="s">
        <v>234</v>
      </c>
    </row>
    <row r="242" spans="14:15" x14ac:dyDescent="0.25">
      <c r="N242" s="58" t="s">
        <v>235</v>
      </c>
      <c r="O242" s="88" t="s">
        <v>236</v>
      </c>
    </row>
    <row r="243" spans="14:15" x14ac:dyDescent="0.25">
      <c r="N243" s="58" t="s">
        <v>237</v>
      </c>
      <c r="O243" s="59" t="s">
        <v>238</v>
      </c>
    </row>
    <row r="244" spans="14:15" x14ac:dyDescent="0.25">
      <c r="N244" s="79" t="s">
        <v>239</v>
      </c>
      <c r="O244" s="59" t="s">
        <v>240</v>
      </c>
    </row>
    <row r="245" spans="14:15" ht="30" x14ac:dyDescent="0.25">
      <c r="N245" s="79" t="s">
        <v>241</v>
      </c>
      <c r="O245" s="59" t="s">
        <v>242</v>
      </c>
    </row>
    <row r="246" spans="14:15" ht="30" x14ac:dyDescent="0.25">
      <c r="N246" s="79" t="s">
        <v>243</v>
      </c>
      <c r="O246" s="59" t="s">
        <v>244</v>
      </c>
    </row>
    <row r="247" spans="14:15" ht="30" x14ac:dyDescent="0.25">
      <c r="N247" s="79" t="s">
        <v>245</v>
      </c>
      <c r="O247" s="59" t="s">
        <v>246</v>
      </c>
    </row>
    <row r="248" spans="14:15" x14ac:dyDescent="0.25">
      <c r="N248" s="79" t="s">
        <v>247</v>
      </c>
      <c r="O248" s="59" t="s">
        <v>248</v>
      </c>
    </row>
    <row r="249" spans="14:15" ht="30" x14ac:dyDescent="0.25">
      <c r="N249" s="79" t="s">
        <v>249</v>
      </c>
      <c r="O249" s="59" t="s">
        <v>250</v>
      </c>
    </row>
    <row r="250" spans="14:15" x14ac:dyDescent="0.25">
      <c r="N250" s="79" t="s">
        <v>251</v>
      </c>
      <c r="O250" s="59" t="s">
        <v>252</v>
      </c>
    </row>
    <row r="251" spans="14:15" x14ac:dyDescent="0.25">
      <c r="N251" s="79" t="s">
        <v>253</v>
      </c>
      <c r="O251" s="59" t="s">
        <v>254</v>
      </c>
    </row>
    <row r="252" spans="14:15" x14ac:dyDescent="0.25">
      <c r="N252" s="79" t="s">
        <v>255</v>
      </c>
      <c r="O252" s="59" t="s">
        <v>256</v>
      </c>
    </row>
    <row r="253" spans="14:15" x14ac:dyDescent="0.25">
      <c r="N253" s="77" t="s">
        <v>257</v>
      </c>
      <c r="O253" s="59" t="s">
        <v>258</v>
      </c>
    </row>
    <row r="254" spans="14:15" ht="30" x14ac:dyDescent="0.25">
      <c r="N254" s="77" t="s">
        <v>259</v>
      </c>
      <c r="O254" s="59" t="s">
        <v>260</v>
      </c>
    </row>
    <row r="255" spans="14:15" x14ac:dyDescent="0.25">
      <c r="N255" s="77" t="s">
        <v>136</v>
      </c>
      <c r="O255" s="59" t="s">
        <v>137</v>
      </c>
    </row>
    <row r="256" spans="14:15" x14ac:dyDescent="0.25">
      <c r="N256" s="48"/>
      <c r="O256" s="49" t="s">
        <v>261</v>
      </c>
    </row>
    <row r="257" spans="4:15" x14ac:dyDescent="0.25">
      <c r="N257" s="72" t="s">
        <v>262</v>
      </c>
      <c r="O257" s="59" t="s">
        <v>263</v>
      </c>
    </row>
    <row r="258" spans="4:15" x14ac:dyDescent="0.25">
      <c r="N258" s="72" t="s">
        <v>264</v>
      </c>
      <c r="O258" s="59" t="s">
        <v>265</v>
      </c>
    </row>
    <row r="259" spans="4:15" x14ac:dyDescent="0.25">
      <c r="N259" s="72" t="s">
        <v>266</v>
      </c>
      <c r="O259" s="59" t="s">
        <v>267</v>
      </c>
    </row>
    <row r="260" spans="4:15" ht="30" x14ac:dyDescent="0.25">
      <c r="N260" s="72" t="s">
        <v>177</v>
      </c>
      <c r="O260" s="59" t="s">
        <v>268</v>
      </c>
    </row>
    <row r="261" spans="4:15" x14ac:dyDescent="0.25">
      <c r="N261" s="52" t="s">
        <v>72</v>
      </c>
      <c r="O261" s="37" t="s">
        <v>72</v>
      </c>
    </row>
    <row r="265" spans="4:15" x14ac:dyDescent="0.25">
      <c r="D265" s="96" t="s">
        <v>284</v>
      </c>
      <c r="E265" s="97" t="s">
        <v>56</v>
      </c>
    </row>
    <row r="266" spans="4:15" x14ac:dyDescent="0.25">
      <c r="D266" s="32" t="s">
        <v>74</v>
      </c>
      <c r="E266" s="24">
        <v>1</v>
      </c>
      <c r="G266" s="103" t="s">
        <v>287</v>
      </c>
    </row>
    <row r="267" spans="4:15" x14ac:dyDescent="0.25">
      <c r="D267" s="32" t="s">
        <v>75</v>
      </c>
      <c r="E267" s="24">
        <v>2</v>
      </c>
      <c r="G267" s="103" t="s">
        <v>286</v>
      </c>
    </row>
    <row r="268" spans="4:15" x14ac:dyDescent="0.25">
      <c r="D268" s="32" t="s">
        <v>82</v>
      </c>
      <c r="E268" s="24">
        <v>3</v>
      </c>
    </row>
    <row r="269" spans="4:15" x14ac:dyDescent="0.25">
      <c r="D269" s="32" t="s">
        <v>76</v>
      </c>
      <c r="E269" s="24">
        <v>4</v>
      </c>
    </row>
    <row r="270" spans="4:15" x14ac:dyDescent="0.25">
      <c r="D270" s="32" t="s">
        <v>83</v>
      </c>
      <c r="E270" s="24">
        <v>5</v>
      </c>
    </row>
    <row r="271" spans="4:15" x14ac:dyDescent="0.25">
      <c r="D271" s="38" t="s">
        <v>89</v>
      </c>
      <c r="E271" s="24">
        <v>6</v>
      </c>
    </row>
    <row r="272" spans="4:15" x14ac:dyDescent="0.25">
      <c r="D272" s="32" t="s">
        <v>90</v>
      </c>
      <c r="E272" s="24">
        <v>7</v>
      </c>
    </row>
    <row r="273" spans="4:5" x14ac:dyDescent="0.25">
      <c r="D273" s="43" t="s">
        <v>91</v>
      </c>
      <c r="E273" s="24">
        <v>8</v>
      </c>
    </row>
    <row r="274" spans="4:5" x14ac:dyDescent="0.25">
      <c r="D274" s="43" t="s">
        <v>92</v>
      </c>
      <c r="E274" s="24">
        <v>9</v>
      </c>
    </row>
    <row r="275" spans="4:5" x14ac:dyDescent="0.25">
      <c r="D275" s="32" t="s">
        <v>93</v>
      </c>
      <c r="E275" s="24">
        <v>10</v>
      </c>
    </row>
    <row r="276" spans="4:5" ht="30" x14ac:dyDescent="0.25">
      <c r="D276" s="35" t="s">
        <v>94</v>
      </c>
      <c r="E276" s="24">
        <v>11</v>
      </c>
    </row>
    <row r="277" spans="4:5" x14ac:dyDescent="0.25">
      <c r="D277" s="32" t="s">
        <v>95</v>
      </c>
      <c r="E277" s="24">
        <v>12</v>
      </c>
    </row>
    <row r="278" spans="4:5" x14ac:dyDescent="0.25">
      <c r="D278" s="35" t="s">
        <v>80</v>
      </c>
      <c r="E278" s="24">
        <v>13</v>
      </c>
    </row>
    <row r="279" spans="4:5" x14ac:dyDescent="0.25">
      <c r="D279" s="35" t="s">
        <v>81</v>
      </c>
      <c r="E279" s="24">
        <v>14</v>
      </c>
    </row>
    <row r="280" spans="4:5" x14ac:dyDescent="0.25">
      <c r="D280" s="35" t="s">
        <v>77</v>
      </c>
      <c r="E280" s="24">
        <v>15</v>
      </c>
    </row>
    <row r="281" spans="4:5" x14ac:dyDescent="0.25">
      <c r="D281" s="32" t="s">
        <v>96</v>
      </c>
      <c r="E281" s="24">
        <v>16</v>
      </c>
    </row>
    <row r="282" spans="4:5" x14ac:dyDescent="0.25">
      <c r="D282" s="32" t="s">
        <v>97</v>
      </c>
      <c r="E282" s="24">
        <v>17</v>
      </c>
    </row>
    <row r="283" spans="4:5" x14ac:dyDescent="0.25">
      <c r="D283" s="32" t="s">
        <v>84</v>
      </c>
      <c r="E283" s="24">
        <v>18</v>
      </c>
    </row>
    <row r="284" spans="4:5" x14ac:dyDescent="0.25">
      <c r="D284" s="32" t="s">
        <v>98</v>
      </c>
      <c r="E284" s="24">
        <v>19</v>
      </c>
    </row>
    <row r="285" spans="4:5" x14ac:dyDescent="0.25">
      <c r="D285" s="32" t="s">
        <v>99</v>
      </c>
      <c r="E285" s="24">
        <v>20</v>
      </c>
    </row>
    <row r="286" spans="4:5" x14ac:dyDescent="0.25">
      <c r="D286" s="32" t="s">
        <v>100</v>
      </c>
      <c r="E286" s="24">
        <v>21</v>
      </c>
    </row>
    <row r="287" spans="4:5" x14ac:dyDescent="0.25">
      <c r="D287" s="32" t="s">
        <v>101</v>
      </c>
      <c r="E287" s="24">
        <v>22</v>
      </c>
    </row>
    <row r="288" spans="4:5" x14ac:dyDescent="0.25">
      <c r="D288" s="38" t="s">
        <v>102</v>
      </c>
      <c r="E288" s="24">
        <v>23</v>
      </c>
    </row>
    <row r="289" spans="4:5" x14ac:dyDescent="0.25">
      <c r="D289" s="35" t="s">
        <v>103</v>
      </c>
      <c r="E289" s="24">
        <v>24</v>
      </c>
    </row>
    <row r="290" spans="4:5" x14ac:dyDescent="0.25">
      <c r="D290" s="35" t="s">
        <v>104</v>
      </c>
      <c r="E290" s="24">
        <v>25</v>
      </c>
    </row>
    <row r="291" spans="4:5" x14ac:dyDescent="0.25">
      <c r="D291" s="38" t="s">
        <v>105</v>
      </c>
      <c r="E291" s="24">
        <v>26</v>
      </c>
    </row>
    <row r="292" spans="4:5" x14ac:dyDescent="0.25">
      <c r="D292" s="32" t="s">
        <v>85</v>
      </c>
      <c r="E292" s="24">
        <v>27</v>
      </c>
    </row>
    <row r="293" spans="4:5" x14ac:dyDescent="0.25">
      <c r="D293" s="39" t="s">
        <v>86</v>
      </c>
      <c r="E293" s="24">
        <v>28</v>
      </c>
    </row>
    <row r="294" spans="4:5" x14ac:dyDescent="0.25">
      <c r="D294" s="32" t="s">
        <v>87</v>
      </c>
      <c r="E294" s="24">
        <v>29</v>
      </c>
    </row>
    <row r="295" spans="4:5" x14ac:dyDescent="0.25">
      <c r="D295" s="32" t="s">
        <v>269</v>
      </c>
      <c r="E295" s="24">
        <v>30</v>
      </c>
    </row>
    <row r="296" spans="4:5" x14ac:dyDescent="0.25">
      <c r="D296" s="36" t="s">
        <v>106</v>
      </c>
      <c r="E296" s="24">
        <v>31</v>
      </c>
    </row>
    <row r="297" spans="4:5" x14ac:dyDescent="0.25">
      <c r="D297" s="36" t="s">
        <v>107</v>
      </c>
      <c r="E297" s="24">
        <v>32</v>
      </c>
    </row>
    <row r="298" spans="4:5" x14ac:dyDescent="0.25">
      <c r="D298" s="36" t="s">
        <v>78</v>
      </c>
      <c r="E298" s="24">
        <v>33</v>
      </c>
    </row>
    <row r="299" spans="4:5" x14ac:dyDescent="0.25">
      <c r="D299" s="36" t="s">
        <v>108</v>
      </c>
      <c r="E299" s="24">
        <v>34</v>
      </c>
    </row>
    <row r="300" spans="4:5" x14ac:dyDescent="0.25">
      <c r="D300" s="32" t="s">
        <v>88</v>
      </c>
      <c r="E300" s="24">
        <v>35</v>
      </c>
    </row>
    <row r="301" spans="4:5" x14ac:dyDescent="0.25">
      <c r="D301" s="36" t="s">
        <v>109</v>
      </c>
      <c r="E301" s="24">
        <v>36</v>
      </c>
    </row>
    <row r="302" spans="4:5" x14ac:dyDescent="0.25">
      <c r="D302" s="36" t="s">
        <v>110</v>
      </c>
      <c r="E302" s="24">
        <v>37</v>
      </c>
    </row>
    <row r="303" spans="4:5" x14ac:dyDescent="0.25">
      <c r="D303" s="36" t="s">
        <v>53</v>
      </c>
      <c r="E303" s="24">
        <v>38</v>
      </c>
    </row>
    <row r="304" spans="4:5" x14ac:dyDescent="0.25">
      <c r="D304" s="36" t="s">
        <v>111</v>
      </c>
      <c r="E304" s="24">
        <v>39</v>
      </c>
    </row>
    <row r="311" spans="4:5" ht="15.75" thickBot="1" x14ac:dyDescent="0.3">
      <c r="D311" s="91" t="s">
        <v>285</v>
      </c>
      <c r="E311" s="91" t="s">
        <v>56</v>
      </c>
    </row>
    <row r="312" spans="4:5" x14ac:dyDescent="0.25">
      <c r="D312" s="30" t="s">
        <v>142</v>
      </c>
      <c r="E312" s="34" t="s">
        <v>143</v>
      </c>
    </row>
    <row r="313" spans="4:5" ht="15.75" thickBot="1" x14ac:dyDescent="0.3">
      <c r="D313" s="32" t="s">
        <v>144</v>
      </c>
      <c r="E313" s="23" t="s">
        <v>145</v>
      </c>
    </row>
    <row r="314" spans="4:5" ht="15.75" thickBot="1" x14ac:dyDescent="0.3">
      <c r="D314" s="30" t="s">
        <v>167</v>
      </c>
      <c r="E314" s="34" t="s">
        <v>168</v>
      </c>
    </row>
    <row r="315" spans="4:5" x14ac:dyDescent="0.25">
      <c r="D315" s="30" t="s">
        <v>112</v>
      </c>
      <c r="E315" s="34" t="s">
        <v>113</v>
      </c>
    </row>
    <row r="316" spans="4:5" x14ac:dyDescent="0.25">
      <c r="D316" s="32" t="s">
        <v>169</v>
      </c>
      <c r="E316" s="23" t="s">
        <v>170</v>
      </c>
    </row>
    <row r="317" spans="4:5" x14ac:dyDescent="0.25">
      <c r="D317" s="32" t="s">
        <v>146</v>
      </c>
      <c r="E317" s="23" t="s">
        <v>147</v>
      </c>
    </row>
    <row r="318" spans="4:5" x14ac:dyDescent="0.25">
      <c r="D318" s="32" t="s">
        <v>148</v>
      </c>
      <c r="E318" s="23" t="s">
        <v>149</v>
      </c>
    </row>
    <row r="319" spans="4:5" ht="30" x14ac:dyDescent="0.25">
      <c r="D319" s="39" t="s">
        <v>271</v>
      </c>
      <c r="E319" s="23" t="s">
        <v>272</v>
      </c>
    </row>
    <row r="320" spans="4:5" x14ac:dyDescent="0.25">
      <c r="D320" t="s">
        <v>273</v>
      </c>
      <c r="E320" s="92" t="s">
        <v>270</v>
      </c>
    </row>
    <row r="321" spans="4:5" x14ac:dyDescent="0.25">
      <c r="D321" s="32" t="s">
        <v>114</v>
      </c>
      <c r="E321" s="23" t="s">
        <v>115</v>
      </c>
    </row>
    <row r="322" spans="4:5" x14ac:dyDescent="0.25">
      <c r="D322" s="51" t="s">
        <v>116</v>
      </c>
      <c r="E322" s="23" t="s">
        <v>117</v>
      </c>
    </row>
    <row r="323" spans="4:5" x14ac:dyDescent="0.25">
      <c r="D323" s="51" t="s">
        <v>118</v>
      </c>
      <c r="E323" s="23" t="s">
        <v>119</v>
      </c>
    </row>
    <row r="324" spans="4:5" x14ac:dyDescent="0.25">
      <c r="D324" s="32" t="s">
        <v>150</v>
      </c>
      <c r="E324" s="23" t="s">
        <v>151</v>
      </c>
    </row>
    <row r="325" spans="4:5" x14ac:dyDescent="0.25">
      <c r="D325" s="32" t="s">
        <v>152</v>
      </c>
      <c r="E325" s="23" t="s">
        <v>153</v>
      </c>
    </row>
    <row r="326" spans="4:5" x14ac:dyDescent="0.25">
      <c r="D326" s="32" t="s">
        <v>154</v>
      </c>
      <c r="E326" s="23" t="s">
        <v>155</v>
      </c>
    </row>
    <row r="327" spans="4:5" x14ac:dyDescent="0.25">
      <c r="D327" s="32" t="s">
        <v>171</v>
      </c>
      <c r="E327" s="23" t="s">
        <v>172</v>
      </c>
    </row>
    <row r="328" spans="4:5" x14ac:dyDescent="0.25">
      <c r="D328" s="32" t="s">
        <v>173</v>
      </c>
      <c r="E328" s="23" t="s">
        <v>174</v>
      </c>
    </row>
    <row r="329" spans="4:5" x14ac:dyDescent="0.25">
      <c r="D329" s="32" t="s">
        <v>175</v>
      </c>
      <c r="E329" s="23" t="s">
        <v>176</v>
      </c>
    </row>
    <row r="330" spans="4:5" x14ac:dyDescent="0.25">
      <c r="D330" s="36" t="s">
        <v>177</v>
      </c>
      <c r="E330" s="23" t="s">
        <v>178</v>
      </c>
    </row>
    <row r="331" spans="4:5" x14ac:dyDescent="0.25">
      <c r="D331" s="32" t="s">
        <v>179</v>
      </c>
      <c r="E331" s="23" t="s">
        <v>180</v>
      </c>
    </row>
    <row r="332" spans="4:5" x14ac:dyDescent="0.25">
      <c r="D332" s="32" t="s">
        <v>181</v>
      </c>
      <c r="E332" s="23" t="s">
        <v>182</v>
      </c>
    </row>
    <row r="333" spans="4:5" x14ac:dyDescent="0.25">
      <c r="D333" s="32" t="s">
        <v>183</v>
      </c>
      <c r="E333" s="23" t="s">
        <v>184</v>
      </c>
    </row>
    <row r="334" spans="4:5" x14ac:dyDescent="0.25">
      <c r="D334" s="32" t="s">
        <v>185</v>
      </c>
      <c r="E334" s="23" t="s">
        <v>186</v>
      </c>
    </row>
    <row r="335" spans="4:5" x14ac:dyDescent="0.25">
      <c r="D335" s="32" t="s">
        <v>187</v>
      </c>
      <c r="E335" s="23" t="s">
        <v>188</v>
      </c>
    </row>
    <row r="336" spans="4:5" x14ac:dyDescent="0.25">
      <c r="D336" s="51" t="s">
        <v>189</v>
      </c>
      <c r="E336" s="23" t="s">
        <v>190</v>
      </c>
    </row>
    <row r="337" spans="4:5" x14ac:dyDescent="0.25">
      <c r="D337" s="51" t="s">
        <v>191</v>
      </c>
      <c r="E337" s="23" t="s">
        <v>192</v>
      </c>
    </row>
    <row r="338" spans="4:5" x14ac:dyDescent="0.25">
      <c r="D338" s="51" t="s">
        <v>193</v>
      </c>
      <c r="E338" s="23" t="s">
        <v>194</v>
      </c>
    </row>
    <row r="339" spans="4:5" x14ac:dyDescent="0.25">
      <c r="D339" s="51" t="s">
        <v>195</v>
      </c>
      <c r="E339" s="23" t="s">
        <v>196</v>
      </c>
    </row>
    <row r="340" spans="4:5" x14ac:dyDescent="0.25">
      <c r="D340" s="83" t="s">
        <v>274</v>
      </c>
      <c r="E340" s="82" t="s">
        <v>275</v>
      </c>
    </row>
    <row r="341" spans="4:5" x14ac:dyDescent="0.25">
      <c r="D341" s="51" t="s">
        <v>120</v>
      </c>
      <c r="E341" s="23" t="s">
        <v>121</v>
      </c>
    </row>
    <row r="342" spans="4:5" x14ac:dyDescent="0.25">
      <c r="D342" s="51" t="s">
        <v>122</v>
      </c>
      <c r="E342" s="23" t="s">
        <v>123</v>
      </c>
    </row>
    <row r="343" spans="4:5" x14ac:dyDescent="0.25">
      <c r="D343" s="32" t="s">
        <v>198</v>
      </c>
      <c r="E343" s="23" t="s">
        <v>199</v>
      </c>
    </row>
    <row r="344" spans="4:5" x14ac:dyDescent="0.25">
      <c r="D344" s="51" t="s">
        <v>124</v>
      </c>
      <c r="E344" s="23" t="s">
        <v>125</v>
      </c>
    </row>
    <row r="345" spans="4:5" x14ac:dyDescent="0.25">
      <c r="D345" s="51" t="s">
        <v>126</v>
      </c>
      <c r="E345" s="23" t="s">
        <v>127</v>
      </c>
    </row>
    <row r="346" spans="4:5" x14ac:dyDescent="0.25">
      <c r="D346" s="51" t="s">
        <v>128</v>
      </c>
      <c r="E346" s="23" t="s">
        <v>129</v>
      </c>
    </row>
    <row r="347" spans="4:5" x14ac:dyDescent="0.25">
      <c r="D347" s="51" t="s">
        <v>130</v>
      </c>
      <c r="E347" s="23" t="s">
        <v>131</v>
      </c>
    </row>
    <row r="348" spans="4:5" ht="30" x14ac:dyDescent="0.25">
      <c r="D348" s="51" t="s">
        <v>132</v>
      </c>
      <c r="E348" s="23" t="s">
        <v>133</v>
      </c>
    </row>
    <row r="349" spans="4:5" x14ac:dyDescent="0.25">
      <c r="D349" s="32" t="s">
        <v>201</v>
      </c>
      <c r="E349" s="23" t="s">
        <v>202</v>
      </c>
    </row>
    <row r="350" spans="4:5" x14ac:dyDescent="0.25">
      <c r="D350" s="32" t="s">
        <v>134</v>
      </c>
      <c r="E350" s="23" t="s">
        <v>135</v>
      </c>
    </row>
    <row r="351" spans="4:5" x14ac:dyDescent="0.25">
      <c r="D351" s="32" t="s">
        <v>203</v>
      </c>
      <c r="E351" s="93" t="s">
        <v>204</v>
      </c>
    </row>
    <row r="352" spans="4:5" x14ac:dyDescent="0.25">
      <c r="D352" s="32" t="s">
        <v>205</v>
      </c>
      <c r="E352" s="23" t="s">
        <v>206</v>
      </c>
    </row>
    <row r="353" spans="4:5" x14ac:dyDescent="0.25">
      <c r="D353" s="32" t="s">
        <v>207</v>
      </c>
      <c r="E353" s="23" t="s">
        <v>208</v>
      </c>
    </row>
    <row r="354" spans="4:5" x14ac:dyDescent="0.25">
      <c r="D354" s="32" t="s">
        <v>209</v>
      </c>
      <c r="E354" s="23" t="s">
        <v>210</v>
      </c>
    </row>
    <row r="355" spans="4:5" x14ac:dyDescent="0.25">
      <c r="D355" s="32" t="s">
        <v>276</v>
      </c>
      <c r="E355" s="23" t="s">
        <v>277</v>
      </c>
    </row>
    <row r="356" spans="4:5" x14ac:dyDescent="0.25">
      <c r="D356" s="32" t="s">
        <v>211</v>
      </c>
      <c r="E356" s="23" t="s">
        <v>212</v>
      </c>
    </row>
    <row r="357" spans="4:5" x14ac:dyDescent="0.25">
      <c r="D357" s="32" t="s">
        <v>157</v>
      </c>
      <c r="E357" s="23" t="s">
        <v>158</v>
      </c>
    </row>
    <row r="358" spans="4:5" x14ac:dyDescent="0.25">
      <c r="D358" s="32" t="s">
        <v>159</v>
      </c>
      <c r="E358" s="23" t="s">
        <v>160</v>
      </c>
    </row>
    <row r="359" spans="4:5" x14ac:dyDescent="0.25">
      <c r="D359" s="32" t="s">
        <v>213</v>
      </c>
      <c r="E359" s="23" t="s">
        <v>214</v>
      </c>
    </row>
    <row r="360" spans="4:5" x14ac:dyDescent="0.25">
      <c r="D360" s="32" t="s">
        <v>215</v>
      </c>
      <c r="E360" s="23" t="s">
        <v>216</v>
      </c>
    </row>
    <row r="361" spans="4:5" x14ac:dyDescent="0.25">
      <c r="D361" s="94" t="s">
        <v>217</v>
      </c>
      <c r="E361" s="23" t="s">
        <v>218</v>
      </c>
    </row>
    <row r="362" spans="4:5" x14ac:dyDescent="0.25">
      <c r="D362" s="94" t="s">
        <v>219</v>
      </c>
      <c r="E362" s="23" t="s">
        <v>220</v>
      </c>
    </row>
    <row r="363" spans="4:5" ht="30" x14ac:dyDescent="0.25">
      <c r="D363" s="94" t="s">
        <v>221</v>
      </c>
      <c r="E363" s="23" t="s">
        <v>222</v>
      </c>
    </row>
    <row r="364" spans="4:5" x14ac:dyDescent="0.25">
      <c r="D364" s="32" t="s">
        <v>223</v>
      </c>
      <c r="E364" s="23" t="s">
        <v>224</v>
      </c>
    </row>
    <row r="365" spans="4:5" x14ac:dyDescent="0.25">
      <c r="D365" s="32" t="s">
        <v>225</v>
      </c>
      <c r="E365" s="23" t="s">
        <v>226</v>
      </c>
    </row>
    <row r="366" spans="4:5" x14ac:dyDescent="0.25">
      <c r="D366" s="32" t="s">
        <v>227</v>
      </c>
      <c r="E366" s="23" t="s">
        <v>228</v>
      </c>
    </row>
    <row r="367" spans="4:5" x14ac:dyDescent="0.25">
      <c r="D367" s="32" t="s">
        <v>229</v>
      </c>
      <c r="E367" s="25" t="s">
        <v>230</v>
      </c>
    </row>
    <row r="368" spans="4:5" x14ac:dyDescent="0.25">
      <c r="D368" s="32" t="s">
        <v>231</v>
      </c>
      <c r="E368" s="25" t="s">
        <v>232</v>
      </c>
    </row>
    <row r="369" spans="4:5" x14ac:dyDescent="0.25">
      <c r="D369" s="32" t="s">
        <v>233</v>
      </c>
      <c r="E369" s="25" t="s">
        <v>234</v>
      </c>
    </row>
    <row r="370" spans="4:5" x14ac:dyDescent="0.25">
      <c r="D370" s="32" t="s">
        <v>235</v>
      </c>
      <c r="E370" s="25" t="s">
        <v>236</v>
      </c>
    </row>
    <row r="371" spans="4:5" x14ac:dyDescent="0.25">
      <c r="D371" s="32" t="s">
        <v>237</v>
      </c>
      <c r="E371" s="23" t="s">
        <v>238</v>
      </c>
    </row>
    <row r="372" spans="4:5" x14ac:dyDescent="0.25">
      <c r="D372" s="32" t="s">
        <v>161</v>
      </c>
      <c r="E372" s="23" t="s">
        <v>162</v>
      </c>
    </row>
    <row r="373" spans="4:5" x14ac:dyDescent="0.25">
      <c r="D373" s="51" t="s">
        <v>239</v>
      </c>
      <c r="E373" s="23" t="s">
        <v>240</v>
      </c>
    </row>
    <row r="374" spans="4:5" x14ac:dyDescent="0.25">
      <c r="D374" s="51" t="s">
        <v>241</v>
      </c>
      <c r="E374" s="23" t="s">
        <v>242</v>
      </c>
    </row>
    <row r="375" spans="4:5" ht="30" x14ac:dyDescent="0.25">
      <c r="D375" s="51" t="s">
        <v>243</v>
      </c>
      <c r="E375" s="23" t="s">
        <v>244</v>
      </c>
    </row>
    <row r="376" spans="4:5" x14ac:dyDescent="0.25">
      <c r="D376" s="51" t="s">
        <v>245</v>
      </c>
      <c r="E376" s="23" t="s">
        <v>246</v>
      </c>
    </row>
    <row r="377" spans="4:5" x14ac:dyDescent="0.25">
      <c r="D377" s="51" t="s">
        <v>247</v>
      </c>
      <c r="E377" s="23" t="s">
        <v>248</v>
      </c>
    </row>
    <row r="378" spans="4:5" x14ac:dyDescent="0.25">
      <c r="D378" s="51" t="s">
        <v>249</v>
      </c>
      <c r="E378" s="23" t="s">
        <v>250</v>
      </c>
    </row>
    <row r="379" spans="4:5" x14ac:dyDescent="0.25">
      <c r="D379" s="51" t="s">
        <v>251</v>
      </c>
      <c r="E379" s="23" t="s">
        <v>252</v>
      </c>
    </row>
    <row r="380" spans="4:5" x14ac:dyDescent="0.25">
      <c r="D380" s="51" t="s">
        <v>253</v>
      </c>
      <c r="E380" s="23" t="s">
        <v>254</v>
      </c>
    </row>
    <row r="381" spans="4:5" x14ac:dyDescent="0.25">
      <c r="D381" s="51" t="s">
        <v>255</v>
      </c>
      <c r="E381" s="23" t="s">
        <v>256</v>
      </c>
    </row>
    <row r="382" spans="4:5" x14ac:dyDescent="0.25">
      <c r="D382" s="51" t="s">
        <v>278</v>
      </c>
      <c r="E382" s="23" t="s">
        <v>279</v>
      </c>
    </row>
    <row r="383" spans="4:5" x14ac:dyDescent="0.25">
      <c r="D383" s="48" t="s">
        <v>257</v>
      </c>
      <c r="E383" s="23" t="s">
        <v>258</v>
      </c>
    </row>
    <row r="384" spans="4:5" x14ac:dyDescent="0.25">
      <c r="D384" s="48" t="s">
        <v>259</v>
      </c>
      <c r="E384" s="23" t="s">
        <v>260</v>
      </c>
    </row>
    <row r="385" spans="4:5" x14ac:dyDescent="0.25">
      <c r="D385" s="48" t="s">
        <v>136</v>
      </c>
      <c r="E385" s="23" t="s">
        <v>137</v>
      </c>
    </row>
    <row r="386" spans="4:5" x14ac:dyDescent="0.25">
      <c r="D386" s="32" t="s">
        <v>163</v>
      </c>
      <c r="E386" s="23" t="s">
        <v>164</v>
      </c>
    </row>
    <row r="387" spans="4:5" x14ac:dyDescent="0.25">
      <c r="D387" s="36" t="s">
        <v>262</v>
      </c>
      <c r="E387" s="23" t="s">
        <v>263</v>
      </c>
    </row>
    <row r="388" spans="4:5" x14ac:dyDescent="0.25">
      <c r="D388" s="36" t="s">
        <v>264</v>
      </c>
      <c r="E388" s="23" t="s">
        <v>265</v>
      </c>
    </row>
    <row r="389" spans="4:5" x14ac:dyDescent="0.25">
      <c r="D389" s="95" t="s">
        <v>138</v>
      </c>
      <c r="E389" s="92" t="s">
        <v>139</v>
      </c>
    </row>
    <row r="390" spans="4:5" x14ac:dyDescent="0.25">
      <c r="D390" s="95" t="s">
        <v>140</v>
      </c>
      <c r="E390" s="92" t="s">
        <v>141</v>
      </c>
    </row>
    <row r="391" spans="4:5" x14ac:dyDescent="0.25">
      <c r="D391" s="95" t="s">
        <v>165</v>
      </c>
      <c r="E391" s="92" t="s">
        <v>166</v>
      </c>
    </row>
    <row r="392" spans="4:5" x14ac:dyDescent="0.25">
      <c r="D392" s="36" t="s">
        <v>266</v>
      </c>
      <c r="E392" s="23" t="s">
        <v>267</v>
      </c>
    </row>
    <row r="393" spans="4:5" x14ac:dyDescent="0.25">
      <c r="D393" s="36" t="s">
        <v>280</v>
      </c>
      <c r="E393" s="23" t="s">
        <v>281</v>
      </c>
    </row>
    <row r="394" spans="4:5" x14ac:dyDescent="0.25">
      <c r="D394" s="36" t="s">
        <v>282</v>
      </c>
      <c r="E394" s="23" t="s">
        <v>283</v>
      </c>
    </row>
    <row r="395" spans="4:5" x14ac:dyDescent="0.25">
      <c r="D395" s="36" t="s">
        <v>177</v>
      </c>
      <c r="E395" s="23" t="s">
        <v>268</v>
      </c>
    </row>
    <row r="396" spans="4:5" x14ac:dyDescent="0.25">
      <c r="D396" s="95" t="s">
        <v>72</v>
      </c>
      <c r="E396" s="92" t="s">
        <v>72</v>
      </c>
    </row>
    <row r="416" spans="4:7" ht="15.75" thickBot="1" x14ac:dyDescent="0.3">
      <c r="D416" s="28" t="s">
        <v>284</v>
      </c>
      <c r="E416" s="29" t="s">
        <v>56</v>
      </c>
      <c r="F416" s="91" t="s">
        <v>285</v>
      </c>
      <c r="G416" s="91" t="s">
        <v>56</v>
      </c>
    </row>
    <row r="417" spans="4:7" ht="15.75" thickBot="1" x14ac:dyDescent="0.3">
      <c r="D417" s="30" t="s">
        <v>74</v>
      </c>
      <c r="E417" s="31">
        <v>1</v>
      </c>
      <c r="F417" s="30" t="s">
        <v>142</v>
      </c>
      <c r="G417" s="34" t="s">
        <v>143</v>
      </c>
    </row>
    <row r="418" spans="4:7" ht="15.75" thickBot="1" x14ac:dyDescent="0.3">
      <c r="D418" s="30" t="s">
        <v>74</v>
      </c>
      <c r="E418" s="31">
        <v>1</v>
      </c>
      <c r="F418" s="32" t="s">
        <v>144</v>
      </c>
      <c r="G418" s="23" t="s">
        <v>145</v>
      </c>
    </row>
    <row r="419" spans="4:7" ht="15.75" thickBot="1" x14ac:dyDescent="0.3">
      <c r="D419" s="30" t="s">
        <v>74</v>
      </c>
      <c r="E419" s="31">
        <v>1</v>
      </c>
      <c r="F419" s="30" t="s">
        <v>167</v>
      </c>
      <c r="G419" s="34" t="s">
        <v>168</v>
      </c>
    </row>
    <row r="420" spans="4:7" ht="15.75" thickBot="1" x14ac:dyDescent="0.3">
      <c r="D420" s="30" t="s">
        <v>74</v>
      </c>
      <c r="E420" s="31">
        <v>1</v>
      </c>
      <c r="F420" s="30" t="s">
        <v>112</v>
      </c>
      <c r="G420" s="34" t="s">
        <v>113</v>
      </c>
    </row>
    <row r="421" spans="4:7" ht="15.75" thickBot="1" x14ac:dyDescent="0.3">
      <c r="D421" s="30" t="s">
        <v>74</v>
      </c>
      <c r="E421" s="31">
        <v>1</v>
      </c>
      <c r="F421" s="32" t="s">
        <v>169</v>
      </c>
      <c r="G421" s="23" t="s">
        <v>170</v>
      </c>
    </row>
    <row r="422" spans="4:7" ht="15.75" thickBot="1" x14ac:dyDescent="0.3">
      <c r="D422" s="30" t="s">
        <v>74</v>
      </c>
      <c r="E422" s="31">
        <v>1</v>
      </c>
      <c r="F422" s="32" t="s">
        <v>146</v>
      </c>
      <c r="G422" s="23" t="s">
        <v>147</v>
      </c>
    </row>
    <row r="423" spans="4:7" ht="15.75" thickBot="1" x14ac:dyDescent="0.3">
      <c r="D423" s="30" t="s">
        <v>74</v>
      </c>
      <c r="E423" s="31">
        <v>1</v>
      </c>
      <c r="F423" s="32" t="s">
        <v>148</v>
      </c>
      <c r="G423" s="23" t="s">
        <v>149</v>
      </c>
    </row>
    <row r="424" spans="4:7" ht="30.75" thickBot="1" x14ac:dyDescent="0.3">
      <c r="D424" s="30" t="s">
        <v>74</v>
      </c>
      <c r="E424" s="31">
        <v>1</v>
      </c>
      <c r="F424" s="39" t="s">
        <v>271</v>
      </c>
      <c r="G424" s="23" t="s">
        <v>272</v>
      </c>
    </row>
    <row r="425" spans="4:7" x14ac:dyDescent="0.25">
      <c r="D425" s="30" t="s">
        <v>74</v>
      </c>
      <c r="F425" t="s">
        <v>273</v>
      </c>
      <c r="G425" s="92" t="s">
        <v>270</v>
      </c>
    </row>
    <row r="426" spans="4:7" x14ac:dyDescent="0.25">
      <c r="D426" s="32" t="s">
        <v>75</v>
      </c>
      <c r="E426" s="24">
        <v>2</v>
      </c>
      <c r="F426" s="32" t="s">
        <v>114</v>
      </c>
      <c r="G426" s="23" t="s">
        <v>115</v>
      </c>
    </row>
    <row r="427" spans="4:7" x14ac:dyDescent="0.25">
      <c r="D427" s="32" t="s">
        <v>82</v>
      </c>
      <c r="E427" s="23">
        <v>3</v>
      </c>
      <c r="F427" s="14" t="s">
        <v>72</v>
      </c>
      <c r="G427" s="92"/>
    </row>
    <row r="428" spans="4:7" x14ac:dyDescent="0.25">
      <c r="D428" s="32" t="s">
        <v>76</v>
      </c>
      <c r="E428" s="24">
        <v>4</v>
      </c>
      <c r="F428" s="51" t="s">
        <v>116</v>
      </c>
      <c r="G428" s="23" t="s">
        <v>117</v>
      </c>
    </row>
    <row r="429" spans="4:7" x14ac:dyDescent="0.25">
      <c r="D429" s="32" t="s">
        <v>76</v>
      </c>
      <c r="E429" s="98">
        <v>4</v>
      </c>
      <c r="F429" s="51" t="s">
        <v>118</v>
      </c>
      <c r="G429" s="23" t="s">
        <v>119</v>
      </c>
    </row>
    <row r="430" spans="4:7" x14ac:dyDescent="0.25">
      <c r="D430" s="32" t="s">
        <v>83</v>
      </c>
      <c r="E430" s="23">
        <v>5</v>
      </c>
      <c r="F430" s="32" t="s">
        <v>150</v>
      </c>
      <c r="G430" s="23" t="s">
        <v>151</v>
      </c>
    </row>
    <row r="431" spans="4:7" x14ac:dyDescent="0.25">
      <c r="D431" s="32" t="s">
        <v>83</v>
      </c>
      <c r="E431" s="23">
        <v>5</v>
      </c>
      <c r="F431" s="32" t="s">
        <v>152</v>
      </c>
      <c r="G431" s="23" t="s">
        <v>153</v>
      </c>
    </row>
    <row r="432" spans="4:7" x14ac:dyDescent="0.25">
      <c r="D432" s="32" t="s">
        <v>83</v>
      </c>
      <c r="E432" s="23">
        <v>5</v>
      </c>
      <c r="F432" s="32" t="s">
        <v>154</v>
      </c>
      <c r="G432" s="23" t="s">
        <v>155</v>
      </c>
    </row>
    <row r="433" spans="4:7" x14ac:dyDescent="0.25">
      <c r="D433" s="38" t="s">
        <v>89</v>
      </c>
      <c r="E433" s="23">
        <v>6</v>
      </c>
      <c r="F433" s="32" t="s">
        <v>171</v>
      </c>
      <c r="G433" s="23" t="s">
        <v>172</v>
      </c>
    </row>
    <row r="434" spans="4:7" x14ac:dyDescent="0.25">
      <c r="D434" s="38" t="s">
        <v>89</v>
      </c>
      <c r="E434" s="23">
        <v>6</v>
      </c>
      <c r="F434" s="32" t="s">
        <v>173</v>
      </c>
      <c r="G434" s="23" t="s">
        <v>174</v>
      </c>
    </row>
    <row r="435" spans="4:7" x14ac:dyDescent="0.25">
      <c r="D435" s="38" t="s">
        <v>89</v>
      </c>
      <c r="E435" s="23">
        <v>6</v>
      </c>
      <c r="F435" s="32" t="s">
        <v>175</v>
      </c>
      <c r="G435" s="23" t="s">
        <v>176</v>
      </c>
    </row>
    <row r="436" spans="4:7" ht="30" x14ac:dyDescent="0.25">
      <c r="D436" s="38" t="s">
        <v>89</v>
      </c>
      <c r="E436" s="23">
        <v>6</v>
      </c>
      <c r="F436" s="36" t="s">
        <v>177</v>
      </c>
      <c r="G436" s="23" t="s">
        <v>178</v>
      </c>
    </row>
    <row r="437" spans="4:7" x14ac:dyDescent="0.25">
      <c r="D437" s="32" t="s">
        <v>90</v>
      </c>
      <c r="E437" s="23">
        <v>7</v>
      </c>
      <c r="F437" s="99" t="s">
        <v>72</v>
      </c>
    </row>
    <row r="438" spans="4:7" x14ac:dyDescent="0.25">
      <c r="D438" s="43" t="s">
        <v>91</v>
      </c>
      <c r="E438" s="23">
        <v>8</v>
      </c>
      <c r="F438" s="32" t="s">
        <v>179</v>
      </c>
      <c r="G438" s="23" t="s">
        <v>180</v>
      </c>
    </row>
    <row r="439" spans="4:7" x14ac:dyDescent="0.25">
      <c r="D439" s="43" t="s">
        <v>91</v>
      </c>
      <c r="E439" s="23">
        <v>8</v>
      </c>
      <c r="F439" s="32" t="s">
        <v>181</v>
      </c>
      <c r="G439" s="23" t="s">
        <v>182</v>
      </c>
    </row>
    <row r="440" spans="4:7" x14ac:dyDescent="0.25">
      <c r="D440" s="43" t="s">
        <v>91</v>
      </c>
      <c r="E440" s="23">
        <v>8</v>
      </c>
      <c r="F440" s="32" t="s">
        <v>183</v>
      </c>
      <c r="G440" s="23" t="s">
        <v>184</v>
      </c>
    </row>
    <row r="441" spans="4:7" x14ac:dyDescent="0.25">
      <c r="D441" s="43" t="s">
        <v>91</v>
      </c>
      <c r="E441" s="23">
        <v>8</v>
      </c>
      <c r="F441" s="32" t="s">
        <v>185</v>
      </c>
      <c r="G441" s="23" t="s">
        <v>186</v>
      </c>
    </row>
    <row r="442" spans="4:7" x14ac:dyDescent="0.25">
      <c r="D442" s="43" t="s">
        <v>92</v>
      </c>
      <c r="E442" s="23">
        <v>9</v>
      </c>
      <c r="F442" s="32" t="s">
        <v>187</v>
      </c>
      <c r="G442" s="23" t="s">
        <v>188</v>
      </c>
    </row>
    <row r="443" spans="4:7" ht="30" x14ac:dyDescent="0.25">
      <c r="D443" s="32" t="s">
        <v>93</v>
      </c>
      <c r="E443" s="23">
        <v>10</v>
      </c>
      <c r="F443" s="51" t="s">
        <v>189</v>
      </c>
      <c r="G443" s="23" t="s">
        <v>190</v>
      </c>
    </row>
    <row r="444" spans="4:7" x14ac:dyDescent="0.25">
      <c r="D444" s="32" t="s">
        <v>93</v>
      </c>
      <c r="E444" s="23">
        <v>10</v>
      </c>
      <c r="F444" s="51" t="s">
        <v>191</v>
      </c>
      <c r="G444" s="23" t="s">
        <v>192</v>
      </c>
    </row>
    <row r="445" spans="4:7" x14ac:dyDescent="0.25">
      <c r="D445" s="32" t="s">
        <v>93</v>
      </c>
      <c r="E445" s="23">
        <v>10</v>
      </c>
      <c r="F445" s="51" t="s">
        <v>193</v>
      </c>
      <c r="G445" s="23" t="s">
        <v>194</v>
      </c>
    </row>
    <row r="446" spans="4:7" x14ac:dyDescent="0.25">
      <c r="D446" s="32" t="s">
        <v>93</v>
      </c>
      <c r="E446" s="23">
        <v>10</v>
      </c>
      <c r="F446" s="35" t="s">
        <v>195</v>
      </c>
      <c r="G446" s="23" t="s">
        <v>196</v>
      </c>
    </row>
    <row r="447" spans="4:7" x14ac:dyDescent="0.25">
      <c r="D447" s="32" t="s">
        <v>93</v>
      </c>
      <c r="E447" s="23">
        <v>10</v>
      </c>
      <c r="F447" s="35" t="s">
        <v>274</v>
      </c>
      <c r="G447" s="23" t="s">
        <v>275</v>
      </c>
    </row>
    <row r="448" spans="4:7" ht="30" x14ac:dyDescent="0.25">
      <c r="D448" s="35" t="s">
        <v>94</v>
      </c>
      <c r="E448" s="44">
        <v>11</v>
      </c>
      <c r="F448" s="35" t="s">
        <v>72</v>
      </c>
      <c r="G448" s="23" t="s">
        <v>72</v>
      </c>
    </row>
    <row r="449" spans="4:7" ht="15.75" thickBot="1" x14ac:dyDescent="0.3">
      <c r="D449" s="32" t="s">
        <v>95</v>
      </c>
      <c r="E449" s="23">
        <v>12</v>
      </c>
      <c r="F449" s="35" t="s">
        <v>72</v>
      </c>
      <c r="G449" s="23" t="s">
        <v>72</v>
      </c>
    </row>
    <row r="450" spans="4:7" x14ac:dyDescent="0.25">
      <c r="D450" s="33" t="s">
        <v>80</v>
      </c>
      <c r="E450" s="34">
        <v>13</v>
      </c>
      <c r="F450" s="35" t="s">
        <v>72</v>
      </c>
      <c r="G450" s="23" t="s">
        <v>72</v>
      </c>
    </row>
    <row r="451" spans="4:7" x14ac:dyDescent="0.25">
      <c r="D451" s="35" t="s">
        <v>81</v>
      </c>
      <c r="E451" s="23">
        <v>14</v>
      </c>
      <c r="F451" s="35" t="s">
        <v>72</v>
      </c>
      <c r="G451" s="23" t="s">
        <v>72</v>
      </c>
    </row>
    <row r="452" spans="4:7" x14ac:dyDescent="0.25">
      <c r="D452" s="35" t="s">
        <v>77</v>
      </c>
      <c r="E452" s="23">
        <v>15</v>
      </c>
      <c r="F452" s="51" t="s">
        <v>120</v>
      </c>
      <c r="G452" s="23" t="s">
        <v>121</v>
      </c>
    </row>
    <row r="453" spans="4:7" ht="30" x14ac:dyDescent="0.25">
      <c r="D453" s="35" t="s">
        <v>77</v>
      </c>
      <c r="E453" s="23">
        <v>15</v>
      </c>
      <c r="F453" s="51" t="s">
        <v>122</v>
      </c>
      <c r="G453" s="23" t="s">
        <v>123</v>
      </c>
    </row>
    <row r="454" spans="4:7" x14ac:dyDescent="0.25">
      <c r="D454" s="35" t="s">
        <v>77</v>
      </c>
      <c r="E454" s="23">
        <v>15</v>
      </c>
      <c r="F454" s="32" t="s">
        <v>198</v>
      </c>
      <c r="G454" s="23" t="s">
        <v>199</v>
      </c>
    </row>
    <row r="455" spans="4:7" x14ac:dyDescent="0.25">
      <c r="D455" s="35" t="s">
        <v>77</v>
      </c>
      <c r="E455" s="23">
        <v>15</v>
      </c>
      <c r="F455" s="51" t="s">
        <v>124</v>
      </c>
      <c r="G455" s="23" t="s">
        <v>125</v>
      </c>
    </row>
    <row r="456" spans="4:7" ht="30" x14ac:dyDescent="0.25">
      <c r="D456" s="35" t="s">
        <v>77</v>
      </c>
      <c r="E456" s="23">
        <v>15</v>
      </c>
      <c r="F456" s="51" t="s">
        <v>126</v>
      </c>
      <c r="G456" s="23" t="s">
        <v>127</v>
      </c>
    </row>
    <row r="457" spans="4:7" x14ac:dyDescent="0.25">
      <c r="D457" s="35" t="s">
        <v>77</v>
      </c>
      <c r="E457" s="23">
        <v>15</v>
      </c>
      <c r="F457" s="51" t="s">
        <v>128</v>
      </c>
      <c r="G457" s="23" t="s">
        <v>129</v>
      </c>
    </row>
    <row r="458" spans="4:7" ht="30" x14ac:dyDescent="0.25">
      <c r="D458" s="35" t="s">
        <v>77</v>
      </c>
      <c r="E458" s="23">
        <v>15</v>
      </c>
      <c r="F458" s="51" t="s">
        <v>130</v>
      </c>
      <c r="G458" s="23" t="s">
        <v>131</v>
      </c>
    </row>
    <row r="459" spans="4:7" ht="30" x14ac:dyDescent="0.25">
      <c r="D459" s="35" t="s">
        <v>77</v>
      </c>
      <c r="E459" s="23">
        <v>15</v>
      </c>
      <c r="F459" s="51" t="s">
        <v>132</v>
      </c>
      <c r="G459" s="23" t="s">
        <v>133</v>
      </c>
    </row>
    <row r="460" spans="4:7" x14ac:dyDescent="0.25">
      <c r="D460" s="35" t="s">
        <v>77</v>
      </c>
      <c r="E460" s="23">
        <v>15</v>
      </c>
      <c r="F460" s="32" t="s">
        <v>201</v>
      </c>
      <c r="G460" s="23" t="s">
        <v>202</v>
      </c>
    </row>
    <row r="461" spans="4:7" x14ac:dyDescent="0.25">
      <c r="D461" s="35" t="s">
        <v>77</v>
      </c>
      <c r="E461" s="23">
        <v>15</v>
      </c>
      <c r="F461" s="32" t="s">
        <v>134</v>
      </c>
      <c r="G461" s="23" t="s">
        <v>135</v>
      </c>
    </row>
    <row r="462" spans="4:7" x14ac:dyDescent="0.25">
      <c r="D462" s="35" t="s">
        <v>77</v>
      </c>
      <c r="E462" s="23">
        <v>15</v>
      </c>
      <c r="F462" s="32" t="s">
        <v>203</v>
      </c>
      <c r="G462" s="93" t="s">
        <v>204</v>
      </c>
    </row>
    <row r="463" spans="4:7" x14ac:dyDescent="0.25">
      <c r="D463" s="32" t="s">
        <v>96</v>
      </c>
      <c r="E463" s="23">
        <v>16</v>
      </c>
      <c r="F463" s="32" t="s">
        <v>205</v>
      </c>
      <c r="G463" s="23" t="s">
        <v>206</v>
      </c>
    </row>
    <row r="464" spans="4:7" x14ac:dyDescent="0.25">
      <c r="D464" s="32" t="s">
        <v>96</v>
      </c>
      <c r="E464" s="23">
        <v>16</v>
      </c>
      <c r="F464" s="32" t="s">
        <v>207</v>
      </c>
      <c r="G464" s="23" t="s">
        <v>208</v>
      </c>
    </row>
    <row r="465" spans="4:7" x14ac:dyDescent="0.25">
      <c r="D465" s="32" t="s">
        <v>96</v>
      </c>
      <c r="E465" s="23">
        <v>16</v>
      </c>
      <c r="F465" s="32" t="s">
        <v>209</v>
      </c>
      <c r="G465" s="23" t="s">
        <v>210</v>
      </c>
    </row>
    <row r="466" spans="4:7" x14ac:dyDescent="0.25">
      <c r="D466" s="32" t="s">
        <v>96</v>
      </c>
      <c r="E466" s="23">
        <v>16</v>
      </c>
      <c r="F466" s="32" t="s">
        <v>276</v>
      </c>
      <c r="G466" s="23" t="s">
        <v>277</v>
      </c>
    </row>
    <row r="467" spans="4:7" x14ac:dyDescent="0.25">
      <c r="D467" s="32" t="s">
        <v>97</v>
      </c>
      <c r="E467" s="23">
        <v>17</v>
      </c>
      <c r="F467" s="32" t="s">
        <v>211</v>
      </c>
      <c r="G467" s="23" t="s">
        <v>212</v>
      </c>
    </row>
    <row r="468" spans="4:7" x14ac:dyDescent="0.25">
      <c r="D468" s="32" t="s">
        <v>84</v>
      </c>
      <c r="E468" s="23">
        <v>18</v>
      </c>
      <c r="F468" s="32" t="s">
        <v>157</v>
      </c>
      <c r="G468" s="23" t="s">
        <v>158</v>
      </c>
    </row>
    <row r="469" spans="4:7" x14ac:dyDescent="0.25">
      <c r="D469" s="32" t="s">
        <v>84</v>
      </c>
      <c r="E469" s="23">
        <v>18</v>
      </c>
      <c r="F469" s="32" t="s">
        <v>159</v>
      </c>
      <c r="G469" s="23" t="s">
        <v>160</v>
      </c>
    </row>
    <row r="470" spans="4:7" x14ac:dyDescent="0.25">
      <c r="D470" s="32" t="s">
        <v>98</v>
      </c>
      <c r="E470" s="23">
        <v>19</v>
      </c>
      <c r="F470" s="14" t="s">
        <v>72</v>
      </c>
      <c r="G470" s="92" t="s">
        <v>72</v>
      </c>
    </row>
    <row r="471" spans="4:7" x14ac:dyDescent="0.25">
      <c r="D471" s="32" t="s">
        <v>99</v>
      </c>
      <c r="E471" s="23">
        <v>20</v>
      </c>
      <c r="F471" s="32" t="s">
        <v>213</v>
      </c>
      <c r="G471" s="23" t="s">
        <v>214</v>
      </c>
    </row>
    <row r="472" spans="4:7" x14ac:dyDescent="0.25">
      <c r="D472" s="32" t="s">
        <v>99</v>
      </c>
      <c r="E472" s="23">
        <v>20</v>
      </c>
      <c r="F472" s="32" t="s">
        <v>215</v>
      </c>
      <c r="G472" s="23" t="s">
        <v>216</v>
      </c>
    </row>
    <row r="473" spans="4:7" x14ac:dyDescent="0.25">
      <c r="D473" s="32" t="s">
        <v>100</v>
      </c>
      <c r="E473" s="23">
        <v>21</v>
      </c>
      <c r="F473" s="94" t="s">
        <v>217</v>
      </c>
      <c r="G473" s="23" t="s">
        <v>218</v>
      </c>
    </row>
    <row r="474" spans="4:7" x14ac:dyDescent="0.25">
      <c r="D474" s="32" t="s">
        <v>100</v>
      </c>
      <c r="E474" s="23">
        <v>21</v>
      </c>
      <c r="F474" s="94" t="s">
        <v>219</v>
      </c>
      <c r="G474" s="23" t="s">
        <v>220</v>
      </c>
    </row>
    <row r="475" spans="4:7" ht="30" x14ac:dyDescent="0.25">
      <c r="D475" s="32" t="s">
        <v>100</v>
      </c>
      <c r="E475" s="23">
        <v>21</v>
      </c>
      <c r="F475" s="100" t="s">
        <v>221</v>
      </c>
      <c r="G475" s="23" t="s">
        <v>222</v>
      </c>
    </row>
    <row r="476" spans="4:7" x14ac:dyDescent="0.25">
      <c r="D476" s="32" t="s">
        <v>101</v>
      </c>
      <c r="E476" s="23">
        <v>22</v>
      </c>
      <c r="F476" s="100" t="s">
        <v>72</v>
      </c>
      <c r="G476" s="23" t="s">
        <v>72</v>
      </c>
    </row>
    <row r="477" spans="4:7" x14ac:dyDescent="0.25">
      <c r="D477" s="38" t="s">
        <v>102</v>
      </c>
      <c r="E477" s="23">
        <v>23</v>
      </c>
      <c r="F477" s="32" t="s">
        <v>223</v>
      </c>
      <c r="G477" s="23" t="s">
        <v>224</v>
      </c>
    </row>
    <row r="478" spans="4:7" x14ac:dyDescent="0.25">
      <c r="D478" s="38" t="s">
        <v>102</v>
      </c>
      <c r="E478" s="23">
        <v>23</v>
      </c>
      <c r="F478" s="32" t="s">
        <v>225</v>
      </c>
      <c r="G478" s="23" t="s">
        <v>226</v>
      </c>
    </row>
    <row r="479" spans="4:7" x14ac:dyDescent="0.25">
      <c r="D479" s="38" t="s">
        <v>102</v>
      </c>
      <c r="E479" s="23">
        <v>23</v>
      </c>
      <c r="F479" s="32" t="s">
        <v>227</v>
      </c>
      <c r="G479" s="23" t="s">
        <v>228</v>
      </c>
    </row>
    <row r="480" spans="4:7" x14ac:dyDescent="0.25">
      <c r="D480" s="35" t="s">
        <v>103</v>
      </c>
      <c r="E480" s="24">
        <v>24</v>
      </c>
      <c r="F480" s="32" t="s">
        <v>229</v>
      </c>
      <c r="G480" s="25" t="s">
        <v>230</v>
      </c>
    </row>
    <row r="481" spans="4:7" x14ac:dyDescent="0.25">
      <c r="D481" s="47"/>
      <c r="E481" s="24"/>
      <c r="F481" s="32" t="s">
        <v>231</v>
      </c>
      <c r="G481" s="25" t="s">
        <v>232</v>
      </c>
    </row>
    <row r="482" spans="4:7" x14ac:dyDescent="0.25">
      <c r="D482" s="47" t="s">
        <v>104</v>
      </c>
      <c r="E482" s="24">
        <v>25</v>
      </c>
      <c r="F482" s="32" t="s">
        <v>233</v>
      </c>
      <c r="G482" s="25" t="s">
        <v>234</v>
      </c>
    </row>
    <row r="483" spans="4:7" x14ac:dyDescent="0.25">
      <c r="D483" s="47" t="s">
        <v>104</v>
      </c>
      <c r="E483" s="24">
        <v>25</v>
      </c>
      <c r="F483" s="32" t="s">
        <v>235</v>
      </c>
      <c r="G483" s="25" t="s">
        <v>236</v>
      </c>
    </row>
    <row r="484" spans="4:7" x14ac:dyDescent="0.25">
      <c r="D484" s="38" t="s">
        <v>105</v>
      </c>
      <c r="E484" s="23">
        <v>26</v>
      </c>
      <c r="F484" s="32" t="s">
        <v>237</v>
      </c>
      <c r="G484" s="23" t="s">
        <v>238</v>
      </c>
    </row>
    <row r="485" spans="4:7" x14ac:dyDescent="0.25">
      <c r="D485" s="32" t="s">
        <v>85</v>
      </c>
      <c r="E485" s="23">
        <v>27</v>
      </c>
      <c r="F485" s="14" t="s">
        <v>72</v>
      </c>
      <c r="G485" s="101" t="s">
        <v>72</v>
      </c>
    </row>
    <row r="486" spans="4:7" x14ac:dyDescent="0.25">
      <c r="D486" s="39" t="s">
        <v>86</v>
      </c>
      <c r="E486" s="23">
        <v>28</v>
      </c>
      <c r="F486" s="14" t="s">
        <v>72</v>
      </c>
      <c r="G486" s="101" t="s">
        <v>72</v>
      </c>
    </row>
    <row r="487" spans="4:7" x14ac:dyDescent="0.25">
      <c r="D487" s="32" t="s">
        <v>87</v>
      </c>
      <c r="E487" s="23">
        <v>29</v>
      </c>
      <c r="F487" s="32" t="s">
        <v>161</v>
      </c>
      <c r="G487" s="23" t="s">
        <v>162</v>
      </c>
    </row>
    <row r="488" spans="4:7" x14ac:dyDescent="0.25">
      <c r="D488" s="32" t="s">
        <v>269</v>
      </c>
      <c r="E488" s="23">
        <v>30</v>
      </c>
      <c r="F488" s="32" t="s">
        <v>72</v>
      </c>
      <c r="G488" s="25" t="s">
        <v>72</v>
      </c>
    </row>
    <row r="489" spans="4:7" x14ac:dyDescent="0.25">
      <c r="D489" s="36" t="s">
        <v>106</v>
      </c>
      <c r="E489" s="23">
        <v>31</v>
      </c>
      <c r="F489" s="51" t="s">
        <v>239</v>
      </c>
      <c r="G489" s="23" t="s">
        <v>240</v>
      </c>
    </row>
    <row r="490" spans="4:7" ht="30" x14ac:dyDescent="0.25">
      <c r="D490" s="36" t="s">
        <v>106</v>
      </c>
      <c r="E490" s="23">
        <v>31</v>
      </c>
      <c r="F490" s="51" t="s">
        <v>241</v>
      </c>
      <c r="G490" s="23" t="s">
        <v>242</v>
      </c>
    </row>
    <row r="491" spans="4:7" ht="30" x14ac:dyDescent="0.25">
      <c r="D491" s="36" t="s">
        <v>106</v>
      </c>
      <c r="E491" s="23">
        <v>31</v>
      </c>
      <c r="F491" s="51" t="s">
        <v>243</v>
      </c>
      <c r="G491" s="23" t="s">
        <v>244</v>
      </c>
    </row>
    <row r="492" spans="4:7" x14ac:dyDescent="0.25">
      <c r="D492" s="36" t="s">
        <v>106</v>
      </c>
      <c r="E492" s="23">
        <v>31</v>
      </c>
      <c r="F492" s="51" t="s">
        <v>245</v>
      </c>
      <c r="G492" s="23" t="s">
        <v>246</v>
      </c>
    </row>
    <row r="493" spans="4:7" x14ac:dyDescent="0.25">
      <c r="D493" s="36" t="s">
        <v>106</v>
      </c>
      <c r="E493" s="23">
        <v>31</v>
      </c>
      <c r="F493" s="51" t="s">
        <v>247</v>
      </c>
      <c r="G493" s="23" t="s">
        <v>248</v>
      </c>
    </row>
    <row r="494" spans="4:7" ht="30" x14ac:dyDescent="0.25">
      <c r="D494" s="36" t="s">
        <v>106</v>
      </c>
      <c r="E494" s="23">
        <v>31</v>
      </c>
      <c r="F494" s="51" t="s">
        <v>249</v>
      </c>
      <c r="G494" s="23" t="s">
        <v>250</v>
      </c>
    </row>
    <row r="495" spans="4:7" x14ac:dyDescent="0.25">
      <c r="D495" s="36" t="s">
        <v>106</v>
      </c>
      <c r="E495" s="23">
        <v>31</v>
      </c>
      <c r="F495" s="51" t="s">
        <v>251</v>
      </c>
      <c r="G495" s="23" t="s">
        <v>252</v>
      </c>
    </row>
    <row r="496" spans="4:7" x14ac:dyDescent="0.25">
      <c r="D496" s="36" t="s">
        <v>106</v>
      </c>
      <c r="E496" s="23">
        <v>31</v>
      </c>
      <c r="F496" s="51" t="s">
        <v>253</v>
      </c>
      <c r="G496" s="23" t="s">
        <v>254</v>
      </c>
    </row>
    <row r="497" spans="4:7" x14ac:dyDescent="0.25">
      <c r="D497" s="36" t="s">
        <v>106</v>
      </c>
      <c r="E497" s="23">
        <v>31</v>
      </c>
      <c r="F497" s="51" t="s">
        <v>255</v>
      </c>
      <c r="G497" s="23" t="s">
        <v>256</v>
      </c>
    </row>
    <row r="498" spans="4:7" ht="30" x14ac:dyDescent="0.25">
      <c r="D498" s="36" t="s">
        <v>106</v>
      </c>
      <c r="E498" s="23">
        <v>31</v>
      </c>
      <c r="F498" s="51" t="s">
        <v>278</v>
      </c>
      <c r="G498" s="23" t="s">
        <v>279</v>
      </c>
    </row>
    <row r="499" spans="4:7" x14ac:dyDescent="0.25">
      <c r="D499" s="36" t="s">
        <v>107</v>
      </c>
      <c r="E499" s="23">
        <v>32</v>
      </c>
      <c r="F499" s="48" t="s">
        <v>257</v>
      </c>
      <c r="G499" s="23" t="s">
        <v>258</v>
      </c>
    </row>
    <row r="500" spans="4:7" ht="30" x14ac:dyDescent="0.25">
      <c r="D500" s="36" t="s">
        <v>107</v>
      </c>
      <c r="E500" s="23">
        <v>32</v>
      </c>
      <c r="F500" s="48" t="s">
        <v>259</v>
      </c>
      <c r="G500" s="23" t="s">
        <v>260</v>
      </c>
    </row>
    <row r="501" spans="4:7" x14ac:dyDescent="0.25">
      <c r="D501" s="36" t="s">
        <v>78</v>
      </c>
      <c r="E501" s="23">
        <v>33</v>
      </c>
      <c r="F501" s="48" t="s">
        <v>136</v>
      </c>
      <c r="G501" s="23" t="s">
        <v>137</v>
      </c>
    </row>
    <row r="502" spans="4:7" x14ac:dyDescent="0.25">
      <c r="D502" s="48" t="s">
        <v>108</v>
      </c>
      <c r="E502" s="49">
        <v>34</v>
      </c>
      <c r="F502" s="95" t="s">
        <v>72</v>
      </c>
      <c r="G502" s="92" t="s">
        <v>72</v>
      </c>
    </row>
    <row r="503" spans="4:7" x14ac:dyDescent="0.25">
      <c r="D503" s="15" t="s">
        <v>88</v>
      </c>
      <c r="E503" s="102">
        <v>35</v>
      </c>
      <c r="F503" s="32" t="s">
        <v>163</v>
      </c>
      <c r="G503" s="23" t="s">
        <v>164</v>
      </c>
    </row>
    <row r="504" spans="4:7" x14ac:dyDescent="0.25">
      <c r="D504" s="36" t="s">
        <v>109</v>
      </c>
      <c r="E504" s="23">
        <v>36</v>
      </c>
      <c r="F504" s="36" t="s">
        <v>262</v>
      </c>
      <c r="G504" s="23" t="s">
        <v>263</v>
      </c>
    </row>
    <row r="505" spans="4:7" x14ac:dyDescent="0.25">
      <c r="D505" s="36" t="s">
        <v>110</v>
      </c>
      <c r="E505" s="23">
        <v>37</v>
      </c>
      <c r="F505" s="36" t="s">
        <v>264</v>
      </c>
      <c r="G505" s="23" t="s">
        <v>265</v>
      </c>
    </row>
    <row r="506" spans="4:7" x14ac:dyDescent="0.25">
      <c r="D506" s="36" t="s">
        <v>53</v>
      </c>
      <c r="E506" s="23">
        <v>38</v>
      </c>
      <c r="F506" s="95" t="s">
        <v>138</v>
      </c>
      <c r="G506" s="92" t="s">
        <v>139</v>
      </c>
    </row>
    <row r="507" spans="4:7" x14ac:dyDescent="0.25">
      <c r="D507" s="36" t="s">
        <v>53</v>
      </c>
      <c r="E507" s="23">
        <v>39</v>
      </c>
      <c r="F507" s="95" t="s">
        <v>140</v>
      </c>
      <c r="G507" s="92" t="s">
        <v>141</v>
      </c>
    </row>
    <row r="508" spans="4:7" x14ac:dyDescent="0.25">
      <c r="D508" s="36" t="s">
        <v>53</v>
      </c>
      <c r="E508" s="23">
        <v>40</v>
      </c>
      <c r="F508" s="95" t="s">
        <v>165</v>
      </c>
      <c r="G508" s="92" t="s">
        <v>166</v>
      </c>
    </row>
    <row r="509" spans="4:7" x14ac:dyDescent="0.25">
      <c r="D509" s="36" t="s">
        <v>53</v>
      </c>
      <c r="E509" s="23">
        <v>41</v>
      </c>
      <c r="F509" s="36" t="s">
        <v>266</v>
      </c>
      <c r="G509" s="23" t="s">
        <v>267</v>
      </c>
    </row>
    <row r="510" spans="4:7" x14ac:dyDescent="0.25">
      <c r="D510" s="36" t="s">
        <v>53</v>
      </c>
      <c r="E510" s="23">
        <v>42</v>
      </c>
      <c r="F510" s="36" t="s">
        <v>280</v>
      </c>
      <c r="G510" s="23" t="s">
        <v>281</v>
      </c>
    </row>
    <row r="511" spans="4:7" x14ac:dyDescent="0.25">
      <c r="D511" s="36" t="s">
        <v>53</v>
      </c>
      <c r="E511" s="23">
        <v>43</v>
      </c>
      <c r="F511" s="36" t="s">
        <v>282</v>
      </c>
      <c r="G511" s="23" t="s">
        <v>283</v>
      </c>
    </row>
    <row r="512" spans="4:7" ht="30" x14ac:dyDescent="0.25">
      <c r="D512" s="36" t="s">
        <v>111</v>
      </c>
      <c r="E512" s="23">
        <v>39</v>
      </c>
      <c r="F512" s="36" t="s">
        <v>177</v>
      </c>
      <c r="G512" s="23" t="s">
        <v>268</v>
      </c>
    </row>
    <row r="513" spans="4:7" x14ac:dyDescent="0.25">
      <c r="D513" s="32"/>
      <c r="E513" s="32"/>
      <c r="F513" s="36" t="s">
        <v>72</v>
      </c>
      <c r="G513" s="23" t="s">
        <v>72</v>
      </c>
    </row>
  </sheetData>
  <sheetProtection algorithmName="SHA-512" hashValue="iSBd23yX4dWcPuJiavzJfgfcWLXfb5L0woVt7YUV6LrruIK2dDymQDgTRKFPt06CUg1WCqUcjE6CtNjRWPUk/g==" saltValue="3sZ60+HMIw6Dj2jyVjSBvw==" spinCount="100000" sheet="1" objects="1" scenarios="1"/>
  <autoFilter ref="N13:O179" xr:uid="{00000000-0009-0000-0000-000001000000}"/>
  <pageMargins left="0.7" right="0.7" top="0.75" bottom="0.75" header="0.3" footer="0.3"/>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4</vt:i4>
      </vt:variant>
    </vt:vector>
  </HeadingPairs>
  <TitlesOfParts>
    <vt:vector size="6" baseType="lpstr">
      <vt:lpstr>HOJA 1</vt:lpstr>
      <vt:lpstr>LISTAS DESPLEGABLES</vt:lpstr>
      <vt:lpstr>DEPENDENCIAS</vt:lpstr>
      <vt:lpstr>SERIES</vt:lpstr>
      <vt:lpstr>SUBSECCION</vt:lpstr>
      <vt:lpstr>SUBSERIES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concejo chia</dc:creator>
  <cp:lastModifiedBy>Concejo Municipal De Chia</cp:lastModifiedBy>
  <cp:lastPrinted>2025-05-20T20:10:40Z</cp:lastPrinted>
  <dcterms:created xsi:type="dcterms:W3CDTF">2025-02-19T16:27:10Z</dcterms:created>
  <dcterms:modified xsi:type="dcterms:W3CDTF">2026-04-15T20:34:19Z</dcterms:modified>
</cp:coreProperties>
</file>