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30.30.30.51\compartida\SGC CONCEJO CHIA\5. Procesos  SGC\7. GESTIÓN DOCUMENTAL  Y TECNOLOGIAS DE LA INFORMACIÓN\3. Formatos\3.1 Formatos - Gestión Documental\003_FUID\"/>
    </mc:Choice>
  </mc:AlternateContent>
  <xr:revisionPtr revIDLastSave="0" documentId="13_ncr:1_{019CAC0C-2DA8-433B-84F9-7DD984758FBF}" xr6:coauthVersionLast="47" xr6:coauthVersionMax="47" xr10:uidLastSave="{00000000-0000-0000-0000-000000000000}"/>
  <bookViews>
    <workbookView xWindow="-120" yWindow="-120" windowWidth="29040" windowHeight="15720" xr2:uid="{8F4B81BE-3EF0-443C-ABCE-368812DC78DA}"/>
  </bookViews>
  <sheets>
    <sheet name="FUID" sheetId="1" r:id="rId1"/>
    <sheet name="LISTA DESPLEGABLE" sheetId="2" state="hidden" r:id="rId2"/>
  </sheets>
  <definedNames>
    <definedName name="CODIGD">Tabla3[[#All],[CODIGO]]</definedName>
    <definedName name="DEPENDENCIA">Tabla1[[#All],[DEPENDENCIA SECCION]]</definedName>
    <definedName name="DEPENDENCIA_SECCION">'LISTA DESPLEGABLE'!$O$4:$P$8</definedName>
    <definedName name="OFICINAPRODUCTORA">Tabla2[[#Headers],[OFICINA PRODUCTORA SUBSECCION:]]</definedName>
    <definedName name="OFICINAS">'LISTA DESPLEGABLE'!$O$12:$P$25</definedName>
    <definedName name="SERIES">'LISTA DESPLEGABLE'!$C$4:$D$195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P45" i="1"/>
  <c r="P46" i="1"/>
  <c r="B45" i="1"/>
  <c r="B46" i="1"/>
  <c r="P40" i="1"/>
  <c r="P41" i="1"/>
  <c r="P42" i="1"/>
  <c r="P43" i="1"/>
  <c r="P44" i="1"/>
  <c r="B40" i="1"/>
  <c r="B41" i="1"/>
  <c r="B42" i="1"/>
  <c r="B43" i="1"/>
  <c r="B44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17" i="1"/>
  <c r="P34" i="1"/>
  <c r="P35" i="1"/>
  <c r="P36" i="1"/>
  <c r="P37" i="1"/>
  <c r="P38" i="1"/>
  <c r="P39" i="1"/>
  <c r="E10" i="1"/>
  <c r="E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C9" authorId="0" shapeId="0" xr:uid="{D71ECA17-FFA9-44DC-A2BD-A2CB4B8263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Direccioón o dependencia en la que se genera su archivo</t>
        </r>
      </text>
    </comment>
    <comment ref="E9" authorId="0" shapeId="0" xr:uid="{1B44EA16-62A3-419C-9C9A-DD10CD5079D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Codigo según  TRD para su oficina </t>
        </r>
      </text>
    </comment>
    <comment ref="G9" authorId="0" shapeId="0" xr:uid="{5973C23D-B79A-4A5B-8AA5-76B73FA15B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Indicar para que es el inventario</t>
        </r>
      </text>
    </comment>
    <comment ref="H9" authorId="0" shapeId="0" xr:uid="{176016DF-3066-403B-AE64-AEBEABB461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Cuando va a entregar al Archivo central </t>
        </r>
      </text>
    </comment>
    <comment ref="I9" authorId="0" shapeId="0" xr:uid="{8DE3BEDF-AD97-4A60-BB5D-FA2A12CAAD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Cuando se retira de la entidad, o cambia de dependencia</t>
        </r>
      </text>
    </comment>
    <comment ref="J9" authorId="0" shapeId="0" xr:uid="{E434AF7D-51F5-47DB-B14C-289BBEC92A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cuando se va a eliminar la documentación</t>
        </r>
      </text>
    </comment>
    <comment ref="K9" authorId="0" shapeId="0" xr:uid="{E9108C7F-1C45-4D90-8555-2A61958572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Solamente para el Archivo central </t>
        </r>
      </text>
    </comment>
    <comment ref="L9" authorId="0" shapeId="0" xr:uid="{D6B2A29D-2852-400F-BD17-6C9A46EA9C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Cuando es inventario de archivo de gestion de su area</t>
        </r>
      </text>
    </comment>
    <comment ref="M9" authorId="0" shapeId="0" xr:uid="{782B6DFF-A779-4420-A484-C4D3716F10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Indique motivos doferetnes a los registrados</t>
        </r>
      </text>
    </comment>
    <comment ref="O9" authorId="0" shapeId="0" xr:uid="{EC4D2CC9-7189-42E9-B737-1C1C90A4FC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fecha de entrega </t>
        </r>
      </text>
    </comment>
    <comment ref="Y9" authorId="0" shapeId="0" xr:uid="{3966CD07-6F83-44EE-83BD-EC7C619FD0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número de trasnferencia o N/A</t>
        </r>
      </text>
    </comment>
    <comment ref="C10" authorId="0" shapeId="0" xr:uid="{58D6D5DF-0066-4BA6-A466-3566CFCC96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Indicar dependencia o sub - proceso donde se genera el archivo </t>
        </r>
      </text>
    </comment>
    <comment ref="A13" authorId="0" shapeId="0" xr:uid="{82CBE486-5837-4CBB-B51C-84576CF57F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Indicar numero de orden dentro del inventario</t>
        </r>
      </text>
    </comment>
    <comment ref="B13" authorId="0" shapeId="0" xr:uid="{185B510C-B864-46E1-A545-90BC14643F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Codigo de series y subseries</t>
        </r>
      </text>
    </comment>
    <comment ref="C13" authorId="0" shapeId="0" xr:uid="{CBA4026E-2BCE-4C8E-861E-D414CA878C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Nombre de serie o subserie según TRD</t>
        </r>
      </text>
    </comment>
    <comment ref="I13" authorId="0" shapeId="0" xr:uid="{AC1EAF20-D532-4050-AF5E-3696ABF14E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Selecciones si es fisico o electronico el soporte de la carpeta </t>
        </r>
      </text>
    </comment>
    <comment ref="S13" authorId="0" shapeId="0" xr:uid="{8F2CA554-E629-4476-B197-BB1CED5DE9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Solamente cundo es documento electronico</t>
        </r>
      </text>
    </comment>
    <comment ref="W13" authorId="0" shapeId="0" xr:uid="{992CCEE9-1783-4C87-AC10-E6107D145E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Indique la fercuencia de consulta</t>
        </r>
      </text>
    </comment>
    <comment ref="X13" authorId="0" shapeId="0" xr:uid="{F5878D47-4390-4196-9E6B-0BDDAFEE97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Indique infriomacion de tesdtigos docm,entales, estado de la documentacion formas,etc </t>
        </r>
      </text>
    </comment>
    <comment ref="Q15" authorId="0" shapeId="0" xr:uid="{B76A2D42-C106-49E4-925D-250E177CE2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Indicar si se encuentra en otro tipo de conservacion el expediente</t>
        </r>
      </text>
    </comment>
    <comment ref="S15" authorId="0" shapeId="0" xr:uid="{11E0E2B0-A675-458C-A215-7820D15C91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Seleccione el tipo de formato</t>
        </r>
      </text>
    </comment>
    <comment ref="T15" authorId="0" shapeId="0" xr:uid="{121A6604-BB87-4FDE-A382-BFAB5D9BE6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Indique la direccionURL o nombre de carpeta virtual </t>
        </r>
      </text>
    </comment>
    <comment ref="U15" authorId="0" shapeId="0" xr:uid="{DB2617D5-1D08-41C5-9EEB-D078A5A419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Indique la cantidad de archivos de la carpeta </t>
        </r>
      </text>
    </comment>
    <comment ref="D16" authorId="0" shapeId="0" xr:uid="{1A4BC9AE-B1D4-4CD1-815D-F217841BC5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Numero del expediente si lo tiene</t>
        </r>
      </text>
    </comment>
    <comment ref="E16" authorId="0" shapeId="0" xr:uid="{5F1428CA-2066-4CC7-8565-F333E41E4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Indique nombre del expediente claro y recuperable en el tiempo</t>
        </r>
      </text>
    </comment>
    <comment ref="G16" authorId="0" shapeId="0" xr:uid="{C79174EB-F6C0-4DD2-B9E5-0F5C5B799C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Indique fecha del primer documento en la carpeta </t>
        </r>
      </text>
    </comment>
    <comment ref="H16" authorId="0" shapeId="0" xr:uid="{2C3B9E17-26BD-4431-B7A6-B87C75DF5F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Indioque fecha del ultimo documento en la carpeta </t>
        </r>
      </text>
    </comment>
    <comment ref="K16" authorId="0" shapeId="0" xr:uid="{33BF35CB-29AF-48D6-B664-51A168D9D2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Indique numero de caja </t>
        </r>
      </text>
    </comment>
    <comment ref="L16" authorId="0" shapeId="0" xr:uid="{2ADF4EC9-79CF-481B-BCCC-4BF71FB192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Indique numero de carpeta dentro de la caja </t>
        </r>
      </text>
    </comment>
    <comment ref="M16" authorId="0" shapeId="0" xr:uid="{11004A4B-C2CD-4CE1-A493-9B019C6050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Indique cantidad de tomos </t>
        </r>
      </text>
    </comment>
    <comment ref="N16" authorId="0" shapeId="0" xr:uid="{34F93A9C-AF93-40C7-8F1F-5BAD16EF41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Indfique el numeor del folio inicial en la carpeta</t>
        </r>
      </text>
    </comment>
    <comment ref="O16" authorId="0" shapeId="0" xr:uid="{CA614E72-E2DF-467A-94A3-46505E266B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Indique numero de folio final dentro de la carpeta </t>
        </r>
      </text>
    </comment>
    <comment ref="P16" authorId="0" shapeId="0" xr:uid="{7A468F90-A912-4D86-8BD1-29011CDE08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Indique el  num ero total de folios de la carpeta </t>
        </r>
      </text>
    </comment>
    <comment ref="B48" authorId="1" shapeId="0" xr:uid="{2720EE5C-E634-4190-8B29-8AA8A7133768}">
      <text>
        <r>
          <rPr>
            <sz val="9"/>
            <color rgb="FF000000"/>
            <rFont val="Tahoma"/>
            <family val="2"/>
          </rPr>
          <t>Persona responsable de elaborar el inventario, así como el lugar y fecha en que se realiza dicha entrega</t>
        </r>
      </text>
    </comment>
    <comment ref="J48" authorId="0" shapeId="0" xr:uid="{7C0F71F8-06ED-4344-B346-17ADF6AEF9C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Nombre del lider del proceso o Jefe de Area </t>
        </r>
      </text>
    </comment>
    <comment ref="S48" authorId="1" shapeId="0" xr:uid="{ED31CF12-E7B2-4D7A-B8A8-BB01198A8382}">
      <text>
        <r>
          <rPr>
            <sz val="12"/>
            <color indexed="81"/>
            <rFont val="Tahoma"/>
            <family val="2"/>
          </rPr>
          <t>Persona responsable de recibir el inventario, así como el lugar y fecha en que se recibió.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FAMILIA</author>
  </authors>
  <commentList>
    <comment ref="J4" authorId="0" shapeId="0" xr:uid="{554446F1-D212-4993-9C8A-F681AB897419}">
      <text>
        <r>
          <rPr>
            <sz val="11"/>
            <color indexed="81"/>
            <rFont val="Tahoma"/>
            <family val="2"/>
          </rPr>
          <t>FAMILIA:
Soporte papel o electrónico o Digital.</t>
        </r>
      </text>
    </comment>
  </commentList>
</comments>
</file>

<file path=xl/sharedStrings.xml><?xml version="1.0" encoding="utf-8"?>
<sst xmlns="http://schemas.openxmlformats.org/spreadsheetml/2006/main" count="752" uniqueCount="455">
  <si>
    <t>SISTEMA  DE GESTIÓN DE CALIDAD</t>
  </si>
  <si>
    <t>CONCEJO MUNICIPAL DE CHÍA</t>
  </si>
  <si>
    <r>
      <t>OFICINA PRODUCTORA:</t>
    </r>
    <r>
      <rPr>
        <b/>
        <sz val="12"/>
        <color indexed="18"/>
        <rFont val="Times New Roman"/>
        <family val="1"/>
      </rPr>
      <t xml:space="preserve"> </t>
    </r>
  </si>
  <si>
    <t>OBJETO DEL INVENTARIO</t>
  </si>
  <si>
    <t>Transferencia</t>
  </si>
  <si>
    <t>Novedad de Personal</t>
  </si>
  <si>
    <t>Eliminación</t>
  </si>
  <si>
    <t>Archivo
Central</t>
  </si>
  <si>
    <t>Archivo
Gestión</t>
  </si>
  <si>
    <t>Otro ¿Cuál?</t>
  </si>
  <si>
    <r>
      <t xml:space="preserve">REGISTRO DE ENTRADA </t>
    </r>
    <r>
      <rPr>
        <b/>
        <sz val="12"/>
        <color rgb="FFFF0000"/>
        <rFont val="Times New Roman"/>
        <family val="1"/>
      </rPr>
      <t xml:space="preserve">
</t>
    </r>
  </si>
  <si>
    <t>DÍA</t>
  </si>
  <si>
    <t>MES</t>
  </si>
  <si>
    <t>AÑO</t>
  </si>
  <si>
    <t>N° DE TRANSFERENCIA</t>
  </si>
  <si>
    <t>ITEM</t>
  </si>
  <si>
    <t xml:space="preserve">CÓDIGO </t>
  </si>
  <si>
    <t>NOMBRE DE LA SERIE, SUBSERIE O ASUNTOS</t>
  </si>
  <si>
    <t>IDENTIFICACIÓN DEL EXPEDIENTE</t>
  </si>
  <si>
    <t xml:space="preserve">SOPORTE O FORMATO </t>
  </si>
  <si>
    <t>FÍSICO</t>
  </si>
  <si>
    <t>ELECTRÓNICO</t>
  </si>
  <si>
    <t>FRECUENCIA
DE
CONSULTA</t>
  </si>
  <si>
    <t>OBSERVACIONES</t>
  </si>
  <si>
    <t>UNIDAD DE CONSERVACIÓN</t>
  </si>
  <si>
    <t xml:space="preserve">PAPEL </t>
  </si>
  <si>
    <t xml:space="preserve">OTRO </t>
  </si>
  <si>
    <t>TIPO DE FORMATO</t>
  </si>
  <si>
    <t xml:space="preserve">UBICACIÓN </t>
  </si>
  <si>
    <t xml:space="preserve">CANTIDAD DE DOCUMENTOS ELECTRONICOS </t>
  </si>
  <si>
    <t xml:space="preserve">TAMAÑO  DOCUMENTOS ELECTRONICOS </t>
  </si>
  <si>
    <t>NÚMERO</t>
  </si>
  <si>
    <t>NOMBRE DE EXPEDIENTE</t>
  </si>
  <si>
    <t>INICIAL</t>
  </si>
  <si>
    <t xml:space="preserve">FÍSICO </t>
  </si>
  <si>
    <t xml:space="preserve">ELECTRÓNICO  </t>
  </si>
  <si>
    <t>CAJA</t>
  </si>
  <si>
    <t>CARPETA</t>
  </si>
  <si>
    <t>FOLIO 
INICIAL</t>
  </si>
  <si>
    <t>FOLIO
FINAL</t>
  </si>
  <si>
    <t>NÚMERO DE FOLIOS</t>
  </si>
  <si>
    <t xml:space="preserve">TIPO </t>
  </si>
  <si>
    <t>CANTIDAD</t>
  </si>
  <si>
    <t xml:space="preserve">Elaborado por: </t>
  </si>
  <si>
    <t>Entregado por:</t>
  </si>
  <si>
    <t>Cargo:</t>
  </si>
  <si>
    <t>Lugar:</t>
  </si>
  <si>
    <t>Firma:</t>
  </si>
  <si>
    <t>Fecha</t>
  </si>
  <si>
    <t xml:space="preserve">Recibido por: </t>
  </si>
  <si>
    <t>FINAL</t>
  </si>
  <si>
    <t>FECHAS EXTREMAS
DD/MM/AAAA</t>
  </si>
  <si>
    <t>CODIGO</t>
  </si>
  <si>
    <t xml:space="preserve">TOMO </t>
  </si>
  <si>
    <t>UNICO</t>
  </si>
  <si>
    <t>1 de 2</t>
  </si>
  <si>
    <t>2 de 2</t>
  </si>
  <si>
    <t>1 de 3</t>
  </si>
  <si>
    <t>2 de 3</t>
  </si>
  <si>
    <t>3 de 3</t>
  </si>
  <si>
    <t>1 de 4</t>
  </si>
  <si>
    <t>2 de 4</t>
  </si>
  <si>
    <t>3 de 4</t>
  </si>
  <si>
    <t>4 de 4</t>
  </si>
  <si>
    <t>1 de 5</t>
  </si>
  <si>
    <t>2 de 5</t>
  </si>
  <si>
    <t>3 de 5</t>
  </si>
  <si>
    <t>4 de 5</t>
  </si>
  <si>
    <t>5 de 5</t>
  </si>
  <si>
    <t>1 de 6</t>
  </si>
  <si>
    <t>2 de 6</t>
  </si>
  <si>
    <t>3 de 6</t>
  </si>
  <si>
    <t>4 de 6</t>
  </si>
  <si>
    <t>5 de 6</t>
  </si>
  <si>
    <t>6 de 6</t>
  </si>
  <si>
    <t>1 de 7</t>
  </si>
  <si>
    <t>2 de 7</t>
  </si>
  <si>
    <t>3 de 7</t>
  </si>
  <si>
    <t>4 de 7</t>
  </si>
  <si>
    <t>5 de 7</t>
  </si>
  <si>
    <t>6 de 7</t>
  </si>
  <si>
    <t>7 de 7</t>
  </si>
  <si>
    <t>1 de 8</t>
  </si>
  <si>
    <t>2 de 8</t>
  </si>
  <si>
    <t>3 de 8</t>
  </si>
  <si>
    <t>4 de 8</t>
  </si>
  <si>
    <t>5 de 8</t>
  </si>
  <si>
    <t>6 de 8</t>
  </si>
  <si>
    <t>7 de 8</t>
  </si>
  <si>
    <t>8 de 8</t>
  </si>
  <si>
    <t>1 de 9</t>
  </si>
  <si>
    <t>2 de 9</t>
  </si>
  <si>
    <t>3 de 9</t>
  </si>
  <si>
    <t>4 de 9</t>
  </si>
  <si>
    <t>5 de 9</t>
  </si>
  <si>
    <t>6 de 9</t>
  </si>
  <si>
    <t>7 de 9</t>
  </si>
  <si>
    <t>8 de 9</t>
  </si>
  <si>
    <t>9 de 9</t>
  </si>
  <si>
    <t>1 de 10</t>
  </si>
  <si>
    <t>2 de 10</t>
  </si>
  <si>
    <t>3 de 10</t>
  </si>
  <si>
    <t>4 de 10</t>
  </si>
  <si>
    <t>5 de 10</t>
  </si>
  <si>
    <t>6 de 10</t>
  </si>
  <si>
    <t>7 de 10</t>
  </si>
  <si>
    <t>8 de 10</t>
  </si>
  <si>
    <t>9 de 10</t>
  </si>
  <si>
    <t>10 de 10</t>
  </si>
  <si>
    <t xml:space="preserve">Frecuencia </t>
  </si>
  <si>
    <t>ALTA</t>
  </si>
  <si>
    <t xml:space="preserve">MEDIA </t>
  </si>
  <si>
    <t>BAJA</t>
  </si>
  <si>
    <t>SOPORTE</t>
  </si>
  <si>
    <t>PAPEL</t>
  </si>
  <si>
    <t>ELECTRONICO</t>
  </si>
  <si>
    <t>DIGITAL</t>
  </si>
  <si>
    <t>HIBRIDO</t>
  </si>
  <si>
    <t>TRANSFERENCIA</t>
  </si>
  <si>
    <t>N/A</t>
  </si>
  <si>
    <t>varios</t>
  </si>
  <si>
    <t>X</t>
  </si>
  <si>
    <t>ACTAS</t>
  </si>
  <si>
    <t>ACTOS ADMINISTRATIVOS</t>
  </si>
  <si>
    <t>AUDITORIAS</t>
  </si>
  <si>
    <t>INFORMES</t>
  </si>
  <si>
    <t>TRANSFERENCIAS DOCUMENTALES</t>
  </si>
  <si>
    <t>SISTEMA DE GESTION DE CALIDAD</t>
  </si>
  <si>
    <t>IMAGEN CORPORATIVA</t>
  </si>
  <si>
    <t>INFORMACIÓN INSTITUCIONAL</t>
  </si>
  <si>
    <t>ACUERDOS MUNICIPALES</t>
  </si>
  <si>
    <t>CERTIFICACIONES</t>
  </si>
  <si>
    <t>LIBROS</t>
  </si>
  <si>
    <t>PROPOSICIONES</t>
  </si>
  <si>
    <t>PROYECTOS DE ACUERDO ARCHIVADOS. NEGADOS Y RETIRADOS</t>
  </si>
  <si>
    <t>PUBLICACIONES INSTITUCIONALES</t>
  </si>
  <si>
    <t>MECANISMO PARTICIPACION CIUDADANA</t>
  </si>
  <si>
    <t>COMPROBANTES DE ALMACÉN</t>
  </si>
  <si>
    <t>CONCILIACIONES BANCARIAS</t>
  </si>
  <si>
    <t>CONTRATOS</t>
  </si>
  <si>
    <t>CONVENIOS</t>
  </si>
  <si>
    <t>DECLARACIONES TRIBUTARIAS</t>
  </si>
  <si>
    <t>DERECHOS DE PETICIÓN. QUEJAS. RECLAMOS. SUGERENCIAS Y DENUNCIAS</t>
  </si>
  <si>
    <t>HISTORIAS LABORALES</t>
  </si>
  <si>
    <t>INSTRUMENTOS ARCHIVISTICOS</t>
  </si>
  <si>
    <t>INSTRUMENTOS DE CONTROL</t>
  </si>
  <si>
    <t>LIBROS CONTABLE AUXILIARES</t>
  </si>
  <si>
    <t>LIBROS CONTABLES PRINCIPALES</t>
  </si>
  <si>
    <t>MANUAL</t>
  </si>
  <si>
    <t>NOMINA</t>
  </si>
  <si>
    <t>PAGOS</t>
  </si>
  <si>
    <t>PRESUPUESTO DE GASTO DE FUNCIONAMIENTO</t>
  </si>
  <si>
    <t>PROCESOS</t>
  </si>
  <si>
    <t>PROGRAMAS</t>
  </si>
  <si>
    <t>SISTEMA DE GESTIÓN DE LA SEGURIDAD Y LA SALUD EN EL TRABAJO</t>
  </si>
  <si>
    <t>SISTEMAS DE INFORMACIÓN</t>
  </si>
  <si>
    <t>TRASLADOS PRESUPUESTALES</t>
  </si>
  <si>
    <t>INFORMACIÓN FINANCIERA</t>
  </si>
  <si>
    <t>CONCEPTOS</t>
  </si>
  <si>
    <t>SISTEMA DE GESTIÓN DE CALIDAD</t>
  </si>
  <si>
    <t>INVENTARIOS</t>
  </si>
  <si>
    <t>Actas de Comité de Control Interno</t>
  </si>
  <si>
    <t xml:space="preserve">Circulares </t>
  </si>
  <si>
    <t>Auditoria Interna</t>
  </si>
  <si>
    <t>Auditoria Externa</t>
  </si>
  <si>
    <t>Informe a Entes de Control</t>
  </si>
  <si>
    <t>Informe de Auditoría del Sistema de Gestión de Calidad</t>
  </si>
  <si>
    <t>Informe de Gestión</t>
  </si>
  <si>
    <t>Informe de Seguimiento a Derechos de Petición y PQRS</t>
  </si>
  <si>
    <t>Informe de Seguimiento a Mapas de Riesgo</t>
  </si>
  <si>
    <t>Informe de Seguimiento de Controles de Advertencia</t>
  </si>
  <si>
    <t>Informes Ejecutivos Anuales de Evaluación al Sistema de Control Interno</t>
  </si>
  <si>
    <t>Informes Pormenorizados del Estado de Control Interno</t>
  </si>
  <si>
    <t>Transferencia Documental Primaria</t>
  </si>
  <si>
    <t>Sistema de Gestión de Calidad OCI</t>
  </si>
  <si>
    <t>Sistema de Gestión de Calidad OAPC</t>
  </si>
  <si>
    <t>Actas de Comisión Accidental y de Ética</t>
  </si>
  <si>
    <t>Actas de Comisión Permanente</t>
  </si>
  <si>
    <t>Actas de Posesion</t>
  </si>
  <si>
    <t>Actas Sesión Plenaria</t>
  </si>
  <si>
    <t>Certificados de Asistencia de Concejales</t>
  </si>
  <si>
    <t>Certificados de Documentos</t>
  </si>
  <si>
    <t>Certificados de Honorarios</t>
  </si>
  <si>
    <t>Informes de Gestión</t>
  </si>
  <si>
    <t>Libros de Registro de Inscripciones de Participación Ciudadana</t>
  </si>
  <si>
    <t>Libros de Intéres de Concejales</t>
  </si>
  <si>
    <t>Gaceta Municipal</t>
  </si>
  <si>
    <t>Cabildo Abierto</t>
  </si>
  <si>
    <t>Sistema de Gestión de Calidad SG</t>
  </si>
  <si>
    <t>Actas de Comisión de Personal</t>
  </si>
  <si>
    <t>Actas de Comité Interno de Archivo</t>
  </si>
  <si>
    <t>Comprobantes de Baja de bienes de Almacén</t>
  </si>
  <si>
    <t>Comprobantes de Egreso de bienes de Almacén</t>
  </si>
  <si>
    <t>Comprobantes de Ingreso de bienes de Almacén</t>
  </si>
  <si>
    <t>Inventario general de bienes devolutivos y de consumo</t>
  </si>
  <si>
    <t>Contratación Directa</t>
  </si>
  <si>
    <t>Contratos de Mínima Cuantía</t>
  </si>
  <si>
    <t>Contratos de Prestación de Servicios</t>
  </si>
  <si>
    <t>Contratos de Subasta Inversa Presencial</t>
  </si>
  <si>
    <t>Convenios Interadministrativos</t>
  </si>
  <si>
    <t>Declaraciones de Retención de Industria y Comercio</t>
  </si>
  <si>
    <t>Declaraciones de Retenciones en la Fuente</t>
  </si>
  <si>
    <t>Estampilla Gerontológico</t>
  </si>
  <si>
    <t>Estampilla Procultura</t>
  </si>
  <si>
    <t>Informes a Entes de Control</t>
  </si>
  <si>
    <t>Informe de Ejecución presupuestal</t>
  </si>
  <si>
    <t>Informe de Gestíón</t>
  </si>
  <si>
    <t>Informe Financiero y Contable</t>
  </si>
  <si>
    <t>Informe a otros organismos del Estado</t>
  </si>
  <si>
    <t>Planes Institucionales de Archivo - PINAR</t>
  </si>
  <si>
    <t>Programa de Gestión Documetal - PGD</t>
  </si>
  <si>
    <t>Tablas de Retención Documental</t>
  </si>
  <si>
    <t>Instrumentos de Control de Comunicaciones Oficiales</t>
  </si>
  <si>
    <t>Libro Diario</t>
  </si>
  <si>
    <t>Libro Mayor</t>
  </si>
  <si>
    <t>Manual de Contratación</t>
  </si>
  <si>
    <t>Manual de Procesos y procedimientos</t>
  </si>
  <si>
    <t>Manual Específico de Funciones. requisitos y Competencias laborales</t>
  </si>
  <si>
    <t>Pagos de Servicios Públicos</t>
  </si>
  <si>
    <t>EPS de Concejales</t>
  </si>
  <si>
    <t>Honorarios a Concejales</t>
  </si>
  <si>
    <t>Presupuesto de gasto de funcionamiento</t>
  </si>
  <si>
    <t>Reducciones Presupuesto</t>
  </si>
  <si>
    <t>Procesos Disciplinarios</t>
  </si>
  <si>
    <t>Procesos Judiciales</t>
  </si>
  <si>
    <t>Programas de Bienestar Social</t>
  </si>
  <si>
    <t>Actas de Comité de Convivencia Laboral</t>
  </si>
  <si>
    <t xml:space="preserve">Actas de Comité Paritario de Salud  Ocupacional - COPASST Vigia </t>
  </si>
  <si>
    <t>Informe de Enfermedades Laborales. incidentes y Accidentes de Trabajo</t>
  </si>
  <si>
    <t>Informe de Evaluación y Valoración de Riesgos</t>
  </si>
  <si>
    <t>Plan Anual de Capacitaciones</t>
  </si>
  <si>
    <t>Plan de Prevención. Preparación y Respuesta ante Emergencias</t>
  </si>
  <si>
    <t>Politicas</t>
  </si>
  <si>
    <t>Programa de promoción y prevención</t>
  </si>
  <si>
    <t>Gestión al Cambio</t>
  </si>
  <si>
    <t>Sistema Corrycom</t>
  </si>
  <si>
    <t>Sistema de Información Financiera y Administrativa</t>
  </si>
  <si>
    <t>Entidades Bancarias</t>
  </si>
  <si>
    <t>Conceptos Jurídicos</t>
  </si>
  <si>
    <t>Sistema de gestión de Calidad DAF</t>
  </si>
  <si>
    <t>1.4</t>
  </si>
  <si>
    <t>2.1</t>
  </si>
  <si>
    <t>4.1</t>
  </si>
  <si>
    <t>4.2</t>
  </si>
  <si>
    <t>15.1</t>
  </si>
  <si>
    <t>15.2</t>
  </si>
  <si>
    <t>15.4</t>
  </si>
  <si>
    <t>15.5</t>
  </si>
  <si>
    <t>15.6</t>
  </si>
  <si>
    <t>15.7</t>
  </si>
  <si>
    <t>15.8</t>
  </si>
  <si>
    <t>15.10</t>
  </si>
  <si>
    <t>33.1</t>
  </si>
  <si>
    <t>38.1</t>
  </si>
  <si>
    <t>38.2</t>
  </si>
  <si>
    <t>1.1</t>
  </si>
  <si>
    <t>1.2</t>
  </si>
  <si>
    <t>1.6</t>
  </si>
  <si>
    <t>1.7</t>
  </si>
  <si>
    <t>5.1</t>
  </si>
  <si>
    <t>5.2</t>
  </si>
  <si>
    <t>5.3</t>
  </si>
  <si>
    <t>18.1</t>
  </si>
  <si>
    <t>18.2</t>
  </si>
  <si>
    <t>29.1</t>
  </si>
  <si>
    <t>35.1</t>
  </si>
  <si>
    <t>38.3</t>
  </si>
  <si>
    <t>1.3</t>
  </si>
  <si>
    <t>1.5</t>
  </si>
  <si>
    <t>6.1</t>
  </si>
  <si>
    <t>6.2</t>
  </si>
  <si>
    <t>6.3</t>
  </si>
  <si>
    <t>6.4</t>
  </si>
  <si>
    <t>8.1</t>
  </si>
  <si>
    <t>8.2</t>
  </si>
  <si>
    <t>8.3</t>
  </si>
  <si>
    <t>8.4</t>
  </si>
  <si>
    <t>9.1</t>
  </si>
  <si>
    <t>10.1</t>
  </si>
  <si>
    <t>10.2</t>
  </si>
  <si>
    <t>10.3</t>
  </si>
  <si>
    <t>10.4</t>
  </si>
  <si>
    <t>15.3</t>
  </si>
  <si>
    <t>15.9</t>
  </si>
  <si>
    <t>15.11</t>
  </si>
  <si>
    <t>16.1</t>
  </si>
  <si>
    <t>16.2</t>
  </si>
  <si>
    <t>16.3</t>
  </si>
  <si>
    <t>17.1</t>
  </si>
  <si>
    <t>20.1</t>
  </si>
  <si>
    <t>20.2</t>
  </si>
  <si>
    <t>21.1</t>
  </si>
  <si>
    <t>21.2</t>
  </si>
  <si>
    <t>21.3</t>
  </si>
  <si>
    <t>23.1</t>
  </si>
  <si>
    <t>23.2</t>
  </si>
  <si>
    <t>23.3</t>
  </si>
  <si>
    <t>24.1</t>
  </si>
  <si>
    <t>24.2</t>
  </si>
  <si>
    <t>25.1</t>
  </si>
  <si>
    <t>25.2</t>
  </si>
  <si>
    <t>26.1</t>
  </si>
  <si>
    <t>31.1</t>
  </si>
  <si>
    <t>31.2</t>
  </si>
  <si>
    <t>31.3</t>
  </si>
  <si>
    <t>31.4</t>
  </si>
  <si>
    <t>31.5</t>
  </si>
  <si>
    <t>31.6</t>
  </si>
  <si>
    <t>31.7</t>
  </si>
  <si>
    <t>31.8</t>
  </si>
  <si>
    <t>31.9</t>
  </si>
  <si>
    <t>32.1</t>
  </si>
  <si>
    <t>32.2</t>
  </si>
  <si>
    <t>34.1</t>
  </si>
  <si>
    <t>36.1</t>
  </si>
  <si>
    <t>37.1</t>
  </si>
  <si>
    <t>38.4</t>
  </si>
  <si>
    <t>39.1</t>
  </si>
  <si>
    <t>OFICINA DE CONTROL INTERNO</t>
  </si>
  <si>
    <t>OFICINA ASESORA DE PRENSA Y COMUNICACIONES</t>
  </si>
  <si>
    <t>SECRETARIA GENERAL</t>
  </si>
  <si>
    <t>DIRECCIÓN ADMINISTRATIVA Y FINANCIERA</t>
  </si>
  <si>
    <t>DEPENDENCIA SECCION</t>
  </si>
  <si>
    <t>OFICINA PRODUCTORA SUBSECCION:</t>
  </si>
  <si>
    <t>GESTION JURIDICA</t>
  </si>
  <si>
    <t xml:space="preserve">GESTION DE RECURSOS FISICOS  TECNOLOGICOS </t>
  </si>
  <si>
    <t>GESTION DEL TALENTO HUMANO</t>
  </si>
  <si>
    <t>SALUD Y SEGURIDAD EN EL TRABAJO</t>
  </si>
  <si>
    <t>PLANEACION Y DIRECCIONAMIENTO ESTRATEGICO</t>
  </si>
  <si>
    <t xml:space="preserve">GESTION DOCUMENTAL </t>
  </si>
  <si>
    <t>GESTION DE GESTION DE  CALIDAD</t>
  </si>
  <si>
    <t>GESTION CONTRACTUAL</t>
  </si>
  <si>
    <t xml:space="preserve">GESTION DE TRECNOLOGIAS DE LA  INFORMACION </t>
  </si>
  <si>
    <t>TESORERIA Y CONTABILIDAD</t>
  </si>
  <si>
    <t>VENTANILLA UNICA</t>
  </si>
  <si>
    <t>Página                           1</t>
  </si>
  <si>
    <t xml:space="preserve">CAJA </t>
  </si>
  <si>
    <t>EXCEL</t>
  </si>
  <si>
    <t>VIDEO</t>
  </si>
  <si>
    <t>IMÁGENES</t>
  </si>
  <si>
    <t>PLANOS</t>
  </si>
  <si>
    <t>TOMO</t>
  </si>
  <si>
    <t>TIPO FISICO</t>
  </si>
  <si>
    <t>LIBRO</t>
  </si>
  <si>
    <t>CDS</t>
  </si>
  <si>
    <t>USB</t>
  </si>
  <si>
    <t>PLANO</t>
  </si>
  <si>
    <t>FOTOGRAFIA</t>
  </si>
  <si>
    <t>REVISTA</t>
  </si>
  <si>
    <t>PERIODICO</t>
  </si>
  <si>
    <t>VIDEO CASETTE</t>
  </si>
  <si>
    <t>tipo de formato ELECTRONICO</t>
  </si>
  <si>
    <t>WORD - DOC- DOCX</t>
  </si>
  <si>
    <t>NOTAS - TXT</t>
  </si>
  <si>
    <t xml:space="preserve">RTF </t>
  </si>
  <si>
    <t>XML</t>
  </si>
  <si>
    <t>HTML</t>
  </si>
  <si>
    <t>HOTS</t>
  </si>
  <si>
    <t>CSV</t>
  </si>
  <si>
    <t>ODS</t>
  </si>
  <si>
    <t>ODT</t>
  </si>
  <si>
    <t>ODG</t>
  </si>
  <si>
    <t>ODP</t>
  </si>
  <si>
    <t>EXCEL - XLS-XLSX -XLSM</t>
  </si>
  <si>
    <t>PDF - /A - PDFE -PDF-X -PDF-VT- PDF-UA PAdES-pdf-h</t>
  </si>
  <si>
    <t>VIDEO -MP4-ASF-AVI M4V-MOV-MPG-MPEG-WMV</t>
  </si>
  <si>
    <t>AUDIO - MP3-MP2-WAV-EAVW-BWF-AIFF-AU-MIDI-MPG-4-WMA</t>
  </si>
  <si>
    <t>IMÁGENES JPG-PNG-GIF-WMF-EMF-JFIF-JPEG-EXIF-TIFF</t>
  </si>
  <si>
    <t xml:space="preserve">PDF - /A </t>
  </si>
  <si>
    <t xml:space="preserve">WORD </t>
  </si>
  <si>
    <t>NOTAS</t>
  </si>
  <si>
    <t xml:space="preserve">AUDIO </t>
  </si>
  <si>
    <t xml:space="preserve">GESTIÓN DOCUMENTAL Y TECNOLOGÍAS DE LA INFORMACIÓN  </t>
  </si>
  <si>
    <t xml:space="preserve"> FORMATO UNICO DE INVENTARIO DOCUMENTAL</t>
  </si>
  <si>
    <t>FECHA: 07/04/2025</t>
  </si>
  <si>
    <t>SERIES</t>
  </si>
  <si>
    <t>Actas de Comité Institucional de Gestión y
Desempeño</t>
  </si>
  <si>
    <t>1.8</t>
  </si>
  <si>
    <t>Acta Comisión Legal para la Equidad de la Mujer</t>
  </si>
  <si>
    <t>1.9</t>
  </si>
  <si>
    <t>Estampilla Tasa Prodeporte</t>
  </si>
  <si>
    <t>10.5</t>
  </si>
  <si>
    <t>Inventario Documental (FUID)</t>
  </si>
  <si>
    <t>16.4</t>
  </si>
  <si>
    <t>RESOLUCIONES</t>
  </si>
  <si>
    <t>Sistema de Gestión de la Seguridad y la Salud en el Trabajo</t>
  </si>
  <si>
    <t>31.10</t>
  </si>
  <si>
    <t>Sistema de Gestión de Calidad Mesa Directiva</t>
  </si>
  <si>
    <t>38.5</t>
  </si>
  <si>
    <t>Procedimientos</t>
  </si>
  <si>
    <t>38.6</t>
  </si>
  <si>
    <t>1 de 11</t>
  </si>
  <si>
    <t>2 de 11</t>
  </si>
  <si>
    <t>3 de 11</t>
  </si>
  <si>
    <t>4 de 11</t>
  </si>
  <si>
    <t>5 de 11</t>
  </si>
  <si>
    <t>6 de 11</t>
  </si>
  <si>
    <t>7 de 11</t>
  </si>
  <si>
    <t>8 de 11</t>
  </si>
  <si>
    <t>9 de 11</t>
  </si>
  <si>
    <t>10 de 11</t>
  </si>
  <si>
    <t>11 de 11</t>
  </si>
  <si>
    <t>1 de 12</t>
  </si>
  <si>
    <t>2 de 12</t>
  </si>
  <si>
    <t>3 de 12</t>
  </si>
  <si>
    <t>4 de 12</t>
  </si>
  <si>
    <t>5 de 12</t>
  </si>
  <si>
    <t>6 de 12</t>
  </si>
  <si>
    <t>7 de 12</t>
  </si>
  <si>
    <t>8 de 12</t>
  </si>
  <si>
    <t>9 de 12</t>
  </si>
  <si>
    <t>10 de 12</t>
  </si>
  <si>
    <t>11 de 12</t>
  </si>
  <si>
    <t>12 de 12</t>
  </si>
  <si>
    <t>1 de 13</t>
  </si>
  <si>
    <t>2 de 13</t>
  </si>
  <si>
    <t>3 de 13</t>
  </si>
  <si>
    <t>4 de 13</t>
  </si>
  <si>
    <t>5 de 13</t>
  </si>
  <si>
    <t>6 de 13</t>
  </si>
  <si>
    <t>7 de 13</t>
  </si>
  <si>
    <t>8 de 13</t>
  </si>
  <si>
    <t>9 de 13</t>
  </si>
  <si>
    <t>10 de 13</t>
  </si>
  <si>
    <t>11 de 13</t>
  </si>
  <si>
    <t>12 de 13</t>
  </si>
  <si>
    <t>13 de 13</t>
  </si>
  <si>
    <t xml:space="preserve">1  de14 </t>
  </si>
  <si>
    <t>2 de 14</t>
  </si>
  <si>
    <t xml:space="preserve">2  de14 </t>
  </si>
  <si>
    <t>3 de 14</t>
  </si>
  <si>
    <t xml:space="preserve">3  de14 </t>
  </si>
  <si>
    <t>4 de 14</t>
  </si>
  <si>
    <t xml:space="preserve">4  de14 </t>
  </si>
  <si>
    <t>5 de 14</t>
  </si>
  <si>
    <t xml:space="preserve">5  de14 </t>
  </si>
  <si>
    <t>6 de 14</t>
  </si>
  <si>
    <t xml:space="preserve">6  de14 </t>
  </si>
  <si>
    <t>7 de 14</t>
  </si>
  <si>
    <t xml:space="preserve">7  de14 </t>
  </si>
  <si>
    <t>8 de 14</t>
  </si>
  <si>
    <t xml:space="preserve">8  de14 </t>
  </si>
  <si>
    <t>9 de 14</t>
  </si>
  <si>
    <t xml:space="preserve">9  de14 </t>
  </si>
  <si>
    <t>10 de 14</t>
  </si>
  <si>
    <t xml:space="preserve">10  de14 </t>
  </si>
  <si>
    <t>11 de 14</t>
  </si>
  <si>
    <t xml:space="preserve">11  de14 </t>
  </si>
  <si>
    <t>12 de 14</t>
  </si>
  <si>
    <t xml:space="preserve">12  de14 </t>
  </si>
  <si>
    <t>13 de 14</t>
  </si>
  <si>
    <t xml:space="preserve">13  de14 </t>
  </si>
  <si>
    <t>14 de 14</t>
  </si>
  <si>
    <t>VERSIÓN: 06</t>
  </si>
  <si>
    <t xml:space="preserve">VARIOS TIPOS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</si>
</sst>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18"/>
      <name val="Times New Roman"/>
      <family val="1"/>
    </font>
    <font>
      <b/>
      <sz val="1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000000"/>
      <name val="Tahoma"/>
      <family val="2"/>
    </font>
    <font>
      <sz val="11"/>
      <color indexed="81"/>
      <name val="Tahoma"/>
      <family val="2"/>
    </font>
    <font>
      <sz val="12"/>
      <color indexed="81"/>
      <name val="Tahoma"/>
      <family val="2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11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6" fillId="0" borderId="0" applyNumberFormat="0" applyFill="0" applyBorder="0" applyAlignment="0" applyProtection="0"/>
  </cellStyleXfs>
  <cellXfs count="209">
    <xf numFmtId="0" fontId="0" fillId="0" borderId="0" xfId="0"/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2" borderId="0" xfId="0" applyFill="1"/>
    <xf numFmtId="0" fontId="15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19" xfId="0" applyFont="1" applyFill="1" applyBorder="1" applyAlignment="1">
      <alignment horizontal="center" vertical="center"/>
    </xf>
    <xf numFmtId="0" fontId="17" fillId="0" borderId="0" xfId="0" applyFont="1"/>
    <xf numFmtId="0" fontId="2" fillId="2" borderId="1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0" fillId="0" borderId="10" xfId="0" applyBorder="1"/>
    <xf numFmtId="0" fontId="0" fillId="3" borderId="24" xfId="0" applyFill="1" applyBorder="1"/>
    <xf numFmtId="0" fontId="17" fillId="0" borderId="10" xfId="0" applyFont="1" applyBorder="1" applyAlignment="1" applyProtection="1">
      <alignment horizontal="left" vertical="center" wrapText="1"/>
      <protection locked="0"/>
    </xf>
    <xf numFmtId="0" fontId="17" fillId="0" borderId="19" xfId="0" applyFont="1" applyBorder="1" applyAlignment="1" applyProtection="1">
      <alignment horizontal="left" vertical="center" wrapText="1"/>
      <protection locked="0"/>
    </xf>
    <xf numFmtId="0" fontId="17" fillId="0" borderId="19" xfId="0" applyFont="1" applyBorder="1" applyAlignment="1">
      <alignment vertical="center" wrapText="1"/>
    </xf>
    <xf numFmtId="0" fontId="0" fillId="0" borderId="1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wrapText="1"/>
    </xf>
    <xf numFmtId="0" fontId="0" fillId="3" borderId="27" xfId="0" applyFill="1" applyBorder="1"/>
    <xf numFmtId="0" fontId="0" fillId="0" borderId="19" xfId="0" applyBorder="1" applyAlignment="1">
      <alignment vertical="center"/>
    </xf>
    <xf numFmtId="0" fontId="0" fillId="0" borderId="25" xfId="0" applyBorder="1"/>
    <xf numFmtId="0" fontId="0" fillId="3" borderId="19" xfId="0" applyFill="1" applyBorder="1" applyAlignment="1">
      <alignment horizontal="left" vertical="center"/>
    </xf>
    <xf numFmtId="0" fontId="17" fillId="3" borderId="19" xfId="0" applyFont="1" applyFill="1" applyBorder="1" applyAlignment="1" applyProtection="1">
      <alignment horizontal="left" vertical="center" wrapText="1"/>
      <protection locked="0"/>
    </xf>
    <xf numFmtId="0" fontId="17" fillId="0" borderId="27" xfId="0" applyFont="1" applyBorder="1" applyAlignment="1" applyProtection="1">
      <alignment horizontal="left" vertical="center" wrapText="1"/>
      <protection locked="0"/>
    </xf>
    <xf numFmtId="0" fontId="17" fillId="0" borderId="25" xfId="0" applyFont="1" applyBorder="1" applyAlignment="1">
      <alignment vertical="center" wrapText="1"/>
    </xf>
    <xf numFmtId="0" fontId="17" fillId="3" borderId="19" xfId="0" applyFont="1" applyFill="1" applyBorder="1" applyAlignment="1">
      <alignment vertical="center" wrapText="1"/>
    </xf>
    <xf numFmtId="0" fontId="0" fillId="0" borderId="10" xfId="0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top"/>
    </xf>
    <xf numFmtId="0" fontId="0" fillId="3" borderId="19" xfId="0" applyFill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7" fillId="0" borderId="25" xfId="0" applyFont="1" applyBorder="1" applyAlignment="1" applyProtection="1">
      <alignment horizontal="left" vertical="center" wrapText="1"/>
      <protection locked="0"/>
    </xf>
    <xf numFmtId="0" fontId="17" fillId="3" borderId="24" xfId="0" applyFont="1" applyFill="1" applyBorder="1" applyAlignment="1">
      <alignment vertical="center" wrapText="1"/>
    </xf>
    <xf numFmtId="0" fontId="17" fillId="0" borderId="28" xfId="0" applyFont="1" applyBorder="1" applyAlignment="1" applyProtection="1">
      <alignment horizontal="left" vertical="center" wrapText="1"/>
      <protection locked="0"/>
    </xf>
    <xf numFmtId="0" fontId="0" fillId="3" borderId="19" xfId="0" applyFill="1" applyBorder="1"/>
    <xf numFmtId="0" fontId="18" fillId="0" borderId="25" xfId="0" applyFont="1" applyBorder="1" applyAlignment="1">
      <alignment horizontal="left" vertical="center" wrapText="1"/>
    </xf>
    <xf numFmtId="2" fontId="0" fillId="3" borderId="19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wrapText="1"/>
    </xf>
    <xf numFmtId="0" fontId="0" fillId="0" borderId="26" xfId="0" applyBorder="1"/>
    <xf numFmtId="0" fontId="17" fillId="2" borderId="23" xfId="0" applyFont="1" applyFill="1" applyBorder="1" applyAlignment="1">
      <alignment horizontal="center" wrapText="1"/>
    </xf>
    <xf numFmtId="0" fontId="0" fillId="0" borderId="29" xfId="0" applyBorder="1"/>
    <xf numFmtId="0" fontId="0" fillId="2" borderId="23" xfId="0" applyFill="1" applyBorder="1" applyAlignment="1">
      <alignment horizontal="left" vertical="center" wrapText="1"/>
    </xf>
    <xf numFmtId="0" fontId="0" fillId="0" borderId="29" xfId="0" applyBorder="1" applyAlignment="1">
      <alignment horizontal="left"/>
    </xf>
    <xf numFmtId="0" fontId="0" fillId="0" borderId="27" xfId="0" applyBorder="1"/>
    <xf numFmtId="0" fontId="13" fillId="4" borderId="39" xfId="0" applyFont="1" applyFill="1" applyBorder="1" applyAlignment="1">
      <alignment horizontal="center" vertical="center" wrapText="1"/>
    </xf>
    <xf numFmtId="0" fontId="13" fillId="4" borderId="33" xfId="0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/>
    </xf>
    <xf numFmtId="164" fontId="13" fillId="4" borderId="30" xfId="0" applyNumberFormat="1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 wrapText="1"/>
    </xf>
    <xf numFmtId="0" fontId="16" fillId="4" borderId="30" xfId="0" applyFont="1" applyFill="1" applyBorder="1" applyAlignment="1">
      <alignment horizontal="center" vertical="center" wrapText="1"/>
    </xf>
    <xf numFmtId="164" fontId="14" fillId="4" borderId="3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0" fillId="0" borderId="24" xfId="0" applyBorder="1" applyAlignment="1">
      <alignment horizontal="center" vertical="center"/>
    </xf>
    <xf numFmtId="0" fontId="0" fillId="0" borderId="51" xfId="0" applyBorder="1" applyAlignment="1">
      <alignment horizontal="center"/>
    </xf>
    <xf numFmtId="2" fontId="0" fillId="0" borderId="19" xfId="0" applyNumberFormat="1" applyBorder="1" applyAlignment="1">
      <alignment horizontal="center" vertical="center"/>
    </xf>
    <xf numFmtId="0" fontId="18" fillId="0" borderId="19" xfId="0" applyFont="1" applyBorder="1" applyAlignment="1">
      <alignment horizontal="left" vertical="center" wrapText="1"/>
    </xf>
    <xf numFmtId="0" fontId="17" fillId="0" borderId="24" xfId="0" applyFont="1" applyBorder="1" applyAlignment="1">
      <alignment vertical="center" wrapText="1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/>
    </xf>
    <xf numFmtId="0" fontId="24" fillId="0" borderId="0" xfId="0" applyFont="1"/>
    <xf numFmtId="14" fontId="0" fillId="0" borderId="27" xfId="0" applyNumberFormat="1" applyBorder="1"/>
    <xf numFmtId="14" fontId="0" fillId="0" borderId="19" xfId="0" applyNumberFormat="1" applyBorder="1"/>
    <xf numFmtId="0" fontId="0" fillId="0" borderId="27" xfId="0" applyBorder="1" applyAlignment="1">
      <alignment horizontal="left" vertical="center"/>
    </xf>
    <xf numFmtId="14" fontId="0" fillId="0" borderId="19" xfId="0" applyNumberFormat="1" applyBorder="1" applyAlignment="1">
      <alignment horizontal="right"/>
    </xf>
    <xf numFmtId="0" fontId="8" fillId="0" borderId="30" xfId="0" applyFont="1" applyBorder="1" applyAlignment="1">
      <alignment horizontal="center" vertical="center"/>
    </xf>
    <xf numFmtId="0" fontId="26" fillId="0" borderId="19" xfId="2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1" xfId="0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 shrinkToFit="1"/>
    </xf>
    <xf numFmtId="0" fontId="4" fillId="0" borderId="2" xfId="1" applyFont="1" applyBorder="1" applyAlignment="1">
      <alignment horizontal="left" vertical="center" wrapText="1" shrinkToFit="1"/>
    </xf>
    <xf numFmtId="0" fontId="4" fillId="4" borderId="42" xfId="0" applyFont="1" applyFill="1" applyBorder="1" applyAlignment="1">
      <alignment horizontal="left" wrapText="1"/>
    </xf>
    <xf numFmtId="0" fontId="4" fillId="4" borderId="44" xfId="0" applyFont="1" applyFill="1" applyBorder="1" applyAlignment="1">
      <alignment horizontal="left" wrapText="1"/>
    </xf>
    <xf numFmtId="0" fontId="6" fillId="4" borderId="36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9" xfId="0" applyBorder="1" applyAlignment="1">
      <alignment horizontal="left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3" fillId="4" borderId="17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40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48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14" fontId="13" fillId="4" borderId="9" xfId="0" applyNumberFormat="1" applyFont="1" applyFill="1" applyBorder="1" applyAlignment="1">
      <alignment horizontal="center" vertical="center" wrapText="1"/>
    </xf>
    <xf numFmtId="14" fontId="13" fillId="4" borderId="11" xfId="0" applyNumberFormat="1" applyFont="1" applyFill="1" applyBorder="1" applyAlignment="1">
      <alignment horizontal="center" vertical="center" wrapText="1"/>
    </xf>
    <xf numFmtId="14" fontId="13" fillId="4" borderId="40" xfId="0" applyNumberFormat="1" applyFont="1" applyFill="1" applyBorder="1" applyAlignment="1">
      <alignment horizontal="center" vertical="center" wrapText="1"/>
    </xf>
    <xf numFmtId="14" fontId="13" fillId="4" borderId="41" xfId="0" applyNumberFormat="1" applyFont="1" applyFill="1" applyBorder="1" applyAlignment="1">
      <alignment horizontal="center" vertical="center" wrapText="1"/>
    </xf>
    <xf numFmtId="14" fontId="13" fillId="4" borderId="12" xfId="0" applyNumberFormat="1" applyFont="1" applyFill="1" applyBorder="1" applyAlignment="1">
      <alignment horizontal="center" vertical="center" wrapText="1"/>
    </xf>
    <xf numFmtId="14" fontId="13" fillId="4" borderId="14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4" fontId="13" fillId="4" borderId="4" xfId="0" applyNumberFormat="1" applyFont="1" applyFill="1" applyBorder="1" applyAlignment="1">
      <alignment horizontal="center" vertical="center" wrapText="1"/>
    </xf>
    <xf numFmtId="4" fontId="13" fillId="4" borderId="31" xfId="0" applyNumberFormat="1" applyFont="1" applyFill="1" applyBorder="1" applyAlignment="1">
      <alignment horizontal="center" vertical="center" wrapText="1"/>
    </xf>
    <xf numFmtId="4" fontId="13" fillId="4" borderId="5" xfId="0" applyNumberFormat="1" applyFont="1" applyFill="1" applyBorder="1" applyAlignment="1">
      <alignment horizontal="center" vertical="center" wrapText="1"/>
    </xf>
    <xf numFmtId="4" fontId="13" fillId="4" borderId="3" xfId="0" applyNumberFormat="1" applyFont="1" applyFill="1" applyBorder="1" applyAlignment="1">
      <alignment horizontal="center" vertical="center" wrapText="1"/>
    </xf>
    <xf numFmtId="4" fontId="13" fillId="4" borderId="0" xfId="0" applyNumberFormat="1" applyFont="1" applyFill="1" applyAlignment="1">
      <alignment horizontal="center" vertical="center" wrapText="1"/>
    </xf>
    <xf numFmtId="4" fontId="13" fillId="4" borderId="6" xfId="0" applyNumberFormat="1" applyFont="1" applyFill="1" applyBorder="1" applyAlignment="1">
      <alignment horizontal="center" vertical="center" wrapText="1"/>
    </xf>
    <xf numFmtId="4" fontId="13" fillId="4" borderId="7" xfId="0" applyNumberFormat="1" applyFont="1" applyFill="1" applyBorder="1" applyAlignment="1">
      <alignment horizontal="center" vertical="center" wrapText="1"/>
    </xf>
    <xf numFmtId="4" fontId="13" fillId="4" borderId="35" xfId="0" applyNumberFormat="1" applyFont="1" applyFill="1" applyBorder="1" applyAlignment="1">
      <alignment horizontal="center" vertical="center" wrapText="1"/>
    </xf>
    <xf numFmtId="4" fontId="13" fillId="4" borderId="8" xfId="0" applyNumberFormat="1" applyFont="1" applyFill="1" applyBorder="1" applyAlignment="1">
      <alignment horizontal="center" vertical="center" wrapText="1"/>
    </xf>
    <xf numFmtId="0" fontId="13" fillId="4" borderId="42" xfId="0" applyFont="1" applyFill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center" vertical="center" wrapText="1"/>
    </xf>
    <xf numFmtId="0" fontId="13" fillId="4" borderId="4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3" fillId="4" borderId="45" xfId="0" applyFont="1" applyFill="1" applyBorder="1" applyAlignment="1">
      <alignment horizontal="center" vertical="center" wrapText="1"/>
    </xf>
    <xf numFmtId="0" fontId="13" fillId="4" borderId="46" xfId="0" applyFont="1" applyFill="1" applyBorder="1" applyAlignment="1">
      <alignment horizontal="center" vertical="center" wrapText="1"/>
    </xf>
    <xf numFmtId="0" fontId="13" fillId="4" borderId="31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9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wrapText="1"/>
    </xf>
    <xf numFmtId="0" fontId="22" fillId="0" borderId="10" xfId="0" applyFont="1" applyBorder="1" applyAlignment="1">
      <alignment horizontal="center" wrapText="1"/>
    </xf>
    <xf numFmtId="0" fontId="22" fillId="0" borderId="11" xfId="0" applyFont="1" applyBorder="1" applyAlignment="1">
      <alignment horizontal="center" wrapText="1"/>
    </xf>
    <xf numFmtId="0" fontId="22" fillId="0" borderId="40" xfId="0" applyFont="1" applyBorder="1" applyAlignment="1">
      <alignment horizontal="center" wrapText="1"/>
    </xf>
    <xf numFmtId="0" fontId="22" fillId="0" borderId="19" xfId="0" applyFont="1" applyBorder="1" applyAlignment="1">
      <alignment horizontal="center" wrapText="1"/>
    </xf>
    <xf numFmtId="0" fontId="22" fillId="0" borderId="41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4" fillId="0" borderId="17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53" xfId="1" applyFont="1" applyBorder="1" applyAlignment="1">
      <alignment horizontal="center" vertical="center" wrapText="1"/>
    </xf>
    <xf numFmtId="0" fontId="4" fillId="0" borderId="5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4" fontId="4" fillId="0" borderId="53" xfId="1" applyNumberFormat="1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4" xfId="1" xr:uid="{77D9E92D-9650-494D-ADE7-C5F2D89B9A68}"/>
  </cellStyles>
  <dxfs count="2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left" vertical="center" textRotation="0" wrapText="1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258536</xdr:colOff>
      <xdr:row>9</xdr:row>
      <xdr:rowOff>68036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EFA5F4FD-8022-4ED0-BB27-F77C20DF8B0A}"/>
            </a:ext>
          </a:extLst>
        </xdr:cNvPr>
        <xdr:cNvSpPr txBox="1"/>
      </xdr:nvSpPr>
      <xdr:spPr>
        <a:xfrm>
          <a:off x="8773886" y="23159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6</xdr:col>
      <xdr:colOff>258536</xdr:colOff>
      <xdr:row>9</xdr:row>
      <xdr:rowOff>68036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8973A7C-68B7-40D5-8B1A-E00850A47B29}"/>
            </a:ext>
          </a:extLst>
        </xdr:cNvPr>
        <xdr:cNvSpPr txBox="1"/>
      </xdr:nvSpPr>
      <xdr:spPr>
        <a:xfrm>
          <a:off x="8773886" y="23159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 editAs="oneCell">
    <xdr:from>
      <xdr:col>1</xdr:col>
      <xdr:colOff>393310</xdr:colOff>
      <xdr:row>1</xdr:row>
      <xdr:rowOff>63500</xdr:rowOff>
    </xdr:from>
    <xdr:to>
      <xdr:col>2</xdr:col>
      <xdr:colOff>2064543</xdr:colOff>
      <xdr:row>5</xdr:row>
      <xdr:rowOff>85724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99A7A1-70A0-1F98-CF97-06A032091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310" y="269875"/>
          <a:ext cx="2639608" cy="81597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5D7D9E-40AB-4E76-998E-5032995CB8A9}" name="Tabla1" displayName="Tabla1" ref="O4:O8" totalsRowShown="0" headerRowDxfId="26" headerRowBorderDxfId="25" tableBorderDxfId="24" totalsRowBorderDxfId="23">
  <autoFilter ref="O4:O8" xr:uid="{C95D7D9E-40AB-4E76-998E-5032995CB8A9}"/>
  <tableColumns count="1">
    <tableColumn id="1" xr3:uid="{BF20E04E-A2C0-490D-A341-37552629A473}" name="DEPENDENCIA SECCION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3B4752-7B88-4283-8B95-36E709D4B1CD}" name="Tabla2" displayName="Tabla2" ref="O12:O25" totalsRowShown="0" headerRowDxfId="21" dataDxfId="19" headerRowBorderDxfId="20" tableBorderDxfId="18" totalsRowBorderDxfId="17">
  <autoFilter ref="O12:O25" xr:uid="{413B4752-7B88-4283-8B95-36E709D4B1CD}"/>
  <tableColumns count="1">
    <tableColumn id="1" xr3:uid="{7645072E-0A95-4967-ACD7-04809C942194}" name="OFICINA PRODUCTORA SUBSECCION: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6145BB-F98F-44F3-9400-6F85C1EB9154}" name="Tabla3" displayName="Tabla3" ref="P4:P8" totalsRowShown="0" headerRowDxfId="15" dataDxfId="13" headerRowBorderDxfId="14" tableBorderDxfId="12" totalsRowBorderDxfId="11">
  <autoFilter ref="P4:P8" xr:uid="{B76145BB-F98F-44F3-9400-6F85C1EB9154}"/>
  <tableColumns count="1">
    <tableColumn id="1" xr3:uid="{57F5FF68-0151-4B62-A526-D4B58E8F00ED}" name="CODIGO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CB321A-C366-4D1B-A7C4-F9F53C6D2601}" name="Tabla4" displayName="Tabla4" ref="H17:H32" totalsRowShown="0" headerRowDxfId="9" dataDxfId="8">
  <autoFilter ref="H17:H32" xr:uid="{F3CB321A-C366-4D1B-A7C4-F9F53C6D2601}"/>
  <tableColumns count="1">
    <tableColumn id="1" xr3:uid="{D2D1A47E-D127-4DDC-9D2E-CBD9D1C3051B}" name="CAJA 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5C2DA5-F22B-48F7-9414-B3551B1584F7}" name="Tabla5" displayName="Tabla5" ref="J17:J47" totalsRowShown="0" headerRowDxfId="6" dataDxfId="5">
  <autoFilter ref="J17:J47" xr:uid="{695C2DA5-F22B-48F7-9414-B3551B1584F7}"/>
  <tableColumns count="1">
    <tableColumn id="1" xr3:uid="{FED8F1E3-F701-4F95-8CBA-AEA0BB54A97A}" name="CARPETA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54A33D-67A7-4F48-BD93-C3C63D47BAE1}" name="Tabla6" displayName="Tabla6" ref="D213:E340" totalsRowShown="0" headerRowBorderDxfId="3" tableBorderDxfId="2">
  <autoFilter ref="D213:E340" xr:uid="{D554A33D-67A7-4F48-BD93-C3C63D47BAE1}"/>
  <tableColumns count="2">
    <tableColumn id="1" xr3:uid="{A6079B1E-D581-44CE-827A-A2EDC0F7F858}" name="SERIES" dataDxfId="1"/>
    <tableColumn id="2" xr3:uid="{E4E41BB7-0791-447E-97F8-C1D08B70212C}" name="CODI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357CC-AA72-4BAA-A26E-AD271C8574C7}">
  <dimension ref="A1:Z53"/>
  <sheetViews>
    <sheetView tabSelected="1" view="pageBreakPreview" topLeftCell="D1" zoomScaleNormal="100" zoomScaleSheetLayoutView="100" workbookViewId="0">
      <selection activeCell="O22" sqref="O22"/>
    </sheetView>
  </sheetViews>
  <sheetFormatPr baseColWidth="10" defaultRowHeight="15" x14ac:dyDescent="0.25"/>
  <cols>
    <col min="1" max="1" width="7.5703125" customWidth="1"/>
    <col min="2" max="2" width="14.5703125" customWidth="1"/>
    <col min="3" max="3" width="52.7109375" customWidth="1"/>
    <col min="4" max="4" width="13.140625" customWidth="1"/>
    <col min="5" max="5" width="11.28515625" customWidth="1"/>
    <col min="6" max="6" width="32.85546875" customWidth="1"/>
    <col min="7" max="7" width="15.28515625" customWidth="1"/>
    <col min="8" max="8" width="16.5703125" customWidth="1"/>
    <col min="9" max="9" width="13.28515625" customWidth="1"/>
    <col min="10" max="10" width="16.28515625" customWidth="1"/>
    <col min="11" max="11" width="9.85546875" customWidth="1"/>
    <col min="12" max="12" width="10.85546875" customWidth="1"/>
    <col min="13" max="13" width="14" customWidth="1"/>
    <col min="14" max="14" width="10.5703125" customWidth="1"/>
    <col min="15" max="15" width="8.42578125" customWidth="1"/>
    <col min="17" max="17" width="8.42578125" customWidth="1"/>
    <col min="18" max="18" width="12.140625" customWidth="1"/>
    <col min="19" max="19" width="15.5703125" customWidth="1"/>
    <col min="20" max="20" width="38.7109375" customWidth="1"/>
    <col min="21" max="21" width="18" customWidth="1"/>
    <col min="22" max="22" width="17.28515625" customWidth="1"/>
    <col min="23" max="23" width="14.28515625" customWidth="1"/>
    <col min="26" max="26" width="49" customWidth="1"/>
  </cols>
  <sheetData>
    <row r="1" spans="1:26" ht="15.75" thickBot="1" x14ac:dyDescent="0.3"/>
    <row r="2" spans="1:26" ht="16.5" customHeight="1" x14ac:dyDescent="0.25">
      <c r="A2" s="185"/>
      <c r="B2" s="186"/>
      <c r="C2" s="186"/>
      <c r="D2" s="191" t="s">
        <v>0</v>
      </c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3"/>
    </row>
    <row r="3" spans="1:26" x14ac:dyDescent="0.25">
      <c r="A3" s="187"/>
      <c r="B3" s="188"/>
      <c r="C3" s="188"/>
      <c r="D3" s="194" t="s">
        <v>1</v>
      </c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6"/>
    </row>
    <row r="4" spans="1:26" x14ac:dyDescent="0.25">
      <c r="A4" s="187"/>
      <c r="B4" s="188"/>
      <c r="C4" s="188"/>
      <c r="D4" s="194" t="s">
        <v>372</v>
      </c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6"/>
    </row>
    <row r="5" spans="1:26" ht="15.75" customHeight="1" x14ac:dyDescent="0.25">
      <c r="A5" s="187"/>
      <c r="B5" s="188"/>
      <c r="C5" s="188"/>
      <c r="D5" s="194" t="s">
        <v>373</v>
      </c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6"/>
    </row>
    <row r="6" spans="1:26" s="83" customFormat="1" ht="15.75" customHeight="1" thickBot="1" x14ac:dyDescent="0.25">
      <c r="A6" s="189"/>
      <c r="B6" s="190"/>
      <c r="C6" s="190"/>
      <c r="D6" s="197" t="s">
        <v>453</v>
      </c>
      <c r="E6" s="198"/>
      <c r="F6" s="198"/>
      <c r="G6" s="198"/>
      <c r="H6" s="198"/>
      <c r="I6" s="198"/>
      <c r="J6" s="198"/>
      <c r="K6" s="198"/>
      <c r="L6" s="198" t="s">
        <v>374</v>
      </c>
      <c r="M6" s="198"/>
      <c r="N6" s="198"/>
      <c r="O6" s="198"/>
      <c r="P6" s="198"/>
      <c r="Q6" s="198"/>
      <c r="R6" s="198"/>
      <c r="S6" s="199" t="s">
        <v>335</v>
      </c>
      <c r="T6" s="199"/>
      <c r="U6" s="199"/>
      <c r="V6" s="199"/>
      <c r="W6" s="199"/>
      <c r="X6" s="199"/>
      <c r="Y6" s="199"/>
      <c r="Z6" s="200"/>
    </row>
    <row r="7" spans="1:26" x14ac:dyDescent="0.25">
      <c r="A7" s="62"/>
      <c r="B7" s="62"/>
      <c r="C7" s="62"/>
    </row>
    <row r="8" spans="1:26" ht="15.75" thickBot="1" x14ac:dyDescent="0.3"/>
    <row r="9" spans="1:26" ht="31.5" customHeight="1" thickBot="1" x14ac:dyDescent="0.3">
      <c r="A9" s="116" t="s">
        <v>322</v>
      </c>
      <c r="B9" s="117"/>
      <c r="C9" s="68" t="s">
        <v>321</v>
      </c>
      <c r="D9" s="65" t="s">
        <v>52</v>
      </c>
      <c r="E9" s="65">
        <f>VLOOKUP(C9,[0]!DEPENDENCIA_SECCION,2,FALSE)</f>
        <v>114</v>
      </c>
      <c r="F9" s="61"/>
      <c r="G9" s="118" t="s">
        <v>3</v>
      </c>
      <c r="H9" s="59" t="s">
        <v>4</v>
      </c>
      <c r="I9" s="59" t="s">
        <v>5</v>
      </c>
      <c r="J9" s="59" t="s">
        <v>6</v>
      </c>
      <c r="K9" s="59" t="s">
        <v>7</v>
      </c>
      <c r="L9" s="59" t="s">
        <v>8</v>
      </c>
      <c r="M9" s="59" t="s">
        <v>9</v>
      </c>
      <c r="O9" s="120" t="s">
        <v>10</v>
      </c>
      <c r="P9" s="121"/>
      <c r="Q9" s="88" t="s">
        <v>11</v>
      </c>
      <c r="R9" s="88" t="s">
        <v>12</v>
      </c>
      <c r="S9" s="88" t="s">
        <v>13</v>
      </c>
      <c r="T9" s="124" t="s">
        <v>14</v>
      </c>
      <c r="U9" s="125"/>
      <c r="V9" s="125"/>
      <c r="W9" s="126"/>
      <c r="X9" s="127"/>
      <c r="Y9" s="104"/>
      <c r="Z9" s="105"/>
    </row>
    <row r="10" spans="1:26" ht="30" customHeight="1" thickBot="1" x14ac:dyDescent="0.3">
      <c r="A10" s="116" t="s">
        <v>2</v>
      </c>
      <c r="B10" s="117"/>
      <c r="C10" s="67" t="s">
        <v>325</v>
      </c>
      <c r="D10" s="65" t="s">
        <v>52</v>
      </c>
      <c r="E10" s="65">
        <f>VLOOKUP(C10,OFICINAS,2,FALSE)</f>
        <v>114</v>
      </c>
      <c r="G10" s="119"/>
      <c r="H10" s="69"/>
      <c r="I10" s="69"/>
      <c r="J10" s="69"/>
      <c r="K10" s="69"/>
      <c r="L10" s="69"/>
      <c r="M10" s="70"/>
      <c r="O10" s="122"/>
      <c r="P10" s="123"/>
      <c r="Q10" s="88"/>
      <c r="R10" s="88"/>
      <c r="S10" s="88"/>
      <c r="T10" s="128"/>
      <c r="U10" s="129"/>
      <c r="V10" s="129"/>
      <c r="W10" s="130"/>
      <c r="X10" s="131"/>
      <c r="Y10" s="106"/>
      <c r="Z10" s="107"/>
    </row>
    <row r="12" spans="1:26" ht="15.75" thickBot="1" x14ac:dyDescent="0.3"/>
    <row r="13" spans="1:26" ht="15" customHeight="1" thickBot="1" x14ac:dyDescent="0.3">
      <c r="A13" s="138" t="s">
        <v>15</v>
      </c>
      <c r="B13" s="141" t="s">
        <v>16</v>
      </c>
      <c r="C13" s="141" t="s">
        <v>17</v>
      </c>
      <c r="D13" s="144" t="s">
        <v>18</v>
      </c>
      <c r="E13" s="145"/>
      <c r="F13" s="146"/>
      <c r="G13" s="108" t="s">
        <v>51</v>
      </c>
      <c r="H13" s="109"/>
      <c r="I13" s="153" t="s">
        <v>19</v>
      </c>
      <c r="J13" s="154"/>
      <c r="K13" s="170" t="s">
        <v>20</v>
      </c>
      <c r="L13" s="171"/>
      <c r="M13" s="171"/>
      <c r="N13" s="171"/>
      <c r="O13" s="171"/>
      <c r="P13" s="171"/>
      <c r="Q13" s="171"/>
      <c r="R13" s="172"/>
      <c r="S13" s="108" t="s">
        <v>21</v>
      </c>
      <c r="T13" s="176"/>
      <c r="U13" s="176"/>
      <c r="V13" s="109"/>
      <c r="W13" s="174" t="s">
        <v>22</v>
      </c>
      <c r="X13" s="161" t="s">
        <v>23</v>
      </c>
      <c r="Y13" s="162"/>
      <c r="Z13" s="163"/>
    </row>
    <row r="14" spans="1:26" ht="15.75" thickBot="1" x14ac:dyDescent="0.3">
      <c r="A14" s="139"/>
      <c r="B14" s="142"/>
      <c r="C14" s="142"/>
      <c r="D14" s="147"/>
      <c r="E14" s="148"/>
      <c r="F14" s="149"/>
      <c r="G14" s="110"/>
      <c r="H14" s="111"/>
      <c r="I14" s="155"/>
      <c r="J14" s="156"/>
      <c r="K14" s="170" t="s">
        <v>24</v>
      </c>
      <c r="L14" s="171"/>
      <c r="M14" s="171"/>
      <c r="N14" s="171"/>
      <c r="O14" s="171"/>
      <c r="P14" s="171"/>
      <c r="Q14" s="171"/>
      <c r="R14" s="172"/>
      <c r="S14" s="112"/>
      <c r="T14" s="177"/>
      <c r="U14" s="177"/>
      <c r="V14" s="113"/>
      <c r="W14" s="178"/>
      <c r="X14" s="164"/>
      <c r="Y14" s="165"/>
      <c r="Z14" s="166"/>
    </row>
    <row r="15" spans="1:26" ht="15.75" thickBot="1" x14ac:dyDescent="0.3">
      <c r="A15" s="139"/>
      <c r="B15" s="142"/>
      <c r="C15" s="142"/>
      <c r="D15" s="150"/>
      <c r="E15" s="151"/>
      <c r="F15" s="152"/>
      <c r="G15" s="112"/>
      <c r="H15" s="113"/>
      <c r="I15" s="157"/>
      <c r="J15" s="158"/>
      <c r="K15" s="170" t="s">
        <v>25</v>
      </c>
      <c r="L15" s="171"/>
      <c r="M15" s="171"/>
      <c r="N15" s="171"/>
      <c r="O15" s="171"/>
      <c r="P15" s="172"/>
      <c r="Q15" s="170" t="s">
        <v>26</v>
      </c>
      <c r="R15" s="172"/>
      <c r="S15" s="173" t="s">
        <v>27</v>
      </c>
      <c r="T15" s="141" t="s">
        <v>28</v>
      </c>
      <c r="U15" s="174" t="s">
        <v>29</v>
      </c>
      <c r="V15" s="174" t="s">
        <v>30</v>
      </c>
      <c r="W15" s="178"/>
      <c r="X15" s="164"/>
      <c r="Y15" s="165"/>
      <c r="Z15" s="166"/>
    </row>
    <row r="16" spans="1:26" ht="39" customHeight="1" thickBot="1" x14ac:dyDescent="0.3">
      <c r="A16" s="140"/>
      <c r="B16" s="143"/>
      <c r="C16" s="143"/>
      <c r="D16" s="54" t="s">
        <v>31</v>
      </c>
      <c r="E16" s="159" t="s">
        <v>32</v>
      </c>
      <c r="F16" s="160"/>
      <c r="G16" s="55" t="s">
        <v>33</v>
      </c>
      <c r="H16" s="56" t="s">
        <v>50</v>
      </c>
      <c r="I16" s="54" t="s">
        <v>34</v>
      </c>
      <c r="J16" s="60" t="s">
        <v>35</v>
      </c>
      <c r="K16" s="57" t="s">
        <v>36</v>
      </c>
      <c r="L16" s="55" t="s">
        <v>37</v>
      </c>
      <c r="M16" s="52" t="s">
        <v>341</v>
      </c>
      <c r="N16" s="53" t="s">
        <v>38</v>
      </c>
      <c r="O16" s="53" t="s">
        <v>39</v>
      </c>
      <c r="P16" s="58" t="s">
        <v>40</v>
      </c>
      <c r="Q16" s="54" t="s">
        <v>41</v>
      </c>
      <c r="R16" s="54" t="s">
        <v>42</v>
      </c>
      <c r="S16" s="151"/>
      <c r="T16" s="143"/>
      <c r="U16" s="175"/>
      <c r="V16" s="175"/>
      <c r="W16" s="175"/>
      <c r="X16" s="167"/>
      <c r="Y16" s="168"/>
      <c r="Z16" s="169"/>
    </row>
    <row r="17" spans="1:26" x14ac:dyDescent="0.25">
      <c r="A17" s="51">
        <v>1</v>
      </c>
      <c r="B17" s="79">
        <f>VLOOKUP(C17,Tabla6[#All],2,FALSE)</f>
        <v>14</v>
      </c>
      <c r="C17" s="51" t="s">
        <v>129</v>
      </c>
      <c r="D17" s="51">
        <v>1</v>
      </c>
      <c r="E17" s="132"/>
      <c r="F17" s="132"/>
      <c r="G17" s="84"/>
      <c r="H17" s="84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96"/>
      <c r="Y17" s="97"/>
      <c r="Z17" s="97"/>
    </row>
    <row r="18" spans="1:26" x14ac:dyDescent="0.25">
      <c r="A18" s="1"/>
      <c r="B18" s="79" t="e">
        <f>VLOOKUP(C18,Tabla6[#All],2,FALSE)</f>
        <v>#N/A</v>
      </c>
      <c r="C18" s="51"/>
      <c r="D18" s="1"/>
      <c r="E18" s="132"/>
      <c r="F18" s="132"/>
      <c r="G18" s="85"/>
      <c r="H18" s="85"/>
      <c r="I18" s="51"/>
      <c r="J18" s="51"/>
      <c r="K18" s="51"/>
      <c r="L18" s="51"/>
      <c r="M18" s="51"/>
      <c r="N18" s="1"/>
      <c r="O18" s="1"/>
      <c r="P18" s="51"/>
      <c r="Q18" s="51"/>
      <c r="R18" s="1"/>
      <c r="S18" s="51"/>
      <c r="T18" s="51"/>
      <c r="U18" s="1"/>
      <c r="V18" s="1"/>
      <c r="W18" s="51"/>
      <c r="X18" s="96"/>
      <c r="Y18" s="97"/>
      <c r="Z18" s="97"/>
    </row>
    <row r="19" spans="1:26" x14ac:dyDescent="0.25">
      <c r="A19" s="51"/>
      <c r="B19" s="79" t="e">
        <f>VLOOKUP(C19,Tabla6[#All],2,FALSE)</f>
        <v>#N/A</v>
      </c>
      <c r="C19" s="51"/>
      <c r="D19" s="1"/>
      <c r="E19" s="133"/>
      <c r="F19" s="133"/>
      <c r="G19" s="85"/>
      <c r="H19" s="85"/>
      <c r="I19" s="51"/>
      <c r="J19" s="51"/>
      <c r="K19" s="51"/>
      <c r="L19" s="51"/>
      <c r="M19" s="51"/>
      <c r="N19" s="1"/>
      <c r="O19" s="1"/>
      <c r="P19" s="51"/>
      <c r="Q19" s="51"/>
      <c r="R19" s="1"/>
      <c r="S19" s="51"/>
      <c r="T19" s="51"/>
      <c r="U19" s="1"/>
      <c r="V19" s="1"/>
      <c r="W19" s="51"/>
      <c r="X19" s="96"/>
      <c r="Y19" s="97"/>
      <c r="Z19" s="97"/>
    </row>
    <row r="20" spans="1:26" x14ac:dyDescent="0.25">
      <c r="A20" s="1"/>
      <c r="B20" s="79" t="e">
        <f>VLOOKUP(C20,Tabla6[#All],2,FALSE)</f>
        <v>#N/A</v>
      </c>
      <c r="C20" s="51"/>
      <c r="D20" s="1"/>
      <c r="E20" s="133"/>
      <c r="F20" s="133"/>
      <c r="G20" s="85"/>
      <c r="H20" s="85"/>
      <c r="I20" s="51"/>
      <c r="J20" s="51"/>
      <c r="K20" s="51"/>
      <c r="L20" s="51"/>
      <c r="M20" s="51"/>
      <c r="N20" s="1"/>
      <c r="O20" s="1"/>
      <c r="P20" s="51"/>
      <c r="Q20" s="51"/>
      <c r="R20" s="1"/>
      <c r="S20" s="51"/>
      <c r="T20" s="51"/>
      <c r="U20" s="1"/>
      <c r="V20" s="1"/>
      <c r="W20" s="51"/>
      <c r="X20" s="96"/>
      <c r="Y20" s="97"/>
      <c r="Z20" s="97"/>
    </row>
    <row r="21" spans="1:26" ht="12.75" customHeight="1" x14ac:dyDescent="0.25">
      <c r="A21" s="51"/>
      <c r="B21" s="79" t="e">
        <f>VLOOKUP(C21,Tabla6[#All],2,FALSE)</f>
        <v>#N/A</v>
      </c>
      <c r="C21" s="86"/>
      <c r="D21" s="1"/>
      <c r="E21" s="134"/>
      <c r="F21" s="134"/>
      <c r="G21" s="85"/>
      <c r="H21" s="85"/>
      <c r="I21" s="51"/>
      <c r="J21" s="51"/>
      <c r="K21" s="51"/>
      <c r="L21" s="51"/>
      <c r="M21" s="51"/>
      <c r="N21" s="1"/>
      <c r="O21" s="1"/>
      <c r="P21" s="51"/>
      <c r="Q21" s="51"/>
      <c r="R21" s="1"/>
      <c r="S21" s="51"/>
      <c r="T21" s="51"/>
      <c r="U21" s="1"/>
      <c r="V21" s="1"/>
      <c r="W21" s="51"/>
      <c r="X21" s="96"/>
      <c r="Y21" s="97"/>
      <c r="Z21" s="97"/>
    </row>
    <row r="22" spans="1:26" x14ac:dyDescent="0.25">
      <c r="A22" s="1"/>
      <c r="B22" s="79" t="e">
        <f>VLOOKUP(C22,Tabla6[#All],2,FALSE)</f>
        <v>#N/A</v>
      </c>
      <c r="C22" s="51"/>
      <c r="D22" s="1"/>
      <c r="E22" s="133"/>
      <c r="F22" s="133"/>
      <c r="G22" s="85"/>
      <c r="H22" s="85"/>
      <c r="I22" s="51"/>
      <c r="J22" s="51"/>
      <c r="K22" s="51"/>
      <c r="L22" s="51"/>
      <c r="M22" s="51"/>
      <c r="N22" s="1"/>
      <c r="O22" s="1"/>
      <c r="P22" s="51"/>
      <c r="Q22" s="51"/>
      <c r="R22" s="1"/>
      <c r="S22" s="51"/>
      <c r="T22" s="51"/>
      <c r="U22" s="1"/>
      <c r="V22" s="1"/>
      <c r="W22" s="51"/>
      <c r="X22" s="96"/>
      <c r="Y22" s="97"/>
      <c r="Z22" s="97"/>
    </row>
    <row r="23" spans="1:26" x14ac:dyDescent="0.25">
      <c r="A23" s="51"/>
      <c r="B23" s="79" t="e">
        <f>VLOOKUP(C23,Tabla6[#All],2,FALSE)</f>
        <v>#N/A</v>
      </c>
      <c r="C23" s="51"/>
      <c r="D23" s="1"/>
      <c r="E23" s="133"/>
      <c r="F23" s="133"/>
      <c r="G23" s="85"/>
      <c r="H23" s="85"/>
      <c r="I23" s="51"/>
      <c r="J23" s="51"/>
      <c r="K23" s="51"/>
      <c r="L23" s="51"/>
      <c r="M23" s="51"/>
      <c r="N23" s="1"/>
      <c r="O23" s="1"/>
      <c r="P23" s="51"/>
      <c r="Q23" s="51"/>
      <c r="R23" s="1"/>
      <c r="S23" s="51"/>
      <c r="T23" s="51"/>
      <c r="U23" s="1"/>
      <c r="V23" s="1"/>
      <c r="W23" s="51"/>
      <c r="X23" s="96"/>
      <c r="Y23" s="97"/>
      <c r="Z23" s="97"/>
    </row>
    <row r="24" spans="1:26" x14ac:dyDescent="0.25">
      <c r="A24" s="1"/>
      <c r="B24" s="79" t="e">
        <f>VLOOKUP(C24,Tabla6[#All],2,FALSE)</f>
        <v>#N/A</v>
      </c>
      <c r="C24" s="51"/>
      <c r="D24" s="1"/>
      <c r="E24" s="133"/>
      <c r="F24" s="133"/>
      <c r="G24" s="85"/>
      <c r="H24" s="85"/>
      <c r="I24" s="51"/>
      <c r="J24" s="51"/>
      <c r="K24" s="51"/>
      <c r="L24" s="51"/>
      <c r="M24" s="51"/>
      <c r="N24" s="1"/>
      <c r="O24" s="1"/>
      <c r="P24" s="51"/>
      <c r="Q24" s="51"/>
      <c r="R24" s="1"/>
      <c r="S24" s="51"/>
      <c r="T24" s="51"/>
      <c r="U24" s="1"/>
      <c r="V24" s="1"/>
      <c r="W24" s="51"/>
      <c r="X24" s="96"/>
      <c r="Y24" s="97"/>
      <c r="Z24" s="97"/>
    </row>
    <row r="25" spans="1:26" x14ac:dyDescent="0.25">
      <c r="A25" s="51"/>
      <c r="B25" s="79" t="e">
        <f>VLOOKUP(C25,Tabla6[#All],2,FALSE)</f>
        <v>#N/A</v>
      </c>
      <c r="C25" s="51"/>
      <c r="D25" s="1"/>
      <c r="E25" s="133"/>
      <c r="F25" s="133"/>
      <c r="G25" s="85"/>
      <c r="H25" s="85"/>
      <c r="I25" s="51"/>
      <c r="J25" s="51"/>
      <c r="K25" s="51"/>
      <c r="L25" s="51"/>
      <c r="M25" s="51"/>
      <c r="N25" s="1"/>
      <c r="O25" s="1"/>
      <c r="P25" s="51"/>
      <c r="Q25" s="51"/>
      <c r="R25" s="1"/>
      <c r="S25" s="51"/>
      <c r="T25" s="51"/>
      <c r="U25" s="1"/>
      <c r="V25" s="1"/>
      <c r="W25" s="51"/>
      <c r="X25" s="96"/>
      <c r="Y25" s="97"/>
      <c r="Z25" s="97"/>
    </row>
    <row r="26" spans="1:26" x14ac:dyDescent="0.25">
      <c r="A26" s="1"/>
      <c r="B26" s="79" t="e">
        <f>VLOOKUP(C26,Tabla6[#All],2,FALSE)</f>
        <v>#N/A</v>
      </c>
      <c r="C26" s="51"/>
      <c r="D26" s="1"/>
      <c r="E26" s="133"/>
      <c r="F26" s="133"/>
      <c r="G26" s="85"/>
      <c r="H26" s="85"/>
      <c r="I26" s="51"/>
      <c r="J26" s="51"/>
      <c r="K26" s="51"/>
      <c r="L26" s="51"/>
      <c r="M26" s="51"/>
      <c r="N26" s="1"/>
      <c r="O26" s="1"/>
      <c r="P26" s="51"/>
      <c r="Q26" s="51"/>
      <c r="R26" s="1"/>
      <c r="S26" s="51"/>
      <c r="T26" s="51"/>
      <c r="U26" s="1"/>
      <c r="V26" s="1"/>
      <c r="W26" s="51"/>
      <c r="X26" s="96"/>
      <c r="Y26" s="97"/>
      <c r="Z26" s="97"/>
    </row>
    <row r="27" spans="1:26" ht="15.75" customHeight="1" x14ac:dyDescent="0.25">
      <c r="A27" s="51"/>
      <c r="B27" s="79" t="e">
        <f>VLOOKUP(C27,Tabla6[#All],2,FALSE)</f>
        <v>#N/A</v>
      </c>
      <c r="C27" s="51"/>
      <c r="D27" s="1"/>
      <c r="E27" s="134"/>
      <c r="F27" s="134"/>
      <c r="G27" s="85"/>
      <c r="H27" s="85"/>
      <c r="I27" s="51"/>
      <c r="J27" s="51"/>
      <c r="K27" s="51"/>
      <c r="L27" s="51"/>
      <c r="M27" s="51"/>
      <c r="N27" s="1"/>
      <c r="O27" s="1"/>
      <c r="P27" s="51"/>
      <c r="Q27" s="51"/>
      <c r="R27" s="1"/>
      <c r="S27" s="51"/>
      <c r="T27" s="51"/>
      <c r="U27" s="1"/>
      <c r="V27" s="1"/>
      <c r="W27" s="51"/>
      <c r="X27" s="96"/>
      <c r="Y27" s="97"/>
      <c r="Z27" s="97"/>
    </row>
    <row r="28" spans="1:26" x14ac:dyDescent="0.25">
      <c r="A28" s="1"/>
      <c r="B28" s="79" t="e">
        <f>VLOOKUP(C28,Tabla6[#All],2,FALSE)</f>
        <v>#N/A</v>
      </c>
      <c r="C28" s="51"/>
      <c r="D28" s="1"/>
      <c r="E28" s="133"/>
      <c r="F28" s="133"/>
      <c r="G28" s="85"/>
      <c r="H28" s="85"/>
      <c r="I28" s="51"/>
      <c r="J28" s="51"/>
      <c r="K28" s="51"/>
      <c r="L28" s="51"/>
      <c r="M28" s="51"/>
      <c r="N28" s="1"/>
      <c r="O28" s="1"/>
      <c r="P28" s="51"/>
      <c r="Q28" s="51"/>
      <c r="R28" s="1"/>
      <c r="S28" s="51"/>
      <c r="T28" s="51"/>
      <c r="U28" s="1"/>
      <c r="V28" s="1"/>
      <c r="W28" s="51"/>
      <c r="X28" s="96"/>
      <c r="Y28" s="97"/>
      <c r="Z28" s="97"/>
    </row>
    <row r="29" spans="1:26" x14ac:dyDescent="0.25">
      <c r="A29" s="51"/>
      <c r="B29" s="79" t="e">
        <f>VLOOKUP(C29,Tabla6[#All],2,FALSE)</f>
        <v>#N/A</v>
      </c>
      <c r="C29" s="51"/>
      <c r="D29" s="1"/>
      <c r="E29" s="133"/>
      <c r="F29" s="133"/>
      <c r="G29" s="85"/>
      <c r="H29" s="85"/>
      <c r="I29" s="51"/>
      <c r="J29" s="51"/>
      <c r="K29" s="51"/>
      <c r="L29" s="51"/>
      <c r="M29" s="51"/>
      <c r="N29" s="1"/>
      <c r="O29" s="1"/>
      <c r="P29" s="51"/>
      <c r="Q29" s="51"/>
      <c r="R29" s="1"/>
      <c r="S29" s="51"/>
      <c r="T29" s="51"/>
      <c r="U29" s="1"/>
      <c r="V29" s="1"/>
      <c r="W29" s="51"/>
      <c r="X29" s="96"/>
      <c r="Y29" s="97"/>
      <c r="Z29" s="97"/>
    </row>
    <row r="30" spans="1:26" x14ac:dyDescent="0.25">
      <c r="A30" s="1"/>
      <c r="B30" s="79" t="e">
        <f>VLOOKUP(C30,Tabla6[#All],2,FALSE)</f>
        <v>#N/A</v>
      </c>
      <c r="C30" s="51"/>
      <c r="D30" s="1"/>
      <c r="E30" s="133"/>
      <c r="F30" s="133"/>
      <c r="G30" s="85"/>
      <c r="H30" s="85"/>
      <c r="I30" s="51"/>
      <c r="J30" s="51"/>
      <c r="K30" s="51"/>
      <c r="L30" s="51"/>
      <c r="M30" s="51"/>
      <c r="N30" s="1"/>
      <c r="O30" s="1"/>
      <c r="P30" s="51"/>
      <c r="Q30" s="51"/>
      <c r="R30" s="1"/>
      <c r="S30" s="51"/>
      <c r="T30" s="51"/>
      <c r="U30" s="1"/>
      <c r="V30" s="1"/>
      <c r="W30" s="51"/>
      <c r="X30" s="96"/>
      <c r="Y30" s="97"/>
      <c r="Z30" s="97"/>
    </row>
    <row r="31" spans="1:26" x14ac:dyDescent="0.25">
      <c r="A31" s="51"/>
      <c r="B31" s="79" t="e">
        <f>VLOOKUP(C31,Tabla6[#All],2,FALSE)</f>
        <v>#N/A</v>
      </c>
      <c r="C31" s="51"/>
      <c r="D31" s="1"/>
      <c r="E31" s="133"/>
      <c r="F31" s="133"/>
      <c r="G31" s="85"/>
      <c r="H31" s="85"/>
      <c r="I31" s="51"/>
      <c r="J31" s="51"/>
      <c r="K31" s="51"/>
      <c r="L31" s="51"/>
      <c r="M31" s="51"/>
      <c r="N31" s="1"/>
      <c r="O31" s="1"/>
      <c r="P31" s="51"/>
      <c r="Q31" s="51"/>
      <c r="R31" s="1"/>
      <c r="S31" s="51"/>
      <c r="T31" s="51"/>
      <c r="U31" s="1"/>
      <c r="V31" s="1"/>
      <c r="W31" s="51"/>
      <c r="X31" s="96"/>
      <c r="Y31" s="97"/>
      <c r="Z31" s="97"/>
    </row>
    <row r="32" spans="1:26" x14ac:dyDescent="0.25">
      <c r="A32" s="1"/>
      <c r="B32" s="79" t="e">
        <f>VLOOKUP(C32,Tabla6[#All],2,FALSE)</f>
        <v>#N/A</v>
      </c>
      <c r="C32" s="51"/>
      <c r="D32" s="1"/>
      <c r="E32" s="133"/>
      <c r="F32" s="133"/>
      <c r="G32" s="85"/>
      <c r="H32" s="85"/>
      <c r="I32" s="51"/>
      <c r="J32" s="51"/>
      <c r="K32" s="51"/>
      <c r="L32" s="51"/>
      <c r="M32" s="51"/>
      <c r="N32" s="1"/>
      <c r="O32" s="1"/>
      <c r="P32" s="51"/>
      <c r="Q32" s="51"/>
      <c r="R32" s="1"/>
      <c r="S32" s="51"/>
      <c r="T32" s="51"/>
      <c r="U32" s="1"/>
      <c r="V32" s="1"/>
      <c r="W32" s="51"/>
      <c r="X32" s="96"/>
      <c r="Y32" s="97"/>
      <c r="Z32" s="97"/>
    </row>
    <row r="33" spans="1:26" ht="33.75" customHeight="1" x14ac:dyDescent="0.25">
      <c r="A33" s="51"/>
      <c r="B33" s="79" t="e">
        <f>VLOOKUP(C33,Tabla6[#All],2,FALSE)</f>
        <v>#N/A</v>
      </c>
      <c r="C33" s="86"/>
      <c r="D33" s="1"/>
      <c r="E33" s="133"/>
      <c r="F33" s="133"/>
      <c r="G33" s="85"/>
      <c r="H33" s="85"/>
      <c r="I33" s="51"/>
      <c r="J33" s="51"/>
      <c r="K33" s="51"/>
      <c r="L33" s="51"/>
      <c r="M33" s="51"/>
      <c r="N33" s="1"/>
      <c r="O33" s="1"/>
      <c r="P33" s="51"/>
      <c r="Q33" s="51"/>
      <c r="R33" s="1"/>
      <c r="S33" s="51"/>
      <c r="T33" s="89"/>
      <c r="U33" s="1"/>
      <c r="V33" s="1"/>
      <c r="W33" s="51"/>
      <c r="X33" s="98"/>
      <c r="Y33" s="99"/>
      <c r="Z33" s="100"/>
    </row>
    <row r="34" spans="1:26" x14ac:dyDescent="0.25">
      <c r="A34" s="1"/>
      <c r="B34" s="51" t="e">
        <f>VLOOKUP(C34,Tabla6[#All],2,FALSE)</f>
        <v>#N/A</v>
      </c>
      <c r="C34" s="51"/>
      <c r="D34" s="1"/>
      <c r="E34" s="133"/>
      <c r="F34" s="133"/>
      <c r="G34" s="85"/>
      <c r="H34" s="1"/>
      <c r="I34" s="51"/>
      <c r="J34" s="51"/>
      <c r="K34" s="51"/>
      <c r="L34" s="51"/>
      <c r="M34" s="51"/>
      <c r="N34" s="1"/>
      <c r="O34" s="1"/>
      <c r="P34" s="51">
        <f t="shared" ref="P34:P46" si="0">O34-N34+1</f>
        <v>1</v>
      </c>
      <c r="Q34" s="51"/>
      <c r="R34" s="1"/>
      <c r="S34" s="51"/>
      <c r="T34" s="1"/>
      <c r="U34" s="1"/>
      <c r="V34" s="1"/>
      <c r="W34" s="51"/>
      <c r="X34" s="93"/>
      <c r="Y34" s="94"/>
      <c r="Z34" s="95"/>
    </row>
    <row r="35" spans="1:26" x14ac:dyDescent="0.25">
      <c r="A35" s="51"/>
      <c r="B35" s="51" t="e">
        <f>VLOOKUP(C35,Tabla6[#All],2,FALSE)</f>
        <v>#N/A</v>
      </c>
      <c r="C35" s="51"/>
      <c r="D35" s="1"/>
      <c r="E35" s="133"/>
      <c r="F35" s="133"/>
      <c r="G35" s="85"/>
      <c r="H35" s="1"/>
      <c r="I35" s="51"/>
      <c r="J35" s="51"/>
      <c r="K35" s="51"/>
      <c r="L35" s="51"/>
      <c r="M35" s="51"/>
      <c r="N35" s="1"/>
      <c r="O35" s="1"/>
      <c r="P35" s="51">
        <f t="shared" si="0"/>
        <v>1</v>
      </c>
      <c r="Q35" s="51"/>
      <c r="R35" s="1"/>
      <c r="S35" s="51"/>
      <c r="T35" s="1"/>
      <c r="U35" s="1"/>
      <c r="V35" s="1"/>
      <c r="W35" s="51"/>
      <c r="X35" s="93"/>
      <c r="Y35" s="94"/>
      <c r="Z35" s="95"/>
    </row>
    <row r="36" spans="1:26" x14ac:dyDescent="0.25">
      <c r="A36" s="1"/>
      <c r="B36" s="51" t="e">
        <f>VLOOKUP(C36,Tabla6[#All],2,FALSE)</f>
        <v>#N/A</v>
      </c>
      <c r="C36" s="51"/>
      <c r="D36" s="1"/>
      <c r="E36" s="133"/>
      <c r="F36" s="133"/>
      <c r="G36" s="85"/>
      <c r="H36" s="1"/>
      <c r="I36" s="51"/>
      <c r="J36" s="51"/>
      <c r="K36" s="51"/>
      <c r="L36" s="51"/>
      <c r="M36" s="51"/>
      <c r="N36" s="1"/>
      <c r="O36" s="1"/>
      <c r="P36" s="51">
        <f t="shared" si="0"/>
        <v>1</v>
      </c>
      <c r="Q36" s="51"/>
      <c r="R36" s="1"/>
      <c r="S36" s="51"/>
      <c r="T36" s="1"/>
      <c r="U36" s="1"/>
      <c r="V36" s="1"/>
      <c r="W36" s="51"/>
      <c r="X36" s="93"/>
      <c r="Y36" s="94"/>
      <c r="Z36" s="95"/>
    </row>
    <row r="37" spans="1:26" x14ac:dyDescent="0.25">
      <c r="A37" s="1"/>
      <c r="B37" s="51" t="e">
        <f>VLOOKUP(C37,Tabla6[#All],2,FALSE)</f>
        <v>#N/A</v>
      </c>
      <c r="C37" s="51"/>
      <c r="D37" s="1"/>
      <c r="E37" s="133"/>
      <c r="F37" s="133"/>
      <c r="G37" s="85"/>
      <c r="H37" s="1"/>
      <c r="I37" s="51"/>
      <c r="J37" s="51"/>
      <c r="K37" s="51"/>
      <c r="L37" s="51"/>
      <c r="M37" s="51"/>
      <c r="N37" s="1"/>
      <c r="O37" s="1"/>
      <c r="P37" s="51">
        <f t="shared" si="0"/>
        <v>1</v>
      </c>
      <c r="Q37" s="51"/>
      <c r="R37" s="1"/>
      <c r="S37" s="51"/>
      <c r="T37" s="1"/>
      <c r="U37" s="1"/>
      <c r="V37" s="1"/>
      <c r="W37" s="51"/>
      <c r="X37" s="93"/>
      <c r="Y37" s="94"/>
      <c r="Z37" s="95"/>
    </row>
    <row r="38" spans="1:26" ht="14.25" customHeight="1" x14ac:dyDescent="0.25">
      <c r="A38" s="51"/>
      <c r="B38" s="51" t="e">
        <f>VLOOKUP(C38,Tabla6[#All],2,FALSE)</f>
        <v>#N/A</v>
      </c>
      <c r="C38" s="51"/>
      <c r="D38" s="1"/>
      <c r="E38" s="133"/>
      <c r="F38" s="133"/>
      <c r="G38" s="85"/>
      <c r="H38" s="1"/>
      <c r="I38" s="51"/>
      <c r="J38" s="51"/>
      <c r="K38" s="51"/>
      <c r="L38" s="51"/>
      <c r="M38" s="51"/>
      <c r="N38" s="1"/>
      <c r="O38" s="1"/>
      <c r="P38" s="51">
        <f t="shared" si="0"/>
        <v>1</v>
      </c>
      <c r="Q38" s="51"/>
      <c r="R38" s="1"/>
      <c r="S38" s="51"/>
      <c r="T38" s="1"/>
      <c r="U38" s="1"/>
      <c r="V38" s="1"/>
      <c r="W38" s="51"/>
      <c r="X38" s="93"/>
      <c r="Y38" s="94"/>
      <c r="Z38" s="95"/>
    </row>
    <row r="39" spans="1:26" ht="14.25" customHeight="1" x14ac:dyDescent="0.25">
      <c r="A39" s="1"/>
      <c r="B39" s="51" t="e">
        <f>VLOOKUP(C39,Tabla6[#All],2,FALSE)</f>
        <v>#N/A</v>
      </c>
      <c r="C39" s="51"/>
      <c r="D39" s="1"/>
      <c r="E39" s="134"/>
      <c r="F39" s="134"/>
      <c r="G39" s="87"/>
      <c r="H39" s="1"/>
      <c r="I39" s="51"/>
      <c r="J39" s="51"/>
      <c r="K39" s="51"/>
      <c r="L39" s="51"/>
      <c r="M39" s="51"/>
      <c r="N39" s="1"/>
      <c r="O39" s="1"/>
      <c r="P39" s="51">
        <f t="shared" si="0"/>
        <v>1</v>
      </c>
      <c r="Q39" s="51"/>
      <c r="R39" s="1"/>
      <c r="S39" s="51"/>
      <c r="T39" s="1"/>
      <c r="U39" s="1"/>
      <c r="V39" s="1"/>
      <c r="W39" s="51"/>
      <c r="X39" s="93"/>
      <c r="Y39" s="94"/>
      <c r="Z39" s="95"/>
    </row>
    <row r="40" spans="1:26" ht="14.25" customHeight="1" x14ac:dyDescent="0.25">
      <c r="A40" s="1"/>
      <c r="B40" s="1" t="e">
        <f>VLOOKUP(C40,Tabla6[#All],2,FALSE)</f>
        <v>#N/A</v>
      </c>
      <c r="C40" s="1"/>
      <c r="D40" s="1"/>
      <c r="E40" s="134"/>
      <c r="F40" s="134"/>
      <c r="G40" s="87"/>
      <c r="H40" s="1"/>
      <c r="I40" s="1"/>
      <c r="J40" s="1"/>
      <c r="K40" s="1"/>
      <c r="L40" s="1"/>
      <c r="M40" s="51"/>
      <c r="N40" s="1"/>
      <c r="O40" s="1"/>
      <c r="P40" s="51">
        <f t="shared" si="0"/>
        <v>1</v>
      </c>
      <c r="Q40" s="1"/>
      <c r="R40" s="1"/>
      <c r="S40" s="1"/>
      <c r="T40" s="1"/>
      <c r="U40" s="1"/>
      <c r="V40" s="1"/>
      <c r="W40" s="1"/>
      <c r="X40" s="93"/>
      <c r="Y40" s="94"/>
      <c r="Z40" s="95"/>
    </row>
    <row r="41" spans="1:26" ht="14.25" customHeight="1" x14ac:dyDescent="0.25">
      <c r="A41" s="1"/>
      <c r="B41" s="1" t="e">
        <f>VLOOKUP(C41,Tabla6[#All],2,FALSE)</f>
        <v>#N/A</v>
      </c>
      <c r="C41" s="1"/>
      <c r="D41" s="1"/>
      <c r="E41" s="134"/>
      <c r="F41" s="134"/>
      <c r="G41" s="87"/>
      <c r="H41" s="1"/>
      <c r="I41" s="1"/>
      <c r="J41" s="1"/>
      <c r="K41" s="1"/>
      <c r="L41" s="1"/>
      <c r="M41" s="51"/>
      <c r="N41" s="1"/>
      <c r="O41" s="1"/>
      <c r="P41" s="51">
        <f t="shared" si="0"/>
        <v>1</v>
      </c>
      <c r="Q41" s="1"/>
      <c r="R41" s="1"/>
      <c r="S41" s="1"/>
      <c r="T41" s="1"/>
      <c r="U41" s="1"/>
      <c r="V41" s="1"/>
      <c r="W41" s="1"/>
      <c r="X41" s="93"/>
      <c r="Y41" s="94"/>
      <c r="Z41" s="95"/>
    </row>
    <row r="42" spans="1:26" ht="14.25" customHeight="1" x14ac:dyDescent="0.25">
      <c r="A42" s="1"/>
      <c r="B42" s="1" t="e">
        <f>VLOOKUP(C42,Tabla6[#All],2,FALSE)</f>
        <v>#N/A</v>
      </c>
      <c r="C42" s="1"/>
      <c r="D42" s="1"/>
      <c r="E42" s="134"/>
      <c r="F42" s="134"/>
      <c r="G42" s="87"/>
      <c r="H42" s="1"/>
      <c r="I42" s="1"/>
      <c r="J42" s="1"/>
      <c r="K42" s="1"/>
      <c r="L42" s="1"/>
      <c r="M42" s="51"/>
      <c r="N42" s="1"/>
      <c r="O42" s="1"/>
      <c r="P42" s="51">
        <f t="shared" si="0"/>
        <v>1</v>
      </c>
      <c r="Q42" s="1"/>
      <c r="R42" s="1"/>
      <c r="S42" s="1"/>
      <c r="T42" s="1"/>
      <c r="U42" s="1"/>
      <c r="V42" s="1"/>
      <c r="W42" s="1"/>
      <c r="X42" s="93"/>
      <c r="Y42" s="94"/>
      <c r="Z42" s="95"/>
    </row>
    <row r="43" spans="1:26" ht="14.25" customHeight="1" x14ac:dyDescent="0.25">
      <c r="A43" s="1"/>
      <c r="B43" s="1" t="e">
        <f>VLOOKUP(C43,Tabla6[#All],2,FALSE)</f>
        <v>#N/A</v>
      </c>
      <c r="C43" s="1"/>
      <c r="D43" s="1"/>
      <c r="E43" s="134"/>
      <c r="F43" s="134"/>
      <c r="G43" s="87"/>
      <c r="H43" s="1"/>
      <c r="I43" s="1"/>
      <c r="J43" s="1"/>
      <c r="K43" s="1"/>
      <c r="L43" s="1"/>
      <c r="M43" s="51"/>
      <c r="N43" s="1"/>
      <c r="O43" s="1"/>
      <c r="P43" s="51">
        <f t="shared" si="0"/>
        <v>1</v>
      </c>
      <c r="Q43" s="1"/>
      <c r="R43" s="1"/>
      <c r="S43" s="1"/>
      <c r="T43" s="1"/>
      <c r="U43" s="1"/>
      <c r="V43" s="1"/>
      <c r="W43" s="1"/>
      <c r="X43" s="93"/>
      <c r="Y43" s="94"/>
      <c r="Z43" s="95"/>
    </row>
    <row r="44" spans="1:26" x14ac:dyDescent="0.25">
      <c r="A44" s="1"/>
      <c r="B44" s="1" t="e">
        <f>VLOOKUP(C44,Tabla6[#All],2,FALSE)</f>
        <v>#N/A</v>
      </c>
      <c r="C44" s="1"/>
      <c r="D44" s="1"/>
      <c r="E44" s="133"/>
      <c r="F44" s="133"/>
      <c r="G44" s="87"/>
      <c r="H44" s="1"/>
      <c r="I44" s="1"/>
      <c r="J44" s="1"/>
      <c r="K44" s="1"/>
      <c r="L44" s="1"/>
      <c r="M44" s="51"/>
      <c r="N44" s="1"/>
      <c r="O44" s="1"/>
      <c r="P44" s="51">
        <f t="shared" si="0"/>
        <v>1</v>
      </c>
      <c r="Q44" s="1"/>
      <c r="R44" s="1"/>
      <c r="S44" s="1"/>
      <c r="T44" s="1"/>
      <c r="U44" s="1"/>
      <c r="V44" s="1"/>
      <c r="W44" s="1"/>
      <c r="X44" s="93"/>
      <c r="Y44" s="94"/>
      <c r="Z44" s="95"/>
    </row>
    <row r="45" spans="1:26" x14ac:dyDescent="0.25">
      <c r="A45" s="1"/>
      <c r="B45" s="1" t="e">
        <f>VLOOKUP(C45,Tabla6[#All],2,FALSE)</f>
        <v>#N/A</v>
      </c>
      <c r="C45" s="1"/>
      <c r="D45" s="1"/>
      <c r="E45" s="133"/>
      <c r="F45" s="133"/>
      <c r="G45" s="87"/>
      <c r="H45" s="1"/>
      <c r="I45" s="1"/>
      <c r="J45" s="1"/>
      <c r="K45" s="1"/>
      <c r="L45" s="1"/>
      <c r="M45" s="51"/>
      <c r="N45" s="1"/>
      <c r="O45" s="1"/>
      <c r="P45" s="51">
        <f t="shared" si="0"/>
        <v>1</v>
      </c>
      <c r="Q45" s="1"/>
      <c r="R45" s="1"/>
      <c r="S45" s="1"/>
      <c r="T45" s="1"/>
      <c r="U45" s="1"/>
      <c r="V45" s="1"/>
      <c r="W45" s="1"/>
      <c r="X45" s="93"/>
      <c r="Y45" s="94"/>
      <c r="Z45" s="95"/>
    </row>
    <row r="46" spans="1:26" x14ac:dyDescent="0.25">
      <c r="A46" s="1"/>
      <c r="B46" s="1" t="e">
        <f>VLOOKUP(C46,Tabla6[#All],2,FALSE)</f>
        <v>#N/A</v>
      </c>
      <c r="C46" s="1"/>
      <c r="D46" s="1"/>
      <c r="E46" s="133"/>
      <c r="F46" s="133"/>
      <c r="G46" s="87"/>
      <c r="H46" s="1"/>
      <c r="I46" s="1"/>
      <c r="J46" s="1"/>
      <c r="K46" s="1"/>
      <c r="L46" s="1"/>
      <c r="M46" s="51"/>
      <c r="N46" s="1"/>
      <c r="O46" s="1"/>
      <c r="P46" s="51">
        <f t="shared" si="0"/>
        <v>1</v>
      </c>
      <c r="Q46" s="1"/>
      <c r="R46" s="1"/>
      <c r="S46" s="1"/>
      <c r="T46" s="1"/>
      <c r="U46" s="1"/>
      <c r="V46" s="1"/>
      <c r="W46" s="1"/>
      <c r="X46" s="93"/>
      <c r="Y46" s="94"/>
      <c r="Z46" s="95"/>
    </row>
    <row r="47" spans="1:26" ht="21.75" customHeight="1" thickBot="1" x14ac:dyDescent="0.3"/>
    <row r="48" spans="1:26" ht="39.950000000000003" customHeight="1" thickBot="1" x14ac:dyDescent="0.3">
      <c r="B48" s="114" t="s">
        <v>43</v>
      </c>
      <c r="C48" s="115"/>
      <c r="D48" s="179"/>
      <c r="E48" s="180"/>
      <c r="F48" s="180"/>
      <c r="G48" s="181"/>
      <c r="J48" s="203" t="s">
        <v>44</v>
      </c>
      <c r="K48" s="204"/>
      <c r="L48" s="205"/>
      <c r="M48" s="206"/>
      <c r="N48" s="206"/>
      <c r="O48" s="206"/>
      <c r="P48" s="206"/>
      <c r="Q48" s="207"/>
      <c r="S48" s="201" t="s">
        <v>49</v>
      </c>
      <c r="T48" s="202"/>
      <c r="U48" s="135"/>
      <c r="V48" s="136"/>
      <c r="W48" s="136"/>
      <c r="X48" s="136"/>
      <c r="Y48" s="137"/>
    </row>
    <row r="49" spans="2:25" ht="39.950000000000003" customHeight="1" thickBot="1" x14ac:dyDescent="0.3">
      <c r="B49" s="114" t="s">
        <v>45</v>
      </c>
      <c r="C49" s="115"/>
      <c r="D49" s="179"/>
      <c r="E49" s="180"/>
      <c r="F49" s="180"/>
      <c r="G49" s="181"/>
      <c r="H49" s="61"/>
      <c r="J49" s="203" t="s">
        <v>45</v>
      </c>
      <c r="K49" s="204"/>
      <c r="L49" s="205"/>
      <c r="M49" s="206"/>
      <c r="N49" s="206"/>
      <c r="O49" s="206"/>
      <c r="P49" s="206"/>
      <c r="Q49" s="207"/>
      <c r="S49" s="201" t="s">
        <v>45</v>
      </c>
      <c r="T49" s="202"/>
      <c r="U49" s="101"/>
      <c r="V49" s="102"/>
      <c r="W49" s="102"/>
      <c r="X49" s="102"/>
      <c r="Y49" s="103"/>
    </row>
    <row r="50" spans="2:25" ht="39.950000000000003" customHeight="1" thickBot="1" x14ac:dyDescent="0.3">
      <c r="B50" s="114" t="s">
        <v>46</v>
      </c>
      <c r="C50" s="115"/>
      <c r="D50" s="179"/>
      <c r="E50" s="180"/>
      <c r="F50" s="180"/>
      <c r="G50" s="181"/>
      <c r="H50" s="61"/>
      <c r="J50" s="203" t="s">
        <v>46</v>
      </c>
      <c r="K50" s="204"/>
      <c r="L50" s="205"/>
      <c r="M50" s="206"/>
      <c r="N50" s="206"/>
      <c r="O50" s="206"/>
      <c r="P50" s="206"/>
      <c r="Q50" s="207"/>
      <c r="S50" s="201" t="s">
        <v>46</v>
      </c>
      <c r="T50" s="202"/>
      <c r="U50" s="101"/>
      <c r="V50" s="102"/>
      <c r="W50" s="102"/>
      <c r="X50" s="102"/>
      <c r="Y50" s="103"/>
    </row>
    <row r="51" spans="2:25" ht="39.950000000000003" customHeight="1" thickBot="1" x14ac:dyDescent="0.3">
      <c r="B51" s="114" t="s">
        <v>47</v>
      </c>
      <c r="C51" s="115"/>
      <c r="D51" s="179"/>
      <c r="E51" s="180"/>
      <c r="F51" s="180"/>
      <c r="G51" s="181"/>
      <c r="H51" s="61"/>
      <c r="J51" s="203" t="s">
        <v>47</v>
      </c>
      <c r="K51" s="204"/>
      <c r="L51" s="205"/>
      <c r="M51" s="206"/>
      <c r="N51" s="206"/>
      <c r="O51" s="206"/>
      <c r="P51" s="206"/>
      <c r="Q51" s="207"/>
      <c r="S51" s="201" t="s">
        <v>47</v>
      </c>
      <c r="T51" s="202"/>
      <c r="U51" s="101"/>
      <c r="V51" s="102"/>
      <c r="W51" s="102"/>
      <c r="X51" s="102"/>
      <c r="Y51" s="103"/>
    </row>
    <row r="52" spans="2:25" ht="39.950000000000003" customHeight="1" thickBot="1" x14ac:dyDescent="0.3">
      <c r="B52" s="114" t="s">
        <v>48</v>
      </c>
      <c r="C52" s="115"/>
      <c r="D52" s="182"/>
      <c r="E52" s="183"/>
      <c r="F52" s="183"/>
      <c r="G52" s="184"/>
      <c r="H52" s="61"/>
      <c r="J52" s="203" t="s">
        <v>48</v>
      </c>
      <c r="K52" s="204"/>
      <c r="L52" s="208"/>
      <c r="M52" s="206"/>
      <c r="N52" s="206"/>
      <c r="O52" s="206"/>
      <c r="P52" s="206"/>
      <c r="Q52" s="207"/>
      <c r="S52" s="201" t="s">
        <v>48</v>
      </c>
      <c r="T52" s="202"/>
      <c r="U52" s="90"/>
      <c r="V52" s="91"/>
      <c r="W52" s="91"/>
      <c r="X52" s="91"/>
      <c r="Y52" s="92"/>
    </row>
    <row r="53" spans="2:25" ht="15.75" x14ac:dyDescent="0.25">
      <c r="B53" s="71"/>
      <c r="C53" s="71"/>
      <c r="D53" s="61"/>
      <c r="E53" s="61"/>
      <c r="F53" s="61"/>
      <c r="G53" s="61"/>
      <c r="H53" s="61"/>
      <c r="J53" s="72"/>
      <c r="K53" s="72"/>
      <c r="L53" s="72"/>
      <c r="M53" s="72"/>
      <c r="N53" s="72"/>
      <c r="O53" s="72"/>
      <c r="P53" s="72"/>
      <c r="Q53" s="72"/>
      <c r="T53" s="71"/>
      <c r="U53" s="71"/>
      <c r="V53" s="73"/>
      <c r="W53" s="73"/>
      <c r="X53" s="73"/>
      <c r="Y53" s="73"/>
    </row>
  </sheetData>
  <mergeCells count="122">
    <mergeCell ref="S52:T52"/>
    <mergeCell ref="J48:K48"/>
    <mergeCell ref="J49:K49"/>
    <mergeCell ref="J50:K50"/>
    <mergeCell ref="J51:K51"/>
    <mergeCell ref="J52:K52"/>
    <mergeCell ref="L48:Q48"/>
    <mergeCell ref="L49:Q49"/>
    <mergeCell ref="L50:Q50"/>
    <mergeCell ref="L51:Q51"/>
    <mergeCell ref="L52:Q52"/>
    <mergeCell ref="S48:T48"/>
    <mergeCell ref="S49:T49"/>
    <mergeCell ref="S50:T50"/>
    <mergeCell ref="S51:T51"/>
    <mergeCell ref="A2:C6"/>
    <mergeCell ref="D2:Z2"/>
    <mergeCell ref="D3:Z3"/>
    <mergeCell ref="D4:Z4"/>
    <mergeCell ref="D5:Z5"/>
    <mergeCell ref="D6:K6"/>
    <mergeCell ref="E39:F39"/>
    <mergeCell ref="S6:Z6"/>
    <mergeCell ref="L6:R6"/>
    <mergeCell ref="E34:F34"/>
    <mergeCell ref="E35:F35"/>
    <mergeCell ref="E36:F36"/>
    <mergeCell ref="E37:F37"/>
    <mergeCell ref="E38:F38"/>
    <mergeCell ref="E29:F29"/>
    <mergeCell ref="E30:F30"/>
    <mergeCell ref="E31:F31"/>
    <mergeCell ref="E32:F32"/>
    <mergeCell ref="E33:F33"/>
    <mergeCell ref="E24:F24"/>
    <mergeCell ref="E25:F25"/>
    <mergeCell ref="E26:F26"/>
    <mergeCell ref="E27:F27"/>
    <mergeCell ref="E28:F28"/>
    <mergeCell ref="B52:C52"/>
    <mergeCell ref="B48:C48"/>
    <mergeCell ref="B49:C49"/>
    <mergeCell ref="B50:C50"/>
    <mergeCell ref="E17:F17"/>
    <mergeCell ref="E40:F40"/>
    <mergeCell ref="E41:F41"/>
    <mergeCell ref="E42:F42"/>
    <mergeCell ref="E43:F43"/>
    <mergeCell ref="E44:F44"/>
    <mergeCell ref="E45:F45"/>
    <mergeCell ref="E46:F46"/>
    <mergeCell ref="D48:G48"/>
    <mergeCell ref="D49:G49"/>
    <mergeCell ref="D50:G50"/>
    <mergeCell ref="D51:G51"/>
    <mergeCell ref="D52:G52"/>
    <mergeCell ref="X45:Z45"/>
    <mergeCell ref="A13:A16"/>
    <mergeCell ref="B13:B16"/>
    <mergeCell ref="C13:C16"/>
    <mergeCell ref="D13:F15"/>
    <mergeCell ref="I13:J15"/>
    <mergeCell ref="E16:F16"/>
    <mergeCell ref="X13:Z16"/>
    <mergeCell ref="K14:R14"/>
    <mergeCell ref="K15:P15"/>
    <mergeCell ref="Q15:R15"/>
    <mergeCell ref="S15:S16"/>
    <mergeCell ref="T15:T16"/>
    <mergeCell ref="U15:U16"/>
    <mergeCell ref="V15:V16"/>
    <mergeCell ref="K13:R13"/>
    <mergeCell ref="S13:V14"/>
    <mergeCell ref="W13:W16"/>
    <mergeCell ref="Y9:Z10"/>
    <mergeCell ref="G13:H15"/>
    <mergeCell ref="B51:C51"/>
    <mergeCell ref="A9:B9"/>
    <mergeCell ref="A10:B10"/>
    <mergeCell ref="G9:G10"/>
    <mergeCell ref="O9:P10"/>
    <mergeCell ref="T9:X10"/>
    <mergeCell ref="E18:F18"/>
    <mergeCell ref="E19:F19"/>
    <mergeCell ref="E20:F20"/>
    <mergeCell ref="E21:F21"/>
    <mergeCell ref="E22:F22"/>
    <mergeCell ref="E23:F23"/>
    <mergeCell ref="X22:Z22"/>
    <mergeCell ref="X17:Z17"/>
    <mergeCell ref="X18:Z18"/>
    <mergeCell ref="X19:Z19"/>
    <mergeCell ref="X20:Z20"/>
    <mergeCell ref="X21:Z21"/>
    <mergeCell ref="U48:Y48"/>
    <mergeCell ref="U49:Y49"/>
    <mergeCell ref="U50:Y50"/>
    <mergeCell ref="X46:Z46"/>
    <mergeCell ref="U52:Y52"/>
    <mergeCell ref="X34:Z34"/>
    <mergeCell ref="X23:Z23"/>
    <mergeCell ref="X24:Z24"/>
    <mergeCell ref="X25:Z25"/>
    <mergeCell ref="X26:Z26"/>
    <mergeCell ref="X27:Z27"/>
    <mergeCell ref="X28:Z28"/>
    <mergeCell ref="X29:Z29"/>
    <mergeCell ref="X30:Z30"/>
    <mergeCell ref="X31:Z31"/>
    <mergeCell ref="X32:Z32"/>
    <mergeCell ref="X33:Z33"/>
    <mergeCell ref="X35:Z35"/>
    <mergeCell ref="X36:Z36"/>
    <mergeCell ref="X37:Z37"/>
    <mergeCell ref="X38:Z38"/>
    <mergeCell ref="X39:Z39"/>
    <mergeCell ref="X40:Z40"/>
    <mergeCell ref="X41:Z41"/>
    <mergeCell ref="X42:Z42"/>
    <mergeCell ref="X43:Z43"/>
    <mergeCell ref="X44:Z44"/>
    <mergeCell ref="U51:Y51"/>
  </mergeCells>
  <phoneticPr fontId="21" type="noConversion"/>
  <pageMargins left="0.25" right="0.25" top="0.75" bottom="0.75" header="0.3" footer="0.3"/>
  <pageSetup paperSize="5" scale="3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C98F6E49-402E-4E2E-9AEB-D1FD5206A36B}">
          <x14:formula1>
            <xm:f>'LISTA DESPLEGABLE'!$O$5:$O$8</xm:f>
          </x14:formula1>
          <xm:sqref>C9</xm:sqref>
        </x14:dataValidation>
        <x14:dataValidation type="list" allowBlank="1" showInputMessage="1" showErrorMessage="1" xr:uid="{618E56FC-CA03-4906-AE7E-6894C9DD6BC0}">
          <x14:formula1>
            <xm:f>'LISTA DESPLEGABLE'!$O$13:$O$25</xm:f>
          </x14:formula1>
          <xm:sqref>C10</xm:sqref>
        </x14:dataValidation>
        <x14:dataValidation type="list" allowBlank="1" showInputMessage="1" showErrorMessage="1" xr:uid="{CEF66499-0F0B-43AB-907B-3559F51E3793}">
          <x14:formula1>
            <xm:f>'LISTA DESPLEGABLE'!$H$13</xm:f>
          </x14:formula1>
          <xm:sqref>H10:M10 I17:J46</xm:sqref>
        </x14:dataValidation>
        <x14:dataValidation type="list" allowBlank="1" showInputMessage="1" showErrorMessage="1" xr:uid="{FD9C19CD-0CAD-4701-AA10-6543377121B9}">
          <x14:formula1>
            <xm:f>'LISTA DESPLEGABLE'!$L$5:$L$205</xm:f>
          </x14:formula1>
          <xm:sqref>Y9:Z10</xm:sqref>
        </x14:dataValidation>
        <x14:dataValidation type="list" allowBlank="1" showInputMessage="1" showErrorMessage="1" xr:uid="{2842DFE2-5214-43B5-A700-C6E3C57A0DDB}">
          <x14:formula1>
            <xm:f>'LISTA DESPLEGABLE'!$H$18:$H$32</xm:f>
          </x14:formula1>
          <xm:sqref>K17:K46</xm:sqref>
        </x14:dataValidation>
        <x14:dataValidation type="list" allowBlank="1" showInputMessage="1" showErrorMessage="1" xr:uid="{05B27705-F2F1-4215-BA77-9CB070B2C288}">
          <x14:formula1>
            <xm:f>'LISTA DESPLEGABLE'!$J$18:$J$47</xm:f>
          </x14:formula1>
          <xm:sqref>L17:L46</xm:sqref>
        </x14:dataValidation>
        <x14:dataValidation type="list" allowBlank="1" showInputMessage="1" showErrorMessage="1" xr:uid="{BEADCBCB-268D-42C0-B029-E7EF30AF4DEB}">
          <x14:formula1>
            <xm:f>'LISTA DESPLEGABLE'!$F$5:$F$121</xm:f>
          </x14:formula1>
          <xm:sqref>M17:M46</xm:sqref>
        </x14:dataValidation>
        <x14:dataValidation type="list" allowBlank="1" showInputMessage="1" showErrorMessage="1" xr:uid="{1F40BDFA-48B4-4D79-9295-AC3BB389FF8B}">
          <x14:formula1>
            <xm:f>'LISTA DESPLEGABLE'!$H$5:$H$7</xm:f>
          </x14:formula1>
          <xm:sqref>W17:W46</xm:sqref>
        </x14:dataValidation>
        <x14:dataValidation type="list" allowBlank="1" showInputMessage="1" showErrorMessage="1" xr:uid="{57590CF6-7340-45A1-9FF2-DE56947CDC1C}">
          <x14:formula1>
            <xm:f>'LISTA DESPLEGABLE'!$Q$39:$Q$46</xm:f>
          </x14:formula1>
          <xm:sqref>Q17:Q46</xm:sqref>
        </x14:dataValidation>
        <x14:dataValidation type="list" allowBlank="1" showInputMessage="1" showErrorMessage="1" xr:uid="{59694D13-8FFA-41CE-9BBF-773256A5B417}">
          <x14:formula1>
            <xm:f>'LISTA DESPLEGABLE'!$D$214:$D$340</xm:f>
          </x14:formula1>
          <xm:sqref>C17:C46</xm:sqref>
        </x14:dataValidation>
        <x14:dataValidation type="list" allowBlank="1" showInputMessage="1" showErrorMessage="1" xr:uid="{82216014-32A6-4624-B147-8C2C67EC9050}">
          <x14:formula1>
            <xm:f>'LISTA DESPLEGABLE'!$O$46:$O$62</xm:f>
          </x14:formula1>
          <xm:sqref>S34:S46</xm:sqref>
        </x14:dataValidation>
        <x14:dataValidation type="list" allowBlank="1" showInputMessage="1" showErrorMessage="1" xr:uid="{54E5DF21-2B6B-4A95-AB11-3FC4A65F983A}">
          <x14:formula1>
            <xm:f>'LISTA DESPLEGABLE'!$O$29:$O$63</xm:f>
          </x14:formula1>
          <xm:sqref>S17:S33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A57E-FB2B-4272-AB33-B25F1BAA9A41}">
  <dimension ref="C4:Q340"/>
  <sheetViews>
    <sheetView topLeftCell="E1" zoomScale="75" workbookViewId="0">
      <selection activeCell="O15" sqref="O15"/>
    </sheetView>
  </sheetViews>
  <sheetFormatPr baseColWidth="10" defaultRowHeight="15" x14ac:dyDescent="0.25"/>
  <cols>
    <col min="2" max="2" width="0.85546875" customWidth="1"/>
    <col min="3" max="3" width="38.42578125" customWidth="1"/>
    <col min="4" max="4" width="36.85546875" customWidth="1"/>
    <col min="5" max="5" width="39.7109375" customWidth="1"/>
    <col min="6" max="6" width="19.85546875" customWidth="1"/>
    <col min="10" max="10" width="16.5703125" customWidth="1"/>
    <col min="12" max="12" width="19.28515625" customWidth="1"/>
    <col min="15" max="15" width="51.140625" customWidth="1"/>
    <col min="16" max="16" width="19.85546875" customWidth="1"/>
  </cols>
  <sheetData>
    <row r="4" spans="3:16" ht="30.75" thickBot="1" x14ac:dyDescent="0.3">
      <c r="C4" s="10" t="s">
        <v>17</v>
      </c>
      <c r="D4" s="11" t="s">
        <v>52</v>
      </c>
      <c r="F4" s="4" t="s">
        <v>53</v>
      </c>
      <c r="H4" s="7" t="s">
        <v>109</v>
      </c>
      <c r="J4" s="7" t="s">
        <v>113</v>
      </c>
      <c r="L4" s="8" t="s">
        <v>118</v>
      </c>
      <c r="O4" s="47" t="s">
        <v>322</v>
      </c>
      <c r="P4" s="47" t="s">
        <v>52</v>
      </c>
    </row>
    <row r="5" spans="3:16" x14ac:dyDescent="0.25">
      <c r="C5" s="12" t="s">
        <v>122</v>
      </c>
      <c r="D5" s="28">
        <v>1</v>
      </c>
      <c r="F5" s="1" t="s">
        <v>54</v>
      </c>
      <c r="H5" s="2" t="s">
        <v>110</v>
      </c>
      <c r="J5" s="2" t="s">
        <v>114</v>
      </c>
      <c r="L5" s="5" t="s">
        <v>119</v>
      </c>
      <c r="O5" s="46" t="s">
        <v>318</v>
      </c>
      <c r="P5" s="63">
        <v>111</v>
      </c>
    </row>
    <row r="6" spans="3:16" x14ac:dyDescent="0.25">
      <c r="C6" s="1" t="s">
        <v>123</v>
      </c>
      <c r="D6" s="2">
        <v>2</v>
      </c>
      <c r="F6" s="2" t="s">
        <v>55</v>
      </c>
      <c r="H6" s="2" t="s">
        <v>111</v>
      </c>
      <c r="J6" s="2" t="s">
        <v>115</v>
      </c>
      <c r="L6" s="6">
        <v>1</v>
      </c>
      <c r="O6" s="46" t="s">
        <v>319</v>
      </c>
      <c r="P6" s="63">
        <v>112</v>
      </c>
    </row>
    <row r="7" spans="3:16" x14ac:dyDescent="0.25">
      <c r="C7" s="1" t="s">
        <v>124</v>
      </c>
      <c r="D7" s="2">
        <v>4</v>
      </c>
      <c r="F7" s="2" t="s">
        <v>56</v>
      </c>
      <c r="H7" s="2" t="s">
        <v>112</v>
      </c>
      <c r="J7" s="2" t="s">
        <v>116</v>
      </c>
      <c r="L7" s="6">
        <v>2</v>
      </c>
      <c r="O7" s="46" t="s">
        <v>320</v>
      </c>
      <c r="P7" s="3">
        <v>113</v>
      </c>
    </row>
    <row r="8" spans="3:16" ht="15" customHeight="1" x14ac:dyDescent="0.25">
      <c r="C8" s="1" t="s">
        <v>124</v>
      </c>
      <c r="D8" s="2">
        <v>4</v>
      </c>
      <c r="F8" s="2" t="s">
        <v>57</v>
      </c>
      <c r="J8" s="2" t="s">
        <v>117</v>
      </c>
      <c r="L8" s="6">
        <v>3</v>
      </c>
      <c r="O8" s="48" t="s">
        <v>321</v>
      </c>
      <c r="P8" s="64">
        <v>114</v>
      </c>
    </row>
    <row r="9" spans="3:16" x14ac:dyDescent="0.25">
      <c r="C9" s="1" t="s">
        <v>125</v>
      </c>
      <c r="D9" s="2">
        <v>15</v>
      </c>
      <c r="F9" s="2" t="s">
        <v>58</v>
      </c>
      <c r="L9" s="6">
        <v>4</v>
      </c>
    </row>
    <row r="10" spans="3:16" x14ac:dyDescent="0.25">
      <c r="C10" s="1" t="s">
        <v>125</v>
      </c>
      <c r="D10" s="2">
        <v>15</v>
      </c>
      <c r="F10" s="2" t="s">
        <v>59</v>
      </c>
      <c r="L10" s="6">
        <v>5</v>
      </c>
    </row>
    <row r="11" spans="3:16" x14ac:dyDescent="0.25">
      <c r="C11" s="1" t="s">
        <v>125</v>
      </c>
      <c r="D11" s="2">
        <v>15</v>
      </c>
      <c r="F11" s="2" t="s">
        <v>60</v>
      </c>
      <c r="L11" s="6">
        <v>6</v>
      </c>
    </row>
    <row r="12" spans="3:16" x14ac:dyDescent="0.25">
      <c r="C12" s="1" t="s">
        <v>125</v>
      </c>
      <c r="D12" s="2">
        <v>15</v>
      </c>
      <c r="F12" s="2" t="s">
        <v>61</v>
      </c>
      <c r="H12" s="4" t="s">
        <v>120</v>
      </c>
      <c r="L12" s="6">
        <v>7</v>
      </c>
      <c r="O12" s="49" t="s">
        <v>323</v>
      </c>
      <c r="P12" s="45" t="s">
        <v>52</v>
      </c>
    </row>
    <row r="13" spans="3:16" x14ac:dyDescent="0.25">
      <c r="C13" s="1" t="s">
        <v>125</v>
      </c>
      <c r="D13" s="2">
        <v>15</v>
      </c>
      <c r="F13" s="2" t="s">
        <v>62</v>
      </c>
      <c r="H13" t="s">
        <v>121</v>
      </c>
      <c r="L13" s="6">
        <v>8</v>
      </c>
      <c r="N13" s="9"/>
      <c r="O13" s="46" t="s">
        <v>324</v>
      </c>
      <c r="P13" s="6">
        <v>114</v>
      </c>
    </row>
    <row r="14" spans="3:16" x14ac:dyDescent="0.25">
      <c r="C14" s="1" t="s">
        <v>125</v>
      </c>
      <c r="D14" s="2">
        <v>15</v>
      </c>
      <c r="F14" s="2" t="s">
        <v>63</v>
      </c>
      <c r="L14" s="6">
        <v>9</v>
      </c>
      <c r="N14" s="9"/>
      <c r="O14" s="46" t="s">
        <v>325</v>
      </c>
      <c r="P14" s="6">
        <v>114</v>
      </c>
    </row>
    <row r="15" spans="3:16" x14ac:dyDescent="0.25">
      <c r="C15" s="1" t="s">
        <v>125</v>
      </c>
      <c r="D15" s="2">
        <v>15</v>
      </c>
      <c r="F15" s="2" t="s">
        <v>64</v>
      </c>
      <c r="L15" s="6">
        <v>10</v>
      </c>
      <c r="O15" s="46" t="s">
        <v>326</v>
      </c>
      <c r="P15" s="6">
        <v>114</v>
      </c>
    </row>
    <row r="16" spans="3:16" x14ac:dyDescent="0.25">
      <c r="C16" s="1" t="s">
        <v>125</v>
      </c>
      <c r="D16" s="2">
        <v>15</v>
      </c>
      <c r="F16" s="2" t="s">
        <v>65</v>
      </c>
      <c r="L16" s="6">
        <v>11</v>
      </c>
      <c r="O16" s="46" t="s">
        <v>329</v>
      </c>
      <c r="P16" s="6">
        <v>114</v>
      </c>
    </row>
    <row r="17" spans="3:16" x14ac:dyDescent="0.25">
      <c r="C17" s="1" t="s">
        <v>126</v>
      </c>
      <c r="D17" s="2">
        <v>33</v>
      </c>
      <c r="F17" s="2" t="s">
        <v>66</v>
      </c>
      <c r="H17" s="66" t="s">
        <v>336</v>
      </c>
      <c r="J17" s="66" t="s">
        <v>37</v>
      </c>
      <c r="L17" s="6">
        <v>12</v>
      </c>
      <c r="O17" s="46" t="s">
        <v>333</v>
      </c>
      <c r="P17" s="6">
        <v>114</v>
      </c>
    </row>
    <row r="18" spans="3:16" ht="15.75" thickBot="1" x14ac:dyDescent="0.3">
      <c r="C18" s="13" t="s">
        <v>127</v>
      </c>
      <c r="D18" s="29">
        <v>38</v>
      </c>
      <c r="F18" s="2" t="s">
        <v>67</v>
      </c>
      <c r="H18" s="66">
        <v>1</v>
      </c>
      <c r="J18" s="66">
        <v>1</v>
      </c>
      <c r="L18" s="6">
        <v>13</v>
      </c>
      <c r="O18" s="46" t="s">
        <v>327</v>
      </c>
      <c r="P18" s="6">
        <v>114</v>
      </c>
    </row>
    <row r="19" spans="3:16" x14ac:dyDescent="0.25">
      <c r="C19" s="14" t="s">
        <v>128</v>
      </c>
      <c r="D19" s="30">
        <v>13</v>
      </c>
      <c r="F19" s="2" t="s">
        <v>68</v>
      </c>
      <c r="H19" s="66">
        <v>2</v>
      </c>
      <c r="J19" s="66">
        <v>2</v>
      </c>
      <c r="L19" s="6">
        <v>14</v>
      </c>
      <c r="O19" s="46" t="s">
        <v>328</v>
      </c>
      <c r="P19" s="6">
        <v>114</v>
      </c>
    </row>
    <row r="20" spans="3:16" x14ac:dyDescent="0.25">
      <c r="C20" s="15" t="s">
        <v>129</v>
      </c>
      <c r="D20" s="6">
        <v>14</v>
      </c>
      <c r="F20" s="2" t="s">
        <v>69</v>
      </c>
      <c r="H20" s="66">
        <v>3</v>
      </c>
      <c r="J20" s="66">
        <v>3</v>
      </c>
      <c r="L20" s="6">
        <v>15</v>
      </c>
      <c r="O20" s="46" t="s">
        <v>332</v>
      </c>
      <c r="P20" s="6">
        <v>114</v>
      </c>
    </row>
    <row r="21" spans="3:16" x14ac:dyDescent="0.25">
      <c r="C21" s="15" t="s">
        <v>125</v>
      </c>
      <c r="D21" s="6">
        <v>15</v>
      </c>
      <c r="F21" s="2" t="s">
        <v>70</v>
      </c>
      <c r="H21" s="66">
        <v>4</v>
      </c>
      <c r="J21" s="66">
        <v>4</v>
      </c>
      <c r="L21" s="6">
        <v>16</v>
      </c>
      <c r="O21" s="46" t="s">
        <v>330</v>
      </c>
      <c r="P21" s="6">
        <v>114</v>
      </c>
    </row>
    <row r="22" spans="3:16" x14ac:dyDescent="0.25">
      <c r="C22" s="16" t="s">
        <v>126</v>
      </c>
      <c r="D22" s="6">
        <v>33</v>
      </c>
      <c r="F22" s="2" t="s">
        <v>71</v>
      </c>
      <c r="H22" s="66">
        <v>5</v>
      </c>
      <c r="J22" s="66">
        <v>5</v>
      </c>
      <c r="L22" s="6">
        <v>17</v>
      </c>
      <c r="O22" s="46" t="s">
        <v>331</v>
      </c>
      <c r="P22" s="6">
        <v>114</v>
      </c>
    </row>
    <row r="23" spans="3:16" ht="15.75" thickBot="1" x14ac:dyDescent="0.3">
      <c r="C23" s="13" t="s">
        <v>127</v>
      </c>
      <c r="D23" s="31">
        <v>38</v>
      </c>
      <c r="F23" s="2" t="s">
        <v>72</v>
      </c>
      <c r="H23" s="66">
        <v>6</v>
      </c>
      <c r="J23" s="66">
        <v>6</v>
      </c>
      <c r="L23" s="6">
        <v>18</v>
      </c>
      <c r="O23" s="46" t="s">
        <v>334</v>
      </c>
      <c r="P23" s="2">
        <v>114</v>
      </c>
    </row>
    <row r="24" spans="3:16" x14ac:dyDescent="0.25">
      <c r="C24" s="17" t="s">
        <v>122</v>
      </c>
      <c r="D24" s="30">
        <v>1</v>
      </c>
      <c r="F24" s="2" t="s">
        <v>73</v>
      </c>
      <c r="H24" s="66">
        <v>7</v>
      </c>
      <c r="J24" s="66">
        <v>7</v>
      </c>
      <c r="L24" s="6">
        <v>19</v>
      </c>
      <c r="O24" s="46" t="s">
        <v>321</v>
      </c>
      <c r="P24" s="6">
        <v>114</v>
      </c>
    </row>
    <row r="25" spans="3:16" x14ac:dyDescent="0.25">
      <c r="C25" s="18" t="s">
        <v>122</v>
      </c>
      <c r="D25" s="6">
        <v>1</v>
      </c>
      <c r="F25" s="2" t="s">
        <v>74</v>
      </c>
      <c r="H25" s="66">
        <v>8</v>
      </c>
      <c r="J25" s="66">
        <v>8</v>
      </c>
      <c r="L25" s="6">
        <v>20</v>
      </c>
      <c r="O25" s="50" t="s">
        <v>119</v>
      </c>
      <c r="P25" s="2" t="s">
        <v>119</v>
      </c>
    </row>
    <row r="26" spans="3:16" x14ac:dyDescent="0.25">
      <c r="C26" s="1" t="s">
        <v>122</v>
      </c>
      <c r="D26" s="6">
        <v>1</v>
      </c>
      <c r="F26" s="2" t="s">
        <v>75</v>
      </c>
      <c r="H26" s="66">
        <v>9</v>
      </c>
      <c r="J26" s="66">
        <v>9</v>
      </c>
      <c r="L26" s="6">
        <v>21</v>
      </c>
    </row>
    <row r="27" spans="3:16" x14ac:dyDescent="0.25">
      <c r="C27" s="1" t="s">
        <v>122</v>
      </c>
      <c r="D27" s="6">
        <v>1</v>
      </c>
      <c r="F27" s="2" t="s">
        <v>76</v>
      </c>
      <c r="H27" s="66">
        <v>10</v>
      </c>
      <c r="J27" s="66">
        <v>10</v>
      </c>
      <c r="L27" s="6">
        <v>22</v>
      </c>
    </row>
    <row r="28" spans="3:16" x14ac:dyDescent="0.25">
      <c r="C28" s="1" t="s">
        <v>130</v>
      </c>
      <c r="D28" s="6">
        <v>3</v>
      </c>
      <c r="F28" s="2" t="s">
        <v>77</v>
      </c>
      <c r="H28" s="66">
        <v>11</v>
      </c>
      <c r="J28" s="66">
        <v>11</v>
      </c>
      <c r="L28" s="6">
        <v>23</v>
      </c>
      <c r="O28" t="s">
        <v>351</v>
      </c>
    </row>
    <row r="29" spans="3:16" x14ac:dyDescent="0.25">
      <c r="C29" s="1" t="s">
        <v>131</v>
      </c>
      <c r="D29" s="6">
        <v>5</v>
      </c>
      <c r="F29" s="2" t="s">
        <v>78</v>
      </c>
      <c r="H29" s="66">
        <v>12</v>
      </c>
      <c r="J29" s="66">
        <v>12</v>
      </c>
      <c r="L29" s="6">
        <v>24</v>
      </c>
      <c r="O29" t="s">
        <v>364</v>
      </c>
    </row>
    <row r="30" spans="3:16" x14ac:dyDescent="0.25">
      <c r="C30" s="1" t="s">
        <v>131</v>
      </c>
      <c r="D30" s="6">
        <v>5</v>
      </c>
      <c r="F30" s="2" t="s">
        <v>79</v>
      </c>
      <c r="H30" s="66">
        <v>13</v>
      </c>
      <c r="J30" s="66">
        <v>13</v>
      </c>
      <c r="L30" s="6">
        <v>25</v>
      </c>
      <c r="O30" t="s">
        <v>352</v>
      </c>
    </row>
    <row r="31" spans="3:16" x14ac:dyDescent="0.25">
      <c r="C31" s="1" t="s">
        <v>131</v>
      </c>
      <c r="D31" s="6">
        <v>5</v>
      </c>
      <c r="F31" s="2" t="s">
        <v>80</v>
      </c>
      <c r="H31" s="66">
        <v>14</v>
      </c>
      <c r="J31" s="66">
        <v>14</v>
      </c>
      <c r="L31" s="6">
        <v>26</v>
      </c>
      <c r="O31" t="s">
        <v>363</v>
      </c>
    </row>
    <row r="32" spans="3:16" x14ac:dyDescent="0.25">
      <c r="C32" s="1" t="s">
        <v>125</v>
      </c>
      <c r="D32" s="6">
        <v>15</v>
      </c>
      <c r="F32" s="2" t="s">
        <v>81</v>
      </c>
      <c r="H32" s="66">
        <v>15</v>
      </c>
      <c r="J32" s="66">
        <v>15</v>
      </c>
      <c r="L32" s="6">
        <v>27</v>
      </c>
      <c r="O32" t="s">
        <v>366</v>
      </c>
    </row>
    <row r="33" spans="3:17" x14ac:dyDescent="0.25">
      <c r="C33" s="1" t="s">
        <v>132</v>
      </c>
      <c r="D33" s="6">
        <v>18</v>
      </c>
      <c r="F33" s="2" t="s">
        <v>82</v>
      </c>
      <c r="J33" s="66">
        <v>16</v>
      </c>
      <c r="L33" s="6">
        <v>28</v>
      </c>
      <c r="O33" t="s">
        <v>365</v>
      </c>
    </row>
    <row r="34" spans="3:17" x14ac:dyDescent="0.25">
      <c r="C34" s="1" t="s">
        <v>132</v>
      </c>
      <c r="D34" s="6">
        <v>18</v>
      </c>
      <c r="F34" s="2" t="s">
        <v>83</v>
      </c>
      <c r="J34" s="66">
        <v>17</v>
      </c>
      <c r="L34" s="6">
        <v>29</v>
      </c>
      <c r="O34" t="s">
        <v>367</v>
      </c>
    </row>
    <row r="35" spans="3:17" x14ac:dyDescent="0.25">
      <c r="C35" s="1" t="s">
        <v>133</v>
      </c>
      <c r="D35" s="6">
        <v>27</v>
      </c>
      <c r="F35" s="2" t="s">
        <v>84</v>
      </c>
      <c r="J35" s="66">
        <v>18</v>
      </c>
      <c r="L35" s="6">
        <v>30</v>
      </c>
      <c r="O35" t="s">
        <v>340</v>
      </c>
    </row>
    <row r="36" spans="3:17" ht="15.75" customHeight="1" x14ac:dyDescent="0.25">
      <c r="C36" s="19" t="s">
        <v>134</v>
      </c>
      <c r="D36" s="6">
        <v>28</v>
      </c>
      <c r="F36" s="2" t="s">
        <v>85</v>
      </c>
      <c r="J36" s="66">
        <v>19</v>
      </c>
      <c r="L36" s="6">
        <v>31</v>
      </c>
      <c r="O36" t="s">
        <v>353</v>
      </c>
    </row>
    <row r="37" spans="3:17" x14ac:dyDescent="0.25">
      <c r="C37" s="1" t="s">
        <v>135</v>
      </c>
      <c r="D37" s="6">
        <v>29</v>
      </c>
      <c r="F37" s="2" t="s">
        <v>86</v>
      </c>
      <c r="J37" s="66">
        <v>20</v>
      </c>
      <c r="L37" s="6">
        <v>32</v>
      </c>
      <c r="O37" t="s">
        <v>354</v>
      </c>
    </row>
    <row r="38" spans="3:17" x14ac:dyDescent="0.25">
      <c r="C38" s="1" t="s">
        <v>126</v>
      </c>
      <c r="D38" s="6">
        <v>33</v>
      </c>
      <c r="F38" s="2" t="s">
        <v>87</v>
      </c>
      <c r="J38" s="66">
        <v>21</v>
      </c>
      <c r="L38" s="6">
        <v>33</v>
      </c>
      <c r="O38" t="s">
        <v>355</v>
      </c>
      <c r="Q38" t="s">
        <v>342</v>
      </c>
    </row>
    <row r="39" spans="3:17" x14ac:dyDescent="0.25">
      <c r="C39" s="20" t="s">
        <v>136</v>
      </c>
      <c r="D39" s="32">
        <v>35</v>
      </c>
      <c r="F39" s="2" t="s">
        <v>88</v>
      </c>
      <c r="J39" s="66">
        <v>22</v>
      </c>
      <c r="L39" s="6">
        <v>34</v>
      </c>
      <c r="O39" t="s">
        <v>356</v>
      </c>
      <c r="Q39" t="s">
        <v>343</v>
      </c>
    </row>
    <row r="40" spans="3:17" ht="15.75" thickBot="1" x14ac:dyDescent="0.3">
      <c r="C40" s="13" t="s">
        <v>127</v>
      </c>
      <c r="D40" s="31">
        <v>38</v>
      </c>
      <c r="F40" s="2" t="s">
        <v>89</v>
      </c>
      <c r="J40" s="66">
        <v>23</v>
      </c>
      <c r="L40" s="6">
        <v>35</v>
      </c>
      <c r="O40" t="s">
        <v>357</v>
      </c>
      <c r="Q40" t="s">
        <v>346</v>
      </c>
    </row>
    <row r="41" spans="3:17" x14ac:dyDescent="0.25">
      <c r="C41" s="12" t="s">
        <v>122</v>
      </c>
      <c r="D41" s="30">
        <v>1</v>
      </c>
      <c r="F41" s="2" t="s">
        <v>90</v>
      </c>
      <c r="J41" s="66">
        <v>24</v>
      </c>
      <c r="L41" s="6">
        <v>36</v>
      </c>
      <c r="O41" t="s">
        <v>358</v>
      </c>
      <c r="Q41" t="s">
        <v>344</v>
      </c>
    </row>
    <row r="42" spans="3:17" x14ac:dyDescent="0.25">
      <c r="C42" s="1" t="s">
        <v>122</v>
      </c>
      <c r="D42" s="6">
        <v>1</v>
      </c>
      <c r="F42" s="2" t="s">
        <v>91</v>
      </c>
      <c r="J42" s="66">
        <v>25</v>
      </c>
      <c r="L42" s="6">
        <v>37</v>
      </c>
      <c r="O42" t="s">
        <v>359</v>
      </c>
      <c r="Q42" t="s">
        <v>345</v>
      </c>
    </row>
    <row r="43" spans="3:17" x14ac:dyDescent="0.25">
      <c r="C43" s="18" t="s">
        <v>137</v>
      </c>
      <c r="D43" s="6">
        <v>6</v>
      </c>
      <c r="F43" s="2" t="s">
        <v>92</v>
      </c>
      <c r="J43" s="66">
        <v>26</v>
      </c>
      <c r="L43" s="6">
        <v>38</v>
      </c>
      <c r="O43" t="s">
        <v>360</v>
      </c>
      <c r="Q43" t="s">
        <v>347</v>
      </c>
    </row>
    <row r="44" spans="3:17" x14ac:dyDescent="0.25">
      <c r="C44" s="18" t="s">
        <v>137</v>
      </c>
      <c r="D44" s="6">
        <v>6</v>
      </c>
      <c r="F44" s="2" t="s">
        <v>93</v>
      </c>
      <c r="J44" s="66">
        <v>27</v>
      </c>
      <c r="L44" s="6">
        <v>39</v>
      </c>
      <c r="O44" t="s">
        <v>361</v>
      </c>
      <c r="Q44" t="s">
        <v>348</v>
      </c>
    </row>
    <row r="45" spans="3:17" x14ac:dyDescent="0.25">
      <c r="C45" s="18" t="s">
        <v>137</v>
      </c>
      <c r="D45" s="6">
        <v>6</v>
      </c>
      <c r="F45" s="2" t="s">
        <v>94</v>
      </c>
      <c r="J45" s="66">
        <v>28</v>
      </c>
      <c r="L45" s="6">
        <v>40</v>
      </c>
      <c r="O45" t="s">
        <v>362</v>
      </c>
      <c r="Q45" t="s">
        <v>349</v>
      </c>
    </row>
    <row r="46" spans="3:17" x14ac:dyDescent="0.25">
      <c r="C46" s="18" t="s">
        <v>137</v>
      </c>
      <c r="D46" s="33"/>
      <c r="F46" s="2" t="s">
        <v>95</v>
      </c>
      <c r="J46" s="66">
        <v>29</v>
      </c>
      <c r="L46" s="6">
        <v>41</v>
      </c>
      <c r="O46" t="s">
        <v>368</v>
      </c>
      <c r="Q46" t="s">
        <v>350</v>
      </c>
    </row>
    <row r="47" spans="3:17" x14ac:dyDescent="0.25">
      <c r="C47" s="1" t="s">
        <v>138</v>
      </c>
      <c r="D47" s="6">
        <v>7</v>
      </c>
      <c r="F47" s="2" t="s">
        <v>96</v>
      </c>
      <c r="J47" s="66">
        <v>30</v>
      </c>
      <c r="L47" s="6">
        <v>42</v>
      </c>
      <c r="O47" t="s">
        <v>369</v>
      </c>
    </row>
    <row r="48" spans="3:17" x14ac:dyDescent="0.25">
      <c r="C48" s="21" t="s">
        <v>139</v>
      </c>
      <c r="D48" s="6">
        <v>8</v>
      </c>
      <c r="F48" s="2" t="s">
        <v>97</v>
      </c>
      <c r="L48" s="6">
        <v>43</v>
      </c>
      <c r="O48" t="s">
        <v>337</v>
      </c>
    </row>
    <row r="49" spans="3:15" x14ac:dyDescent="0.25">
      <c r="C49" s="21" t="s">
        <v>139</v>
      </c>
      <c r="D49" s="6">
        <v>8</v>
      </c>
      <c r="F49" s="2" t="s">
        <v>98</v>
      </c>
      <c r="L49" s="6">
        <v>44</v>
      </c>
      <c r="O49" t="s">
        <v>371</v>
      </c>
    </row>
    <row r="50" spans="3:15" x14ac:dyDescent="0.25">
      <c r="C50" s="21" t="s">
        <v>139</v>
      </c>
      <c r="D50" s="6">
        <v>8</v>
      </c>
      <c r="F50" s="2" t="s">
        <v>99</v>
      </c>
      <c r="L50" s="6">
        <v>45</v>
      </c>
      <c r="O50" t="s">
        <v>338</v>
      </c>
    </row>
    <row r="51" spans="3:15" x14ac:dyDescent="0.25">
      <c r="C51" s="21" t="s">
        <v>139</v>
      </c>
      <c r="D51" s="6">
        <v>8</v>
      </c>
      <c r="F51" s="2" t="s">
        <v>100</v>
      </c>
      <c r="L51" s="6">
        <v>46</v>
      </c>
      <c r="O51" t="s">
        <v>339</v>
      </c>
    </row>
    <row r="52" spans="3:15" x14ac:dyDescent="0.25">
      <c r="C52" s="21" t="s">
        <v>140</v>
      </c>
      <c r="D52" s="6">
        <v>9</v>
      </c>
      <c r="F52" s="2" t="s">
        <v>101</v>
      </c>
      <c r="L52" s="6">
        <v>47</v>
      </c>
      <c r="O52" t="s">
        <v>340</v>
      </c>
    </row>
    <row r="53" spans="3:15" x14ac:dyDescent="0.25">
      <c r="C53" s="1" t="s">
        <v>141</v>
      </c>
      <c r="D53" s="6">
        <v>10</v>
      </c>
      <c r="F53" s="2" t="s">
        <v>102</v>
      </c>
      <c r="L53" s="6">
        <v>48</v>
      </c>
      <c r="O53" t="s">
        <v>370</v>
      </c>
    </row>
    <row r="54" spans="3:15" x14ac:dyDescent="0.25">
      <c r="C54" s="1" t="s">
        <v>141</v>
      </c>
      <c r="D54" s="6">
        <v>10</v>
      </c>
      <c r="F54" s="2" t="s">
        <v>103</v>
      </c>
      <c r="L54" s="6">
        <v>49</v>
      </c>
      <c r="O54" t="s">
        <v>354</v>
      </c>
    </row>
    <row r="55" spans="3:15" x14ac:dyDescent="0.25">
      <c r="C55" s="1" t="s">
        <v>141</v>
      </c>
      <c r="D55" s="6">
        <v>10</v>
      </c>
      <c r="F55" s="2" t="s">
        <v>104</v>
      </c>
      <c r="L55" s="6">
        <v>50</v>
      </c>
      <c r="O55" t="s">
        <v>355</v>
      </c>
    </row>
    <row r="56" spans="3:15" x14ac:dyDescent="0.25">
      <c r="C56" s="22" t="s">
        <v>141</v>
      </c>
      <c r="D56" s="6">
        <v>10</v>
      </c>
      <c r="F56" s="2" t="s">
        <v>105</v>
      </c>
      <c r="L56" s="6">
        <v>51</v>
      </c>
      <c r="O56" t="s">
        <v>356</v>
      </c>
    </row>
    <row r="57" spans="3:15" ht="12" customHeight="1" x14ac:dyDescent="0.25">
      <c r="C57" s="15" t="s">
        <v>142</v>
      </c>
      <c r="D57" s="34">
        <v>11</v>
      </c>
      <c r="F57" s="2" t="s">
        <v>106</v>
      </c>
      <c r="L57" s="6">
        <v>52</v>
      </c>
      <c r="O57" t="s">
        <v>357</v>
      </c>
    </row>
    <row r="58" spans="3:15" x14ac:dyDescent="0.25">
      <c r="C58" s="1" t="s">
        <v>143</v>
      </c>
      <c r="D58" s="6">
        <v>12</v>
      </c>
      <c r="F58" s="2" t="s">
        <v>107</v>
      </c>
      <c r="L58" s="6">
        <v>53</v>
      </c>
      <c r="O58" t="s">
        <v>358</v>
      </c>
    </row>
    <row r="59" spans="3:15" x14ac:dyDescent="0.25">
      <c r="C59" s="18" t="s">
        <v>125</v>
      </c>
      <c r="D59" s="6">
        <v>15</v>
      </c>
      <c r="F59" s="2" t="s">
        <v>108</v>
      </c>
      <c r="L59" s="6">
        <v>54</v>
      </c>
      <c r="O59" t="s">
        <v>359</v>
      </c>
    </row>
    <row r="60" spans="3:15" x14ac:dyDescent="0.25">
      <c r="C60" s="18" t="s">
        <v>125</v>
      </c>
      <c r="D60" s="6">
        <v>15</v>
      </c>
      <c r="F60" s="80" t="s">
        <v>391</v>
      </c>
      <c r="L60" s="6">
        <v>55</v>
      </c>
      <c r="O60" t="s">
        <v>360</v>
      </c>
    </row>
    <row r="61" spans="3:15" x14ac:dyDescent="0.25">
      <c r="C61" s="18" t="s">
        <v>125</v>
      </c>
      <c r="D61" s="6">
        <v>15</v>
      </c>
      <c r="F61" s="80" t="s">
        <v>392</v>
      </c>
      <c r="L61" s="6">
        <v>56</v>
      </c>
      <c r="O61" t="s">
        <v>361</v>
      </c>
    </row>
    <row r="62" spans="3:15" x14ac:dyDescent="0.25">
      <c r="C62" s="18" t="s">
        <v>125</v>
      </c>
      <c r="D62" s="6">
        <v>15</v>
      </c>
      <c r="F62" s="80" t="s">
        <v>393</v>
      </c>
      <c r="L62" s="6">
        <v>57</v>
      </c>
      <c r="O62" t="s">
        <v>362</v>
      </c>
    </row>
    <row r="63" spans="3:15" x14ac:dyDescent="0.25">
      <c r="C63" s="23" t="s">
        <v>125</v>
      </c>
      <c r="D63" s="33">
        <v>15</v>
      </c>
      <c r="F63" s="80" t="s">
        <v>394</v>
      </c>
      <c r="L63" s="6">
        <v>58</v>
      </c>
      <c r="O63" t="s">
        <v>454</v>
      </c>
    </row>
    <row r="64" spans="3:15" x14ac:dyDescent="0.25">
      <c r="C64" s="1" t="s">
        <v>144</v>
      </c>
      <c r="D64" s="6">
        <v>16</v>
      </c>
      <c r="F64" s="80" t="s">
        <v>395</v>
      </c>
      <c r="L64" s="6">
        <v>59</v>
      </c>
    </row>
    <row r="65" spans="3:12" x14ac:dyDescent="0.25">
      <c r="C65" s="1" t="s">
        <v>144</v>
      </c>
      <c r="D65" s="6">
        <v>16</v>
      </c>
      <c r="F65" s="80" t="s">
        <v>396</v>
      </c>
      <c r="L65" s="6">
        <v>60</v>
      </c>
    </row>
    <row r="66" spans="3:12" x14ac:dyDescent="0.25">
      <c r="C66" s="1" t="s">
        <v>144</v>
      </c>
      <c r="D66" s="6">
        <v>16</v>
      </c>
      <c r="F66" s="80" t="s">
        <v>397</v>
      </c>
      <c r="L66" s="6">
        <v>61</v>
      </c>
    </row>
    <row r="67" spans="3:12" x14ac:dyDescent="0.25">
      <c r="C67" s="1" t="s">
        <v>145</v>
      </c>
      <c r="D67" s="6">
        <v>17</v>
      </c>
      <c r="F67" s="80" t="s">
        <v>398</v>
      </c>
      <c r="L67" s="6">
        <v>62</v>
      </c>
    </row>
    <row r="68" spans="3:12" x14ac:dyDescent="0.25">
      <c r="C68" s="1" t="s">
        <v>146</v>
      </c>
      <c r="D68" s="6">
        <v>19</v>
      </c>
      <c r="F68" s="80" t="s">
        <v>399</v>
      </c>
      <c r="L68" s="6">
        <v>63</v>
      </c>
    </row>
    <row r="69" spans="3:12" x14ac:dyDescent="0.25">
      <c r="C69" s="1" t="s">
        <v>147</v>
      </c>
      <c r="D69" s="6">
        <v>20</v>
      </c>
      <c r="F69" s="80" t="s">
        <v>400</v>
      </c>
      <c r="L69" s="6">
        <v>64</v>
      </c>
    </row>
    <row r="70" spans="3:12" x14ac:dyDescent="0.25">
      <c r="C70" s="1" t="s">
        <v>147</v>
      </c>
      <c r="D70" s="6">
        <v>20</v>
      </c>
      <c r="F70" s="80" t="s">
        <v>401</v>
      </c>
      <c r="L70" s="6">
        <v>65</v>
      </c>
    </row>
    <row r="71" spans="3:12" x14ac:dyDescent="0.25">
      <c r="C71" s="1" t="s">
        <v>148</v>
      </c>
      <c r="D71" s="6">
        <v>21</v>
      </c>
      <c r="F71" s="80" t="s">
        <v>402</v>
      </c>
      <c r="L71" s="6">
        <v>66</v>
      </c>
    </row>
    <row r="72" spans="3:12" x14ac:dyDescent="0.25">
      <c r="C72" s="1" t="s">
        <v>148</v>
      </c>
      <c r="D72" s="6">
        <v>21</v>
      </c>
      <c r="F72" s="80" t="s">
        <v>403</v>
      </c>
      <c r="L72" s="6">
        <v>67</v>
      </c>
    </row>
    <row r="73" spans="3:12" x14ac:dyDescent="0.25">
      <c r="C73" s="1" t="s">
        <v>148</v>
      </c>
      <c r="D73" s="6">
        <v>21</v>
      </c>
      <c r="F73" s="80" t="s">
        <v>404</v>
      </c>
      <c r="L73" s="6">
        <v>68</v>
      </c>
    </row>
    <row r="74" spans="3:12" x14ac:dyDescent="0.25">
      <c r="C74" s="1" t="s">
        <v>149</v>
      </c>
      <c r="D74" s="6">
        <v>22</v>
      </c>
      <c r="F74" s="80" t="s">
        <v>405</v>
      </c>
      <c r="L74" s="6">
        <v>69</v>
      </c>
    </row>
    <row r="75" spans="3:12" x14ac:dyDescent="0.25">
      <c r="C75" s="18" t="s">
        <v>150</v>
      </c>
      <c r="D75" s="6">
        <v>23</v>
      </c>
      <c r="F75" s="80" t="s">
        <v>406</v>
      </c>
      <c r="L75" s="6">
        <v>70</v>
      </c>
    </row>
    <row r="76" spans="3:12" x14ac:dyDescent="0.25">
      <c r="C76" s="18" t="s">
        <v>150</v>
      </c>
      <c r="D76" s="6">
        <v>23</v>
      </c>
      <c r="F76" s="80" t="s">
        <v>407</v>
      </c>
      <c r="L76" s="6">
        <v>71</v>
      </c>
    </row>
    <row r="77" spans="3:12" x14ac:dyDescent="0.25">
      <c r="C77" s="22" t="s">
        <v>150</v>
      </c>
      <c r="D77" s="6">
        <v>23</v>
      </c>
      <c r="F77" s="80" t="s">
        <v>408</v>
      </c>
      <c r="L77" s="6">
        <v>72</v>
      </c>
    </row>
    <row r="78" spans="3:12" ht="30" x14ac:dyDescent="0.25">
      <c r="C78" s="15" t="s">
        <v>151</v>
      </c>
      <c r="D78" s="2">
        <v>24</v>
      </c>
      <c r="F78" s="80" t="s">
        <v>409</v>
      </c>
      <c r="L78" s="6">
        <v>73</v>
      </c>
    </row>
    <row r="79" spans="3:12" ht="30" x14ac:dyDescent="0.25">
      <c r="C79" s="24" t="s">
        <v>151</v>
      </c>
      <c r="D79" s="35">
        <v>24</v>
      </c>
      <c r="F79" s="80" t="s">
        <v>410</v>
      </c>
      <c r="L79" s="6">
        <v>74</v>
      </c>
    </row>
    <row r="80" spans="3:12" x14ac:dyDescent="0.25">
      <c r="C80" s="25" t="s">
        <v>152</v>
      </c>
      <c r="D80" s="2">
        <v>25</v>
      </c>
      <c r="F80" s="80" t="s">
        <v>411</v>
      </c>
      <c r="L80" s="6">
        <v>75</v>
      </c>
    </row>
    <row r="81" spans="3:12" x14ac:dyDescent="0.25">
      <c r="C81" s="25" t="s">
        <v>152</v>
      </c>
      <c r="D81" s="2">
        <v>25</v>
      </c>
      <c r="F81" s="80" t="s">
        <v>412</v>
      </c>
      <c r="L81" s="6">
        <v>76</v>
      </c>
    </row>
    <row r="82" spans="3:12" x14ac:dyDescent="0.25">
      <c r="C82" s="18" t="s">
        <v>153</v>
      </c>
      <c r="D82" s="6">
        <v>26</v>
      </c>
      <c r="F82" s="80" t="s">
        <v>413</v>
      </c>
      <c r="L82" s="6">
        <v>77</v>
      </c>
    </row>
    <row r="83" spans="3:12" ht="30" x14ac:dyDescent="0.25">
      <c r="C83" s="16" t="s">
        <v>154</v>
      </c>
      <c r="D83" s="6">
        <v>31</v>
      </c>
      <c r="F83" s="80" t="s">
        <v>414</v>
      </c>
      <c r="L83" s="6">
        <v>78</v>
      </c>
    </row>
    <row r="84" spans="3:12" ht="30" x14ac:dyDescent="0.25">
      <c r="C84" s="16" t="s">
        <v>154</v>
      </c>
      <c r="D84" s="6">
        <v>31</v>
      </c>
      <c r="F84" s="80" t="s">
        <v>415</v>
      </c>
      <c r="L84" s="6">
        <v>79</v>
      </c>
    </row>
    <row r="85" spans="3:12" ht="30" x14ac:dyDescent="0.25">
      <c r="C85" s="16" t="s">
        <v>154</v>
      </c>
      <c r="D85" s="6">
        <v>31</v>
      </c>
      <c r="F85" s="80" t="s">
        <v>416</v>
      </c>
      <c r="L85" s="6">
        <v>80</v>
      </c>
    </row>
    <row r="86" spans="3:12" ht="30" x14ac:dyDescent="0.25">
      <c r="C86" s="16" t="s">
        <v>154</v>
      </c>
      <c r="D86" s="6">
        <v>31</v>
      </c>
      <c r="F86" s="80" t="s">
        <v>417</v>
      </c>
      <c r="L86" s="6">
        <v>81</v>
      </c>
    </row>
    <row r="87" spans="3:12" ht="30" x14ac:dyDescent="0.25">
      <c r="C87" s="16" t="s">
        <v>154</v>
      </c>
      <c r="D87" s="6">
        <v>31</v>
      </c>
      <c r="F87" s="80" t="s">
        <v>418</v>
      </c>
      <c r="L87" s="6">
        <v>82</v>
      </c>
    </row>
    <row r="88" spans="3:12" ht="30" x14ac:dyDescent="0.25">
      <c r="C88" s="16" t="s">
        <v>154</v>
      </c>
      <c r="D88" s="6">
        <v>31</v>
      </c>
      <c r="F88" s="80" t="s">
        <v>419</v>
      </c>
      <c r="L88" s="6">
        <v>83</v>
      </c>
    </row>
    <row r="89" spans="3:12" ht="30" x14ac:dyDescent="0.25">
      <c r="C89" s="16" t="s">
        <v>154</v>
      </c>
      <c r="D89" s="6">
        <v>31</v>
      </c>
      <c r="F89" s="80" t="s">
        <v>420</v>
      </c>
      <c r="L89" s="6">
        <v>84</v>
      </c>
    </row>
    <row r="90" spans="3:12" ht="30" x14ac:dyDescent="0.25">
      <c r="C90" s="16" t="s">
        <v>154</v>
      </c>
      <c r="D90" s="6">
        <v>31</v>
      </c>
      <c r="F90" s="80" t="s">
        <v>421</v>
      </c>
      <c r="L90" s="6">
        <v>85</v>
      </c>
    </row>
    <row r="91" spans="3:12" ht="30" x14ac:dyDescent="0.25">
      <c r="C91" s="16" t="s">
        <v>154</v>
      </c>
      <c r="D91" s="6">
        <v>31</v>
      </c>
      <c r="F91" s="80" t="s">
        <v>422</v>
      </c>
      <c r="L91" s="6">
        <v>86</v>
      </c>
    </row>
    <row r="92" spans="3:12" x14ac:dyDescent="0.25">
      <c r="C92" s="16" t="s">
        <v>155</v>
      </c>
      <c r="D92" s="6">
        <v>32</v>
      </c>
      <c r="F92" s="80" t="s">
        <v>423</v>
      </c>
      <c r="L92" s="6">
        <v>87</v>
      </c>
    </row>
    <row r="93" spans="3:12" x14ac:dyDescent="0.25">
      <c r="C93" s="16" t="s">
        <v>155</v>
      </c>
      <c r="D93" s="6">
        <v>32</v>
      </c>
      <c r="F93" s="80" t="s">
        <v>424</v>
      </c>
      <c r="L93" s="6">
        <v>88</v>
      </c>
    </row>
    <row r="94" spans="3:12" x14ac:dyDescent="0.25">
      <c r="C94" s="16" t="s">
        <v>126</v>
      </c>
      <c r="D94" s="6">
        <v>33</v>
      </c>
      <c r="F94" s="80" t="s">
        <v>425</v>
      </c>
      <c r="L94" s="6">
        <v>89</v>
      </c>
    </row>
    <row r="95" spans="3:12" x14ac:dyDescent="0.25">
      <c r="C95" s="26" t="s">
        <v>156</v>
      </c>
      <c r="D95" s="36">
        <v>34</v>
      </c>
      <c r="F95" s="80" t="s">
        <v>426</v>
      </c>
      <c r="L95" s="6">
        <v>90</v>
      </c>
    </row>
    <row r="96" spans="3:12" x14ac:dyDescent="0.25">
      <c r="C96" s="27" t="s">
        <v>157</v>
      </c>
      <c r="D96" s="33">
        <v>36</v>
      </c>
      <c r="F96" s="80" t="s">
        <v>427</v>
      </c>
      <c r="L96" s="6">
        <v>91</v>
      </c>
    </row>
    <row r="97" spans="3:12" x14ac:dyDescent="0.25">
      <c r="C97" s="27" t="s">
        <v>158</v>
      </c>
      <c r="D97" s="33">
        <v>37</v>
      </c>
      <c r="F97" s="80" t="s">
        <v>428</v>
      </c>
      <c r="L97" s="6">
        <v>92</v>
      </c>
    </row>
    <row r="98" spans="3:12" x14ac:dyDescent="0.25">
      <c r="C98" s="27" t="s">
        <v>159</v>
      </c>
      <c r="D98" s="33">
        <v>38</v>
      </c>
      <c r="F98" s="80" t="s">
        <v>429</v>
      </c>
      <c r="L98" s="6">
        <v>93</v>
      </c>
    </row>
    <row r="99" spans="3:12" ht="15.75" thickBot="1" x14ac:dyDescent="0.3">
      <c r="C99" s="27" t="s">
        <v>160</v>
      </c>
      <c r="D99" s="33">
        <v>39</v>
      </c>
      <c r="F99" s="80" t="s">
        <v>430</v>
      </c>
      <c r="L99" s="6">
        <v>94</v>
      </c>
    </row>
    <row r="100" spans="3:12" x14ac:dyDescent="0.25">
      <c r="C100" s="12" t="s">
        <v>161</v>
      </c>
      <c r="D100" s="30" t="s">
        <v>240</v>
      </c>
      <c r="F100" s="80" t="s">
        <v>431</v>
      </c>
      <c r="L100" s="6">
        <v>95</v>
      </c>
    </row>
    <row r="101" spans="3:12" x14ac:dyDescent="0.25">
      <c r="C101" s="1" t="s">
        <v>162</v>
      </c>
      <c r="D101" s="6" t="s">
        <v>241</v>
      </c>
      <c r="F101" s="80" t="s">
        <v>432</v>
      </c>
      <c r="L101" s="6">
        <v>96</v>
      </c>
    </row>
    <row r="102" spans="3:12" x14ac:dyDescent="0.25">
      <c r="C102" s="37" t="s">
        <v>163</v>
      </c>
      <c r="D102" s="6" t="s">
        <v>242</v>
      </c>
      <c r="F102" s="80" t="s">
        <v>433</v>
      </c>
      <c r="L102" s="6">
        <v>97</v>
      </c>
    </row>
    <row r="103" spans="3:12" x14ac:dyDescent="0.25">
      <c r="C103" s="37" t="s">
        <v>164</v>
      </c>
      <c r="D103" s="6" t="s">
        <v>243</v>
      </c>
      <c r="F103" s="80" t="s">
        <v>434</v>
      </c>
      <c r="L103" s="6">
        <v>98</v>
      </c>
    </row>
    <row r="104" spans="3:12" x14ac:dyDescent="0.25">
      <c r="C104" s="37" t="s">
        <v>165</v>
      </c>
      <c r="D104" s="6" t="s">
        <v>244</v>
      </c>
      <c r="F104" s="80" t="s">
        <v>435</v>
      </c>
      <c r="L104" s="6">
        <v>99</v>
      </c>
    </row>
    <row r="105" spans="3:12" ht="30" x14ac:dyDescent="0.25">
      <c r="C105" s="37" t="s">
        <v>166</v>
      </c>
      <c r="D105" s="6" t="s">
        <v>245</v>
      </c>
      <c r="F105" s="80" t="s">
        <v>436</v>
      </c>
      <c r="L105" s="6">
        <v>100</v>
      </c>
    </row>
    <row r="106" spans="3:12" x14ac:dyDescent="0.25">
      <c r="C106" s="37" t="s">
        <v>167</v>
      </c>
      <c r="D106" s="6" t="s">
        <v>246</v>
      </c>
      <c r="F106" s="80" t="s">
        <v>437</v>
      </c>
      <c r="L106" s="6">
        <v>101</v>
      </c>
    </row>
    <row r="107" spans="3:12" ht="30" x14ac:dyDescent="0.25">
      <c r="C107" s="37" t="s">
        <v>168</v>
      </c>
      <c r="D107" s="6" t="s">
        <v>247</v>
      </c>
      <c r="F107" s="80" t="s">
        <v>438</v>
      </c>
      <c r="L107" s="6">
        <v>102</v>
      </c>
    </row>
    <row r="108" spans="3:12" ht="30" x14ac:dyDescent="0.25">
      <c r="C108" s="37" t="s">
        <v>169</v>
      </c>
      <c r="D108" s="6" t="s">
        <v>248</v>
      </c>
      <c r="F108" s="80" t="s">
        <v>439</v>
      </c>
      <c r="L108" s="6">
        <v>103</v>
      </c>
    </row>
    <row r="109" spans="3:12" ht="30" x14ac:dyDescent="0.25">
      <c r="C109" s="37" t="s">
        <v>170</v>
      </c>
      <c r="D109" s="6" t="s">
        <v>249</v>
      </c>
      <c r="F109" s="80" t="s">
        <v>440</v>
      </c>
      <c r="L109" s="6">
        <v>104</v>
      </c>
    </row>
    <row r="110" spans="3:12" ht="30" x14ac:dyDescent="0.25">
      <c r="C110" s="37" t="s">
        <v>171</v>
      </c>
      <c r="D110" s="6" t="s">
        <v>250</v>
      </c>
      <c r="F110" s="80" t="s">
        <v>441</v>
      </c>
      <c r="L110" s="6">
        <v>105</v>
      </c>
    </row>
    <row r="111" spans="3:12" x14ac:dyDescent="0.25">
      <c r="C111" s="1" t="s">
        <v>172</v>
      </c>
      <c r="D111" s="6" t="s">
        <v>251</v>
      </c>
      <c r="F111" s="80" t="s">
        <v>442</v>
      </c>
      <c r="L111" s="6">
        <v>106</v>
      </c>
    </row>
    <row r="112" spans="3:12" x14ac:dyDescent="0.25">
      <c r="C112" s="16" t="s">
        <v>173</v>
      </c>
      <c r="D112" s="6" t="s">
        <v>252</v>
      </c>
      <c r="F112" s="80" t="s">
        <v>443</v>
      </c>
      <c r="L112" s="6">
        <v>107</v>
      </c>
    </row>
    <row r="113" spans="3:12" ht="15.75" thickBot="1" x14ac:dyDescent="0.3">
      <c r="C113" s="38" t="s">
        <v>174</v>
      </c>
      <c r="D113" s="31" t="s">
        <v>253</v>
      </c>
      <c r="F113" s="80" t="s">
        <v>444</v>
      </c>
      <c r="L113" s="6">
        <v>108</v>
      </c>
    </row>
    <row r="114" spans="3:12" x14ac:dyDescent="0.25">
      <c r="C114" s="39"/>
      <c r="D114" s="30"/>
      <c r="F114" s="80" t="s">
        <v>445</v>
      </c>
      <c r="L114" s="6">
        <v>109</v>
      </c>
    </row>
    <row r="115" spans="3:12" x14ac:dyDescent="0.25">
      <c r="C115" s="37"/>
      <c r="D115" s="6"/>
      <c r="F115" s="80" t="s">
        <v>446</v>
      </c>
      <c r="L115" s="6">
        <v>110</v>
      </c>
    </row>
    <row r="116" spans="3:12" x14ac:dyDescent="0.25">
      <c r="C116" s="37" t="s">
        <v>167</v>
      </c>
      <c r="D116" s="6" t="s">
        <v>246</v>
      </c>
      <c r="F116" s="80" t="s">
        <v>447</v>
      </c>
      <c r="L116" s="6">
        <v>111</v>
      </c>
    </row>
    <row r="117" spans="3:12" x14ac:dyDescent="0.25">
      <c r="C117" s="16" t="s">
        <v>173</v>
      </c>
      <c r="D117" s="6" t="s">
        <v>252</v>
      </c>
      <c r="F117" s="80" t="s">
        <v>448</v>
      </c>
      <c r="L117" s="6">
        <v>112</v>
      </c>
    </row>
    <row r="118" spans="3:12" ht="15.75" thickBot="1" x14ac:dyDescent="0.3">
      <c r="C118" s="38" t="s">
        <v>175</v>
      </c>
      <c r="D118" s="31" t="s">
        <v>254</v>
      </c>
      <c r="F118" s="80" t="s">
        <v>449</v>
      </c>
      <c r="L118" s="6">
        <v>113</v>
      </c>
    </row>
    <row r="119" spans="3:12" x14ac:dyDescent="0.25">
      <c r="C119" s="12" t="s">
        <v>176</v>
      </c>
      <c r="D119" s="30" t="s">
        <v>255</v>
      </c>
      <c r="F119" s="80" t="s">
        <v>450</v>
      </c>
      <c r="L119" s="6">
        <v>114</v>
      </c>
    </row>
    <row r="120" spans="3:12" x14ac:dyDescent="0.25">
      <c r="C120" s="1" t="s">
        <v>177</v>
      </c>
      <c r="D120" s="6" t="s">
        <v>256</v>
      </c>
      <c r="F120" s="80" t="s">
        <v>451</v>
      </c>
      <c r="L120" s="6">
        <v>115</v>
      </c>
    </row>
    <row r="121" spans="3:12" x14ac:dyDescent="0.25">
      <c r="C121" s="1" t="s">
        <v>178</v>
      </c>
      <c r="D121" s="6" t="s">
        <v>257</v>
      </c>
      <c r="F121" s="80" t="s">
        <v>452</v>
      </c>
      <c r="L121" s="6">
        <v>116</v>
      </c>
    </row>
    <row r="122" spans="3:12" x14ac:dyDescent="0.25">
      <c r="C122" s="1" t="s">
        <v>179</v>
      </c>
      <c r="D122" s="6" t="s">
        <v>258</v>
      </c>
      <c r="L122" s="6">
        <v>117</v>
      </c>
    </row>
    <row r="123" spans="3:12" x14ac:dyDescent="0.25">
      <c r="C123" s="1"/>
      <c r="D123" s="6"/>
      <c r="L123" s="6">
        <v>118</v>
      </c>
    </row>
    <row r="124" spans="3:12" x14ac:dyDescent="0.25">
      <c r="C124" s="1" t="s">
        <v>180</v>
      </c>
      <c r="D124" s="6" t="s">
        <v>259</v>
      </c>
      <c r="L124" s="6">
        <v>119</v>
      </c>
    </row>
    <row r="125" spans="3:12" x14ac:dyDescent="0.25">
      <c r="C125" s="1" t="s">
        <v>181</v>
      </c>
      <c r="D125" s="6" t="s">
        <v>260</v>
      </c>
      <c r="L125" s="6">
        <v>120</v>
      </c>
    </row>
    <row r="126" spans="3:12" x14ac:dyDescent="0.25">
      <c r="C126" s="1" t="s">
        <v>182</v>
      </c>
      <c r="D126" s="6" t="s">
        <v>261</v>
      </c>
      <c r="L126" s="6">
        <v>121</v>
      </c>
    </row>
    <row r="127" spans="3:12" x14ac:dyDescent="0.25">
      <c r="C127" s="1" t="s">
        <v>183</v>
      </c>
      <c r="D127" s="6" t="s">
        <v>246</v>
      </c>
      <c r="L127" s="6">
        <v>122</v>
      </c>
    </row>
    <row r="128" spans="3:12" x14ac:dyDescent="0.25">
      <c r="C128" s="1" t="s">
        <v>184</v>
      </c>
      <c r="D128" s="6" t="s">
        <v>262</v>
      </c>
      <c r="L128" s="6">
        <v>123</v>
      </c>
    </row>
    <row r="129" spans="3:12" x14ac:dyDescent="0.25">
      <c r="C129" s="1" t="s">
        <v>185</v>
      </c>
      <c r="D129" s="6" t="s">
        <v>263</v>
      </c>
      <c r="L129" s="6">
        <v>124</v>
      </c>
    </row>
    <row r="130" spans="3:12" x14ac:dyDescent="0.25">
      <c r="C130" s="1"/>
      <c r="D130" s="6"/>
      <c r="L130" s="6">
        <v>125</v>
      </c>
    </row>
    <row r="131" spans="3:12" x14ac:dyDescent="0.25">
      <c r="C131" s="1"/>
      <c r="D131" s="6"/>
      <c r="L131" s="6">
        <v>126</v>
      </c>
    </row>
    <row r="132" spans="3:12" x14ac:dyDescent="0.25">
      <c r="C132" s="1" t="s">
        <v>186</v>
      </c>
      <c r="D132" s="6" t="s">
        <v>264</v>
      </c>
      <c r="L132" s="6">
        <v>127</v>
      </c>
    </row>
    <row r="133" spans="3:12" x14ac:dyDescent="0.25">
      <c r="C133" s="22"/>
      <c r="D133" s="36"/>
      <c r="L133" s="6">
        <v>128</v>
      </c>
    </row>
    <row r="134" spans="3:12" x14ac:dyDescent="0.25">
      <c r="C134" s="40" t="s">
        <v>187</v>
      </c>
      <c r="D134" s="33" t="s">
        <v>265</v>
      </c>
      <c r="L134" s="6">
        <v>129</v>
      </c>
    </row>
    <row r="135" spans="3:12" ht="15.75" thickBot="1" x14ac:dyDescent="0.3">
      <c r="C135" s="38" t="s">
        <v>188</v>
      </c>
      <c r="D135" s="31" t="s">
        <v>266</v>
      </c>
      <c r="L135" s="6">
        <v>130</v>
      </c>
    </row>
    <row r="136" spans="3:12" x14ac:dyDescent="0.25">
      <c r="C136" s="12" t="s">
        <v>189</v>
      </c>
      <c r="D136" s="30" t="s">
        <v>267</v>
      </c>
      <c r="L136" s="6">
        <v>131</v>
      </c>
    </row>
    <row r="137" spans="3:12" x14ac:dyDescent="0.25">
      <c r="C137" s="1" t="s">
        <v>190</v>
      </c>
      <c r="D137" s="6" t="s">
        <v>268</v>
      </c>
      <c r="L137" s="6">
        <v>132</v>
      </c>
    </row>
    <row r="138" spans="3:12" x14ac:dyDescent="0.25">
      <c r="C138" s="1" t="s">
        <v>191</v>
      </c>
      <c r="D138" s="6" t="s">
        <v>269</v>
      </c>
      <c r="L138" s="6">
        <v>133</v>
      </c>
    </row>
    <row r="139" spans="3:12" x14ac:dyDescent="0.25">
      <c r="C139" s="1" t="s">
        <v>192</v>
      </c>
      <c r="D139" s="6" t="s">
        <v>270</v>
      </c>
      <c r="L139" s="6">
        <v>134</v>
      </c>
    </row>
    <row r="140" spans="3:12" x14ac:dyDescent="0.25">
      <c r="C140" s="1" t="s">
        <v>193</v>
      </c>
      <c r="D140" s="6" t="s">
        <v>271</v>
      </c>
      <c r="L140" s="6">
        <v>135</v>
      </c>
    </row>
    <row r="141" spans="3:12" ht="30" x14ac:dyDescent="0.25">
      <c r="C141" s="27" t="s">
        <v>194</v>
      </c>
      <c r="D141" s="33" t="s">
        <v>272</v>
      </c>
      <c r="L141" s="6">
        <v>136</v>
      </c>
    </row>
    <row r="142" spans="3:12" x14ac:dyDescent="0.25">
      <c r="C142" s="1"/>
      <c r="D142" s="6"/>
      <c r="L142" s="6">
        <v>137</v>
      </c>
    </row>
    <row r="143" spans="3:12" x14ac:dyDescent="0.25">
      <c r="C143" s="1" t="s">
        <v>195</v>
      </c>
      <c r="D143" s="6" t="s">
        <v>273</v>
      </c>
      <c r="L143" s="6">
        <v>138</v>
      </c>
    </row>
    <row r="144" spans="3:12" x14ac:dyDescent="0.25">
      <c r="C144" s="1" t="s">
        <v>196</v>
      </c>
      <c r="D144" s="6" t="s">
        <v>274</v>
      </c>
      <c r="L144" s="6">
        <v>139</v>
      </c>
    </row>
    <row r="145" spans="3:12" x14ac:dyDescent="0.25">
      <c r="C145" s="1" t="s">
        <v>197</v>
      </c>
      <c r="D145" s="6" t="s">
        <v>275</v>
      </c>
      <c r="L145" s="6">
        <v>140</v>
      </c>
    </row>
    <row r="146" spans="3:12" x14ac:dyDescent="0.25">
      <c r="C146" s="1" t="s">
        <v>198</v>
      </c>
      <c r="D146" s="6" t="s">
        <v>276</v>
      </c>
      <c r="L146" s="6">
        <v>141</v>
      </c>
    </row>
    <row r="147" spans="3:12" x14ac:dyDescent="0.25">
      <c r="C147" s="1" t="s">
        <v>199</v>
      </c>
      <c r="D147" s="6" t="s">
        <v>277</v>
      </c>
      <c r="L147" s="6">
        <v>142</v>
      </c>
    </row>
    <row r="148" spans="3:12" ht="30" x14ac:dyDescent="0.25">
      <c r="C148" s="37" t="s">
        <v>200</v>
      </c>
      <c r="D148" s="6" t="s">
        <v>278</v>
      </c>
      <c r="L148" s="6">
        <v>143</v>
      </c>
    </row>
    <row r="149" spans="3:12" ht="30" x14ac:dyDescent="0.25">
      <c r="C149" s="37" t="s">
        <v>201</v>
      </c>
      <c r="D149" s="6" t="s">
        <v>279</v>
      </c>
      <c r="L149" s="6">
        <v>144</v>
      </c>
    </row>
    <row r="150" spans="3:12" x14ac:dyDescent="0.25">
      <c r="C150" s="37" t="s">
        <v>202</v>
      </c>
      <c r="D150" s="6" t="s">
        <v>280</v>
      </c>
      <c r="L150" s="6">
        <v>145</v>
      </c>
    </row>
    <row r="151" spans="3:12" x14ac:dyDescent="0.25">
      <c r="C151" s="37" t="s">
        <v>203</v>
      </c>
      <c r="D151" s="6" t="s">
        <v>281</v>
      </c>
      <c r="L151" s="6">
        <v>146</v>
      </c>
    </row>
    <row r="152" spans="3:12" x14ac:dyDescent="0.25">
      <c r="C152" s="1"/>
      <c r="D152" s="6"/>
      <c r="L152" s="6">
        <v>147</v>
      </c>
    </row>
    <row r="153" spans="3:12" x14ac:dyDescent="0.25">
      <c r="C153" s="1"/>
      <c r="D153" s="6"/>
      <c r="L153" s="6">
        <v>148</v>
      </c>
    </row>
    <row r="154" spans="3:12" x14ac:dyDescent="0.25">
      <c r="C154" s="1" t="s">
        <v>204</v>
      </c>
      <c r="D154" s="6" t="s">
        <v>244</v>
      </c>
      <c r="L154" s="6">
        <v>149</v>
      </c>
    </row>
    <row r="155" spans="3:12" x14ac:dyDescent="0.25">
      <c r="C155" s="1" t="s">
        <v>205</v>
      </c>
      <c r="D155" s="6" t="s">
        <v>282</v>
      </c>
      <c r="L155" s="6">
        <v>150</v>
      </c>
    </row>
    <row r="156" spans="3:12" x14ac:dyDescent="0.25">
      <c r="C156" s="1" t="s">
        <v>206</v>
      </c>
      <c r="D156" s="6" t="s">
        <v>246</v>
      </c>
      <c r="L156" s="6">
        <v>151</v>
      </c>
    </row>
    <row r="157" spans="3:12" x14ac:dyDescent="0.25">
      <c r="C157" s="1" t="s">
        <v>207</v>
      </c>
      <c r="D157" s="6" t="s">
        <v>283</v>
      </c>
      <c r="L157" s="6">
        <v>152</v>
      </c>
    </row>
    <row r="158" spans="3:12" x14ac:dyDescent="0.25">
      <c r="C158" s="40" t="s">
        <v>208</v>
      </c>
      <c r="D158" s="42" t="s">
        <v>284</v>
      </c>
      <c r="L158" s="6">
        <v>153</v>
      </c>
    </row>
    <row r="159" spans="3:12" x14ac:dyDescent="0.25">
      <c r="C159" s="1" t="s">
        <v>209</v>
      </c>
      <c r="D159" s="6" t="s">
        <v>285</v>
      </c>
      <c r="L159" s="6">
        <v>154</v>
      </c>
    </row>
    <row r="160" spans="3:12" x14ac:dyDescent="0.25">
      <c r="C160" s="1" t="s">
        <v>210</v>
      </c>
      <c r="D160" s="6" t="s">
        <v>286</v>
      </c>
      <c r="L160" s="6">
        <v>155</v>
      </c>
    </row>
    <row r="161" spans="3:12" x14ac:dyDescent="0.25">
      <c r="C161" s="1" t="s">
        <v>211</v>
      </c>
      <c r="D161" s="6" t="s">
        <v>287</v>
      </c>
      <c r="L161" s="6">
        <v>156</v>
      </c>
    </row>
    <row r="162" spans="3:12" x14ac:dyDescent="0.25">
      <c r="C162" s="1" t="s">
        <v>212</v>
      </c>
      <c r="D162" s="6" t="s">
        <v>288</v>
      </c>
      <c r="L162" s="6">
        <v>157</v>
      </c>
    </row>
    <row r="163" spans="3:12" x14ac:dyDescent="0.25">
      <c r="C163" s="1"/>
      <c r="D163" s="6"/>
      <c r="L163" s="6">
        <v>158</v>
      </c>
    </row>
    <row r="164" spans="3:12" x14ac:dyDescent="0.25">
      <c r="C164" s="1" t="s">
        <v>213</v>
      </c>
      <c r="D164" s="6" t="s">
        <v>289</v>
      </c>
      <c r="L164" s="6">
        <v>159</v>
      </c>
    </row>
    <row r="165" spans="3:12" x14ac:dyDescent="0.25">
      <c r="C165" s="1" t="s">
        <v>214</v>
      </c>
      <c r="D165" s="6" t="s">
        <v>290</v>
      </c>
      <c r="L165" s="6">
        <v>160</v>
      </c>
    </row>
    <row r="166" spans="3:12" x14ac:dyDescent="0.25">
      <c r="C166" s="41" t="s">
        <v>215</v>
      </c>
      <c r="D166" s="6" t="s">
        <v>291</v>
      </c>
      <c r="L166" s="6">
        <v>161</v>
      </c>
    </row>
    <row r="167" spans="3:12" x14ac:dyDescent="0.25">
      <c r="C167" s="41" t="s">
        <v>216</v>
      </c>
      <c r="D167" s="6" t="s">
        <v>292</v>
      </c>
      <c r="L167" s="6">
        <v>162</v>
      </c>
    </row>
    <row r="168" spans="3:12" ht="30" x14ac:dyDescent="0.25">
      <c r="C168" s="41" t="s">
        <v>217</v>
      </c>
      <c r="D168" s="6" t="s">
        <v>293</v>
      </c>
      <c r="L168" s="6">
        <v>163</v>
      </c>
    </row>
    <row r="169" spans="3:12" x14ac:dyDescent="0.25">
      <c r="C169" s="1"/>
      <c r="D169" s="6"/>
      <c r="L169" s="6">
        <v>164</v>
      </c>
    </row>
    <row r="170" spans="3:12" x14ac:dyDescent="0.25">
      <c r="C170" s="1" t="s">
        <v>218</v>
      </c>
      <c r="D170" s="6" t="s">
        <v>294</v>
      </c>
      <c r="L170" s="6">
        <v>165</v>
      </c>
    </row>
    <row r="171" spans="3:12" x14ac:dyDescent="0.25">
      <c r="C171" s="1" t="s">
        <v>219</v>
      </c>
      <c r="D171" s="6" t="s">
        <v>295</v>
      </c>
      <c r="L171" s="6">
        <v>166</v>
      </c>
    </row>
    <row r="172" spans="3:12" x14ac:dyDescent="0.25">
      <c r="C172" s="1" t="s">
        <v>220</v>
      </c>
      <c r="D172" s="6" t="s">
        <v>296</v>
      </c>
      <c r="L172" s="6">
        <v>167</v>
      </c>
    </row>
    <row r="173" spans="3:12" x14ac:dyDescent="0.25">
      <c r="C173" s="1" t="s">
        <v>221</v>
      </c>
      <c r="D173" s="43" t="s">
        <v>297</v>
      </c>
      <c r="L173" s="6">
        <v>168</v>
      </c>
    </row>
    <row r="174" spans="3:12" x14ac:dyDescent="0.25">
      <c r="C174" s="40" t="s">
        <v>222</v>
      </c>
      <c r="D174" s="44" t="s">
        <v>298</v>
      </c>
      <c r="L174" s="6">
        <v>169</v>
      </c>
    </row>
    <row r="175" spans="3:12" x14ac:dyDescent="0.25">
      <c r="C175" s="1" t="s">
        <v>223</v>
      </c>
      <c r="D175" s="43" t="s">
        <v>299</v>
      </c>
      <c r="L175" s="6">
        <v>170</v>
      </c>
    </row>
    <row r="176" spans="3:12" x14ac:dyDescent="0.25">
      <c r="C176" s="1" t="s">
        <v>224</v>
      </c>
      <c r="D176" s="43" t="s">
        <v>300</v>
      </c>
      <c r="L176" s="6">
        <v>171</v>
      </c>
    </row>
    <row r="177" spans="3:12" x14ac:dyDescent="0.25">
      <c r="C177" s="1" t="s">
        <v>225</v>
      </c>
      <c r="D177" s="6" t="s">
        <v>301</v>
      </c>
      <c r="L177" s="6">
        <v>172</v>
      </c>
    </row>
    <row r="178" spans="3:12" x14ac:dyDescent="0.25">
      <c r="C178" s="37" t="s">
        <v>226</v>
      </c>
      <c r="D178" s="6" t="s">
        <v>302</v>
      </c>
      <c r="L178" s="6">
        <v>173</v>
      </c>
    </row>
    <row r="179" spans="3:12" ht="30" x14ac:dyDescent="0.25">
      <c r="C179" s="37" t="s">
        <v>227</v>
      </c>
      <c r="D179" s="6" t="s">
        <v>303</v>
      </c>
      <c r="L179" s="6">
        <v>174</v>
      </c>
    </row>
    <row r="180" spans="3:12" ht="30" x14ac:dyDescent="0.25">
      <c r="C180" s="37" t="s">
        <v>228</v>
      </c>
      <c r="D180" s="6" t="s">
        <v>304</v>
      </c>
      <c r="L180" s="6">
        <v>175</v>
      </c>
    </row>
    <row r="181" spans="3:12" ht="30" x14ac:dyDescent="0.25">
      <c r="C181" s="37" t="s">
        <v>229</v>
      </c>
      <c r="D181" s="6" t="s">
        <v>305</v>
      </c>
      <c r="L181" s="6">
        <v>176</v>
      </c>
    </row>
    <row r="182" spans="3:12" x14ac:dyDescent="0.25">
      <c r="C182" s="37" t="s">
        <v>230</v>
      </c>
      <c r="D182" s="6" t="s">
        <v>306</v>
      </c>
      <c r="L182" s="6">
        <v>177</v>
      </c>
    </row>
    <row r="183" spans="3:12" ht="30" x14ac:dyDescent="0.25">
      <c r="C183" s="37" t="s">
        <v>231</v>
      </c>
      <c r="D183" s="6" t="s">
        <v>307</v>
      </c>
      <c r="L183" s="6">
        <v>178</v>
      </c>
    </row>
    <row r="184" spans="3:12" x14ac:dyDescent="0.25">
      <c r="C184" s="37" t="s">
        <v>232</v>
      </c>
      <c r="D184" s="6" t="s">
        <v>308</v>
      </c>
      <c r="L184" s="6">
        <v>179</v>
      </c>
    </row>
    <row r="185" spans="3:12" x14ac:dyDescent="0.25">
      <c r="C185" s="37" t="s">
        <v>233</v>
      </c>
      <c r="D185" s="6" t="s">
        <v>309</v>
      </c>
      <c r="L185" s="6">
        <v>180</v>
      </c>
    </row>
    <row r="186" spans="3:12" x14ac:dyDescent="0.25">
      <c r="C186" s="37" t="s">
        <v>234</v>
      </c>
      <c r="D186" s="6" t="s">
        <v>310</v>
      </c>
      <c r="L186" s="6">
        <v>181</v>
      </c>
    </row>
    <row r="187" spans="3:12" x14ac:dyDescent="0.25">
      <c r="C187" s="26" t="s">
        <v>235</v>
      </c>
      <c r="D187" s="6" t="s">
        <v>311</v>
      </c>
      <c r="L187" s="6">
        <v>182</v>
      </c>
    </row>
    <row r="188" spans="3:12" ht="30" x14ac:dyDescent="0.25">
      <c r="C188" s="26" t="s">
        <v>236</v>
      </c>
      <c r="D188" s="6" t="s">
        <v>312</v>
      </c>
      <c r="L188" s="6">
        <v>183</v>
      </c>
    </row>
    <row r="189" spans="3:12" x14ac:dyDescent="0.25">
      <c r="C189" s="26" t="s">
        <v>173</v>
      </c>
      <c r="D189" s="6" t="s">
        <v>252</v>
      </c>
      <c r="L189" s="6">
        <v>184</v>
      </c>
    </row>
    <row r="190" spans="3:12" x14ac:dyDescent="0.25">
      <c r="C190" s="26"/>
      <c r="D190" s="36" t="s">
        <v>313</v>
      </c>
      <c r="L190" s="6">
        <v>185</v>
      </c>
    </row>
    <row r="191" spans="3:12" x14ac:dyDescent="0.25">
      <c r="C191" s="27" t="s">
        <v>237</v>
      </c>
      <c r="D191" s="33" t="s">
        <v>314</v>
      </c>
      <c r="L191" s="6">
        <v>186</v>
      </c>
    </row>
    <row r="192" spans="3:12" x14ac:dyDescent="0.25">
      <c r="C192" s="27" t="s">
        <v>238</v>
      </c>
      <c r="D192" s="33" t="s">
        <v>315</v>
      </c>
      <c r="L192" s="6">
        <v>187</v>
      </c>
    </row>
    <row r="193" spans="3:12" x14ac:dyDescent="0.25">
      <c r="C193" s="27" t="s">
        <v>239</v>
      </c>
      <c r="D193" s="33" t="s">
        <v>316</v>
      </c>
      <c r="L193" s="6">
        <v>188</v>
      </c>
    </row>
    <row r="194" spans="3:12" ht="30" x14ac:dyDescent="0.25">
      <c r="C194" s="27" t="s">
        <v>194</v>
      </c>
      <c r="D194" s="33" t="s">
        <v>317</v>
      </c>
      <c r="L194" s="6">
        <v>189</v>
      </c>
    </row>
    <row r="195" spans="3:12" x14ac:dyDescent="0.25">
      <c r="C195" s="38" t="s">
        <v>119</v>
      </c>
      <c r="D195" s="31" t="s">
        <v>119</v>
      </c>
      <c r="L195" s="6">
        <v>190</v>
      </c>
    </row>
    <row r="196" spans="3:12" x14ac:dyDescent="0.25">
      <c r="L196" s="6">
        <v>191</v>
      </c>
    </row>
    <row r="197" spans="3:12" x14ac:dyDescent="0.25">
      <c r="L197" s="6">
        <v>192</v>
      </c>
    </row>
    <row r="198" spans="3:12" x14ac:dyDescent="0.25">
      <c r="L198" s="6">
        <v>193</v>
      </c>
    </row>
    <row r="199" spans="3:12" x14ac:dyDescent="0.25">
      <c r="L199" s="6">
        <v>194</v>
      </c>
    </row>
    <row r="200" spans="3:12" x14ac:dyDescent="0.25">
      <c r="L200" s="6">
        <v>195</v>
      </c>
    </row>
    <row r="201" spans="3:12" x14ac:dyDescent="0.25">
      <c r="L201" s="6">
        <v>196</v>
      </c>
    </row>
    <row r="202" spans="3:12" x14ac:dyDescent="0.25">
      <c r="L202" s="6">
        <v>197</v>
      </c>
    </row>
    <row r="203" spans="3:12" x14ac:dyDescent="0.25">
      <c r="L203" s="6">
        <v>198</v>
      </c>
    </row>
    <row r="204" spans="3:12" x14ac:dyDescent="0.25">
      <c r="L204" s="6">
        <v>199</v>
      </c>
    </row>
    <row r="205" spans="3:12" x14ac:dyDescent="0.25">
      <c r="L205" s="6">
        <v>200</v>
      </c>
    </row>
    <row r="213" spans="4:5" ht="15.75" thickBot="1" x14ac:dyDescent="0.3">
      <c r="D213" s="81" t="s">
        <v>375</v>
      </c>
      <c r="E213" s="82" t="s">
        <v>52</v>
      </c>
    </row>
    <row r="214" spans="4:5" x14ac:dyDescent="0.25">
      <c r="D214" s="12" t="s">
        <v>122</v>
      </c>
      <c r="E214" s="80">
        <v>1</v>
      </c>
    </row>
    <row r="215" spans="4:5" x14ac:dyDescent="0.25">
      <c r="D215" s="1" t="s">
        <v>123</v>
      </c>
      <c r="E215" s="2">
        <v>2</v>
      </c>
    </row>
    <row r="216" spans="4:5" x14ac:dyDescent="0.25">
      <c r="D216" s="1" t="s">
        <v>130</v>
      </c>
      <c r="E216" s="6">
        <v>3</v>
      </c>
    </row>
    <row r="217" spans="4:5" x14ac:dyDescent="0.25">
      <c r="D217" s="1" t="s">
        <v>124</v>
      </c>
      <c r="E217" s="2">
        <v>4</v>
      </c>
    </row>
    <row r="218" spans="4:5" x14ac:dyDescent="0.25">
      <c r="D218" s="1" t="s">
        <v>124</v>
      </c>
      <c r="E218" s="75">
        <v>4</v>
      </c>
    </row>
    <row r="219" spans="4:5" x14ac:dyDescent="0.25">
      <c r="D219" s="1" t="s">
        <v>131</v>
      </c>
      <c r="E219" s="6">
        <v>5</v>
      </c>
    </row>
    <row r="220" spans="4:5" x14ac:dyDescent="0.25">
      <c r="D220" s="1" t="s">
        <v>131</v>
      </c>
      <c r="E220" s="6">
        <v>5</v>
      </c>
    </row>
    <row r="221" spans="4:5" x14ac:dyDescent="0.25">
      <c r="D221" s="18" t="s">
        <v>137</v>
      </c>
      <c r="E221" s="6">
        <v>6</v>
      </c>
    </row>
    <row r="222" spans="4:5" x14ac:dyDescent="0.25">
      <c r="D222" s="1" t="s">
        <v>138</v>
      </c>
      <c r="E222" s="6">
        <v>7</v>
      </c>
    </row>
    <row r="223" spans="4:5" x14ac:dyDescent="0.25">
      <c r="D223" s="21" t="s">
        <v>139</v>
      </c>
      <c r="E223" s="6">
        <v>8</v>
      </c>
    </row>
    <row r="224" spans="4:5" x14ac:dyDescent="0.25">
      <c r="D224" s="21" t="s">
        <v>140</v>
      </c>
      <c r="E224" s="6">
        <v>9</v>
      </c>
    </row>
    <row r="225" spans="4:5" x14ac:dyDescent="0.25">
      <c r="D225" s="1" t="s">
        <v>141</v>
      </c>
      <c r="E225" s="6">
        <v>10</v>
      </c>
    </row>
    <row r="226" spans="4:5" ht="30" x14ac:dyDescent="0.25">
      <c r="D226" s="15" t="s">
        <v>142</v>
      </c>
      <c r="E226" s="34">
        <v>11</v>
      </c>
    </row>
    <row r="227" spans="4:5" ht="15.75" thickBot="1" x14ac:dyDescent="0.3">
      <c r="D227" s="1" t="s">
        <v>143</v>
      </c>
      <c r="E227" s="6">
        <v>12</v>
      </c>
    </row>
    <row r="228" spans="4:5" x14ac:dyDescent="0.25">
      <c r="D228" s="14" t="s">
        <v>128</v>
      </c>
      <c r="E228" s="30">
        <v>13</v>
      </c>
    </row>
    <row r="229" spans="4:5" x14ac:dyDescent="0.25">
      <c r="D229" s="15" t="s">
        <v>129</v>
      </c>
      <c r="E229" s="6">
        <v>14</v>
      </c>
    </row>
    <row r="230" spans="4:5" x14ac:dyDescent="0.25">
      <c r="D230" s="15" t="s">
        <v>125</v>
      </c>
      <c r="E230" s="6">
        <v>15</v>
      </c>
    </row>
    <row r="231" spans="4:5" x14ac:dyDescent="0.25">
      <c r="D231" s="1" t="s">
        <v>144</v>
      </c>
      <c r="E231" s="6">
        <v>16</v>
      </c>
    </row>
    <row r="232" spans="4:5" x14ac:dyDescent="0.25">
      <c r="D232" s="1" t="s">
        <v>145</v>
      </c>
      <c r="E232" s="6">
        <v>17</v>
      </c>
    </row>
    <row r="233" spans="4:5" x14ac:dyDescent="0.25">
      <c r="D233" s="1" t="s">
        <v>132</v>
      </c>
      <c r="E233" s="6">
        <v>18</v>
      </c>
    </row>
    <row r="234" spans="4:5" x14ac:dyDescent="0.25">
      <c r="D234" s="1" t="s">
        <v>146</v>
      </c>
      <c r="E234" s="6">
        <v>19</v>
      </c>
    </row>
    <row r="235" spans="4:5" x14ac:dyDescent="0.25">
      <c r="D235" s="1" t="s">
        <v>147</v>
      </c>
      <c r="E235" s="6">
        <v>20</v>
      </c>
    </row>
    <row r="236" spans="4:5" x14ac:dyDescent="0.25">
      <c r="D236" s="1" t="s">
        <v>148</v>
      </c>
      <c r="E236" s="6">
        <v>21</v>
      </c>
    </row>
    <row r="237" spans="4:5" x14ac:dyDescent="0.25">
      <c r="D237" s="1" t="s">
        <v>149</v>
      </c>
      <c r="E237" s="6">
        <v>22</v>
      </c>
    </row>
    <row r="238" spans="4:5" x14ac:dyDescent="0.25">
      <c r="D238" s="18" t="s">
        <v>150</v>
      </c>
      <c r="E238" s="6">
        <v>23</v>
      </c>
    </row>
    <row r="239" spans="4:5" ht="30" x14ac:dyDescent="0.25">
      <c r="D239" s="15" t="s">
        <v>151</v>
      </c>
      <c r="E239" s="2">
        <v>24</v>
      </c>
    </row>
    <row r="240" spans="4:5" x14ac:dyDescent="0.25">
      <c r="D240" s="25" t="s">
        <v>152</v>
      </c>
      <c r="E240" s="2">
        <v>25</v>
      </c>
    </row>
    <row r="241" spans="4:5" x14ac:dyDescent="0.25">
      <c r="D241" s="25" t="s">
        <v>152</v>
      </c>
      <c r="E241" s="2">
        <v>25</v>
      </c>
    </row>
    <row r="242" spans="4:5" x14ac:dyDescent="0.25">
      <c r="D242" s="18" t="s">
        <v>153</v>
      </c>
      <c r="E242" s="6">
        <v>26</v>
      </c>
    </row>
    <row r="243" spans="4:5" x14ac:dyDescent="0.25">
      <c r="D243" s="1" t="s">
        <v>133</v>
      </c>
      <c r="E243" s="6">
        <v>27</v>
      </c>
    </row>
    <row r="244" spans="4:5" ht="30" x14ac:dyDescent="0.25">
      <c r="D244" s="19" t="s">
        <v>134</v>
      </c>
      <c r="E244" s="6">
        <v>28</v>
      </c>
    </row>
    <row r="245" spans="4:5" x14ac:dyDescent="0.25">
      <c r="D245" s="1" t="s">
        <v>135</v>
      </c>
      <c r="E245" s="6">
        <v>29</v>
      </c>
    </row>
    <row r="246" spans="4:5" x14ac:dyDescent="0.25">
      <c r="D246" s="1" t="s">
        <v>384</v>
      </c>
      <c r="E246" s="6">
        <v>30</v>
      </c>
    </row>
    <row r="247" spans="4:5" ht="30" x14ac:dyDescent="0.25">
      <c r="D247" s="16" t="s">
        <v>154</v>
      </c>
      <c r="E247" s="6">
        <v>31</v>
      </c>
    </row>
    <row r="248" spans="4:5" x14ac:dyDescent="0.25">
      <c r="D248" s="16" t="s">
        <v>155</v>
      </c>
      <c r="E248" s="6">
        <v>32</v>
      </c>
    </row>
    <row r="249" spans="4:5" x14ac:dyDescent="0.25">
      <c r="D249" s="16" t="s">
        <v>126</v>
      </c>
      <c r="E249" s="6">
        <v>33</v>
      </c>
    </row>
    <row r="250" spans="4:5" x14ac:dyDescent="0.25">
      <c r="D250" s="26" t="s">
        <v>156</v>
      </c>
      <c r="E250" s="36">
        <v>34</v>
      </c>
    </row>
    <row r="251" spans="4:5" x14ac:dyDescent="0.25">
      <c r="D251" s="51" t="s">
        <v>136</v>
      </c>
      <c r="E251" s="79">
        <v>35</v>
      </c>
    </row>
    <row r="252" spans="4:5" x14ac:dyDescent="0.25">
      <c r="D252" s="16" t="s">
        <v>157</v>
      </c>
      <c r="E252" s="6">
        <v>36</v>
      </c>
    </row>
    <row r="253" spans="4:5" x14ac:dyDescent="0.25">
      <c r="D253" s="16" t="s">
        <v>158</v>
      </c>
      <c r="E253" s="6">
        <v>37</v>
      </c>
    </row>
    <row r="254" spans="4:5" x14ac:dyDescent="0.25">
      <c r="D254" s="16" t="s">
        <v>159</v>
      </c>
      <c r="E254" s="6">
        <v>38</v>
      </c>
    </row>
    <row r="255" spans="4:5" ht="15.75" thickBot="1" x14ac:dyDescent="0.3">
      <c r="D255" s="16" t="s">
        <v>160</v>
      </c>
      <c r="E255" s="6">
        <v>39</v>
      </c>
    </row>
    <row r="256" spans="4:5" x14ac:dyDescent="0.25">
      <c r="D256" s="12" t="s">
        <v>176</v>
      </c>
      <c r="E256" s="30" t="s">
        <v>255</v>
      </c>
    </row>
    <row r="257" spans="4:5" ht="15.75" thickBot="1" x14ac:dyDescent="0.3">
      <c r="D257" s="1" t="s">
        <v>177</v>
      </c>
      <c r="E257" s="6" t="s">
        <v>256</v>
      </c>
    </row>
    <row r="258" spans="4:5" ht="15.75" thickBot="1" x14ac:dyDescent="0.3">
      <c r="D258" s="12" t="s">
        <v>189</v>
      </c>
      <c r="E258" s="30" t="s">
        <v>267</v>
      </c>
    </row>
    <row r="259" spans="4:5" x14ac:dyDescent="0.25">
      <c r="D259" s="12" t="s">
        <v>161</v>
      </c>
      <c r="E259" s="30" t="s">
        <v>240</v>
      </c>
    </row>
    <row r="260" spans="4:5" x14ac:dyDescent="0.25">
      <c r="D260" s="1" t="s">
        <v>190</v>
      </c>
      <c r="E260" s="6" t="s">
        <v>268</v>
      </c>
    </row>
    <row r="261" spans="4:5" x14ac:dyDescent="0.25">
      <c r="D261" s="1" t="s">
        <v>178</v>
      </c>
      <c r="E261" s="6" t="s">
        <v>257</v>
      </c>
    </row>
    <row r="262" spans="4:5" x14ac:dyDescent="0.25">
      <c r="D262" s="1" t="s">
        <v>179</v>
      </c>
      <c r="E262" s="6" t="s">
        <v>258</v>
      </c>
    </row>
    <row r="263" spans="4:5" ht="45" x14ac:dyDescent="0.25">
      <c r="D263" s="19" t="s">
        <v>376</v>
      </c>
      <c r="E263" s="6" t="s">
        <v>377</v>
      </c>
    </row>
    <row r="264" spans="4:5" x14ac:dyDescent="0.25">
      <c r="D264" t="s">
        <v>378</v>
      </c>
      <c r="E264" s="74" t="s">
        <v>379</v>
      </c>
    </row>
    <row r="265" spans="4:5" x14ac:dyDescent="0.25">
      <c r="D265" s="1" t="s">
        <v>162</v>
      </c>
      <c r="E265" s="6" t="s">
        <v>241</v>
      </c>
    </row>
    <row r="266" spans="4:5" x14ac:dyDescent="0.25">
      <c r="D266" s="37" t="s">
        <v>163</v>
      </c>
      <c r="E266" s="6" t="s">
        <v>242</v>
      </c>
    </row>
    <row r="267" spans="4:5" x14ac:dyDescent="0.25">
      <c r="D267" s="37" t="s">
        <v>164</v>
      </c>
      <c r="E267" s="6" t="s">
        <v>243</v>
      </c>
    </row>
    <row r="268" spans="4:5" x14ac:dyDescent="0.25">
      <c r="D268" s="1" t="s">
        <v>180</v>
      </c>
      <c r="E268" s="6" t="s">
        <v>259</v>
      </c>
    </row>
    <row r="269" spans="4:5" x14ac:dyDescent="0.25">
      <c r="D269" s="1" t="s">
        <v>181</v>
      </c>
      <c r="E269" s="6" t="s">
        <v>260</v>
      </c>
    </row>
    <row r="270" spans="4:5" x14ac:dyDescent="0.25">
      <c r="D270" s="1" t="s">
        <v>182</v>
      </c>
      <c r="E270" s="6" t="s">
        <v>261</v>
      </c>
    </row>
    <row r="271" spans="4:5" x14ac:dyDescent="0.25">
      <c r="D271" s="1" t="s">
        <v>191</v>
      </c>
      <c r="E271" s="6" t="s">
        <v>269</v>
      </c>
    </row>
    <row r="272" spans="4:5" x14ac:dyDescent="0.25">
      <c r="D272" s="1" t="s">
        <v>192</v>
      </c>
      <c r="E272" s="6" t="s">
        <v>270</v>
      </c>
    </row>
    <row r="273" spans="4:5" x14ac:dyDescent="0.25">
      <c r="D273" s="1" t="s">
        <v>193</v>
      </c>
      <c r="E273" s="6" t="s">
        <v>271</v>
      </c>
    </row>
    <row r="274" spans="4:5" ht="30" x14ac:dyDescent="0.25">
      <c r="D274" s="16" t="s">
        <v>194</v>
      </c>
      <c r="E274" s="6" t="s">
        <v>272</v>
      </c>
    </row>
    <row r="275" spans="4:5" x14ac:dyDescent="0.25">
      <c r="D275" s="1" t="s">
        <v>195</v>
      </c>
      <c r="E275" s="6" t="s">
        <v>273</v>
      </c>
    </row>
    <row r="276" spans="4:5" x14ac:dyDescent="0.25">
      <c r="D276" s="1" t="s">
        <v>196</v>
      </c>
      <c r="E276" s="6" t="s">
        <v>274</v>
      </c>
    </row>
    <row r="277" spans="4:5" x14ac:dyDescent="0.25">
      <c r="D277" s="1" t="s">
        <v>197</v>
      </c>
      <c r="E277" s="6" t="s">
        <v>275</v>
      </c>
    </row>
    <row r="278" spans="4:5" x14ac:dyDescent="0.25">
      <c r="D278" s="1" t="s">
        <v>198</v>
      </c>
      <c r="E278" s="6" t="s">
        <v>276</v>
      </c>
    </row>
    <row r="279" spans="4:5" x14ac:dyDescent="0.25">
      <c r="D279" s="1" t="s">
        <v>199</v>
      </c>
      <c r="E279" s="6" t="s">
        <v>277</v>
      </c>
    </row>
    <row r="280" spans="4:5" ht="30" x14ac:dyDescent="0.25">
      <c r="D280" s="37" t="s">
        <v>200</v>
      </c>
      <c r="E280" s="6" t="s">
        <v>278</v>
      </c>
    </row>
    <row r="281" spans="4:5" ht="30" x14ac:dyDescent="0.25">
      <c r="D281" s="37" t="s">
        <v>201</v>
      </c>
      <c r="E281" s="6" t="s">
        <v>279</v>
      </c>
    </row>
    <row r="282" spans="4:5" x14ac:dyDescent="0.25">
      <c r="D282" s="37" t="s">
        <v>202</v>
      </c>
      <c r="E282" s="6" t="s">
        <v>280</v>
      </c>
    </row>
    <row r="283" spans="4:5" x14ac:dyDescent="0.25">
      <c r="D283" s="15" t="s">
        <v>203</v>
      </c>
      <c r="E283" s="6" t="s">
        <v>281</v>
      </c>
    </row>
    <row r="284" spans="4:5" x14ac:dyDescent="0.25">
      <c r="D284" s="15" t="s">
        <v>380</v>
      </c>
      <c r="E284" s="6" t="s">
        <v>381</v>
      </c>
    </row>
    <row r="285" spans="4:5" x14ac:dyDescent="0.25">
      <c r="D285" s="37" t="s">
        <v>165</v>
      </c>
      <c r="E285" s="6" t="s">
        <v>244</v>
      </c>
    </row>
    <row r="286" spans="4:5" ht="30" x14ac:dyDescent="0.25">
      <c r="D286" s="37" t="s">
        <v>166</v>
      </c>
      <c r="E286" s="6" t="s">
        <v>245</v>
      </c>
    </row>
    <row r="287" spans="4:5" x14ac:dyDescent="0.25">
      <c r="D287" s="1" t="s">
        <v>205</v>
      </c>
      <c r="E287" s="6" t="s">
        <v>282</v>
      </c>
    </row>
    <row r="288" spans="4:5" x14ac:dyDescent="0.25">
      <c r="D288" s="37" t="s">
        <v>167</v>
      </c>
      <c r="E288" s="6" t="s">
        <v>246</v>
      </c>
    </row>
    <row r="289" spans="4:5" ht="30" x14ac:dyDescent="0.25">
      <c r="D289" s="37" t="s">
        <v>168</v>
      </c>
      <c r="E289" s="6" t="s">
        <v>247</v>
      </c>
    </row>
    <row r="290" spans="4:5" ht="30" x14ac:dyDescent="0.25">
      <c r="D290" s="37" t="s">
        <v>169</v>
      </c>
      <c r="E290" s="6" t="s">
        <v>248</v>
      </c>
    </row>
    <row r="291" spans="4:5" ht="30" x14ac:dyDescent="0.25">
      <c r="D291" s="37" t="s">
        <v>170</v>
      </c>
      <c r="E291" s="6" t="s">
        <v>249</v>
      </c>
    </row>
    <row r="292" spans="4:5" ht="45" x14ac:dyDescent="0.25">
      <c r="D292" s="37" t="s">
        <v>171</v>
      </c>
      <c r="E292" s="6" t="s">
        <v>250</v>
      </c>
    </row>
    <row r="293" spans="4:5" x14ac:dyDescent="0.25">
      <c r="D293" s="1" t="s">
        <v>207</v>
      </c>
      <c r="E293" s="6" t="s">
        <v>283</v>
      </c>
    </row>
    <row r="294" spans="4:5" x14ac:dyDescent="0.25">
      <c r="D294" s="1" t="s">
        <v>172</v>
      </c>
      <c r="E294" s="6" t="s">
        <v>251</v>
      </c>
    </row>
    <row r="295" spans="4:5" x14ac:dyDescent="0.25">
      <c r="D295" s="1" t="s">
        <v>208</v>
      </c>
      <c r="E295" s="76" t="s">
        <v>284</v>
      </c>
    </row>
    <row r="296" spans="4:5" x14ac:dyDescent="0.25">
      <c r="D296" s="1" t="s">
        <v>209</v>
      </c>
      <c r="E296" s="6" t="s">
        <v>285</v>
      </c>
    </row>
    <row r="297" spans="4:5" x14ac:dyDescent="0.25">
      <c r="D297" s="1" t="s">
        <v>210</v>
      </c>
      <c r="E297" s="6" t="s">
        <v>286</v>
      </c>
    </row>
    <row r="298" spans="4:5" x14ac:dyDescent="0.25">
      <c r="D298" s="1" t="s">
        <v>211</v>
      </c>
      <c r="E298" s="6" t="s">
        <v>287</v>
      </c>
    </row>
    <row r="299" spans="4:5" x14ac:dyDescent="0.25">
      <c r="D299" s="1" t="s">
        <v>382</v>
      </c>
      <c r="E299" s="6" t="s">
        <v>383</v>
      </c>
    </row>
    <row r="300" spans="4:5" x14ac:dyDescent="0.25">
      <c r="D300" s="1" t="s">
        <v>212</v>
      </c>
      <c r="E300" s="6" t="s">
        <v>288</v>
      </c>
    </row>
    <row r="301" spans="4:5" x14ac:dyDescent="0.25">
      <c r="D301" s="1" t="s">
        <v>184</v>
      </c>
      <c r="E301" s="6" t="s">
        <v>262</v>
      </c>
    </row>
    <row r="302" spans="4:5" x14ac:dyDescent="0.25">
      <c r="D302" s="1" t="s">
        <v>185</v>
      </c>
      <c r="E302" s="6" t="s">
        <v>263</v>
      </c>
    </row>
    <row r="303" spans="4:5" x14ac:dyDescent="0.25">
      <c r="D303" s="1" t="s">
        <v>213</v>
      </c>
      <c r="E303" s="6" t="s">
        <v>289</v>
      </c>
    </row>
    <row r="304" spans="4:5" x14ac:dyDescent="0.25">
      <c r="D304" s="1" t="s">
        <v>214</v>
      </c>
      <c r="E304" s="6" t="s">
        <v>290</v>
      </c>
    </row>
    <row r="305" spans="4:5" x14ac:dyDescent="0.25">
      <c r="D305" s="41" t="s">
        <v>215</v>
      </c>
      <c r="E305" s="6" t="s">
        <v>291</v>
      </c>
    </row>
    <row r="306" spans="4:5" x14ac:dyDescent="0.25">
      <c r="D306" s="41" t="s">
        <v>216</v>
      </c>
      <c r="E306" s="6" t="s">
        <v>292</v>
      </c>
    </row>
    <row r="307" spans="4:5" ht="30" x14ac:dyDescent="0.25">
      <c r="D307" s="77" t="s">
        <v>217</v>
      </c>
      <c r="E307" s="6" t="s">
        <v>293</v>
      </c>
    </row>
    <row r="308" spans="4:5" x14ac:dyDescent="0.25">
      <c r="D308" s="1" t="s">
        <v>218</v>
      </c>
      <c r="E308" s="6" t="s">
        <v>294</v>
      </c>
    </row>
    <row r="309" spans="4:5" x14ac:dyDescent="0.25">
      <c r="D309" s="1" t="s">
        <v>219</v>
      </c>
      <c r="E309" s="6" t="s">
        <v>295</v>
      </c>
    </row>
    <row r="310" spans="4:5" x14ac:dyDescent="0.25">
      <c r="D310" s="1" t="s">
        <v>220</v>
      </c>
      <c r="E310" s="6" t="s">
        <v>296</v>
      </c>
    </row>
    <row r="311" spans="4:5" x14ac:dyDescent="0.25">
      <c r="D311" s="1" t="s">
        <v>221</v>
      </c>
      <c r="E311" s="43" t="s">
        <v>297</v>
      </c>
    </row>
    <row r="312" spans="4:5" x14ac:dyDescent="0.25">
      <c r="D312" s="1" t="s">
        <v>222</v>
      </c>
      <c r="E312" s="43" t="s">
        <v>298</v>
      </c>
    </row>
    <row r="313" spans="4:5" x14ac:dyDescent="0.25">
      <c r="D313" s="1" t="s">
        <v>223</v>
      </c>
      <c r="E313" s="43" t="s">
        <v>299</v>
      </c>
    </row>
    <row r="314" spans="4:5" x14ac:dyDescent="0.25">
      <c r="D314" s="1" t="s">
        <v>224</v>
      </c>
      <c r="E314" s="43" t="s">
        <v>300</v>
      </c>
    </row>
    <row r="315" spans="4:5" x14ac:dyDescent="0.25">
      <c r="D315" s="1" t="s">
        <v>225</v>
      </c>
      <c r="E315" s="6" t="s">
        <v>301</v>
      </c>
    </row>
    <row r="316" spans="4:5" x14ac:dyDescent="0.25">
      <c r="D316" s="1" t="s">
        <v>186</v>
      </c>
      <c r="E316" s="6" t="s">
        <v>264</v>
      </c>
    </row>
    <row r="317" spans="4:5" x14ac:dyDescent="0.25">
      <c r="D317" s="37" t="s">
        <v>226</v>
      </c>
      <c r="E317" s="6" t="s">
        <v>302</v>
      </c>
    </row>
    <row r="318" spans="4:5" ht="30" x14ac:dyDescent="0.25">
      <c r="D318" s="37" t="s">
        <v>227</v>
      </c>
      <c r="E318" s="6" t="s">
        <v>303</v>
      </c>
    </row>
    <row r="319" spans="4:5" ht="30" x14ac:dyDescent="0.25">
      <c r="D319" s="37" t="s">
        <v>228</v>
      </c>
      <c r="E319" s="6" t="s">
        <v>304</v>
      </c>
    </row>
    <row r="320" spans="4:5" ht="30" x14ac:dyDescent="0.25">
      <c r="D320" s="37" t="s">
        <v>229</v>
      </c>
      <c r="E320" s="6" t="s">
        <v>305</v>
      </c>
    </row>
    <row r="321" spans="4:5" x14ac:dyDescent="0.25">
      <c r="D321" s="37" t="s">
        <v>230</v>
      </c>
      <c r="E321" s="6" t="s">
        <v>306</v>
      </c>
    </row>
    <row r="322" spans="4:5" ht="30" x14ac:dyDescent="0.25">
      <c r="D322" s="37" t="s">
        <v>231</v>
      </c>
      <c r="E322" s="6" t="s">
        <v>307</v>
      </c>
    </row>
    <row r="323" spans="4:5" x14ac:dyDescent="0.25">
      <c r="D323" s="37" t="s">
        <v>232</v>
      </c>
      <c r="E323" s="6" t="s">
        <v>308</v>
      </c>
    </row>
    <row r="324" spans="4:5" x14ac:dyDescent="0.25">
      <c r="D324" s="37" t="s">
        <v>233</v>
      </c>
      <c r="E324" s="6" t="s">
        <v>309</v>
      </c>
    </row>
    <row r="325" spans="4:5" x14ac:dyDescent="0.25">
      <c r="D325" s="37" t="s">
        <v>234</v>
      </c>
      <c r="E325" s="6" t="s">
        <v>310</v>
      </c>
    </row>
    <row r="326" spans="4:5" ht="30" x14ac:dyDescent="0.25">
      <c r="D326" s="37" t="s">
        <v>385</v>
      </c>
      <c r="E326" s="6" t="s">
        <v>386</v>
      </c>
    </row>
    <row r="327" spans="4:5" x14ac:dyDescent="0.25">
      <c r="D327" s="26" t="s">
        <v>235</v>
      </c>
      <c r="E327" s="6" t="s">
        <v>311</v>
      </c>
    </row>
    <row r="328" spans="4:5" ht="30" x14ac:dyDescent="0.25">
      <c r="D328" s="26" t="s">
        <v>236</v>
      </c>
      <c r="E328" s="6" t="s">
        <v>312</v>
      </c>
    </row>
    <row r="329" spans="4:5" x14ac:dyDescent="0.25">
      <c r="D329" s="26" t="s">
        <v>173</v>
      </c>
      <c r="E329" s="6" t="s">
        <v>252</v>
      </c>
    </row>
    <row r="330" spans="4:5" x14ac:dyDescent="0.25">
      <c r="D330" s="1" t="s">
        <v>187</v>
      </c>
      <c r="E330" s="6" t="s">
        <v>265</v>
      </c>
    </row>
    <row r="331" spans="4:5" x14ac:dyDescent="0.25">
      <c r="D331" s="16" t="s">
        <v>237</v>
      </c>
      <c r="E331" s="6" t="s">
        <v>314</v>
      </c>
    </row>
    <row r="332" spans="4:5" x14ac:dyDescent="0.25">
      <c r="D332" s="16" t="s">
        <v>238</v>
      </c>
      <c r="E332" s="6" t="s">
        <v>315</v>
      </c>
    </row>
    <row r="333" spans="4:5" x14ac:dyDescent="0.25">
      <c r="D333" s="78" t="s">
        <v>174</v>
      </c>
      <c r="E333" s="74" t="s">
        <v>253</v>
      </c>
    </row>
    <row r="334" spans="4:5" x14ac:dyDescent="0.25">
      <c r="D334" s="78" t="s">
        <v>175</v>
      </c>
      <c r="E334" s="74" t="s">
        <v>254</v>
      </c>
    </row>
    <row r="335" spans="4:5" x14ac:dyDescent="0.25">
      <c r="D335" s="78" t="s">
        <v>188</v>
      </c>
      <c r="E335" s="74" t="s">
        <v>266</v>
      </c>
    </row>
    <row r="336" spans="4:5" x14ac:dyDescent="0.25">
      <c r="D336" s="16" t="s">
        <v>239</v>
      </c>
      <c r="E336" s="6" t="s">
        <v>316</v>
      </c>
    </row>
    <row r="337" spans="4:5" ht="30" x14ac:dyDescent="0.25">
      <c r="D337" s="16" t="s">
        <v>387</v>
      </c>
      <c r="E337" s="6" t="s">
        <v>388</v>
      </c>
    </row>
    <row r="338" spans="4:5" x14ac:dyDescent="0.25">
      <c r="D338" s="16" t="s">
        <v>389</v>
      </c>
      <c r="E338" s="6" t="s">
        <v>390</v>
      </c>
    </row>
    <row r="339" spans="4:5" ht="30" x14ac:dyDescent="0.25">
      <c r="D339" s="16" t="s">
        <v>194</v>
      </c>
      <c r="E339" s="6" t="s">
        <v>317</v>
      </c>
    </row>
    <row r="340" spans="4:5" x14ac:dyDescent="0.25">
      <c r="D340" s="26" t="s">
        <v>119</v>
      </c>
      <c r="E340" s="36" t="s">
        <v>119</v>
      </c>
    </row>
  </sheetData>
  <sheetProtection algorithmName="SHA-512" hashValue="l+MPNCm0E16ggn6imquQ/Aze/iuTE7PaxDvf17q9bgrXI/thyJjsGRz0ZRLG/5SQYQ3TToEMtB7XgD5L/VKZ+g==" saltValue="gNAoRbLiX8I2Um5VajdDwQ==" spinCount="100000" sheet="1" objects="1" scenarios="1"/>
  <phoneticPr fontId="21" type="noConversion"/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C19BE-B81F-4F96-A845-CAD1DC768A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FUID</vt:lpstr>
      <vt:lpstr>LISTA DESPLEGABLE</vt:lpstr>
      <vt:lpstr>CODIGD</vt:lpstr>
      <vt:lpstr>DEPENDENCIA</vt:lpstr>
      <vt:lpstr>DEPENDENCIA_SECCION</vt:lpstr>
      <vt:lpstr>OFICINAPRODUCTORA</vt:lpstr>
      <vt:lpstr>OFICINAS</vt:lpstr>
      <vt:lpstr>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concejocmcchia1@outlook.com</dc:creator>
  <cp:lastModifiedBy>concejo chia</cp:lastModifiedBy>
  <cp:lastPrinted>2025-04-09T19:36:04Z</cp:lastPrinted>
  <dcterms:created xsi:type="dcterms:W3CDTF">2025-01-03T20:22:44Z</dcterms:created>
  <dcterms:modified xsi:type="dcterms:W3CDTF">2026-03-26T17:39:35Z</dcterms:modified>
</cp:coreProperties>
</file>