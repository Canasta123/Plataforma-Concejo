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30.30.30.51\compartida\SGC CONCEJO CHIA\5. Procesos  SGC\7. GESTIÓN DOCUMENTAL  Y TECNOLOGIAS DE LA INFORMACIÓN\3. Formatos\3.1 Formatos - Gestión Documental\008_ROT_CARPETA\"/>
    </mc:Choice>
  </mc:AlternateContent>
  <xr:revisionPtr revIDLastSave="0" documentId="13_ncr:1_{413E5454-BAD5-4B56-8F15-AE85E0CDD4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3" sheetId="3" r:id="rId1"/>
    <sheet name="Hoja1 (2)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F9" i="3"/>
  <c r="F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FAMILIA</author>
  </authors>
  <commentList>
    <comment ref="D92" authorId="0" shapeId="0" xr:uid="{3D5B827D-BAC5-46E5-A2A0-2BE8DA0822EB}">
      <text>
        <r>
          <rPr>
            <sz val="11"/>
            <color indexed="81"/>
            <rFont val="Tahoma"/>
            <family val="2"/>
          </rPr>
          <t>FAMILIA:
Soporte papel o electrónico o Digital.</t>
        </r>
      </text>
    </comment>
  </commentList>
</comments>
</file>

<file path=xl/sharedStrings.xml><?xml version="1.0" encoding="utf-8"?>
<sst xmlns="http://schemas.openxmlformats.org/spreadsheetml/2006/main" count="376" uniqueCount="347">
  <si>
    <t>SISTEMA GESTIÓN DE CALIDAD</t>
  </si>
  <si>
    <t>CONCEJO MUNICIPAL DE CHÍA</t>
  </si>
  <si>
    <t>CÓDIGO:</t>
  </si>
  <si>
    <t>SERIE:</t>
  </si>
  <si>
    <t>SUBSERIE:</t>
  </si>
  <si>
    <t>FECHA INICIAL:</t>
  </si>
  <si>
    <t>FECHA FINAL:</t>
  </si>
  <si>
    <t>No. DE CARPETA</t>
  </si>
  <si>
    <t>NÚMERO DE FOLIOS:</t>
  </si>
  <si>
    <r>
      <t xml:space="preserve">VERSIÓN: </t>
    </r>
    <r>
      <rPr>
        <sz val="8"/>
        <color rgb="FF000000"/>
        <rFont val="Arial"/>
        <family val="2"/>
      </rPr>
      <t>03</t>
    </r>
  </si>
  <si>
    <t>DEPENDENCIA SECCION:</t>
  </si>
  <si>
    <t>OFICINA PRODUCTORA SUBSECCION:</t>
  </si>
  <si>
    <t>NOMBRE DEL EXPEDIENTE:</t>
  </si>
  <si>
    <t>TOMO:</t>
  </si>
  <si>
    <t>CAJA N°:</t>
  </si>
  <si>
    <t>NÚMERO DE EXPEDIENTE:</t>
  </si>
  <si>
    <t>N/A</t>
  </si>
  <si>
    <t>OFICINA ASESORA DE PRENSA Y COMUNICACIONES</t>
  </si>
  <si>
    <t>CONVENIOS</t>
  </si>
  <si>
    <t>Auditoria Interna</t>
  </si>
  <si>
    <t xml:space="preserve">GESTIÓN DOCUMENTAL Y TECNOLOGÍAS DE LA INFORMACIÓN  </t>
  </si>
  <si>
    <t>CODIGO</t>
  </si>
  <si>
    <t>DEPENDENCIA SECCION</t>
  </si>
  <si>
    <t>GESTION JURIDICA</t>
  </si>
  <si>
    <t xml:space="preserve">CAJA </t>
  </si>
  <si>
    <t>OFICINA DE CONTROL INTERNO</t>
  </si>
  <si>
    <t xml:space="preserve">GESTION DE RECURSOS FISICOS  TECNOLOGICOS </t>
  </si>
  <si>
    <t>CARPETA</t>
  </si>
  <si>
    <t>GESTION DEL TALENTO HUMANO</t>
  </si>
  <si>
    <t>SECRETARIA GENERAL</t>
  </si>
  <si>
    <t xml:space="preserve">TOMO </t>
  </si>
  <si>
    <t xml:space="preserve">GESTION DOCUMENTAL </t>
  </si>
  <si>
    <t>DIRECCIÓN ADMINISTRATIVA Y FINANCIERA</t>
  </si>
  <si>
    <t>UNICO</t>
  </si>
  <si>
    <t>1 de 2</t>
  </si>
  <si>
    <t>SALUD Y SEGURIDAD EN EL TRABAJO</t>
  </si>
  <si>
    <t>2 de 2</t>
  </si>
  <si>
    <t>PLANEACION Y DIRECCIONAMIENTO ESTRATEGICO</t>
  </si>
  <si>
    <t>1 de 3</t>
  </si>
  <si>
    <t xml:space="preserve">GESTION DE TRECNOLOGIAS DE LA  INFORMACION </t>
  </si>
  <si>
    <t>2 de 3</t>
  </si>
  <si>
    <t>GESTION DE GESTION DE  CALIDAD</t>
  </si>
  <si>
    <t>3 de 3</t>
  </si>
  <si>
    <t>GESTION CONTRACTUAL</t>
  </si>
  <si>
    <t>1 de 4</t>
  </si>
  <si>
    <t>VENTANILLA UNICA</t>
  </si>
  <si>
    <t>2 de 4</t>
  </si>
  <si>
    <t>3 de 4</t>
  </si>
  <si>
    <t>4 de 4</t>
  </si>
  <si>
    <t>1 de 5</t>
  </si>
  <si>
    <t>2 de 5</t>
  </si>
  <si>
    <t>3 de 5</t>
  </si>
  <si>
    <t>4 de 5</t>
  </si>
  <si>
    <t>5 de 5</t>
  </si>
  <si>
    <t>1 de 6</t>
  </si>
  <si>
    <t>SERIES</t>
  </si>
  <si>
    <t>SUBSERIES</t>
  </si>
  <si>
    <t>2 de 6</t>
  </si>
  <si>
    <t>ACTAS</t>
  </si>
  <si>
    <t>Actas de Comisión Accidental y de Ética</t>
  </si>
  <si>
    <t>1.1</t>
  </si>
  <si>
    <t>3 de 6</t>
  </si>
  <si>
    <t>ACTOS ADMINISTRATIVOS</t>
  </si>
  <si>
    <t>Actas de Comisión Permanente</t>
  </si>
  <si>
    <t>1.2</t>
  </si>
  <si>
    <t>4 de 6</t>
  </si>
  <si>
    <t>ACUERDOS MUNICIPALES</t>
  </si>
  <si>
    <t>Actas de Comisión de Personal</t>
  </si>
  <si>
    <t>1.3</t>
  </si>
  <si>
    <t>5 de 6</t>
  </si>
  <si>
    <t>AUDITORIAS</t>
  </si>
  <si>
    <t>Actas de Comité de Control Interno</t>
  </si>
  <si>
    <t>1.4</t>
  </si>
  <si>
    <t>6 de 6</t>
  </si>
  <si>
    <t>CERTIFICACIONES</t>
  </si>
  <si>
    <t>Actas de Comité Interno de Archivo</t>
  </si>
  <si>
    <t>1.5</t>
  </si>
  <si>
    <t>1 de 7</t>
  </si>
  <si>
    <t>COMPROBANTES DE ALMACÉN</t>
  </si>
  <si>
    <t>Actas de Posesion</t>
  </si>
  <si>
    <t>1.6</t>
  </si>
  <si>
    <t>2 de 7</t>
  </si>
  <si>
    <t>CONCILIACIONES BANCARIAS</t>
  </si>
  <si>
    <t>Actas Sesión Plenaria</t>
  </si>
  <si>
    <t>1.7</t>
  </si>
  <si>
    <t>3 de 7</t>
  </si>
  <si>
    <t>CONTRATOS</t>
  </si>
  <si>
    <t>Actas de Comité Institucional de Gestión y
Desempeño</t>
  </si>
  <si>
    <t>1.8</t>
  </si>
  <si>
    <t>4 de 7</t>
  </si>
  <si>
    <t>Acta Comisión Legal para la Equidad de la Mujer</t>
  </si>
  <si>
    <t>1.9</t>
  </si>
  <si>
    <t>5 de 7</t>
  </si>
  <si>
    <t>DECLARACIONES TRIBUTARIAS</t>
  </si>
  <si>
    <t xml:space="preserve">Circulares </t>
  </si>
  <si>
    <t>2.1</t>
  </si>
  <si>
    <t>6 de 7</t>
  </si>
  <si>
    <t>DERECHOS DE PETICIÓN. QUEJAS. RECLAMOS. SUGERENCIAS Y DENUNCIAS</t>
  </si>
  <si>
    <t>4.1</t>
  </si>
  <si>
    <t>7 de 7</t>
  </si>
  <si>
    <t>HISTORIAS LABORALES</t>
  </si>
  <si>
    <t>Auditoria Externa</t>
  </si>
  <si>
    <t>4.2</t>
  </si>
  <si>
    <t>1 de 8</t>
  </si>
  <si>
    <t>IMAGEN CORPORATIVA</t>
  </si>
  <si>
    <t>Certificados de Asistencia de Concejales</t>
  </si>
  <si>
    <t>5.1</t>
  </si>
  <si>
    <t>2 de 8</t>
  </si>
  <si>
    <t>INFORMACIÓN INSTITUCIONAL</t>
  </si>
  <si>
    <t>Certificados de Documentos</t>
  </si>
  <si>
    <t>5.2</t>
  </si>
  <si>
    <t>3 de 8</t>
  </si>
  <si>
    <t>INFORMES</t>
  </si>
  <si>
    <t>Certificados de Honorarios</t>
  </si>
  <si>
    <t>5.3</t>
  </si>
  <si>
    <t>4 de 8</t>
  </si>
  <si>
    <t>INSTRUMENTOS ARCHIVISTICOS</t>
  </si>
  <si>
    <t>Comprobantes de Baja de bienes de Almacén</t>
  </si>
  <si>
    <t>6.1</t>
  </si>
  <si>
    <t>5 de 8</t>
  </si>
  <si>
    <t>INSTRUMENTOS DE CONTROL</t>
  </si>
  <si>
    <t>Comprobantes de Egreso de bienes de Almacén</t>
  </si>
  <si>
    <t>6.2</t>
  </si>
  <si>
    <t>6 de 8</t>
  </si>
  <si>
    <t>LIBROS</t>
  </si>
  <si>
    <t>Comprobantes de Ingreso de bienes de Almacén</t>
  </si>
  <si>
    <t>6.3</t>
  </si>
  <si>
    <t>7 de 8</t>
  </si>
  <si>
    <t>LIBROS CONTABLE AUXILIARES</t>
  </si>
  <si>
    <t>Inventario general de bienes devolutivos y de consumo</t>
  </si>
  <si>
    <t>6.4</t>
  </si>
  <si>
    <t>8 de 8</t>
  </si>
  <si>
    <t>LIBROS CONTABLES PRINCIPALES</t>
  </si>
  <si>
    <t>Contratación Directa</t>
  </si>
  <si>
    <t>8.1</t>
  </si>
  <si>
    <t>1 de 9</t>
  </si>
  <si>
    <t>MANUAL</t>
  </si>
  <si>
    <t>Contratos de Mínima Cuantía</t>
  </si>
  <si>
    <t>8.2</t>
  </si>
  <si>
    <t>2 de 9</t>
  </si>
  <si>
    <t>NOMINA</t>
  </si>
  <si>
    <t>Contratos de Prestación de Servicios</t>
  </si>
  <si>
    <t>8.3</t>
  </si>
  <si>
    <t>3 de 9</t>
  </si>
  <si>
    <t>PAGOS</t>
  </si>
  <si>
    <t>Contratos de Subasta Inversa Presencial</t>
  </si>
  <si>
    <t>8.4</t>
  </si>
  <si>
    <t>4 de 9</t>
  </si>
  <si>
    <t>PRESUPUESTO DE GASTO DE FUNCIONAMIENTO</t>
  </si>
  <si>
    <t>Convenios Interadministrativos</t>
  </si>
  <si>
    <t>9.1</t>
  </si>
  <si>
    <t>5 de 9</t>
  </si>
  <si>
    <t>PROCESOS</t>
  </si>
  <si>
    <t>Declaraciones de Retención de Industria y Comercio</t>
  </si>
  <si>
    <t>10.1</t>
  </si>
  <si>
    <t>6 de 9</t>
  </si>
  <si>
    <t>PROGRAMAS</t>
  </si>
  <si>
    <t>Declaraciones de Retenciones en la Fuente</t>
  </si>
  <si>
    <t>10.2</t>
  </si>
  <si>
    <t>7 de 9</t>
  </si>
  <si>
    <t>PROPOSICIONES</t>
  </si>
  <si>
    <t>Estampilla Gerontológico</t>
  </si>
  <si>
    <t>10.3</t>
  </si>
  <si>
    <t>8 de 9</t>
  </si>
  <si>
    <t>PROYECTOS DE ACUERDO ARCHIVADOS. NEGADOS Y RETIRADOS</t>
  </si>
  <si>
    <t>Estampilla Procultura</t>
  </si>
  <si>
    <t>10.4</t>
  </si>
  <si>
    <t>9 de 9</t>
  </si>
  <si>
    <t>PUBLICACIONES INSTITUCIONALES</t>
  </si>
  <si>
    <t>Estampilla Tasa Prodeporte</t>
  </si>
  <si>
    <t>10.5</t>
  </si>
  <si>
    <t>1 de 10</t>
  </si>
  <si>
    <t>RESOLUCIONES</t>
  </si>
  <si>
    <t>Informe a Entes de Control</t>
  </si>
  <si>
    <t>15.1</t>
  </si>
  <si>
    <t>2 de 10</t>
  </si>
  <si>
    <t>SISTEMA DE GESTIÓN DE LA SEGURIDAD Y LA SALUD EN EL TRABAJO</t>
  </si>
  <si>
    <t>Informe de Auditoría del Sistema de Gestión de Calidad</t>
  </si>
  <si>
    <t>15.2</t>
  </si>
  <si>
    <t>3 de 10</t>
  </si>
  <si>
    <t>SISTEMAS DE INFORMACIÓN</t>
  </si>
  <si>
    <t>Informe de Ejecución presupuestal</t>
  </si>
  <si>
    <t>15.3</t>
  </si>
  <si>
    <t>4 de 10</t>
  </si>
  <si>
    <t>TRANSFERENCIAS DOCUMENTALES</t>
  </si>
  <si>
    <t>Informe de Gestión</t>
  </si>
  <si>
    <t>15.4</t>
  </si>
  <si>
    <t>5 de 10</t>
  </si>
  <si>
    <t>TRASLADOS PRESUPUESTALES</t>
  </si>
  <si>
    <t>Informe de Seguimiento a Derechos de Petición y PQRS</t>
  </si>
  <si>
    <t>15.5</t>
  </si>
  <si>
    <t>6 de 10</t>
  </si>
  <si>
    <t>MECANISMO PARTICIPACION CIUDADANA</t>
  </si>
  <si>
    <t>Informe de Seguimiento a Mapas de Riesgo</t>
  </si>
  <si>
    <t>15.6</t>
  </si>
  <si>
    <t>7 de 10</t>
  </si>
  <si>
    <t>INFORMACIÓN FINANCIERA</t>
  </si>
  <si>
    <t>Informe de Seguimiento de Controles de Advertencia</t>
  </si>
  <si>
    <t>15.7</t>
  </si>
  <si>
    <t>8 de 10</t>
  </si>
  <si>
    <t>CONCEPTOS</t>
  </si>
  <si>
    <t>Informes Ejecutivos Anuales de Evaluación al Sistema de Control Interno</t>
  </si>
  <si>
    <t>15.8</t>
  </si>
  <si>
    <t>9 de 10</t>
  </si>
  <si>
    <t>SISTEMA DE GESTIÓN DE CALIDAD</t>
  </si>
  <si>
    <t>Informe Financiero y Contable</t>
  </si>
  <si>
    <t>15.9</t>
  </si>
  <si>
    <t>10 de 10</t>
  </si>
  <si>
    <t>INVENTARIOS</t>
  </si>
  <si>
    <t>Informes Pormenorizados del Estado de Control Interno</t>
  </si>
  <si>
    <t>15.10</t>
  </si>
  <si>
    <t>Informe a otros organismos del Estado</t>
  </si>
  <si>
    <t>15.11</t>
  </si>
  <si>
    <t>Planes Institucionales de Archivo - PINAR</t>
  </si>
  <si>
    <t>16.1</t>
  </si>
  <si>
    <t>Programa de Gestión Documetal - PGD</t>
  </si>
  <si>
    <t>16.2</t>
  </si>
  <si>
    <t>Tablas de Retención Documental</t>
  </si>
  <si>
    <t>16.3</t>
  </si>
  <si>
    <t>Inventario Documental (FUID)</t>
  </si>
  <si>
    <t>16.4</t>
  </si>
  <si>
    <t>Columna1</t>
  </si>
  <si>
    <t>Columna2</t>
  </si>
  <si>
    <t>Instrumentos de Control de Comunicaciones Oficiales</t>
  </si>
  <si>
    <t>17.1</t>
  </si>
  <si>
    <t>tipo de formato ELECTRONICO</t>
  </si>
  <si>
    <t>Libros de Registro de Inscripciones de Participación Ciudadana</t>
  </si>
  <si>
    <t>18.1</t>
  </si>
  <si>
    <t>PDF - /A - PDFE -PDF-X -PDF-VT- PDF-UA PAdES-pdf-h</t>
  </si>
  <si>
    <t>Libros de Intéres de Concejales</t>
  </si>
  <si>
    <t>18.2</t>
  </si>
  <si>
    <t>WORD - DOC- DOCX</t>
  </si>
  <si>
    <t>Libro Diario</t>
  </si>
  <si>
    <t>20.1</t>
  </si>
  <si>
    <t>EXCEL - XLS-XLSX -XLSM</t>
  </si>
  <si>
    <t>Libro Mayor</t>
  </si>
  <si>
    <t>20.2</t>
  </si>
  <si>
    <t>AUDIO - MP3-MP2-WAV-EAVW-BWF-AIFF-AU-MIDI-MPG-4-WMA</t>
  </si>
  <si>
    <t>Manual de Contratación</t>
  </si>
  <si>
    <t>21.1</t>
  </si>
  <si>
    <t>VIDEO -MP4-ASF-AVI M4V-MOV-MPG-MPEG-WMV</t>
  </si>
  <si>
    <t>Manual de Procesos y procedimientos</t>
  </si>
  <si>
    <t>21.2</t>
  </si>
  <si>
    <t>IMÁGENES JPG-PNG-GIF-WMF-EMF-JFIF-JPEG-EXIF-TIFF</t>
  </si>
  <si>
    <t>Manual Específico de Funciones. requisitos y Competencias laborales</t>
  </si>
  <si>
    <t>21.3</t>
  </si>
  <si>
    <t>PLANOS</t>
  </si>
  <si>
    <t>Pagos de Servicios Públicos</t>
  </si>
  <si>
    <t>23.1</t>
  </si>
  <si>
    <t>NOTAS - TXT</t>
  </si>
  <si>
    <t>EPS de Concejales</t>
  </si>
  <si>
    <t>23.2</t>
  </si>
  <si>
    <t xml:space="preserve">RTF </t>
  </si>
  <si>
    <t>Honorarios a Concejales</t>
  </si>
  <si>
    <t>23.3</t>
  </si>
  <si>
    <t>XML</t>
  </si>
  <si>
    <t>TIPO FISICO</t>
  </si>
  <si>
    <t>Presupuesto de gasto de funcionamiento</t>
  </si>
  <si>
    <t>24.1</t>
  </si>
  <si>
    <t>HTML</t>
  </si>
  <si>
    <t>LIBRO</t>
  </si>
  <si>
    <t>Reducciones Presupuesto</t>
  </si>
  <si>
    <t>24.2</t>
  </si>
  <si>
    <t>HOTS</t>
  </si>
  <si>
    <t>PLANO</t>
  </si>
  <si>
    <t>Procesos Disciplinarios</t>
  </si>
  <si>
    <t>25.1</t>
  </si>
  <si>
    <t>CSV</t>
  </si>
  <si>
    <t>CDS</t>
  </si>
  <si>
    <t>Procesos Judiciales</t>
  </si>
  <si>
    <t>25.2</t>
  </si>
  <si>
    <t>ODS</t>
  </si>
  <si>
    <t>USB</t>
  </si>
  <si>
    <t>Programas de Bienestar Social</t>
  </si>
  <si>
    <t>26.1</t>
  </si>
  <si>
    <t>ODT</t>
  </si>
  <si>
    <t>FOTOGRAFIA</t>
  </si>
  <si>
    <t>Gaceta Municipal</t>
  </si>
  <si>
    <t>29.1</t>
  </si>
  <si>
    <t>ODG</t>
  </si>
  <si>
    <t>REVISTA</t>
  </si>
  <si>
    <t>Actas de Comité de Convivencia Laboral</t>
  </si>
  <si>
    <t>31.1</t>
  </si>
  <si>
    <t>ODP</t>
  </si>
  <si>
    <t>PERIODICO</t>
  </si>
  <si>
    <t xml:space="preserve">Actas de Comité Paritario de Salud  Ocupacional - COPASST Vigia </t>
  </si>
  <si>
    <t>31.2</t>
  </si>
  <si>
    <t>VIDEO CASETTE</t>
  </si>
  <si>
    <t>Informe de Enfermedades Laborales. incidentes y Accidentes de Trabajo</t>
  </si>
  <si>
    <t>31.3</t>
  </si>
  <si>
    <t xml:space="preserve">PDF - /A </t>
  </si>
  <si>
    <t>Informe de Evaluación y Valoración de Riesgos</t>
  </si>
  <si>
    <t>31.4</t>
  </si>
  <si>
    <t xml:space="preserve">WORD </t>
  </si>
  <si>
    <t>Plan Anual de Capacitaciones</t>
  </si>
  <si>
    <t>31.5</t>
  </si>
  <si>
    <t>EXCEL</t>
  </si>
  <si>
    <t>Plan de Prevención. Preparación y Respuesta ante Emergencias</t>
  </si>
  <si>
    <t>31.6</t>
  </si>
  <si>
    <t xml:space="preserve">AUDIO </t>
  </si>
  <si>
    <t>SOPORTE</t>
  </si>
  <si>
    <t>Politicas</t>
  </si>
  <si>
    <t>31.7</t>
  </si>
  <si>
    <t>VIDEO</t>
  </si>
  <si>
    <t>PAPEL</t>
  </si>
  <si>
    <t>Programa de promoción y prevención</t>
  </si>
  <si>
    <t>31.8</t>
  </si>
  <si>
    <t>IMÁGENES</t>
  </si>
  <si>
    <t>ELECTRONICO</t>
  </si>
  <si>
    <t>Gestión al Cambio</t>
  </si>
  <si>
    <t>31.9</t>
  </si>
  <si>
    <t>DIGITAL</t>
  </si>
  <si>
    <t>Sistema de Gestión de la Seguridad y la Salud en el Trabajo</t>
  </si>
  <si>
    <t>31.10</t>
  </si>
  <si>
    <t>NOTAS</t>
  </si>
  <si>
    <t>HIBRIDO</t>
  </si>
  <si>
    <t>Sistema Corrycom</t>
  </si>
  <si>
    <t>32.1</t>
  </si>
  <si>
    <t>Sistema de Información Financiera y Administrativa</t>
  </si>
  <si>
    <t>32.2</t>
  </si>
  <si>
    <t>Transferencia Documental Primaria</t>
  </si>
  <si>
    <t>33.1</t>
  </si>
  <si>
    <t>Cabildo Abierto</t>
  </si>
  <si>
    <t>35.1</t>
  </si>
  <si>
    <t>Entidades Bancarias</t>
  </si>
  <si>
    <t>36.1</t>
  </si>
  <si>
    <t>Conceptos Jurídicos</t>
  </si>
  <si>
    <t>37.1</t>
  </si>
  <si>
    <t>Sistema de Gestión de Calidad OCI</t>
  </si>
  <si>
    <t>38.1</t>
  </si>
  <si>
    <t>Sistema de Gestión de Calidad OAPC</t>
  </si>
  <si>
    <t>38.2</t>
  </si>
  <si>
    <t>Sistema de Gestión de Calidad SG</t>
  </si>
  <si>
    <t>38.3</t>
  </si>
  <si>
    <t>Sistema de gestión de Calidad DAF</t>
  </si>
  <si>
    <t>38.4</t>
  </si>
  <si>
    <t>Sistema de Gestión de Calidad Mesa Directiva</t>
  </si>
  <si>
    <t>38.5</t>
  </si>
  <si>
    <t>Procedimientos</t>
  </si>
  <si>
    <t>38.6</t>
  </si>
  <si>
    <t>39.1</t>
  </si>
  <si>
    <t>ROTULO DE CARPETA</t>
  </si>
  <si>
    <t>FECHA:  7/04/2025</t>
  </si>
  <si>
    <t>CONTABILIDAD</t>
  </si>
  <si>
    <t xml:space="preserve">TESORERIA </t>
  </si>
  <si>
    <t>Actas Sesion Plenaria No. 44 del 2025</t>
  </si>
  <si>
    <t xml:space="preserve">                    1       AL         31                 TOTAL: 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</si>
</sst>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2" xfId="0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2" borderId="0" xfId="0" applyFill="1"/>
    <xf numFmtId="0" fontId="0" fillId="0" borderId="14" xfId="0" applyBorder="1" applyAlignment="1">
      <alignment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left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0" fillId="3" borderId="0" xfId="0" applyFill="1"/>
    <xf numFmtId="0" fontId="0" fillId="0" borderId="17" xfId="0" applyBorder="1"/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wrapText="1"/>
    </xf>
    <xf numFmtId="0" fontId="0" fillId="0" borderId="15" xfId="0" applyBorder="1" applyAlignment="1">
      <alignment horizontal="center" vertical="center"/>
    </xf>
    <xf numFmtId="0" fontId="6" fillId="0" borderId="13" xfId="0" applyFont="1" applyBorder="1" applyAlignment="1" applyProtection="1">
      <alignment horizontal="left" vertical="center" wrapText="1"/>
      <protection locked="0"/>
    </xf>
    <xf numFmtId="0" fontId="6" fillId="0" borderId="18" xfId="0" applyFont="1" applyBorder="1" applyAlignment="1" applyProtection="1">
      <alignment horizontal="left" vertical="center" wrapText="1"/>
      <protection locked="0"/>
    </xf>
    <xf numFmtId="0" fontId="6" fillId="0" borderId="13" xfId="0" applyFont="1" applyBorder="1" applyAlignment="1">
      <alignment vertical="center" wrapText="1"/>
    </xf>
    <xf numFmtId="0" fontId="6" fillId="0" borderId="0" xfId="0" applyFont="1" applyAlignment="1" applyProtection="1">
      <alignment horizontal="left" vertical="center" wrapText="1"/>
      <protection locked="0"/>
    </xf>
    <xf numFmtId="0" fontId="0" fillId="0" borderId="18" xfId="0" applyBorder="1" applyAlignment="1">
      <alignment horizontal="center"/>
    </xf>
    <xf numFmtId="2" fontId="0" fillId="0" borderId="13" xfId="0" applyNumberForma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/>
    </xf>
    <xf numFmtId="0" fontId="6" fillId="0" borderId="18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/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14" fontId="4" fillId="0" borderId="7" xfId="0" applyNumberFormat="1" applyFont="1" applyBorder="1" applyAlignment="1">
      <alignment horizontal="center" vertical="center"/>
    </xf>
    <xf numFmtId="0" fontId="4" fillId="0" borderId="8" xfId="0" applyFont="1" applyBorder="1"/>
    <xf numFmtId="0" fontId="4" fillId="0" borderId="21" xfId="0" applyFont="1" applyBorder="1"/>
    <xf numFmtId="0" fontId="4" fillId="0" borderId="9" xfId="0" applyFont="1" applyBorder="1"/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3" xfId="0" applyFont="1" applyBorder="1"/>
    <xf numFmtId="0" fontId="4" fillId="0" borderId="24" xfId="0" applyFont="1" applyBorder="1"/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wrapText="1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4" borderId="6" xfId="0" applyFont="1" applyFill="1" applyBorder="1"/>
    <xf numFmtId="0" fontId="4" fillId="0" borderId="6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3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00B050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1" indent="0" justifyLastLine="0" shrinkToFit="0" readingOrder="0"/>
    </dxf>
    <dxf>
      <alignment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2</xdr:row>
      <xdr:rowOff>38101</xdr:rowOff>
    </xdr:from>
    <xdr:to>
      <xdr:col>2</xdr:col>
      <xdr:colOff>953398</xdr:colOff>
      <xdr:row>4</xdr:row>
      <xdr:rowOff>57150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CBB699D-F3C5-5A0D-12FD-C18423281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428626"/>
          <a:ext cx="905773" cy="4000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6E948-9A2D-4157-9D40-4F9BD46A05B9}" name="Tabla2" displayName="Tabla2" ref="C4:C18" totalsRowShown="0" headerRowDxfId="35" dataDxfId="33" headerRowBorderDxfId="34" tableBorderDxfId="32" totalsRowBorderDxfId="31">
  <autoFilter ref="C4:C18" xr:uid="{092037E0-DA19-4A4E-8D21-DA54395E7D8F}"/>
  <tableColumns count="1">
    <tableColumn id="1" xr3:uid="{19EFC82C-7783-4ED8-9F72-679F0C780E20}" name="OFICINA PRODUCTORA SUBSECCION: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6F2AC1-23B3-4AC0-A49D-8B1C36020AF4}" name="Tabla1" displayName="Tabla1" ref="I4:I8" totalsRowShown="0" headerRowDxfId="29" dataDxfId="27" headerRowBorderDxfId="28" tableBorderDxfId="26" totalsRowBorderDxfId="25">
  <autoFilter ref="I4:I8" xr:uid="{484A5966-DB01-4F71-BECC-4E67CDF458F4}"/>
  <tableColumns count="1">
    <tableColumn id="1" xr3:uid="{68F36171-064D-419A-B525-8EB0A2693D83}" name="DEPENDENCIA SECCION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DA14B1-A318-4C0D-9C24-F065F1F4350C}" name="Tabla3" displayName="Tabla3" ref="J4:J8" totalsRowShown="0" headerRowDxfId="23" dataDxfId="21" headerRowBorderDxfId="22" tableBorderDxfId="20" totalsRowBorderDxfId="19">
  <autoFilter ref="J4:J8" xr:uid="{B6F3C103-3C9A-4C43-89FA-10C1F48A00D9}"/>
  <tableColumns count="1">
    <tableColumn id="1" xr3:uid="{E2628213-86BA-4D1C-BE13-3018EBC04D2B}" name="CODIGO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D0C899-38F5-4B5D-A4F7-47EB1C2597BE}" name="Tabla4" displayName="Tabla4" ref="C24:D63" totalsRowShown="0" dataDxfId="16" headerRowBorderDxfId="17" tableBorderDxfId="15">
  <autoFilter ref="C24:D63" xr:uid="{C5CF4228-FD49-4C36-9CFD-736496A0C0C3}"/>
  <tableColumns count="2">
    <tableColumn id="1" xr3:uid="{83C7EC49-AF1B-458A-918F-1098489E6F15}" name="SERIES" dataDxfId="14"/>
    <tableColumn id="2" xr3:uid="{54614CA8-6E5A-48D8-BA05-A1395B858B4E}" name="CODIGO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868391-3F74-44C0-B623-83F272C36298}" name="Tabla5" displayName="Tabla5" ref="I24:J109" totalsRowShown="0" headerRowDxfId="12">
  <autoFilter ref="I24:J109" xr:uid="{D65DF625-FC96-411F-BA30-AA5BD0BB70A4}"/>
  <tableColumns count="2">
    <tableColumn id="1" xr3:uid="{86C42102-1EF4-4B9C-9E6C-FCEB182CB7CC}" name="SUBSERIES" dataDxfId="11"/>
    <tableColumn id="2" xr3:uid="{C2B352E3-265A-48F8-92EB-A654537ED61F}" name="CODIGO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EEBE1B-A11E-4290-8FFE-9FAE195EF767}" name="Tabla6" displayName="Tabla6" ref="N7:N62" totalsRowShown="0" headerRowDxfId="9" dataDxfId="8" tableBorderDxfId="7">
  <autoFilter ref="N7:N62" xr:uid="{07058BBB-7AE8-4F53-9EB6-888A0FA9D4FC}"/>
  <tableColumns count="1">
    <tableColumn id="1" xr3:uid="{F964AA91-CBB4-4C27-B531-C81D2BF3279C}" name="TOMO 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937112-C0F0-4D4E-961C-36E6CC57373C}" name="Tabla48" displayName="Tabla48" ref="F5:F20" totalsRowShown="0" headerRowDxfId="5" dataDxfId="4">
  <autoFilter ref="F5:F20" xr:uid="{F6F1E08D-3FC8-4FEE-BF3C-BFAD48D840B1}"/>
  <tableColumns count="1">
    <tableColumn id="1" xr3:uid="{A7A195DF-DC2F-4315-9BBE-D946BB07482D}" name="CAJA " dataDxfId="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0842E56-91EB-43BA-BC3F-E307FBA09229}" name="Tabla59" displayName="Tabla59" ref="Q6:Q36" totalsRowShown="0" headerRowDxfId="2" dataDxfId="1">
  <autoFilter ref="Q6:Q36" xr:uid="{6230C6D9-24FE-40D4-9986-00C64D3F0AD1}"/>
  <tableColumns count="1">
    <tableColumn id="1" xr3:uid="{F65613EA-4340-400B-9065-FF85B3C92180}" name="CARPETA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3996B51-3C40-488B-A59A-0A9E40F9B766}" name="Tabla9" displayName="Tabla9" ref="O68:P87" totalsRowShown="0">
  <autoFilter ref="O68:P87" xr:uid="{0A1A89AA-8CEC-460D-862E-38B37792FFBE}"/>
  <tableColumns count="2">
    <tableColumn id="1" xr3:uid="{61F46263-CDAD-4F5C-BE73-C4A3A495DECF}" name="Columna1"/>
    <tableColumn id="2" xr3:uid="{4E5DDF75-BD2C-4245-BFC1-DC39798D063B}" name="Columna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7AC5504-3787-4ACB-9B46-17F0ABCFAA41}" name="Tabla10" displayName="Tabla10" ref="R78:R87" totalsRowShown="0">
  <autoFilter ref="R78:R87" xr:uid="{9EF21A71-17D5-4961-9F88-AB6724B292C1}"/>
  <tableColumns count="1">
    <tableColumn id="1" xr3:uid="{D3AE768A-E563-4AE1-8495-BFC779B99D65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B39F-E4B1-42C9-ABA0-9DF8C0D943FC}">
  <sheetPr>
    <pageSetUpPr fitToPage="1"/>
  </sheetPr>
  <dimension ref="B1:F16"/>
  <sheetViews>
    <sheetView tabSelected="1" zoomScale="114" zoomScaleNormal="114" workbookViewId="0">
      <selection activeCell="D5" sqref="D5:F5"/>
    </sheetView>
  </sheetViews>
  <sheetFormatPr baseColWidth="10" defaultRowHeight="15" x14ac:dyDescent="0.25"/>
  <cols>
    <col min="1" max="1" width="10.42578125" customWidth="1"/>
    <col min="2" max="2" width="5.42578125" hidden="1" customWidth="1"/>
    <col min="3" max="3" width="15.140625" customWidth="1"/>
    <col min="4" max="4" width="37" customWidth="1"/>
    <col min="5" max="5" width="11.28515625" customWidth="1"/>
    <col min="6" max="6" width="17.5703125" customWidth="1"/>
  </cols>
  <sheetData>
    <row r="1" spans="3:6" ht="15.75" thickBot="1" x14ac:dyDescent="0.3"/>
    <row r="2" spans="3:6" x14ac:dyDescent="0.25">
      <c r="C2" s="60"/>
      <c r="D2" s="62" t="s">
        <v>0</v>
      </c>
      <c r="E2" s="63"/>
      <c r="F2" s="64"/>
    </row>
    <row r="3" spans="3:6" x14ac:dyDescent="0.25">
      <c r="C3" s="61"/>
      <c r="D3" s="65" t="s">
        <v>1</v>
      </c>
      <c r="E3" s="66"/>
      <c r="F3" s="67"/>
    </row>
    <row r="4" spans="3:6" x14ac:dyDescent="0.25">
      <c r="C4" s="61"/>
      <c r="D4" s="65" t="s">
        <v>20</v>
      </c>
      <c r="E4" s="66"/>
      <c r="F4" s="67"/>
    </row>
    <row r="5" spans="3:6" ht="15.75" thickBot="1" x14ac:dyDescent="0.3">
      <c r="C5" s="61"/>
      <c r="D5" s="68" t="s">
        <v>341</v>
      </c>
      <c r="E5" s="69"/>
      <c r="F5" s="70"/>
    </row>
    <row r="6" spans="3:6" ht="12.75" customHeight="1" thickBot="1" x14ac:dyDescent="0.3">
      <c r="C6" s="61"/>
      <c r="D6" s="36" t="s">
        <v>9</v>
      </c>
      <c r="E6" s="71" t="s">
        <v>342</v>
      </c>
      <c r="F6" s="72"/>
    </row>
    <row r="7" spans="3:6" ht="23.25" customHeight="1" x14ac:dyDescent="0.25">
      <c r="C7" s="46" t="s">
        <v>10</v>
      </c>
      <c r="D7" s="50" t="s">
        <v>25</v>
      </c>
      <c r="E7" s="54" t="s">
        <v>2</v>
      </c>
      <c r="F7" s="39">
        <f>VLOOKUP(D7,'Hoja1 (2)'!I5:J8,2,FALSE)</f>
        <v>111</v>
      </c>
    </row>
    <row r="8" spans="3:6" ht="33.75" x14ac:dyDescent="0.25">
      <c r="C8" s="47" t="s">
        <v>11</v>
      </c>
      <c r="D8" s="51" t="s">
        <v>16</v>
      </c>
      <c r="E8" s="55" t="s">
        <v>2</v>
      </c>
      <c r="F8" s="40" t="str">
        <f>VLOOKUP(D8,'Hoja1 (2)'!C5:D18,2,FALSE)</f>
        <v>N/A</v>
      </c>
    </row>
    <row r="9" spans="3:6" ht="23.25" customHeight="1" x14ac:dyDescent="0.25">
      <c r="C9" s="47" t="s">
        <v>3</v>
      </c>
      <c r="D9" s="51" t="s">
        <v>112</v>
      </c>
      <c r="E9" s="55" t="s">
        <v>2</v>
      </c>
      <c r="F9" s="40">
        <f>VLOOKUP(D9,Tabla4[],2,FALSE)</f>
        <v>15</v>
      </c>
    </row>
    <row r="10" spans="3:6" ht="18" customHeight="1" x14ac:dyDescent="0.25">
      <c r="C10" s="47" t="s">
        <v>4</v>
      </c>
      <c r="D10" s="51" t="s">
        <v>185</v>
      </c>
      <c r="E10" s="55" t="s">
        <v>2</v>
      </c>
      <c r="F10" s="41">
        <v>1.7</v>
      </c>
    </row>
    <row r="11" spans="3:6" ht="33" customHeight="1" x14ac:dyDescent="0.25">
      <c r="C11" s="47" t="s">
        <v>12</v>
      </c>
      <c r="D11" s="57" t="s">
        <v>345</v>
      </c>
      <c r="E11" s="58"/>
      <c r="F11" s="59"/>
    </row>
    <row r="12" spans="3:6" ht="25.5" customHeight="1" x14ac:dyDescent="0.25">
      <c r="C12" s="47" t="s">
        <v>15</v>
      </c>
      <c r="D12" s="57"/>
      <c r="E12" s="58"/>
      <c r="F12" s="59"/>
    </row>
    <row r="13" spans="3:6" x14ac:dyDescent="0.25">
      <c r="C13" s="47" t="s">
        <v>5</v>
      </c>
      <c r="D13" s="52">
        <v>45770</v>
      </c>
      <c r="E13" s="37" t="s">
        <v>6</v>
      </c>
      <c r="F13" s="42">
        <v>45896</v>
      </c>
    </row>
    <row r="14" spans="3:6" ht="21.75" customHeight="1" x14ac:dyDescent="0.25">
      <c r="C14" s="48" t="s">
        <v>7</v>
      </c>
      <c r="D14" s="53">
        <v>1</v>
      </c>
      <c r="E14" s="38" t="s">
        <v>13</v>
      </c>
      <c r="F14" s="40" t="s">
        <v>33</v>
      </c>
    </row>
    <row r="15" spans="3:6" x14ac:dyDescent="0.25">
      <c r="C15" s="47" t="s">
        <v>8</v>
      </c>
      <c r="D15" s="56" t="s">
        <v>346</v>
      </c>
      <c r="E15" s="38" t="s">
        <v>14</v>
      </c>
      <c r="F15" s="40">
        <v>1</v>
      </c>
    </row>
    <row r="16" spans="3:6" ht="15.75" thickBot="1" x14ac:dyDescent="0.3">
      <c r="C16" s="49"/>
      <c r="D16" s="43"/>
      <c r="E16" s="44"/>
      <c r="F16" s="45"/>
    </row>
  </sheetData>
  <mergeCells count="8">
    <mergeCell ref="D11:F11"/>
    <mergeCell ref="D12:F12"/>
    <mergeCell ref="C2:C6"/>
    <mergeCell ref="D2:F2"/>
    <mergeCell ref="D3:F3"/>
    <mergeCell ref="D4:F4"/>
    <mergeCell ref="D5:F5"/>
    <mergeCell ref="E6:F6"/>
  </mergeCells>
  <pageMargins left="0.25" right="0.25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1B22BF5-A621-4BC0-B3A8-E71C36C7D5E9}">
          <x14:formula1>
            <xm:f>'Hoja1 (2)'!$N$8:$N$62</xm:f>
          </x14:formula1>
          <xm:sqref>F14</xm:sqref>
        </x14:dataValidation>
        <x14:dataValidation type="list" allowBlank="1" showInputMessage="1" showErrorMessage="1" xr:uid="{E8FEBE0B-BCE3-4A43-82AD-474285D0B85C}">
          <x14:formula1>
            <xm:f>'Hoja1 (2)'!$I$5:$I$8</xm:f>
          </x14:formula1>
          <xm:sqref>D7</xm:sqref>
        </x14:dataValidation>
        <x14:dataValidation type="list" allowBlank="1" showInputMessage="1" showErrorMessage="1" xr:uid="{4CFDD3C6-63B7-4FE2-A03E-F9A876ADDAFB}">
          <x14:formula1>
            <xm:f>'Hoja1 (2)'!$C$5:$C$18</xm:f>
          </x14:formula1>
          <xm:sqref>D8</xm:sqref>
        </x14:dataValidation>
        <x14:dataValidation type="list" allowBlank="1" showInputMessage="1" showErrorMessage="1" xr:uid="{716F2222-9E29-40DE-8941-CC39B1EBE388}">
          <x14:formula1>
            <xm:f>'Hoja1 (2)'!$C$25:$C$63</xm:f>
          </x14:formula1>
          <xm:sqref>D9</xm:sqref>
        </x14:dataValidation>
        <x14:dataValidation type="list" allowBlank="1" showInputMessage="1" showErrorMessage="1" xr:uid="{6305BF49-E70E-4AE5-AEE4-48398D26D974}">
          <x14:formula1>
            <xm:f>'Hoja1 (2)'!$I$25:$I$109</xm:f>
          </x14:formula1>
          <xm:sqref>D10</xm:sqref>
        </x14:dataValidation>
        <x14:dataValidation type="list" allowBlank="1" showInputMessage="1" showErrorMessage="1" xr:uid="{64C725C0-6B12-4C56-B6A3-8032134C9F97}">
          <x14:formula1>
            <xm:f>'Hoja1 (2)'!$Q$7:$Q$36</xm:f>
          </x14:formula1>
          <xm:sqref>D14 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3FC8-8CF6-421A-ADFE-AC5C961D19B2}">
  <dimension ref="C4:R109"/>
  <sheetViews>
    <sheetView topLeftCell="B7" workbookViewId="0">
      <selection activeCell="I31" sqref="I31"/>
    </sheetView>
  </sheetViews>
  <sheetFormatPr baseColWidth="10" defaultRowHeight="15" x14ac:dyDescent="0.25"/>
  <cols>
    <col min="3" max="3" width="27.7109375" customWidth="1"/>
    <col min="4" max="4" width="17.42578125" customWidth="1"/>
    <col min="9" max="9" width="42.85546875" customWidth="1"/>
    <col min="15" max="15" width="18.28515625" customWidth="1"/>
    <col min="16" max="16" width="12.28515625" customWidth="1"/>
    <col min="18" max="18" width="12.28515625" customWidth="1"/>
  </cols>
  <sheetData>
    <row r="4" spans="3:17" ht="15" customHeight="1" x14ac:dyDescent="0.25">
      <c r="C4" s="1" t="s">
        <v>11</v>
      </c>
      <c r="D4" s="2" t="s">
        <v>21</v>
      </c>
      <c r="I4" s="3" t="s">
        <v>22</v>
      </c>
      <c r="J4" s="3" t="s">
        <v>21</v>
      </c>
    </row>
    <row r="5" spans="3:17" ht="15" customHeight="1" x14ac:dyDescent="0.25">
      <c r="C5" s="4" t="s">
        <v>23</v>
      </c>
      <c r="D5" s="5">
        <v>114</v>
      </c>
      <c r="F5" s="6" t="s">
        <v>24</v>
      </c>
      <c r="I5" s="4" t="s">
        <v>25</v>
      </c>
      <c r="J5" s="7">
        <v>111</v>
      </c>
    </row>
    <row r="6" spans="3:17" ht="15" customHeight="1" x14ac:dyDescent="0.25">
      <c r="C6" s="4" t="s">
        <v>26</v>
      </c>
      <c r="D6" s="5">
        <v>114</v>
      </c>
      <c r="F6" s="6">
        <v>1</v>
      </c>
      <c r="I6" s="4" t="s">
        <v>17</v>
      </c>
      <c r="J6" s="7">
        <v>112</v>
      </c>
      <c r="Q6" s="6" t="s">
        <v>27</v>
      </c>
    </row>
    <row r="7" spans="3:17" ht="15" customHeight="1" x14ac:dyDescent="0.25">
      <c r="C7" s="4" t="s">
        <v>28</v>
      </c>
      <c r="D7" s="5">
        <v>114</v>
      </c>
      <c r="F7" s="6">
        <v>2</v>
      </c>
      <c r="I7" s="4" t="s">
        <v>29</v>
      </c>
      <c r="J7" s="8">
        <v>113</v>
      </c>
      <c r="N7" s="9" t="s">
        <v>30</v>
      </c>
      <c r="Q7" s="6">
        <v>1</v>
      </c>
    </row>
    <row r="8" spans="3:17" ht="15" customHeight="1" x14ac:dyDescent="0.25">
      <c r="C8" s="4" t="s">
        <v>31</v>
      </c>
      <c r="D8" s="5">
        <v>114</v>
      </c>
      <c r="F8" s="6">
        <v>3</v>
      </c>
      <c r="I8" s="10" t="s">
        <v>32</v>
      </c>
      <c r="J8" s="11">
        <v>114</v>
      </c>
      <c r="N8" s="12" t="s">
        <v>33</v>
      </c>
      <c r="Q8" s="6">
        <v>2</v>
      </c>
    </row>
    <row r="9" spans="3:17" ht="15" customHeight="1" x14ac:dyDescent="0.25">
      <c r="C9" s="4" t="s">
        <v>344</v>
      </c>
      <c r="D9" s="5">
        <v>114</v>
      </c>
      <c r="F9" s="6">
        <v>4</v>
      </c>
      <c r="N9" s="13" t="s">
        <v>34</v>
      </c>
      <c r="Q9" s="6">
        <v>3</v>
      </c>
    </row>
    <row r="10" spans="3:17" ht="15" customHeight="1" x14ac:dyDescent="0.25">
      <c r="C10" s="4" t="s">
        <v>35</v>
      </c>
      <c r="D10" s="5">
        <v>114</v>
      </c>
      <c r="F10" s="6">
        <v>5</v>
      </c>
      <c r="N10" s="13" t="s">
        <v>36</v>
      </c>
      <c r="Q10" s="6">
        <v>4</v>
      </c>
    </row>
    <row r="11" spans="3:17" ht="15" customHeight="1" x14ac:dyDescent="0.25">
      <c r="C11" s="4" t="s">
        <v>37</v>
      </c>
      <c r="D11" s="5">
        <v>114</v>
      </c>
      <c r="F11" s="6">
        <v>6</v>
      </c>
      <c r="N11" s="13" t="s">
        <v>38</v>
      </c>
      <c r="Q11" s="6">
        <v>5</v>
      </c>
    </row>
    <row r="12" spans="3:17" ht="15" customHeight="1" x14ac:dyDescent="0.25">
      <c r="C12" s="4" t="s">
        <v>39</v>
      </c>
      <c r="D12" s="5">
        <v>114</v>
      </c>
      <c r="F12" s="6">
        <v>7</v>
      </c>
      <c r="N12" s="13" t="s">
        <v>40</v>
      </c>
      <c r="Q12" s="6">
        <v>6</v>
      </c>
    </row>
    <row r="13" spans="3:17" ht="15" customHeight="1" x14ac:dyDescent="0.25">
      <c r="C13" s="4" t="s">
        <v>41</v>
      </c>
      <c r="D13" s="5">
        <v>114</v>
      </c>
      <c r="F13" s="6">
        <v>8</v>
      </c>
      <c r="N13" s="13" t="s">
        <v>42</v>
      </c>
      <c r="Q13" s="6">
        <v>7</v>
      </c>
    </row>
    <row r="14" spans="3:17" ht="15" customHeight="1" x14ac:dyDescent="0.25">
      <c r="C14" s="4" t="s">
        <v>43</v>
      </c>
      <c r="D14" s="5">
        <v>114</v>
      </c>
      <c r="F14" s="6">
        <v>9</v>
      </c>
      <c r="N14" s="13" t="s">
        <v>44</v>
      </c>
      <c r="Q14" s="6">
        <v>8</v>
      </c>
    </row>
    <row r="15" spans="3:17" ht="15" customHeight="1" x14ac:dyDescent="0.25">
      <c r="C15" s="4" t="s">
        <v>45</v>
      </c>
      <c r="D15" s="14">
        <v>114</v>
      </c>
      <c r="F15" s="6">
        <v>10</v>
      </c>
      <c r="N15" s="13" t="s">
        <v>46</v>
      </c>
      <c r="Q15" s="6">
        <v>9</v>
      </c>
    </row>
    <row r="16" spans="3:17" ht="15" customHeight="1" x14ac:dyDescent="0.25">
      <c r="C16" s="4" t="s">
        <v>32</v>
      </c>
      <c r="D16" s="5">
        <v>114</v>
      </c>
      <c r="F16" s="6">
        <v>11</v>
      </c>
      <c r="N16" s="13" t="s">
        <v>47</v>
      </c>
      <c r="Q16" s="6">
        <v>10</v>
      </c>
    </row>
    <row r="17" spans="3:17" ht="15" customHeight="1" x14ac:dyDescent="0.25">
      <c r="C17" s="15" t="s">
        <v>16</v>
      </c>
      <c r="D17" s="14" t="s">
        <v>16</v>
      </c>
      <c r="F17" s="6">
        <v>12</v>
      </c>
      <c r="N17" s="13" t="s">
        <v>48</v>
      </c>
      <c r="Q17" s="6">
        <v>11</v>
      </c>
    </row>
    <row r="18" spans="3:17" ht="15" customHeight="1" x14ac:dyDescent="0.25">
      <c r="C18" s="10" t="s">
        <v>343</v>
      </c>
      <c r="D18" s="14" t="s">
        <v>16</v>
      </c>
      <c r="F18" s="6">
        <v>13</v>
      </c>
      <c r="N18" s="13" t="s">
        <v>49</v>
      </c>
      <c r="Q18" s="6">
        <v>12</v>
      </c>
    </row>
    <row r="19" spans="3:17" x14ac:dyDescent="0.25">
      <c r="F19" s="6">
        <v>14</v>
      </c>
      <c r="N19" s="13" t="s">
        <v>50</v>
      </c>
      <c r="Q19" s="6">
        <v>13</v>
      </c>
    </row>
    <row r="20" spans="3:17" x14ac:dyDescent="0.25">
      <c r="F20" s="6">
        <v>15</v>
      </c>
      <c r="N20" s="13" t="s">
        <v>51</v>
      </c>
      <c r="Q20" s="6">
        <v>14</v>
      </c>
    </row>
    <row r="21" spans="3:17" x14ac:dyDescent="0.25">
      <c r="N21" s="13" t="s">
        <v>52</v>
      </c>
      <c r="Q21" s="6">
        <v>15</v>
      </c>
    </row>
    <row r="22" spans="3:17" x14ac:dyDescent="0.25">
      <c r="N22" s="13" t="s">
        <v>53</v>
      </c>
      <c r="Q22" s="6">
        <v>16</v>
      </c>
    </row>
    <row r="23" spans="3:17" x14ac:dyDescent="0.25">
      <c r="N23" s="13" t="s">
        <v>54</v>
      </c>
      <c r="Q23" s="6">
        <v>17</v>
      </c>
    </row>
    <row r="24" spans="3:17" ht="15.75" thickBot="1" x14ac:dyDescent="0.3">
      <c r="C24" s="16" t="s">
        <v>55</v>
      </c>
      <c r="D24" s="17" t="s">
        <v>21</v>
      </c>
      <c r="I24" s="18" t="s">
        <v>56</v>
      </c>
      <c r="J24" s="18" t="s">
        <v>21</v>
      </c>
      <c r="N24" s="13" t="s">
        <v>57</v>
      </c>
      <c r="Q24" s="6">
        <v>18</v>
      </c>
    </row>
    <row r="25" spans="3:17" x14ac:dyDescent="0.25">
      <c r="C25" s="12" t="s">
        <v>58</v>
      </c>
      <c r="D25" s="13">
        <v>1</v>
      </c>
      <c r="I25" s="19" t="s">
        <v>59</v>
      </c>
      <c r="J25" s="20" t="s">
        <v>60</v>
      </c>
      <c r="N25" s="13" t="s">
        <v>61</v>
      </c>
      <c r="Q25" s="6">
        <v>19</v>
      </c>
    </row>
    <row r="26" spans="3:17" ht="15.75" thickBot="1" x14ac:dyDescent="0.3">
      <c r="C26" s="12" t="s">
        <v>62</v>
      </c>
      <c r="D26" s="13">
        <v>2</v>
      </c>
      <c r="I26" s="12" t="s">
        <v>63</v>
      </c>
      <c r="J26" s="21" t="s">
        <v>64</v>
      </c>
      <c r="N26" s="13" t="s">
        <v>65</v>
      </c>
      <c r="Q26" s="6">
        <v>20</v>
      </c>
    </row>
    <row r="27" spans="3:17" ht="15.75" thickBot="1" x14ac:dyDescent="0.3">
      <c r="C27" s="12" t="s">
        <v>66</v>
      </c>
      <c r="D27" s="13">
        <v>3</v>
      </c>
      <c r="I27" s="19" t="s">
        <v>67</v>
      </c>
      <c r="J27" s="20" t="s">
        <v>68</v>
      </c>
      <c r="N27" s="13" t="s">
        <v>69</v>
      </c>
      <c r="Q27" s="6">
        <v>21</v>
      </c>
    </row>
    <row r="28" spans="3:17" x14ac:dyDescent="0.25">
      <c r="C28" s="12" t="s">
        <v>70</v>
      </c>
      <c r="D28" s="13">
        <v>4</v>
      </c>
      <c r="I28" s="19" t="s">
        <v>71</v>
      </c>
      <c r="J28" s="20" t="s">
        <v>72</v>
      </c>
      <c r="N28" s="13" t="s">
        <v>73</v>
      </c>
      <c r="Q28" s="6">
        <v>22</v>
      </c>
    </row>
    <row r="29" spans="3:17" x14ac:dyDescent="0.25">
      <c r="C29" s="12" t="s">
        <v>74</v>
      </c>
      <c r="D29" s="13">
        <v>5</v>
      </c>
      <c r="I29" s="12" t="s">
        <v>75</v>
      </c>
      <c r="J29" s="21" t="s">
        <v>76</v>
      </c>
      <c r="N29" s="13" t="s">
        <v>77</v>
      </c>
      <c r="Q29" s="6">
        <v>23</v>
      </c>
    </row>
    <row r="30" spans="3:17" x14ac:dyDescent="0.25">
      <c r="C30" s="22" t="s">
        <v>78</v>
      </c>
      <c r="D30" s="13">
        <v>6</v>
      </c>
      <c r="I30" s="12" t="s">
        <v>79</v>
      </c>
      <c r="J30" s="21" t="s">
        <v>80</v>
      </c>
      <c r="N30" s="13" t="s">
        <v>81</v>
      </c>
      <c r="Q30" s="6">
        <v>24</v>
      </c>
    </row>
    <row r="31" spans="3:17" x14ac:dyDescent="0.25">
      <c r="C31" s="12" t="s">
        <v>82</v>
      </c>
      <c r="D31" s="13">
        <v>7</v>
      </c>
      <c r="I31" s="12" t="s">
        <v>83</v>
      </c>
      <c r="J31" s="21" t="s">
        <v>84</v>
      </c>
      <c r="N31" s="13" t="s">
        <v>85</v>
      </c>
      <c r="Q31" s="6">
        <v>25</v>
      </c>
    </row>
    <row r="32" spans="3:17" ht="30" x14ac:dyDescent="0.25">
      <c r="C32" s="23" t="s">
        <v>86</v>
      </c>
      <c r="D32" s="13">
        <v>8</v>
      </c>
      <c r="I32" s="24" t="s">
        <v>87</v>
      </c>
      <c r="J32" s="21" t="s">
        <v>88</v>
      </c>
      <c r="N32" s="13" t="s">
        <v>89</v>
      </c>
      <c r="Q32" s="6">
        <v>26</v>
      </c>
    </row>
    <row r="33" spans="3:17" x14ac:dyDescent="0.25">
      <c r="C33" s="23" t="s">
        <v>18</v>
      </c>
      <c r="D33" s="13">
        <v>9</v>
      </c>
      <c r="I33" t="s">
        <v>90</v>
      </c>
      <c r="J33" s="25" t="s">
        <v>91</v>
      </c>
      <c r="N33" s="13" t="s">
        <v>92</v>
      </c>
      <c r="Q33" s="6">
        <v>27</v>
      </c>
    </row>
    <row r="34" spans="3:17" x14ac:dyDescent="0.25">
      <c r="C34" s="12" t="s">
        <v>93</v>
      </c>
      <c r="D34" s="13">
        <v>10</v>
      </c>
      <c r="I34" s="12" t="s">
        <v>94</v>
      </c>
      <c r="J34" s="21" t="s">
        <v>95</v>
      </c>
      <c r="N34" s="13" t="s">
        <v>96</v>
      </c>
      <c r="Q34" s="6">
        <v>28</v>
      </c>
    </row>
    <row r="35" spans="3:17" ht="45" x14ac:dyDescent="0.25">
      <c r="C35" s="26" t="s">
        <v>97</v>
      </c>
      <c r="D35" s="13">
        <v>11</v>
      </c>
      <c r="I35" s="27" t="s">
        <v>19</v>
      </c>
      <c r="J35" s="21" t="s">
        <v>98</v>
      </c>
      <c r="N35" s="13" t="s">
        <v>99</v>
      </c>
      <c r="Q35" s="6">
        <v>29</v>
      </c>
    </row>
    <row r="36" spans="3:17" x14ac:dyDescent="0.25">
      <c r="C36" s="12" t="s">
        <v>100</v>
      </c>
      <c r="D36" s="13">
        <v>12</v>
      </c>
      <c r="I36" s="27" t="s">
        <v>101</v>
      </c>
      <c r="J36" s="21" t="s">
        <v>102</v>
      </c>
      <c r="N36" s="13" t="s">
        <v>103</v>
      </c>
      <c r="Q36" s="6">
        <v>30</v>
      </c>
    </row>
    <row r="37" spans="3:17" x14ac:dyDescent="0.25">
      <c r="C37" s="26" t="s">
        <v>104</v>
      </c>
      <c r="D37" s="13">
        <v>13</v>
      </c>
      <c r="I37" s="12" t="s">
        <v>105</v>
      </c>
      <c r="J37" s="21" t="s">
        <v>106</v>
      </c>
      <c r="N37" s="13" t="s">
        <v>107</v>
      </c>
    </row>
    <row r="38" spans="3:17" ht="30" x14ac:dyDescent="0.25">
      <c r="C38" s="26" t="s">
        <v>108</v>
      </c>
      <c r="D38" s="13">
        <v>14</v>
      </c>
      <c r="I38" s="12" t="s">
        <v>109</v>
      </c>
      <c r="J38" s="21" t="s">
        <v>110</v>
      </c>
      <c r="N38" s="13" t="s">
        <v>111</v>
      </c>
    </row>
    <row r="39" spans="3:17" x14ac:dyDescent="0.25">
      <c r="C39" s="26" t="s">
        <v>112</v>
      </c>
      <c r="D39" s="13">
        <v>15</v>
      </c>
      <c r="I39" s="12" t="s">
        <v>113</v>
      </c>
      <c r="J39" s="21" t="s">
        <v>114</v>
      </c>
      <c r="N39" s="13" t="s">
        <v>115</v>
      </c>
    </row>
    <row r="40" spans="3:17" x14ac:dyDescent="0.25">
      <c r="C40" s="12" t="s">
        <v>116</v>
      </c>
      <c r="D40" s="13">
        <v>16</v>
      </c>
      <c r="I40" s="12" t="s">
        <v>117</v>
      </c>
      <c r="J40" s="21" t="s">
        <v>118</v>
      </c>
      <c r="N40" s="13" t="s">
        <v>119</v>
      </c>
    </row>
    <row r="41" spans="3:17" x14ac:dyDescent="0.25">
      <c r="C41" s="12" t="s">
        <v>120</v>
      </c>
      <c r="D41" s="13">
        <v>17</v>
      </c>
      <c r="I41" s="12" t="s">
        <v>121</v>
      </c>
      <c r="J41" s="21" t="s">
        <v>122</v>
      </c>
      <c r="N41" s="13" t="s">
        <v>123</v>
      </c>
    </row>
    <row r="42" spans="3:17" x14ac:dyDescent="0.25">
      <c r="C42" s="12" t="s">
        <v>124</v>
      </c>
      <c r="D42" s="13">
        <v>18</v>
      </c>
      <c r="I42" s="12" t="s">
        <v>125</v>
      </c>
      <c r="J42" s="21" t="s">
        <v>126</v>
      </c>
      <c r="N42" s="13" t="s">
        <v>127</v>
      </c>
    </row>
    <row r="43" spans="3:17" ht="30" x14ac:dyDescent="0.25">
      <c r="C43" s="12" t="s">
        <v>128</v>
      </c>
      <c r="D43" s="13">
        <v>19</v>
      </c>
      <c r="I43" s="28" t="s">
        <v>129</v>
      </c>
      <c r="J43" s="21" t="s">
        <v>130</v>
      </c>
      <c r="N43" s="13" t="s">
        <v>131</v>
      </c>
    </row>
    <row r="44" spans="3:17" x14ac:dyDescent="0.25">
      <c r="C44" s="12" t="s">
        <v>132</v>
      </c>
      <c r="D44" s="13">
        <v>20</v>
      </c>
      <c r="I44" s="12" t="s">
        <v>133</v>
      </c>
      <c r="J44" s="21" t="s">
        <v>134</v>
      </c>
      <c r="N44" s="13" t="s">
        <v>135</v>
      </c>
    </row>
    <row r="45" spans="3:17" x14ac:dyDescent="0.25">
      <c r="C45" s="12" t="s">
        <v>136</v>
      </c>
      <c r="D45" s="13">
        <v>21</v>
      </c>
      <c r="I45" s="12" t="s">
        <v>137</v>
      </c>
      <c r="J45" s="21" t="s">
        <v>138</v>
      </c>
      <c r="N45" s="13" t="s">
        <v>139</v>
      </c>
    </row>
    <row r="46" spans="3:17" x14ac:dyDescent="0.25">
      <c r="C46" s="12" t="s">
        <v>140</v>
      </c>
      <c r="D46" s="13">
        <v>22</v>
      </c>
      <c r="I46" s="12" t="s">
        <v>141</v>
      </c>
      <c r="J46" s="21" t="s">
        <v>142</v>
      </c>
      <c r="N46" s="13" t="s">
        <v>143</v>
      </c>
    </row>
    <row r="47" spans="3:17" x14ac:dyDescent="0.25">
      <c r="C47" s="22" t="s">
        <v>144</v>
      </c>
      <c r="D47" s="13">
        <v>23</v>
      </c>
      <c r="I47" s="12" t="s">
        <v>145</v>
      </c>
      <c r="J47" s="21" t="s">
        <v>146</v>
      </c>
      <c r="N47" s="13" t="s">
        <v>147</v>
      </c>
    </row>
    <row r="48" spans="3:17" ht="30" x14ac:dyDescent="0.25">
      <c r="C48" s="26" t="s">
        <v>148</v>
      </c>
      <c r="D48" s="13">
        <v>24</v>
      </c>
      <c r="I48" s="12" t="s">
        <v>149</v>
      </c>
      <c r="J48" s="21" t="s">
        <v>150</v>
      </c>
      <c r="N48" s="13" t="s">
        <v>151</v>
      </c>
    </row>
    <row r="49" spans="3:14" ht="30" x14ac:dyDescent="0.25">
      <c r="C49" s="26" t="s">
        <v>152</v>
      </c>
      <c r="D49" s="13">
        <v>25</v>
      </c>
      <c r="I49" s="27" t="s">
        <v>153</v>
      </c>
      <c r="J49" s="21" t="s">
        <v>154</v>
      </c>
      <c r="N49" s="13" t="s">
        <v>155</v>
      </c>
    </row>
    <row r="50" spans="3:14" x14ac:dyDescent="0.25">
      <c r="C50" s="22" t="s">
        <v>156</v>
      </c>
      <c r="D50" s="13">
        <v>26</v>
      </c>
      <c r="I50" s="27" t="s">
        <v>157</v>
      </c>
      <c r="J50" s="21" t="s">
        <v>158</v>
      </c>
      <c r="N50" s="13" t="s">
        <v>159</v>
      </c>
    </row>
    <row r="51" spans="3:14" x14ac:dyDescent="0.25">
      <c r="C51" s="12" t="s">
        <v>160</v>
      </c>
      <c r="D51" s="13">
        <v>27</v>
      </c>
      <c r="I51" s="27" t="s">
        <v>161</v>
      </c>
      <c r="J51" s="21" t="s">
        <v>162</v>
      </c>
      <c r="N51" s="13" t="s">
        <v>163</v>
      </c>
    </row>
    <row r="52" spans="3:14" ht="45" x14ac:dyDescent="0.25">
      <c r="C52" s="24" t="s">
        <v>164</v>
      </c>
      <c r="D52" s="13">
        <v>28</v>
      </c>
      <c r="I52" s="27" t="s">
        <v>165</v>
      </c>
      <c r="J52" s="21" t="s">
        <v>166</v>
      </c>
      <c r="N52" s="13" t="s">
        <v>167</v>
      </c>
    </row>
    <row r="53" spans="3:14" x14ac:dyDescent="0.25">
      <c r="C53" s="12" t="s">
        <v>168</v>
      </c>
      <c r="D53" s="13">
        <v>29</v>
      </c>
      <c r="I53" s="29" t="s">
        <v>169</v>
      </c>
      <c r="J53" s="6" t="s">
        <v>170</v>
      </c>
      <c r="N53" s="13" t="s">
        <v>171</v>
      </c>
    </row>
    <row r="54" spans="3:14" x14ac:dyDescent="0.25">
      <c r="C54" s="12" t="s">
        <v>172</v>
      </c>
      <c r="D54" s="13">
        <v>30</v>
      </c>
      <c r="I54" s="27" t="s">
        <v>173</v>
      </c>
      <c r="J54" s="21" t="s">
        <v>174</v>
      </c>
      <c r="N54" s="13" t="s">
        <v>175</v>
      </c>
    </row>
    <row r="55" spans="3:14" ht="45" x14ac:dyDescent="0.25">
      <c r="C55" s="28" t="s">
        <v>176</v>
      </c>
      <c r="D55" s="13">
        <v>31</v>
      </c>
      <c r="I55" s="27" t="s">
        <v>177</v>
      </c>
      <c r="J55" s="21" t="s">
        <v>178</v>
      </c>
      <c r="N55" s="13" t="s">
        <v>179</v>
      </c>
    </row>
    <row r="56" spans="3:14" x14ac:dyDescent="0.25">
      <c r="C56" s="28" t="s">
        <v>180</v>
      </c>
      <c r="D56" s="13">
        <v>32</v>
      </c>
      <c r="I56" s="12" t="s">
        <v>181</v>
      </c>
      <c r="J56" s="21" t="s">
        <v>182</v>
      </c>
      <c r="N56" s="13" t="s">
        <v>183</v>
      </c>
    </row>
    <row r="57" spans="3:14" ht="30" x14ac:dyDescent="0.25">
      <c r="C57" s="28" t="s">
        <v>184</v>
      </c>
      <c r="D57" s="13">
        <v>33</v>
      </c>
      <c r="I57" s="27" t="s">
        <v>185</v>
      </c>
      <c r="J57" s="21" t="s">
        <v>186</v>
      </c>
      <c r="N57" s="13" t="s">
        <v>187</v>
      </c>
    </row>
    <row r="58" spans="3:14" ht="30" x14ac:dyDescent="0.25">
      <c r="C58" s="28" t="s">
        <v>188</v>
      </c>
      <c r="D58" s="13">
        <v>34</v>
      </c>
      <c r="I58" s="27" t="s">
        <v>189</v>
      </c>
      <c r="J58" s="21" t="s">
        <v>190</v>
      </c>
      <c r="N58" s="13" t="s">
        <v>191</v>
      </c>
    </row>
    <row r="59" spans="3:14" x14ac:dyDescent="0.25">
      <c r="C59" s="12" t="s">
        <v>192</v>
      </c>
      <c r="D59" s="13">
        <v>35</v>
      </c>
      <c r="I59" s="27" t="s">
        <v>193</v>
      </c>
      <c r="J59" s="21" t="s">
        <v>194</v>
      </c>
      <c r="N59" s="13" t="s">
        <v>195</v>
      </c>
    </row>
    <row r="60" spans="3:14" ht="30" x14ac:dyDescent="0.25">
      <c r="C60" s="28" t="s">
        <v>196</v>
      </c>
      <c r="D60" s="13">
        <v>36</v>
      </c>
      <c r="I60" s="27" t="s">
        <v>197</v>
      </c>
      <c r="J60" s="21" t="s">
        <v>198</v>
      </c>
      <c r="N60" s="13" t="s">
        <v>199</v>
      </c>
    </row>
    <row r="61" spans="3:14" ht="30" x14ac:dyDescent="0.25">
      <c r="C61" s="28" t="s">
        <v>200</v>
      </c>
      <c r="D61" s="13">
        <v>37</v>
      </c>
      <c r="I61" s="27" t="s">
        <v>201</v>
      </c>
      <c r="J61" s="21" t="s">
        <v>202</v>
      </c>
      <c r="N61" s="13" t="s">
        <v>203</v>
      </c>
    </row>
    <row r="62" spans="3:14" ht="30" x14ac:dyDescent="0.25">
      <c r="C62" s="28" t="s">
        <v>204</v>
      </c>
      <c r="D62" s="13">
        <v>38</v>
      </c>
      <c r="I62" s="12" t="s">
        <v>205</v>
      </c>
      <c r="J62" s="21" t="s">
        <v>206</v>
      </c>
      <c r="N62" s="30" t="s">
        <v>207</v>
      </c>
    </row>
    <row r="63" spans="3:14" x14ac:dyDescent="0.25">
      <c r="C63" s="28" t="s">
        <v>208</v>
      </c>
      <c r="D63" s="13">
        <v>39</v>
      </c>
      <c r="I63" s="12" t="s">
        <v>209</v>
      </c>
      <c r="J63" s="21" t="s">
        <v>210</v>
      </c>
    </row>
    <row r="64" spans="3:14" x14ac:dyDescent="0.25">
      <c r="I64" s="12" t="s">
        <v>211</v>
      </c>
      <c r="J64" s="31" t="s">
        <v>212</v>
      </c>
    </row>
    <row r="65" spans="9:18" x14ac:dyDescent="0.25">
      <c r="I65" s="12" t="s">
        <v>213</v>
      </c>
      <c r="J65" s="21" t="s">
        <v>214</v>
      </c>
    </row>
    <row r="66" spans="9:18" x14ac:dyDescent="0.25">
      <c r="I66" s="12" t="s">
        <v>215</v>
      </c>
      <c r="J66" s="21" t="s">
        <v>216</v>
      </c>
    </row>
    <row r="67" spans="9:18" x14ac:dyDescent="0.25">
      <c r="I67" s="12" t="s">
        <v>217</v>
      </c>
      <c r="J67" s="21" t="s">
        <v>218</v>
      </c>
    </row>
    <row r="68" spans="9:18" x14ac:dyDescent="0.25">
      <c r="I68" s="12" t="s">
        <v>219</v>
      </c>
      <c r="J68" s="21" t="s">
        <v>220</v>
      </c>
      <c r="O68" t="s">
        <v>221</v>
      </c>
      <c r="P68" t="s">
        <v>222</v>
      </c>
    </row>
    <row r="69" spans="9:18" x14ac:dyDescent="0.25">
      <c r="I69" s="12" t="s">
        <v>223</v>
      </c>
      <c r="J69" s="21" t="s">
        <v>224</v>
      </c>
      <c r="O69" t="s">
        <v>225</v>
      </c>
    </row>
    <row r="70" spans="9:18" x14ac:dyDescent="0.25">
      <c r="I70" s="12" t="s">
        <v>226</v>
      </c>
      <c r="J70" s="21" t="s">
        <v>227</v>
      </c>
      <c r="O70" t="s">
        <v>228</v>
      </c>
    </row>
    <row r="71" spans="9:18" x14ac:dyDescent="0.25">
      <c r="I71" s="12" t="s">
        <v>229</v>
      </c>
      <c r="J71" s="21" t="s">
        <v>230</v>
      </c>
      <c r="O71" t="s">
        <v>231</v>
      </c>
    </row>
    <row r="72" spans="9:18" x14ac:dyDescent="0.25">
      <c r="I72" s="12" t="s">
        <v>232</v>
      </c>
      <c r="J72" s="21" t="s">
        <v>233</v>
      </c>
      <c r="O72" t="s">
        <v>234</v>
      </c>
    </row>
    <row r="73" spans="9:18" x14ac:dyDescent="0.25">
      <c r="I73" s="12" t="s">
        <v>235</v>
      </c>
      <c r="J73" s="21" t="s">
        <v>236</v>
      </c>
      <c r="O73" t="s">
        <v>237</v>
      </c>
    </row>
    <row r="74" spans="9:18" x14ac:dyDescent="0.25">
      <c r="I74" s="32" t="s">
        <v>238</v>
      </c>
      <c r="J74" s="21" t="s">
        <v>239</v>
      </c>
      <c r="O74" t="s">
        <v>240</v>
      </c>
    </row>
    <row r="75" spans="9:18" x14ac:dyDescent="0.25">
      <c r="I75" s="32" t="s">
        <v>241</v>
      </c>
      <c r="J75" s="21" t="s">
        <v>242</v>
      </c>
      <c r="O75" t="s">
        <v>243</v>
      </c>
    </row>
    <row r="76" spans="9:18" ht="30" x14ac:dyDescent="0.25">
      <c r="I76" s="32" t="s">
        <v>244</v>
      </c>
      <c r="J76" s="21" t="s">
        <v>245</v>
      </c>
      <c r="O76" t="s">
        <v>246</v>
      </c>
    </row>
    <row r="77" spans="9:18" x14ac:dyDescent="0.25">
      <c r="I77" s="12" t="s">
        <v>247</v>
      </c>
      <c r="J77" s="21" t="s">
        <v>248</v>
      </c>
      <c r="O77" t="s">
        <v>249</v>
      </c>
    </row>
    <row r="78" spans="9:18" x14ac:dyDescent="0.25">
      <c r="I78" s="12" t="s">
        <v>250</v>
      </c>
      <c r="J78" s="21" t="s">
        <v>251</v>
      </c>
      <c r="O78" t="s">
        <v>252</v>
      </c>
      <c r="R78" t="s">
        <v>221</v>
      </c>
    </row>
    <row r="79" spans="9:18" x14ac:dyDescent="0.25">
      <c r="I79" s="12" t="s">
        <v>253</v>
      </c>
      <c r="J79" s="21" t="s">
        <v>254</v>
      </c>
      <c r="O79" t="s">
        <v>255</v>
      </c>
      <c r="R79" t="s">
        <v>256</v>
      </c>
    </row>
    <row r="80" spans="9:18" x14ac:dyDescent="0.25">
      <c r="I80" s="12" t="s">
        <v>257</v>
      </c>
      <c r="J80" s="5" t="s">
        <v>258</v>
      </c>
      <c r="O80" t="s">
        <v>259</v>
      </c>
      <c r="R80" t="s">
        <v>260</v>
      </c>
    </row>
    <row r="81" spans="4:18" x14ac:dyDescent="0.25">
      <c r="I81" s="12" t="s">
        <v>261</v>
      </c>
      <c r="J81" s="5" t="s">
        <v>262</v>
      </c>
      <c r="O81" t="s">
        <v>263</v>
      </c>
      <c r="R81" t="s">
        <v>264</v>
      </c>
    </row>
    <row r="82" spans="4:18" x14ac:dyDescent="0.25">
      <c r="I82" s="12" t="s">
        <v>265</v>
      </c>
      <c r="J82" s="5" t="s">
        <v>266</v>
      </c>
      <c r="O82" t="s">
        <v>267</v>
      </c>
      <c r="R82" t="s">
        <v>268</v>
      </c>
    </row>
    <row r="83" spans="4:18" x14ac:dyDescent="0.25">
      <c r="I83" s="12" t="s">
        <v>269</v>
      </c>
      <c r="J83" s="5" t="s">
        <v>270</v>
      </c>
      <c r="O83" t="s">
        <v>271</v>
      </c>
      <c r="R83" t="s">
        <v>272</v>
      </c>
    </row>
    <row r="84" spans="4:18" x14ac:dyDescent="0.25">
      <c r="I84" s="12" t="s">
        <v>273</v>
      </c>
      <c r="J84" s="21" t="s">
        <v>274</v>
      </c>
      <c r="O84" t="s">
        <v>275</v>
      </c>
      <c r="R84" t="s">
        <v>276</v>
      </c>
    </row>
    <row r="85" spans="4:18" x14ac:dyDescent="0.25">
      <c r="I85" s="12" t="s">
        <v>277</v>
      </c>
      <c r="J85" s="21" t="s">
        <v>278</v>
      </c>
      <c r="O85" t="s">
        <v>279</v>
      </c>
      <c r="R85" t="s">
        <v>280</v>
      </c>
    </row>
    <row r="86" spans="4:18" x14ac:dyDescent="0.25">
      <c r="I86" s="27" t="s">
        <v>281</v>
      </c>
      <c r="J86" s="21" t="s">
        <v>282</v>
      </c>
      <c r="O86" t="s">
        <v>283</v>
      </c>
      <c r="R86" t="s">
        <v>284</v>
      </c>
    </row>
    <row r="87" spans="4:18" ht="30" x14ac:dyDescent="0.25">
      <c r="I87" s="27" t="s">
        <v>285</v>
      </c>
      <c r="J87" s="21" t="s">
        <v>286</v>
      </c>
      <c r="R87" t="s">
        <v>287</v>
      </c>
    </row>
    <row r="88" spans="4:18" ht="30" x14ac:dyDescent="0.25">
      <c r="I88" s="27" t="s">
        <v>288</v>
      </c>
      <c r="J88" s="21" t="s">
        <v>289</v>
      </c>
      <c r="O88" t="s">
        <v>290</v>
      </c>
    </row>
    <row r="89" spans="4:18" x14ac:dyDescent="0.25">
      <c r="I89" s="27" t="s">
        <v>291</v>
      </c>
      <c r="J89" s="21" t="s">
        <v>292</v>
      </c>
      <c r="O89" t="s">
        <v>293</v>
      </c>
    </row>
    <row r="90" spans="4:18" x14ac:dyDescent="0.25">
      <c r="I90" s="27" t="s">
        <v>294</v>
      </c>
      <c r="J90" s="21" t="s">
        <v>295</v>
      </c>
      <c r="O90" t="s">
        <v>296</v>
      </c>
    </row>
    <row r="91" spans="4:18" ht="30" x14ac:dyDescent="0.25">
      <c r="I91" s="27" t="s">
        <v>297</v>
      </c>
      <c r="J91" s="21" t="s">
        <v>298</v>
      </c>
      <c r="O91" t="s">
        <v>299</v>
      </c>
    </row>
    <row r="92" spans="4:18" x14ac:dyDescent="0.25">
      <c r="D92" s="33" t="s">
        <v>300</v>
      </c>
      <c r="I92" s="27" t="s">
        <v>301</v>
      </c>
      <c r="J92" s="21" t="s">
        <v>302</v>
      </c>
      <c r="O92" t="s">
        <v>303</v>
      </c>
    </row>
    <row r="93" spans="4:18" x14ac:dyDescent="0.25">
      <c r="D93" s="13" t="s">
        <v>304</v>
      </c>
      <c r="I93" s="27" t="s">
        <v>305</v>
      </c>
      <c r="J93" s="21" t="s">
        <v>306</v>
      </c>
      <c r="O93" t="s">
        <v>307</v>
      </c>
    </row>
    <row r="94" spans="4:18" x14ac:dyDescent="0.25">
      <c r="D94" s="13" t="s">
        <v>308</v>
      </c>
      <c r="I94" s="27" t="s">
        <v>309</v>
      </c>
      <c r="J94" s="21" t="s">
        <v>310</v>
      </c>
      <c r="O94" t="s">
        <v>246</v>
      </c>
    </row>
    <row r="95" spans="4:18" ht="30" x14ac:dyDescent="0.25">
      <c r="D95" s="13" t="s">
        <v>311</v>
      </c>
      <c r="I95" s="27" t="s">
        <v>312</v>
      </c>
      <c r="J95" s="21" t="s">
        <v>313</v>
      </c>
      <c r="O95" t="s">
        <v>314</v>
      </c>
    </row>
    <row r="96" spans="4:18" x14ac:dyDescent="0.25">
      <c r="D96" s="13" t="s">
        <v>315</v>
      </c>
      <c r="I96" s="34" t="s">
        <v>316</v>
      </c>
      <c r="J96" s="21" t="s">
        <v>317</v>
      </c>
      <c r="O96" t="s">
        <v>252</v>
      </c>
    </row>
    <row r="97" spans="9:15" ht="30" x14ac:dyDescent="0.25">
      <c r="I97" s="34" t="s">
        <v>318</v>
      </c>
      <c r="J97" s="21" t="s">
        <v>319</v>
      </c>
      <c r="O97" t="s">
        <v>255</v>
      </c>
    </row>
    <row r="98" spans="9:15" x14ac:dyDescent="0.25">
      <c r="I98" s="34" t="s">
        <v>320</v>
      </c>
      <c r="J98" s="21" t="s">
        <v>321</v>
      </c>
      <c r="O98" t="s">
        <v>259</v>
      </c>
    </row>
    <row r="99" spans="9:15" x14ac:dyDescent="0.25">
      <c r="I99" s="12" t="s">
        <v>322</v>
      </c>
      <c r="J99" s="21" t="s">
        <v>323</v>
      </c>
      <c r="O99" t="s">
        <v>263</v>
      </c>
    </row>
    <row r="100" spans="9:15" x14ac:dyDescent="0.25">
      <c r="I100" s="28" t="s">
        <v>324</v>
      </c>
      <c r="J100" s="21" t="s">
        <v>325</v>
      </c>
      <c r="O100" t="s">
        <v>267</v>
      </c>
    </row>
    <row r="101" spans="9:15" x14ac:dyDescent="0.25">
      <c r="I101" s="28" t="s">
        <v>326</v>
      </c>
      <c r="J101" s="21" t="s">
        <v>327</v>
      </c>
      <c r="O101" t="s">
        <v>271</v>
      </c>
    </row>
    <row r="102" spans="9:15" x14ac:dyDescent="0.25">
      <c r="I102" s="35" t="s">
        <v>328</v>
      </c>
      <c r="J102" s="25" t="s">
        <v>329</v>
      </c>
      <c r="O102" t="s">
        <v>275</v>
      </c>
    </row>
    <row r="103" spans="9:15" x14ac:dyDescent="0.25">
      <c r="I103" s="35" t="s">
        <v>330</v>
      </c>
      <c r="J103" s="25" t="s">
        <v>331</v>
      </c>
      <c r="O103" t="s">
        <v>279</v>
      </c>
    </row>
    <row r="104" spans="9:15" x14ac:dyDescent="0.25">
      <c r="I104" s="35" t="s">
        <v>332</v>
      </c>
      <c r="J104" s="25" t="s">
        <v>333</v>
      </c>
      <c r="O104" t="s">
        <v>283</v>
      </c>
    </row>
    <row r="105" spans="9:15" x14ac:dyDescent="0.25">
      <c r="I105" s="28" t="s">
        <v>334</v>
      </c>
      <c r="J105" s="21" t="s">
        <v>335</v>
      </c>
    </row>
    <row r="106" spans="9:15" x14ac:dyDescent="0.25">
      <c r="I106" s="28" t="s">
        <v>336</v>
      </c>
      <c r="J106" s="21" t="s">
        <v>337</v>
      </c>
    </row>
    <row r="107" spans="9:15" x14ac:dyDescent="0.25">
      <c r="I107" s="28" t="s">
        <v>338</v>
      </c>
      <c r="J107" s="21" t="s">
        <v>339</v>
      </c>
    </row>
    <row r="108" spans="9:15" ht="30" x14ac:dyDescent="0.25">
      <c r="I108" s="28" t="s">
        <v>129</v>
      </c>
      <c r="J108" s="21" t="s">
        <v>340</v>
      </c>
    </row>
    <row r="109" spans="9:15" x14ac:dyDescent="0.25">
      <c r="I109" s="35" t="s">
        <v>16</v>
      </c>
      <c r="J109" s="25" t="s">
        <v>16</v>
      </c>
    </row>
  </sheetData>
  <pageMargins left="0.7" right="0.7" top="0.75" bottom="0.75" header="0.3" footer="0.3"/>
  <legacy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ISBAEL VALBUENA</dc:creator>
  <cp:lastModifiedBy>concejo chia</cp:lastModifiedBy>
  <cp:lastPrinted>2025-04-10T17:05:23Z</cp:lastPrinted>
  <dcterms:created xsi:type="dcterms:W3CDTF">2019-05-20T15:57:48Z</dcterms:created>
  <dcterms:modified xsi:type="dcterms:W3CDTF">2026-03-19T14:59:45Z</dcterms:modified>
</cp:coreProperties>
</file>