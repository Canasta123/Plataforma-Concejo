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 Direccionamiento Estratégico y Comunicaciones\Riesgos Comunicaciones\"/>
    </mc:Choice>
  </mc:AlternateContent>
  <xr:revisionPtr revIDLastSave="0" documentId="13_ncr:1_{6DE33753-5094-4245-9676-62D331A28E85}" xr6:coauthVersionLast="47" xr6:coauthVersionMax="47" xr10:uidLastSave="{00000000-0000-0000-0000-000000000000}"/>
  <bookViews>
    <workbookView xWindow="-120" yWindow="-120" windowWidth="29040" windowHeight="15720" tabRatio="882" activeTab="1" xr2:uid="{00000000-000D-0000-FFFF-FFFF00000000}"/>
  </bookViews>
  <sheets>
    <sheet name="Ins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a="1"/>
  <c r="A10" i="1" s="1"/>
  <c r="K17" i="1"/>
  <c r="K16" i="1"/>
  <c r="H16" i="1"/>
  <c r="I16" i="1" s="1"/>
  <c r="K15" i="1"/>
  <c r="K14" i="1"/>
  <c r="K13" i="1"/>
  <c r="H13" i="1"/>
  <c r="T15" i="1"/>
  <c r="I13" i="1" l="1"/>
  <c r="T13" i="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17" i="1" l="1"/>
  <c r="T16" i="1"/>
  <c r="X16" i="1" l="1"/>
  <c r="Y16" i="1" l="1"/>
  <c r="Z16" i="1"/>
  <c r="X17" i="1" s="1"/>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T14" i="1"/>
  <c r="Y17" i="1" l="1"/>
  <c r="Z17" i="1"/>
  <c r="X13" i="1" l="1"/>
  <c r="Y13" i="1" s="1"/>
  <c r="Z13" i="1" l="1"/>
  <c r="X14" i="1" s="1"/>
  <c r="Y14" i="1" l="1"/>
  <c r="Z14" i="1" l="1"/>
  <c r="X15" i="1" s="1"/>
  <c r="Y15" i="1" l="1"/>
  <c r="Z15" i="1"/>
  <c r="T38" i="18" l="1"/>
  <c r="AF22" i="18"/>
  <c r="N38" i="18"/>
  <c r="AF30" i="18"/>
  <c r="AL6" i="18"/>
  <c r="Z6" i="18"/>
  <c r="T14" i="18"/>
  <c r="T22" i="18"/>
  <c r="N6" i="18"/>
  <c r="AL30" i="18"/>
  <c r="Z22" i="18"/>
  <c r="Z14" i="18"/>
  <c r="Z30" i="18"/>
  <c r="AL38" i="18"/>
  <c r="AL14" i="18"/>
  <c r="AF6" i="18"/>
  <c r="AL22" i="18"/>
  <c r="T30" i="18"/>
  <c r="Z38" i="18"/>
  <c r="AF14" i="18"/>
  <c r="N30" i="18"/>
  <c r="N14" i="18"/>
  <c r="N22" i="18"/>
  <c r="AF38" i="18"/>
  <c r="T6" i="18"/>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K35" i="19" l="1"/>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R6" i="18" l="1"/>
  <c r="AJ22" i="18"/>
  <c r="X38" i="18"/>
  <c r="R14" i="18"/>
  <c r="L6" i="18"/>
  <c r="R38" i="18"/>
  <c r="AD30" i="18"/>
  <c r="AD14" i="18"/>
  <c r="X14" i="18"/>
  <c r="AJ30" i="18"/>
  <c r="AJ14" i="18"/>
  <c r="AJ38" i="18"/>
  <c r="X30" i="18"/>
  <c r="R22" i="18"/>
  <c r="AJ6" i="18"/>
  <c r="L38" i="18"/>
  <c r="R30" i="18"/>
  <c r="X22" i="18"/>
  <c r="L14" i="18"/>
  <c r="AD38" i="18"/>
  <c r="AD22" i="18"/>
  <c r="L30" i="18"/>
  <c r="AD6" i="18"/>
  <c r="X6" i="18"/>
  <c r="AB16" i="1"/>
  <c r="AA16" i="1" s="1"/>
  <c r="L22" i="18"/>
  <c r="AB14" i="18"/>
  <c r="AB13" i="1"/>
  <c r="J22" i="18"/>
  <c r="AH30" i="18"/>
  <c r="V30" i="18"/>
  <c r="AB6" i="18"/>
  <c r="P38" i="18"/>
  <c r="AB22" i="18"/>
  <c r="AH6" i="18"/>
  <c r="AB30" i="18"/>
  <c r="V22" i="18"/>
  <c r="AH14" i="18"/>
  <c r="J30" i="18"/>
  <c r="V6" i="18"/>
  <c r="AH22" i="18"/>
  <c r="V38" i="18"/>
  <c r="J6" i="18"/>
  <c r="J38" i="18"/>
  <c r="AH38" i="18"/>
  <c r="V14" i="18"/>
  <c r="P6" i="18"/>
  <c r="P30" i="18"/>
  <c r="P14" i="18"/>
  <c r="P22" i="18"/>
  <c r="J14" i="18"/>
  <c r="AB38" i="18"/>
  <c r="AL26" i="18"/>
  <c r="N18" i="18"/>
  <c r="AF26" i="18"/>
  <c r="T34" i="18"/>
  <c r="N10" i="18"/>
  <c r="T26" i="18"/>
  <c r="T18" i="18"/>
  <c r="N26" i="18"/>
  <c r="AL34" i="18"/>
  <c r="N34" i="18"/>
  <c r="T42" i="18"/>
  <c r="Z18" i="18"/>
  <c r="Z42" i="18"/>
  <c r="Z10" i="18"/>
  <c r="AL42" i="18"/>
  <c r="Z26" i="18"/>
  <c r="AF18" i="18"/>
  <c r="AL18" i="18"/>
  <c r="AF42" i="18"/>
  <c r="AF34" i="18"/>
  <c r="Z34" i="18"/>
  <c r="AF10" i="18"/>
  <c r="T10" i="18"/>
  <c r="N42" i="18"/>
  <c r="AL10" i="18"/>
  <c r="P12" i="18"/>
  <c r="P20" i="18"/>
  <c r="AB20" i="18"/>
  <c r="AB36" i="18"/>
  <c r="AB12" i="18"/>
  <c r="AB44" i="18"/>
  <c r="AH36" i="18"/>
  <c r="J12" i="18"/>
  <c r="J36" i="18"/>
  <c r="V44" i="18"/>
  <c r="AH12" i="18"/>
  <c r="J20" i="18"/>
  <c r="V28" i="18"/>
  <c r="P44" i="18"/>
  <c r="AH44" i="18"/>
  <c r="AB28" i="18"/>
  <c r="AH28" i="18"/>
  <c r="AH20" i="18"/>
  <c r="V20" i="18"/>
  <c r="P28" i="18"/>
  <c r="V12" i="18"/>
  <c r="J28" i="18"/>
  <c r="V36" i="18"/>
  <c r="J44" i="18"/>
  <c r="P36" i="18"/>
  <c r="AD32" i="18"/>
  <c r="X16" i="18"/>
  <c r="X32" i="18"/>
  <c r="X8" i="18"/>
  <c r="AD8" i="18"/>
  <c r="AJ16" i="18"/>
  <c r="X24" i="18"/>
  <c r="AD16" i="18"/>
  <c r="AD40" i="18"/>
  <c r="AJ8" i="18"/>
  <c r="R40" i="18"/>
  <c r="L32" i="18"/>
  <c r="L8" i="18"/>
  <c r="L16" i="18"/>
  <c r="AJ40" i="18"/>
  <c r="L40" i="18"/>
  <c r="R8" i="18"/>
  <c r="R32" i="18"/>
  <c r="R24" i="18"/>
  <c r="R16" i="18"/>
  <c r="AD24" i="18"/>
  <c r="AJ32" i="18"/>
  <c r="X40" i="18"/>
  <c r="L24" i="18"/>
  <c r="AJ24" i="18"/>
  <c r="V34" i="18"/>
  <c r="AB42" i="18"/>
  <c r="V18" i="18"/>
  <c r="J34" i="18"/>
  <c r="AH26" i="18"/>
  <c r="V10" i="18"/>
  <c r="AH42" i="18"/>
  <c r="J18" i="18"/>
  <c r="AH34" i="18"/>
  <c r="AB26" i="18"/>
  <c r="AB34" i="18"/>
  <c r="V42" i="18"/>
  <c r="AH10" i="18"/>
  <c r="V26" i="18"/>
  <c r="J10" i="18"/>
  <c r="P42" i="18"/>
  <c r="AB10" i="18"/>
  <c r="J42" i="18"/>
  <c r="AH18" i="18"/>
  <c r="P26" i="18"/>
  <c r="P34" i="18"/>
  <c r="P10" i="18"/>
  <c r="J26" i="18"/>
  <c r="AB18" i="18"/>
  <c r="P18" i="18"/>
  <c r="AD42" i="18"/>
  <c r="X10" i="18"/>
  <c r="AJ34" i="18"/>
  <c r="L42" i="18"/>
  <c r="AD18" i="18"/>
  <c r="X42" i="18"/>
  <c r="L18" i="18"/>
  <c r="AJ42" i="18"/>
  <c r="R34" i="18"/>
  <c r="AD34" i="18"/>
  <c r="AJ18" i="18"/>
  <c r="X26" i="18"/>
  <c r="L34" i="18"/>
  <c r="R10" i="18"/>
  <c r="AD26" i="18"/>
  <c r="L10" i="18"/>
  <c r="AJ10" i="18"/>
  <c r="AD10" i="18"/>
  <c r="R42" i="18"/>
  <c r="R26" i="18"/>
  <c r="L26" i="18"/>
  <c r="X18" i="18"/>
  <c r="R18" i="18"/>
  <c r="AJ26" i="18"/>
  <c r="X34" i="18"/>
  <c r="AH24" i="18"/>
  <c r="V40" i="18"/>
  <c r="AH40" i="18"/>
  <c r="J8" i="18"/>
  <c r="P40" i="18"/>
  <c r="AB16" i="18"/>
  <c r="J40" i="18"/>
  <c r="AH32" i="18"/>
  <c r="AB8" i="18"/>
  <c r="AB32" i="18"/>
  <c r="J24" i="18"/>
  <c r="AB24" i="18"/>
  <c r="V32" i="18"/>
  <c r="V24" i="18"/>
  <c r="P8" i="18"/>
  <c r="J16" i="18"/>
  <c r="AB40" i="18"/>
  <c r="AH16" i="18"/>
  <c r="V8" i="18"/>
  <c r="J32" i="18"/>
  <c r="V16" i="18"/>
  <c r="P24" i="18"/>
  <c r="P16" i="18"/>
  <c r="AH8" i="18"/>
  <c r="P32" i="18"/>
  <c r="T8" i="18"/>
  <c r="AL8" i="18"/>
  <c r="T32" i="18"/>
  <c r="AL24" i="18"/>
  <c r="N40" i="18"/>
  <c r="AF32" i="18"/>
  <c r="AF8" i="18"/>
  <c r="AL16" i="18"/>
  <c r="T24" i="18"/>
  <c r="Z32" i="18"/>
  <c r="Z8" i="18"/>
  <c r="AF24" i="18"/>
  <c r="Z24" i="18"/>
  <c r="T40" i="18"/>
  <c r="AL40" i="18"/>
  <c r="Z16" i="18"/>
  <c r="N16" i="18"/>
  <c r="N24" i="18"/>
  <c r="AF40" i="18"/>
  <c r="AL32" i="18"/>
  <c r="Z40" i="18"/>
  <c r="T16" i="18"/>
  <c r="AF16" i="18"/>
  <c r="N8" i="18"/>
  <c r="N32" i="18"/>
  <c r="P45" i="19" l="1"/>
  <c r="P15" i="19"/>
  <c r="AH55" i="19"/>
  <c r="AB25" i="19"/>
  <c r="J35" i="19"/>
  <c r="P35" i="19"/>
  <c r="P55" i="19"/>
  <c r="J55" i="19"/>
  <c r="V55" i="19"/>
  <c r="V15" i="19"/>
  <c r="J45" i="19"/>
  <c r="AH15" i="19"/>
  <c r="AB55" i="19"/>
  <c r="J25" i="19"/>
  <c r="P25" i="19"/>
  <c r="V25" i="19"/>
  <c r="V35" i="19"/>
  <c r="AB45" i="19"/>
  <c r="AH35" i="19"/>
  <c r="J15" i="19"/>
  <c r="AB35" i="19"/>
  <c r="AB15" i="19"/>
  <c r="AH45" i="19"/>
  <c r="AH25" i="19"/>
  <c r="V45" i="19"/>
  <c r="AB17" i="1"/>
  <c r="AA17" i="1" s="1"/>
  <c r="AA13" i="1"/>
  <c r="AB14" i="1"/>
  <c r="AB15" i="1" s="1"/>
  <c r="AB27" i="19"/>
  <c r="V27" i="19"/>
  <c r="AB47" i="19"/>
  <c r="AC16" i="1"/>
  <c r="P47" i="19"/>
  <c r="J7" i="19"/>
  <c r="AH7" i="19"/>
  <c r="P17" i="19"/>
  <c r="V17" i="19"/>
  <c r="V7" i="19"/>
  <c r="J47" i="19"/>
  <c r="P37" i="19"/>
  <c r="J37" i="19"/>
  <c r="AB7" i="19"/>
  <c r="AB37" i="19"/>
  <c r="J27" i="19"/>
  <c r="J17" i="19"/>
  <c r="V37" i="19"/>
  <c r="P27" i="19"/>
  <c r="AH47" i="19"/>
  <c r="AH37" i="19"/>
  <c r="AH17" i="19"/>
  <c r="AH27" i="19"/>
  <c r="V47" i="19"/>
  <c r="AB17" i="19"/>
  <c r="P7" i="19"/>
  <c r="AA15" i="1" l="1"/>
  <c r="AC15" i="1" s="1"/>
  <c r="AA14" i="1"/>
  <c r="K36" i="19" s="1"/>
  <c r="AH46" i="19"/>
  <c r="J6" i="19"/>
  <c r="AB6" i="19"/>
  <c r="P46" i="19"/>
  <c r="J26" i="19"/>
  <c r="AC13" i="1"/>
  <c r="P16" i="19"/>
  <c r="AB26" i="19"/>
  <c r="AH16" i="19"/>
  <c r="AH26" i="19"/>
  <c r="AB16" i="19"/>
  <c r="AH36" i="19"/>
  <c r="AB46" i="19"/>
  <c r="AB36" i="19"/>
  <c r="V36" i="19"/>
  <c r="V26" i="19"/>
  <c r="V6" i="19"/>
  <c r="V16" i="19"/>
  <c r="V46" i="19"/>
  <c r="AH6" i="19"/>
  <c r="P36" i="19"/>
  <c r="P6" i="19"/>
  <c r="P26" i="19"/>
  <c r="J36" i="19"/>
  <c r="J16" i="19"/>
  <c r="J46" i="19"/>
  <c r="W27" i="19"/>
  <c r="AI27" i="19"/>
  <c r="K47" i="19"/>
  <c r="AC17" i="19"/>
  <c r="K17" i="19"/>
  <c r="W7" i="19"/>
  <c r="W37" i="19"/>
  <c r="Q47" i="19"/>
  <c r="Q27" i="19"/>
  <c r="Q7" i="19"/>
  <c r="W17" i="19"/>
  <c r="AC37" i="19"/>
  <c r="K37" i="19"/>
  <c r="AI37" i="19"/>
  <c r="AC17" i="1"/>
  <c r="K27" i="19"/>
  <c r="K7" i="19"/>
  <c r="Q17" i="19"/>
  <c r="AI7" i="19"/>
  <c r="AC7" i="19"/>
  <c r="AC47" i="19"/>
  <c r="AC27" i="19"/>
  <c r="AI47" i="19"/>
  <c r="AI17" i="19"/>
  <c r="W47" i="19"/>
  <c r="Q37" i="19"/>
  <c r="Q26" i="19"/>
  <c r="K16" i="19"/>
  <c r="AI16" i="19"/>
  <c r="AC36" i="19"/>
  <c r="Q16" i="19"/>
  <c r="W16" i="19"/>
  <c r="AC16" i="19"/>
  <c r="Q36" i="19"/>
  <c r="W46" i="19"/>
  <c r="W26" i="19"/>
  <c r="K6" i="19"/>
  <c r="AI26" i="19"/>
  <c r="AI46" i="19" l="1"/>
  <c r="AI36" i="19"/>
  <c r="W6" i="19"/>
  <c r="AI6" i="19"/>
  <c r="W36" i="19"/>
  <c r="K46" i="19"/>
  <c r="AC14" i="1"/>
  <c r="Q6" i="19"/>
  <c r="AC6" i="19"/>
  <c r="AC26" i="19"/>
  <c r="K26" i="19"/>
  <c r="AC46" i="19"/>
  <c r="Q46" i="19"/>
  <c r="AD46" i="19"/>
  <c r="L46" i="19"/>
  <c r="R6" i="19"/>
  <c r="AD26" i="19"/>
  <c r="X26" i="19"/>
  <c r="L6" i="19"/>
  <c r="AJ26" i="19"/>
  <c r="X46" i="19"/>
  <c r="L36" i="19"/>
  <c r="X6" i="19"/>
  <c r="AJ6" i="19"/>
  <c r="L16" i="19"/>
  <c r="AJ36" i="19"/>
  <c r="L26" i="19"/>
  <c r="X36" i="19"/>
  <c r="AD6" i="19"/>
  <c r="X16" i="19"/>
  <c r="R36" i="19"/>
  <c r="AD36" i="19"/>
  <c r="AD16" i="19"/>
  <c r="R26" i="19"/>
  <c r="R16" i="19"/>
  <c r="AJ46" i="19"/>
  <c r="R46" i="19"/>
  <c r="AJ16"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<sst xmlns="http://schemas.openxmlformats.org/spreadsheetml/2006/main" count="404" uniqueCount="256">
  <si>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</si>
  <si>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</si>
  <si>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</si>
  <si>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</si>
  <si>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</si>
  <si>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</si>
  <si>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</si>
  <si>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</si>
  <si>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</si>
  <si>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</si>
  <si>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</si>
  <si>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</si>
  <si>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</si>
  <si>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</si>
  <si>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</si>
  <si>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</si>
  <si>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</si>
  <si>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</si>
  <si>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</si>
  <si>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</si>
  <si>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</si>
  <si>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</si>
  <si>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</si>
  <si>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</si>
  <si>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</si>
  <si>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</si>
  <si>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</si>
  <si>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</si>
  <si>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</si>
  <si>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</si>
  <si>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</si>
  <si>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</si>
  <si>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</si>
  <si>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</si>
  <si>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</si>
  <si>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</si>
  <si>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</si>
  <si>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</si>
  <si>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</si>
  <si>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</si>
  <si>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</si>
  <si>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</si>
  <si>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</si>
  <si>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</si>
  <si>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</si>
  <si>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</si>
  <si>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</si>
  <si>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</si>
  <si>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</si>
  <si>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</si>
  <si>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</si>
  <si>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</si>
  <si>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</si>
  <si>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</si>
  <si>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</si>
  <si>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</si>
  <si>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</si>
  <si>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</si>
  <si>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</si>
  <si>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</si>
  <si>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</si>
  <si>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</si>
  <si>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</si>
  <si>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</si>
  <si>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</si>
  <si>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</si>
  <si>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</si>
  <si>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</si>
  <si>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</si>
  <si>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</si>
  <si>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</si>
  <si>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</si>
  <si>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</si>
  <si>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</si>
  <si>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</si>
  <si>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</si>
  <si>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</si>
  <si>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</si>
  <si>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</si>
  <si>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</si>
  <si>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</si>
  <si>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</si>
  <si>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</si>
  <si>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</si>
  <si>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</si>
  <si>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</si>
  <si>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</si>
  <si>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</si>
  <si>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</si>
  <si>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</si>
  <si>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</si>
  <si>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</si>
  <si>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</si>
  <si>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</si>
  <si>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</si>
  <si>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</si>
  <si>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</si>
  <si>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</si>
  <si>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</si>
  <si>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</si>
  <si>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</si>
  <si>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</si>
  <si>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</si>
  <si>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</si>
  <si>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</si>
  <si>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</si>
  <si>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</si>
  <si>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</si>
  <si>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</si>
  <si>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</si>
  <si>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</si>
  <si>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</si>
  <si>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</si>
  <si>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</si>
  <si>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</si>
  <si>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</si>
  <si>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</si>
  <si>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</si>
  <si>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</si>
  <si>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</si>
  <si>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</si>
  <si>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</si>
  <si>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</si>
  <si>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</si>
  <si>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</si>
  <si>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</si>
  <si>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</si>
  <si>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</si>
  <si>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</si>
  <si>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</si>
  <si>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</si>
  <si>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</si>
  <si>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</si>
  <si>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</si>
  <si>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</si>
  <si>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</si>
  <si>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</si>
  <si>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</si>
  <si>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</si>
  <si>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</si>
  <si>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</si>
  <si>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</si>
  <si>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</si>
  <si>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</si>
  <si>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</si>
  <si>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</si>
  <si>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</si>
  <si>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</si>
  <si>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</si>
  <si>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</si>
  <si>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</si>
  <si>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</si>
  <si>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</si>
  <si>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</si>
  <si>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</si>
  <si>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</si>
  <si>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</si>
  <si>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</si>
  <si>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</si>
  <si>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</si>
  <si>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</si>
  <si>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</si>
  <si>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</si>
  <si>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</si>
  <si>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</si>
  <si>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</si>
  <si>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</si>
  <si>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</si>
  <si>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</si>
  <si>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</si>
  <si>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</si>
  <si>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</si>
  <si>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</si>
  <si>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</si>
  <si>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</si>
  <si>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</si>
  <si>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</si>
  <si>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</si>
  <si>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</si>
  <si>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</si>
  <si>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</si>
  <si>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</si>
  <si>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</si>
  <si>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</si>
  <si>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</si>
  <si>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</si>
  <si>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</si>
  <si>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</si>
  <si>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</si>
  <si>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</si>
  <si>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</si>
  <si>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</si>
  <si>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</si>
  <si>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</si>
  <si>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</si>
  <si>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</si>
  <si>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</si>
  <si>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</si>
  <si>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</si>
  <si>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</si>
  <si>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</si>
  <si>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</si>
  <si>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</si>
  <si>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</si>
  <si>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</si>
  <si>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</si>
  <si>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</si>
  <si>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</si>
  <si>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</si>
  <si>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</si>
  <si>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</si>
  <si>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</si>
  <si>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</si>
  <si>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</si>
  <si>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</si>
  <si>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</si>
  <si>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 xml:space="preserve">El presidente verifica y aprueba la informaciòn a publicar, verificando la pertinencia e impacto de la informaciòn hacia sus públicos de valor. </t>
  </si>
  <si>
    <t>Jefe Asesora de Prensa</t>
  </si>
  <si>
    <t>Estado del Plan de Acción</t>
  </si>
  <si>
    <t xml:space="preserve">Estado del Plan de Acción </t>
  </si>
  <si>
    <t>Solo se publica previo visto bueno o ok del presidente de la corporación.</t>
  </si>
  <si>
    <t>El jefe de prensa prepara al vocero antes de salir a medios de comunicación.</t>
  </si>
  <si>
    <t>Solo se sale a medios con las líneas de mensajes, declaración y cuestionarios estructurados.</t>
  </si>
  <si>
    <t>El presidente verifica la viabilidad de las estrategìas de comunicaciòn a ejecutar con base en los resultados de la aplicaciòn de encuestas de satisfacción aplicadas a los usuarios de algun servicio que preste el Concejo.</t>
  </si>
  <si>
    <t>Analizar las métricas de Facebook, Instagram, Twitter y Youtube para conocer los datos de audiencias y consumo</t>
  </si>
  <si>
    <r>
      <t xml:space="preserve">VERSIÓN: </t>
    </r>
    <r>
      <rPr>
        <sz val="11"/>
        <color rgb="FF000000"/>
        <rFont val="Arial"/>
        <family val="2"/>
      </rPr>
      <t>05</t>
    </r>
  </si>
  <si>
    <t xml:space="preserve">I SEGUIMIENTO 2025
Corte 30 de Abril </t>
  </si>
  <si>
    <t>III SEGUIMIENTO 2025
Corte 31 de Diciembre</t>
  </si>
  <si>
    <t>II SEGUIMIENTO 2025
Corte 31 de Agosto</t>
  </si>
  <si>
    <t xml:space="preserve">Desinformaciòn </t>
  </si>
  <si>
    <t>Por no seguir y realizar seguimiento a los lineamientos de comunicaciòn establecidos en el PEC</t>
  </si>
  <si>
    <r>
      <t xml:space="preserve">FECHA: </t>
    </r>
    <r>
      <rPr>
        <sz val="11"/>
        <color rgb="FF000000"/>
        <rFont val="Arial"/>
        <family val="2"/>
      </rPr>
      <t xml:space="preserve"> 07-05-2025</t>
    </r>
  </si>
  <si>
    <t>Abierta</t>
  </si>
  <si>
    <t>Abierto</t>
  </si>
  <si>
    <t xml:space="preserve">En el momento de dar alguna entrevista o declaración se prepara y se pone en contexto de los temas a tratar </t>
  </si>
  <si>
    <t xml:space="preserve">Se  han realizado las encuestas de satisfacción. </t>
  </si>
  <si>
    <t xml:space="preserve">Se analizaron las metricas de las Redes Sociales. El informe se presentó en la Audiencia Pública de Rendición de Cuentas </t>
  </si>
  <si>
    <t>El Jefe asesor de la Oficina de Prensa, verifica que la información que se solicita publicar sea veraz a través de revisión de fuentes, documental, jurídica y normativa, antes de su publicación a los públicos de interés.</t>
  </si>
  <si>
    <t xml:space="preserve">Revisar  con el apoyo de la Alta Dirección, el manual de crisis de la Corporación. </t>
  </si>
  <si>
    <t>Revision del primer borrador del manual de crisis</t>
  </si>
  <si>
    <t xml:space="preserve">Percepción de imagen institucional negativa ante la comunidad. </t>
  </si>
  <si>
    <t xml:space="preserve">Por no articular las actividades de comunicación del PEC con las necesidades o temas de interés de la comunidad </t>
  </si>
  <si>
    <t xml:space="preserve">Analizar las encuestas de satisfacción de la información para evaluar el impacto de las estrategias de comunicación interna y externa </t>
  </si>
  <si>
    <t xml:space="preserve">DIRECCIONAMIENTO ESTRATEGICO Y COMUNICACIONES </t>
  </si>
  <si>
    <t xml:space="preserve">Inicia con la formulación del plan de acción de la Corporación y demás instrumentos de planeación, así como su oportuna divulgación  y finaliza con el seguimiento y evaluación del Proceso.  </t>
  </si>
  <si>
    <t xml:space="preserve">Aprobar y hacer seguimiento a la ejecución del Plan de Acción de la Corporación, así como al funcionamiento administrativo de la misma acorde con la normatividad vigente, garantizando que la comunidad y los grupos de interés participen y cuenten con la información veraz y oportuna. </t>
  </si>
  <si>
    <t xml:space="preserve">Se ajustó el Manual de Crisis  desde la Oficina Asesora de Prensa y Comunicaciones. </t>
  </si>
  <si>
    <t>Todas las publicaciones realizadas a la fecha tienen el visto bueno del presidente</t>
  </si>
  <si>
    <t>Todas las publicaciones realizadas a la fecha tienen el visto bueno del Presidente</t>
  </si>
  <si>
    <t xml:space="preserve">Se realizaron las encuestas de satisfacción clientes internos. </t>
  </si>
  <si>
    <t xml:space="preserve">Se analizaron las metricas de las Redes. Con corte agosto </t>
  </si>
  <si>
    <t>Posiblidad de afectación de imagen institucional por desinformación debido a no seguir y realizar seguimiento a los lineamientos de comunicación establecidos en el PECO</t>
  </si>
  <si>
    <t xml:space="preserve">Media </t>
  </si>
  <si>
    <t xml:space="preserve">     El riesgo afecta la imagen de la entidad con efecto publicitario sostenido a nivel de sector administrativo, nivel departamental o municipal</t>
  </si>
  <si>
    <t>Posibilidad de afectación de la credibilidad institucional  por negativa percepción de la imagen institucional debido a no articular las actividades de comunicacion del PECO con la realidad de los grupos de valor</t>
  </si>
  <si>
    <t>El jefe asesor de la oficina de prensa, revisa que las acciones de comunicaciòn determinadas en el PECO sean de interes y utilidad para los grupos de valor a través de las métricas y estadísticas del sitio web y las redes sociales.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</si>
</sst>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69"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11"/>
      <name val="Arial"/>
      <family val="2"/>
    </font>
    <font>
      <b/>
      <sz val="11"/>
      <color rgb="FF000000"/>
      <name val="Arial"/>
      <family val="2"/>
    </font>
    <font>
      <sz val="11"/>
      <color rgb="FF000000"/>
      <name val="Arial"/>
      <family val="2"/>
    </font>
  </fonts>
  <fills count="2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69">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394">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9" fillId="3" borderId="0" xfId="0" applyFont="1" applyFill="1" applyAlignment="1">
      <alignment horizontal="center" vertical="center"/>
    </xf>
    <xf numFmtId="0" fontId="59" fillId="2" borderId="0" xfId="0" applyFont="1" applyFill="1" applyAlignment="1">
      <alignment horizontal="center" vertical="center"/>
    </xf>
    <xf numFmtId="0" fontId="56" fillId="3" borderId="0" xfId="0" applyFont="1" applyFill="1" applyAlignment="1">
      <alignment vertical="center"/>
    </xf>
    <xf numFmtId="0" fontId="56" fillId="0" borderId="0" xfId="0" applyFont="1" applyAlignment="1">
      <alignment vertical="center"/>
    </xf>
    <xf numFmtId="0" fontId="59"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9" fillId="0" borderId="19" xfId="0" applyFont="1" applyBorder="1" applyAlignment="1" applyProtection="1">
      <alignment horizontal="center" vertical="center" textRotation="90" wrapText="1"/>
      <protection hidden="1"/>
    </xf>
    <xf numFmtId="0" fontId="59"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14" fontId="56" fillId="0" borderId="19" xfId="0" applyNumberFormat="1" applyFont="1" applyBorder="1" applyAlignment="1" applyProtection="1">
      <alignment horizontal="center" vertical="center"/>
      <protection locked="0"/>
    </xf>
    <xf numFmtId="0" fontId="59" fillId="18" borderId="19" xfId="0" applyFont="1" applyFill="1" applyBorder="1" applyAlignment="1">
      <alignment horizontal="center" vertical="center" textRotation="90"/>
    </xf>
    <xf numFmtId="0" fontId="55" fillId="3" borderId="0" xfId="0" applyFont="1" applyFill="1" applyAlignment="1">
      <alignment vertical="center"/>
    </xf>
    <xf numFmtId="0" fontId="63" fillId="0" borderId="55" xfId="0" applyFont="1" applyBorder="1" applyAlignment="1">
      <alignment vertical="center"/>
    </xf>
    <xf numFmtId="0" fontId="64" fillId="0" borderId="55" xfId="0" applyFont="1" applyBorder="1" applyAlignment="1">
      <alignment horizontal="center" vertical="center" wrapText="1"/>
    </xf>
    <xf numFmtId="0" fontId="65" fillId="0" borderId="55" xfId="0" applyFont="1" applyBorder="1" applyAlignment="1">
      <alignment horizontal="center" vertical="center" wrapText="1"/>
    </xf>
    <xf numFmtId="0" fontId="56" fillId="3" borderId="55" xfId="0" applyFont="1" applyFill="1" applyBorder="1"/>
    <xf numFmtId="0" fontId="56" fillId="0" borderId="0" xfId="0" applyFont="1" applyAlignment="1">
      <alignment horizontal="left" vertical="center" wrapText="1"/>
    </xf>
    <xf numFmtId="0" fontId="55" fillId="19" borderId="0" xfId="0" applyFont="1" applyFill="1" applyAlignment="1">
      <alignment vertical="center"/>
    </xf>
    <xf numFmtId="0" fontId="0" fillId="19" borderId="0" xfId="0" applyFill="1"/>
    <xf numFmtId="0" fontId="0" fillId="0" borderId="67" xfId="0" applyBorder="1" applyAlignment="1">
      <alignment horizontal="center" vertical="center" wrapText="1"/>
    </xf>
    <xf numFmtId="0" fontId="0" fillId="3" borderId="67" xfId="0" applyFill="1" applyBorder="1" applyAlignment="1">
      <alignment horizontal="center" vertical="center"/>
    </xf>
    <xf numFmtId="165" fontId="56" fillId="3" borderId="67" xfId="0" applyNumberFormat="1" applyFont="1" applyFill="1" applyBorder="1" applyAlignment="1">
      <alignment horizontal="center" vertical="center" wrapText="1"/>
    </xf>
    <xf numFmtId="0" fontId="0" fillId="0" borderId="67" xfId="0" applyBorder="1" applyAlignment="1">
      <alignment horizontal="center" vertical="center"/>
    </xf>
    <xf numFmtId="165" fontId="56" fillId="0" borderId="67" xfId="0" applyNumberFormat="1" applyFont="1" applyBorder="1" applyAlignment="1">
      <alignment horizontal="center" vertical="center" wrapText="1"/>
    </xf>
    <xf numFmtId="165" fontId="0" fillId="0" borderId="67" xfId="0" applyNumberFormat="1" applyBorder="1" applyAlignment="1">
      <alignment horizontal="center" vertical="center"/>
    </xf>
    <xf numFmtId="14" fontId="61" fillId="0" borderId="19" xfId="0" applyNumberFormat="1" applyFont="1" applyBorder="1" applyAlignment="1" applyProtection="1">
      <alignment horizontal="center" vertical="center"/>
      <protection locked="0"/>
    </xf>
    <xf numFmtId="14" fontId="56" fillId="0" borderId="67" xfId="0" applyNumberFormat="1" applyFont="1" applyBorder="1" applyAlignment="1">
      <alignment horizontal="center" vertical="center" wrapText="1"/>
    </xf>
    <xf numFmtId="14" fontId="0" fillId="0" borderId="67" xfId="0" applyNumberFormat="1" applyBorder="1" applyAlignment="1">
      <alignment horizontal="center" vertical="center" wrapText="1"/>
    </xf>
    <xf numFmtId="14" fontId="0" fillId="3" borderId="67" xfId="0" applyNumberFormat="1" applyFill="1" applyBorder="1" applyAlignment="1">
      <alignment horizontal="center" vertical="center" wrapText="1"/>
    </xf>
    <xf numFmtId="0" fontId="56" fillId="0" borderId="0" xfId="0" applyFont="1" applyAlignment="1">
      <alignment vertical="center" wrapText="1"/>
    </xf>
    <xf numFmtId="0" fontId="56" fillId="0" borderId="67" xfId="0" applyFont="1" applyBorder="1" applyAlignment="1">
      <alignment horizontal="center" vertical="center" wrapText="1"/>
    </xf>
    <xf numFmtId="0" fontId="56" fillId="0" borderId="19" xfId="0" applyFont="1" applyBorder="1" applyAlignment="1" applyProtection="1">
      <alignment horizontal="justify" vertical="center" wrapText="1"/>
      <protection locked="0"/>
    </xf>
    <xf numFmtId="0" fontId="0" fillId="0" borderId="67" xfId="0" applyBorder="1" applyAlignment="1">
      <alignment horizontal="left" vertical="center" wrapText="1"/>
    </xf>
    <xf numFmtId="0" fontId="56" fillId="0" borderId="67" xfId="0" applyFont="1" applyBorder="1" applyAlignment="1">
      <alignment horizontal="center" vertical="center"/>
    </xf>
    <xf numFmtId="14" fontId="56" fillId="3" borderId="67" xfId="0" applyNumberFormat="1" applyFont="1" applyFill="1" applyBorder="1" applyAlignment="1">
      <alignment horizontal="center"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66" fillId="20" borderId="62" xfId="4" applyFont="1" applyFill="1" applyBorder="1" applyAlignment="1">
      <alignment horizontal="center" wrapText="1"/>
    </xf>
    <xf numFmtId="0" fontId="66" fillId="20" borderId="62" xfId="4" applyFont="1" applyFill="1" applyBorder="1" applyAlignment="1">
      <alignment horizontal="center"/>
    </xf>
    <xf numFmtId="0" fontId="66" fillId="20" borderId="63" xfId="4" applyFont="1" applyFill="1" applyBorder="1" applyAlignment="1">
      <alignment horizontal="center"/>
    </xf>
    <xf numFmtId="0" fontId="66" fillId="21" borderId="62" xfId="4" applyFont="1" applyFill="1" applyBorder="1" applyAlignment="1">
      <alignment horizontal="center" wrapText="1"/>
    </xf>
    <xf numFmtId="0" fontId="66" fillId="21" borderId="62" xfId="4" applyFont="1" applyFill="1" applyBorder="1" applyAlignment="1">
      <alignment horizontal="center"/>
    </xf>
    <xf numFmtId="0" fontId="66" fillId="21" borderId="63" xfId="4" applyFont="1" applyFill="1" applyBorder="1" applyAlignment="1">
      <alignment horizontal="center"/>
    </xf>
    <xf numFmtId="0" fontId="59" fillId="22" borderId="64" xfId="4" applyFont="1" applyFill="1" applyBorder="1" applyAlignment="1">
      <alignment horizontal="center" vertical="center" wrapText="1"/>
    </xf>
    <xf numFmtId="0" fontId="61" fillId="20" borderId="65" xfId="4" applyFont="1" applyFill="1" applyBorder="1"/>
    <xf numFmtId="0" fontId="59" fillId="23" borderId="64" xfId="4" applyFont="1" applyFill="1" applyBorder="1" applyAlignment="1">
      <alignment horizontal="center" vertical="center" wrapText="1"/>
    </xf>
    <xf numFmtId="0" fontId="61" fillId="21" borderId="65" xfId="4" applyFont="1" applyFill="1" applyBorder="1"/>
    <xf numFmtId="0" fontId="61" fillId="20" borderId="66" xfId="4" applyFont="1" applyFill="1" applyBorder="1"/>
    <xf numFmtId="0" fontId="59" fillId="18" borderId="19" xfId="0" applyFont="1" applyFill="1" applyBorder="1" applyAlignment="1">
      <alignment horizontal="center" vertical="center"/>
    </xf>
    <xf numFmtId="0" fontId="59" fillId="17" borderId="19" xfId="0" applyFont="1" applyFill="1" applyBorder="1" applyAlignment="1">
      <alignment horizontal="center" vertical="center" wrapText="1"/>
    </xf>
    <xf numFmtId="0" fontId="59" fillId="5" borderId="19" xfId="0" applyFont="1" applyFill="1" applyBorder="1" applyAlignment="1">
      <alignment horizontal="center" vertical="center"/>
    </xf>
    <xf numFmtId="0" fontId="56" fillId="0" borderId="19" xfId="0" applyFont="1" applyBorder="1" applyAlignment="1">
      <alignment horizontal="left" vertical="center" wrapText="1"/>
    </xf>
    <xf numFmtId="9" fontId="56" fillId="0" borderId="19" xfId="0" applyNumberFormat="1" applyFont="1" applyBorder="1" applyAlignment="1" applyProtection="1">
      <alignment horizontal="center" vertical="center" wrapText="1"/>
      <protection hidden="1"/>
    </xf>
    <xf numFmtId="0" fontId="59" fillId="0" borderId="19" xfId="0" applyFont="1" applyBorder="1" applyAlignment="1" applyProtection="1">
      <alignment horizontal="center" vertical="center" wrapText="1"/>
      <protection hidden="1"/>
    </xf>
    <xf numFmtId="0" fontId="56"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9" fontId="56" fillId="0" borderId="19" xfId="0" applyNumberFormat="1" applyFont="1" applyBorder="1" applyAlignment="1" applyProtection="1">
      <alignment horizontal="center" vertical="center" wrapText="1"/>
      <protection locked="0"/>
    </xf>
    <xf numFmtId="0" fontId="59" fillId="17" borderId="19" xfId="0" applyFont="1" applyFill="1" applyBorder="1" applyAlignment="1">
      <alignment horizontal="center" vertical="center" textRotation="90" wrapText="1"/>
    </xf>
    <xf numFmtId="0" fontId="59" fillId="18" borderId="19" xfId="0" applyFont="1" applyFill="1" applyBorder="1" applyAlignment="1">
      <alignment horizontal="center" vertical="center" textRotation="90" wrapText="1"/>
    </xf>
    <xf numFmtId="0" fontId="56" fillId="0" borderId="19" xfId="0" applyFont="1" applyBorder="1" applyAlignment="1">
      <alignment horizontal="center" vertical="center"/>
    </xf>
    <xf numFmtId="0" fontId="61" fillId="0" borderId="19" xfId="0" applyFont="1" applyBorder="1" applyAlignment="1" applyProtection="1">
      <alignment horizontal="center" vertical="center" wrapText="1"/>
      <protection locked="0"/>
    </xf>
    <xf numFmtId="0" fontId="57" fillId="16" borderId="19" xfId="0" applyFont="1" applyFill="1" applyBorder="1" applyAlignment="1">
      <alignment horizontal="left" vertical="center"/>
    </xf>
    <xf numFmtId="0" fontId="57" fillId="16" borderId="61" xfId="0" applyFont="1" applyFill="1" applyBorder="1" applyAlignment="1">
      <alignment horizontal="left" vertical="center"/>
    </xf>
    <xf numFmtId="0" fontId="60" fillId="3" borderId="19" xfId="0" applyFont="1" applyFill="1" applyBorder="1" applyAlignment="1">
      <alignment horizontal="center" vertical="center" textRotation="90"/>
    </xf>
    <xf numFmtId="0" fontId="59" fillId="3" borderId="19" xfId="0" applyFont="1" applyFill="1" applyBorder="1" applyAlignment="1">
      <alignment horizontal="center" vertical="center" wrapText="1"/>
    </xf>
    <xf numFmtId="0" fontId="59" fillId="3" borderId="19" xfId="0" applyFont="1" applyFill="1" applyBorder="1" applyAlignment="1">
      <alignment horizontal="center" vertical="center"/>
    </xf>
    <xf numFmtId="0" fontId="58" fillId="3" borderId="19" xfId="0" applyFont="1" applyFill="1" applyBorder="1" applyAlignment="1" applyProtection="1">
      <alignment horizontal="left" vertical="center" wrapText="1"/>
      <protection locked="0"/>
    </xf>
    <xf numFmtId="0" fontId="58" fillId="3" borderId="61" xfId="0" applyFont="1" applyFill="1" applyBorder="1" applyAlignment="1" applyProtection="1">
      <alignment horizontal="left" vertical="center" wrapText="1"/>
      <protection locked="0"/>
    </xf>
    <xf numFmtId="0" fontId="59" fillId="17" borderId="19" xfId="0" applyFont="1" applyFill="1" applyBorder="1" applyAlignment="1">
      <alignment horizontal="center" vertical="center"/>
    </xf>
    <xf numFmtId="0" fontId="59" fillId="18" borderId="19" xfId="0" applyFont="1" applyFill="1" applyBorder="1" applyAlignment="1">
      <alignment horizontal="center" vertical="center" wrapText="1"/>
    </xf>
    <xf numFmtId="0" fontId="59" fillId="5" borderId="19" xfId="0" applyFont="1" applyFill="1" applyBorder="1" applyAlignment="1">
      <alignment horizontal="center" vertical="center" wrapText="1"/>
    </xf>
    <xf numFmtId="0" fontId="63" fillId="0" borderId="19" xfId="0" applyFont="1" applyBorder="1" applyAlignment="1">
      <alignment horizontal="center" vertical="center"/>
    </xf>
    <xf numFmtId="0" fontId="67" fillId="3" borderId="19" xfId="0" applyFont="1" applyFill="1" applyBorder="1" applyAlignment="1">
      <alignment horizontal="center" vertical="center" wrapText="1"/>
    </xf>
    <xf numFmtId="0" fontId="66" fillId="0" borderId="19" xfId="0" applyFont="1" applyBorder="1" applyAlignment="1">
      <alignment horizontal="center" vertical="center" wrapText="1"/>
    </xf>
    <xf numFmtId="0" fontId="67" fillId="0" borderId="19" xfId="0" applyFont="1" applyBorder="1" applyAlignment="1">
      <alignment horizontal="center" vertical="center" wrapText="1"/>
    </xf>
    <xf numFmtId="0" fontId="60" fillId="3" borderId="19" xfId="0" applyFont="1" applyFill="1" applyBorder="1" applyAlignment="1" applyProtection="1">
      <alignment horizontal="left" vertical="center"/>
      <protection locked="0"/>
    </xf>
    <xf numFmtId="0" fontId="56" fillId="3" borderId="0" xfId="0" applyFont="1" applyFill="1" applyAlignment="1">
      <alignment horizontal="left" vertical="center"/>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15" fillId="20" borderId="3" xfId="0" applyFont="1" applyFill="1" applyBorder="1" applyAlignment="1">
      <alignment horizontal="center" vertical="center" wrapText="1"/>
    </xf>
    <xf numFmtId="0" fontId="15" fillId="20" borderId="10" xfId="0" applyFont="1" applyFill="1" applyBorder="1" applyAlignment="1">
      <alignment horizontal="center" vertical="center"/>
    </xf>
    <xf numFmtId="0" fontId="15" fillId="20" borderId="4" xfId="0" applyFont="1" applyFill="1" applyBorder="1" applyAlignment="1">
      <alignment horizontal="center" vertical="center"/>
    </xf>
    <xf numFmtId="0" fontId="15" fillId="20" borderId="5" xfId="0" applyFont="1" applyFill="1" applyBorder="1" applyAlignment="1">
      <alignment horizontal="center" vertical="center"/>
    </xf>
    <xf numFmtId="0" fontId="15" fillId="20" borderId="0" xfId="0" applyFont="1" applyFill="1" applyAlignment="1">
      <alignment horizontal="center" vertical="center"/>
    </xf>
    <xf numFmtId="0" fontId="15" fillId="20" borderId="6" xfId="0" applyFont="1" applyFill="1" applyBorder="1" applyAlignment="1">
      <alignment horizontal="center" vertical="center"/>
    </xf>
    <xf numFmtId="0" fontId="15" fillId="20" borderId="7" xfId="0" applyFont="1" applyFill="1" applyBorder="1" applyAlignment="1">
      <alignment horizontal="center" vertical="center"/>
    </xf>
    <xf numFmtId="0" fontId="15" fillId="20" borderId="9" xfId="0" applyFont="1" applyFill="1" applyBorder="1" applyAlignment="1">
      <alignment horizontal="center" vertical="center"/>
    </xf>
    <xf numFmtId="0" fontId="15" fillId="20" borderId="8" xfId="0" applyFont="1" applyFill="1" applyBorder="1" applyAlignment="1">
      <alignment horizontal="center" vertical="center"/>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20" borderId="10" xfId="0" applyFont="1" applyFill="1" applyBorder="1" applyAlignment="1">
      <alignment horizontal="center" vertical="center" wrapText="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5"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23" fillId="0" borderId="0" xfId="0" applyFont="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5" xfId="0" applyFont="1" applyBorder="1" applyAlignment="1">
      <alignment horizontal="center" vertical="center" wrapText="1"/>
    </xf>
    <xf numFmtId="0" fontId="40" fillId="0" borderId="0" xfId="0" applyFont="1" applyAlignment="1">
      <alignment horizontal="center" vertical="center"/>
    </xf>
    <xf numFmtId="0" fontId="40" fillId="0" borderId="5"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0" fillId="0" borderId="8" xfId="0" applyFont="1" applyBorder="1" applyAlignment="1">
      <alignment horizontal="center" vertical="center"/>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40" fillId="0" borderId="10" xfId="0" applyFont="1" applyBorder="1" applyAlignment="1">
      <alignment horizontal="center" vertical="center" wrapText="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59" fillId="13" borderId="61" xfId="0" applyFont="1" applyFill="1" applyBorder="1" applyAlignment="1" applyProtection="1">
      <alignment horizontal="center" vertical="center" wrapText="1"/>
      <protection hidden="1"/>
    </xf>
    <xf numFmtId="0" fontId="59" fillId="13" borderId="68" xfId="0" applyFont="1" applyFill="1" applyBorder="1" applyAlignment="1" applyProtection="1">
      <alignment horizontal="center" vertical="center" wrapText="1"/>
      <protection hidden="1"/>
    </xf>
    <xf numFmtId="0" fontId="59" fillId="13" borderId="20" xfId="0" applyFont="1" applyFill="1" applyBorder="1" applyAlignment="1" applyProtection="1">
      <alignment horizontal="center" vertical="center" wrapText="1"/>
      <protection hidden="1"/>
    </xf>
    <xf numFmtId="0" fontId="59" fillId="13" borderId="19" xfId="0" applyFont="1" applyFill="1" applyBorder="1" applyAlignment="1" applyProtection="1">
      <alignment horizontal="center" vertical="center" wrapText="1"/>
      <protection hidden="1"/>
    </xf>
    <xf numFmtId="0" fontId="59" fillId="13" borderId="19" xfId="0" applyFont="1" applyFill="1" applyBorder="1" applyAlignment="1" applyProtection="1">
      <alignment horizontal="center" vertical="center"/>
      <protection hidden="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33">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177800</xdr:colOff>
      <xdr:row>1</xdr:row>
      <xdr:rowOff>88900</xdr:rowOff>
    </xdr:from>
    <xdr:to>
      <xdr:col>2</xdr:col>
      <xdr:colOff>1084943</xdr:colOff>
      <xdr:row>3</xdr:row>
      <xdr:rowOff>582063</xdr:rowOff>
    </xdr:to>
    <xdr:pic>
      <xdr:nvPicPr>
        <xdr:cNvPr id="3" name="Imagen 2">
          <a:extLst>
            <a:ext uri="{FF2B5EF4-FFF2-40B4-BE49-F238E27FC236}">
              <a16:creationId xmlns:a16="http://schemas.microsoft.com/office/drawing/2014/main" id="{6A9C5A37-7524-4107-B9B1-6E3673F755C7}"/>
            </a:ext>
          </a:extLst>
        </xdr:cNvPr>
        <xdr:cNvPicPr>
          <a:picLocks noChangeAspect="1"/>
        </xdr:cNvPicPr>
      </xdr:nvPicPr>
      <xdr:blipFill>
        <a:blip xmlns:r="http://schemas.openxmlformats.org/officeDocument/2006/relationships" r:embed="rId1"/>
        <a:stretch>
          <a:fillRect/>
        </a:stretch>
      </xdr:blipFill>
      <xdr:spPr>
        <a:xfrm>
          <a:off x="444500" y="304800"/>
          <a:ext cx="1846943" cy="9249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2" dataDxfId="31">
  <autoFilter ref="B209:C219" xr:uid="{00000000-0009-0000-0100-000001000000}"/>
  <tableColumns count="2">
    <tableColumn id="1" xr3:uid="{00000000-0010-0000-0000-000001000000}" name="Criterios" dataDxfId="30"/>
    <tableColumn id="2" xr3:uid="{00000000-0010-0000-0000-000002000000}" name="Subcriterios" dataDxfId="29"/>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topLeftCell="A4" zoomScale="110" zoomScaleNormal="110" workbookViewId="0">
      <selection activeCell="C16" sqref="C16:D16"/>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69" t="s">
        <v>163</v>
      </c>
      <c r="C2" s="170"/>
      <c r="D2" s="170"/>
      <c r="E2" s="170"/>
      <c r="F2" s="170"/>
      <c r="G2" s="170"/>
      <c r="H2" s="171"/>
    </row>
    <row r="3" spans="2:8" x14ac:dyDescent="0.25">
      <c r="B3" s="70"/>
      <c r="C3" s="71"/>
      <c r="D3" s="71"/>
      <c r="E3" s="71"/>
      <c r="F3" s="71"/>
      <c r="G3" s="71"/>
      <c r="H3" s="72"/>
    </row>
    <row r="4" spans="2:8" ht="63" customHeight="1" x14ac:dyDescent="0.25">
      <c r="B4" s="172" t="s">
        <v>206</v>
      </c>
      <c r="C4" s="173"/>
      <c r="D4" s="173"/>
      <c r="E4" s="173"/>
      <c r="F4" s="173"/>
      <c r="G4" s="173"/>
      <c r="H4" s="174"/>
    </row>
    <row r="5" spans="2:8" ht="63" customHeight="1" x14ac:dyDescent="0.25">
      <c r="B5" s="175"/>
      <c r="C5" s="176"/>
      <c r="D5" s="176"/>
      <c r="E5" s="176"/>
      <c r="F5" s="176"/>
      <c r="G5" s="176"/>
      <c r="H5" s="177"/>
    </row>
    <row r="6" spans="2:8" ht="16.5" x14ac:dyDescent="0.25">
      <c r="B6" s="178" t="s">
        <v>161</v>
      </c>
      <c r="C6" s="179"/>
      <c r="D6" s="179"/>
      <c r="E6" s="179"/>
      <c r="F6" s="179"/>
      <c r="G6" s="179"/>
      <c r="H6" s="180"/>
    </row>
    <row r="7" spans="2:8" ht="95.25" customHeight="1" x14ac:dyDescent="0.25">
      <c r="B7" s="188" t="s">
        <v>166</v>
      </c>
      <c r="C7" s="189"/>
      <c r="D7" s="189"/>
      <c r="E7" s="189"/>
      <c r="F7" s="189"/>
      <c r="G7" s="189"/>
      <c r="H7" s="190"/>
    </row>
    <row r="8" spans="2:8" ht="16.5" x14ac:dyDescent="0.25">
      <c r="B8" s="106"/>
      <c r="C8" s="107"/>
      <c r="D8" s="107"/>
      <c r="E8" s="107"/>
      <c r="F8" s="107"/>
      <c r="G8" s="107"/>
      <c r="H8" s="108"/>
    </row>
    <row r="9" spans="2:8" ht="16.5" customHeight="1" x14ac:dyDescent="0.25">
      <c r="B9" s="181" t="s">
        <v>199</v>
      </c>
      <c r="C9" s="182"/>
      <c r="D9" s="182"/>
      <c r="E9" s="182"/>
      <c r="F9" s="182"/>
      <c r="G9" s="182"/>
      <c r="H9" s="183"/>
    </row>
    <row r="10" spans="2:8" ht="44.25" customHeight="1" x14ac:dyDescent="0.25">
      <c r="B10" s="181"/>
      <c r="C10" s="182"/>
      <c r="D10" s="182"/>
      <c r="E10" s="182"/>
      <c r="F10" s="182"/>
      <c r="G10" s="182"/>
      <c r="H10" s="183"/>
    </row>
    <row r="11" spans="2:8" ht="15.75" thickBot="1" x14ac:dyDescent="0.3">
      <c r="B11" s="95"/>
      <c r="C11" s="98"/>
      <c r="D11" s="103"/>
      <c r="E11" s="104"/>
      <c r="F11" s="104"/>
      <c r="G11" s="105"/>
      <c r="H11" s="99"/>
    </row>
    <row r="12" spans="2:8" ht="15.75" thickTop="1" x14ac:dyDescent="0.25">
      <c r="B12" s="95"/>
      <c r="C12" s="184" t="s">
        <v>162</v>
      </c>
      <c r="D12" s="185"/>
      <c r="E12" s="186" t="s">
        <v>200</v>
      </c>
      <c r="F12" s="187"/>
      <c r="G12" s="98"/>
      <c r="H12" s="99"/>
    </row>
    <row r="13" spans="2:8" ht="35.25" customHeight="1" x14ac:dyDescent="0.25">
      <c r="B13" s="95"/>
      <c r="C13" s="156" t="s">
        <v>193</v>
      </c>
      <c r="D13" s="157"/>
      <c r="E13" s="158" t="s">
        <v>198</v>
      </c>
      <c r="F13" s="159"/>
      <c r="G13" s="98"/>
      <c r="H13" s="99"/>
    </row>
    <row r="14" spans="2:8" ht="17.25" customHeight="1" x14ac:dyDescent="0.25">
      <c r="B14" s="95"/>
      <c r="C14" s="156" t="s">
        <v>194</v>
      </c>
      <c r="D14" s="157"/>
      <c r="E14" s="158" t="s">
        <v>196</v>
      </c>
      <c r="F14" s="159"/>
      <c r="G14" s="98"/>
      <c r="H14" s="99"/>
    </row>
    <row r="15" spans="2:8" ht="19.5" customHeight="1" x14ac:dyDescent="0.25">
      <c r="B15" s="95"/>
      <c r="C15" s="156" t="s">
        <v>195</v>
      </c>
      <c r="D15" s="157"/>
      <c r="E15" s="158" t="s">
        <v>197</v>
      </c>
      <c r="F15" s="159"/>
      <c r="G15" s="98"/>
      <c r="H15" s="99"/>
    </row>
    <row r="16" spans="2:8" ht="69.75" customHeight="1" x14ac:dyDescent="0.25">
      <c r="B16" s="95"/>
      <c r="C16" s="156" t="s">
        <v>164</v>
      </c>
      <c r="D16" s="157"/>
      <c r="E16" s="158" t="s">
        <v>165</v>
      </c>
      <c r="F16" s="159"/>
      <c r="G16" s="98"/>
      <c r="H16" s="99"/>
    </row>
    <row r="17" spans="2:8" ht="34.5" customHeight="1" x14ac:dyDescent="0.25">
      <c r="B17" s="95"/>
      <c r="C17" s="160" t="s">
        <v>2</v>
      </c>
      <c r="D17" s="161"/>
      <c r="E17" s="152" t="s">
        <v>207</v>
      </c>
      <c r="F17" s="153"/>
      <c r="G17" s="98"/>
      <c r="H17" s="99"/>
    </row>
    <row r="18" spans="2:8" ht="27.75" customHeight="1" x14ac:dyDescent="0.25">
      <c r="B18" s="95"/>
      <c r="C18" s="160" t="s">
        <v>3</v>
      </c>
      <c r="D18" s="161"/>
      <c r="E18" s="152" t="s">
        <v>208</v>
      </c>
      <c r="F18" s="153"/>
      <c r="G18" s="98"/>
      <c r="H18" s="99"/>
    </row>
    <row r="19" spans="2:8" ht="28.5" customHeight="1" x14ac:dyDescent="0.25">
      <c r="B19" s="95"/>
      <c r="C19" s="160" t="s">
        <v>42</v>
      </c>
      <c r="D19" s="161"/>
      <c r="E19" s="152" t="s">
        <v>209</v>
      </c>
      <c r="F19" s="153"/>
      <c r="G19" s="98"/>
      <c r="H19" s="99"/>
    </row>
    <row r="20" spans="2:8" ht="72.75" customHeight="1" x14ac:dyDescent="0.25">
      <c r="B20" s="95"/>
      <c r="C20" s="160" t="s">
        <v>1</v>
      </c>
      <c r="D20" s="161"/>
      <c r="E20" s="152" t="s">
        <v>210</v>
      </c>
      <c r="F20" s="153"/>
      <c r="G20" s="98"/>
      <c r="H20" s="99"/>
    </row>
    <row r="21" spans="2:8" ht="64.5" customHeight="1" x14ac:dyDescent="0.25">
      <c r="B21" s="95"/>
      <c r="C21" s="160" t="s">
        <v>50</v>
      </c>
      <c r="D21" s="161"/>
      <c r="E21" s="152" t="s">
        <v>168</v>
      </c>
      <c r="F21" s="153"/>
      <c r="G21" s="98"/>
      <c r="H21" s="99"/>
    </row>
    <row r="22" spans="2:8" ht="71.25" customHeight="1" x14ac:dyDescent="0.25">
      <c r="B22" s="95"/>
      <c r="C22" s="160" t="s">
        <v>167</v>
      </c>
      <c r="D22" s="161"/>
      <c r="E22" s="152" t="s">
        <v>169</v>
      </c>
      <c r="F22" s="153"/>
      <c r="G22" s="98"/>
      <c r="H22" s="99"/>
    </row>
    <row r="23" spans="2:8" ht="55.5" customHeight="1" x14ac:dyDescent="0.25">
      <c r="B23" s="95"/>
      <c r="C23" s="154" t="s">
        <v>170</v>
      </c>
      <c r="D23" s="155"/>
      <c r="E23" s="152" t="s">
        <v>171</v>
      </c>
      <c r="F23" s="153"/>
      <c r="G23" s="98"/>
      <c r="H23" s="99"/>
    </row>
    <row r="24" spans="2:8" ht="42" customHeight="1" x14ac:dyDescent="0.25">
      <c r="B24" s="95"/>
      <c r="C24" s="154" t="s">
        <v>48</v>
      </c>
      <c r="D24" s="155"/>
      <c r="E24" s="152" t="s">
        <v>172</v>
      </c>
      <c r="F24" s="153"/>
      <c r="G24" s="98"/>
      <c r="H24" s="99"/>
    </row>
    <row r="25" spans="2:8" ht="59.25" customHeight="1" x14ac:dyDescent="0.25">
      <c r="B25" s="95"/>
      <c r="C25" s="154" t="s">
        <v>160</v>
      </c>
      <c r="D25" s="155"/>
      <c r="E25" s="152" t="s">
        <v>173</v>
      </c>
      <c r="F25" s="153"/>
      <c r="G25" s="98"/>
      <c r="H25" s="99"/>
    </row>
    <row r="26" spans="2:8" ht="23.25" customHeight="1" x14ac:dyDescent="0.25">
      <c r="B26" s="95"/>
      <c r="C26" s="154" t="s">
        <v>12</v>
      </c>
      <c r="D26" s="155"/>
      <c r="E26" s="152" t="s">
        <v>174</v>
      </c>
      <c r="F26" s="153"/>
      <c r="G26" s="98"/>
      <c r="H26" s="99"/>
    </row>
    <row r="27" spans="2:8" ht="30.75" customHeight="1" x14ac:dyDescent="0.25">
      <c r="B27" s="95"/>
      <c r="C27" s="154" t="s">
        <v>178</v>
      </c>
      <c r="D27" s="155"/>
      <c r="E27" s="152" t="s">
        <v>175</v>
      </c>
      <c r="F27" s="153"/>
      <c r="G27" s="98"/>
      <c r="H27" s="99"/>
    </row>
    <row r="28" spans="2:8" ht="35.25" customHeight="1" x14ac:dyDescent="0.25">
      <c r="B28" s="95"/>
      <c r="C28" s="154" t="s">
        <v>179</v>
      </c>
      <c r="D28" s="155"/>
      <c r="E28" s="152" t="s">
        <v>176</v>
      </c>
      <c r="F28" s="153"/>
      <c r="G28" s="98"/>
      <c r="H28" s="99"/>
    </row>
    <row r="29" spans="2:8" ht="33" customHeight="1" x14ac:dyDescent="0.25">
      <c r="B29" s="95"/>
      <c r="C29" s="154" t="s">
        <v>179</v>
      </c>
      <c r="D29" s="155"/>
      <c r="E29" s="152" t="s">
        <v>176</v>
      </c>
      <c r="F29" s="153"/>
      <c r="G29" s="98"/>
      <c r="H29" s="99"/>
    </row>
    <row r="30" spans="2:8" ht="30" customHeight="1" x14ac:dyDescent="0.25">
      <c r="B30" s="95"/>
      <c r="C30" s="154" t="s">
        <v>180</v>
      </c>
      <c r="D30" s="155"/>
      <c r="E30" s="152" t="s">
        <v>177</v>
      </c>
      <c r="F30" s="153"/>
      <c r="G30" s="98"/>
      <c r="H30" s="99"/>
    </row>
    <row r="31" spans="2:8" ht="35.25" customHeight="1" x14ac:dyDescent="0.25">
      <c r="B31" s="95"/>
      <c r="C31" s="154" t="s">
        <v>181</v>
      </c>
      <c r="D31" s="155"/>
      <c r="E31" s="152" t="s">
        <v>182</v>
      </c>
      <c r="F31" s="153"/>
      <c r="G31" s="98"/>
      <c r="H31" s="99"/>
    </row>
    <row r="32" spans="2:8" ht="31.5" customHeight="1" x14ac:dyDescent="0.25">
      <c r="B32" s="95"/>
      <c r="C32" s="154" t="s">
        <v>183</v>
      </c>
      <c r="D32" s="155"/>
      <c r="E32" s="152" t="s">
        <v>184</v>
      </c>
      <c r="F32" s="153"/>
      <c r="G32" s="98"/>
      <c r="H32" s="99"/>
    </row>
    <row r="33" spans="2:8" ht="35.25" customHeight="1" x14ac:dyDescent="0.25">
      <c r="B33" s="95"/>
      <c r="C33" s="154" t="s">
        <v>185</v>
      </c>
      <c r="D33" s="155"/>
      <c r="E33" s="152" t="s">
        <v>186</v>
      </c>
      <c r="F33" s="153"/>
      <c r="G33" s="98"/>
      <c r="H33" s="99"/>
    </row>
    <row r="34" spans="2:8" ht="59.25" customHeight="1" x14ac:dyDescent="0.25">
      <c r="B34" s="95"/>
      <c r="C34" s="154" t="s">
        <v>187</v>
      </c>
      <c r="D34" s="155"/>
      <c r="E34" s="152" t="s">
        <v>188</v>
      </c>
      <c r="F34" s="153"/>
      <c r="G34" s="98"/>
      <c r="H34" s="99"/>
    </row>
    <row r="35" spans="2:8" ht="29.25" customHeight="1" x14ac:dyDescent="0.25">
      <c r="B35" s="95"/>
      <c r="C35" s="154" t="s">
        <v>29</v>
      </c>
      <c r="D35" s="155"/>
      <c r="E35" s="152" t="s">
        <v>189</v>
      </c>
      <c r="F35" s="153"/>
      <c r="G35" s="98"/>
      <c r="H35" s="99"/>
    </row>
    <row r="36" spans="2:8" ht="82.5" customHeight="1" x14ac:dyDescent="0.25">
      <c r="B36" s="95"/>
      <c r="C36" s="154" t="s">
        <v>191</v>
      </c>
      <c r="D36" s="155"/>
      <c r="E36" s="152" t="s">
        <v>190</v>
      </c>
      <c r="F36" s="153"/>
      <c r="G36" s="98"/>
      <c r="H36" s="99"/>
    </row>
    <row r="37" spans="2:8" ht="46.5" customHeight="1" x14ac:dyDescent="0.25">
      <c r="B37" s="95"/>
      <c r="C37" s="154" t="s">
        <v>39</v>
      </c>
      <c r="D37" s="155"/>
      <c r="E37" s="152" t="s">
        <v>192</v>
      </c>
      <c r="F37" s="153"/>
      <c r="G37" s="98"/>
      <c r="H37" s="99"/>
    </row>
    <row r="38" spans="2:8" ht="6.75" customHeight="1" thickBot="1" x14ac:dyDescent="0.3">
      <c r="B38" s="95"/>
      <c r="C38" s="165"/>
      <c r="D38" s="166"/>
      <c r="E38" s="167"/>
      <c r="F38" s="168"/>
      <c r="G38" s="98"/>
      <c r="H38" s="99"/>
    </row>
    <row r="39" spans="2:8" ht="15.75" thickTop="1" x14ac:dyDescent="0.25">
      <c r="B39" s="95"/>
      <c r="C39" s="96"/>
      <c r="D39" s="96"/>
      <c r="E39" s="97"/>
      <c r="F39" s="97"/>
      <c r="G39" s="98"/>
      <c r="H39" s="99"/>
    </row>
    <row r="40" spans="2:8" ht="21" customHeight="1" x14ac:dyDescent="0.25">
      <c r="B40" s="162" t="s">
        <v>201</v>
      </c>
      <c r="C40" s="163"/>
      <c r="D40" s="163"/>
      <c r="E40" s="163"/>
      <c r="F40" s="163"/>
      <c r="G40" s="163"/>
      <c r="H40" s="164"/>
    </row>
    <row r="41" spans="2:8" ht="20.25" customHeight="1" x14ac:dyDescent="0.25">
      <c r="B41" s="162" t="s">
        <v>202</v>
      </c>
      <c r="C41" s="163"/>
      <c r="D41" s="163"/>
      <c r="E41" s="163"/>
      <c r="F41" s="163"/>
      <c r="G41" s="163"/>
      <c r="H41" s="164"/>
    </row>
    <row r="42" spans="2:8" ht="20.25" customHeight="1" x14ac:dyDescent="0.25">
      <c r="B42" s="162" t="s">
        <v>203</v>
      </c>
      <c r="C42" s="163"/>
      <c r="D42" s="163"/>
      <c r="E42" s="163"/>
      <c r="F42" s="163"/>
      <c r="G42" s="163"/>
      <c r="H42" s="164"/>
    </row>
    <row r="43" spans="2:8" ht="20.25" customHeight="1" x14ac:dyDescent="0.25">
      <c r="B43" s="162" t="s">
        <v>204</v>
      </c>
      <c r="C43" s="163"/>
      <c r="D43" s="163"/>
      <c r="E43" s="163"/>
      <c r="F43" s="163"/>
      <c r="G43" s="163"/>
      <c r="H43" s="164"/>
    </row>
    <row r="44" spans="2:8" x14ac:dyDescent="0.25">
      <c r="B44" s="162" t="s">
        <v>205</v>
      </c>
      <c r="C44" s="163"/>
      <c r="D44" s="163"/>
      <c r="E44" s="163"/>
      <c r="F44" s="163"/>
      <c r="G44" s="163"/>
      <c r="H44" s="164"/>
    </row>
    <row r="45" spans="2:8" ht="15.75" thickBot="1" x14ac:dyDescent="0.3">
      <c r="B45" s="100"/>
      <c r="C45" s="101"/>
      <c r="D45" s="101"/>
      <c r="E45" s="101"/>
      <c r="F45" s="101"/>
      <c r="G45" s="101"/>
      <c r="H45" s="102"/>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20"/>
  <sheetViews>
    <sheetView showGridLines="0" tabSelected="1" topLeftCell="C9" zoomScale="60" zoomScaleNormal="60" workbookViewId="0">
      <selection activeCell="P17" sqref="P17"/>
    </sheetView>
  </sheetViews>
  <sheetFormatPr baseColWidth="10" defaultColWidth="11.42578125" defaultRowHeight="15" x14ac:dyDescent="0.25"/>
  <cols>
    <col min="1" max="1" width="4" style="116" bestFit="1" customWidth="1" collapsed="1"/>
    <col min="2" max="2" width="14.140625" style="116" customWidth="1" collapsed="1"/>
    <col min="3" max="3" width="18.28515625" style="116" customWidth="1" collapsed="1"/>
    <col min="4" max="4" width="19.85546875" style="116" customWidth="1" collapsed="1"/>
    <col min="5" max="5" width="136.140625" style="110" customWidth="1" collapsed="1"/>
    <col min="6" max="6" width="19" style="117" customWidth="1" collapsed="1"/>
    <col min="7" max="7" width="17.85546875" style="110" customWidth="1" collapsed="1"/>
    <col min="8" max="8" width="22.28515625" style="110" customWidth="1" collapsed="1"/>
    <col min="9" max="9" width="10.140625" style="110" customWidth="1" collapsed="1"/>
    <col min="10" max="10" width="27.28515625" style="110" customWidth="1" collapsed="1"/>
    <col min="11" max="11" width="30.42578125" style="110" customWidth="1" collapsed="1"/>
    <col min="12" max="12" width="17.42578125" style="110" customWidth="1" collapsed="1"/>
    <col min="13" max="13" width="6.28515625" style="110" customWidth="1" collapsed="1"/>
    <col min="14" max="14" width="16" style="110" customWidth="1" collapsed="1"/>
    <col min="15" max="15" width="12.7109375" style="110" customWidth="1" collapsed="1"/>
    <col min="16" max="16" width="84.85546875" style="110" customWidth="1" collapsed="1"/>
    <col min="17" max="17" width="15.140625" style="110" customWidth="1" collapsed="1"/>
    <col min="18" max="18" width="6.85546875" style="110" customWidth="1" collapsed="1"/>
    <col min="19" max="19" width="5" style="110" customWidth="1" collapsed="1"/>
    <col min="20" max="20" width="5.42578125" style="110" customWidth="1" collapsed="1"/>
    <col min="21" max="21" width="7.140625" style="110" customWidth="1" collapsed="1"/>
    <col min="22" max="22" width="6.7109375" style="110" customWidth="1" collapsed="1"/>
    <col min="23" max="23" width="7.42578125" style="110" customWidth="1" collapsed="1"/>
    <col min="24" max="24" width="38.28515625" style="110"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39" style="110" customWidth="1" collapsed="1"/>
    <col min="31" max="31" width="70.140625" style="110" customWidth="1" collapsed="1"/>
    <col min="32" max="32" width="28.85546875" style="110" customWidth="1" collapsed="1"/>
    <col min="33" max="33" width="24.42578125" style="110" customWidth="1" collapsed="1"/>
    <col min="34" max="34" width="20.85546875" customWidth="1"/>
    <col min="35" max="35" width="23.42578125" customWidth="1"/>
    <col min="36" max="36" width="21" customWidth="1"/>
    <col min="37" max="37" width="20.85546875" customWidth="1"/>
    <col min="38" max="38" width="24.140625" customWidth="1"/>
    <col min="39" max="39" width="21" customWidth="1"/>
    <col min="40" max="40" width="16.85546875" customWidth="1"/>
    <col min="41" max="41" width="21.28515625" customWidth="1"/>
    <col min="42" max="42" width="18.42578125" customWidth="1"/>
    <col min="43" max="74" width="11.42578125" style="110" collapsed="1"/>
    <col min="75" max="77" width="11.42578125" style="110"/>
    <col min="78" max="16384" width="11.42578125" style="110" collapsed="1"/>
  </cols>
  <sheetData>
    <row r="1" spans="1:74" ht="16.5" customHeight="1" x14ac:dyDescent="0.2">
      <c r="A1" s="225"/>
      <c r="B1" s="225"/>
      <c r="C1" s="225"/>
      <c r="D1" s="226" t="s">
        <v>212</v>
      </c>
      <c r="E1" s="226"/>
      <c r="F1" s="226"/>
      <c r="G1" s="226"/>
      <c r="H1" s="226"/>
      <c r="I1" s="226"/>
      <c r="J1" s="226"/>
      <c r="K1" s="226"/>
      <c r="L1" s="226"/>
      <c r="M1" s="226"/>
      <c r="N1" s="226"/>
      <c r="O1" s="128"/>
      <c r="P1" s="128"/>
      <c r="Q1" s="128"/>
      <c r="R1" s="128"/>
      <c r="S1" s="128"/>
      <c r="T1" s="128"/>
      <c r="U1" s="128"/>
      <c r="V1" s="128"/>
      <c r="W1" s="128"/>
      <c r="X1" s="128"/>
      <c r="Y1" s="128"/>
      <c r="Z1" s="128"/>
      <c r="AA1" s="128"/>
      <c r="AB1" s="128"/>
      <c r="AC1" s="128"/>
      <c r="AD1" s="128"/>
      <c r="AE1" s="128"/>
      <c r="AF1" s="128"/>
      <c r="AG1" s="128"/>
      <c r="AH1" s="134"/>
      <c r="AI1" s="134"/>
      <c r="AJ1" s="134"/>
      <c r="AK1" s="134"/>
      <c r="AL1" s="134"/>
      <c r="AM1" s="134"/>
      <c r="AN1" s="134"/>
      <c r="AO1" s="134"/>
      <c r="AP1" s="134"/>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row>
    <row r="2" spans="1:74" ht="16.5" customHeight="1" x14ac:dyDescent="0.2">
      <c r="A2" s="225"/>
      <c r="B2" s="225"/>
      <c r="C2" s="225"/>
      <c r="D2" s="226"/>
      <c r="E2" s="226"/>
      <c r="F2" s="226"/>
      <c r="G2" s="226"/>
      <c r="H2" s="226"/>
      <c r="I2" s="226"/>
      <c r="J2" s="226"/>
      <c r="K2" s="226"/>
      <c r="L2" s="226"/>
      <c r="M2" s="226"/>
      <c r="N2" s="226"/>
      <c r="O2" s="128"/>
      <c r="P2" s="128"/>
      <c r="Q2" s="128"/>
      <c r="R2" s="128"/>
      <c r="S2" s="128"/>
      <c r="T2" s="128"/>
      <c r="U2" s="128"/>
      <c r="V2" s="128"/>
      <c r="W2" s="128"/>
      <c r="X2" s="128"/>
      <c r="Y2" s="128"/>
      <c r="Z2" s="128"/>
      <c r="AA2" s="128"/>
      <c r="AB2" s="128"/>
      <c r="AC2" s="128"/>
      <c r="AD2" s="128"/>
      <c r="AE2" s="128"/>
      <c r="AF2" s="128"/>
      <c r="AG2" s="128"/>
      <c r="AH2" s="134"/>
      <c r="AI2" s="134"/>
      <c r="AJ2" s="134"/>
      <c r="AK2" s="134"/>
      <c r="AL2" s="134"/>
      <c r="AM2" s="134"/>
      <c r="AN2" s="134"/>
      <c r="AO2" s="134"/>
      <c r="AP2" s="134"/>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16.5" customHeight="1" x14ac:dyDescent="0.2">
      <c r="A3" s="225"/>
      <c r="B3" s="225"/>
      <c r="C3" s="225"/>
      <c r="D3" s="227" t="s">
        <v>213</v>
      </c>
      <c r="E3" s="227"/>
      <c r="F3" s="227"/>
      <c r="G3" s="227"/>
      <c r="H3" s="227"/>
      <c r="I3" s="227"/>
      <c r="J3" s="227"/>
      <c r="K3" s="227"/>
      <c r="L3" s="227"/>
      <c r="M3" s="227"/>
      <c r="N3" s="227"/>
      <c r="O3" s="128"/>
      <c r="P3" s="128"/>
      <c r="Q3" s="128"/>
      <c r="R3" s="128"/>
      <c r="S3" s="128"/>
      <c r="T3" s="128"/>
      <c r="U3" s="128"/>
      <c r="V3" s="128"/>
      <c r="W3" s="128"/>
      <c r="X3" s="128"/>
      <c r="Y3" s="128"/>
      <c r="Z3" s="128"/>
      <c r="AA3" s="128"/>
      <c r="AB3" s="128"/>
      <c r="AC3" s="128"/>
      <c r="AD3" s="128"/>
      <c r="AE3" s="128"/>
      <c r="AF3" s="128"/>
      <c r="AG3" s="128"/>
      <c r="AH3" s="134"/>
      <c r="AI3" s="134"/>
      <c r="AJ3" s="134"/>
      <c r="AK3" s="134"/>
      <c r="AL3" s="134"/>
      <c r="AM3" s="134"/>
      <c r="AN3" s="134"/>
      <c r="AO3" s="134"/>
      <c r="AP3" s="134"/>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ht="62.25" customHeight="1" x14ac:dyDescent="0.2">
      <c r="A4" s="225"/>
      <c r="B4" s="225"/>
      <c r="C4" s="225"/>
      <c r="D4" s="227" t="s">
        <v>215</v>
      </c>
      <c r="E4" s="227"/>
      <c r="F4" s="227"/>
      <c r="G4" s="227"/>
      <c r="H4" s="227"/>
      <c r="I4" s="227"/>
      <c r="J4" s="227"/>
      <c r="K4" s="227"/>
      <c r="L4" s="227"/>
      <c r="M4" s="227"/>
      <c r="N4" s="227"/>
      <c r="O4" s="128"/>
      <c r="P4" s="128"/>
      <c r="Q4" s="128"/>
      <c r="R4" s="128"/>
      <c r="S4" s="128"/>
      <c r="T4" s="128"/>
      <c r="U4" s="128"/>
      <c r="V4" s="128"/>
      <c r="W4" s="128"/>
      <c r="X4" s="128"/>
      <c r="Y4" s="128"/>
      <c r="Z4" s="128"/>
      <c r="AA4" s="128"/>
      <c r="AB4" s="128"/>
      <c r="AC4" s="128"/>
      <c r="AD4" s="128"/>
      <c r="AE4" s="128"/>
      <c r="AF4" s="128"/>
      <c r="AG4" s="128"/>
      <c r="AH4" s="134"/>
      <c r="AI4" s="134"/>
      <c r="AJ4" s="134"/>
      <c r="AK4" s="134"/>
      <c r="AL4" s="134"/>
      <c r="AM4" s="134"/>
      <c r="AN4" s="134"/>
      <c r="AO4" s="134"/>
      <c r="AP4" s="134"/>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row>
    <row r="5" spans="1:74" x14ac:dyDescent="0.25">
      <c r="A5" s="225"/>
      <c r="B5" s="225"/>
      <c r="C5" s="225"/>
      <c r="D5" s="228" t="s">
        <v>225</v>
      </c>
      <c r="E5" s="228"/>
      <c r="F5" s="228"/>
      <c r="G5" s="228" t="s">
        <v>231</v>
      </c>
      <c r="H5" s="228"/>
      <c r="I5" s="228"/>
      <c r="J5" s="227" t="s">
        <v>214</v>
      </c>
      <c r="K5" s="227"/>
      <c r="L5" s="227"/>
      <c r="M5" s="227"/>
      <c r="N5" s="227"/>
      <c r="O5" s="109"/>
      <c r="P5" s="109"/>
      <c r="Q5" s="109"/>
      <c r="R5" s="109"/>
      <c r="S5" s="109"/>
      <c r="T5" s="109"/>
      <c r="U5" s="109"/>
      <c r="V5" s="109"/>
      <c r="W5" s="109"/>
      <c r="X5" s="109"/>
      <c r="Y5" s="109"/>
      <c r="Z5" s="109"/>
      <c r="AA5" s="109"/>
      <c r="AB5" s="109"/>
      <c r="AC5" s="109"/>
      <c r="AD5" s="109"/>
      <c r="AE5" s="109"/>
      <c r="AF5" s="109"/>
      <c r="AG5" s="109"/>
      <c r="AH5" s="135"/>
      <c r="AI5" s="135"/>
      <c r="AJ5" s="135"/>
      <c r="AK5" s="135"/>
      <c r="AL5" s="135"/>
      <c r="AM5" s="135"/>
      <c r="AN5" s="135"/>
      <c r="AO5" s="135"/>
      <c r="AP5" s="135"/>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ht="22.5" x14ac:dyDescent="0.25">
      <c r="A6" s="129"/>
      <c r="B6" s="130"/>
      <c r="C6" s="130"/>
      <c r="D6" s="130" t="s">
        <v>212</v>
      </c>
      <c r="E6" s="130"/>
      <c r="F6" s="130"/>
      <c r="G6" s="130"/>
      <c r="H6" s="131"/>
      <c r="I6" s="132"/>
      <c r="J6" s="132"/>
      <c r="K6" s="132"/>
      <c r="L6" s="132"/>
      <c r="M6" s="109"/>
      <c r="N6" s="109"/>
      <c r="O6" s="109"/>
      <c r="P6" s="109"/>
      <c r="Q6" s="109"/>
      <c r="R6" s="109"/>
      <c r="S6" s="109"/>
      <c r="T6" s="109"/>
      <c r="U6" s="109"/>
      <c r="V6" s="109"/>
      <c r="W6" s="109"/>
      <c r="X6" s="109"/>
      <c r="Y6" s="109"/>
      <c r="Z6" s="109"/>
      <c r="AA6" s="109"/>
      <c r="AB6" s="109"/>
      <c r="AC6" s="109"/>
      <c r="AD6" s="109"/>
      <c r="AE6" s="109"/>
      <c r="AF6" s="109"/>
      <c r="AG6" s="109"/>
      <c r="AH6" s="135"/>
      <c r="AI6" s="135"/>
      <c r="AJ6" s="135"/>
      <c r="AK6" s="135"/>
      <c r="AL6" s="135"/>
      <c r="AM6" s="135"/>
      <c r="AN6" s="135"/>
      <c r="AO6" s="135"/>
      <c r="AP6" s="135"/>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ht="26.25" customHeight="1" x14ac:dyDescent="0.25">
      <c r="A7" s="215" t="s">
        <v>43</v>
      </c>
      <c r="B7" s="215"/>
      <c r="C7" s="229" t="s">
        <v>243</v>
      </c>
      <c r="D7" s="229"/>
      <c r="E7" s="229"/>
      <c r="F7" s="229"/>
      <c r="G7" s="229"/>
      <c r="H7" s="229"/>
      <c r="I7" s="229"/>
      <c r="J7" s="229"/>
      <c r="K7" s="229"/>
      <c r="L7" s="229"/>
      <c r="M7" s="229"/>
      <c r="N7" s="229"/>
      <c r="O7" s="230"/>
      <c r="P7" s="230"/>
      <c r="Q7" s="230"/>
      <c r="R7" s="109"/>
      <c r="S7" s="109"/>
      <c r="T7" s="109"/>
      <c r="U7" s="109"/>
      <c r="V7" s="109"/>
      <c r="W7" s="109"/>
      <c r="X7" s="109"/>
      <c r="Y7" s="109"/>
      <c r="Z7" s="109"/>
      <c r="AA7" s="109"/>
      <c r="AB7" s="109"/>
      <c r="AC7" s="109"/>
      <c r="AD7" s="109"/>
      <c r="AE7" s="109"/>
      <c r="AF7" s="109"/>
      <c r="AG7" s="109"/>
      <c r="AH7" s="135"/>
      <c r="AI7" s="135"/>
      <c r="AJ7" s="135"/>
      <c r="AK7" s="135"/>
      <c r="AL7" s="135"/>
      <c r="AM7" s="135"/>
      <c r="AN7" s="135"/>
      <c r="AO7" s="135"/>
      <c r="AP7" s="135"/>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row>
    <row r="8" spans="1:74" ht="54.75" customHeight="1" x14ac:dyDescent="0.25">
      <c r="A8" s="215" t="s">
        <v>130</v>
      </c>
      <c r="B8" s="215"/>
      <c r="C8" s="220" t="s">
        <v>245</v>
      </c>
      <c r="D8" s="220"/>
      <c r="E8" s="220"/>
      <c r="F8" s="220"/>
      <c r="G8" s="220"/>
      <c r="H8" s="220"/>
      <c r="I8" s="220"/>
      <c r="J8" s="220"/>
      <c r="K8" s="220"/>
      <c r="L8" s="220"/>
      <c r="M8" s="220"/>
      <c r="N8" s="220"/>
      <c r="O8" s="109"/>
      <c r="P8" s="109"/>
      <c r="Q8" s="109"/>
      <c r="R8" s="109"/>
      <c r="S8" s="109"/>
      <c r="T8" s="109"/>
      <c r="U8" s="109"/>
      <c r="V8" s="109"/>
      <c r="W8" s="109"/>
      <c r="X8" s="109"/>
      <c r="Y8" s="109"/>
      <c r="Z8" s="109"/>
      <c r="AA8" s="109"/>
      <c r="AB8" s="109"/>
      <c r="AC8" s="109"/>
      <c r="AD8" s="109"/>
      <c r="AE8" s="109"/>
      <c r="AF8" s="109"/>
      <c r="AG8" s="109"/>
      <c r="AH8" s="135"/>
      <c r="AI8" s="135"/>
      <c r="AJ8" s="135"/>
      <c r="AK8" s="135"/>
      <c r="AL8" s="135"/>
      <c r="AM8" s="135"/>
      <c r="AN8" s="135"/>
      <c r="AO8" s="135"/>
      <c r="AP8" s="135"/>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row>
    <row r="9" spans="1:74" ht="49.5" customHeight="1" x14ac:dyDescent="0.25">
      <c r="A9" s="216" t="s">
        <v>44</v>
      </c>
      <c r="B9" s="216"/>
      <c r="C9" s="221" t="s">
        <v>244</v>
      </c>
      <c r="D9" s="221"/>
      <c r="E9" s="221"/>
      <c r="F9" s="221"/>
      <c r="G9" s="221"/>
      <c r="H9" s="221"/>
      <c r="I9" s="221"/>
      <c r="J9" s="221"/>
      <c r="K9" s="221"/>
      <c r="L9" s="221"/>
      <c r="M9" s="221"/>
      <c r="N9" s="221"/>
      <c r="O9" s="109"/>
      <c r="P9" s="109"/>
      <c r="Q9" s="109"/>
      <c r="R9" s="109"/>
      <c r="S9" s="109"/>
      <c r="T9" s="109"/>
      <c r="U9" s="109"/>
      <c r="V9" s="109"/>
      <c r="W9" s="109"/>
      <c r="X9" s="109"/>
      <c r="Y9" s="109"/>
      <c r="Z9" s="109"/>
      <c r="AA9" s="109"/>
      <c r="AB9" s="109"/>
      <c r="AC9" s="109"/>
      <c r="AD9" s="109"/>
      <c r="AE9" s="109"/>
      <c r="AF9" s="109"/>
      <c r="AG9" s="109"/>
      <c r="AH9" s="135"/>
      <c r="AI9" s="135"/>
      <c r="AJ9" s="135"/>
      <c r="AK9" s="135"/>
      <c r="AL9" s="135"/>
      <c r="AM9" s="135"/>
      <c r="AN9" s="135"/>
      <c r="AO9" s="135"/>
      <c r="AP9" s="135"/>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row>
    <row r="10" spans="1:74" ht="106.5" customHeight="1" x14ac:dyDescent="0.25">
      <c r="A10" s="219" t="e" cm="1">
        <f t="array" ref="A10">A10:G17Identificación del riesgo</f>
        <v>#NAME?</v>
      </c>
      <c r="B10" s="219"/>
      <c r="C10" s="219"/>
      <c r="D10" s="219"/>
      <c r="E10" s="219"/>
      <c r="F10" s="219"/>
      <c r="G10" s="219"/>
      <c r="H10" s="222" t="s">
        <v>138</v>
      </c>
      <c r="I10" s="222"/>
      <c r="J10" s="222"/>
      <c r="K10" s="222"/>
      <c r="L10" s="222"/>
      <c r="M10" s="222"/>
      <c r="N10" s="222"/>
      <c r="O10" s="202" t="s">
        <v>139</v>
      </c>
      <c r="P10" s="202"/>
      <c r="Q10" s="202"/>
      <c r="R10" s="202"/>
      <c r="S10" s="202"/>
      <c r="T10" s="202"/>
      <c r="U10" s="202"/>
      <c r="V10" s="202"/>
      <c r="W10" s="202"/>
      <c r="X10" s="203" t="s">
        <v>140</v>
      </c>
      <c r="Y10" s="203"/>
      <c r="Z10" s="203"/>
      <c r="AA10" s="203"/>
      <c r="AB10" s="203"/>
      <c r="AC10" s="203"/>
      <c r="AD10" s="203"/>
      <c r="AE10" s="204" t="s">
        <v>34</v>
      </c>
      <c r="AF10" s="204"/>
      <c r="AG10" s="204"/>
      <c r="AH10" s="191" t="s">
        <v>226</v>
      </c>
      <c r="AI10" s="192"/>
      <c r="AJ10" s="193"/>
      <c r="AK10" s="194" t="s">
        <v>228</v>
      </c>
      <c r="AL10" s="195"/>
      <c r="AM10" s="196"/>
      <c r="AN10" s="191" t="s">
        <v>227</v>
      </c>
      <c r="AO10" s="192"/>
      <c r="AP10" s="193"/>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row>
    <row r="11" spans="1:74" ht="16.5" customHeight="1" x14ac:dyDescent="0.2">
      <c r="A11" s="217" t="s">
        <v>0</v>
      </c>
      <c r="B11" s="219" t="s">
        <v>2</v>
      </c>
      <c r="C11" s="218" t="s">
        <v>3</v>
      </c>
      <c r="D11" s="218" t="s">
        <v>42</v>
      </c>
      <c r="E11" s="219" t="s">
        <v>1</v>
      </c>
      <c r="F11" s="218" t="s">
        <v>50</v>
      </c>
      <c r="G11" s="218" t="s">
        <v>134</v>
      </c>
      <c r="H11" s="203" t="s">
        <v>33</v>
      </c>
      <c r="I11" s="222" t="s">
        <v>5</v>
      </c>
      <c r="J11" s="203" t="s">
        <v>87</v>
      </c>
      <c r="K11" s="203" t="s">
        <v>92</v>
      </c>
      <c r="L11" s="203" t="s">
        <v>45</v>
      </c>
      <c r="M11" s="222" t="s">
        <v>5</v>
      </c>
      <c r="N11" s="203" t="s">
        <v>48</v>
      </c>
      <c r="O11" s="212" t="s">
        <v>11</v>
      </c>
      <c r="P11" s="223" t="s">
        <v>160</v>
      </c>
      <c r="Q11" s="223" t="s">
        <v>12</v>
      </c>
      <c r="R11" s="223" t="s">
        <v>8</v>
      </c>
      <c r="S11" s="223"/>
      <c r="T11" s="223"/>
      <c r="U11" s="223"/>
      <c r="V11" s="223"/>
      <c r="W11" s="223"/>
      <c r="X11" s="211" t="s">
        <v>137</v>
      </c>
      <c r="Y11" s="211" t="s">
        <v>46</v>
      </c>
      <c r="Z11" s="211" t="s">
        <v>5</v>
      </c>
      <c r="AA11" s="211" t="s">
        <v>47</v>
      </c>
      <c r="AB11" s="211" t="s">
        <v>5</v>
      </c>
      <c r="AC11" s="211" t="s">
        <v>49</v>
      </c>
      <c r="AD11" s="211" t="s">
        <v>29</v>
      </c>
      <c r="AE11" s="224" t="s">
        <v>34</v>
      </c>
      <c r="AF11" s="224" t="s">
        <v>35</v>
      </c>
      <c r="AG11" s="224" t="s">
        <v>36</v>
      </c>
      <c r="AH11" s="197" t="s">
        <v>38</v>
      </c>
      <c r="AI11" s="197" t="s">
        <v>37</v>
      </c>
      <c r="AJ11" s="197" t="s">
        <v>218</v>
      </c>
      <c r="AK11" s="199" t="s">
        <v>38</v>
      </c>
      <c r="AL11" s="199" t="s">
        <v>37</v>
      </c>
      <c r="AM11" s="199" t="s">
        <v>218</v>
      </c>
      <c r="AN11" s="197" t="s">
        <v>38</v>
      </c>
      <c r="AO11" s="197" t="s">
        <v>37</v>
      </c>
      <c r="AP11" s="197" t="s">
        <v>219</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row>
    <row r="12" spans="1:74" s="112" customFormat="1" ht="94.5" customHeight="1" x14ac:dyDescent="0.25">
      <c r="A12" s="217"/>
      <c r="B12" s="219"/>
      <c r="C12" s="218"/>
      <c r="D12" s="218"/>
      <c r="E12" s="219"/>
      <c r="F12" s="218"/>
      <c r="G12" s="218"/>
      <c r="H12" s="203"/>
      <c r="I12" s="222"/>
      <c r="J12" s="203"/>
      <c r="K12" s="203"/>
      <c r="L12" s="222"/>
      <c r="M12" s="222"/>
      <c r="N12" s="203"/>
      <c r="O12" s="212"/>
      <c r="P12" s="223"/>
      <c r="Q12" s="223"/>
      <c r="R12" s="127" t="s">
        <v>13</v>
      </c>
      <c r="S12" s="127" t="s">
        <v>17</v>
      </c>
      <c r="T12" s="127" t="s">
        <v>28</v>
      </c>
      <c r="U12" s="127" t="s">
        <v>18</v>
      </c>
      <c r="V12" s="127" t="s">
        <v>21</v>
      </c>
      <c r="W12" s="127" t="s">
        <v>24</v>
      </c>
      <c r="X12" s="211"/>
      <c r="Y12" s="211"/>
      <c r="Z12" s="211"/>
      <c r="AA12" s="211"/>
      <c r="AB12" s="211"/>
      <c r="AC12" s="211"/>
      <c r="AD12" s="211"/>
      <c r="AE12" s="224"/>
      <c r="AF12" s="224"/>
      <c r="AG12" s="224"/>
      <c r="AH12" s="198"/>
      <c r="AI12" s="198"/>
      <c r="AJ12" s="198"/>
      <c r="AK12" s="200"/>
      <c r="AL12" s="200"/>
      <c r="AM12" s="200"/>
      <c r="AN12" s="201"/>
      <c r="AO12" s="201"/>
      <c r="AP12" s="20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row>
    <row r="13" spans="1:74" s="114" customFormat="1" ht="88.5" x14ac:dyDescent="0.25">
      <c r="A13" s="213">
        <v>1</v>
      </c>
      <c r="B13" s="208" t="s">
        <v>131</v>
      </c>
      <c r="C13" s="208" t="s">
        <v>229</v>
      </c>
      <c r="D13" s="208" t="s">
        <v>230</v>
      </c>
      <c r="E13" s="214" t="s">
        <v>251</v>
      </c>
      <c r="F13" s="208" t="s">
        <v>128</v>
      </c>
      <c r="G13" s="209">
        <v>365</v>
      </c>
      <c r="H13" s="207" t="str">
        <f>IF(G13&lt;=0,"",IF(G13&lt;=2,"Muy Baja",IF(G13&lt;=24,"Baja",IF(G13&lt;=500,"Media",IF(G13&lt;=5000,"Alta","Muy Alta")))))</f>
        <v>Media</v>
      </c>
      <c r="I13" s="206">
        <f>IF(H13="","",IF(H13="Muy Baja",0.2,IF(H13="Baja",0.4,IF(H13="Media",0.6,IF(H13="Alta",0.8,IF(H13="Muy Alta",1,))))))</f>
        <v>0.6</v>
      </c>
      <c r="J13" s="210" t="s">
        <v>153</v>
      </c>
      <c r="K13" s="206" t="str">
        <f>IF(NOT(ISERROR(MATCH(J13,#REF!,0))),#REF!&amp;"Por favor no seleccionar los criterios de impacto(Afectación Económica o presupuestal y Pérdida Reputacional)",J13)</f>
        <v xml:space="preserve">     El riesgo afecta la imagen de de la entidad con efecto publicitario sostenido a nivel de sector administrativo, nivel departamental o municipal</v>
      </c>
      <c r="L13" s="389" t="s">
        <v>252</v>
      </c>
      <c r="M13" s="206">
        <v>0.6</v>
      </c>
      <c r="N13" s="393" t="s">
        <v>107</v>
      </c>
      <c r="O13" s="118">
        <v>1</v>
      </c>
      <c r="P13" s="148" t="s">
        <v>237</v>
      </c>
      <c r="Q13" s="119" t="s">
        <v>2</v>
      </c>
      <c r="R13" s="120" t="s">
        <v>14</v>
      </c>
      <c r="S13" s="120" t="s">
        <v>9</v>
      </c>
      <c r="T13" s="121" t="str">
        <f t="shared" ref="T13:T17" si="0">IF(AND(R13="Preventivo",S13="Automático"),"50%",IF(AND(R13="Preventivo",S13="Manual"),"40%",IF(AND(R13="Detectivo",S13="Automático"),"40%",IF(AND(R13="Detectivo",S13="Manual"),"30%",IF(AND(R13="Correctivo",S13="Automático"),"35%",IF(AND(R13="Correctivo",S13="Manual"),"25%",""))))))</f>
        <v>40%</v>
      </c>
      <c r="U13" s="120" t="s">
        <v>19</v>
      </c>
      <c r="V13" s="120" t="s">
        <v>22</v>
      </c>
      <c r="W13" s="120" t="s">
        <v>120</v>
      </c>
      <c r="X13" s="122">
        <f>IFERROR(IF(Q13="Probabilidad",(I13-(+I13*T13)),IF(Q13="Impacto",I13,"")),"")</f>
        <v>0.6</v>
      </c>
      <c r="Y13" s="123" t="str">
        <f>IFERROR(IF(X13="","",IF(X13&lt;=0.2,"Muy Baja",IF(X13&lt;=0.4,"Baja",IF(X13&lt;=0.6,"Media",IF(X13&lt;=0.8,"Alta","Muy Alta"))))),"")</f>
        <v>Media</v>
      </c>
      <c r="Z13" s="121">
        <f t="shared" ref="Z13:Z17" si="1">+X13</f>
        <v>0.6</v>
      </c>
      <c r="AA13" s="123" t="str">
        <f>IFERROR(IF(AB13="","",IF(AB13&lt;=0.2,"Leve",IF(AB13&lt;=0.4,"Menor",IF(AB13&lt;=0.6,"Moderado",IF(AB13&lt;=0.8,"Mayor","Catastrófico"))))),"")</f>
        <v>Menor</v>
      </c>
      <c r="AB13" s="121">
        <f>IFERROR(IF(Q13="Impacto",(M13-(+M13*T13)),IF(Q13="Probabilidad",M13,"")),"")</f>
        <v>0.36</v>
      </c>
      <c r="AC13" s="124" t="str">
        <f t="shared" ref="AC13:AC17" si="2">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120" t="s">
        <v>135</v>
      </c>
      <c r="AE13" s="125" t="s">
        <v>238</v>
      </c>
      <c r="AF13" s="125" t="s">
        <v>217</v>
      </c>
      <c r="AG13" s="142">
        <v>45930</v>
      </c>
      <c r="AH13" s="143">
        <v>45775</v>
      </c>
      <c r="AI13" s="146" t="s">
        <v>239</v>
      </c>
      <c r="AJ13" s="150" t="s">
        <v>232</v>
      </c>
      <c r="AK13" s="143">
        <v>45894</v>
      </c>
      <c r="AL13" s="146" t="s">
        <v>246</v>
      </c>
      <c r="AM13" s="150" t="s">
        <v>233</v>
      </c>
      <c r="AN13" s="151">
        <v>46006</v>
      </c>
      <c r="AO13" s="145"/>
      <c r="AP13" s="137"/>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row>
    <row r="14" spans="1:74" ht="88.5" x14ac:dyDescent="0.2">
      <c r="A14" s="213"/>
      <c r="B14" s="208"/>
      <c r="C14" s="208"/>
      <c r="D14" s="208"/>
      <c r="E14" s="214"/>
      <c r="F14" s="208"/>
      <c r="G14" s="209"/>
      <c r="H14" s="207"/>
      <c r="I14" s="206"/>
      <c r="J14" s="210"/>
      <c r="K14" s="206">
        <f>IF(NOT(ISERROR(MATCH(J14,_xlfn.ANCHORARRAY(#REF!),0))),#REF!&amp;"Por favor no seleccionar los criterios de impacto",J14)</f>
        <v>0</v>
      </c>
      <c r="L14" s="390"/>
      <c r="M14" s="206"/>
      <c r="N14" s="393"/>
      <c r="O14" s="118">
        <v>2</v>
      </c>
      <c r="P14" s="148" t="s">
        <v>216</v>
      </c>
      <c r="Q14" s="119" t="s">
        <v>2</v>
      </c>
      <c r="R14" s="120" t="s">
        <v>14</v>
      </c>
      <c r="S14" s="120" t="s">
        <v>9</v>
      </c>
      <c r="T14" s="121" t="str">
        <f t="shared" si="0"/>
        <v>40%</v>
      </c>
      <c r="U14" s="120" t="s">
        <v>19</v>
      </c>
      <c r="V14" s="120" t="s">
        <v>22</v>
      </c>
      <c r="W14" s="120" t="s">
        <v>120</v>
      </c>
      <c r="X14" s="122">
        <f>IFERROR(IF(AND(Q13="Probabilidad",Q14="Probabilidad"),(Z13-(+Z13*T14)),IF(Q14="Probabilidad",(I13-(+I13*T14)),IF(Q14="Impacto",Z13,""))),"")</f>
        <v>0.6</v>
      </c>
      <c r="Y14" s="123" t="str">
        <f t="shared" ref="Y14:Y17" si="3">IFERROR(IF(X14="","",IF(X14&lt;=0.2,"Muy Baja",IF(X14&lt;=0.4,"Baja",IF(X14&lt;=0.6,"Media",IF(X14&lt;=0.8,"Alta","Muy Alta"))))),"")</f>
        <v>Media</v>
      </c>
      <c r="Z14" s="121">
        <f t="shared" si="1"/>
        <v>0.6</v>
      </c>
      <c r="AA14" s="123" t="str">
        <f t="shared" ref="AA14:AA17" si="4">IFERROR(IF(AB14="","",IF(AB14&lt;=0.2,"Leve",IF(AB14&lt;=0.4,"Menor",IF(AB14&lt;=0.6,"Moderado",IF(AB14&lt;=0.8,"Mayor","Catastrófico"))))),"")</f>
        <v>Menor</v>
      </c>
      <c r="AB14" s="121">
        <f>IFERROR(IF(AND(Q13="Impacto",Q14="Impacto"),(AB13-(+AB13*T14)),IF(Q14="Impacto",($M$13-(+$M$13*T14)),IF(Q14="Probabilidad",AB13,""))),"")</f>
        <v>0.216</v>
      </c>
      <c r="AC14" s="124" t="str">
        <f t="shared" si="2"/>
        <v>Moderado</v>
      </c>
      <c r="AD14" s="120" t="s">
        <v>135</v>
      </c>
      <c r="AE14" s="125" t="s">
        <v>220</v>
      </c>
      <c r="AF14" s="125" t="s">
        <v>217</v>
      </c>
      <c r="AG14" s="126">
        <v>45662</v>
      </c>
      <c r="AH14" s="143">
        <v>45775</v>
      </c>
      <c r="AI14" s="147" t="s">
        <v>247</v>
      </c>
      <c r="AJ14" s="150" t="s">
        <v>232</v>
      </c>
      <c r="AK14" s="143">
        <v>45894</v>
      </c>
      <c r="AL14" s="147" t="s">
        <v>248</v>
      </c>
      <c r="AM14" s="139"/>
      <c r="AN14" s="138"/>
      <c r="AO14" s="140"/>
      <c r="AP14" s="137"/>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row>
    <row r="15" spans="1:74" ht="88.5" x14ac:dyDescent="0.2">
      <c r="A15" s="213"/>
      <c r="B15" s="208"/>
      <c r="C15" s="208"/>
      <c r="D15" s="208"/>
      <c r="E15" s="214"/>
      <c r="F15" s="208"/>
      <c r="G15" s="209"/>
      <c r="H15" s="207"/>
      <c r="I15" s="206"/>
      <c r="J15" s="210"/>
      <c r="K15" s="206">
        <f>IF(NOT(ISERROR(MATCH(J15,_xlfn.ANCHORARRAY(#REF!),0))),#REF!&amp;"Por favor no seleccionar los criterios de impacto",J15)</f>
        <v>0</v>
      </c>
      <c r="L15" s="391"/>
      <c r="M15" s="206"/>
      <c r="N15" s="393"/>
      <c r="O15" s="118">
        <v>3</v>
      </c>
      <c r="P15" s="148" t="s">
        <v>221</v>
      </c>
      <c r="Q15" s="119" t="s">
        <v>2</v>
      </c>
      <c r="R15" s="120" t="s">
        <v>14</v>
      </c>
      <c r="S15" s="120" t="s">
        <v>9</v>
      </c>
      <c r="T15" s="121" t="str">
        <f t="shared" ref="T15" si="5">IF(AND(R15="Preventivo",S15="Automático"),"50%",IF(AND(R15="Preventivo",S15="Manual"),"40%",IF(AND(R15="Detectivo",S15="Automático"),"40%",IF(AND(R15="Detectivo",S15="Manual"),"30%",IF(AND(R15="Correctivo",S15="Automático"),"35%",IF(AND(R15="Correctivo",S15="Manual"),"25%",""))))))</f>
        <v>40%</v>
      </c>
      <c r="U15" s="120" t="s">
        <v>19</v>
      </c>
      <c r="V15" s="120" t="s">
        <v>22</v>
      </c>
      <c r="W15" s="120" t="s">
        <v>120</v>
      </c>
      <c r="X15" s="122">
        <f>IFERROR(IF(AND(Q14="Probabilidad",Q15="Probabilidad"),(Z14-(+Z14*T15)),IF(Q15="Probabilidad",(I14-(+I14*T15)),IF(Q15="Impacto",Z14,""))),"")</f>
        <v>0.6</v>
      </c>
      <c r="Y15" s="123" t="str">
        <f t="shared" ref="Y15" si="6">IFERROR(IF(X15="","",IF(X15&lt;=0.2,"Muy Baja",IF(X15&lt;=0.4,"Baja",IF(X15&lt;=0.6,"Media",IF(X15&lt;=0.8,"Alta","Muy Alta"))))),"")</f>
        <v>Media</v>
      </c>
      <c r="Z15" s="121">
        <f t="shared" ref="Z15" si="7">+X15</f>
        <v>0.6</v>
      </c>
      <c r="AA15" s="123" t="str">
        <f t="shared" si="4"/>
        <v>Leve</v>
      </c>
      <c r="AB15" s="121">
        <f>IFERROR(IF(AND(Q14="Impacto",Q15="Impacto"),(AB14-(+AB14*T15)),IF(Q15="Impacto",($M$13-(+$M$13*T15)),IF(Q15="Probabilidad",AB14,""))),"")</f>
        <v>0.12959999999999999</v>
      </c>
      <c r="AC15" s="124" t="str">
        <f t="shared" ref="AC15" si="8">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120" t="s">
        <v>135</v>
      </c>
      <c r="AE15" s="125" t="s">
        <v>222</v>
      </c>
      <c r="AF15" s="125" t="s">
        <v>217</v>
      </c>
      <c r="AG15" s="126">
        <v>45658</v>
      </c>
      <c r="AH15" s="143">
        <v>45775</v>
      </c>
      <c r="AI15" s="147" t="s">
        <v>234</v>
      </c>
      <c r="AJ15" s="150" t="s">
        <v>232</v>
      </c>
      <c r="AK15" s="143">
        <v>45894</v>
      </c>
      <c r="AL15" s="147" t="s">
        <v>234</v>
      </c>
      <c r="AM15" s="139"/>
      <c r="AN15" s="141"/>
      <c r="AO15" s="141"/>
      <c r="AP15" s="137"/>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row>
    <row r="16" spans="1:74" ht="88.5" x14ac:dyDescent="0.2">
      <c r="A16" s="213">
        <v>2</v>
      </c>
      <c r="B16" s="208" t="s">
        <v>131</v>
      </c>
      <c r="C16" s="208" t="s">
        <v>240</v>
      </c>
      <c r="D16" s="208" t="s">
        <v>241</v>
      </c>
      <c r="E16" s="214" t="s">
        <v>254</v>
      </c>
      <c r="F16" s="208" t="s">
        <v>128</v>
      </c>
      <c r="G16" s="209">
        <v>365</v>
      </c>
      <c r="H16" s="207" t="str">
        <f>IF(G16&lt;=0,"",IF(G16&lt;=2,"Muy Baja",IF(G16&lt;=24,"Baja",IF(G16&lt;=500,"Media",IF(G16&lt;=5000,"Alta","Muy Alta")))))</f>
        <v>Media</v>
      </c>
      <c r="I16" s="206">
        <f>IF(H16="","",IF(H16="Muy Baja",0.2,IF(H16="Baja",0.4,IF(H16="Media",0.6,IF(H16="Alta",0.8,IF(H16="Muy Alta",1,))))))</f>
        <v>0.6</v>
      </c>
      <c r="J16" s="210" t="s">
        <v>253</v>
      </c>
      <c r="K16" s="206" t="str">
        <f>IF(NOT(ISERROR(MATCH(J16,#REF!,0))),#REF!&amp;"Por favor no seleccionar los criterios de impacto(Afectación Económica o presupuestal y Pérdida Reputacional)",J16)</f>
        <v xml:space="preserve">     El riesgo afecta la imagen de la entidad con efecto publicitario sostenido a nivel de sector administrativo, nivel departamental o municipal</v>
      </c>
      <c r="L16" s="392" t="s">
        <v>252</v>
      </c>
      <c r="M16" s="206">
        <v>0.6</v>
      </c>
      <c r="N16" s="392" t="s">
        <v>252</v>
      </c>
      <c r="O16" s="118">
        <v>1</v>
      </c>
      <c r="P16" s="148" t="s">
        <v>255</v>
      </c>
      <c r="Q16" s="119" t="s">
        <v>2</v>
      </c>
      <c r="R16" s="120" t="s">
        <v>14</v>
      </c>
      <c r="S16" s="120" t="s">
        <v>9</v>
      </c>
      <c r="T16" s="121" t="str">
        <f t="shared" si="0"/>
        <v>40%</v>
      </c>
      <c r="U16" s="120" t="s">
        <v>19</v>
      </c>
      <c r="V16" s="120" t="s">
        <v>23</v>
      </c>
      <c r="W16" s="120" t="s">
        <v>119</v>
      </c>
      <c r="X16" s="122">
        <f>IFERROR(IF(Q16="Probabilidad",(I16-(+I16*T16)),IF(Q16="Impacto",I16,"")),"")</f>
        <v>0.6</v>
      </c>
      <c r="Y16" s="123" t="str">
        <f>IFERROR(IF(X16="","",IF(X16&lt;=0.2,"Muy Baja",IF(X16&lt;=0.4,"Baja",IF(X16&lt;=0.6,"Media",IF(X16&lt;=0.8,"Alta","Muy Alta"))))),"")</f>
        <v>Media</v>
      </c>
      <c r="Z16" s="121">
        <f t="shared" si="1"/>
        <v>0.6</v>
      </c>
      <c r="AA16" s="123" t="str">
        <f>IFERROR(IF(AB16="","",IF(AB16&lt;=0.2,"Leve",IF(AB16&lt;=0.4,"Menor",IF(AB16&lt;=0.6,"Moderado",IF(AB16&lt;=0.8,"Mayor","Catastrófico"))))),"")</f>
        <v>Menor</v>
      </c>
      <c r="AB16" s="121">
        <f>IFERROR(IF(Q16="Impacto",(M16-(+M16*T16)),IF(Q16="Probabilidad",M16,"")),"")</f>
        <v>0.36</v>
      </c>
      <c r="AC16" s="124" t="str">
        <f t="shared" si="2"/>
        <v>Moderado</v>
      </c>
      <c r="AD16" s="120" t="s">
        <v>135</v>
      </c>
      <c r="AE16" s="125" t="s">
        <v>224</v>
      </c>
      <c r="AF16" s="125" t="s">
        <v>217</v>
      </c>
      <c r="AG16" s="142">
        <v>45807</v>
      </c>
      <c r="AH16" s="143">
        <v>45775</v>
      </c>
      <c r="AI16" s="147" t="s">
        <v>236</v>
      </c>
      <c r="AJ16" s="150" t="s">
        <v>232</v>
      </c>
      <c r="AK16" s="143">
        <v>45894</v>
      </c>
      <c r="AL16" s="147" t="s">
        <v>250</v>
      </c>
      <c r="AM16" s="149"/>
      <c r="AN16" s="136"/>
      <c r="AO16" s="144"/>
      <c r="AP16" s="137"/>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88.5" x14ac:dyDescent="0.2">
      <c r="A17" s="213"/>
      <c r="B17" s="208"/>
      <c r="C17" s="208"/>
      <c r="D17" s="208"/>
      <c r="E17" s="214"/>
      <c r="F17" s="208"/>
      <c r="G17" s="209"/>
      <c r="H17" s="207"/>
      <c r="I17" s="206"/>
      <c r="J17" s="210"/>
      <c r="K17" s="206">
        <f>IF(NOT(ISERROR(MATCH(J17,_xlfn.ANCHORARRAY(E18),0))),I20&amp;"Por favor no seleccionar los criterios de impacto",J17)</f>
        <v>0</v>
      </c>
      <c r="L17" s="392"/>
      <c r="M17" s="206"/>
      <c r="N17" s="392"/>
      <c r="O17" s="118">
        <v>2</v>
      </c>
      <c r="P17" s="148" t="s">
        <v>223</v>
      </c>
      <c r="Q17" s="119" t="s">
        <v>2</v>
      </c>
      <c r="R17" s="120" t="s">
        <v>14</v>
      </c>
      <c r="S17" s="120" t="s">
        <v>9</v>
      </c>
      <c r="T17" s="121" t="str">
        <f t="shared" si="0"/>
        <v>40%</v>
      </c>
      <c r="U17" s="120" t="s">
        <v>19</v>
      </c>
      <c r="V17" s="120" t="s">
        <v>23</v>
      </c>
      <c r="W17" s="120" t="s">
        <v>119</v>
      </c>
      <c r="X17" s="122">
        <f>IFERROR(IF(AND(Q16="Probabilidad",Q17="Probabilidad"),(Z16-(+Z16*T17)),IF(Q17="Probabilidad",(I16-(+I16*T17)),IF(Q17="Impacto",Z16,""))),"")</f>
        <v>0.6</v>
      </c>
      <c r="Y17" s="123" t="str">
        <f t="shared" si="3"/>
        <v>Media</v>
      </c>
      <c r="Z17" s="121">
        <f t="shared" si="1"/>
        <v>0.6</v>
      </c>
      <c r="AA17" s="123" t="str">
        <f t="shared" si="4"/>
        <v>Menor</v>
      </c>
      <c r="AB17" s="121">
        <f>IFERROR(IF(AND(Q16="Impacto",Q17="Impacto"),(AB13-(+AB13*T17)),IF(Q17="Impacto",($M$16-(+$M$16*T17)),IF(Q17="Probabilidad",AB13,""))),"")</f>
        <v>0.216</v>
      </c>
      <c r="AC17" s="124" t="str">
        <f t="shared" si="2"/>
        <v>Moderado</v>
      </c>
      <c r="AD17" s="120" t="s">
        <v>135</v>
      </c>
      <c r="AE17" s="125" t="s">
        <v>242</v>
      </c>
      <c r="AF17" s="125" t="s">
        <v>217</v>
      </c>
      <c r="AG17" s="126">
        <v>45930</v>
      </c>
      <c r="AH17" s="143">
        <v>45775</v>
      </c>
      <c r="AI17" s="147" t="s">
        <v>235</v>
      </c>
      <c r="AJ17" s="139" t="s">
        <v>232</v>
      </c>
      <c r="AK17" s="143">
        <v>45894</v>
      </c>
      <c r="AL17" s="147" t="s">
        <v>249</v>
      </c>
      <c r="AM17" s="139"/>
      <c r="AN17" s="141"/>
      <c r="AO17" s="136"/>
      <c r="AP17" s="137"/>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row>
    <row r="18" spans="1:74" ht="49.5" customHeight="1" x14ac:dyDescent="0.25">
      <c r="A18" s="118"/>
      <c r="B18" s="205" t="s">
        <v>211</v>
      </c>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133"/>
      <c r="AI18" s="133"/>
      <c r="AJ18" s="133"/>
      <c r="AK18" s="133"/>
      <c r="AL18" s="133"/>
      <c r="AM18" s="133"/>
    </row>
    <row r="20" spans="1:74" x14ac:dyDescent="0.25">
      <c r="A20" s="110"/>
      <c r="B20" s="115" t="s">
        <v>141</v>
      </c>
      <c r="C20" s="110"/>
      <c r="D20" s="110"/>
      <c r="F20" s="110"/>
    </row>
  </sheetData>
  <dataConsolidate link="1"/>
  <mergeCells count="88">
    <mergeCell ref="H10:N10"/>
    <mergeCell ref="F13:F15"/>
    <mergeCell ref="G13:G15"/>
    <mergeCell ref="H13:H15"/>
    <mergeCell ref="A13:A15"/>
    <mergeCell ref="B13:B15"/>
    <mergeCell ref="C13:C15"/>
    <mergeCell ref="D13:D15"/>
    <mergeCell ref="E13:E15"/>
    <mergeCell ref="N13:N15"/>
    <mergeCell ref="I13:I15"/>
    <mergeCell ref="J13:J15"/>
    <mergeCell ref="K13:K15"/>
    <mergeCell ref="L13:L15"/>
    <mergeCell ref="M13:M15"/>
    <mergeCell ref="K11:K12"/>
    <mergeCell ref="AE11:AE12"/>
    <mergeCell ref="AG11:AG12"/>
    <mergeCell ref="AF11:AF12"/>
    <mergeCell ref="A1:C5"/>
    <mergeCell ref="D1:N2"/>
    <mergeCell ref="D3:N3"/>
    <mergeCell ref="D4:N4"/>
    <mergeCell ref="D5:F5"/>
    <mergeCell ref="G5:I5"/>
    <mergeCell ref="J5:N5"/>
    <mergeCell ref="C7:N7"/>
    <mergeCell ref="I11:I12"/>
    <mergeCell ref="L11:L12"/>
    <mergeCell ref="O7:Q7"/>
    <mergeCell ref="A10:G10"/>
    <mergeCell ref="Q11:Q12"/>
    <mergeCell ref="AB11:AB12"/>
    <mergeCell ref="X11:X12"/>
    <mergeCell ref="P11:P12"/>
    <mergeCell ref="AA11:AA12"/>
    <mergeCell ref="Y11:Y12"/>
    <mergeCell ref="Z11:Z12"/>
    <mergeCell ref="R11:W11"/>
    <mergeCell ref="A7:B7"/>
    <mergeCell ref="A8:B8"/>
    <mergeCell ref="A9:B9"/>
    <mergeCell ref="A11:A12"/>
    <mergeCell ref="F11:F12"/>
    <mergeCell ref="E11:E12"/>
    <mergeCell ref="D11:D12"/>
    <mergeCell ref="C11:C12"/>
    <mergeCell ref="C8:N8"/>
    <mergeCell ref="C9:N9"/>
    <mergeCell ref="G11:G12"/>
    <mergeCell ref="H11:H12"/>
    <mergeCell ref="M11:M12"/>
    <mergeCell ref="B11:B12"/>
    <mergeCell ref="N11:N12"/>
    <mergeCell ref="J11:J12"/>
    <mergeCell ref="A16:A17"/>
    <mergeCell ref="B16:B17"/>
    <mergeCell ref="C16:C17"/>
    <mergeCell ref="D16:D17"/>
    <mergeCell ref="E16:E17"/>
    <mergeCell ref="O10:W10"/>
    <mergeCell ref="X10:AD10"/>
    <mergeCell ref="AE10:AG10"/>
    <mergeCell ref="B18:AG18"/>
    <mergeCell ref="K16:K17"/>
    <mergeCell ref="L16:L17"/>
    <mergeCell ref="M16:M17"/>
    <mergeCell ref="N16:N17"/>
    <mergeCell ref="F16:F17"/>
    <mergeCell ref="G16:G17"/>
    <mergeCell ref="H16:H17"/>
    <mergeCell ref="I16:I17"/>
    <mergeCell ref="J16:J17"/>
    <mergeCell ref="AD11:AD12"/>
    <mergeCell ref="O11:O12"/>
    <mergeCell ref="AC11:AC12"/>
    <mergeCell ref="AH10:AJ10"/>
    <mergeCell ref="AK10:AM10"/>
    <mergeCell ref="AN10:AP10"/>
    <mergeCell ref="AH11:AH12"/>
    <mergeCell ref="AI11:AI12"/>
    <mergeCell ref="AJ11:AJ12"/>
    <mergeCell ref="AK11:AK12"/>
    <mergeCell ref="AL11:AL12"/>
    <mergeCell ref="AM11:AM12"/>
    <mergeCell ref="AN11:AN12"/>
    <mergeCell ref="AO11:AO12"/>
    <mergeCell ref="AP11:AP12"/>
  </mergeCells>
  <conditionalFormatting sqref="H13 Y13:Y17 H16">
    <cfRule type="cellIs" dxfId="28" priority="20" operator="equal">
      <formula>"Muy Alta"</formula>
    </cfRule>
    <cfRule type="cellIs" dxfId="27" priority="21" operator="equal">
      <formula>"Alta"</formula>
    </cfRule>
    <cfRule type="cellIs" dxfId="26" priority="22" operator="equal">
      <formula>"Media"</formula>
    </cfRule>
    <cfRule type="cellIs" dxfId="25" priority="23" operator="equal">
      <formula>"Baja"</formula>
    </cfRule>
    <cfRule type="cellIs" dxfId="24" priority="24" operator="equal">
      <formula>"Muy Baja"</formula>
    </cfRule>
  </conditionalFormatting>
  <conditionalFormatting sqref="K13:K17">
    <cfRule type="containsText" dxfId="23" priority="6" operator="containsText" text="❌">
      <formula>NOT(ISERROR(SEARCH("❌",K13)))</formula>
    </cfRule>
  </conditionalFormatting>
  <conditionalFormatting sqref="L13 AA13:AA17 L16">
    <cfRule type="cellIs" dxfId="22" priority="15" operator="equal">
      <formula>"Catastrófico"</formula>
    </cfRule>
    <cfRule type="cellIs" dxfId="21" priority="16" operator="equal">
      <formula>"Mayor"</formula>
    </cfRule>
    <cfRule type="cellIs" dxfId="20" priority="17" operator="equal">
      <formula>"Moderado"</formula>
    </cfRule>
    <cfRule type="cellIs" dxfId="19" priority="18" operator="equal">
      <formula>"Menor"</formula>
    </cfRule>
    <cfRule type="cellIs" dxfId="18" priority="19" operator="equal">
      <formula>"Leve"</formula>
    </cfRule>
  </conditionalFormatting>
  <conditionalFormatting sqref="N13 AC13:AC17">
    <cfRule type="cellIs" dxfId="17" priority="11" operator="equal">
      <formula>"Extremo"</formula>
    </cfRule>
    <cfRule type="cellIs" dxfId="16" priority="12" operator="equal">
      <formula>"Alto"</formula>
    </cfRule>
    <cfRule type="cellIs" dxfId="15" priority="13" operator="equal">
      <formula>"Moderado"</formula>
    </cfRule>
    <cfRule type="cellIs" dxfId="14" priority="14" operator="equal">
      <formula>"Bajo"</formula>
    </cfRule>
  </conditionalFormatting>
  <conditionalFormatting sqref="N16">
    <cfRule type="cellIs" dxfId="9" priority="1" operator="equal">
      <formula>"Muy Alta"</formula>
    </cfRule>
    <cfRule type="cellIs" dxfId="8" priority="2" operator="equal">
      <formula>"Alta"</formula>
    </cfRule>
    <cfRule type="cellIs" dxfId="7" priority="3" operator="equal">
      <formula>"Media"</formula>
    </cfRule>
    <cfRule type="cellIs" dxfId="6" priority="4" operator="equal">
      <formula>"Baja"</formula>
    </cfRule>
    <cfRule type="cellIs" dxfId="5" priority="5" operator="equal">
      <formula>"Muy Baja"</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8">
        <x14:dataValidation type="custom" allowBlank="1" showInputMessage="1" showErrorMessage="1" error="Recuerde que las acciones se generan bajo la medida de mitigar el riesgo" xr:uid="{00000000-0002-0000-0100-000009000000}">
          <x14:formula1>
            <xm:f>IF(OR(AD13='Opciones Tratamiento'!$B$2,AD13='Opciones Tratamiento'!$B$3,AD13='Opciones Tratamiento'!$B$4),ISBLANK(AD13),ISTEXT(AD13))</xm:f>
          </x14:formula1>
          <xm:sqref>AE13:AE17</xm:sqref>
        </x14:dataValidation>
        <x14:dataValidation type="list" allowBlank="1" showInputMessage="1" showErrorMessage="1" xr:uid="{00000000-0002-0000-0100-000000000000}">
          <x14:formula1>
            <xm:f>'Tabla Valoración controles'!$D$4:$D$6</xm:f>
          </x14:formula1>
          <xm:sqref>R13:R17</xm:sqref>
        </x14:dataValidation>
        <x14:dataValidation type="list" allowBlank="1" showInputMessage="1" showErrorMessage="1" xr:uid="{00000000-0002-0000-0100-000001000000}">
          <x14:formula1>
            <xm:f>'Tabla Valoración controles'!$D$7:$D$8</xm:f>
          </x14:formula1>
          <xm:sqref>S13:S17</xm:sqref>
        </x14:dataValidation>
        <x14:dataValidation type="list" allowBlank="1" showInputMessage="1" showErrorMessage="1" xr:uid="{00000000-0002-0000-0100-000002000000}">
          <x14:formula1>
            <xm:f>'Tabla Valoración controles'!$D$9:$D$10</xm:f>
          </x14:formula1>
          <xm:sqref>U13:U17</xm:sqref>
        </x14:dataValidation>
        <x14:dataValidation type="list" allowBlank="1" showInputMessage="1" showErrorMessage="1" xr:uid="{00000000-0002-0000-0100-000003000000}">
          <x14:formula1>
            <xm:f>'Tabla Valoración controles'!$D$11:$D$12</xm:f>
          </x14:formula1>
          <xm:sqref>V13:V17</xm:sqref>
        </x14:dataValidation>
        <x14:dataValidation type="list" allowBlank="1" showInputMessage="1" showErrorMessage="1" xr:uid="{00000000-0002-0000-0100-000004000000}">
          <x14:formula1>
            <xm:f>'Tabla Valoración controles'!$D$13:$D$14</xm:f>
          </x14:formula1>
          <xm:sqref>W13:W17</xm:sqref>
        </x14:dataValidation>
        <x14:dataValidation type="list" allowBlank="1" showInputMessage="1" showErrorMessage="1" xr:uid="{00000000-0002-0000-0100-000007000000}">
          <x14:formula1>
            <xm:f>'Opciones Tratamiento'!$B$2:$B$5</xm:f>
          </x14:formula1>
          <xm:sqref>AD13:AD17</xm:sqref>
        </x14:dataValidation>
        <x14:dataValidation type="custom" allowBlank="1" showInputMessage="1" showErrorMessage="1" error="Recuerde que las acciones se generan bajo la medida de mitigar el riesgo" xr:uid="{00000000-0002-0000-0100-00000B000000}">
          <x14:formula1>
            <xm:f>IF(OR(AK13='Opciones Tratamiento'!$B$2,AK13='Opciones Tratamiento'!$B$3,AK13='Opciones Tratamiento'!$B$4),ISBLANK(AK13),ISTEXT(AK13))</xm:f>
          </x14:formula1>
          <xm:sqref>AN13:AP17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zoomScale="50" zoomScaleNormal="50" workbookViewId="0">
      <selection activeCell="AD24" sqref="AD24:AE25"/>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25" t="s">
        <v>158</v>
      </c>
      <c r="C2" s="325"/>
      <c r="D2" s="325"/>
      <c r="E2" s="325"/>
      <c r="F2" s="325"/>
      <c r="G2" s="325"/>
      <c r="H2" s="325"/>
      <c r="I2" s="325"/>
      <c r="J2" s="293" t="s">
        <v>2</v>
      </c>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25"/>
      <c r="C3" s="325"/>
      <c r="D3" s="325"/>
      <c r="E3" s="325"/>
      <c r="F3" s="325"/>
      <c r="G3" s="325"/>
      <c r="H3" s="325"/>
      <c r="I3" s="325"/>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25"/>
      <c r="C4" s="325"/>
      <c r="D4" s="325"/>
      <c r="E4" s="325"/>
      <c r="F4" s="325"/>
      <c r="G4" s="325"/>
      <c r="H4" s="325"/>
      <c r="I4" s="325"/>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231" t="s">
        <v>4</v>
      </c>
      <c r="C6" s="231"/>
      <c r="D6" s="232"/>
      <c r="E6" s="278" t="s">
        <v>116</v>
      </c>
      <c r="F6" s="279"/>
      <c r="G6" s="279"/>
      <c r="H6" s="279"/>
      <c r="I6" s="280"/>
      <c r="J6" s="289" t="str">
        <f>IF(AND('Mapa final'!$H$13="Muy Alta",'Mapa final'!$L$13="Leve"),CONCATENATE("R",'Mapa final'!$A$13),"")</f>
        <v/>
      </c>
      <c r="K6" s="290"/>
      <c r="L6" s="290" t="str">
        <f>IF(AND('Mapa final'!$H$16="Muy Alta",'Mapa final'!$L$16="Leve"),CONCATENATE("R",'Mapa final'!$A$16),"")</f>
        <v/>
      </c>
      <c r="M6" s="290"/>
      <c r="N6" s="290" t="e">
        <f>IF(AND('Mapa final'!#REF!="Muy Alta",'Mapa final'!#REF!="Leve"),CONCATENATE("R",'Mapa final'!#REF!),"")</f>
        <v>#REF!</v>
      </c>
      <c r="O6" s="292"/>
      <c r="P6" s="289" t="str">
        <f>IF(AND('Mapa final'!$H$13="Muy Alta",'Mapa final'!$L$13="Menor"),CONCATENATE("R",'Mapa final'!$A$13),"")</f>
        <v/>
      </c>
      <c r="Q6" s="290"/>
      <c r="R6" s="290" t="str">
        <f>IF(AND('Mapa final'!$H$16="Muy Alta",'Mapa final'!$L$16="Menor"),CONCATENATE("R",'Mapa final'!$A$16),"")</f>
        <v/>
      </c>
      <c r="S6" s="290"/>
      <c r="T6" s="290" t="e">
        <f>IF(AND('Mapa final'!#REF!="Muy Alta",'Mapa final'!#REF!="Menor"),CONCATENATE("R",'Mapa final'!#REF!),"")</f>
        <v>#REF!</v>
      </c>
      <c r="U6" s="292"/>
      <c r="V6" s="289" t="str">
        <f>IF(AND('Mapa final'!$H$13="Muy Alta",'Mapa final'!$L$13="Moderado"),CONCATENATE("R",'Mapa final'!$A$13),"")</f>
        <v/>
      </c>
      <c r="W6" s="290"/>
      <c r="X6" s="290" t="str">
        <f>IF(AND('Mapa final'!$H$16="Muy Alta",'Mapa final'!$L$16="Moderado"),CONCATENATE("R",'Mapa final'!$A$16),"")</f>
        <v/>
      </c>
      <c r="Y6" s="290"/>
      <c r="Z6" s="290" t="e">
        <f>IF(AND('Mapa final'!#REF!="Muy Alta",'Mapa final'!#REF!="Moderado"),CONCATENATE("R",'Mapa final'!#REF!),"")</f>
        <v>#REF!</v>
      </c>
      <c r="AA6" s="292"/>
      <c r="AB6" s="289" t="str">
        <f>IF(AND('Mapa final'!$H$13="Muy Alta",'Mapa final'!$L$13="Mayor"),CONCATENATE("R",'Mapa final'!$A$13),"")</f>
        <v/>
      </c>
      <c r="AC6" s="290"/>
      <c r="AD6" s="290" t="str">
        <f>IF(AND('Mapa final'!$H$16="Muy Alta",'Mapa final'!$L$16="Mayor"),CONCATENATE("R",'Mapa final'!$A$16),"")</f>
        <v/>
      </c>
      <c r="AE6" s="290"/>
      <c r="AF6" s="290" t="e">
        <f>IF(AND('Mapa final'!#REF!="Muy Alta",'Mapa final'!#REF!="Mayor"),CONCATENATE("R",'Mapa final'!#REF!),"")</f>
        <v>#REF!</v>
      </c>
      <c r="AG6" s="292"/>
      <c r="AH6" s="304" t="str">
        <f>IF(AND('Mapa final'!$H$13="Muy Alta",'Mapa final'!$L$13="Catastrófico"),CONCATENATE("R",'Mapa final'!$A$13),"")</f>
        <v/>
      </c>
      <c r="AI6" s="305"/>
      <c r="AJ6" s="305" t="str">
        <f>IF(AND('Mapa final'!$H$16="Muy Alta",'Mapa final'!$L$16="Catastrófico"),CONCATENATE("R",'Mapa final'!$A$16),"")</f>
        <v/>
      </c>
      <c r="AK6" s="305"/>
      <c r="AL6" s="305" t="e">
        <f>IF(AND('Mapa final'!#REF!="Muy Alta",'Mapa final'!#REF!="Catastrófico"),CONCATENATE("R",'Mapa final'!#REF!),"")</f>
        <v>#REF!</v>
      </c>
      <c r="AM6" s="306"/>
      <c r="AO6" s="233" t="s">
        <v>79</v>
      </c>
      <c r="AP6" s="234"/>
      <c r="AQ6" s="234"/>
      <c r="AR6" s="234"/>
      <c r="AS6" s="234"/>
      <c r="AT6" s="235"/>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231"/>
      <c r="C7" s="231"/>
      <c r="D7" s="232"/>
      <c r="E7" s="281"/>
      <c r="F7" s="282"/>
      <c r="G7" s="282"/>
      <c r="H7" s="282"/>
      <c r="I7" s="283"/>
      <c r="J7" s="291"/>
      <c r="K7" s="287"/>
      <c r="L7" s="287"/>
      <c r="M7" s="287"/>
      <c r="N7" s="287"/>
      <c r="O7" s="288"/>
      <c r="P7" s="291"/>
      <c r="Q7" s="287"/>
      <c r="R7" s="287"/>
      <c r="S7" s="287"/>
      <c r="T7" s="287"/>
      <c r="U7" s="288"/>
      <c r="V7" s="291"/>
      <c r="W7" s="287"/>
      <c r="X7" s="287"/>
      <c r="Y7" s="287"/>
      <c r="Z7" s="287"/>
      <c r="AA7" s="288"/>
      <c r="AB7" s="291"/>
      <c r="AC7" s="287"/>
      <c r="AD7" s="287"/>
      <c r="AE7" s="287"/>
      <c r="AF7" s="287"/>
      <c r="AG7" s="288"/>
      <c r="AH7" s="298"/>
      <c r="AI7" s="299"/>
      <c r="AJ7" s="299"/>
      <c r="AK7" s="299"/>
      <c r="AL7" s="299"/>
      <c r="AM7" s="300"/>
      <c r="AN7" s="69"/>
      <c r="AO7" s="236"/>
      <c r="AP7" s="237"/>
      <c r="AQ7" s="237"/>
      <c r="AR7" s="237"/>
      <c r="AS7" s="237"/>
      <c r="AT7" s="238"/>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231"/>
      <c r="C8" s="231"/>
      <c r="D8" s="232"/>
      <c r="E8" s="281"/>
      <c r="F8" s="282"/>
      <c r="G8" s="282"/>
      <c r="H8" s="282"/>
      <c r="I8" s="283"/>
      <c r="J8" s="291" t="e">
        <f>IF(AND('Mapa final'!#REF!="Muy Alta",'Mapa final'!#REF!="Leve"),CONCATENATE("R",'Mapa final'!#REF!),"")</f>
        <v>#REF!</v>
      </c>
      <c r="K8" s="287"/>
      <c r="L8" s="287" t="e">
        <f>IF(AND('Mapa final'!#REF!="Muy Alta",'Mapa final'!#REF!="Leve"),CONCATENATE("R",'Mapa final'!#REF!),"")</f>
        <v>#REF!</v>
      </c>
      <c r="M8" s="287"/>
      <c r="N8" s="287" t="e">
        <f>IF(AND('Mapa final'!#REF!="Muy Alta",'Mapa final'!#REF!="Leve"),CONCATENATE("R",'Mapa final'!#REF!),"")</f>
        <v>#REF!</v>
      </c>
      <c r="O8" s="288"/>
      <c r="P8" s="291" t="e">
        <f>IF(AND('Mapa final'!#REF!="Muy Alta",'Mapa final'!#REF!="Menor"),CONCATENATE("R",'Mapa final'!#REF!),"")</f>
        <v>#REF!</v>
      </c>
      <c r="Q8" s="287"/>
      <c r="R8" s="287" t="e">
        <f>IF(AND('Mapa final'!#REF!="Muy Alta",'Mapa final'!#REF!="Menor"),CONCATENATE("R",'Mapa final'!#REF!),"")</f>
        <v>#REF!</v>
      </c>
      <c r="S8" s="287"/>
      <c r="T8" s="287" t="e">
        <f>IF(AND('Mapa final'!#REF!="Muy Alta",'Mapa final'!#REF!="Menor"),CONCATENATE("R",'Mapa final'!#REF!),"")</f>
        <v>#REF!</v>
      </c>
      <c r="U8" s="288"/>
      <c r="V8" s="291" t="e">
        <f>IF(AND('Mapa final'!#REF!="Muy Alta",'Mapa final'!#REF!="Moderado"),CONCATENATE("R",'Mapa final'!#REF!),"")</f>
        <v>#REF!</v>
      </c>
      <c r="W8" s="287"/>
      <c r="X8" s="287" t="e">
        <f>IF(AND('Mapa final'!#REF!="Muy Alta",'Mapa final'!#REF!="Moderado"),CONCATENATE("R",'Mapa final'!#REF!),"")</f>
        <v>#REF!</v>
      </c>
      <c r="Y8" s="287"/>
      <c r="Z8" s="287" t="e">
        <f>IF(AND('Mapa final'!#REF!="Muy Alta",'Mapa final'!#REF!="Moderado"),CONCATENATE("R",'Mapa final'!#REF!),"")</f>
        <v>#REF!</v>
      </c>
      <c r="AA8" s="288"/>
      <c r="AB8" s="291" t="e">
        <f>IF(AND('Mapa final'!#REF!="Muy Alta",'Mapa final'!#REF!="Mayor"),CONCATENATE("R",'Mapa final'!#REF!),"")</f>
        <v>#REF!</v>
      </c>
      <c r="AC8" s="287"/>
      <c r="AD8" s="287" t="e">
        <f>IF(AND('Mapa final'!#REF!="Muy Alta",'Mapa final'!#REF!="Mayor"),CONCATENATE("R",'Mapa final'!#REF!),"")</f>
        <v>#REF!</v>
      </c>
      <c r="AE8" s="287"/>
      <c r="AF8" s="287" t="e">
        <f>IF(AND('Mapa final'!#REF!="Muy Alta",'Mapa final'!#REF!="Mayor"),CONCATENATE("R",'Mapa final'!#REF!),"")</f>
        <v>#REF!</v>
      </c>
      <c r="AG8" s="288"/>
      <c r="AH8" s="298" t="e">
        <f>IF(AND('Mapa final'!#REF!="Muy Alta",'Mapa final'!#REF!="Catastrófico"),CONCATENATE("R",'Mapa final'!#REF!),"")</f>
        <v>#REF!</v>
      </c>
      <c r="AI8" s="299"/>
      <c r="AJ8" s="299" t="e">
        <f>IF(AND('Mapa final'!#REF!="Muy Alta",'Mapa final'!#REF!="Catastrófico"),CONCATENATE("R",'Mapa final'!#REF!),"")</f>
        <v>#REF!</v>
      </c>
      <c r="AK8" s="299"/>
      <c r="AL8" s="299" t="e">
        <f>IF(AND('Mapa final'!#REF!="Muy Alta",'Mapa final'!#REF!="Catastrófico"),CONCATENATE("R",'Mapa final'!#REF!),"")</f>
        <v>#REF!</v>
      </c>
      <c r="AM8" s="300"/>
      <c r="AN8" s="69"/>
      <c r="AO8" s="236"/>
      <c r="AP8" s="237"/>
      <c r="AQ8" s="237"/>
      <c r="AR8" s="237"/>
      <c r="AS8" s="237"/>
      <c r="AT8" s="238"/>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231"/>
      <c r="C9" s="231"/>
      <c r="D9" s="232"/>
      <c r="E9" s="281"/>
      <c r="F9" s="282"/>
      <c r="G9" s="282"/>
      <c r="H9" s="282"/>
      <c r="I9" s="283"/>
      <c r="J9" s="291"/>
      <c r="K9" s="287"/>
      <c r="L9" s="287"/>
      <c r="M9" s="287"/>
      <c r="N9" s="287"/>
      <c r="O9" s="288"/>
      <c r="P9" s="291"/>
      <c r="Q9" s="287"/>
      <c r="R9" s="287"/>
      <c r="S9" s="287"/>
      <c r="T9" s="287"/>
      <c r="U9" s="288"/>
      <c r="V9" s="291"/>
      <c r="W9" s="287"/>
      <c r="X9" s="287"/>
      <c r="Y9" s="287"/>
      <c r="Z9" s="287"/>
      <c r="AA9" s="288"/>
      <c r="AB9" s="291"/>
      <c r="AC9" s="287"/>
      <c r="AD9" s="287"/>
      <c r="AE9" s="287"/>
      <c r="AF9" s="287"/>
      <c r="AG9" s="288"/>
      <c r="AH9" s="298"/>
      <c r="AI9" s="299"/>
      <c r="AJ9" s="299"/>
      <c r="AK9" s="299"/>
      <c r="AL9" s="299"/>
      <c r="AM9" s="300"/>
      <c r="AN9" s="69"/>
      <c r="AO9" s="236"/>
      <c r="AP9" s="237"/>
      <c r="AQ9" s="237"/>
      <c r="AR9" s="237"/>
      <c r="AS9" s="237"/>
      <c r="AT9" s="238"/>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231"/>
      <c r="C10" s="231"/>
      <c r="D10" s="232"/>
      <c r="E10" s="281"/>
      <c r="F10" s="282"/>
      <c r="G10" s="282"/>
      <c r="H10" s="282"/>
      <c r="I10" s="283"/>
      <c r="J10" s="291" t="e">
        <f>IF(AND('Mapa final'!#REF!="Muy Alta",'Mapa final'!#REF!="Leve"),CONCATENATE("R",'Mapa final'!#REF!),"")</f>
        <v>#REF!</v>
      </c>
      <c r="K10" s="287"/>
      <c r="L10" s="287" t="e">
        <f>IF(AND('Mapa final'!#REF!="Muy Alta",'Mapa final'!#REF!="Leve"),CONCATENATE("R",'Mapa final'!#REF!),"")</f>
        <v>#REF!</v>
      </c>
      <c r="M10" s="287"/>
      <c r="N10" s="287" t="e">
        <f>IF(AND('Mapa final'!#REF!="Muy Alta",'Mapa final'!#REF!="Leve"),CONCATENATE("R",'Mapa final'!#REF!),"")</f>
        <v>#REF!</v>
      </c>
      <c r="O10" s="288"/>
      <c r="P10" s="291" t="e">
        <f>IF(AND('Mapa final'!#REF!="Muy Alta",'Mapa final'!#REF!="Menor"),CONCATENATE("R",'Mapa final'!#REF!),"")</f>
        <v>#REF!</v>
      </c>
      <c r="Q10" s="287"/>
      <c r="R10" s="287" t="e">
        <f>IF(AND('Mapa final'!#REF!="Muy Alta",'Mapa final'!#REF!="Menor"),CONCATENATE("R",'Mapa final'!#REF!),"")</f>
        <v>#REF!</v>
      </c>
      <c r="S10" s="287"/>
      <c r="T10" s="287" t="e">
        <f>IF(AND('Mapa final'!#REF!="Muy Alta",'Mapa final'!#REF!="Menor"),CONCATENATE("R",'Mapa final'!#REF!),"")</f>
        <v>#REF!</v>
      </c>
      <c r="U10" s="288"/>
      <c r="V10" s="291" t="e">
        <f>IF(AND('Mapa final'!#REF!="Muy Alta",'Mapa final'!#REF!="Moderado"),CONCATENATE("R",'Mapa final'!#REF!),"")</f>
        <v>#REF!</v>
      </c>
      <c r="W10" s="287"/>
      <c r="X10" s="287" t="e">
        <f>IF(AND('Mapa final'!#REF!="Muy Alta",'Mapa final'!#REF!="Moderado"),CONCATENATE("R",'Mapa final'!#REF!),"")</f>
        <v>#REF!</v>
      </c>
      <c r="Y10" s="287"/>
      <c r="Z10" s="287" t="e">
        <f>IF(AND('Mapa final'!#REF!="Muy Alta",'Mapa final'!#REF!="Moderado"),CONCATENATE("R",'Mapa final'!#REF!),"")</f>
        <v>#REF!</v>
      </c>
      <c r="AA10" s="288"/>
      <c r="AB10" s="291" t="e">
        <f>IF(AND('Mapa final'!#REF!="Muy Alta",'Mapa final'!#REF!="Mayor"),CONCATENATE("R",'Mapa final'!#REF!),"")</f>
        <v>#REF!</v>
      </c>
      <c r="AC10" s="287"/>
      <c r="AD10" s="287" t="e">
        <f>IF(AND('Mapa final'!#REF!="Muy Alta",'Mapa final'!#REF!="Mayor"),CONCATENATE("R",'Mapa final'!#REF!),"")</f>
        <v>#REF!</v>
      </c>
      <c r="AE10" s="287"/>
      <c r="AF10" s="287" t="e">
        <f>IF(AND('Mapa final'!#REF!="Muy Alta",'Mapa final'!#REF!="Mayor"),CONCATENATE("R",'Mapa final'!#REF!),"")</f>
        <v>#REF!</v>
      </c>
      <c r="AG10" s="288"/>
      <c r="AH10" s="298" t="e">
        <f>IF(AND('Mapa final'!#REF!="Muy Alta",'Mapa final'!#REF!="Catastrófico"),CONCATENATE("R",'Mapa final'!#REF!),"")</f>
        <v>#REF!</v>
      </c>
      <c r="AI10" s="299"/>
      <c r="AJ10" s="299" t="e">
        <f>IF(AND('Mapa final'!#REF!="Muy Alta",'Mapa final'!#REF!="Catastrófico"),CONCATENATE("R",'Mapa final'!#REF!),"")</f>
        <v>#REF!</v>
      </c>
      <c r="AK10" s="299"/>
      <c r="AL10" s="299" t="e">
        <f>IF(AND('Mapa final'!#REF!="Muy Alta",'Mapa final'!#REF!="Catastrófico"),CONCATENATE("R",'Mapa final'!#REF!),"")</f>
        <v>#REF!</v>
      </c>
      <c r="AM10" s="300"/>
      <c r="AN10" s="69"/>
      <c r="AO10" s="236"/>
      <c r="AP10" s="237"/>
      <c r="AQ10" s="237"/>
      <c r="AR10" s="237"/>
      <c r="AS10" s="237"/>
      <c r="AT10" s="238"/>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231"/>
      <c r="C11" s="231"/>
      <c r="D11" s="232"/>
      <c r="E11" s="281"/>
      <c r="F11" s="282"/>
      <c r="G11" s="282"/>
      <c r="H11" s="282"/>
      <c r="I11" s="283"/>
      <c r="J11" s="291"/>
      <c r="K11" s="287"/>
      <c r="L11" s="287"/>
      <c r="M11" s="287"/>
      <c r="N11" s="287"/>
      <c r="O11" s="288"/>
      <c r="P11" s="291"/>
      <c r="Q11" s="287"/>
      <c r="R11" s="287"/>
      <c r="S11" s="287"/>
      <c r="T11" s="287"/>
      <c r="U11" s="288"/>
      <c r="V11" s="291"/>
      <c r="W11" s="287"/>
      <c r="X11" s="287"/>
      <c r="Y11" s="287"/>
      <c r="Z11" s="287"/>
      <c r="AA11" s="288"/>
      <c r="AB11" s="291"/>
      <c r="AC11" s="287"/>
      <c r="AD11" s="287"/>
      <c r="AE11" s="287"/>
      <c r="AF11" s="287"/>
      <c r="AG11" s="288"/>
      <c r="AH11" s="298"/>
      <c r="AI11" s="299"/>
      <c r="AJ11" s="299"/>
      <c r="AK11" s="299"/>
      <c r="AL11" s="299"/>
      <c r="AM11" s="300"/>
      <c r="AN11" s="69"/>
      <c r="AO11" s="236"/>
      <c r="AP11" s="237"/>
      <c r="AQ11" s="237"/>
      <c r="AR11" s="237"/>
      <c r="AS11" s="237"/>
      <c r="AT11" s="238"/>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231"/>
      <c r="C12" s="231"/>
      <c r="D12" s="232"/>
      <c r="E12" s="281"/>
      <c r="F12" s="282"/>
      <c r="G12" s="282"/>
      <c r="H12" s="282"/>
      <c r="I12" s="283"/>
      <c r="J12" s="291" t="e">
        <f>IF(AND('Mapa final'!#REF!="Muy Alta",'Mapa final'!#REF!="Leve"),CONCATENATE("R",'Mapa final'!#REF!),"")</f>
        <v>#REF!</v>
      </c>
      <c r="K12" s="287"/>
      <c r="L12" s="287" t="str">
        <f>IF(AND('Mapa final'!$H$18="Muy Alta",'Mapa final'!$L$18="Leve"),CONCATENATE("R",'Mapa final'!$A$18),"")</f>
        <v/>
      </c>
      <c r="M12" s="287"/>
      <c r="N12" s="287" t="str">
        <f>IF(AND('Mapa final'!$H$24="Muy Alta",'Mapa final'!$L$24="Leve"),CONCATENATE("R",'Mapa final'!$A$24),"")</f>
        <v/>
      </c>
      <c r="O12" s="288"/>
      <c r="P12" s="291" t="e">
        <f>IF(AND('Mapa final'!#REF!="Muy Alta",'Mapa final'!#REF!="Menor"),CONCATENATE("R",'Mapa final'!#REF!),"")</f>
        <v>#REF!</v>
      </c>
      <c r="Q12" s="287"/>
      <c r="R12" s="287" t="str">
        <f>IF(AND('Mapa final'!$H$18="Muy Alta",'Mapa final'!$L$18="Menor"),CONCATENATE("R",'Mapa final'!$A$18),"")</f>
        <v/>
      </c>
      <c r="S12" s="287"/>
      <c r="T12" s="287" t="str">
        <f>IF(AND('Mapa final'!$H$24="Muy Alta",'Mapa final'!$L$24="Menor"),CONCATENATE("R",'Mapa final'!$A$24),"")</f>
        <v/>
      </c>
      <c r="U12" s="288"/>
      <c r="V12" s="291" t="e">
        <f>IF(AND('Mapa final'!#REF!="Muy Alta",'Mapa final'!#REF!="Moderado"),CONCATENATE("R",'Mapa final'!#REF!),"")</f>
        <v>#REF!</v>
      </c>
      <c r="W12" s="287"/>
      <c r="X12" s="287" t="str">
        <f>IF(AND('Mapa final'!$H$18="Muy Alta",'Mapa final'!$L$18="Moderado"),CONCATENATE("R",'Mapa final'!$A$18),"")</f>
        <v/>
      </c>
      <c r="Y12" s="287"/>
      <c r="Z12" s="287" t="str">
        <f>IF(AND('Mapa final'!$H$24="Muy Alta",'Mapa final'!$L$24="Moderado"),CONCATENATE("R",'Mapa final'!$A$24),"")</f>
        <v/>
      </c>
      <c r="AA12" s="288"/>
      <c r="AB12" s="291" t="e">
        <f>IF(AND('Mapa final'!#REF!="Muy Alta",'Mapa final'!#REF!="Mayor"),CONCATENATE("R",'Mapa final'!#REF!),"")</f>
        <v>#REF!</v>
      </c>
      <c r="AC12" s="287"/>
      <c r="AD12" s="287" t="str">
        <f>IF(AND('Mapa final'!$H$18="Muy Alta",'Mapa final'!$L$18="Mayor"),CONCATENATE("R",'Mapa final'!$A$18),"")</f>
        <v/>
      </c>
      <c r="AE12" s="287"/>
      <c r="AF12" s="287" t="str">
        <f>IF(AND('Mapa final'!$H$24="Muy Alta",'Mapa final'!$L$24="Mayor"),CONCATENATE("R",'Mapa final'!$A$24),"")</f>
        <v/>
      </c>
      <c r="AG12" s="288"/>
      <c r="AH12" s="298" t="e">
        <f>IF(AND('Mapa final'!#REF!="Muy Alta",'Mapa final'!#REF!="Catastrófico"),CONCATENATE("R",'Mapa final'!#REF!),"")</f>
        <v>#REF!</v>
      </c>
      <c r="AI12" s="299"/>
      <c r="AJ12" s="299" t="str">
        <f>IF(AND('Mapa final'!$H$18="Muy Alta",'Mapa final'!$L$18="Catastrófico"),CONCATENATE("R",'Mapa final'!$A$18),"")</f>
        <v/>
      </c>
      <c r="AK12" s="299"/>
      <c r="AL12" s="299" t="str">
        <f>IF(AND('Mapa final'!$H$24="Muy Alta",'Mapa final'!$L$24="Catastrófico"),CONCATENATE("R",'Mapa final'!$A$24),"")</f>
        <v/>
      </c>
      <c r="AM12" s="300"/>
      <c r="AN12" s="69"/>
      <c r="AO12" s="236"/>
      <c r="AP12" s="237"/>
      <c r="AQ12" s="237"/>
      <c r="AR12" s="237"/>
      <c r="AS12" s="237"/>
      <c r="AT12" s="238"/>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231"/>
      <c r="C13" s="231"/>
      <c r="D13" s="232"/>
      <c r="E13" s="284"/>
      <c r="F13" s="285"/>
      <c r="G13" s="285"/>
      <c r="H13" s="285"/>
      <c r="I13" s="286"/>
      <c r="J13" s="291"/>
      <c r="K13" s="287"/>
      <c r="L13" s="287"/>
      <c r="M13" s="287"/>
      <c r="N13" s="287"/>
      <c r="O13" s="288"/>
      <c r="P13" s="291"/>
      <c r="Q13" s="287"/>
      <c r="R13" s="287"/>
      <c r="S13" s="287"/>
      <c r="T13" s="287"/>
      <c r="U13" s="288"/>
      <c r="V13" s="291"/>
      <c r="W13" s="287"/>
      <c r="X13" s="287"/>
      <c r="Y13" s="287"/>
      <c r="Z13" s="287"/>
      <c r="AA13" s="288"/>
      <c r="AB13" s="291"/>
      <c r="AC13" s="287"/>
      <c r="AD13" s="287"/>
      <c r="AE13" s="287"/>
      <c r="AF13" s="287"/>
      <c r="AG13" s="288"/>
      <c r="AH13" s="301"/>
      <c r="AI13" s="302"/>
      <c r="AJ13" s="302"/>
      <c r="AK13" s="302"/>
      <c r="AL13" s="302"/>
      <c r="AM13" s="303"/>
      <c r="AN13" s="69"/>
      <c r="AO13" s="239"/>
      <c r="AP13" s="240"/>
      <c r="AQ13" s="240"/>
      <c r="AR13" s="240"/>
      <c r="AS13" s="240"/>
      <c r="AT13" s="241"/>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231"/>
      <c r="C14" s="231"/>
      <c r="D14" s="232"/>
      <c r="E14" s="278" t="s">
        <v>115</v>
      </c>
      <c r="F14" s="279"/>
      <c r="G14" s="279"/>
      <c r="H14" s="279"/>
      <c r="I14" s="279"/>
      <c r="J14" s="313" t="str">
        <f>IF(AND('Mapa final'!$H$13="Alta",'Mapa final'!$L$13="Leve"),CONCATENATE("R",'Mapa final'!$A$13),"")</f>
        <v/>
      </c>
      <c r="K14" s="314"/>
      <c r="L14" s="314" t="str">
        <f>IF(AND('Mapa final'!$H$16="Alta",'Mapa final'!$L$16="Leve"),CONCATENATE("R",'Mapa final'!$A$16),"")</f>
        <v/>
      </c>
      <c r="M14" s="314"/>
      <c r="N14" s="314" t="e">
        <f>IF(AND('Mapa final'!#REF!="Alta",'Mapa final'!#REF!="Leve"),CONCATENATE("R",'Mapa final'!#REF!),"")</f>
        <v>#REF!</v>
      </c>
      <c r="O14" s="315"/>
      <c r="P14" s="313" t="str">
        <f>IF(AND('Mapa final'!$H$13="Alta",'Mapa final'!$L$13="Menor"),CONCATENATE("R",'Mapa final'!$A$13),"")</f>
        <v/>
      </c>
      <c r="Q14" s="314"/>
      <c r="R14" s="314" t="str">
        <f>IF(AND('Mapa final'!$H$16="Alta",'Mapa final'!$L$16="Menor"),CONCATENATE("R",'Mapa final'!$A$16),"")</f>
        <v/>
      </c>
      <c r="S14" s="314"/>
      <c r="T14" s="314" t="e">
        <f>IF(AND('Mapa final'!#REF!="Alta",'Mapa final'!#REF!="Menor"),CONCATENATE("R",'Mapa final'!#REF!),"")</f>
        <v>#REF!</v>
      </c>
      <c r="U14" s="315"/>
      <c r="V14" s="289" t="str">
        <f>IF(AND('Mapa final'!$H$13="Alta",'Mapa final'!$L$13="Moderado"),CONCATENATE("R",'Mapa final'!$A$13),"")</f>
        <v/>
      </c>
      <c r="W14" s="290"/>
      <c r="X14" s="290" t="str">
        <f>IF(AND('Mapa final'!$H$16="Alta",'Mapa final'!$L$16="Moderado"),CONCATENATE("R",'Mapa final'!$A$16),"")</f>
        <v/>
      </c>
      <c r="Y14" s="290"/>
      <c r="Z14" s="290" t="e">
        <f>IF(AND('Mapa final'!#REF!="Alta",'Mapa final'!#REF!="Moderado"),CONCATENATE("R",'Mapa final'!#REF!),"")</f>
        <v>#REF!</v>
      </c>
      <c r="AA14" s="292"/>
      <c r="AB14" s="289" t="str">
        <f>IF(AND('Mapa final'!$H$13="Alta",'Mapa final'!$L$13="Mayor"),CONCATENATE("R",'Mapa final'!$A$13),"")</f>
        <v/>
      </c>
      <c r="AC14" s="290"/>
      <c r="AD14" s="290" t="str">
        <f>IF(AND('Mapa final'!$H$16="Alta",'Mapa final'!$L$16="Mayor"),CONCATENATE("R",'Mapa final'!$A$16),"")</f>
        <v/>
      </c>
      <c r="AE14" s="290"/>
      <c r="AF14" s="290" t="e">
        <f>IF(AND('Mapa final'!#REF!="Alta",'Mapa final'!#REF!="Mayor"),CONCATENATE("R",'Mapa final'!#REF!),"")</f>
        <v>#REF!</v>
      </c>
      <c r="AG14" s="292"/>
      <c r="AH14" s="304" t="str">
        <f>IF(AND('Mapa final'!$H$13="Alta",'Mapa final'!$L$13="Catastrófico"),CONCATENATE("R",'Mapa final'!$A$13),"")</f>
        <v/>
      </c>
      <c r="AI14" s="305"/>
      <c r="AJ14" s="305" t="str">
        <f>IF(AND('Mapa final'!$H$16="Alta",'Mapa final'!$L$16="Catastrófico"),CONCATENATE("R",'Mapa final'!$A$16),"")</f>
        <v/>
      </c>
      <c r="AK14" s="305"/>
      <c r="AL14" s="305" t="e">
        <f>IF(AND('Mapa final'!#REF!="Alta",'Mapa final'!#REF!="Catastrófico"),CONCATENATE("R",'Mapa final'!#REF!),"")</f>
        <v>#REF!</v>
      </c>
      <c r="AM14" s="306"/>
      <c r="AN14" s="69"/>
      <c r="AO14" s="242" t="s">
        <v>80</v>
      </c>
      <c r="AP14" s="243"/>
      <c r="AQ14" s="243"/>
      <c r="AR14" s="243"/>
      <c r="AS14" s="243"/>
      <c r="AT14" s="244"/>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231"/>
      <c r="C15" s="231"/>
      <c r="D15" s="232"/>
      <c r="E15" s="281"/>
      <c r="F15" s="282"/>
      <c r="G15" s="282"/>
      <c r="H15" s="282"/>
      <c r="I15" s="282"/>
      <c r="J15" s="307"/>
      <c r="K15" s="308"/>
      <c r="L15" s="308"/>
      <c r="M15" s="308"/>
      <c r="N15" s="308"/>
      <c r="O15" s="309"/>
      <c r="P15" s="307"/>
      <c r="Q15" s="308"/>
      <c r="R15" s="308"/>
      <c r="S15" s="308"/>
      <c r="T15" s="308"/>
      <c r="U15" s="309"/>
      <c r="V15" s="291"/>
      <c r="W15" s="287"/>
      <c r="X15" s="287"/>
      <c r="Y15" s="287"/>
      <c r="Z15" s="287"/>
      <c r="AA15" s="288"/>
      <c r="AB15" s="291"/>
      <c r="AC15" s="287"/>
      <c r="AD15" s="287"/>
      <c r="AE15" s="287"/>
      <c r="AF15" s="287"/>
      <c r="AG15" s="288"/>
      <c r="AH15" s="298"/>
      <c r="AI15" s="299"/>
      <c r="AJ15" s="299"/>
      <c r="AK15" s="299"/>
      <c r="AL15" s="299"/>
      <c r="AM15" s="300"/>
      <c r="AN15" s="69"/>
      <c r="AO15" s="245"/>
      <c r="AP15" s="246"/>
      <c r="AQ15" s="246"/>
      <c r="AR15" s="246"/>
      <c r="AS15" s="246"/>
      <c r="AT15" s="247"/>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231"/>
      <c r="C16" s="231"/>
      <c r="D16" s="232"/>
      <c r="E16" s="281"/>
      <c r="F16" s="282"/>
      <c r="G16" s="282"/>
      <c r="H16" s="282"/>
      <c r="I16" s="282"/>
      <c r="J16" s="307" t="e">
        <f>IF(AND('Mapa final'!#REF!="Alta",'Mapa final'!#REF!="Leve"),CONCATENATE("R",'Mapa final'!#REF!),"")</f>
        <v>#REF!</v>
      </c>
      <c r="K16" s="308"/>
      <c r="L16" s="308" t="e">
        <f>IF(AND('Mapa final'!#REF!="Alta",'Mapa final'!#REF!="Leve"),CONCATENATE("R",'Mapa final'!#REF!),"")</f>
        <v>#REF!</v>
      </c>
      <c r="M16" s="308"/>
      <c r="N16" s="308" t="e">
        <f>IF(AND('Mapa final'!#REF!="Alta",'Mapa final'!#REF!="Leve"),CONCATENATE("R",'Mapa final'!#REF!),"")</f>
        <v>#REF!</v>
      </c>
      <c r="O16" s="309"/>
      <c r="P16" s="307" t="e">
        <f>IF(AND('Mapa final'!#REF!="Alta",'Mapa final'!#REF!="Menor"),CONCATENATE("R",'Mapa final'!#REF!),"")</f>
        <v>#REF!</v>
      </c>
      <c r="Q16" s="308"/>
      <c r="R16" s="308" t="e">
        <f>IF(AND('Mapa final'!#REF!="Alta",'Mapa final'!#REF!="Menor"),CONCATENATE("R",'Mapa final'!#REF!),"")</f>
        <v>#REF!</v>
      </c>
      <c r="S16" s="308"/>
      <c r="T16" s="308" t="e">
        <f>IF(AND('Mapa final'!#REF!="Alta",'Mapa final'!#REF!="Menor"),CONCATENATE("R",'Mapa final'!#REF!),"")</f>
        <v>#REF!</v>
      </c>
      <c r="U16" s="309"/>
      <c r="V16" s="291" t="e">
        <f>IF(AND('Mapa final'!#REF!="Alta",'Mapa final'!#REF!="Moderado"),CONCATENATE("R",'Mapa final'!#REF!),"")</f>
        <v>#REF!</v>
      </c>
      <c r="W16" s="287"/>
      <c r="X16" s="287" t="e">
        <f>IF(AND('Mapa final'!#REF!="Alta",'Mapa final'!#REF!="Moderado"),CONCATENATE("R",'Mapa final'!#REF!),"")</f>
        <v>#REF!</v>
      </c>
      <c r="Y16" s="287"/>
      <c r="Z16" s="287" t="e">
        <f>IF(AND('Mapa final'!#REF!="Alta",'Mapa final'!#REF!="Moderado"),CONCATENATE("R",'Mapa final'!#REF!),"")</f>
        <v>#REF!</v>
      </c>
      <c r="AA16" s="288"/>
      <c r="AB16" s="291" t="e">
        <f>IF(AND('Mapa final'!#REF!="Alta",'Mapa final'!#REF!="Mayor"),CONCATENATE("R",'Mapa final'!#REF!),"")</f>
        <v>#REF!</v>
      </c>
      <c r="AC16" s="287"/>
      <c r="AD16" s="287" t="e">
        <f>IF(AND('Mapa final'!#REF!="Alta",'Mapa final'!#REF!="Mayor"),CONCATENATE("R",'Mapa final'!#REF!),"")</f>
        <v>#REF!</v>
      </c>
      <c r="AE16" s="287"/>
      <c r="AF16" s="287" t="e">
        <f>IF(AND('Mapa final'!#REF!="Alta",'Mapa final'!#REF!="Mayor"),CONCATENATE("R",'Mapa final'!#REF!),"")</f>
        <v>#REF!</v>
      </c>
      <c r="AG16" s="288"/>
      <c r="AH16" s="298" t="e">
        <f>IF(AND('Mapa final'!#REF!="Alta",'Mapa final'!#REF!="Catastrófico"),CONCATENATE("R",'Mapa final'!#REF!),"")</f>
        <v>#REF!</v>
      </c>
      <c r="AI16" s="299"/>
      <c r="AJ16" s="299" t="e">
        <f>IF(AND('Mapa final'!#REF!="Alta",'Mapa final'!#REF!="Catastrófico"),CONCATENATE("R",'Mapa final'!#REF!),"")</f>
        <v>#REF!</v>
      </c>
      <c r="AK16" s="299"/>
      <c r="AL16" s="299" t="e">
        <f>IF(AND('Mapa final'!#REF!="Alta",'Mapa final'!#REF!="Catastrófico"),CONCATENATE("R",'Mapa final'!#REF!),"")</f>
        <v>#REF!</v>
      </c>
      <c r="AM16" s="300"/>
      <c r="AN16" s="69"/>
      <c r="AO16" s="245"/>
      <c r="AP16" s="246"/>
      <c r="AQ16" s="246"/>
      <c r="AR16" s="246"/>
      <c r="AS16" s="246"/>
      <c r="AT16" s="247"/>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231"/>
      <c r="C17" s="231"/>
      <c r="D17" s="232"/>
      <c r="E17" s="281"/>
      <c r="F17" s="282"/>
      <c r="G17" s="282"/>
      <c r="H17" s="282"/>
      <c r="I17" s="282"/>
      <c r="J17" s="307"/>
      <c r="K17" s="308"/>
      <c r="L17" s="308"/>
      <c r="M17" s="308"/>
      <c r="N17" s="308"/>
      <c r="O17" s="309"/>
      <c r="P17" s="307"/>
      <c r="Q17" s="308"/>
      <c r="R17" s="308"/>
      <c r="S17" s="308"/>
      <c r="T17" s="308"/>
      <c r="U17" s="309"/>
      <c r="V17" s="291"/>
      <c r="W17" s="287"/>
      <c r="X17" s="287"/>
      <c r="Y17" s="287"/>
      <c r="Z17" s="287"/>
      <c r="AA17" s="288"/>
      <c r="AB17" s="291"/>
      <c r="AC17" s="287"/>
      <c r="AD17" s="287"/>
      <c r="AE17" s="287"/>
      <c r="AF17" s="287"/>
      <c r="AG17" s="288"/>
      <c r="AH17" s="298"/>
      <c r="AI17" s="299"/>
      <c r="AJ17" s="299"/>
      <c r="AK17" s="299"/>
      <c r="AL17" s="299"/>
      <c r="AM17" s="300"/>
      <c r="AN17" s="69"/>
      <c r="AO17" s="245"/>
      <c r="AP17" s="246"/>
      <c r="AQ17" s="246"/>
      <c r="AR17" s="246"/>
      <c r="AS17" s="246"/>
      <c r="AT17" s="247"/>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231"/>
      <c r="C18" s="231"/>
      <c r="D18" s="232"/>
      <c r="E18" s="281"/>
      <c r="F18" s="282"/>
      <c r="G18" s="282"/>
      <c r="H18" s="282"/>
      <c r="I18" s="282"/>
      <c r="J18" s="307" t="e">
        <f>IF(AND('Mapa final'!#REF!="Alta",'Mapa final'!#REF!="Leve"),CONCATENATE("R",'Mapa final'!#REF!),"")</f>
        <v>#REF!</v>
      </c>
      <c r="K18" s="308"/>
      <c r="L18" s="308" t="e">
        <f>IF(AND('Mapa final'!#REF!="Alta",'Mapa final'!#REF!="Leve"),CONCATENATE("R",'Mapa final'!#REF!),"")</f>
        <v>#REF!</v>
      </c>
      <c r="M18" s="308"/>
      <c r="N18" s="308" t="e">
        <f>IF(AND('Mapa final'!#REF!="Alta",'Mapa final'!#REF!="Leve"),CONCATENATE("R",'Mapa final'!#REF!),"")</f>
        <v>#REF!</v>
      </c>
      <c r="O18" s="309"/>
      <c r="P18" s="307" t="e">
        <f>IF(AND('Mapa final'!#REF!="Alta",'Mapa final'!#REF!="Menor"),CONCATENATE("R",'Mapa final'!#REF!),"")</f>
        <v>#REF!</v>
      </c>
      <c r="Q18" s="308"/>
      <c r="R18" s="308" t="e">
        <f>IF(AND('Mapa final'!#REF!="Alta",'Mapa final'!#REF!="Menor"),CONCATENATE("R",'Mapa final'!#REF!),"")</f>
        <v>#REF!</v>
      </c>
      <c r="S18" s="308"/>
      <c r="T18" s="308" t="e">
        <f>IF(AND('Mapa final'!#REF!="Alta",'Mapa final'!#REF!="Menor"),CONCATENATE("R",'Mapa final'!#REF!),"")</f>
        <v>#REF!</v>
      </c>
      <c r="U18" s="309"/>
      <c r="V18" s="291" t="e">
        <f>IF(AND('Mapa final'!#REF!="Alta",'Mapa final'!#REF!="Moderado"),CONCATENATE("R",'Mapa final'!#REF!),"")</f>
        <v>#REF!</v>
      </c>
      <c r="W18" s="287"/>
      <c r="X18" s="287" t="e">
        <f>IF(AND('Mapa final'!#REF!="Alta",'Mapa final'!#REF!="Moderado"),CONCATENATE("R",'Mapa final'!#REF!),"")</f>
        <v>#REF!</v>
      </c>
      <c r="Y18" s="287"/>
      <c r="Z18" s="287" t="e">
        <f>IF(AND('Mapa final'!#REF!="Alta",'Mapa final'!#REF!="Moderado"),CONCATENATE("R",'Mapa final'!#REF!),"")</f>
        <v>#REF!</v>
      </c>
      <c r="AA18" s="288"/>
      <c r="AB18" s="291" t="e">
        <f>IF(AND('Mapa final'!#REF!="Alta",'Mapa final'!#REF!="Mayor"),CONCATENATE("R",'Mapa final'!#REF!),"")</f>
        <v>#REF!</v>
      </c>
      <c r="AC18" s="287"/>
      <c r="AD18" s="287" t="e">
        <f>IF(AND('Mapa final'!#REF!="Alta",'Mapa final'!#REF!="Mayor"),CONCATENATE("R",'Mapa final'!#REF!),"")</f>
        <v>#REF!</v>
      </c>
      <c r="AE18" s="287"/>
      <c r="AF18" s="287" t="e">
        <f>IF(AND('Mapa final'!#REF!="Alta",'Mapa final'!#REF!="Mayor"),CONCATENATE("R",'Mapa final'!#REF!),"")</f>
        <v>#REF!</v>
      </c>
      <c r="AG18" s="288"/>
      <c r="AH18" s="298" t="e">
        <f>IF(AND('Mapa final'!#REF!="Alta",'Mapa final'!#REF!="Catastrófico"),CONCATENATE("R",'Mapa final'!#REF!),"")</f>
        <v>#REF!</v>
      </c>
      <c r="AI18" s="299"/>
      <c r="AJ18" s="299" t="e">
        <f>IF(AND('Mapa final'!#REF!="Alta",'Mapa final'!#REF!="Catastrófico"),CONCATENATE("R",'Mapa final'!#REF!),"")</f>
        <v>#REF!</v>
      </c>
      <c r="AK18" s="299"/>
      <c r="AL18" s="299" t="e">
        <f>IF(AND('Mapa final'!#REF!="Alta",'Mapa final'!#REF!="Catastrófico"),CONCATENATE("R",'Mapa final'!#REF!),"")</f>
        <v>#REF!</v>
      </c>
      <c r="AM18" s="300"/>
      <c r="AN18" s="69"/>
      <c r="AO18" s="245"/>
      <c r="AP18" s="246"/>
      <c r="AQ18" s="246"/>
      <c r="AR18" s="246"/>
      <c r="AS18" s="246"/>
      <c r="AT18" s="247"/>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231"/>
      <c r="C19" s="231"/>
      <c r="D19" s="232"/>
      <c r="E19" s="281"/>
      <c r="F19" s="282"/>
      <c r="G19" s="282"/>
      <c r="H19" s="282"/>
      <c r="I19" s="282"/>
      <c r="J19" s="307"/>
      <c r="K19" s="308"/>
      <c r="L19" s="308"/>
      <c r="M19" s="308"/>
      <c r="N19" s="308"/>
      <c r="O19" s="309"/>
      <c r="P19" s="307"/>
      <c r="Q19" s="308"/>
      <c r="R19" s="308"/>
      <c r="S19" s="308"/>
      <c r="T19" s="308"/>
      <c r="U19" s="309"/>
      <c r="V19" s="291"/>
      <c r="W19" s="287"/>
      <c r="X19" s="287"/>
      <c r="Y19" s="287"/>
      <c r="Z19" s="287"/>
      <c r="AA19" s="288"/>
      <c r="AB19" s="291"/>
      <c r="AC19" s="287"/>
      <c r="AD19" s="287"/>
      <c r="AE19" s="287"/>
      <c r="AF19" s="287"/>
      <c r="AG19" s="288"/>
      <c r="AH19" s="298"/>
      <c r="AI19" s="299"/>
      <c r="AJ19" s="299"/>
      <c r="AK19" s="299"/>
      <c r="AL19" s="299"/>
      <c r="AM19" s="300"/>
      <c r="AN19" s="69"/>
      <c r="AO19" s="245"/>
      <c r="AP19" s="246"/>
      <c r="AQ19" s="246"/>
      <c r="AR19" s="246"/>
      <c r="AS19" s="246"/>
      <c r="AT19" s="247"/>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231"/>
      <c r="C20" s="231"/>
      <c r="D20" s="232"/>
      <c r="E20" s="281"/>
      <c r="F20" s="282"/>
      <c r="G20" s="282"/>
      <c r="H20" s="282"/>
      <c r="I20" s="282"/>
      <c r="J20" s="307" t="e">
        <f>IF(AND('Mapa final'!#REF!="Alta",'Mapa final'!#REF!="Leve"),CONCATENATE("R",'Mapa final'!#REF!),"")</f>
        <v>#REF!</v>
      </c>
      <c r="K20" s="308"/>
      <c r="L20" s="308" t="str">
        <f>IF(AND('Mapa final'!$H$18="Alta",'Mapa final'!$L$18="Leve"),CONCATENATE("R",'Mapa final'!$A$18),"")</f>
        <v/>
      </c>
      <c r="M20" s="308"/>
      <c r="N20" s="308" t="str">
        <f>IF(AND('Mapa final'!$H$24="Alta",'Mapa final'!$L$24="Leve"),CONCATENATE("R",'Mapa final'!$A$24),"")</f>
        <v/>
      </c>
      <c r="O20" s="309"/>
      <c r="P20" s="307" t="e">
        <f>IF(AND('Mapa final'!#REF!="Alta",'Mapa final'!#REF!="Menor"),CONCATENATE("R",'Mapa final'!#REF!),"")</f>
        <v>#REF!</v>
      </c>
      <c r="Q20" s="308"/>
      <c r="R20" s="308" t="str">
        <f>IF(AND('Mapa final'!$H$18="Alta",'Mapa final'!$L$18="Menor"),CONCATENATE("R",'Mapa final'!$A$18),"")</f>
        <v/>
      </c>
      <c r="S20" s="308"/>
      <c r="T20" s="308" t="str">
        <f>IF(AND('Mapa final'!$H$24="Alta",'Mapa final'!$L$24="Menor"),CONCATENATE("R",'Mapa final'!$A$24),"")</f>
        <v/>
      </c>
      <c r="U20" s="309"/>
      <c r="V20" s="291" t="e">
        <f>IF(AND('Mapa final'!#REF!="Alta",'Mapa final'!#REF!="Moderado"),CONCATENATE("R",'Mapa final'!#REF!),"")</f>
        <v>#REF!</v>
      </c>
      <c r="W20" s="287"/>
      <c r="X20" s="287" t="str">
        <f>IF(AND('Mapa final'!$H$18="Alta",'Mapa final'!$L$18="Moderado"),CONCATENATE("R",'Mapa final'!$A$18),"")</f>
        <v/>
      </c>
      <c r="Y20" s="287"/>
      <c r="Z20" s="287" t="str">
        <f>IF(AND('Mapa final'!$H$24="Alta",'Mapa final'!$L$24="Moderado"),CONCATENATE("R",'Mapa final'!$A$24),"")</f>
        <v/>
      </c>
      <c r="AA20" s="288"/>
      <c r="AB20" s="291" t="e">
        <f>IF(AND('Mapa final'!#REF!="Alta",'Mapa final'!#REF!="Mayor"),CONCATENATE("R",'Mapa final'!#REF!),"")</f>
        <v>#REF!</v>
      </c>
      <c r="AC20" s="287"/>
      <c r="AD20" s="287" t="str">
        <f>IF(AND('Mapa final'!$H$18="Alta",'Mapa final'!$L$18="Mayor"),CONCATENATE("R",'Mapa final'!$A$18),"")</f>
        <v/>
      </c>
      <c r="AE20" s="287"/>
      <c r="AF20" s="287" t="str">
        <f>IF(AND('Mapa final'!$H$24="Alta",'Mapa final'!$L$24="Mayor"),CONCATENATE("R",'Mapa final'!$A$24),"")</f>
        <v/>
      </c>
      <c r="AG20" s="288"/>
      <c r="AH20" s="298" t="e">
        <f>IF(AND('Mapa final'!#REF!="Alta",'Mapa final'!#REF!="Catastrófico"),CONCATENATE("R",'Mapa final'!#REF!),"")</f>
        <v>#REF!</v>
      </c>
      <c r="AI20" s="299"/>
      <c r="AJ20" s="299" t="str">
        <f>IF(AND('Mapa final'!$H$18="Alta",'Mapa final'!$L$18="Catastrófico"),CONCATENATE("R",'Mapa final'!$A$18),"")</f>
        <v/>
      </c>
      <c r="AK20" s="299"/>
      <c r="AL20" s="299" t="str">
        <f>IF(AND('Mapa final'!$H$24="Alta",'Mapa final'!$L$24="Catastrófico"),CONCATENATE("R",'Mapa final'!$A$24),"")</f>
        <v/>
      </c>
      <c r="AM20" s="300"/>
      <c r="AN20" s="69"/>
      <c r="AO20" s="245"/>
      <c r="AP20" s="246"/>
      <c r="AQ20" s="246"/>
      <c r="AR20" s="246"/>
      <c r="AS20" s="246"/>
      <c r="AT20" s="247"/>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231"/>
      <c r="C21" s="231"/>
      <c r="D21" s="232"/>
      <c r="E21" s="284"/>
      <c r="F21" s="285"/>
      <c r="G21" s="285"/>
      <c r="H21" s="285"/>
      <c r="I21" s="285"/>
      <c r="J21" s="310"/>
      <c r="K21" s="311"/>
      <c r="L21" s="311"/>
      <c r="M21" s="311"/>
      <c r="N21" s="311"/>
      <c r="O21" s="312"/>
      <c r="P21" s="310"/>
      <c r="Q21" s="311"/>
      <c r="R21" s="311"/>
      <c r="S21" s="311"/>
      <c r="T21" s="311"/>
      <c r="U21" s="312"/>
      <c r="V21" s="295"/>
      <c r="W21" s="296"/>
      <c r="X21" s="296"/>
      <c r="Y21" s="296"/>
      <c r="Z21" s="296"/>
      <c r="AA21" s="297"/>
      <c r="AB21" s="295"/>
      <c r="AC21" s="296"/>
      <c r="AD21" s="296"/>
      <c r="AE21" s="296"/>
      <c r="AF21" s="296"/>
      <c r="AG21" s="297"/>
      <c r="AH21" s="301"/>
      <c r="AI21" s="302"/>
      <c r="AJ21" s="302"/>
      <c r="AK21" s="302"/>
      <c r="AL21" s="302"/>
      <c r="AM21" s="303"/>
      <c r="AN21" s="69"/>
      <c r="AO21" s="248"/>
      <c r="AP21" s="249"/>
      <c r="AQ21" s="249"/>
      <c r="AR21" s="249"/>
      <c r="AS21" s="249"/>
      <c r="AT21" s="250"/>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231"/>
      <c r="C22" s="231"/>
      <c r="D22" s="232"/>
      <c r="E22" s="269" t="s">
        <v>117</v>
      </c>
      <c r="F22" s="270"/>
      <c r="G22" s="270"/>
      <c r="H22" s="270"/>
      <c r="I22" s="271"/>
      <c r="J22" s="313" t="str">
        <f>IF(AND('Mapa final'!$H$13="Media",'Mapa final'!$L$13="Leve"),CONCATENATE("R",'Mapa final'!$A$13),"")</f>
        <v/>
      </c>
      <c r="K22" s="314"/>
      <c r="L22" s="314" t="str">
        <f>IF(AND('Mapa final'!$H$16="Media",'Mapa final'!$L$16="Leve"),CONCATENATE("R",'Mapa final'!$A$16),"")</f>
        <v/>
      </c>
      <c r="M22" s="314"/>
      <c r="N22" s="314" t="e">
        <f>IF(AND('Mapa final'!#REF!="Media",'Mapa final'!#REF!="Leve"),CONCATENATE("R",'Mapa final'!#REF!),"")</f>
        <v>#REF!</v>
      </c>
      <c r="O22" s="315"/>
      <c r="P22" s="313" t="str">
        <f>IF(AND('Mapa final'!$H$13="Media",'Mapa final'!$L$13="Menor"),CONCATENATE("R",'Mapa final'!$A$13),"")</f>
        <v/>
      </c>
      <c r="Q22" s="314"/>
      <c r="R22" s="314" t="str">
        <f>IF(AND('Mapa final'!$H$16="Media",'Mapa final'!$L$16="Menor"),CONCATENATE("R",'Mapa final'!$A$16),"")</f>
        <v/>
      </c>
      <c r="S22" s="314"/>
      <c r="T22" s="314" t="e">
        <f>IF(AND('Mapa final'!#REF!="Media",'Mapa final'!#REF!="Menor"),CONCATENATE("R",'Mapa final'!#REF!),"")</f>
        <v>#REF!</v>
      </c>
      <c r="U22" s="315"/>
      <c r="V22" s="313" t="str">
        <f>IF(AND('Mapa final'!$H$13="Media",'Mapa final'!$L$13="Moderado"),CONCATENATE("R",'Mapa final'!$A$13),"")</f>
        <v/>
      </c>
      <c r="W22" s="314"/>
      <c r="X22" s="314" t="str">
        <f>IF(AND('Mapa final'!$H$16="Media",'Mapa final'!$L$16="Moderado"),CONCATENATE("R",'Mapa final'!$A$16),"")</f>
        <v/>
      </c>
      <c r="Y22" s="314"/>
      <c r="Z22" s="314" t="e">
        <f>IF(AND('Mapa final'!#REF!="Media",'Mapa final'!#REF!="Moderado"),CONCATENATE("R",'Mapa final'!#REF!),"")</f>
        <v>#REF!</v>
      </c>
      <c r="AA22" s="315"/>
      <c r="AB22" s="289" t="str">
        <f>IF(AND('Mapa final'!$H$13="Media",'Mapa final'!$L$13="Mayor"),CONCATENATE("R",'Mapa final'!$A$13),"")</f>
        <v/>
      </c>
      <c r="AC22" s="290"/>
      <c r="AD22" s="290" t="str">
        <f>IF(AND('Mapa final'!$H$16="Media",'Mapa final'!$L$16="Mayor"),CONCATENATE("R",'Mapa final'!$A$16),"")</f>
        <v/>
      </c>
      <c r="AE22" s="290"/>
      <c r="AF22" s="290" t="e">
        <f>IF(AND('Mapa final'!#REF!="Media",'Mapa final'!#REF!="Mayor"),CONCATENATE("R",'Mapa final'!#REF!),"")</f>
        <v>#REF!</v>
      </c>
      <c r="AG22" s="292"/>
      <c r="AH22" s="304" t="str">
        <f>IF(AND('Mapa final'!$H$13="Media",'Mapa final'!$L$13="Catastrófico"),CONCATENATE("R",'Mapa final'!$A$13),"")</f>
        <v/>
      </c>
      <c r="AI22" s="305"/>
      <c r="AJ22" s="305" t="str">
        <f>IF(AND('Mapa final'!$H$16="Media",'Mapa final'!$L$16="Catastrófico"),CONCATENATE("R",'Mapa final'!$A$16),"")</f>
        <v/>
      </c>
      <c r="AK22" s="305"/>
      <c r="AL22" s="305" t="e">
        <f>IF(AND('Mapa final'!#REF!="Media",'Mapa final'!#REF!="Catastrófico"),CONCATENATE("R",'Mapa final'!#REF!),"")</f>
        <v>#REF!</v>
      </c>
      <c r="AM22" s="306"/>
      <c r="AN22" s="69"/>
      <c r="AO22" s="251" t="s">
        <v>81</v>
      </c>
      <c r="AP22" s="252"/>
      <c r="AQ22" s="252"/>
      <c r="AR22" s="252"/>
      <c r="AS22" s="252"/>
      <c r="AT22" s="253"/>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231"/>
      <c r="C23" s="231"/>
      <c r="D23" s="232"/>
      <c r="E23" s="272"/>
      <c r="F23" s="273"/>
      <c r="G23" s="273"/>
      <c r="H23" s="273"/>
      <c r="I23" s="274"/>
      <c r="J23" s="307"/>
      <c r="K23" s="308"/>
      <c r="L23" s="308"/>
      <c r="M23" s="308"/>
      <c r="N23" s="308"/>
      <c r="O23" s="309"/>
      <c r="P23" s="307"/>
      <c r="Q23" s="308"/>
      <c r="R23" s="308"/>
      <c r="S23" s="308"/>
      <c r="T23" s="308"/>
      <c r="U23" s="309"/>
      <c r="V23" s="307"/>
      <c r="W23" s="308"/>
      <c r="X23" s="308"/>
      <c r="Y23" s="308"/>
      <c r="Z23" s="308"/>
      <c r="AA23" s="309"/>
      <c r="AB23" s="291"/>
      <c r="AC23" s="287"/>
      <c r="AD23" s="287"/>
      <c r="AE23" s="287"/>
      <c r="AF23" s="287"/>
      <c r="AG23" s="288"/>
      <c r="AH23" s="298"/>
      <c r="AI23" s="299"/>
      <c r="AJ23" s="299"/>
      <c r="AK23" s="299"/>
      <c r="AL23" s="299"/>
      <c r="AM23" s="300"/>
      <c r="AN23" s="69"/>
      <c r="AO23" s="254"/>
      <c r="AP23" s="255"/>
      <c r="AQ23" s="255"/>
      <c r="AR23" s="255"/>
      <c r="AS23" s="255"/>
      <c r="AT23" s="256"/>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231"/>
      <c r="C24" s="231"/>
      <c r="D24" s="232"/>
      <c r="E24" s="272"/>
      <c r="F24" s="273"/>
      <c r="G24" s="273"/>
      <c r="H24" s="273"/>
      <c r="I24" s="274"/>
      <c r="J24" s="307" t="e">
        <f>IF(AND('Mapa final'!#REF!="Media",'Mapa final'!#REF!="Leve"),CONCATENATE("R",'Mapa final'!#REF!),"")</f>
        <v>#REF!</v>
      </c>
      <c r="K24" s="308"/>
      <c r="L24" s="308" t="e">
        <f>IF(AND('Mapa final'!#REF!="Media",'Mapa final'!#REF!="Leve"),CONCATENATE("R",'Mapa final'!#REF!),"")</f>
        <v>#REF!</v>
      </c>
      <c r="M24" s="308"/>
      <c r="N24" s="308" t="e">
        <f>IF(AND('Mapa final'!#REF!="Media",'Mapa final'!#REF!="Leve"),CONCATENATE("R",'Mapa final'!#REF!),"")</f>
        <v>#REF!</v>
      </c>
      <c r="O24" s="309"/>
      <c r="P24" s="307" t="e">
        <f>IF(AND('Mapa final'!#REF!="Media",'Mapa final'!#REF!="Menor"),CONCATENATE("R",'Mapa final'!#REF!),"")</f>
        <v>#REF!</v>
      </c>
      <c r="Q24" s="308"/>
      <c r="R24" s="308" t="e">
        <f>IF(AND('Mapa final'!#REF!="Media",'Mapa final'!#REF!="Menor"),CONCATENATE("R",'Mapa final'!#REF!),"")</f>
        <v>#REF!</v>
      </c>
      <c r="S24" s="308"/>
      <c r="T24" s="308" t="e">
        <f>IF(AND('Mapa final'!#REF!="Media",'Mapa final'!#REF!="Menor"),CONCATENATE("R",'Mapa final'!#REF!),"")</f>
        <v>#REF!</v>
      </c>
      <c r="U24" s="309"/>
      <c r="V24" s="307" t="e">
        <f>IF(AND('Mapa final'!#REF!="Media",'Mapa final'!#REF!="Moderado"),CONCATENATE("R",'Mapa final'!#REF!),"")</f>
        <v>#REF!</v>
      </c>
      <c r="W24" s="308"/>
      <c r="X24" s="308" t="e">
        <f>IF(AND('Mapa final'!#REF!="Media",'Mapa final'!#REF!="Moderado"),CONCATENATE("R",'Mapa final'!#REF!),"")</f>
        <v>#REF!</v>
      </c>
      <c r="Y24" s="308"/>
      <c r="Z24" s="308" t="e">
        <f>IF(AND('Mapa final'!#REF!="Media",'Mapa final'!#REF!="Moderado"),CONCATENATE("R",'Mapa final'!#REF!),"")</f>
        <v>#REF!</v>
      </c>
      <c r="AA24" s="309"/>
      <c r="AB24" s="291" t="e">
        <f>IF(AND('Mapa final'!#REF!="Media",'Mapa final'!#REF!="Mayor"),CONCATENATE("R",'Mapa final'!#REF!),"")</f>
        <v>#REF!</v>
      </c>
      <c r="AC24" s="287"/>
      <c r="AD24" s="287" t="e">
        <f>IF(AND('Mapa final'!#REF!="Media",'Mapa final'!#REF!="Mayor"),CONCATENATE("R",'Mapa final'!#REF!),"")</f>
        <v>#REF!</v>
      </c>
      <c r="AE24" s="287"/>
      <c r="AF24" s="287" t="e">
        <f>IF(AND('Mapa final'!#REF!="Media",'Mapa final'!#REF!="Mayor"),CONCATENATE("R",'Mapa final'!#REF!),"")</f>
        <v>#REF!</v>
      </c>
      <c r="AG24" s="288"/>
      <c r="AH24" s="298" t="e">
        <f>IF(AND('Mapa final'!#REF!="Media",'Mapa final'!#REF!="Catastrófico"),CONCATENATE("R",'Mapa final'!#REF!),"")</f>
        <v>#REF!</v>
      </c>
      <c r="AI24" s="299"/>
      <c r="AJ24" s="299" t="e">
        <f>IF(AND('Mapa final'!#REF!="Media",'Mapa final'!#REF!="Catastrófico"),CONCATENATE("R",'Mapa final'!#REF!),"")</f>
        <v>#REF!</v>
      </c>
      <c r="AK24" s="299"/>
      <c r="AL24" s="299" t="e">
        <f>IF(AND('Mapa final'!#REF!="Media",'Mapa final'!#REF!="Catastrófico"),CONCATENATE("R",'Mapa final'!#REF!),"")</f>
        <v>#REF!</v>
      </c>
      <c r="AM24" s="300"/>
      <c r="AN24" s="69"/>
      <c r="AO24" s="254"/>
      <c r="AP24" s="255"/>
      <c r="AQ24" s="255"/>
      <c r="AR24" s="255"/>
      <c r="AS24" s="255"/>
      <c r="AT24" s="256"/>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231"/>
      <c r="C25" s="231"/>
      <c r="D25" s="232"/>
      <c r="E25" s="272"/>
      <c r="F25" s="273"/>
      <c r="G25" s="273"/>
      <c r="H25" s="273"/>
      <c r="I25" s="274"/>
      <c r="J25" s="307"/>
      <c r="K25" s="308"/>
      <c r="L25" s="308"/>
      <c r="M25" s="308"/>
      <c r="N25" s="308"/>
      <c r="O25" s="309"/>
      <c r="P25" s="307"/>
      <c r="Q25" s="308"/>
      <c r="R25" s="308"/>
      <c r="S25" s="308"/>
      <c r="T25" s="308"/>
      <c r="U25" s="309"/>
      <c r="V25" s="307"/>
      <c r="W25" s="308"/>
      <c r="X25" s="308"/>
      <c r="Y25" s="308"/>
      <c r="Z25" s="308"/>
      <c r="AA25" s="309"/>
      <c r="AB25" s="291"/>
      <c r="AC25" s="287"/>
      <c r="AD25" s="287"/>
      <c r="AE25" s="287"/>
      <c r="AF25" s="287"/>
      <c r="AG25" s="288"/>
      <c r="AH25" s="298"/>
      <c r="AI25" s="299"/>
      <c r="AJ25" s="299"/>
      <c r="AK25" s="299"/>
      <c r="AL25" s="299"/>
      <c r="AM25" s="300"/>
      <c r="AN25" s="69"/>
      <c r="AO25" s="254"/>
      <c r="AP25" s="255"/>
      <c r="AQ25" s="255"/>
      <c r="AR25" s="255"/>
      <c r="AS25" s="255"/>
      <c r="AT25" s="256"/>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231"/>
      <c r="C26" s="231"/>
      <c r="D26" s="232"/>
      <c r="E26" s="272"/>
      <c r="F26" s="273"/>
      <c r="G26" s="273"/>
      <c r="H26" s="273"/>
      <c r="I26" s="274"/>
      <c r="J26" s="307" t="e">
        <f>IF(AND('Mapa final'!#REF!="Media",'Mapa final'!#REF!="Leve"),CONCATENATE("R",'Mapa final'!#REF!),"")</f>
        <v>#REF!</v>
      </c>
      <c r="K26" s="308"/>
      <c r="L26" s="308" t="e">
        <f>IF(AND('Mapa final'!#REF!="Media",'Mapa final'!#REF!="Leve"),CONCATENATE("R",'Mapa final'!#REF!),"")</f>
        <v>#REF!</v>
      </c>
      <c r="M26" s="308"/>
      <c r="N26" s="308" t="e">
        <f>IF(AND('Mapa final'!#REF!="Media",'Mapa final'!#REF!="Leve"),CONCATENATE("R",'Mapa final'!#REF!),"")</f>
        <v>#REF!</v>
      </c>
      <c r="O26" s="309"/>
      <c r="P26" s="307" t="e">
        <f>IF(AND('Mapa final'!#REF!="Media",'Mapa final'!#REF!="Menor"),CONCATENATE("R",'Mapa final'!#REF!),"")</f>
        <v>#REF!</v>
      </c>
      <c r="Q26" s="308"/>
      <c r="R26" s="308" t="e">
        <f>IF(AND('Mapa final'!#REF!="Media",'Mapa final'!#REF!="Menor"),CONCATENATE("R",'Mapa final'!#REF!),"")</f>
        <v>#REF!</v>
      </c>
      <c r="S26" s="308"/>
      <c r="T26" s="308" t="e">
        <f>IF(AND('Mapa final'!#REF!="Media",'Mapa final'!#REF!="Menor"),CONCATENATE("R",'Mapa final'!#REF!),"")</f>
        <v>#REF!</v>
      </c>
      <c r="U26" s="309"/>
      <c r="V26" s="307" t="e">
        <f>IF(AND('Mapa final'!#REF!="Media",'Mapa final'!#REF!="Moderado"),CONCATENATE("R",'Mapa final'!#REF!),"")</f>
        <v>#REF!</v>
      </c>
      <c r="W26" s="308"/>
      <c r="X26" s="308" t="e">
        <f>IF(AND('Mapa final'!#REF!="Media",'Mapa final'!#REF!="Moderado"),CONCATENATE("R",'Mapa final'!#REF!),"")</f>
        <v>#REF!</v>
      </c>
      <c r="Y26" s="308"/>
      <c r="Z26" s="308" t="e">
        <f>IF(AND('Mapa final'!#REF!="Media",'Mapa final'!#REF!="Moderado"),CONCATENATE("R",'Mapa final'!#REF!),"")</f>
        <v>#REF!</v>
      </c>
      <c r="AA26" s="309"/>
      <c r="AB26" s="291" t="e">
        <f>IF(AND('Mapa final'!#REF!="Media",'Mapa final'!#REF!="Mayor"),CONCATENATE("R",'Mapa final'!#REF!),"")</f>
        <v>#REF!</v>
      </c>
      <c r="AC26" s="287"/>
      <c r="AD26" s="287" t="e">
        <f>IF(AND('Mapa final'!#REF!="Media",'Mapa final'!#REF!="Mayor"),CONCATENATE("R",'Mapa final'!#REF!),"")</f>
        <v>#REF!</v>
      </c>
      <c r="AE26" s="287"/>
      <c r="AF26" s="287" t="e">
        <f>IF(AND('Mapa final'!#REF!="Media",'Mapa final'!#REF!="Mayor"),CONCATENATE("R",'Mapa final'!#REF!),"")</f>
        <v>#REF!</v>
      </c>
      <c r="AG26" s="288"/>
      <c r="AH26" s="298" t="e">
        <f>IF(AND('Mapa final'!#REF!="Media",'Mapa final'!#REF!="Catastrófico"),CONCATENATE("R",'Mapa final'!#REF!),"")</f>
        <v>#REF!</v>
      </c>
      <c r="AI26" s="299"/>
      <c r="AJ26" s="299" t="e">
        <f>IF(AND('Mapa final'!#REF!="Media",'Mapa final'!#REF!="Catastrófico"),CONCATENATE("R",'Mapa final'!#REF!),"")</f>
        <v>#REF!</v>
      </c>
      <c r="AK26" s="299"/>
      <c r="AL26" s="299" t="e">
        <f>IF(AND('Mapa final'!#REF!="Media",'Mapa final'!#REF!="Catastrófico"),CONCATENATE("R",'Mapa final'!#REF!),"")</f>
        <v>#REF!</v>
      </c>
      <c r="AM26" s="300"/>
      <c r="AN26" s="69"/>
      <c r="AO26" s="254"/>
      <c r="AP26" s="255"/>
      <c r="AQ26" s="255"/>
      <c r="AR26" s="255"/>
      <c r="AS26" s="255"/>
      <c r="AT26" s="256"/>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231"/>
      <c r="C27" s="231"/>
      <c r="D27" s="232"/>
      <c r="E27" s="272"/>
      <c r="F27" s="273"/>
      <c r="G27" s="273"/>
      <c r="H27" s="273"/>
      <c r="I27" s="274"/>
      <c r="J27" s="307"/>
      <c r="K27" s="308"/>
      <c r="L27" s="308"/>
      <c r="M27" s="308"/>
      <c r="N27" s="308"/>
      <c r="O27" s="309"/>
      <c r="P27" s="307"/>
      <c r="Q27" s="308"/>
      <c r="R27" s="308"/>
      <c r="S27" s="308"/>
      <c r="T27" s="308"/>
      <c r="U27" s="309"/>
      <c r="V27" s="307"/>
      <c r="W27" s="308"/>
      <c r="X27" s="308"/>
      <c r="Y27" s="308"/>
      <c r="Z27" s="308"/>
      <c r="AA27" s="309"/>
      <c r="AB27" s="291"/>
      <c r="AC27" s="287"/>
      <c r="AD27" s="287"/>
      <c r="AE27" s="287"/>
      <c r="AF27" s="287"/>
      <c r="AG27" s="288"/>
      <c r="AH27" s="298"/>
      <c r="AI27" s="299"/>
      <c r="AJ27" s="299"/>
      <c r="AK27" s="299"/>
      <c r="AL27" s="299"/>
      <c r="AM27" s="300"/>
      <c r="AN27" s="69"/>
      <c r="AO27" s="254"/>
      <c r="AP27" s="255"/>
      <c r="AQ27" s="255"/>
      <c r="AR27" s="255"/>
      <c r="AS27" s="255"/>
      <c r="AT27" s="256"/>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231"/>
      <c r="C28" s="231"/>
      <c r="D28" s="232"/>
      <c r="E28" s="272"/>
      <c r="F28" s="273"/>
      <c r="G28" s="273"/>
      <c r="H28" s="273"/>
      <c r="I28" s="274"/>
      <c r="J28" s="307" t="e">
        <f>IF(AND('Mapa final'!#REF!="Media",'Mapa final'!#REF!="Leve"),CONCATENATE("R",'Mapa final'!#REF!),"")</f>
        <v>#REF!</v>
      </c>
      <c r="K28" s="308"/>
      <c r="L28" s="308" t="str">
        <f>IF(AND('Mapa final'!$H$18="Media",'Mapa final'!$L$18="Leve"),CONCATENATE("R",'Mapa final'!$A$18),"")</f>
        <v/>
      </c>
      <c r="M28" s="308"/>
      <c r="N28" s="308" t="str">
        <f>IF(AND('Mapa final'!$H$24="Media",'Mapa final'!$L$24="Leve"),CONCATENATE("R",'Mapa final'!$A$24),"")</f>
        <v/>
      </c>
      <c r="O28" s="309"/>
      <c r="P28" s="307" t="e">
        <f>IF(AND('Mapa final'!#REF!="Media",'Mapa final'!#REF!="Menor"),CONCATENATE("R",'Mapa final'!#REF!),"")</f>
        <v>#REF!</v>
      </c>
      <c r="Q28" s="308"/>
      <c r="R28" s="308" t="str">
        <f>IF(AND('Mapa final'!$H$18="Media",'Mapa final'!$L$18="Menor"),CONCATENATE("R",'Mapa final'!$A$18),"")</f>
        <v/>
      </c>
      <c r="S28" s="308"/>
      <c r="T28" s="308" t="str">
        <f>IF(AND('Mapa final'!$H$24="Media",'Mapa final'!$L$24="Menor"),CONCATENATE("R",'Mapa final'!$A$24),"")</f>
        <v/>
      </c>
      <c r="U28" s="309"/>
      <c r="V28" s="307" t="e">
        <f>IF(AND('Mapa final'!#REF!="Media",'Mapa final'!#REF!="Moderado"),CONCATENATE("R",'Mapa final'!#REF!),"")</f>
        <v>#REF!</v>
      </c>
      <c r="W28" s="308"/>
      <c r="X28" s="308" t="str">
        <f>IF(AND('Mapa final'!$H$18="Media",'Mapa final'!$L$18="Moderado"),CONCATENATE("R",'Mapa final'!$A$18),"")</f>
        <v/>
      </c>
      <c r="Y28" s="308"/>
      <c r="Z28" s="308" t="str">
        <f>IF(AND('Mapa final'!$H$24="Media",'Mapa final'!$L$24="Moderado"),CONCATENATE("R",'Mapa final'!$A$24),"")</f>
        <v/>
      </c>
      <c r="AA28" s="309"/>
      <c r="AB28" s="291" t="e">
        <f>IF(AND('Mapa final'!#REF!="Media",'Mapa final'!#REF!="Mayor"),CONCATENATE("R",'Mapa final'!#REF!),"")</f>
        <v>#REF!</v>
      </c>
      <c r="AC28" s="287"/>
      <c r="AD28" s="287" t="str">
        <f>IF(AND('Mapa final'!$H$18="Media",'Mapa final'!$L$18="Mayor"),CONCATENATE("R",'Mapa final'!$A$18),"")</f>
        <v/>
      </c>
      <c r="AE28" s="287"/>
      <c r="AF28" s="287" t="str">
        <f>IF(AND('Mapa final'!$H$24="Media",'Mapa final'!$L$24="Mayor"),CONCATENATE("R",'Mapa final'!$A$24),"")</f>
        <v/>
      </c>
      <c r="AG28" s="288"/>
      <c r="AH28" s="298" t="e">
        <f>IF(AND('Mapa final'!#REF!="Media",'Mapa final'!#REF!="Catastrófico"),CONCATENATE("R",'Mapa final'!#REF!),"")</f>
        <v>#REF!</v>
      </c>
      <c r="AI28" s="299"/>
      <c r="AJ28" s="299" t="str">
        <f>IF(AND('Mapa final'!$H$18="Media",'Mapa final'!$L$18="Catastrófico"),CONCATENATE("R",'Mapa final'!$A$18),"")</f>
        <v/>
      </c>
      <c r="AK28" s="299"/>
      <c r="AL28" s="299" t="str">
        <f>IF(AND('Mapa final'!$H$24="Media",'Mapa final'!$L$24="Catastrófico"),CONCATENATE("R",'Mapa final'!$A$24),"")</f>
        <v/>
      </c>
      <c r="AM28" s="300"/>
      <c r="AN28" s="69"/>
      <c r="AO28" s="254"/>
      <c r="AP28" s="255"/>
      <c r="AQ28" s="255"/>
      <c r="AR28" s="255"/>
      <c r="AS28" s="255"/>
      <c r="AT28" s="256"/>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231"/>
      <c r="C29" s="231"/>
      <c r="D29" s="232"/>
      <c r="E29" s="275"/>
      <c r="F29" s="276"/>
      <c r="G29" s="276"/>
      <c r="H29" s="276"/>
      <c r="I29" s="277"/>
      <c r="J29" s="307"/>
      <c r="K29" s="308"/>
      <c r="L29" s="308"/>
      <c r="M29" s="308"/>
      <c r="N29" s="308"/>
      <c r="O29" s="309"/>
      <c r="P29" s="310"/>
      <c r="Q29" s="311"/>
      <c r="R29" s="311"/>
      <c r="S29" s="311"/>
      <c r="T29" s="311"/>
      <c r="U29" s="312"/>
      <c r="V29" s="310"/>
      <c r="W29" s="311"/>
      <c r="X29" s="311"/>
      <c r="Y29" s="311"/>
      <c r="Z29" s="311"/>
      <c r="AA29" s="312"/>
      <c r="AB29" s="295"/>
      <c r="AC29" s="296"/>
      <c r="AD29" s="296"/>
      <c r="AE29" s="296"/>
      <c r="AF29" s="296"/>
      <c r="AG29" s="297"/>
      <c r="AH29" s="301"/>
      <c r="AI29" s="302"/>
      <c r="AJ29" s="302"/>
      <c r="AK29" s="302"/>
      <c r="AL29" s="302"/>
      <c r="AM29" s="303"/>
      <c r="AN29" s="69"/>
      <c r="AO29" s="257"/>
      <c r="AP29" s="258"/>
      <c r="AQ29" s="258"/>
      <c r="AR29" s="258"/>
      <c r="AS29" s="258"/>
      <c r="AT29" s="25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231"/>
      <c r="C30" s="231"/>
      <c r="D30" s="232"/>
      <c r="E30" s="278" t="s">
        <v>114</v>
      </c>
      <c r="F30" s="279"/>
      <c r="G30" s="279"/>
      <c r="H30" s="279"/>
      <c r="I30" s="279"/>
      <c r="J30" s="322" t="str">
        <f>IF(AND('Mapa final'!$H$13="Baja",'Mapa final'!$L$13="Leve"),CONCATENATE("R",'Mapa final'!$A$13),"")</f>
        <v/>
      </c>
      <c r="K30" s="323"/>
      <c r="L30" s="323" t="str">
        <f>IF(AND('Mapa final'!$H$16="Baja",'Mapa final'!$L$16="Leve"),CONCATENATE("R",'Mapa final'!$A$16),"")</f>
        <v/>
      </c>
      <c r="M30" s="323"/>
      <c r="N30" s="323" t="e">
        <f>IF(AND('Mapa final'!#REF!="Baja",'Mapa final'!#REF!="Leve"),CONCATENATE("R",'Mapa final'!#REF!),"")</f>
        <v>#REF!</v>
      </c>
      <c r="O30" s="324"/>
      <c r="P30" s="314" t="str">
        <f>IF(AND('Mapa final'!$H$13="Baja",'Mapa final'!$L$13="Menor"),CONCATENATE("R",'Mapa final'!$A$13),"")</f>
        <v/>
      </c>
      <c r="Q30" s="314"/>
      <c r="R30" s="314" t="str">
        <f>IF(AND('Mapa final'!$H$16="Baja",'Mapa final'!$L$16="Menor"),CONCATENATE("R",'Mapa final'!$A$16),"")</f>
        <v/>
      </c>
      <c r="S30" s="314"/>
      <c r="T30" s="314" t="e">
        <f>IF(AND('Mapa final'!#REF!="Baja",'Mapa final'!#REF!="Menor"),CONCATENATE("R",'Mapa final'!#REF!),"")</f>
        <v>#REF!</v>
      </c>
      <c r="U30" s="315"/>
      <c r="V30" s="313" t="str">
        <f>IF(AND('Mapa final'!$H$13="Baja",'Mapa final'!$L$13="Moderado"),CONCATENATE("R",'Mapa final'!$A$13),"")</f>
        <v/>
      </c>
      <c r="W30" s="314"/>
      <c r="X30" s="314" t="str">
        <f>IF(AND('Mapa final'!$H$16="Baja",'Mapa final'!$L$16="Moderado"),CONCATENATE("R",'Mapa final'!$A$16),"")</f>
        <v/>
      </c>
      <c r="Y30" s="314"/>
      <c r="Z30" s="314" t="e">
        <f>IF(AND('Mapa final'!#REF!="Baja",'Mapa final'!#REF!="Moderado"),CONCATENATE("R",'Mapa final'!#REF!),"")</f>
        <v>#REF!</v>
      </c>
      <c r="AA30" s="315"/>
      <c r="AB30" s="289" t="str">
        <f>IF(AND('Mapa final'!$H$13="Baja",'Mapa final'!$L$13="Mayor"),CONCATENATE("R",'Mapa final'!$A$13),"")</f>
        <v/>
      </c>
      <c r="AC30" s="290"/>
      <c r="AD30" s="290" t="str">
        <f>IF(AND('Mapa final'!$H$16="Baja",'Mapa final'!$L$16="Mayor"),CONCATENATE("R",'Mapa final'!$A$16),"")</f>
        <v/>
      </c>
      <c r="AE30" s="290"/>
      <c r="AF30" s="290" t="e">
        <f>IF(AND('Mapa final'!#REF!="Baja",'Mapa final'!#REF!="Mayor"),CONCATENATE("R",'Mapa final'!#REF!),"")</f>
        <v>#REF!</v>
      </c>
      <c r="AG30" s="292"/>
      <c r="AH30" s="304" t="str">
        <f>IF(AND('Mapa final'!$H$13="Baja",'Mapa final'!$L$13="Catastrófico"),CONCATENATE("R",'Mapa final'!$A$13),"")</f>
        <v/>
      </c>
      <c r="AI30" s="305"/>
      <c r="AJ30" s="305" t="str">
        <f>IF(AND('Mapa final'!$H$16="Baja",'Mapa final'!$L$16="Catastrófico"),CONCATENATE("R",'Mapa final'!$A$16),"")</f>
        <v/>
      </c>
      <c r="AK30" s="305"/>
      <c r="AL30" s="305" t="e">
        <f>IF(AND('Mapa final'!#REF!="Baja",'Mapa final'!#REF!="Catastrófico"),CONCATENATE("R",'Mapa final'!#REF!),"")</f>
        <v>#REF!</v>
      </c>
      <c r="AM30" s="306"/>
      <c r="AN30" s="69"/>
      <c r="AO30" s="260" t="s">
        <v>82</v>
      </c>
      <c r="AP30" s="261"/>
      <c r="AQ30" s="261"/>
      <c r="AR30" s="261"/>
      <c r="AS30" s="261"/>
      <c r="AT30" s="262"/>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231"/>
      <c r="C31" s="231"/>
      <c r="D31" s="232"/>
      <c r="E31" s="281"/>
      <c r="F31" s="282"/>
      <c r="G31" s="282"/>
      <c r="H31" s="282"/>
      <c r="I31" s="282"/>
      <c r="J31" s="318"/>
      <c r="K31" s="316"/>
      <c r="L31" s="316"/>
      <c r="M31" s="316"/>
      <c r="N31" s="316"/>
      <c r="O31" s="317"/>
      <c r="P31" s="308"/>
      <c r="Q31" s="308"/>
      <c r="R31" s="308"/>
      <c r="S31" s="308"/>
      <c r="T31" s="308"/>
      <c r="U31" s="309"/>
      <c r="V31" s="307"/>
      <c r="W31" s="308"/>
      <c r="X31" s="308"/>
      <c r="Y31" s="308"/>
      <c r="Z31" s="308"/>
      <c r="AA31" s="309"/>
      <c r="AB31" s="291"/>
      <c r="AC31" s="287"/>
      <c r="AD31" s="287"/>
      <c r="AE31" s="287"/>
      <c r="AF31" s="287"/>
      <c r="AG31" s="288"/>
      <c r="AH31" s="298"/>
      <c r="AI31" s="299"/>
      <c r="AJ31" s="299"/>
      <c r="AK31" s="299"/>
      <c r="AL31" s="299"/>
      <c r="AM31" s="300"/>
      <c r="AN31" s="69"/>
      <c r="AO31" s="263"/>
      <c r="AP31" s="264"/>
      <c r="AQ31" s="264"/>
      <c r="AR31" s="264"/>
      <c r="AS31" s="264"/>
      <c r="AT31" s="265"/>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231"/>
      <c r="C32" s="231"/>
      <c r="D32" s="232"/>
      <c r="E32" s="281"/>
      <c r="F32" s="282"/>
      <c r="G32" s="282"/>
      <c r="H32" s="282"/>
      <c r="I32" s="282"/>
      <c r="J32" s="318" t="e">
        <f>IF(AND('Mapa final'!#REF!="Baja",'Mapa final'!#REF!="Leve"),CONCATENATE("R",'Mapa final'!#REF!),"")</f>
        <v>#REF!</v>
      </c>
      <c r="K32" s="316"/>
      <c r="L32" s="316" t="e">
        <f>IF(AND('Mapa final'!#REF!="Baja",'Mapa final'!#REF!="Leve"),CONCATENATE("R",'Mapa final'!#REF!),"")</f>
        <v>#REF!</v>
      </c>
      <c r="M32" s="316"/>
      <c r="N32" s="316" t="e">
        <f>IF(AND('Mapa final'!#REF!="Baja",'Mapa final'!#REF!="Leve"),CONCATENATE("R",'Mapa final'!#REF!),"")</f>
        <v>#REF!</v>
      </c>
      <c r="O32" s="317"/>
      <c r="P32" s="308" t="e">
        <f>IF(AND('Mapa final'!#REF!="Baja",'Mapa final'!#REF!="Menor"),CONCATENATE("R",'Mapa final'!#REF!),"")</f>
        <v>#REF!</v>
      </c>
      <c r="Q32" s="308"/>
      <c r="R32" s="308" t="e">
        <f>IF(AND('Mapa final'!#REF!="Baja",'Mapa final'!#REF!="Menor"),CONCATENATE("R",'Mapa final'!#REF!),"")</f>
        <v>#REF!</v>
      </c>
      <c r="S32" s="308"/>
      <c r="T32" s="308" t="e">
        <f>IF(AND('Mapa final'!#REF!="Baja",'Mapa final'!#REF!="Menor"),CONCATENATE("R",'Mapa final'!#REF!),"")</f>
        <v>#REF!</v>
      </c>
      <c r="U32" s="309"/>
      <c r="V32" s="307" t="e">
        <f>IF(AND('Mapa final'!#REF!="Baja",'Mapa final'!#REF!="Moderado"),CONCATENATE("R",'Mapa final'!#REF!),"")</f>
        <v>#REF!</v>
      </c>
      <c r="W32" s="308"/>
      <c r="X32" s="308" t="e">
        <f>IF(AND('Mapa final'!#REF!="Baja",'Mapa final'!#REF!="Moderado"),CONCATENATE("R",'Mapa final'!#REF!),"")</f>
        <v>#REF!</v>
      </c>
      <c r="Y32" s="308"/>
      <c r="Z32" s="308" t="e">
        <f>IF(AND('Mapa final'!#REF!="Baja",'Mapa final'!#REF!="Moderado"),CONCATENATE("R",'Mapa final'!#REF!),"")</f>
        <v>#REF!</v>
      </c>
      <c r="AA32" s="309"/>
      <c r="AB32" s="291" t="e">
        <f>IF(AND('Mapa final'!#REF!="Baja",'Mapa final'!#REF!="Mayor"),CONCATENATE("R",'Mapa final'!#REF!),"")</f>
        <v>#REF!</v>
      </c>
      <c r="AC32" s="287"/>
      <c r="AD32" s="287" t="e">
        <f>IF(AND('Mapa final'!#REF!="Baja",'Mapa final'!#REF!="Mayor"),CONCATENATE("R",'Mapa final'!#REF!),"")</f>
        <v>#REF!</v>
      </c>
      <c r="AE32" s="287"/>
      <c r="AF32" s="287" t="e">
        <f>IF(AND('Mapa final'!#REF!="Baja",'Mapa final'!#REF!="Mayor"),CONCATENATE("R",'Mapa final'!#REF!),"")</f>
        <v>#REF!</v>
      </c>
      <c r="AG32" s="288"/>
      <c r="AH32" s="298" t="e">
        <f>IF(AND('Mapa final'!#REF!="Baja",'Mapa final'!#REF!="Catastrófico"),CONCATENATE("R",'Mapa final'!#REF!),"")</f>
        <v>#REF!</v>
      </c>
      <c r="AI32" s="299"/>
      <c r="AJ32" s="299" t="e">
        <f>IF(AND('Mapa final'!#REF!="Baja",'Mapa final'!#REF!="Catastrófico"),CONCATENATE("R",'Mapa final'!#REF!),"")</f>
        <v>#REF!</v>
      </c>
      <c r="AK32" s="299"/>
      <c r="AL32" s="299" t="e">
        <f>IF(AND('Mapa final'!#REF!="Baja",'Mapa final'!#REF!="Catastrófico"),CONCATENATE("R",'Mapa final'!#REF!),"")</f>
        <v>#REF!</v>
      </c>
      <c r="AM32" s="300"/>
      <c r="AN32" s="69"/>
      <c r="AO32" s="263"/>
      <c r="AP32" s="264"/>
      <c r="AQ32" s="264"/>
      <c r="AR32" s="264"/>
      <c r="AS32" s="264"/>
      <c r="AT32" s="265"/>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231"/>
      <c r="C33" s="231"/>
      <c r="D33" s="232"/>
      <c r="E33" s="281"/>
      <c r="F33" s="282"/>
      <c r="G33" s="282"/>
      <c r="H33" s="282"/>
      <c r="I33" s="282"/>
      <c r="J33" s="318"/>
      <c r="K33" s="316"/>
      <c r="L33" s="316"/>
      <c r="M33" s="316"/>
      <c r="N33" s="316"/>
      <c r="O33" s="317"/>
      <c r="P33" s="308"/>
      <c r="Q33" s="308"/>
      <c r="R33" s="308"/>
      <c r="S33" s="308"/>
      <c r="T33" s="308"/>
      <c r="U33" s="309"/>
      <c r="V33" s="307"/>
      <c r="W33" s="308"/>
      <c r="X33" s="308"/>
      <c r="Y33" s="308"/>
      <c r="Z33" s="308"/>
      <c r="AA33" s="309"/>
      <c r="AB33" s="291"/>
      <c r="AC33" s="287"/>
      <c r="AD33" s="287"/>
      <c r="AE33" s="287"/>
      <c r="AF33" s="287"/>
      <c r="AG33" s="288"/>
      <c r="AH33" s="298"/>
      <c r="AI33" s="299"/>
      <c r="AJ33" s="299"/>
      <c r="AK33" s="299"/>
      <c r="AL33" s="299"/>
      <c r="AM33" s="300"/>
      <c r="AN33" s="69"/>
      <c r="AO33" s="263"/>
      <c r="AP33" s="264"/>
      <c r="AQ33" s="264"/>
      <c r="AR33" s="264"/>
      <c r="AS33" s="264"/>
      <c r="AT33" s="265"/>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231"/>
      <c r="C34" s="231"/>
      <c r="D34" s="232"/>
      <c r="E34" s="281"/>
      <c r="F34" s="282"/>
      <c r="G34" s="282"/>
      <c r="H34" s="282"/>
      <c r="I34" s="282"/>
      <c r="J34" s="318" t="e">
        <f>IF(AND('Mapa final'!#REF!="Baja",'Mapa final'!#REF!="Leve"),CONCATENATE("R",'Mapa final'!#REF!),"")</f>
        <v>#REF!</v>
      </c>
      <c r="K34" s="316"/>
      <c r="L34" s="316" t="e">
        <f>IF(AND('Mapa final'!#REF!="Baja",'Mapa final'!#REF!="Leve"),CONCATENATE("R",'Mapa final'!#REF!),"")</f>
        <v>#REF!</v>
      </c>
      <c r="M34" s="316"/>
      <c r="N34" s="316" t="e">
        <f>IF(AND('Mapa final'!#REF!="Baja",'Mapa final'!#REF!="Leve"),CONCATENATE("R",'Mapa final'!#REF!),"")</f>
        <v>#REF!</v>
      </c>
      <c r="O34" s="317"/>
      <c r="P34" s="308" t="e">
        <f>IF(AND('Mapa final'!#REF!="Baja",'Mapa final'!#REF!="Menor"),CONCATENATE("R",'Mapa final'!#REF!),"")</f>
        <v>#REF!</v>
      </c>
      <c r="Q34" s="308"/>
      <c r="R34" s="308" t="e">
        <f>IF(AND('Mapa final'!#REF!="Baja",'Mapa final'!#REF!="Menor"),CONCATENATE("R",'Mapa final'!#REF!),"")</f>
        <v>#REF!</v>
      </c>
      <c r="S34" s="308"/>
      <c r="T34" s="308" t="e">
        <f>IF(AND('Mapa final'!#REF!="Baja",'Mapa final'!#REF!="Menor"),CONCATENATE("R",'Mapa final'!#REF!),"")</f>
        <v>#REF!</v>
      </c>
      <c r="U34" s="309"/>
      <c r="V34" s="307" t="e">
        <f>IF(AND('Mapa final'!#REF!="Baja",'Mapa final'!#REF!="Moderado"),CONCATENATE("R",'Mapa final'!#REF!),"")</f>
        <v>#REF!</v>
      </c>
      <c r="W34" s="308"/>
      <c r="X34" s="308" t="e">
        <f>IF(AND('Mapa final'!#REF!="Baja",'Mapa final'!#REF!="Moderado"),CONCATENATE("R",'Mapa final'!#REF!),"")</f>
        <v>#REF!</v>
      </c>
      <c r="Y34" s="308"/>
      <c r="Z34" s="308" t="e">
        <f>IF(AND('Mapa final'!#REF!="Baja",'Mapa final'!#REF!="Moderado"),CONCATENATE("R",'Mapa final'!#REF!),"")</f>
        <v>#REF!</v>
      </c>
      <c r="AA34" s="309"/>
      <c r="AB34" s="291" t="e">
        <f>IF(AND('Mapa final'!#REF!="Baja",'Mapa final'!#REF!="Mayor"),CONCATENATE("R",'Mapa final'!#REF!),"")</f>
        <v>#REF!</v>
      </c>
      <c r="AC34" s="287"/>
      <c r="AD34" s="287" t="e">
        <f>IF(AND('Mapa final'!#REF!="Baja",'Mapa final'!#REF!="Mayor"),CONCATENATE("R",'Mapa final'!#REF!),"")</f>
        <v>#REF!</v>
      </c>
      <c r="AE34" s="287"/>
      <c r="AF34" s="287" t="e">
        <f>IF(AND('Mapa final'!#REF!="Baja",'Mapa final'!#REF!="Mayor"),CONCATENATE("R",'Mapa final'!#REF!),"")</f>
        <v>#REF!</v>
      </c>
      <c r="AG34" s="288"/>
      <c r="AH34" s="298" t="e">
        <f>IF(AND('Mapa final'!#REF!="Baja",'Mapa final'!#REF!="Catastrófico"),CONCATENATE("R",'Mapa final'!#REF!),"")</f>
        <v>#REF!</v>
      </c>
      <c r="AI34" s="299"/>
      <c r="AJ34" s="299" t="e">
        <f>IF(AND('Mapa final'!#REF!="Baja",'Mapa final'!#REF!="Catastrófico"),CONCATENATE("R",'Mapa final'!#REF!),"")</f>
        <v>#REF!</v>
      </c>
      <c r="AK34" s="299"/>
      <c r="AL34" s="299" t="e">
        <f>IF(AND('Mapa final'!#REF!="Baja",'Mapa final'!#REF!="Catastrófico"),CONCATENATE("R",'Mapa final'!#REF!),"")</f>
        <v>#REF!</v>
      </c>
      <c r="AM34" s="300"/>
      <c r="AN34" s="69"/>
      <c r="AO34" s="263"/>
      <c r="AP34" s="264"/>
      <c r="AQ34" s="264"/>
      <c r="AR34" s="264"/>
      <c r="AS34" s="264"/>
      <c r="AT34" s="265"/>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231"/>
      <c r="C35" s="231"/>
      <c r="D35" s="232"/>
      <c r="E35" s="281"/>
      <c r="F35" s="282"/>
      <c r="G35" s="282"/>
      <c r="H35" s="282"/>
      <c r="I35" s="282"/>
      <c r="J35" s="318"/>
      <c r="K35" s="316"/>
      <c r="L35" s="316"/>
      <c r="M35" s="316"/>
      <c r="N35" s="316"/>
      <c r="O35" s="317"/>
      <c r="P35" s="308"/>
      <c r="Q35" s="308"/>
      <c r="R35" s="308"/>
      <c r="S35" s="308"/>
      <c r="T35" s="308"/>
      <c r="U35" s="309"/>
      <c r="V35" s="307"/>
      <c r="W35" s="308"/>
      <c r="X35" s="308"/>
      <c r="Y35" s="308"/>
      <c r="Z35" s="308"/>
      <c r="AA35" s="309"/>
      <c r="AB35" s="291"/>
      <c r="AC35" s="287"/>
      <c r="AD35" s="287"/>
      <c r="AE35" s="287"/>
      <c r="AF35" s="287"/>
      <c r="AG35" s="288"/>
      <c r="AH35" s="298"/>
      <c r="AI35" s="299"/>
      <c r="AJ35" s="299"/>
      <c r="AK35" s="299"/>
      <c r="AL35" s="299"/>
      <c r="AM35" s="300"/>
      <c r="AN35" s="69"/>
      <c r="AO35" s="263"/>
      <c r="AP35" s="264"/>
      <c r="AQ35" s="264"/>
      <c r="AR35" s="264"/>
      <c r="AS35" s="264"/>
      <c r="AT35" s="265"/>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231"/>
      <c r="C36" s="231"/>
      <c r="D36" s="232"/>
      <c r="E36" s="281"/>
      <c r="F36" s="282"/>
      <c r="G36" s="282"/>
      <c r="H36" s="282"/>
      <c r="I36" s="282"/>
      <c r="J36" s="318" t="e">
        <f>IF(AND('Mapa final'!#REF!="Baja",'Mapa final'!#REF!="Leve"),CONCATENATE("R",'Mapa final'!#REF!),"")</f>
        <v>#REF!</v>
      </c>
      <c r="K36" s="316"/>
      <c r="L36" s="316" t="str">
        <f>IF(AND('Mapa final'!$H$18="Baja",'Mapa final'!$L$18="Leve"),CONCATENATE("R",'Mapa final'!$A$18),"")</f>
        <v/>
      </c>
      <c r="M36" s="316"/>
      <c r="N36" s="316" t="str">
        <f>IF(AND('Mapa final'!$H$24="Baja",'Mapa final'!$L$24="Leve"),CONCATENATE("R",'Mapa final'!$A$24),"")</f>
        <v/>
      </c>
      <c r="O36" s="317"/>
      <c r="P36" s="308" t="e">
        <f>IF(AND('Mapa final'!#REF!="Baja",'Mapa final'!#REF!="Menor"),CONCATENATE("R",'Mapa final'!#REF!),"")</f>
        <v>#REF!</v>
      </c>
      <c r="Q36" s="308"/>
      <c r="R36" s="308" t="str">
        <f>IF(AND('Mapa final'!$H$18="Baja",'Mapa final'!$L$18="Menor"),CONCATENATE("R",'Mapa final'!$A$18),"")</f>
        <v/>
      </c>
      <c r="S36" s="308"/>
      <c r="T36" s="308" t="str">
        <f>IF(AND('Mapa final'!$H$24="Baja",'Mapa final'!$L$24="Menor"),CONCATENATE("R",'Mapa final'!$A$24),"")</f>
        <v/>
      </c>
      <c r="U36" s="309"/>
      <c r="V36" s="307" t="e">
        <f>IF(AND('Mapa final'!#REF!="Baja",'Mapa final'!#REF!="Moderado"),CONCATENATE("R",'Mapa final'!#REF!),"")</f>
        <v>#REF!</v>
      </c>
      <c r="W36" s="308"/>
      <c r="X36" s="308" t="str">
        <f>IF(AND('Mapa final'!$H$18="Baja",'Mapa final'!$L$18="Moderado"),CONCATENATE("R",'Mapa final'!$A$18),"")</f>
        <v/>
      </c>
      <c r="Y36" s="308"/>
      <c r="Z36" s="308" t="str">
        <f>IF(AND('Mapa final'!$H$24="Baja",'Mapa final'!$L$24="Moderado"),CONCATENATE("R",'Mapa final'!$A$24),"")</f>
        <v/>
      </c>
      <c r="AA36" s="309"/>
      <c r="AB36" s="291" t="e">
        <f>IF(AND('Mapa final'!#REF!="Baja",'Mapa final'!#REF!="Mayor"),CONCATENATE("R",'Mapa final'!#REF!),"")</f>
        <v>#REF!</v>
      </c>
      <c r="AC36" s="287"/>
      <c r="AD36" s="287" t="str">
        <f>IF(AND('Mapa final'!$H$18="Baja",'Mapa final'!$L$18="Mayor"),CONCATENATE("R",'Mapa final'!$A$18),"")</f>
        <v/>
      </c>
      <c r="AE36" s="287"/>
      <c r="AF36" s="287" t="str">
        <f>IF(AND('Mapa final'!$H$24="Baja",'Mapa final'!$L$24="Mayor"),CONCATENATE("R",'Mapa final'!$A$24),"")</f>
        <v/>
      </c>
      <c r="AG36" s="288"/>
      <c r="AH36" s="298" t="e">
        <f>IF(AND('Mapa final'!#REF!="Baja",'Mapa final'!#REF!="Catastrófico"),CONCATENATE("R",'Mapa final'!#REF!),"")</f>
        <v>#REF!</v>
      </c>
      <c r="AI36" s="299"/>
      <c r="AJ36" s="299" t="str">
        <f>IF(AND('Mapa final'!$H$18="Baja",'Mapa final'!$L$18="Catastrófico"),CONCATENATE("R",'Mapa final'!$A$18),"")</f>
        <v/>
      </c>
      <c r="AK36" s="299"/>
      <c r="AL36" s="299" t="str">
        <f>IF(AND('Mapa final'!$H$24="Baja",'Mapa final'!$L$24="Catastrófico"),CONCATENATE("R",'Mapa final'!$A$24),"")</f>
        <v/>
      </c>
      <c r="AM36" s="300"/>
      <c r="AN36" s="69"/>
      <c r="AO36" s="263"/>
      <c r="AP36" s="264"/>
      <c r="AQ36" s="264"/>
      <c r="AR36" s="264"/>
      <c r="AS36" s="264"/>
      <c r="AT36" s="265"/>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231"/>
      <c r="C37" s="231"/>
      <c r="D37" s="232"/>
      <c r="E37" s="284"/>
      <c r="F37" s="285"/>
      <c r="G37" s="285"/>
      <c r="H37" s="285"/>
      <c r="I37" s="285"/>
      <c r="J37" s="319"/>
      <c r="K37" s="320"/>
      <c r="L37" s="320"/>
      <c r="M37" s="320"/>
      <c r="N37" s="320"/>
      <c r="O37" s="321"/>
      <c r="P37" s="311"/>
      <c r="Q37" s="311"/>
      <c r="R37" s="311"/>
      <c r="S37" s="311"/>
      <c r="T37" s="311"/>
      <c r="U37" s="312"/>
      <c r="V37" s="310"/>
      <c r="W37" s="311"/>
      <c r="X37" s="311"/>
      <c r="Y37" s="311"/>
      <c r="Z37" s="311"/>
      <c r="AA37" s="312"/>
      <c r="AB37" s="295"/>
      <c r="AC37" s="296"/>
      <c r="AD37" s="296"/>
      <c r="AE37" s="296"/>
      <c r="AF37" s="296"/>
      <c r="AG37" s="297"/>
      <c r="AH37" s="301"/>
      <c r="AI37" s="302"/>
      <c r="AJ37" s="302"/>
      <c r="AK37" s="302"/>
      <c r="AL37" s="302"/>
      <c r="AM37" s="303"/>
      <c r="AN37" s="69"/>
      <c r="AO37" s="266"/>
      <c r="AP37" s="267"/>
      <c r="AQ37" s="267"/>
      <c r="AR37" s="267"/>
      <c r="AS37" s="267"/>
      <c r="AT37" s="268"/>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231"/>
      <c r="C38" s="231"/>
      <c r="D38" s="232"/>
      <c r="E38" s="278" t="s">
        <v>113</v>
      </c>
      <c r="F38" s="279"/>
      <c r="G38" s="279"/>
      <c r="H38" s="279"/>
      <c r="I38" s="280"/>
      <c r="J38" s="322" t="str">
        <f>IF(AND('Mapa final'!$H$13="Muy Baja",'Mapa final'!$L$13="Leve"),CONCATENATE("R",'Mapa final'!$A$13),"")</f>
        <v/>
      </c>
      <c r="K38" s="323"/>
      <c r="L38" s="323" t="str">
        <f>IF(AND('Mapa final'!$H$16="Muy Baja",'Mapa final'!$L$16="Leve"),CONCATENATE("R",'Mapa final'!$A$16),"")</f>
        <v/>
      </c>
      <c r="M38" s="323"/>
      <c r="N38" s="323" t="e">
        <f>IF(AND('Mapa final'!#REF!="Muy Baja",'Mapa final'!#REF!="Leve"),CONCATENATE("R",'Mapa final'!#REF!),"")</f>
        <v>#REF!</v>
      </c>
      <c r="O38" s="324"/>
      <c r="P38" s="322" t="str">
        <f>IF(AND('Mapa final'!$H$13="Muy Baja",'Mapa final'!$L$13="Menor"),CONCATENATE("R",'Mapa final'!$A$13),"")</f>
        <v/>
      </c>
      <c r="Q38" s="323"/>
      <c r="R38" s="323" t="str">
        <f>IF(AND('Mapa final'!$H$16="Muy Baja",'Mapa final'!$L$16="Menor"),CONCATENATE("R",'Mapa final'!$A$16),"")</f>
        <v/>
      </c>
      <c r="S38" s="323"/>
      <c r="T38" s="323" t="e">
        <f>IF(AND('Mapa final'!#REF!="Muy Baja",'Mapa final'!#REF!="Menor"),CONCATENATE("R",'Mapa final'!#REF!),"")</f>
        <v>#REF!</v>
      </c>
      <c r="U38" s="324"/>
      <c r="V38" s="313" t="str">
        <f>IF(AND('Mapa final'!$H$13="Muy Baja",'Mapa final'!$L$13="Moderado"),CONCATENATE("R",'Mapa final'!$A$13),"")</f>
        <v/>
      </c>
      <c r="W38" s="314"/>
      <c r="X38" s="314" t="str">
        <f>IF(AND('Mapa final'!$H$16="Muy Baja",'Mapa final'!$L$16="Moderado"),CONCATENATE("R",'Mapa final'!$A$16),"")</f>
        <v/>
      </c>
      <c r="Y38" s="314"/>
      <c r="Z38" s="314" t="e">
        <f>IF(AND('Mapa final'!#REF!="Muy Baja",'Mapa final'!#REF!="Moderado"),CONCATENATE("R",'Mapa final'!#REF!),"")</f>
        <v>#REF!</v>
      </c>
      <c r="AA38" s="315"/>
      <c r="AB38" s="289" t="str">
        <f>IF(AND('Mapa final'!$H$13="Muy Baja",'Mapa final'!$L$13="Mayor"),CONCATENATE("R",'Mapa final'!$A$13),"")</f>
        <v/>
      </c>
      <c r="AC38" s="290"/>
      <c r="AD38" s="290" t="str">
        <f>IF(AND('Mapa final'!$H$16="Muy Baja",'Mapa final'!$L$16="Mayor"),CONCATENATE("R",'Mapa final'!$A$16),"")</f>
        <v/>
      </c>
      <c r="AE38" s="290"/>
      <c r="AF38" s="290" t="e">
        <f>IF(AND('Mapa final'!#REF!="Muy Baja",'Mapa final'!#REF!="Mayor"),CONCATENATE("R",'Mapa final'!#REF!),"")</f>
        <v>#REF!</v>
      </c>
      <c r="AG38" s="292"/>
      <c r="AH38" s="304" t="str">
        <f>IF(AND('Mapa final'!$H$13="Muy Baja",'Mapa final'!$L$13="Catastrófico"),CONCATENATE("R",'Mapa final'!$A$13),"")</f>
        <v/>
      </c>
      <c r="AI38" s="305"/>
      <c r="AJ38" s="305" t="str">
        <f>IF(AND('Mapa final'!$H$16="Muy Baja",'Mapa final'!$L$16="Catastrófico"),CONCATENATE("R",'Mapa final'!$A$16),"")</f>
        <v/>
      </c>
      <c r="AK38" s="305"/>
      <c r="AL38" s="305" t="e">
        <f>IF(AND('Mapa final'!#REF!="Muy Baja",'Mapa final'!#REF!="Catastrófico"),CONCATENATE("R",'Mapa final'!#REF!),"")</f>
        <v>#REF!</v>
      </c>
      <c r="AM38" s="306"/>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231"/>
      <c r="C39" s="231"/>
      <c r="D39" s="232"/>
      <c r="E39" s="281"/>
      <c r="F39" s="282"/>
      <c r="G39" s="282"/>
      <c r="H39" s="282"/>
      <c r="I39" s="283"/>
      <c r="J39" s="318"/>
      <c r="K39" s="316"/>
      <c r="L39" s="316"/>
      <c r="M39" s="316"/>
      <c r="N39" s="316"/>
      <c r="O39" s="317"/>
      <c r="P39" s="318"/>
      <c r="Q39" s="316"/>
      <c r="R39" s="316"/>
      <c r="S39" s="316"/>
      <c r="T39" s="316"/>
      <c r="U39" s="317"/>
      <c r="V39" s="307"/>
      <c r="W39" s="308"/>
      <c r="X39" s="308"/>
      <c r="Y39" s="308"/>
      <c r="Z39" s="308"/>
      <c r="AA39" s="309"/>
      <c r="AB39" s="291"/>
      <c r="AC39" s="287"/>
      <c r="AD39" s="287"/>
      <c r="AE39" s="287"/>
      <c r="AF39" s="287"/>
      <c r="AG39" s="288"/>
      <c r="AH39" s="298"/>
      <c r="AI39" s="299"/>
      <c r="AJ39" s="299"/>
      <c r="AK39" s="299"/>
      <c r="AL39" s="299"/>
      <c r="AM39" s="300"/>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231"/>
      <c r="C40" s="231"/>
      <c r="D40" s="232"/>
      <c r="E40" s="281"/>
      <c r="F40" s="282"/>
      <c r="G40" s="282"/>
      <c r="H40" s="282"/>
      <c r="I40" s="283"/>
      <c r="J40" s="318" t="e">
        <f>IF(AND('Mapa final'!#REF!="Muy Baja",'Mapa final'!#REF!="Leve"),CONCATENATE("R",'Mapa final'!#REF!),"")</f>
        <v>#REF!</v>
      </c>
      <c r="K40" s="316"/>
      <c r="L40" s="316" t="e">
        <f>IF(AND('Mapa final'!#REF!="Muy Baja",'Mapa final'!#REF!="Leve"),CONCATENATE("R",'Mapa final'!#REF!),"")</f>
        <v>#REF!</v>
      </c>
      <c r="M40" s="316"/>
      <c r="N40" s="316" t="e">
        <f>IF(AND('Mapa final'!#REF!="Muy Baja",'Mapa final'!#REF!="Leve"),CONCATENATE("R",'Mapa final'!#REF!),"")</f>
        <v>#REF!</v>
      </c>
      <c r="O40" s="317"/>
      <c r="P40" s="318" t="e">
        <f>IF(AND('Mapa final'!#REF!="Muy Baja",'Mapa final'!#REF!="Menor"),CONCATENATE("R",'Mapa final'!#REF!),"")</f>
        <v>#REF!</v>
      </c>
      <c r="Q40" s="316"/>
      <c r="R40" s="316" t="e">
        <f>IF(AND('Mapa final'!#REF!="Muy Baja",'Mapa final'!#REF!="Menor"),CONCATENATE("R",'Mapa final'!#REF!),"")</f>
        <v>#REF!</v>
      </c>
      <c r="S40" s="316"/>
      <c r="T40" s="316" t="e">
        <f>IF(AND('Mapa final'!#REF!="Muy Baja",'Mapa final'!#REF!="Menor"),CONCATENATE("R",'Mapa final'!#REF!),"")</f>
        <v>#REF!</v>
      </c>
      <c r="U40" s="317"/>
      <c r="V40" s="307" t="e">
        <f>IF(AND('Mapa final'!#REF!="Muy Baja",'Mapa final'!#REF!="Moderado"),CONCATENATE("R",'Mapa final'!#REF!),"")</f>
        <v>#REF!</v>
      </c>
      <c r="W40" s="308"/>
      <c r="X40" s="308" t="e">
        <f>IF(AND('Mapa final'!#REF!="Muy Baja",'Mapa final'!#REF!="Moderado"),CONCATENATE("R",'Mapa final'!#REF!),"")</f>
        <v>#REF!</v>
      </c>
      <c r="Y40" s="308"/>
      <c r="Z40" s="308" t="e">
        <f>IF(AND('Mapa final'!#REF!="Muy Baja",'Mapa final'!#REF!="Moderado"),CONCATENATE("R",'Mapa final'!#REF!),"")</f>
        <v>#REF!</v>
      </c>
      <c r="AA40" s="309"/>
      <c r="AB40" s="291" t="e">
        <f>IF(AND('Mapa final'!#REF!="Muy Baja",'Mapa final'!#REF!="Mayor"),CONCATENATE("R",'Mapa final'!#REF!),"")</f>
        <v>#REF!</v>
      </c>
      <c r="AC40" s="287"/>
      <c r="AD40" s="287" t="e">
        <f>IF(AND('Mapa final'!#REF!="Muy Baja",'Mapa final'!#REF!="Mayor"),CONCATENATE("R",'Mapa final'!#REF!),"")</f>
        <v>#REF!</v>
      </c>
      <c r="AE40" s="287"/>
      <c r="AF40" s="287" t="e">
        <f>IF(AND('Mapa final'!#REF!="Muy Baja",'Mapa final'!#REF!="Mayor"),CONCATENATE("R",'Mapa final'!#REF!),"")</f>
        <v>#REF!</v>
      </c>
      <c r="AG40" s="288"/>
      <c r="AH40" s="298" t="e">
        <f>IF(AND('Mapa final'!#REF!="Muy Baja",'Mapa final'!#REF!="Catastrófico"),CONCATENATE("R",'Mapa final'!#REF!),"")</f>
        <v>#REF!</v>
      </c>
      <c r="AI40" s="299"/>
      <c r="AJ40" s="299" t="e">
        <f>IF(AND('Mapa final'!#REF!="Muy Baja",'Mapa final'!#REF!="Catastrófico"),CONCATENATE("R",'Mapa final'!#REF!),"")</f>
        <v>#REF!</v>
      </c>
      <c r="AK40" s="299"/>
      <c r="AL40" s="299" t="e">
        <f>IF(AND('Mapa final'!#REF!="Muy Baja",'Mapa final'!#REF!="Catastrófico"),CONCATENATE("R",'Mapa final'!#REF!),"")</f>
        <v>#REF!</v>
      </c>
      <c r="AM40" s="300"/>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231"/>
      <c r="C41" s="231"/>
      <c r="D41" s="232"/>
      <c r="E41" s="281"/>
      <c r="F41" s="282"/>
      <c r="G41" s="282"/>
      <c r="H41" s="282"/>
      <c r="I41" s="283"/>
      <c r="J41" s="318"/>
      <c r="K41" s="316"/>
      <c r="L41" s="316"/>
      <c r="M41" s="316"/>
      <c r="N41" s="316"/>
      <c r="O41" s="317"/>
      <c r="P41" s="318"/>
      <c r="Q41" s="316"/>
      <c r="R41" s="316"/>
      <c r="S41" s="316"/>
      <c r="T41" s="316"/>
      <c r="U41" s="317"/>
      <c r="V41" s="307"/>
      <c r="W41" s="308"/>
      <c r="X41" s="308"/>
      <c r="Y41" s="308"/>
      <c r="Z41" s="308"/>
      <c r="AA41" s="309"/>
      <c r="AB41" s="291"/>
      <c r="AC41" s="287"/>
      <c r="AD41" s="287"/>
      <c r="AE41" s="287"/>
      <c r="AF41" s="287"/>
      <c r="AG41" s="288"/>
      <c r="AH41" s="298"/>
      <c r="AI41" s="299"/>
      <c r="AJ41" s="299"/>
      <c r="AK41" s="299"/>
      <c r="AL41" s="299"/>
      <c r="AM41" s="300"/>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231"/>
      <c r="C42" s="231"/>
      <c r="D42" s="232"/>
      <c r="E42" s="281"/>
      <c r="F42" s="282"/>
      <c r="G42" s="282"/>
      <c r="H42" s="282"/>
      <c r="I42" s="283"/>
      <c r="J42" s="318" t="e">
        <f>IF(AND('Mapa final'!#REF!="Muy Baja",'Mapa final'!#REF!="Leve"),CONCATENATE("R",'Mapa final'!#REF!),"")</f>
        <v>#REF!</v>
      </c>
      <c r="K42" s="316"/>
      <c r="L42" s="316" t="e">
        <f>IF(AND('Mapa final'!#REF!="Muy Baja",'Mapa final'!#REF!="Leve"),CONCATENATE("R",'Mapa final'!#REF!),"")</f>
        <v>#REF!</v>
      </c>
      <c r="M42" s="316"/>
      <c r="N42" s="316" t="e">
        <f>IF(AND('Mapa final'!#REF!="Muy Baja",'Mapa final'!#REF!="Leve"),CONCATENATE("R",'Mapa final'!#REF!),"")</f>
        <v>#REF!</v>
      </c>
      <c r="O42" s="317"/>
      <c r="P42" s="318" t="e">
        <f>IF(AND('Mapa final'!#REF!="Muy Baja",'Mapa final'!#REF!="Menor"),CONCATENATE("R",'Mapa final'!#REF!),"")</f>
        <v>#REF!</v>
      </c>
      <c r="Q42" s="316"/>
      <c r="R42" s="316" t="e">
        <f>IF(AND('Mapa final'!#REF!="Muy Baja",'Mapa final'!#REF!="Menor"),CONCATENATE("R",'Mapa final'!#REF!),"")</f>
        <v>#REF!</v>
      </c>
      <c r="S42" s="316"/>
      <c r="T42" s="316" t="e">
        <f>IF(AND('Mapa final'!#REF!="Muy Baja",'Mapa final'!#REF!="Menor"),CONCATENATE("R",'Mapa final'!#REF!),"")</f>
        <v>#REF!</v>
      </c>
      <c r="U42" s="317"/>
      <c r="V42" s="307" t="e">
        <f>IF(AND('Mapa final'!#REF!="Muy Baja",'Mapa final'!#REF!="Moderado"),CONCATENATE("R",'Mapa final'!#REF!),"")</f>
        <v>#REF!</v>
      </c>
      <c r="W42" s="308"/>
      <c r="X42" s="308" t="e">
        <f>IF(AND('Mapa final'!#REF!="Muy Baja",'Mapa final'!#REF!="Moderado"),CONCATENATE("R",'Mapa final'!#REF!),"")</f>
        <v>#REF!</v>
      </c>
      <c r="Y42" s="308"/>
      <c r="Z42" s="308" t="e">
        <f>IF(AND('Mapa final'!#REF!="Muy Baja",'Mapa final'!#REF!="Moderado"),CONCATENATE("R",'Mapa final'!#REF!),"")</f>
        <v>#REF!</v>
      </c>
      <c r="AA42" s="309"/>
      <c r="AB42" s="291" t="e">
        <f>IF(AND('Mapa final'!#REF!="Muy Baja",'Mapa final'!#REF!="Mayor"),CONCATENATE("R",'Mapa final'!#REF!),"")</f>
        <v>#REF!</v>
      </c>
      <c r="AC42" s="287"/>
      <c r="AD42" s="287" t="e">
        <f>IF(AND('Mapa final'!#REF!="Muy Baja",'Mapa final'!#REF!="Mayor"),CONCATENATE("R",'Mapa final'!#REF!),"")</f>
        <v>#REF!</v>
      </c>
      <c r="AE42" s="287"/>
      <c r="AF42" s="287" t="e">
        <f>IF(AND('Mapa final'!#REF!="Muy Baja",'Mapa final'!#REF!="Mayor"),CONCATENATE("R",'Mapa final'!#REF!),"")</f>
        <v>#REF!</v>
      </c>
      <c r="AG42" s="288"/>
      <c r="AH42" s="298" t="e">
        <f>IF(AND('Mapa final'!#REF!="Muy Baja",'Mapa final'!#REF!="Catastrófico"),CONCATENATE("R",'Mapa final'!#REF!),"")</f>
        <v>#REF!</v>
      </c>
      <c r="AI42" s="299"/>
      <c r="AJ42" s="299" t="e">
        <f>IF(AND('Mapa final'!#REF!="Muy Baja",'Mapa final'!#REF!="Catastrófico"),CONCATENATE("R",'Mapa final'!#REF!),"")</f>
        <v>#REF!</v>
      </c>
      <c r="AK42" s="299"/>
      <c r="AL42" s="299" t="e">
        <f>IF(AND('Mapa final'!#REF!="Muy Baja",'Mapa final'!#REF!="Catastrófico"),CONCATENATE("R",'Mapa final'!#REF!),"")</f>
        <v>#REF!</v>
      </c>
      <c r="AM42" s="300"/>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231"/>
      <c r="C43" s="231"/>
      <c r="D43" s="232"/>
      <c r="E43" s="281"/>
      <c r="F43" s="282"/>
      <c r="G43" s="282"/>
      <c r="H43" s="282"/>
      <c r="I43" s="283"/>
      <c r="J43" s="318"/>
      <c r="K43" s="316"/>
      <c r="L43" s="316"/>
      <c r="M43" s="316"/>
      <c r="N43" s="316"/>
      <c r="O43" s="317"/>
      <c r="P43" s="318"/>
      <c r="Q43" s="316"/>
      <c r="R43" s="316"/>
      <c r="S43" s="316"/>
      <c r="T43" s="316"/>
      <c r="U43" s="317"/>
      <c r="V43" s="307"/>
      <c r="W43" s="308"/>
      <c r="X43" s="308"/>
      <c r="Y43" s="308"/>
      <c r="Z43" s="308"/>
      <c r="AA43" s="309"/>
      <c r="AB43" s="291"/>
      <c r="AC43" s="287"/>
      <c r="AD43" s="287"/>
      <c r="AE43" s="287"/>
      <c r="AF43" s="287"/>
      <c r="AG43" s="288"/>
      <c r="AH43" s="298"/>
      <c r="AI43" s="299"/>
      <c r="AJ43" s="299"/>
      <c r="AK43" s="299"/>
      <c r="AL43" s="299"/>
      <c r="AM43" s="300"/>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231"/>
      <c r="C44" s="231"/>
      <c r="D44" s="232"/>
      <c r="E44" s="281"/>
      <c r="F44" s="282"/>
      <c r="G44" s="282"/>
      <c r="H44" s="282"/>
      <c r="I44" s="283"/>
      <c r="J44" s="318" t="e">
        <f>IF(AND('Mapa final'!#REF!="Muy Baja",'Mapa final'!#REF!="Leve"),CONCATENATE("R",'Mapa final'!#REF!),"")</f>
        <v>#REF!</v>
      </c>
      <c r="K44" s="316"/>
      <c r="L44" s="316" t="str">
        <f>IF(AND('Mapa final'!$H$18="Muy Baja",'Mapa final'!$L$18="Leve"),CONCATENATE("R",'Mapa final'!$A$18),"")</f>
        <v/>
      </c>
      <c r="M44" s="316"/>
      <c r="N44" s="316" t="str">
        <f>IF(AND('Mapa final'!$H$24="Muy Baja",'Mapa final'!$L$24="Leve"),CONCATENATE("R",'Mapa final'!$A$24),"")</f>
        <v/>
      </c>
      <c r="O44" s="317"/>
      <c r="P44" s="318" t="e">
        <f>IF(AND('Mapa final'!#REF!="Muy Baja",'Mapa final'!#REF!="Menor"),CONCATENATE("R",'Mapa final'!#REF!),"")</f>
        <v>#REF!</v>
      </c>
      <c r="Q44" s="316"/>
      <c r="R44" s="316" t="str">
        <f>IF(AND('Mapa final'!$H$18="Muy Baja",'Mapa final'!$L$18="Menor"),CONCATENATE("R",'Mapa final'!$A$18),"")</f>
        <v/>
      </c>
      <c r="S44" s="316"/>
      <c r="T44" s="316" t="str">
        <f>IF(AND('Mapa final'!$H$24="Muy Baja",'Mapa final'!$L$24="Menor"),CONCATENATE("R",'Mapa final'!$A$24),"")</f>
        <v/>
      </c>
      <c r="U44" s="317"/>
      <c r="V44" s="307" t="e">
        <f>IF(AND('Mapa final'!#REF!="Muy Baja",'Mapa final'!#REF!="Moderado"),CONCATENATE("R",'Mapa final'!#REF!),"")</f>
        <v>#REF!</v>
      </c>
      <c r="W44" s="308"/>
      <c r="X44" s="308" t="str">
        <f>IF(AND('Mapa final'!$H$18="Muy Baja",'Mapa final'!$L$18="Moderado"),CONCATENATE("R",'Mapa final'!$A$18),"")</f>
        <v/>
      </c>
      <c r="Y44" s="308"/>
      <c r="Z44" s="308" t="str">
        <f>IF(AND('Mapa final'!$H$24="Muy Baja",'Mapa final'!$L$24="Moderado"),CONCATENATE("R",'Mapa final'!$A$24),"")</f>
        <v/>
      </c>
      <c r="AA44" s="309"/>
      <c r="AB44" s="291" t="e">
        <f>IF(AND('Mapa final'!#REF!="Muy Baja",'Mapa final'!#REF!="Mayor"),CONCATENATE("R",'Mapa final'!#REF!),"")</f>
        <v>#REF!</v>
      </c>
      <c r="AC44" s="287"/>
      <c r="AD44" s="287" t="str">
        <f>IF(AND('Mapa final'!$H$18="Muy Baja",'Mapa final'!$L$18="Mayor"),CONCATENATE("R",'Mapa final'!$A$18),"")</f>
        <v/>
      </c>
      <c r="AE44" s="287"/>
      <c r="AF44" s="287" t="str">
        <f>IF(AND('Mapa final'!$H$24="Muy Baja",'Mapa final'!$L$24="Mayor"),CONCATENATE("R",'Mapa final'!$A$24),"")</f>
        <v/>
      </c>
      <c r="AG44" s="288"/>
      <c r="AH44" s="298" t="e">
        <f>IF(AND('Mapa final'!#REF!="Muy Baja",'Mapa final'!#REF!="Catastrófico"),CONCATENATE("R",'Mapa final'!#REF!),"")</f>
        <v>#REF!</v>
      </c>
      <c r="AI44" s="299"/>
      <c r="AJ44" s="299" t="str">
        <f>IF(AND('Mapa final'!$H$18="Muy Baja",'Mapa final'!$L$18="Catastrófico"),CONCATENATE("R",'Mapa final'!$A$18),"")</f>
        <v/>
      </c>
      <c r="AK44" s="299"/>
      <c r="AL44" s="299" t="str">
        <f>IF(AND('Mapa final'!$H$24="Muy Baja",'Mapa final'!$L$24="Catastrófico"),CONCATENATE("R",'Mapa final'!$A$24),"")</f>
        <v/>
      </c>
      <c r="AM44" s="300"/>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231"/>
      <c r="C45" s="231"/>
      <c r="D45" s="232"/>
      <c r="E45" s="284"/>
      <c r="F45" s="285"/>
      <c r="G45" s="285"/>
      <c r="H45" s="285"/>
      <c r="I45" s="286"/>
      <c r="J45" s="319"/>
      <c r="K45" s="320"/>
      <c r="L45" s="320"/>
      <c r="M45" s="320"/>
      <c r="N45" s="320"/>
      <c r="O45" s="321"/>
      <c r="P45" s="319"/>
      <c r="Q45" s="320"/>
      <c r="R45" s="320"/>
      <c r="S45" s="320"/>
      <c r="T45" s="320"/>
      <c r="U45" s="321"/>
      <c r="V45" s="310"/>
      <c r="W45" s="311"/>
      <c r="X45" s="311"/>
      <c r="Y45" s="311"/>
      <c r="Z45" s="311"/>
      <c r="AA45" s="312"/>
      <c r="AB45" s="295"/>
      <c r="AC45" s="296"/>
      <c r="AD45" s="296"/>
      <c r="AE45" s="296"/>
      <c r="AF45" s="296"/>
      <c r="AG45" s="297"/>
      <c r="AH45" s="301"/>
      <c r="AI45" s="302"/>
      <c r="AJ45" s="302"/>
      <c r="AK45" s="302"/>
      <c r="AL45" s="302"/>
      <c r="AM45" s="303"/>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278" t="s">
        <v>112</v>
      </c>
      <c r="K46" s="279"/>
      <c r="L46" s="279"/>
      <c r="M46" s="279"/>
      <c r="N46" s="279"/>
      <c r="O46" s="280"/>
      <c r="P46" s="278" t="s">
        <v>111</v>
      </c>
      <c r="Q46" s="279"/>
      <c r="R46" s="279"/>
      <c r="S46" s="279"/>
      <c r="T46" s="279"/>
      <c r="U46" s="280"/>
      <c r="V46" s="278" t="s">
        <v>110</v>
      </c>
      <c r="W46" s="279"/>
      <c r="X46" s="279"/>
      <c r="Y46" s="279"/>
      <c r="Z46" s="279"/>
      <c r="AA46" s="280"/>
      <c r="AB46" s="269" t="s">
        <v>109</v>
      </c>
      <c r="AC46" s="294"/>
      <c r="AD46" s="270"/>
      <c r="AE46" s="270"/>
      <c r="AF46" s="270"/>
      <c r="AG46" s="271"/>
      <c r="AH46" s="278" t="s">
        <v>108</v>
      </c>
      <c r="AI46" s="279"/>
      <c r="AJ46" s="279"/>
      <c r="AK46" s="279"/>
      <c r="AL46" s="279"/>
      <c r="AM46" s="280"/>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281"/>
      <c r="K47" s="282"/>
      <c r="L47" s="282"/>
      <c r="M47" s="282"/>
      <c r="N47" s="282"/>
      <c r="O47" s="283"/>
      <c r="P47" s="281"/>
      <c r="Q47" s="282"/>
      <c r="R47" s="282"/>
      <c r="S47" s="282"/>
      <c r="T47" s="282"/>
      <c r="U47" s="283"/>
      <c r="V47" s="281"/>
      <c r="W47" s="282"/>
      <c r="X47" s="282"/>
      <c r="Y47" s="282"/>
      <c r="Z47" s="282"/>
      <c r="AA47" s="283"/>
      <c r="AB47" s="272"/>
      <c r="AC47" s="273"/>
      <c r="AD47" s="273"/>
      <c r="AE47" s="273"/>
      <c r="AF47" s="273"/>
      <c r="AG47" s="274"/>
      <c r="AH47" s="281"/>
      <c r="AI47" s="282"/>
      <c r="AJ47" s="282"/>
      <c r="AK47" s="282"/>
      <c r="AL47" s="282"/>
      <c r="AM47" s="283"/>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281"/>
      <c r="K48" s="282"/>
      <c r="L48" s="282"/>
      <c r="M48" s="282"/>
      <c r="N48" s="282"/>
      <c r="O48" s="283"/>
      <c r="P48" s="281"/>
      <c r="Q48" s="282"/>
      <c r="R48" s="282"/>
      <c r="S48" s="282"/>
      <c r="T48" s="282"/>
      <c r="U48" s="283"/>
      <c r="V48" s="281"/>
      <c r="W48" s="282"/>
      <c r="X48" s="282"/>
      <c r="Y48" s="282"/>
      <c r="Z48" s="282"/>
      <c r="AA48" s="283"/>
      <c r="AB48" s="272"/>
      <c r="AC48" s="273"/>
      <c r="AD48" s="273"/>
      <c r="AE48" s="273"/>
      <c r="AF48" s="273"/>
      <c r="AG48" s="274"/>
      <c r="AH48" s="281"/>
      <c r="AI48" s="282"/>
      <c r="AJ48" s="282"/>
      <c r="AK48" s="282"/>
      <c r="AL48" s="282"/>
      <c r="AM48" s="283"/>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281"/>
      <c r="K49" s="282"/>
      <c r="L49" s="282"/>
      <c r="M49" s="282"/>
      <c r="N49" s="282"/>
      <c r="O49" s="283"/>
      <c r="P49" s="281"/>
      <c r="Q49" s="282"/>
      <c r="R49" s="282"/>
      <c r="S49" s="282"/>
      <c r="T49" s="282"/>
      <c r="U49" s="283"/>
      <c r="V49" s="281"/>
      <c r="W49" s="282"/>
      <c r="X49" s="282"/>
      <c r="Y49" s="282"/>
      <c r="Z49" s="282"/>
      <c r="AA49" s="283"/>
      <c r="AB49" s="272"/>
      <c r="AC49" s="273"/>
      <c r="AD49" s="273"/>
      <c r="AE49" s="273"/>
      <c r="AF49" s="273"/>
      <c r="AG49" s="274"/>
      <c r="AH49" s="281"/>
      <c r="AI49" s="282"/>
      <c r="AJ49" s="282"/>
      <c r="AK49" s="282"/>
      <c r="AL49" s="282"/>
      <c r="AM49" s="283"/>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281"/>
      <c r="K50" s="282"/>
      <c r="L50" s="282"/>
      <c r="M50" s="282"/>
      <c r="N50" s="282"/>
      <c r="O50" s="283"/>
      <c r="P50" s="281"/>
      <c r="Q50" s="282"/>
      <c r="R50" s="282"/>
      <c r="S50" s="282"/>
      <c r="T50" s="282"/>
      <c r="U50" s="283"/>
      <c r="V50" s="281"/>
      <c r="W50" s="282"/>
      <c r="X50" s="282"/>
      <c r="Y50" s="282"/>
      <c r="Z50" s="282"/>
      <c r="AA50" s="283"/>
      <c r="AB50" s="272"/>
      <c r="AC50" s="273"/>
      <c r="AD50" s="273"/>
      <c r="AE50" s="273"/>
      <c r="AF50" s="273"/>
      <c r="AG50" s="274"/>
      <c r="AH50" s="281"/>
      <c r="AI50" s="282"/>
      <c r="AJ50" s="282"/>
      <c r="AK50" s="282"/>
      <c r="AL50" s="282"/>
      <c r="AM50" s="283"/>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284"/>
      <c r="K51" s="285"/>
      <c r="L51" s="285"/>
      <c r="M51" s="285"/>
      <c r="N51" s="285"/>
      <c r="O51" s="286"/>
      <c r="P51" s="284"/>
      <c r="Q51" s="285"/>
      <c r="R51" s="285"/>
      <c r="S51" s="285"/>
      <c r="T51" s="285"/>
      <c r="U51" s="286"/>
      <c r="V51" s="284"/>
      <c r="W51" s="285"/>
      <c r="X51" s="285"/>
      <c r="Y51" s="285"/>
      <c r="Z51" s="285"/>
      <c r="AA51" s="286"/>
      <c r="AB51" s="275"/>
      <c r="AC51" s="276"/>
      <c r="AD51" s="276"/>
      <c r="AE51" s="276"/>
      <c r="AF51" s="276"/>
      <c r="AG51" s="277"/>
      <c r="AH51" s="284"/>
      <c r="AI51" s="285"/>
      <c r="AJ51" s="285"/>
      <c r="AK51" s="285"/>
      <c r="AL51" s="285"/>
      <c r="AM51" s="286"/>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R26" sqref="R26:AA35"/>
    </sheetView>
  </sheetViews>
  <sheetFormatPr baseColWidth="10" defaultRowHeight="15" x14ac:dyDescent="0.25"/>
  <cols>
    <col min="2" max="18" width="5.7109375" customWidth="1" collapsed="1"/>
    <col min="19" max="19" width="8.42578125" customWidth="1" collapsed="1"/>
    <col min="20" max="23" width="5.7109375" customWidth="1" collapsed="1"/>
    <col min="24" max="24" width="8.42578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42578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51" t="s">
        <v>157</v>
      </c>
      <c r="C2" s="352"/>
      <c r="D2" s="352"/>
      <c r="E2" s="352"/>
      <c r="F2" s="352"/>
      <c r="G2" s="352"/>
      <c r="H2" s="352"/>
      <c r="I2" s="352"/>
      <c r="J2" s="293" t="s">
        <v>2</v>
      </c>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52"/>
      <c r="C3" s="352"/>
      <c r="D3" s="352"/>
      <c r="E3" s="352"/>
      <c r="F3" s="352"/>
      <c r="G3" s="352"/>
      <c r="H3" s="352"/>
      <c r="I3" s="352"/>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52"/>
      <c r="C4" s="352"/>
      <c r="D4" s="352"/>
      <c r="E4" s="352"/>
      <c r="F4" s="352"/>
      <c r="G4" s="352"/>
      <c r="H4" s="352"/>
      <c r="I4" s="352"/>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231" t="s">
        <v>4</v>
      </c>
      <c r="C6" s="231"/>
      <c r="D6" s="232"/>
      <c r="E6" s="335" t="s">
        <v>116</v>
      </c>
      <c r="F6" s="336"/>
      <c r="G6" s="336"/>
      <c r="H6" s="336"/>
      <c r="I6" s="353"/>
      <c r="J6" s="32" t="str">
        <f>IF(AND('Mapa final'!$Y$13="Muy Alta",'Mapa final'!$AA$13="Leve"),CONCATENATE("R1C",'Mapa final'!$O$13),"")</f>
        <v/>
      </c>
      <c r="K6" s="33" t="str">
        <f>IF(AND('Mapa final'!$Y$14="Muy Alta",'Mapa final'!$AA$14="Leve"),CONCATENATE("R1C",'Mapa final'!$O$14),"")</f>
        <v/>
      </c>
      <c r="L6" s="33" t="str">
        <f>IF(AND('Mapa final'!$Y$15="Muy Alta",'Mapa final'!$AA$15="Leve"),CONCATENATE("R1C",'Mapa final'!$O$15),"")</f>
        <v/>
      </c>
      <c r="M6" s="33" t="e">
        <f>IF(AND('Mapa final'!#REF!="Muy Alta",'Mapa final'!#REF!="Leve"),CONCATENATE("R1C",'Mapa final'!#REF!),"")</f>
        <v>#REF!</v>
      </c>
      <c r="N6" s="33" t="e">
        <f>IF(AND('Mapa final'!#REF!="Muy Alta",'Mapa final'!#REF!="Leve"),CONCATENATE("R1C",'Mapa final'!#REF!),"")</f>
        <v>#REF!</v>
      </c>
      <c r="O6" s="34" t="e">
        <f>IF(AND('Mapa final'!#REF!="Muy Alta",'Mapa final'!#REF!="Leve"),CONCATENATE("R1C",'Mapa final'!#REF!),"")</f>
        <v>#REF!</v>
      </c>
      <c r="P6" s="32" t="str">
        <f>IF(AND('Mapa final'!$Y$13="Muy Alta",'Mapa final'!$AA$13="Menor"),CONCATENATE("R1C",'Mapa final'!$O$13),"")</f>
        <v/>
      </c>
      <c r="Q6" s="33" t="str">
        <f>IF(AND('Mapa final'!$Y$14="Muy Alta",'Mapa final'!$AA$14="Menor"),CONCATENATE("R1C",'Mapa final'!$O$14),"")</f>
        <v/>
      </c>
      <c r="R6" s="33" t="str">
        <f>IF(AND('Mapa final'!$Y$15="Muy Alta",'Mapa final'!$AA$15="Menor"),CONCATENATE("R1C",'Mapa final'!$O$15),"")</f>
        <v/>
      </c>
      <c r="S6" s="33" t="e">
        <f>IF(AND('Mapa final'!#REF!="Muy Alta",'Mapa final'!#REF!="Menor"),CONCATENATE("R1C",'Mapa final'!#REF!),"")</f>
        <v>#REF!</v>
      </c>
      <c r="T6" s="33" t="e">
        <f>IF(AND('Mapa final'!#REF!="Muy Alta",'Mapa final'!#REF!="Menor"),CONCATENATE("R1C",'Mapa final'!#REF!),"")</f>
        <v>#REF!</v>
      </c>
      <c r="U6" s="34" t="e">
        <f>IF(AND('Mapa final'!#REF!="Muy Alta",'Mapa final'!#REF!="Menor"),CONCATENATE("R1C",'Mapa final'!#REF!),"")</f>
        <v>#REF!</v>
      </c>
      <c r="V6" s="32" t="str">
        <f>IF(AND('Mapa final'!$Y$13="Muy Alta",'Mapa final'!$AA$13="Moderado"),CONCATENATE("R1C",'Mapa final'!$O$13),"")</f>
        <v/>
      </c>
      <c r="W6" s="33" t="str">
        <f>IF(AND('Mapa final'!$Y$14="Muy Alta",'Mapa final'!$AA$14="Moderado"),CONCATENATE("R1C",'Mapa final'!$O$14),"")</f>
        <v/>
      </c>
      <c r="X6" s="33" t="str">
        <f>IF(AND('Mapa final'!$Y$15="Muy Alta",'Mapa final'!$AA$15="Moderado"),CONCATENATE("R1C",'Mapa final'!$O$15),"")</f>
        <v/>
      </c>
      <c r="Y6" s="33" t="e">
        <f>IF(AND('Mapa final'!#REF!="Muy Alta",'Mapa final'!#REF!="Moderado"),CONCATENATE("R1C",'Mapa final'!#REF!),"")</f>
        <v>#REF!</v>
      </c>
      <c r="Z6" s="33" t="e">
        <f>IF(AND('Mapa final'!#REF!="Muy Alta",'Mapa final'!#REF!="Moderado"),CONCATENATE("R1C",'Mapa final'!#REF!),"")</f>
        <v>#REF!</v>
      </c>
      <c r="AA6" s="34" t="e">
        <f>IF(AND('Mapa final'!#REF!="Muy Alta",'Mapa final'!#REF!="Moderado"),CONCATENATE("R1C",'Mapa final'!#REF!),"")</f>
        <v>#REF!</v>
      </c>
      <c r="AB6" s="32" t="str">
        <f>IF(AND('Mapa final'!$Y$13="Muy Alta",'Mapa final'!$AA$13="Mayor"),CONCATENATE("R1C",'Mapa final'!$O$13),"")</f>
        <v/>
      </c>
      <c r="AC6" s="33" t="str">
        <f>IF(AND('Mapa final'!$Y$14="Muy Alta",'Mapa final'!$AA$14="Mayor"),CONCATENATE("R1C",'Mapa final'!$O$14),"")</f>
        <v/>
      </c>
      <c r="AD6" s="33" t="str">
        <f>IF(AND('Mapa final'!$Y$15="Muy Alta",'Mapa final'!$AA$15="Mayor"),CONCATENATE("R1C",'Mapa final'!$O$15),"")</f>
        <v/>
      </c>
      <c r="AE6" s="33" t="e">
        <f>IF(AND('Mapa final'!#REF!="Muy Alta",'Mapa final'!#REF!="Mayor"),CONCATENATE("R1C",'Mapa final'!#REF!),"")</f>
        <v>#REF!</v>
      </c>
      <c r="AF6" s="33" t="e">
        <f>IF(AND('Mapa final'!#REF!="Muy Alta",'Mapa final'!#REF!="Mayor"),CONCATENATE("R1C",'Mapa final'!#REF!),"")</f>
        <v>#REF!</v>
      </c>
      <c r="AG6" s="34" t="e">
        <f>IF(AND('Mapa final'!#REF!="Muy Alta",'Mapa final'!#REF!="Mayor"),CONCATENATE("R1C",'Mapa final'!#REF!),"")</f>
        <v>#REF!</v>
      </c>
      <c r="AH6" s="35" t="str">
        <f>IF(AND('Mapa final'!$Y$13="Muy Alta",'Mapa final'!$AA$13="Catastrófico"),CONCATENATE("R1C",'Mapa final'!$O$13),"")</f>
        <v/>
      </c>
      <c r="AI6" s="36" t="str">
        <f>IF(AND('Mapa final'!$Y$14="Muy Alta",'Mapa final'!$AA$14="Catastrófico"),CONCATENATE("R1C",'Mapa final'!$O$14),"")</f>
        <v/>
      </c>
      <c r="AJ6" s="36" t="str">
        <f>IF(AND('Mapa final'!$Y$15="Muy Alta",'Mapa final'!$AA$15="Catastrófico"),CONCATENATE("R1C",'Mapa final'!$O$15),"")</f>
        <v/>
      </c>
      <c r="AK6" s="36" t="e">
        <f>IF(AND('Mapa final'!#REF!="Muy Alta",'Mapa final'!#REF!="Catastrófico"),CONCATENATE("R1C",'Mapa final'!#REF!),"")</f>
        <v>#REF!</v>
      </c>
      <c r="AL6" s="36" t="e">
        <f>IF(AND('Mapa final'!#REF!="Muy Alta",'Mapa final'!#REF!="Catastrófico"),CONCATENATE("R1C",'Mapa final'!#REF!),"")</f>
        <v>#REF!</v>
      </c>
      <c r="AM6" s="37" t="e">
        <f>IF(AND('Mapa final'!#REF!="Muy Alta",'Mapa final'!#REF!="Catastrófico"),CONCATENATE("R1C",'Mapa final'!#REF!),"")</f>
        <v>#REF!</v>
      </c>
      <c r="AN6" s="69"/>
      <c r="AO6" s="342" t="s">
        <v>79</v>
      </c>
      <c r="AP6" s="343"/>
      <c r="AQ6" s="343"/>
      <c r="AR6" s="343"/>
      <c r="AS6" s="343"/>
      <c r="AT6" s="344"/>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231"/>
      <c r="C7" s="231"/>
      <c r="D7" s="232"/>
      <c r="E7" s="339"/>
      <c r="F7" s="338"/>
      <c r="G7" s="338"/>
      <c r="H7" s="338"/>
      <c r="I7" s="354"/>
      <c r="J7" s="38" t="str">
        <f>IF(AND('Mapa final'!$Y$16="Muy Alta",'Mapa final'!$AA$16="Leve"),CONCATENATE("R2C",'Mapa final'!$O$16),"")</f>
        <v/>
      </c>
      <c r="K7" s="39" t="str">
        <f>IF(AND('Mapa final'!$Y$17="Muy Alta",'Mapa final'!$AA$17="Leve"),CONCATENATE("R2C",'Mapa final'!$O$17),"")</f>
        <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str">
        <f>IF(AND('Mapa final'!$Y$16="Muy Alta",'Mapa final'!$AA$16="Menor"),CONCATENATE("R2C",'Mapa final'!$O$16),"")</f>
        <v/>
      </c>
      <c r="Q7" s="39" t="str">
        <f>IF(AND('Mapa final'!$Y$17="Muy Alta",'Mapa final'!$AA$17="Menor"),CONCATENATE("R2C",'Mapa final'!$O$17),"")</f>
        <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str">
        <f>IF(AND('Mapa final'!$Y$16="Muy Alta",'Mapa final'!$AA$16="Moderado"),CONCATENATE("R2C",'Mapa final'!$O$16),"")</f>
        <v/>
      </c>
      <c r="W7" s="39" t="str">
        <f>IF(AND('Mapa final'!$Y$17="Muy Alta",'Mapa final'!$AA$17="Moderado"),CONCATENATE("R2C",'Mapa final'!$O$17),"")</f>
        <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str">
        <f>IF(AND('Mapa final'!$Y$16="Muy Alta",'Mapa final'!$AA$16="Mayor"),CONCATENATE("R2C",'Mapa final'!$O$16),"")</f>
        <v/>
      </c>
      <c r="AC7" s="39" t="str">
        <f>IF(AND('Mapa final'!$Y$17="Muy Alta",'Mapa final'!$AA$17="Mayor"),CONCATENATE("R2C",'Mapa final'!$O$17),"")</f>
        <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str">
        <f>IF(AND('Mapa final'!$Y$16="Muy Alta",'Mapa final'!$AA$16="Catastrófico"),CONCATENATE("R2C",'Mapa final'!$O$16),"")</f>
        <v/>
      </c>
      <c r="AI7" s="42" t="str">
        <f>IF(AND('Mapa final'!$Y$17="Muy Alta",'Mapa final'!$AA$17="Catastrófico"),CONCATENATE("R2C",'Mapa final'!$O$17),"")</f>
        <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45"/>
      <c r="AP7" s="346"/>
      <c r="AQ7" s="346"/>
      <c r="AR7" s="346"/>
      <c r="AS7" s="346"/>
      <c r="AT7" s="347"/>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231"/>
      <c r="C8" s="231"/>
      <c r="D8" s="232"/>
      <c r="E8" s="339"/>
      <c r="F8" s="338"/>
      <c r="G8" s="338"/>
      <c r="H8" s="338"/>
      <c r="I8" s="354"/>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45"/>
      <c r="AP8" s="346"/>
      <c r="AQ8" s="346"/>
      <c r="AR8" s="346"/>
      <c r="AS8" s="346"/>
      <c r="AT8" s="347"/>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231"/>
      <c r="C9" s="231"/>
      <c r="D9" s="232"/>
      <c r="E9" s="339"/>
      <c r="F9" s="338"/>
      <c r="G9" s="338"/>
      <c r="H9" s="338"/>
      <c r="I9" s="354"/>
      <c r="J9" s="38" t="e">
        <f>IF(AND('Mapa final'!#REF!="Muy Alta",'Mapa final'!#REF!="Leve"),CONCATENATE("R4C",'Mapa final'!#REF!),"")</f>
        <v>#REF!</v>
      </c>
      <c r="K9" s="39" t="e">
        <f>IF(AND('Mapa final'!#REF!="Muy Alta",'Mapa final'!#REF!="Leve"),CONCATENATE("R4C",'Mapa final'!#REF!),"")</f>
        <v>#REF!</v>
      </c>
      <c r="L9" s="39" t="e">
        <f>IF(AND('Mapa final'!#REF!="Muy Alta",'Mapa final'!#REF!="Leve"),CONCATENATE("R4C",'Mapa final'!#REF!),"")</f>
        <v>#REF!</v>
      </c>
      <c r="M9" s="39" t="e">
        <f>IF(AND('Mapa final'!#REF!="Muy Alta",'Mapa final'!#REF!="Leve"),CONCATENATE("R4C",'Mapa final'!#REF!),"")</f>
        <v>#REF!</v>
      </c>
      <c r="N9" s="39" t="e">
        <f>IF(AND('Mapa final'!#REF!="Muy Alta",'Mapa final'!#REF!="Leve"),CONCATENATE("R4C",'Mapa final'!#REF!),"")</f>
        <v>#REF!</v>
      </c>
      <c r="O9" s="40" t="e">
        <f>IF(AND('Mapa final'!#REF!="Muy Alta",'Mapa final'!#REF!="Leve"),CONCATENATE("R4C",'Mapa final'!#REF!),"")</f>
        <v>#REF!</v>
      </c>
      <c r="P9" s="38" t="e">
        <f>IF(AND('Mapa final'!#REF!="Muy Alta",'Mapa final'!#REF!="Menor"),CONCATENATE("R4C",'Mapa final'!#REF!),"")</f>
        <v>#REF!</v>
      </c>
      <c r="Q9" s="39" t="e">
        <f>IF(AND('Mapa final'!#REF!="Muy Alta",'Mapa final'!#REF!="Menor"),CONCATENATE("R4C",'Mapa final'!#REF!),"")</f>
        <v>#REF!</v>
      </c>
      <c r="R9" s="39" t="e">
        <f>IF(AND('Mapa final'!#REF!="Muy Alta",'Mapa final'!#REF!="Menor"),CONCATENATE("R4C",'Mapa final'!#REF!),"")</f>
        <v>#REF!</v>
      </c>
      <c r="S9" s="39" t="e">
        <f>IF(AND('Mapa final'!#REF!="Muy Alta",'Mapa final'!#REF!="Menor"),CONCATENATE("R4C",'Mapa final'!#REF!),"")</f>
        <v>#REF!</v>
      </c>
      <c r="T9" s="39" t="e">
        <f>IF(AND('Mapa final'!#REF!="Muy Alta",'Mapa final'!#REF!="Menor"),CONCATENATE("R4C",'Mapa final'!#REF!),"")</f>
        <v>#REF!</v>
      </c>
      <c r="U9" s="40" t="e">
        <f>IF(AND('Mapa final'!#REF!="Muy Alta",'Mapa final'!#REF!="Menor"),CONCATENATE("R4C",'Mapa final'!#REF!),"")</f>
        <v>#REF!</v>
      </c>
      <c r="V9" s="38" t="e">
        <f>IF(AND('Mapa final'!#REF!="Muy Alta",'Mapa final'!#REF!="Moderado"),CONCATENATE("R4C",'Mapa final'!#REF!),"")</f>
        <v>#REF!</v>
      </c>
      <c r="W9" s="39" t="e">
        <f>IF(AND('Mapa final'!#REF!="Muy Alta",'Mapa final'!#REF!="Moderado"),CONCATENATE("R4C",'Mapa final'!#REF!),"")</f>
        <v>#REF!</v>
      </c>
      <c r="X9" s="39" t="e">
        <f>IF(AND('Mapa final'!#REF!="Muy Alta",'Mapa final'!#REF!="Moderado"),CONCATENATE("R4C",'Mapa final'!#REF!),"")</f>
        <v>#REF!</v>
      </c>
      <c r="Y9" s="39" t="e">
        <f>IF(AND('Mapa final'!#REF!="Muy Alta",'Mapa final'!#REF!="Moderado"),CONCATENATE("R4C",'Mapa final'!#REF!),"")</f>
        <v>#REF!</v>
      </c>
      <c r="Z9" s="39" t="e">
        <f>IF(AND('Mapa final'!#REF!="Muy Alta",'Mapa final'!#REF!="Moderado"),CONCATENATE("R4C",'Mapa final'!#REF!),"")</f>
        <v>#REF!</v>
      </c>
      <c r="AA9" s="40" t="e">
        <f>IF(AND('Mapa final'!#REF!="Muy Alta",'Mapa final'!#REF!="Moderado"),CONCATENATE("R4C",'Mapa final'!#REF!),"")</f>
        <v>#REF!</v>
      </c>
      <c r="AB9" s="38" t="e">
        <f>IF(AND('Mapa final'!#REF!="Muy Alta",'Mapa final'!#REF!="Mayor"),CONCATENATE("R4C",'Mapa final'!#REF!),"")</f>
        <v>#REF!</v>
      </c>
      <c r="AC9" s="39" t="e">
        <f>IF(AND('Mapa final'!#REF!="Muy Alta",'Mapa final'!#REF!="Mayor"),CONCATENATE("R4C",'Mapa final'!#REF!),"")</f>
        <v>#REF!</v>
      </c>
      <c r="AD9" s="39" t="e">
        <f>IF(AND('Mapa final'!#REF!="Muy Alta",'Mapa final'!#REF!="Mayor"),CONCATENATE("R4C",'Mapa final'!#REF!),"")</f>
        <v>#REF!</v>
      </c>
      <c r="AE9" s="39" t="e">
        <f>IF(AND('Mapa final'!#REF!="Muy Alta",'Mapa final'!#REF!="Mayor"),CONCATENATE("R4C",'Mapa final'!#REF!),"")</f>
        <v>#REF!</v>
      </c>
      <c r="AF9" s="39" t="e">
        <f>IF(AND('Mapa final'!#REF!="Muy Alta",'Mapa final'!#REF!="Mayor"),CONCATENATE("R4C",'Mapa final'!#REF!),"")</f>
        <v>#REF!</v>
      </c>
      <c r="AG9" s="40" t="e">
        <f>IF(AND('Mapa final'!#REF!="Muy Alta",'Mapa final'!#REF!="Mayor"),CONCATENATE("R4C",'Mapa final'!#REF!),"")</f>
        <v>#REF!</v>
      </c>
      <c r="AH9" s="41" t="e">
        <f>IF(AND('Mapa final'!#REF!="Muy Alta",'Mapa final'!#REF!="Catastrófico"),CONCATENATE("R4C",'Mapa final'!#REF!),"")</f>
        <v>#REF!</v>
      </c>
      <c r="AI9" s="42" t="e">
        <f>IF(AND('Mapa final'!#REF!="Muy Alta",'Mapa final'!#REF!="Catastrófico"),CONCATENATE("R4C",'Mapa final'!#REF!),"")</f>
        <v>#REF!</v>
      </c>
      <c r="AJ9" s="42" t="e">
        <f>IF(AND('Mapa final'!#REF!="Muy Alta",'Mapa final'!#REF!="Catastrófico"),CONCATENATE("R4C",'Mapa final'!#REF!),"")</f>
        <v>#REF!</v>
      </c>
      <c r="AK9" s="42" t="e">
        <f>IF(AND('Mapa final'!#REF!="Muy Alta",'Mapa final'!#REF!="Catastrófico"),CONCATENATE("R4C",'Mapa final'!#REF!),"")</f>
        <v>#REF!</v>
      </c>
      <c r="AL9" s="42" t="e">
        <f>IF(AND('Mapa final'!#REF!="Muy Alta",'Mapa final'!#REF!="Catastrófico"),CONCATENATE("R4C",'Mapa final'!#REF!),"")</f>
        <v>#REF!</v>
      </c>
      <c r="AM9" s="43" t="e">
        <f>IF(AND('Mapa final'!#REF!="Muy Alta",'Mapa final'!#REF!="Catastrófico"),CONCATENATE("R4C",'Mapa final'!#REF!),"")</f>
        <v>#REF!</v>
      </c>
      <c r="AN9" s="69"/>
      <c r="AO9" s="345"/>
      <c r="AP9" s="346"/>
      <c r="AQ9" s="346"/>
      <c r="AR9" s="346"/>
      <c r="AS9" s="346"/>
      <c r="AT9" s="347"/>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231"/>
      <c r="C10" s="231"/>
      <c r="D10" s="232"/>
      <c r="E10" s="339"/>
      <c r="F10" s="338"/>
      <c r="G10" s="338"/>
      <c r="H10" s="338"/>
      <c r="I10" s="354"/>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345"/>
      <c r="AP10" s="346"/>
      <c r="AQ10" s="346"/>
      <c r="AR10" s="346"/>
      <c r="AS10" s="346"/>
      <c r="AT10" s="347"/>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231"/>
      <c r="C11" s="231"/>
      <c r="D11" s="232"/>
      <c r="E11" s="339"/>
      <c r="F11" s="338"/>
      <c r="G11" s="338"/>
      <c r="H11" s="338"/>
      <c r="I11" s="354"/>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45"/>
      <c r="AP11" s="346"/>
      <c r="AQ11" s="346"/>
      <c r="AR11" s="346"/>
      <c r="AS11" s="346"/>
      <c r="AT11" s="347"/>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231"/>
      <c r="C12" s="231"/>
      <c r="D12" s="232"/>
      <c r="E12" s="339"/>
      <c r="F12" s="338"/>
      <c r="G12" s="338"/>
      <c r="H12" s="338"/>
      <c r="I12" s="354"/>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45"/>
      <c r="AP12" s="346"/>
      <c r="AQ12" s="346"/>
      <c r="AR12" s="346"/>
      <c r="AS12" s="346"/>
      <c r="AT12" s="347"/>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231"/>
      <c r="C13" s="231"/>
      <c r="D13" s="232"/>
      <c r="E13" s="339"/>
      <c r="F13" s="338"/>
      <c r="G13" s="338"/>
      <c r="H13" s="338"/>
      <c r="I13" s="354"/>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45"/>
      <c r="AP13" s="346"/>
      <c r="AQ13" s="346"/>
      <c r="AR13" s="346"/>
      <c r="AS13" s="346"/>
      <c r="AT13" s="347"/>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231"/>
      <c r="C14" s="231"/>
      <c r="D14" s="232"/>
      <c r="E14" s="339"/>
      <c r="F14" s="338"/>
      <c r="G14" s="338"/>
      <c r="H14" s="338"/>
      <c r="I14" s="354"/>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45"/>
      <c r="AP14" s="346"/>
      <c r="AQ14" s="346"/>
      <c r="AR14" s="346"/>
      <c r="AS14" s="346"/>
      <c r="AT14" s="347"/>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231"/>
      <c r="C15" s="231"/>
      <c r="D15" s="232"/>
      <c r="E15" s="340"/>
      <c r="F15" s="341"/>
      <c r="G15" s="341"/>
      <c r="H15" s="341"/>
      <c r="I15" s="355"/>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48"/>
      <c r="AP15" s="349"/>
      <c r="AQ15" s="349"/>
      <c r="AR15" s="349"/>
      <c r="AS15" s="349"/>
      <c r="AT15" s="350"/>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231"/>
      <c r="C16" s="231"/>
      <c r="D16" s="232"/>
      <c r="E16" s="335" t="s">
        <v>115</v>
      </c>
      <c r="F16" s="336"/>
      <c r="G16" s="336"/>
      <c r="H16" s="336"/>
      <c r="I16" s="336"/>
      <c r="J16" s="50" t="str">
        <f>IF(AND('Mapa final'!$Y$13="Alta",'Mapa final'!$AA$13="Leve"),CONCATENATE("R1C",'Mapa final'!$O$13),"")</f>
        <v/>
      </c>
      <c r="K16" s="51" t="str">
        <f>IF(AND('Mapa final'!$Y$14="Alta",'Mapa final'!$AA$14="Leve"),CONCATENATE("R1C",'Mapa final'!$O$14),"")</f>
        <v/>
      </c>
      <c r="L16" s="51" t="str">
        <f>IF(AND('Mapa final'!$Y$15="Alta",'Mapa final'!$AA$15="Leve"),CONCATENATE("R1C",'Mapa final'!$O$15),"")</f>
        <v/>
      </c>
      <c r="M16" s="51" t="e">
        <f>IF(AND('Mapa final'!#REF!="Alta",'Mapa final'!#REF!="Leve"),CONCATENATE("R1C",'Mapa final'!#REF!),"")</f>
        <v>#REF!</v>
      </c>
      <c r="N16" s="51" t="e">
        <f>IF(AND('Mapa final'!#REF!="Alta",'Mapa final'!#REF!="Leve"),CONCATENATE("R1C",'Mapa final'!#REF!),"")</f>
        <v>#REF!</v>
      </c>
      <c r="O16" s="52" t="e">
        <f>IF(AND('Mapa final'!#REF!="Alta",'Mapa final'!#REF!="Leve"),CONCATENATE("R1C",'Mapa final'!#REF!),"")</f>
        <v>#REF!</v>
      </c>
      <c r="P16" s="50" t="str">
        <f>IF(AND('Mapa final'!$Y$13="Alta",'Mapa final'!$AA$13="Menor"),CONCATENATE("R1C",'Mapa final'!$O$13),"")</f>
        <v/>
      </c>
      <c r="Q16" s="51" t="str">
        <f>IF(AND('Mapa final'!$Y$14="Alta",'Mapa final'!$AA$14="Menor"),CONCATENATE("R1C",'Mapa final'!$O$14),"")</f>
        <v/>
      </c>
      <c r="R16" s="51" t="str">
        <f>IF(AND('Mapa final'!$Y$15="Alta",'Mapa final'!$AA$15="Menor"),CONCATENATE("R1C",'Mapa final'!$O$15),"")</f>
        <v/>
      </c>
      <c r="S16" s="51" t="e">
        <f>IF(AND('Mapa final'!#REF!="Alta",'Mapa final'!#REF!="Menor"),CONCATENATE("R1C",'Mapa final'!#REF!),"")</f>
        <v>#REF!</v>
      </c>
      <c r="T16" s="51" t="e">
        <f>IF(AND('Mapa final'!#REF!="Alta",'Mapa final'!#REF!="Menor"),CONCATENATE("R1C",'Mapa final'!#REF!),"")</f>
        <v>#REF!</v>
      </c>
      <c r="U16" s="52" t="e">
        <f>IF(AND('Mapa final'!#REF!="Alta",'Mapa final'!#REF!="Menor"),CONCATENATE("R1C",'Mapa final'!#REF!),"")</f>
        <v>#REF!</v>
      </c>
      <c r="V16" s="32" t="str">
        <f>IF(AND('Mapa final'!$Y$13="Alta",'Mapa final'!$AA$13="Moderado"),CONCATENATE("R1C",'Mapa final'!$O$13),"")</f>
        <v/>
      </c>
      <c r="W16" s="33" t="str">
        <f>IF(AND('Mapa final'!$Y$14="Alta",'Mapa final'!$AA$14="Moderado"),CONCATENATE("R1C",'Mapa final'!$O$14),"")</f>
        <v/>
      </c>
      <c r="X16" s="33" t="str">
        <f>IF(AND('Mapa final'!$Y$15="Alta",'Mapa final'!$AA$15="Moderado"),CONCATENATE("R1C",'Mapa final'!$O$15),"")</f>
        <v/>
      </c>
      <c r="Y16" s="33" t="e">
        <f>IF(AND('Mapa final'!#REF!="Alta",'Mapa final'!#REF!="Moderado"),CONCATENATE("R1C",'Mapa final'!#REF!),"")</f>
        <v>#REF!</v>
      </c>
      <c r="Z16" s="33" t="e">
        <f>IF(AND('Mapa final'!#REF!="Alta",'Mapa final'!#REF!="Moderado"),CONCATENATE("R1C",'Mapa final'!#REF!),"")</f>
        <v>#REF!</v>
      </c>
      <c r="AA16" s="34" t="e">
        <f>IF(AND('Mapa final'!#REF!="Alta",'Mapa final'!#REF!="Moderado"),CONCATENATE("R1C",'Mapa final'!#REF!),"")</f>
        <v>#REF!</v>
      </c>
      <c r="AB16" s="32" t="str">
        <f>IF(AND('Mapa final'!$Y$13="Alta",'Mapa final'!$AA$13="Mayor"),CONCATENATE("R1C",'Mapa final'!$O$13),"")</f>
        <v/>
      </c>
      <c r="AC16" s="33" t="str">
        <f>IF(AND('Mapa final'!$Y$14="Alta",'Mapa final'!$AA$14="Mayor"),CONCATENATE("R1C",'Mapa final'!$O$14),"")</f>
        <v/>
      </c>
      <c r="AD16" s="33" t="str">
        <f>IF(AND('Mapa final'!$Y$15="Alta",'Mapa final'!$AA$15="Mayor"),CONCATENATE("R1C",'Mapa final'!$O$15),"")</f>
        <v/>
      </c>
      <c r="AE16" s="33" t="e">
        <f>IF(AND('Mapa final'!#REF!="Alta",'Mapa final'!#REF!="Mayor"),CONCATENATE("R1C",'Mapa final'!#REF!),"")</f>
        <v>#REF!</v>
      </c>
      <c r="AF16" s="33" t="e">
        <f>IF(AND('Mapa final'!#REF!="Alta",'Mapa final'!#REF!="Mayor"),CONCATENATE("R1C",'Mapa final'!#REF!),"")</f>
        <v>#REF!</v>
      </c>
      <c r="AG16" s="34" t="e">
        <f>IF(AND('Mapa final'!#REF!="Alta",'Mapa final'!#REF!="Mayor"),CONCATENATE("R1C",'Mapa final'!#REF!),"")</f>
        <v>#REF!</v>
      </c>
      <c r="AH16" s="35" t="str">
        <f>IF(AND('Mapa final'!$Y$13="Alta",'Mapa final'!$AA$13="Catastrófico"),CONCATENATE("R1C",'Mapa final'!$O$13),"")</f>
        <v/>
      </c>
      <c r="AI16" s="36" t="str">
        <f>IF(AND('Mapa final'!$Y$14="Alta",'Mapa final'!$AA$14="Catastrófico"),CONCATENATE("R1C",'Mapa final'!$O$14),"")</f>
        <v/>
      </c>
      <c r="AJ16" s="36" t="str">
        <f>IF(AND('Mapa final'!$Y$15="Alta",'Mapa final'!$AA$15="Catastrófico"),CONCATENATE("R1C",'Mapa final'!$O$15),"")</f>
        <v/>
      </c>
      <c r="AK16" s="36" t="e">
        <f>IF(AND('Mapa final'!#REF!="Alta",'Mapa final'!#REF!="Catastrófico"),CONCATENATE("R1C",'Mapa final'!#REF!),"")</f>
        <v>#REF!</v>
      </c>
      <c r="AL16" s="36" t="e">
        <f>IF(AND('Mapa final'!#REF!="Alta",'Mapa final'!#REF!="Catastrófico"),CONCATENATE("R1C",'Mapa final'!#REF!),"")</f>
        <v>#REF!</v>
      </c>
      <c r="AM16" s="37" t="e">
        <f>IF(AND('Mapa final'!#REF!="Alta",'Mapa final'!#REF!="Catastrófico"),CONCATENATE("R1C",'Mapa final'!#REF!),"")</f>
        <v>#REF!</v>
      </c>
      <c r="AN16" s="69"/>
      <c r="AO16" s="326" t="s">
        <v>80</v>
      </c>
      <c r="AP16" s="327"/>
      <c r="AQ16" s="327"/>
      <c r="AR16" s="327"/>
      <c r="AS16" s="327"/>
      <c r="AT16" s="328"/>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231"/>
      <c r="C17" s="231"/>
      <c r="D17" s="232"/>
      <c r="E17" s="337"/>
      <c r="F17" s="338"/>
      <c r="G17" s="338"/>
      <c r="H17" s="338"/>
      <c r="I17" s="338"/>
      <c r="J17" s="53" t="str">
        <f>IF(AND('Mapa final'!$Y$16="Alta",'Mapa final'!$AA$16="Leve"),CONCATENATE("R2C",'Mapa final'!$O$16),"")</f>
        <v/>
      </c>
      <c r="K17" s="54" t="str">
        <f>IF(AND('Mapa final'!$Y$17="Alta",'Mapa final'!$AA$17="Leve"),CONCATENATE("R2C",'Mapa final'!$O$17),"")</f>
        <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str">
        <f>IF(AND('Mapa final'!$Y$16="Alta",'Mapa final'!$AA$16="Menor"),CONCATENATE("R2C",'Mapa final'!$O$16),"")</f>
        <v/>
      </c>
      <c r="Q17" s="54" t="str">
        <f>IF(AND('Mapa final'!$Y$17="Alta",'Mapa final'!$AA$17="Menor"),CONCATENATE("R2C",'Mapa final'!$O$17),"")</f>
        <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str">
        <f>IF(AND('Mapa final'!$Y$16="Alta",'Mapa final'!$AA$16="Moderado"),CONCATENATE("R2C",'Mapa final'!$O$16),"")</f>
        <v/>
      </c>
      <c r="W17" s="39" t="str">
        <f>IF(AND('Mapa final'!$Y$17="Alta",'Mapa final'!$AA$17="Moderado"),CONCATENATE("R2C",'Mapa final'!$O$17),"")</f>
        <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str">
        <f>IF(AND('Mapa final'!$Y$16="Alta",'Mapa final'!$AA$16="Mayor"),CONCATENATE("R2C",'Mapa final'!$O$16),"")</f>
        <v/>
      </c>
      <c r="AC17" s="39" t="str">
        <f>IF(AND('Mapa final'!$Y$17="Alta",'Mapa final'!$AA$17="Mayor"),CONCATENATE("R2C",'Mapa final'!$O$17),"")</f>
        <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str">
        <f>IF(AND('Mapa final'!$Y$16="Alta",'Mapa final'!$AA$16="Catastrófico"),CONCATENATE("R2C",'Mapa final'!$O$16),"")</f>
        <v/>
      </c>
      <c r="AI17" s="42" t="str">
        <f>IF(AND('Mapa final'!$Y$17="Alta",'Mapa final'!$AA$17="Catastrófico"),CONCATENATE("R2C",'Mapa final'!$O$17),"")</f>
        <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29"/>
      <c r="AP17" s="330"/>
      <c r="AQ17" s="330"/>
      <c r="AR17" s="330"/>
      <c r="AS17" s="330"/>
      <c r="AT17" s="331"/>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231"/>
      <c r="C18" s="231"/>
      <c r="D18" s="232"/>
      <c r="E18" s="339"/>
      <c r="F18" s="338"/>
      <c r="G18" s="338"/>
      <c r="H18" s="338"/>
      <c r="I18" s="338"/>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29"/>
      <c r="AP18" s="330"/>
      <c r="AQ18" s="330"/>
      <c r="AR18" s="330"/>
      <c r="AS18" s="330"/>
      <c r="AT18" s="331"/>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231"/>
      <c r="C19" s="231"/>
      <c r="D19" s="232"/>
      <c r="E19" s="339"/>
      <c r="F19" s="338"/>
      <c r="G19" s="338"/>
      <c r="H19" s="338"/>
      <c r="I19" s="338"/>
      <c r="J19" s="53" t="e">
        <f>IF(AND('Mapa final'!#REF!="Alta",'Mapa final'!#REF!="Leve"),CONCATENATE("R4C",'Mapa final'!#REF!),"")</f>
        <v>#REF!</v>
      </c>
      <c r="K19" s="54" t="e">
        <f>IF(AND('Mapa final'!#REF!="Alta",'Mapa final'!#REF!="Leve"),CONCATENATE("R4C",'Mapa final'!#REF!),"")</f>
        <v>#REF!</v>
      </c>
      <c r="L19" s="54" t="e">
        <f>IF(AND('Mapa final'!#REF!="Alta",'Mapa final'!#REF!="Leve"),CONCATENATE("R4C",'Mapa final'!#REF!),"")</f>
        <v>#REF!</v>
      </c>
      <c r="M19" s="54" t="e">
        <f>IF(AND('Mapa final'!#REF!="Alta",'Mapa final'!#REF!="Leve"),CONCATENATE("R4C",'Mapa final'!#REF!),"")</f>
        <v>#REF!</v>
      </c>
      <c r="N19" s="54" t="e">
        <f>IF(AND('Mapa final'!#REF!="Alta",'Mapa final'!#REF!="Leve"),CONCATENATE("R4C",'Mapa final'!#REF!),"")</f>
        <v>#REF!</v>
      </c>
      <c r="O19" s="55" t="e">
        <f>IF(AND('Mapa final'!#REF!="Alta",'Mapa final'!#REF!="Leve"),CONCATENATE("R4C",'Mapa final'!#REF!),"")</f>
        <v>#REF!</v>
      </c>
      <c r="P19" s="53" t="e">
        <f>IF(AND('Mapa final'!#REF!="Alta",'Mapa final'!#REF!="Menor"),CONCATENATE("R4C",'Mapa final'!#REF!),"")</f>
        <v>#REF!</v>
      </c>
      <c r="Q19" s="54" t="e">
        <f>IF(AND('Mapa final'!#REF!="Alta",'Mapa final'!#REF!="Menor"),CONCATENATE("R4C",'Mapa final'!#REF!),"")</f>
        <v>#REF!</v>
      </c>
      <c r="R19" s="54" t="e">
        <f>IF(AND('Mapa final'!#REF!="Alta",'Mapa final'!#REF!="Menor"),CONCATENATE("R4C",'Mapa final'!#REF!),"")</f>
        <v>#REF!</v>
      </c>
      <c r="S19" s="54" t="e">
        <f>IF(AND('Mapa final'!#REF!="Alta",'Mapa final'!#REF!="Menor"),CONCATENATE("R4C",'Mapa final'!#REF!),"")</f>
        <v>#REF!</v>
      </c>
      <c r="T19" s="54" t="e">
        <f>IF(AND('Mapa final'!#REF!="Alta",'Mapa final'!#REF!="Menor"),CONCATENATE("R4C",'Mapa final'!#REF!),"")</f>
        <v>#REF!</v>
      </c>
      <c r="U19" s="55" t="e">
        <f>IF(AND('Mapa final'!#REF!="Alta",'Mapa final'!#REF!="Menor"),CONCATENATE("R4C",'Mapa final'!#REF!),"")</f>
        <v>#REF!</v>
      </c>
      <c r="V19" s="38" t="e">
        <f>IF(AND('Mapa final'!#REF!="Alta",'Mapa final'!#REF!="Moderado"),CONCATENATE("R4C",'Mapa final'!#REF!),"")</f>
        <v>#REF!</v>
      </c>
      <c r="W19" s="39" t="e">
        <f>IF(AND('Mapa final'!#REF!="Alta",'Mapa final'!#REF!="Moderado"),CONCATENATE("R4C",'Mapa final'!#REF!),"")</f>
        <v>#REF!</v>
      </c>
      <c r="X19" s="39" t="e">
        <f>IF(AND('Mapa final'!#REF!="Alta",'Mapa final'!#REF!="Moderado"),CONCATENATE("R4C",'Mapa final'!#REF!),"")</f>
        <v>#REF!</v>
      </c>
      <c r="Y19" s="39" t="e">
        <f>IF(AND('Mapa final'!#REF!="Alta",'Mapa final'!#REF!="Moderado"),CONCATENATE("R4C",'Mapa final'!#REF!),"")</f>
        <v>#REF!</v>
      </c>
      <c r="Z19" s="39" t="e">
        <f>IF(AND('Mapa final'!#REF!="Alta",'Mapa final'!#REF!="Moderado"),CONCATENATE("R4C",'Mapa final'!#REF!),"")</f>
        <v>#REF!</v>
      </c>
      <c r="AA19" s="40" t="e">
        <f>IF(AND('Mapa final'!#REF!="Alta",'Mapa final'!#REF!="Moderado"),CONCATENATE("R4C",'Mapa final'!#REF!),"")</f>
        <v>#REF!</v>
      </c>
      <c r="AB19" s="38" t="e">
        <f>IF(AND('Mapa final'!#REF!="Alta",'Mapa final'!#REF!="Mayor"),CONCATENATE("R4C",'Mapa final'!#REF!),"")</f>
        <v>#REF!</v>
      </c>
      <c r="AC19" s="39" t="e">
        <f>IF(AND('Mapa final'!#REF!="Alta",'Mapa final'!#REF!="Mayor"),CONCATENATE("R4C",'Mapa final'!#REF!),"")</f>
        <v>#REF!</v>
      </c>
      <c r="AD19" s="39" t="e">
        <f>IF(AND('Mapa final'!#REF!="Alta",'Mapa final'!#REF!="Mayor"),CONCATENATE("R4C",'Mapa final'!#REF!),"")</f>
        <v>#REF!</v>
      </c>
      <c r="AE19" s="39" t="e">
        <f>IF(AND('Mapa final'!#REF!="Alta",'Mapa final'!#REF!="Mayor"),CONCATENATE("R4C",'Mapa final'!#REF!),"")</f>
        <v>#REF!</v>
      </c>
      <c r="AF19" s="39" t="e">
        <f>IF(AND('Mapa final'!#REF!="Alta",'Mapa final'!#REF!="Mayor"),CONCATENATE("R4C",'Mapa final'!#REF!),"")</f>
        <v>#REF!</v>
      </c>
      <c r="AG19" s="40" t="e">
        <f>IF(AND('Mapa final'!#REF!="Alta",'Mapa final'!#REF!="Mayor"),CONCATENATE("R4C",'Mapa final'!#REF!),"")</f>
        <v>#REF!</v>
      </c>
      <c r="AH19" s="41" t="e">
        <f>IF(AND('Mapa final'!#REF!="Alta",'Mapa final'!#REF!="Catastrófico"),CONCATENATE("R4C",'Mapa final'!#REF!),"")</f>
        <v>#REF!</v>
      </c>
      <c r="AI19" s="42" t="e">
        <f>IF(AND('Mapa final'!#REF!="Alta",'Mapa final'!#REF!="Catastrófico"),CONCATENATE("R4C",'Mapa final'!#REF!),"")</f>
        <v>#REF!</v>
      </c>
      <c r="AJ19" s="42" t="e">
        <f>IF(AND('Mapa final'!#REF!="Alta",'Mapa final'!#REF!="Catastrófico"),CONCATENATE("R4C",'Mapa final'!#REF!),"")</f>
        <v>#REF!</v>
      </c>
      <c r="AK19" s="42" t="e">
        <f>IF(AND('Mapa final'!#REF!="Alta",'Mapa final'!#REF!="Catastrófico"),CONCATENATE("R4C",'Mapa final'!#REF!),"")</f>
        <v>#REF!</v>
      </c>
      <c r="AL19" s="42" t="e">
        <f>IF(AND('Mapa final'!#REF!="Alta",'Mapa final'!#REF!="Catastrófico"),CONCATENATE("R4C",'Mapa final'!#REF!),"")</f>
        <v>#REF!</v>
      </c>
      <c r="AM19" s="43" t="e">
        <f>IF(AND('Mapa final'!#REF!="Alta",'Mapa final'!#REF!="Catastrófico"),CONCATENATE("R4C",'Mapa final'!#REF!),"")</f>
        <v>#REF!</v>
      </c>
      <c r="AN19" s="69"/>
      <c r="AO19" s="329"/>
      <c r="AP19" s="330"/>
      <c r="AQ19" s="330"/>
      <c r="AR19" s="330"/>
      <c r="AS19" s="330"/>
      <c r="AT19" s="331"/>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231"/>
      <c r="C20" s="231"/>
      <c r="D20" s="232"/>
      <c r="E20" s="339"/>
      <c r="F20" s="338"/>
      <c r="G20" s="338"/>
      <c r="H20" s="338"/>
      <c r="I20" s="338"/>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329"/>
      <c r="AP20" s="330"/>
      <c r="AQ20" s="330"/>
      <c r="AR20" s="330"/>
      <c r="AS20" s="330"/>
      <c r="AT20" s="331"/>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231"/>
      <c r="C21" s="231"/>
      <c r="D21" s="232"/>
      <c r="E21" s="339"/>
      <c r="F21" s="338"/>
      <c r="G21" s="338"/>
      <c r="H21" s="338"/>
      <c r="I21" s="338"/>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29"/>
      <c r="AP21" s="330"/>
      <c r="AQ21" s="330"/>
      <c r="AR21" s="330"/>
      <c r="AS21" s="330"/>
      <c r="AT21" s="331"/>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231"/>
      <c r="C22" s="231"/>
      <c r="D22" s="232"/>
      <c r="E22" s="339"/>
      <c r="F22" s="338"/>
      <c r="G22" s="338"/>
      <c r="H22" s="338"/>
      <c r="I22" s="338"/>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29"/>
      <c r="AP22" s="330"/>
      <c r="AQ22" s="330"/>
      <c r="AR22" s="330"/>
      <c r="AS22" s="330"/>
      <c r="AT22" s="331"/>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231"/>
      <c r="C23" s="231"/>
      <c r="D23" s="232"/>
      <c r="E23" s="339"/>
      <c r="F23" s="338"/>
      <c r="G23" s="338"/>
      <c r="H23" s="338"/>
      <c r="I23" s="338"/>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29"/>
      <c r="AP23" s="330"/>
      <c r="AQ23" s="330"/>
      <c r="AR23" s="330"/>
      <c r="AS23" s="330"/>
      <c r="AT23" s="331"/>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231"/>
      <c r="C24" s="231"/>
      <c r="D24" s="232"/>
      <c r="E24" s="339"/>
      <c r="F24" s="338"/>
      <c r="G24" s="338"/>
      <c r="H24" s="338"/>
      <c r="I24" s="338"/>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29"/>
      <c r="AP24" s="330"/>
      <c r="AQ24" s="330"/>
      <c r="AR24" s="330"/>
      <c r="AS24" s="330"/>
      <c r="AT24" s="331"/>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231"/>
      <c r="C25" s="231"/>
      <c r="D25" s="232"/>
      <c r="E25" s="340"/>
      <c r="F25" s="341"/>
      <c r="G25" s="341"/>
      <c r="H25" s="341"/>
      <c r="I25" s="341"/>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32"/>
      <c r="AP25" s="333"/>
      <c r="AQ25" s="333"/>
      <c r="AR25" s="333"/>
      <c r="AS25" s="333"/>
      <c r="AT25" s="334"/>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231"/>
      <c r="C26" s="231"/>
      <c r="D26" s="232"/>
      <c r="E26" s="335" t="s">
        <v>117</v>
      </c>
      <c r="F26" s="336"/>
      <c r="G26" s="336"/>
      <c r="H26" s="336"/>
      <c r="I26" s="353"/>
      <c r="J26" s="50" t="str">
        <f>IF(AND('Mapa final'!$Y$13="Media",'Mapa final'!$AA$13="Leve"),CONCATENATE("R1C",'Mapa final'!$O$13),"")</f>
        <v/>
      </c>
      <c r="K26" s="51" t="str">
        <f>IF(AND('Mapa final'!$Y$14="Media",'Mapa final'!$AA$14="Leve"),CONCATENATE("R1C",'Mapa final'!$O$14),"")</f>
        <v/>
      </c>
      <c r="L26" s="51" t="str">
        <f>IF(AND('Mapa final'!$Y$15="Media",'Mapa final'!$AA$15="Leve"),CONCATENATE("R1C",'Mapa final'!$O$15),"")</f>
        <v>R1C3</v>
      </c>
      <c r="M26" s="51" t="e">
        <f>IF(AND('Mapa final'!#REF!="Media",'Mapa final'!#REF!="Leve"),CONCATENATE("R1C",'Mapa final'!#REF!),"")</f>
        <v>#REF!</v>
      </c>
      <c r="N26" s="51" t="e">
        <f>IF(AND('Mapa final'!#REF!="Media",'Mapa final'!#REF!="Leve"),CONCATENATE("R1C",'Mapa final'!#REF!),"")</f>
        <v>#REF!</v>
      </c>
      <c r="O26" s="52" t="e">
        <f>IF(AND('Mapa final'!#REF!="Media",'Mapa final'!#REF!="Leve"),CONCATENATE("R1C",'Mapa final'!#REF!),"")</f>
        <v>#REF!</v>
      </c>
      <c r="P26" s="50" t="str">
        <f>IF(AND('Mapa final'!$Y$13="Media",'Mapa final'!$AA$13="Menor"),CONCATENATE("R1C",'Mapa final'!$O$13),"")</f>
        <v>R1C1</v>
      </c>
      <c r="Q26" s="51" t="str">
        <f>IF(AND('Mapa final'!$Y$14="Media",'Mapa final'!$AA$14="Menor"),CONCATENATE("R1C",'Mapa final'!$O$14),"")</f>
        <v>R1C2</v>
      </c>
      <c r="R26" s="51" t="str">
        <f>IF(AND('Mapa final'!$Y$15="Media",'Mapa final'!$AA$15="Menor"),CONCATENATE("R1C",'Mapa final'!$O$15),"")</f>
        <v/>
      </c>
      <c r="S26" s="51" t="e">
        <f>IF(AND('Mapa final'!#REF!="Media",'Mapa final'!#REF!="Menor"),CONCATENATE("R1C",'Mapa final'!#REF!),"")</f>
        <v>#REF!</v>
      </c>
      <c r="T26" s="51" t="e">
        <f>IF(AND('Mapa final'!#REF!="Media",'Mapa final'!#REF!="Menor"),CONCATENATE("R1C",'Mapa final'!#REF!),"")</f>
        <v>#REF!</v>
      </c>
      <c r="U26" s="52" t="e">
        <f>IF(AND('Mapa final'!#REF!="Media",'Mapa final'!#REF!="Menor"),CONCATENATE("R1C",'Mapa final'!#REF!),"")</f>
        <v>#REF!</v>
      </c>
      <c r="V26" s="50" t="str">
        <f>IF(AND('Mapa final'!$Y$13="Media",'Mapa final'!$AA$13="Moderado"),CONCATENATE("R1C",'Mapa final'!$O$13),"")</f>
        <v/>
      </c>
      <c r="W26" s="51" t="str">
        <f>IF(AND('Mapa final'!$Y$14="Media",'Mapa final'!$AA$14="Moderado"),CONCATENATE("R1C",'Mapa final'!$O$14),"")</f>
        <v/>
      </c>
      <c r="X26" s="51" t="str">
        <f>IF(AND('Mapa final'!$Y$15="Media",'Mapa final'!$AA$15="Moderado"),CONCATENATE("R1C",'Mapa final'!$O$15),"")</f>
        <v/>
      </c>
      <c r="Y26" s="51" t="e">
        <f>IF(AND('Mapa final'!#REF!="Media",'Mapa final'!#REF!="Moderado"),CONCATENATE("R1C",'Mapa final'!#REF!),"")</f>
        <v>#REF!</v>
      </c>
      <c r="Z26" s="51" t="e">
        <f>IF(AND('Mapa final'!#REF!="Media",'Mapa final'!#REF!="Moderado"),CONCATENATE("R1C",'Mapa final'!#REF!),"")</f>
        <v>#REF!</v>
      </c>
      <c r="AA26" s="52" t="e">
        <f>IF(AND('Mapa final'!#REF!="Media",'Mapa final'!#REF!="Moderado"),CONCATENATE("R1C",'Mapa final'!#REF!),"")</f>
        <v>#REF!</v>
      </c>
      <c r="AB26" s="32" t="str">
        <f>IF(AND('Mapa final'!$Y$13="Media",'Mapa final'!$AA$13="Mayor"),CONCATENATE("R1C",'Mapa final'!$O$13),"")</f>
        <v/>
      </c>
      <c r="AC26" s="33" t="str">
        <f>IF(AND('Mapa final'!$Y$14="Media",'Mapa final'!$AA$14="Mayor"),CONCATENATE("R1C",'Mapa final'!$O$14),"")</f>
        <v/>
      </c>
      <c r="AD26" s="33" t="str">
        <f>IF(AND('Mapa final'!$Y$15="Media",'Mapa final'!$AA$15="Mayor"),CONCATENATE("R1C",'Mapa final'!$O$15),"")</f>
        <v/>
      </c>
      <c r="AE26" s="33" t="e">
        <f>IF(AND('Mapa final'!#REF!="Media",'Mapa final'!#REF!="Mayor"),CONCATENATE("R1C",'Mapa final'!#REF!),"")</f>
        <v>#REF!</v>
      </c>
      <c r="AF26" s="33" t="e">
        <f>IF(AND('Mapa final'!#REF!="Media",'Mapa final'!#REF!="Mayor"),CONCATENATE("R1C",'Mapa final'!#REF!),"")</f>
        <v>#REF!</v>
      </c>
      <c r="AG26" s="34" t="e">
        <f>IF(AND('Mapa final'!#REF!="Media",'Mapa final'!#REF!="Mayor"),CONCATENATE("R1C",'Mapa final'!#REF!),"")</f>
        <v>#REF!</v>
      </c>
      <c r="AH26" s="35" t="str">
        <f>IF(AND('Mapa final'!$Y$13="Media",'Mapa final'!$AA$13="Catastrófico"),CONCATENATE("R1C",'Mapa final'!$O$13),"")</f>
        <v/>
      </c>
      <c r="AI26" s="36" t="str">
        <f>IF(AND('Mapa final'!$Y$14="Media",'Mapa final'!$AA$14="Catastrófico"),CONCATENATE("R1C",'Mapa final'!$O$14),"")</f>
        <v/>
      </c>
      <c r="AJ26" s="36" t="str">
        <f>IF(AND('Mapa final'!$Y$15="Media",'Mapa final'!$AA$15="Catastrófico"),CONCATENATE("R1C",'Mapa final'!$O$15),"")</f>
        <v/>
      </c>
      <c r="AK26" s="36" t="e">
        <f>IF(AND('Mapa final'!#REF!="Media",'Mapa final'!#REF!="Catastrófico"),CONCATENATE("R1C",'Mapa final'!#REF!),"")</f>
        <v>#REF!</v>
      </c>
      <c r="AL26" s="36" t="e">
        <f>IF(AND('Mapa final'!#REF!="Media",'Mapa final'!#REF!="Catastrófico"),CONCATENATE("R1C",'Mapa final'!#REF!),"")</f>
        <v>#REF!</v>
      </c>
      <c r="AM26" s="37" t="e">
        <f>IF(AND('Mapa final'!#REF!="Media",'Mapa final'!#REF!="Catastrófico"),CONCATENATE("R1C",'Mapa final'!#REF!),"")</f>
        <v>#REF!</v>
      </c>
      <c r="AN26" s="69"/>
      <c r="AO26" s="365" t="s">
        <v>81</v>
      </c>
      <c r="AP26" s="366"/>
      <c r="AQ26" s="366"/>
      <c r="AR26" s="366"/>
      <c r="AS26" s="366"/>
      <c r="AT26" s="367"/>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231"/>
      <c r="C27" s="231"/>
      <c r="D27" s="232"/>
      <c r="E27" s="337"/>
      <c r="F27" s="338"/>
      <c r="G27" s="338"/>
      <c r="H27" s="338"/>
      <c r="I27" s="354"/>
      <c r="J27" s="53" t="str">
        <f>IF(AND('Mapa final'!$Y$16="Media",'Mapa final'!$AA$16="Leve"),CONCATENATE("R2C",'Mapa final'!$O$16),"")</f>
        <v/>
      </c>
      <c r="K27" s="54" t="str">
        <f>IF(AND('Mapa final'!$Y$17="Media",'Mapa final'!$AA$17="Leve"),CONCATENATE("R2C",'Mapa final'!$O$17),"")</f>
        <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str">
        <f>IF(AND('Mapa final'!$Y$16="Media",'Mapa final'!$AA$16="Menor"),CONCATENATE("R2C",'Mapa final'!$O$16),"")</f>
        <v>R2C1</v>
      </c>
      <c r="Q27" s="54" t="str">
        <f>IF(AND('Mapa final'!$Y$17="Media",'Mapa final'!$AA$17="Menor"),CONCATENATE("R2C",'Mapa final'!$O$17),"")</f>
        <v>R2C2</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str">
        <f>IF(AND('Mapa final'!$Y$16="Media",'Mapa final'!$AA$16="Moderado"),CONCATENATE("R2C",'Mapa final'!$O$16),"")</f>
        <v/>
      </c>
      <c r="W27" s="54" t="str">
        <f>IF(AND('Mapa final'!$Y$17="Media",'Mapa final'!$AA$17="Moderado"),CONCATENATE("R2C",'Mapa final'!$O$17),"")</f>
        <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str">
        <f>IF(AND('Mapa final'!$Y$16="Media",'Mapa final'!$AA$16="Mayor"),CONCATENATE("R2C",'Mapa final'!$O$16),"")</f>
        <v/>
      </c>
      <c r="AC27" s="39" t="str">
        <f>IF(AND('Mapa final'!$Y$17="Media",'Mapa final'!$AA$17="Mayor"),CONCATENATE("R2C",'Mapa final'!$O$17),"")</f>
        <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str">
        <f>IF(AND('Mapa final'!$Y$16="Media",'Mapa final'!$AA$16="Catastrófico"),CONCATENATE("R2C",'Mapa final'!$O$16),"")</f>
        <v/>
      </c>
      <c r="AI27" s="42" t="str">
        <f>IF(AND('Mapa final'!$Y$17="Media",'Mapa final'!$AA$17="Catastrófico"),CONCATENATE("R2C",'Mapa final'!$O$17),"")</f>
        <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368"/>
      <c r="AP27" s="369"/>
      <c r="AQ27" s="369"/>
      <c r="AR27" s="369"/>
      <c r="AS27" s="369"/>
      <c r="AT27" s="370"/>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231"/>
      <c r="C28" s="231"/>
      <c r="D28" s="232"/>
      <c r="E28" s="339"/>
      <c r="F28" s="338"/>
      <c r="G28" s="338"/>
      <c r="H28" s="338"/>
      <c r="I28" s="354"/>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368"/>
      <c r="AP28" s="369"/>
      <c r="AQ28" s="369"/>
      <c r="AR28" s="369"/>
      <c r="AS28" s="369"/>
      <c r="AT28" s="370"/>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231"/>
      <c r="C29" s="231"/>
      <c r="D29" s="232"/>
      <c r="E29" s="339"/>
      <c r="F29" s="338"/>
      <c r="G29" s="338"/>
      <c r="H29" s="338"/>
      <c r="I29" s="354"/>
      <c r="J29" s="53" t="e">
        <f>IF(AND('Mapa final'!#REF!="Media",'Mapa final'!#REF!="Leve"),CONCATENATE("R4C",'Mapa final'!#REF!),"")</f>
        <v>#REF!</v>
      </c>
      <c r="K29" s="54" t="e">
        <f>IF(AND('Mapa final'!#REF!="Media",'Mapa final'!#REF!="Leve"),CONCATENATE("R4C",'Mapa final'!#REF!),"")</f>
        <v>#REF!</v>
      </c>
      <c r="L29" s="54" t="e">
        <f>IF(AND('Mapa final'!#REF!="Media",'Mapa final'!#REF!="Leve"),CONCATENATE("R4C",'Mapa final'!#REF!),"")</f>
        <v>#REF!</v>
      </c>
      <c r="M29" s="54" t="e">
        <f>IF(AND('Mapa final'!#REF!="Media",'Mapa final'!#REF!="Leve"),CONCATENATE("R4C",'Mapa final'!#REF!),"")</f>
        <v>#REF!</v>
      </c>
      <c r="N29" s="54" t="e">
        <f>IF(AND('Mapa final'!#REF!="Media",'Mapa final'!#REF!="Leve"),CONCATENATE("R4C",'Mapa final'!#REF!),"")</f>
        <v>#REF!</v>
      </c>
      <c r="O29" s="55" t="e">
        <f>IF(AND('Mapa final'!#REF!="Media",'Mapa final'!#REF!="Leve"),CONCATENATE("R4C",'Mapa final'!#REF!),"")</f>
        <v>#REF!</v>
      </c>
      <c r="P29" s="53" t="e">
        <f>IF(AND('Mapa final'!#REF!="Media",'Mapa final'!#REF!="Menor"),CONCATENATE("R4C",'Mapa final'!#REF!),"")</f>
        <v>#REF!</v>
      </c>
      <c r="Q29" s="54" t="e">
        <f>IF(AND('Mapa final'!#REF!="Media",'Mapa final'!#REF!="Menor"),CONCATENATE("R4C",'Mapa final'!#REF!),"")</f>
        <v>#REF!</v>
      </c>
      <c r="R29" s="54" t="e">
        <f>IF(AND('Mapa final'!#REF!="Media",'Mapa final'!#REF!="Menor"),CONCATENATE("R4C",'Mapa final'!#REF!),"")</f>
        <v>#REF!</v>
      </c>
      <c r="S29" s="54" t="e">
        <f>IF(AND('Mapa final'!#REF!="Media",'Mapa final'!#REF!="Menor"),CONCATENATE("R4C",'Mapa final'!#REF!),"")</f>
        <v>#REF!</v>
      </c>
      <c r="T29" s="54" t="e">
        <f>IF(AND('Mapa final'!#REF!="Media",'Mapa final'!#REF!="Menor"),CONCATENATE("R4C",'Mapa final'!#REF!),"")</f>
        <v>#REF!</v>
      </c>
      <c r="U29" s="55" t="e">
        <f>IF(AND('Mapa final'!#REF!="Media",'Mapa final'!#REF!="Menor"),CONCATENATE("R4C",'Mapa final'!#REF!),"")</f>
        <v>#REF!</v>
      </c>
      <c r="V29" s="53" t="e">
        <f>IF(AND('Mapa final'!#REF!="Media",'Mapa final'!#REF!="Moderado"),CONCATENATE("R4C",'Mapa final'!#REF!),"")</f>
        <v>#REF!</v>
      </c>
      <c r="W29" s="54" t="e">
        <f>IF(AND('Mapa final'!#REF!="Media",'Mapa final'!#REF!="Moderado"),CONCATENATE("R4C",'Mapa final'!#REF!),"")</f>
        <v>#REF!</v>
      </c>
      <c r="X29" s="54" t="e">
        <f>IF(AND('Mapa final'!#REF!="Media",'Mapa final'!#REF!="Moderado"),CONCATENATE("R4C",'Mapa final'!#REF!),"")</f>
        <v>#REF!</v>
      </c>
      <c r="Y29" s="54" t="e">
        <f>IF(AND('Mapa final'!#REF!="Media",'Mapa final'!#REF!="Moderado"),CONCATENATE("R4C",'Mapa final'!#REF!),"")</f>
        <v>#REF!</v>
      </c>
      <c r="Z29" s="54" t="e">
        <f>IF(AND('Mapa final'!#REF!="Media",'Mapa final'!#REF!="Moderado"),CONCATENATE("R4C",'Mapa final'!#REF!),"")</f>
        <v>#REF!</v>
      </c>
      <c r="AA29" s="55" t="e">
        <f>IF(AND('Mapa final'!#REF!="Media",'Mapa final'!#REF!="Moderado"),CONCATENATE("R4C",'Mapa final'!#REF!),"")</f>
        <v>#REF!</v>
      </c>
      <c r="AB29" s="38" t="e">
        <f>IF(AND('Mapa final'!#REF!="Media",'Mapa final'!#REF!="Mayor"),CONCATENATE("R4C",'Mapa final'!#REF!),"")</f>
        <v>#REF!</v>
      </c>
      <c r="AC29" s="39" t="e">
        <f>IF(AND('Mapa final'!#REF!="Media",'Mapa final'!#REF!="Mayor"),CONCATENATE("R4C",'Mapa final'!#REF!),"")</f>
        <v>#REF!</v>
      </c>
      <c r="AD29" s="39" t="e">
        <f>IF(AND('Mapa final'!#REF!="Media",'Mapa final'!#REF!="Mayor"),CONCATENATE("R4C",'Mapa final'!#REF!),"")</f>
        <v>#REF!</v>
      </c>
      <c r="AE29" s="39" t="e">
        <f>IF(AND('Mapa final'!#REF!="Media",'Mapa final'!#REF!="Mayor"),CONCATENATE("R4C",'Mapa final'!#REF!),"")</f>
        <v>#REF!</v>
      </c>
      <c r="AF29" s="39" t="e">
        <f>IF(AND('Mapa final'!#REF!="Media",'Mapa final'!#REF!="Mayor"),CONCATENATE("R4C",'Mapa final'!#REF!),"")</f>
        <v>#REF!</v>
      </c>
      <c r="AG29" s="40" t="e">
        <f>IF(AND('Mapa final'!#REF!="Media",'Mapa final'!#REF!="Mayor"),CONCATENATE("R4C",'Mapa final'!#REF!),"")</f>
        <v>#REF!</v>
      </c>
      <c r="AH29" s="41" t="e">
        <f>IF(AND('Mapa final'!#REF!="Media",'Mapa final'!#REF!="Catastrófico"),CONCATENATE("R4C",'Mapa final'!#REF!),"")</f>
        <v>#REF!</v>
      </c>
      <c r="AI29" s="42" t="e">
        <f>IF(AND('Mapa final'!#REF!="Media",'Mapa final'!#REF!="Catastrófico"),CONCATENATE("R4C",'Mapa final'!#REF!),"")</f>
        <v>#REF!</v>
      </c>
      <c r="AJ29" s="42" t="e">
        <f>IF(AND('Mapa final'!#REF!="Media",'Mapa final'!#REF!="Catastrófico"),CONCATENATE("R4C",'Mapa final'!#REF!),"")</f>
        <v>#REF!</v>
      </c>
      <c r="AK29" s="42" t="e">
        <f>IF(AND('Mapa final'!#REF!="Media",'Mapa final'!#REF!="Catastrófico"),CONCATENATE("R4C",'Mapa final'!#REF!),"")</f>
        <v>#REF!</v>
      </c>
      <c r="AL29" s="42" t="e">
        <f>IF(AND('Mapa final'!#REF!="Media",'Mapa final'!#REF!="Catastrófico"),CONCATENATE("R4C",'Mapa final'!#REF!),"")</f>
        <v>#REF!</v>
      </c>
      <c r="AM29" s="43" t="e">
        <f>IF(AND('Mapa final'!#REF!="Media",'Mapa final'!#REF!="Catastrófico"),CONCATENATE("R4C",'Mapa final'!#REF!),"")</f>
        <v>#REF!</v>
      </c>
      <c r="AN29" s="69"/>
      <c r="AO29" s="368"/>
      <c r="AP29" s="369"/>
      <c r="AQ29" s="369"/>
      <c r="AR29" s="369"/>
      <c r="AS29" s="369"/>
      <c r="AT29" s="370"/>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231"/>
      <c r="C30" s="231"/>
      <c r="D30" s="232"/>
      <c r="E30" s="339"/>
      <c r="F30" s="338"/>
      <c r="G30" s="338"/>
      <c r="H30" s="338"/>
      <c r="I30" s="354"/>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368"/>
      <c r="AP30" s="369"/>
      <c r="AQ30" s="369"/>
      <c r="AR30" s="369"/>
      <c r="AS30" s="369"/>
      <c r="AT30" s="370"/>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231"/>
      <c r="C31" s="231"/>
      <c r="D31" s="232"/>
      <c r="E31" s="339"/>
      <c r="F31" s="338"/>
      <c r="G31" s="338"/>
      <c r="H31" s="338"/>
      <c r="I31" s="354"/>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368"/>
      <c r="AP31" s="369"/>
      <c r="AQ31" s="369"/>
      <c r="AR31" s="369"/>
      <c r="AS31" s="369"/>
      <c r="AT31" s="370"/>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231"/>
      <c r="C32" s="231"/>
      <c r="D32" s="232"/>
      <c r="E32" s="339"/>
      <c r="F32" s="338"/>
      <c r="G32" s="338"/>
      <c r="H32" s="338"/>
      <c r="I32" s="354"/>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368"/>
      <c r="AP32" s="369"/>
      <c r="AQ32" s="369"/>
      <c r="AR32" s="369"/>
      <c r="AS32" s="369"/>
      <c r="AT32" s="370"/>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231"/>
      <c r="C33" s="231"/>
      <c r="D33" s="232"/>
      <c r="E33" s="339"/>
      <c r="F33" s="338"/>
      <c r="G33" s="338"/>
      <c r="H33" s="338"/>
      <c r="I33" s="354"/>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368"/>
      <c r="AP33" s="369"/>
      <c r="AQ33" s="369"/>
      <c r="AR33" s="369"/>
      <c r="AS33" s="369"/>
      <c r="AT33" s="370"/>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231"/>
      <c r="C34" s="231"/>
      <c r="D34" s="232"/>
      <c r="E34" s="339"/>
      <c r="F34" s="338"/>
      <c r="G34" s="338"/>
      <c r="H34" s="338"/>
      <c r="I34" s="354"/>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368"/>
      <c r="AP34" s="369"/>
      <c r="AQ34" s="369"/>
      <c r="AR34" s="369"/>
      <c r="AS34" s="369"/>
      <c r="AT34" s="370"/>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231"/>
      <c r="C35" s="231"/>
      <c r="D35" s="232"/>
      <c r="E35" s="340"/>
      <c r="F35" s="341"/>
      <c r="G35" s="341"/>
      <c r="H35" s="341"/>
      <c r="I35" s="355"/>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371"/>
      <c r="AP35" s="372"/>
      <c r="AQ35" s="372"/>
      <c r="AR35" s="372"/>
      <c r="AS35" s="372"/>
      <c r="AT35" s="373"/>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231"/>
      <c r="C36" s="231"/>
      <c r="D36" s="232"/>
      <c r="E36" s="335" t="s">
        <v>114</v>
      </c>
      <c r="F36" s="336"/>
      <c r="G36" s="336"/>
      <c r="H36" s="336"/>
      <c r="I36" s="336"/>
      <c r="J36" s="59" t="str">
        <f>IF(AND('Mapa final'!$Y$13="Baja",'Mapa final'!$AA$13="Leve"),CONCATENATE("R1C",'Mapa final'!$O$13),"")</f>
        <v/>
      </c>
      <c r="K36" s="60" t="str">
        <f>IF(AND('Mapa final'!$Y$14="Baja",'Mapa final'!$AA$14="Leve"),CONCATENATE("R1C",'Mapa final'!$O$14),"")</f>
        <v/>
      </c>
      <c r="L36" s="60" t="str">
        <f>IF(AND('Mapa final'!$Y$15="Baja",'Mapa final'!$AA$15="Leve"),CONCATENATE("R1C",'Mapa final'!$O$15),"")</f>
        <v/>
      </c>
      <c r="M36" s="60" t="e">
        <f>IF(AND('Mapa final'!#REF!="Baja",'Mapa final'!#REF!="Leve"),CONCATENATE("R1C",'Mapa final'!#REF!),"")</f>
        <v>#REF!</v>
      </c>
      <c r="N36" s="60" t="e">
        <f>IF(AND('Mapa final'!#REF!="Baja",'Mapa final'!#REF!="Leve"),CONCATENATE("R1C",'Mapa final'!#REF!),"")</f>
        <v>#REF!</v>
      </c>
      <c r="O36" s="61" t="e">
        <f>IF(AND('Mapa final'!#REF!="Baja",'Mapa final'!#REF!="Leve"),CONCATENATE("R1C",'Mapa final'!#REF!),"")</f>
        <v>#REF!</v>
      </c>
      <c r="P36" s="50" t="str">
        <f>IF(AND('Mapa final'!$Y$13="Baja",'Mapa final'!$AA$13="Menor"),CONCATENATE("R1C",'Mapa final'!$O$13),"")</f>
        <v/>
      </c>
      <c r="Q36" s="51" t="str">
        <f>IF(AND('Mapa final'!$Y$14="Baja",'Mapa final'!$AA$14="Menor"),CONCATENATE("R1C",'Mapa final'!$O$14),"")</f>
        <v/>
      </c>
      <c r="R36" s="51" t="str">
        <f>IF(AND('Mapa final'!$Y$15="Baja",'Mapa final'!$AA$15="Menor"),CONCATENATE("R1C",'Mapa final'!$O$15),"")</f>
        <v/>
      </c>
      <c r="S36" s="51" t="e">
        <f>IF(AND('Mapa final'!#REF!="Baja",'Mapa final'!#REF!="Menor"),CONCATENATE("R1C",'Mapa final'!#REF!),"")</f>
        <v>#REF!</v>
      </c>
      <c r="T36" s="51" t="e">
        <f>IF(AND('Mapa final'!#REF!="Baja",'Mapa final'!#REF!="Menor"),CONCATENATE("R1C",'Mapa final'!#REF!),"")</f>
        <v>#REF!</v>
      </c>
      <c r="U36" s="52" t="e">
        <f>IF(AND('Mapa final'!#REF!="Baja",'Mapa final'!#REF!="Menor"),CONCATENATE("R1C",'Mapa final'!#REF!),"")</f>
        <v>#REF!</v>
      </c>
      <c r="V36" s="50" t="str">
        <f>IF(AND('Mapa final'!$Y$13="Baja",'Mapa final'!$AA$13="Moderado"),CONCATENATE("R1C",'Mapa final'!$O$13),"")</f>
        <v/>
      </c>
      <c r="W36" s="51" t="str">
        <f>IF(AND('Mapa final'!$Y$14="Baja",'Mapa final'!$AA$14="Moderado"),CONCATENATE("R1C",'Mapa final'!$O$14),"")</f>
        <v/>
      </c>
      <c r="X36" s="51" t="str">
        <f>IF(AND('Mapa final'!$Y$15="Baja",'Mapa final'!$AA$15="Moderado"),CONCATENATE("R1C",'Mapa final'!$O$15),"")</f>
        <v/>
      </c>
      <c r="Y36" s="51" t="e">
        <f>IF(AND('Mapa final'!#REF!="Baja",'Mapa final'!#REF!="Moderado"),CONCATENATE("R1C",'Mapa final'!#REF!),"")</f>
        <v>#REF!</v>
      </c>
      <c r="Z36" s="51" t="e">
        <f>IF(AND('Mapa final'!#REF!="Baja",'Mapa final'!#REF!="Moderado"),CONCATENATE("R1C",'Mapa final'!#REF!),"")</f>
        <v>#REF!</v>
      </c>
      <c r="AA36" s="52" t="e">
        <f>IF(AND('Mapa final'!#REF!="Baja",'Mapa final'!#REF!="Moderado"),CONCATENATE("R1C",'Mapa final'!#REF!),"")</f>
        <v>#REF!</v>
      </c>
      <c r="AB36" s="32" t="str">
        <f>IF(AND('Mapa final'!$Y$13="Baja",'Mapa final'!$AA$13="Mayor"),CONCATENATE("R1C",'Mapa final'!$O$13),"")</f>
        <v/>
      </c>
      <c r="AC36" s="33" t="str">
        <f>IF(AND('Mapa final'!$Y$14="Baja",'Mapa final'!$AA$14="Mayor"),CONCATENATE("R1C",'Mapa final'!$O$14),"")</f>
        <v/>
      </c>
      <c r="AD36" s="33" t="str">
        <f>IF(AND('Mapa final'!$Y$15="Baja",'Mapa final'!$AA$15="Mayor"),CONCATENATE("R1C",'Mapa final'!$O$15),"")</f>
        <v/>
      </c>
      <c r="AE36" s="33" t="e">
        <f>IF(AND('Mapa final'!#REF!="Baja",'Mapa final'!#REF!="Mayor"),CONCATENATE("R1C",'Mapa final'!#REF!),"")</f>
        <v>#REF!</v>
      </c>
      <c r="AF36" s="33" t="e">
        <f>IF(AND('Mapa final'!#REF!="Baja",'Mapa final'!#REF!="Mayor"),CONCATENATE("R1C",'Mapa final'!#REF!),"")</f>
        <v>#REF!</v>
      </c>
      <c r="AG36" s="34" t="e">
        <f>IF(AND('Mapa final'!#REF!="Baja",'Mapa final'!#REF!="Mayor"),CONCATENATE("R1C",'Mapa final'!#REF!),"")</f>
        <v>#REF!</v>
      </c>
      <c r="AH36" s="35" t="str">
        <f>IF(AND('Mapa final'!$Y$13="Baja",'Mapa final'!$AA$13="Catastrófico"),CONCATENATE("R1C",'Mapa final'!$O$13),"")</f>
        <v/>
      </c>
      <c r="AI36" s="36" t="str">
        <f>IF(AND('Mapa final'!$Y$14="Baja",'Mapa final'!$AA$14="Catastrófico"),CONCATENATE("R1C",'Mapa final'!$O$14),"")</f>
        <v/>
      </c>
      <c r="AJ36" s="36" t="str">
        <f>IF(AND('Mapa final'!$Y$15="Baja",'Mapa final'!$AA$15="Catastrófico"),CONCATENATE("R1C",'Mapa final'!$O$15),"")</f>
        <v/>
      </c>
      <c r="AK36" s="36" t="e">
        <f>IF(AND('Mapa final'!#REF!="Baja",'Mapa final'!#REF!="Catastrófico"),CONCATENATE("R1C",'Mapa final'!#REF!),"")</f>
        <v>#REF!</v>
      </c>
      <c r="AL36" s="36" t="e">
        <f>IF(AND('Mapa final'!#REF!="Baja",'Mapa final'!#REF!="Catastrófico"),CONCATENATE("R1C",'Mapa final'!#REF!),"")</f>
        <v>#REF!</v>
      </c>
      <c r="AM36" s="37" t="e">
        <f>IF(AND('Mapa final'!#REF!="Baja",'Mapa final'!#REF!="Catastrófico"),CONCATENATE("R1C",'Mapa final'!#REF!),"")</f>
        <v>#REF!</v>
      </c>
      <c r="AN36" s="69"/>
      <c r="AO36" s="356" t="s">
        <v>82</v>
      </c>
      <c r="AP36" s="357"/>
      <c r="AQ36" s="357"/>
      <c r="AR36" s="357"/>
      <c r="AS36" s="357"/>
      <c r="AT36" s="358"/>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231"/>
      <c r="C37" s="231"/>
      <c r="D37" s="232"/>
      <c r="E37" s="337"/>
      <c r="F37" s="338"/>
      <c r="G37" s="338"/>
      <c r="H37" s="338"/>
      <c r="I37" s="338"/>
      <c r="J37" s="62" t="str">
        <f>IF(AND('Mapa final'!$Y$16="Baja",'Mapa final'!$AA$16="Leve"),CONCATENATE("R2C",'Mapa final'!$O$16),"")</f>
        <v/>
      </c>
      <c r="K37" s="63" t="str">
        <f>IF(AND('Mapa final'!$Y$17="Baja",'Mapa final'!$AA$17="Leve"),CONCATENATE("R2C",'Mapa final'!$O$17),"")</f>
        <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str">
        <f>IF(AND('Mapa final'!$Y$16="Baja",'Mapa final'!$AA$16="Menor"),CONCATENATE("R2C",'Mapa final'!$O$16),"")</f>
        <v/>
      </c>
      <c r="Q37" s="54" t="str">
        <f>IF(AND('Mapa final'!$Y$17="Baja",'Mapa final'!$AA$17="Menor"),CONCATENATE("R2C",'Mapa final'!$O$17),"")</f>
        <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str">
        <f>IF(AND('Mapa final'!$Y$16="Baja",'Mapa final'!$AA$16="Moderado"),CONCATENATE("R2C",'Mapa final'!$O$16),"")</f>
        <v/>
      </c>
      <c r="W37" s="54" t="str">
        <f>IF(AND('Mapa final'!$Y$17="Baja",'Mapa final'!$AA$17="Moderado"),CONCATENATE("R2C",'Mapa final'!$O$17),"")</f>
        <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str">
        <f>IF(AND('Mapa final'!$Y$16="Baja",'Mapa final'!$AA$16="Mayor"),CONCATENATE("R2C",'Mapa final'!$O$16),"")</f>
        <v/>
      </c>
      <c r="AC37" s="39" t="str">
        <f>IF(AND('Mapa final'!$Y$17="Baja",'Mapa final'!$AA$17="Mayor"),CONCATENATE("R2C",'Mapa final'!$O$17),"")</f>
        <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str">
        <f>IF(AND('Mapa final'!$Y$16="Baja",'Mapa final'!$AA$16="Catastrófico"),CONCATENATE("R2C",'Mapa final'!$O$16),"")</f>
        <v/>
      </c>
      <c r="AI37" s="42" t="str">
        <f>IF(AND('Mapa final'!$Y$17="Baja",'Mapa final'!$AA$17="Catastrófico"),CONCATENATE("R2C",'Mapa final'!$O$17),"")</f>
        <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359"/>
      <c r="AP37" s="360"/>
      <c r="AQ37" s="360"/>
      <c r="AR37" s="360"/>
      <c r="AS37" s="360"/>
      <c r="AT37" s="361"/>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231"/>
      <c r="C38" s="231"/>
      <c r="D38" s="232"/>
      <c r="E38" s="339"/>
      <c r="F38" s="338"/>
      <c r="G38" s="338"/>
      <c r="H38" s="338"/>
      <c r="I38" s="338"/>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359"/>
      <c r="AP38" s="360"/>
      <c r="AQ38" s="360"/>
      <c r="AR38" s="360"/>
      <c r="AS38" s="360"/>
      <c r="AT38" s="361"/>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231"/>
      <c r="C39" s="231"/>
      <c r="D39" s="232"/>
      <c r="E39" s="339"/>
      <c r="F39" s="338"/>
      <c r="G39" s="338"/>
      <c r="H39" s="338"/>
      <c r="I39" s="338"/>
      <c r="J39" s="62" t="e">
        <f>IF(AND('Mapa final'!#REF!="Baja",'Mapa final'!#REF!="Leve"),CONCATENATE("R4C",'Mapa final'!#REF!),"")</f>
        <v>#REF!</v>
      </c>
      <c r="K39" s="63" t="e">
        <f>IF(AND('Mapa final'!#REF!="Baja",'Mapa final'!#REF!="Leve"),CONCATENATE("R4C",'Mapa final'!#REF!),"")</f>
        <v>#REF!</v>
      </c>
      <c r="L39" s="63" t="e">
        <f>IF(AND('Mapa final'!#REF!="Baja",'Mapa final'!#REF!="Leve"),CONCATENATE("R4C",'Mapa final'!#REF!),"")</f>
        <v>#REF!</v>
      </c>
      <c r="M39" s="63" t="e">
        <f>IF(AND('Mapa final'!#REF!="Baja",'Mapa final'!#REF!="Leve"),CONCATENATE("R4C",'Mapa final'!#REF!),"")</f>
        <v>#REF!</v>
      </c>
      <c r="N39" s="63" t="e">
        <f>IF(AND('Mapa final'!#REF!="Baja",'Mapa final'!#REF!="Leve"),CONCATENATE("R4C",'Mapa final'!#REF!),"")</f>
        <v>#REF!</v>
      </c>
      <c r="O39" s="64" t="e">
        <f>IF(AND('Mapa final'!#REF!="Baja",'Mapa final'!#REF!="Leve"),CONCATENATE("R4C",'Mapa final'!#REF!),"")</f>
        <v>#REF!</v>
      </c>
      <c r="P39" s="53" t="e">
        <f>IF(AND('Mapa final'!#REF!="Baja",'Mapa final'!#REF!="Menor"),CONCATENATE("R4C",'Mapa final'!#REF!),"")</f>
        <v>#REF!</v>
      </c>
      <c r="Q39" s="54" t="e">
        <f>IF(AND('Mapa final'!#REF!="Baja",'Mapa final'!#REF!="Menor"),CONCATENATE("R4C",'Mapa final'!#REF!),"")</f>
        <v>#REF!</v>
      </c>
      <c r="R39" s="54" t="e">
        <f>IF(AND('Mapa final'!#REF!="Baja",'Mapa final'!#REF!="Menor"),CONCATENATE("R4C",'Mapa final'!#REF!),"")</f>
        <v>#REF!</v>
      </c>
      <c r="S39" s="54" t="e">
        <f>IF(AND('Mapa final'!#REF!="Baja",'Mapa final'!#REF!="Menor"),CONCATENATE("R4C",'Mapa final'!#REF!),"")</f>
        <v>#REF!</v>
      </c>
      <c r="T39" s="54" t="e">
        <f>IF(AND('Mapa final'!#REF!="Baja",'Mapa final'!#REF!="Menor"),CONCATENATE("R4C",'Mapa final'!#REF!),"")</f>
        <v>#REF!</v>
      </c>
      <c r="U39" s="55" t="e">
        <f>IF(AND('Mapa final'!#REF!="Baja",'Mapa final'!#REF!="Menor"),CONCATENATE("R4C",'Mapa final'!#REF!),"")</f>
        <v>#REF!</v>
      </c>
      <c r="V39" s="53" t="e">
        <f>IF(AND('Mapa final'!#REF!="Baja",'Mapa final'!#REF!="Moderado"),CONCATENATE("R4C",'Mapa final'!#REF!),"")</f>
        <v>#REF!</v>
      </c>
      <c r="W39" s="54" t="e">
        <f>IF(AND('Mapa final'!#REF!="Baja",'Mapa final'!#REF!="Moderado"),CONCATENATE("R4C",'Mapa final'!#REF!),"")</f>
        <v>#REF!</v>
      </c>
      <c r="X39" s="54" t="e">
        <f>IF(AND('Mapa final'!#REF!="Baja",'Mapa final'!#REF!="Moderado"),CONCATENATE("R4C",'Mapa final'!#REF!),"")</f>
        <v>#REF!</v>
      </c>
      <c r="Y39" s="54" t="e">
        <f>IF(AND('Mapa final'!#REF!="Baja",'Mapa final'!#REF!="Moderado"),CONCATENATE("R4C",'Mapa final'!#REF!),"")</f>
        <v>#REF!</v>
      </c>
      <c r="Z39" s="54" t="e">
        <f>IF(AND('Mapa final'!#REF!="Baja",'Mapa final'!#REF!="Moderado"),CONCATENATE("R4C",'Mapa final'!#REF!),"")</f>
        <v>#REF!</v>
      </c>
      <c r="AA39" s="55" t="e">
        <f>IF(AND('Mapa final'!#REF!="Baja",'Mapa final'!#REF!="Moderado"),CONCATENATE("R4C",'Mapa final'!#REF!),"")</f>
        <v>#REF!</v>
      </c>
      <c r="AB39" s="38" t="e">
        <f>IF(AND('Mapa final'!#REF!="Baja",'Mapa final'!#REF!="Mayor"),CONCATENATE("R4C",'Mapa final'!#REF!),"")</f>
        <v>#REF!</v>
      </c>
      <c r="AC39" s="39" t="e">
        <f>IF(AND('Mapa final'!#REF!="Baja",'Mapa final'!#REF!="Mayor"),CONCATENATE("R4C",'Mapa final'!#REF!),"")</f>
        <v>#REF!</v>
      </c>
      <c r="AD39" s="39" t="e">
        <f>IF(AND('Mapa final'!#REF!="Baja",'Mapa final'!#REF!="Mayor"),CONCATENATE("R4C",'Mapa final'!#REF!),"")</f>
        <v>#REF!</v>
      </c>
      <c r="AE39" s="39" t="e">
        <f>IF(AND('Mapa final'!#REF!="Baja",'Mapa final'!#REF!="Mayor"),CONCATENATE("R4C",'Mapa final'!#REF!),"")</f>
        <v>#REF!</v>
      </c>
      <c r="AF39" s="39" t="e">
        <f>IF(AND('Mapa final'!#REF!="Baja",'Mapa final'!#REF!="Mayor"),CONCATENATE("R4C",'Mapa final'!#REF!),"")</f>
        <v>#REF!</v>
      </c>
      <c r="AG39" s="40" t="e">
        <f>IF(AND('Mapa final'!#REF!="Baja",'Mapa final'!#REF!="Mayor"),CONCATENATE("R4C",'Mapa final'!#REF!),"")</f>
        <v>#REF!</v>
      </c>
      <c r="AH39" s="41" t="e">
        <f>IF(AND('Mapa final'!#REF!="Baja",'Mapa final'!#REF!="Catastrófico"),CONCATENATE("R4C",'Mapa final'!#REF!),"")</f>
        <v>#REF!</v>
      </c>
      <c r="AI39" s="42" t="e">
        <f>IF(AND('Mapa final'!#REF!="Baja",'Mapa final'!#REF!="Catastrófico"),CONCATENATE("R4C",'Mapa final'!#REF!),"")</f>
        <v>#REF!</v>
      </c>
      <c r="AJ39" s="42" t="e">
        <f>IF(AND('Mapa final'!#REF!="Baja",'Mapa final'!#REF!="Catastrófico"),CONCATENATE("R4C",'Mapa final'!#REF!),"")</f>
        <v>#REF!</v>
      </c>
      <c r="AK39" s="42" t="e">
        <f>IF(AND('Mapa final'!#REF!="Baja",'Mapa final'!#REF!="Catastrófico"),CONCATENATE("R4C",'Mapa final'!#REF!),"")</f>
        <v>#REF!</v>
      </c>
      <c r="AL39" s="42" t="e">
        <f>IF(AND('Mapa final'!#REF!="Baja",'Mapa final'!#REF!="Catastrófico"),CONCATENATE("R4C",'Mapa final'!#REF!),"")</f>
        <v>#REF!</v>
      </c>
      <c r="AM39" s="43" t="e">
        <f>IF(AND('Mapa final'!#REF!="Baja",'Mapa final'!#REF!="Catastrófico"),CONCATENATE("R4C",'Mapa final'!#REF!),"")</f>
        <v>#REF!</v>
      </c>
      <c r="AN39" s="69"/>
      <c r="AO39" s="359"/>
      <c r="AP39" s="360"/>
      <c r="AQ39" s="360"/>
      <c r="AR39" s="360"/>
      <c r="AS39" s="360"/>
      <c r="AT39" s="361"/>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231"/>
      <c r="C40" s="231"/>
      <c r="D40" s="232"/>
      <c r="E40" s="339"/>
      <c r="F40" s="338"/>
      <c r="G40" s="338"/>
      <c r="H40" s="338"/>
      <c r="I40" s="338"/>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359"/>
      <c r="AP40" s="360"/>
      <c r="AQ40" s="360"/>
      <c r="AR40" s="360"/>
      <c r="AS40" s="360"/>
      <c r="AT40" s="361"/>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231"/>
      <c r="C41" s="231"/>
      <c r="D41" s="232"/>
      <c r="E41" s="339"/>
      <c r="F41" s="338"/>
      <c r="G41" s="338"/>
      <c r="H41" s="338"/>
      <c r="I41" s="338"/>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359"/>
      <c r="AP41" s="360"/>
      <c r="AQ41" s="360"/>
      <c r="AR41" s="360"/>
      <c r="AS41" s="360"/>
      <c r="AT41" s="361"/>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231"/>
      <c r="C42" s="231"/>
      <c r="D42" s="232"/>
      <c r="E42" s="339"/>
      <c r="F42" s="338"/>
      <c r="G42" s="338"/>
      <c r="H42" s="338"/>
      <c r="I42" s="338"/>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359"/>
      <c r="AP42" s="360"/>
      <c r="AQ42" s="360"/>
      <c r="AR42" s="360"/>
      <c r="AS42" s="360"/>
      <c r="AT42" s="361"/>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231"/>
      <c r="C43" s="231"/>
      <c r="D43" s="232"/>
      <c r="E43" s="339"/>
      <c r="F43" s="338"/>
      <c r="G43" s="338"/>
      <c r="H43" s="338"/>
      <c r="I43" s="338"/>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359"/>
      <c r="AP43" s="360"/>
      <c r="AQ43" s="360"/>
      <c r="AR43" s="360"/>
      <c r="AS43" s="360"/>
      <c r="AT43" s="361"/>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231"/>
      <c r="C44" s="231"/>
      <c r="D44" s="232"/>
      <c r="E44" s="339"/>
      <c r="F44" s="338"/>
      <c r="G44" s="338"/>
      <c r="H44" s="338"/>
      <c r="I44" s="338"/>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359"/>
      <c r="AP44" s="360"/>
      <c r="AQ44" s="360"/>
      <c r="AR44" s="360"/>
      <c r="AS44" s="360"/>
      <c r="AT44" s="361"/>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231"/>
      <c r="C45" s="231"/>
      <c r="D45" s="232"/>
      <c r="E45" s="340"/>
      <c r="F45" s="341"/>
      <c r="G45" s="341"/>
      <c r="H45" s="341"/>
      <c r="I45" s="341"/>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362"/>
      <c r="AP45" s="363"/>
      <c r="AQ45" s="363"/>
      <c r="AR45" s="363"/>
      <c r="AS45" s="363"/>
      <c r="AT45" s="364"/>
    </row>
    <row r="46" spans="1:80" ht="46.5" customHeight="1" x14ac:dyDescent="0.35">
      <c r="A46" s="69"/>
      <c r="B46" s="231"/>
      <c r="C46" s="231"/>
      <c r="D46" s="232"/>
      <c r="E46" s="335" t="s">
        <v>113</v>
      </c>
      <c r="F46" s="336"/>
      <c r="G46" s="336"/>
      <c r="H46" s="336"/>
      <c r="I46" s="353"/>
      <c r="J46" s="59" t="str">
        <f>IF(AND('Mapa final'!$Y$13="Muy Baja",'Mapa final'!$AA$13="Leve"),CONCATENATE("R1C",'Mapa final'!$O$13),"")</f>
        <v/>
      </c>
      <c r="K46" s="60" t="str">
        <f>IF(AND('Mapa final'!$Y$14="Muy Baja",'Mapa final'!$AA$14="Leve"),CONCATENATE("R1C",'Mapa final'!$O$14),"")</f>
        <v/>
      </c>
      <c r="L46" s="60" t="str">
        <f>IF(AND('Mapa final'!$Y$15="Muy Baja",'Mapa final'!$AA$15="Leve"),CONCATENATE("R1C",'Mapa final'!$O$15),"")</f>
        <v/>
      </c>
      <c r="M46" s="60" t="e">
        <f>IF(AND('Mapa final'!#REF!="Muy Baja",'Mapa final'!#REF!="Leve"),CONCATENATE("R1C",'Mapa final'!#REF!),"")</f>
        <v>#REF!</v>
      </c>
      <c r="N46" s="60" t="e">
        <f>IF(AND('Mapa final'!#REF!="Muy Baja",'Mapa final'!#REF!="Leve"),CONCATENATE("R1C",'Mapa final'!#REF!),"")</f>
        <v>#REF!</v>
      </c>
      <c r="O46" s="61" t="e">
        <f>IF(AND('Mapa final'!#REF!="Muy Baja",'Mapa final'!#REF!="Leve"),CONCATENATE("R1C",'Mapa final'!#REF!),"")</f>
        <v>#REF!</v>
      </c>
      <c r="P46" s="59" t="str">
        <f>IF(AND('Mapa final'!$Y$13="Muy Baja",'Mapa final'!$AA$13="Menor"),CONCATENATE("R1C",'Mapa final'!$O$13),"")</f>
        <v/>
      </c>
      <c r="Q46" s="60" t="str">
        <f>IF(AND('Mapa final'!$Y$14="Muy Baja",'Mapa final'!$AA$14="Menor"),CONCATENATE("R1C",'Mapa final'!$O$14),"")</f>
        <v/>
      </c>
      <c r="R46" s="60" t="str">
        <f>IF(AND('Mapa final'!$Y$15="Muy Baja",'Mapa final'!$AA$15="Menor"),CONCATENATE("R1C",'Mapa final'!$O$15),"")</f>
        <v/>
      </c>
      <c r="S46" s="60" t="e">
        <f>IF(AND('Mapa final'!#REF!="Muy Baja",'Mapa final'!#REF!="Menor"),CONCATENATE("R1C",'Mapa final'!#REF!),"")</f>
        <v>#REF!</v>
      </c>
      <c r="T46" s="60" t="e">
        <f>IF(AND('Mapa final'!#REF!="Muy Baja",'Mapa final'!#REF!="Menor"),CONCATENATE("R1C",'Mapa final'!#REF!),"")</f>
        <v>#REF!</v>
      </c>
      <c r="U46" s="61" t="e">
        <f>IF(AND('Mapa final'!#REF!="Muy Baja",'Mapa final'!#REF!="Menor"),CONCATENATE("R1C",'Mapa final'!#REF!),"")</f>
        <v>#REF!</v>
      </c>
      <c r="V46" s="50" t="str">
        <f>IF(AND('Mapa final'!$Y$13="Muy Baja",'Mapa final'!$AA$13="Moderado"),CONCATENATE("R1C",'Mapa final'!$O$13),"")</f>
        <v/>
      </c>
      <c r="W46" s="68" t="str">
        <f>IF(AND('Mapa final'!$Y$14="Muy Baja",'Mapa final'!$AA$14="Moderado"),CONCATENATE("R1C",'Mapa final'!$O$14),"")</f>
        <v/>
      </c>
      <c r="X46" s="51" t="str">
        <f>IF(AND('Mapa final'!$Y$15="Muy Baja",'Mapa final'!$AA$15="Moderado"),CONCATENATE("R1C",'Mapa final'!$O$15),"")</f>
        <v/>
      </c>
      <c r="Y46" s="51" t="e">
        <f>IF(AND('Mapa final'!#REF!="Muy Baja",'Mapa final'!#REF!="Moderado"),CONCATENATE("R1C",'Mapa final'!#REF!),"")</f>
        <v>#REF!</v>
      </c>
      <c r="Z46" s="51" t="e">
        <f>IF(AND('Mapa final'!#REF!="Muy Baja",'Mapa final'!#REF!="Moderado"),CONCATENATE("R1C",'Mapa final'!#REF!),"")</f>
        <v>#REF!</v>
      </c>
      <c r="AA46" s="52" t="e">
        <f>IF(AND('Mapa final'!#REF!="Muy Baja",'Mapa final'!#REF!="Moderado"),CONCATENATE("R1C",'Mapa final'!#REF!),"")</f>
        <v>#REF!</v>
      </c>
      <c r="AB46" s="32" t="str">
        <f>IF(AND('Mapa final'!$Y$13="Muy Baja",'Mapa final'!$AA$13="Mayor"),CONCATENATE("R1C",'Mapa final'!$O$13),"")</f>
        <v/>
      </c>
      <c r="AC46" s="33" t="str">
        <f>IF(AND('Mapa final'!$Y$14="Muy Baja",'Mapa final'!$AA$14="Mayor"),CONCATENATE("R1C",'Mapa final'!$O$14),"")</f>
        <v/>
      </c>
      <c r="AD46" s="33" t="str">
        <f>IF(AND('Mapa final'!$Y$15="Muy Baja",'Mapa final'!$AA$15="Mayor"),CONCATENATE("R1C",'Mapa final'!$O$15),"")</f>
        <v/>
      </c>
      <c r="AE46" s="33" t="e">
        <f>IF(AND('Mapa final'!#REF!="Muy Baja",'Mapa final'!#REF!="Mayor"),CONCATENATE("R1C",'Mapa final'!#REF!),"")</f>
        <v>#REF!</v>
      </c>
      <c r="AF46" s="33" t="e">
        <f>IF(AND('Mapa final'!#REF!="Muy Baja",'Mapa final'!#REF!="Mayor"),CONCATENATE("R1C",'Mapa final'!#REF!),"")</f>
        <v>#REF!</v>
      </c>
      <c r="AG46" s="34" t="e">
        <f>IF(AND('Mapa final'!#REF!="Muy Baja",'Mapa final'!#REF!="Mayor"),CONCATENATE("R1C",'Mapa final'!#REF!),"")</f>
        <v>#REF!</v>
      </c>
      <c r="AH46" s="35" t="str">
        <f>IF(AND('Mapa final'!$Y$13="Muy Baja",'Mapa final'!$AA$13="Catastrófico"),CONCATENATE("R1C",'Mapa final'!$O$13),"")</f>
        <v/>
      </c>
      <c r="AI46" s="36" t="str">
        <f>IF(AND('Mapa final'!$Y$14="Muy Baja",'Mapa final'!$AA$14="Catastrófico"),CONCATENATE("R1C",'Mapa final'!$O$14),"")</f>
        <v/>
      </c>
      <c r="AJ46" s="36" t="str">
        <f>IF(AND('Mapa final'!$Y$15="Muy Baja",'Mapa final'!$AA$15="Catastrófico"),CONCATENATE("R1C",'Mapa final'!$O$15),"")</f>
        <v/>
      </c>
      <c r="AK46" s="36" t="e">
        <f>IF(AND('Mapa final'!#REF!="Muy Baja",'Mapa final'!#REF!="Catastrófico"),CONCATENATE("R1C",'Mapa final'!#REF!),"")</f>
        <v>#REF!</v>
      </c>
      <c r="AL46" s="36" t="e">
        <f>IF(AND('Mapa final'!#REF!="Muy Baja",'Mapa final'!#REF!="Catastrófico"),CONCATENATE("R1C",'Mapa final'!#REF!),"")</f>
        <v>#REF!</v>
      </c>
      <c r="AM46" s="37" t="e">
        <f>IF(AND('Mapa final'!#REF!="Muy Baja",'Mapa final'!#REF!="Catastrófico"),CONCATENATE("R1C",'Mapa final'!#REF!),"")</f>
        <v>#REF!</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231"/>
      <c r="C47" s="231"/>
      <c r="D47" s="232"/>
      <c r="E47" s="337"/>
      <c r="F47" s="338"/>
      <c r="G47" s="338"/>
      <c r="H47" s="338"/>
      <c r="I47" s="354"/>
      <c r="J47" s="62" t="str">
        <f>IF(AND('Mapa final'!$Y$16="Muy Baja",'Mapa final'!$AA$16="Leve"),CONCATENATE("R2C",'Mapa final'!$O$16),"")</f>
        <v/>
      </c>
      <c r="K47" s="63" t="str">
        <f>IF(AND('Mapa final'!$Y$17="Muy Baja",'Mapa final'!$AA$17="Leve"),CONCATENATE("R2C",'Mapa final'!$O$17),"")</f>
        <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str">
        <f>IF(AND('Mapa final'!$Y$16="Muy Baja",'Mapa final'!$AA$16="Menor"),CONCATENATE("R2C",'Mapa final'!$O$16),"")</f>
        <v/>
      </c>
      <c r="Q47" s="63" t="str">
        <f>IF(AND('Mapa final'!$Y$17="Muy Baja",'Mapa final'!$AA$17="Menor"),CONCATENATE("R2C",'Mapa final'!$O$17),"")</f>
        <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str">
        <f>IF(AND('Mapa final'!$Y$16="Muy Baja",'Mapa final'!$AA$16="Moderado"),CONCATENATE("R2C",'Mapa final'!$O$16),"")</f>
        <v/>
      </c>
      <c r="W47" s="54" t="str">
        <f>IF(AND('Mapa final'!$Y$17="Muy Baja",'Mapa final'!$AA$17="Moderado"),CONCATENATE("R2C",'Mapa final'!$O$17),"")</f>
        <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str">
        <f>IF(AND('Mapa final'!$Y$16="Muy Baja",'Mapa final'!$AA$16="Mayor"),CONCATENATE("R2C",'Mapa final'!$O$16),"")</f>
        <v/>
      </c>
      <c r="AC47" s="39" t="str">
        <f>IF(AND('Mapa final'!$Y$17="Muy Baja",'Mapa final'!$AA$17="Mayor"),CONCATENATE("R2C",'Mapa final'!$O$17),"")</f>
        <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str">
        <f>IF(AND('Mapa final'!$Y$16="Muy Baja",'Mapa final'!$AA$16="Catastrófico"),CONCATENATE("R2C",'Mapa final'!$O$16),"")</f>
        <v/>
      </c>
      <c r="AI47" s="42" t="str">
        <f>IF(AND('Mapa final'!$Y$17="Muy Baja",'Mapa final'!$AA$17="Catastrófico"),CONCATENATE("R2C",'Mapa final'!$O$17),"")</f>
        <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231"/>
      <c r="C48" s="231"/>
      <c r="D48" s="232"/>
      <c r="E48" s="337"/>
      <c r="F48" s="338"/>
      <c r="G48" s="338"/>
      <c r="H48" s="338"/>
      <c r="I48" s="354"/>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231"/>
      <c r="C49" s="231"/>
      <c r="D49" s="232"/>
      <c r="E49" s="339"/>
      <c r="F49" s="338"/>
      <c r="G49" s="338"/>
      <c r="H49" s="338"/>
      <c r="I49" s="354"/>
      <c r="J49" s="62" t="e">
        <f>IF(AND('Mapa final'!#REF!="Muy Baja",'Mapa final'!#REF!="Leve"),CONCATENATE("R4C",'Mapa final'!#REF!),"")</f>
        <v>#REF!</v>
      </c>
      <c r="K49" s="63" t="e">
        <f>IF(AND('Mapa final'!#REF!="Muy Baja",'Mapa final'!#REF!="Leve"),CONCATENATE("R4C",'Mapa final'!#REF!),"")</f>
        <v>#REF!</v>
      </c>
      <c r="L49" s="63" t="e">
        <f>IF(AND('Mapa final'!#REF!="Muy Baja",'Mapa final'!#REF!="Leve"),CONCATENATE("R4C",'Mapa final'!#REF!),"")</f>
        <v>#REF!</v>
      </c>
      <c r="M49" s="63" t="e">
        <f>IF(AND('Mapa final'!#REF!="Muy Baja",'Mapa final'!#REF!="Leve"),CONCATENATE("R4C",'Mapa final'!#REF!),"")</f>
        <v>#REF!</v>
      </c>
      <c r="N49" s="63" t="e">
        <f>IF(AND('Mapa final'!#REF!="Muy Baja",'Mapa final'!#REF!="Leve"),CONCATENATE("R4C",'Mapa final'!#REF!),"")</f>
        <v>#REF!</v>
      </c>
      <c r="O49" s="64" t="e">
        <f>IF(AND('Mapa final'!#REF!="Muy Baja",'Mapa final'!#REF!="Leve"),CONCATENATE("R4C",'Mapa final'!#REF!),"")</f>
        <v>#REF!</v>
      </c>
      <c r="P49" s="62" t="e">
        <f>IF(AND('Mapa final'!#REF!="Muy Baja",'Mapa final'!#REF!="Menor"),CONCATENATE("R4C",'Mapa final'!#REF!),"")</f>
        <v>#REF!</v>
      </c>
      <c r="Q49" s="63" t="e">
        <f>IF(AND('Mapa final'!#REF!="Muy Baja",'Mapa final'!#REF!="Menor"),CONCATENATE("R4C",'Mapa final'!#REF!),"")</f>
        <v>#REF!</v>
      </c>
      <c r="R49" s="63" t="e">
        <f>IF(AND('Mapa final'!#REF!="Muy Baja",'Mapa final'!#REF!="Menor"),CONCATENATE("R4C",'Mapa final'!#REF!),"")</f>
        <v>#REF!</v>
      </c>
      <c r="S49" s="63" t="e">
        <f>IF(AND('Mapa final'!#REF!="Muy Baja",'Mapa final'!#REF!="Menor"),CONCATENATE("R4C",'Mapa final'!#REF!),"")</f>
        <v>#REF!</v>
      </c>
      <c r="T49" s="63" t="e">
        <f>IF(AND('Mapa final'!#REF!="Muy Baja",'Mapa final'!#REF!="Menor"),CONCATENATE("R4C",'Mapa final'!#REF!),"")</f>
        <v>#REF!</v>
      </c>
      <c r="U49" s="64" t="e">
        <f>IF(AND('Mapa final'!#REF!="Muy Baja",'Mapa final'!#REF!="Menor"),CONCATENATE("R4C",'Mapa final'!#REF!),"")</f>
        <v>#REF!</v>
      </c>
      <c r="V49" s="53" t="e">
        <f>IF(AND('Mapa final'!#REF!="Muy Baja",'Mapa final'!#REF!="Moderado"),CONCATENATE("R4C",'Mapa final'!#REF!),"")</f>
        <v>#REF!</v>
      </c>
      <c r="W49" s="54" t="e">
        <f>IF(AND('Mapa final'!#REF!="Muy Baja",'Mapa final'!#REF!="Moderado"),CONCATENATE("R4C",'Mapa final'!#REF!),"")</f>
        <v>#REF!</v>
      </c>
      <c r="X49" s="54" t="e">
        <f>IF(AND('Mapa final'!#REF!="Muy Baja",'Mapa final'!#REF!="Moderado"),CONCATENATE("R4C",'Mapa final'!#REF!),"")</f>
        <v>#REF!</v>
      </c>
      <c r="Y49" s="54" t="e">
        <f>IF(AND('Mapa final'!#REF!="Muy Baja",'Mapa final'!#REF!="Moderado"),CONCATENATE("R4C",'Mapa final'!#REF!),"")</f>
        <v>#REF!</v>
      </c>
      <c r="Z49" s="54" t="e">
        <f>IF(AND('Mapa final'!#REF!="Muy Baja",'Mapa final'!#REF!="Moderado"),CONCATENATE("R4C",'Mapa final'!#REF!),"")</f>
        <v>#REF!</v>
      </c>
      <c r="AA49" s="55" t="e">
        <f>IF(AND('Mapa final'!#REF!="Muy Baja",'Mapa final'!#REF!="Moderado"),CONCATENATE("R4C",'Mapa final'!#REF!),"")</f>
        <v>#REF!</v>
      </c>
      <c r="AB49" s="38" t="e">
        <f>IF(AND('Mapa final'!#REF!="Muy Baja",'Mapa final'!#REF!="Mayor"),CONCATENATE("R4C",'Mapa final'!#REF!),"")</f>
        <v>#REF!</v>
      </c>
      <c r="AC49" s="39" t="e">
        <f>IF(AND('Mapa final'!#REF!="Muy Baja",'Mapa final'!#REF!="Mayor"),CONCATENATE("R4C",'Mapa final'!#REF!),"")</f>
        <v>#REF!</v>
      </c>
      <c r="AD49" s="39" t="e">
        <f>IF(AND('Mapa final'!#REF!="Muy Baja",'Mapa final'!#REF!="Mayor"),CONCATENATE("R4C",'Mapa final'!#REF!),"")</f>
        <v>#REF!</v>
      </c>
      <c r="AE49" s="39" t="e">
        <f>IF(AND('Mapa final'!#REF!="Muy Baja",'Mapa final'!#REF!="Mayor"),CONCATENATE("R4C",'Mapa final'!#REF!),"")</f>
        <v>#REF!</v>
      </c>
      <c r="AF49" s="39" t="e">
        <f>IF(AND('Mapa final'!#REF!="Muy Baja",'Mapa final'!#REF!="Mayor"),CONCATENATE("R4C",'Mapa final'!#REF!),"")</f>
        <v>#REF!</v>
      </c>
      <c r="AG49" s="40" t="e">
        <f>IF(AND('Mapa final'!#REF!="Muy Baja",'Mapa final'!#REF!="Mayor"),CONCATENATE("R4C",'Mapa final'!#REF!),"")</f>
        <v>#REF!</v>
      </c>
      <c r="AH49" s="41" t="e">
        <f>IF(AND('Mapa final'!#REF!="Muy Baja",'Mapa final'!#REF!="Catastrófico"),CONCATENATE("R4C",'Mapa final'!#REF!),"")</f>
        <v>#REF!</v>
      </c>
      <c r="AI49" s="42" t="e">
        <f>IF(AND('Mapa final'!#REF!="Muy Baja",'Mapa final'!#REF!="Catastrófico"),CONCATENATE("R4C",'Mapa final'!#REF!),"")</f>
        <v>#REF!</v>
      </c>
      <c r="AJ49" s="42" t="e">
        <f>IF(AND('Mapa final'!#REF!="Muy Baja",'Mapa final'!#REF!="Catastrófico"),CONCATENATE("R4C",'Mapa final'!#REF!),"")</f>
        <v>#REF!</v>
      </c>
      <c r="AK49" s="42" t="e">
        <f>IF(AND('Mapa final'!#REF!="Muy Baja",'Mapa final'!#REF!="Catastrófico"),CONCATENATE("R4C",'Mapa final'!#REF!),"")</f>
        <v>#REF!</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231"/>
      <c r="C50" s="231"/>
      <c r="D50" s="232"/>
      <c r="E50" s="339"/>
      <c r="F50" s="338"/>
      <c r="G50" s="338"/>
      <c r="H50" s="338"/>
      <c r="I50" s="354"/>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231"/>
      <c r="C51" s="231"/>
      <c r="D51" s="232"/>
      <c r="E51" s="339"/>
      <c r="F51" s="338"/>
      <c r="G51" s="338"/>
      <c r="H51" s="338"/>
      <c r="I51" s="354"/>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231"/>
      <c r="C52" s="231"/>
      <c r="D52" s="232"/>
      <c r="E52" s="339"/>
      <c r="F52" s="338"/>
      <c r="G52" s="338"/>
      <c r="H52" s="338"/>
      <c r="I52" s="354"/>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231"/>
      <c r="C53" s="231"/>
      <c r="D53" s="232"/>
      <c r="E53" s="339"/>
      <c r="F53" s="338"/>
      <c r="G53" s="338"/>
      <c r="H53" s="338"/>
      <c r="I53" s="354"/>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231"/>
      <c r="C54" s="231"/>
      <c r="D54" s="232"/>
      <c r="E54" s="339"/>
      <c r="F54" s="338"/>
      <c r="G54" s="338"/>
      <c r="H54" s="338"/>
      <c r="I54" s="354"/>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231"/>
      <c r="C55" s="231"/>
      <c r="D55" s="232"/>
      <c r="E55" s="340"/>
      <c r="F55" s="341"/>
      <c r="G55" s="341"/>
      <c r="H55" s="341"/>
      <c r="I55" s="355"/>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35" t="s">
        <v>112</v>
      </c>
      <c r="K56" s="336"/>
      <c r="L56" s="336"/>
      <c r="M56" s="336"/>
      <c r="N56" s="336"/>
      <c r="O56" s="353"/>
      <c r="P56" s="335" t="s">
        <v>111</v>
      </c>
      <c r="Q56" s="336"/>
      <c r="R56" s="336"/>
      <c r="S56" s="336"/>
      <c r="T56" s="336"/>
      <c r="U56" s="353"/>
      <c r="V56" s="335" t="s">
        <v>110</v>
      </c>
      <c r="W56" s="336"/>
      <c r="X56" s="336"/>
      <c r="Y56" s="336"/>
      <c r="Z56" s="336"/>
      <c r="AA56" s="353"/>
      <c r="AB56" s="335" t="s">
        <v>109</v>
      </c>
      <c r="AC56" s="374"/>
      <c r="AD56" s="336"/>
      <c r="AE56" s="336"/>
      <c r="AF56" s="336"/>
      <c r="AG56" s="353"/>
      <c r="AH56" s="335" t="s">
        <v>108</v>
      </c>
      <c r="AI56" s="336"/>
      <c r="AJ56" s="336"/>
      <c r="AK56" s="336"/>
      <c r="AL56" s="336"/>
      <c r="AM56" s="353"/>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39"/>
      <c r="K57" s="338"/>
      <c r="L57" s="338"/>
      <c r="M57" s="338"/>
      <c r="N57" s="338"/>
      <c r="O57" s="354"/>
      <c r="P57" s="339"/>
      <c r="Q57" s="338"/>
      <c r="R57" s="338"/>
      <c r="S57" s="338"/>
      <c r="T57" s="338"/>
      <c r="U57" s="354"/>
      <c r="V57" s="339"/>
      <c r="W57" s="338"/>
      <c r="X57" s="338"/>
      <c r="Y57" s="338"/>
      <c r="Z57" s="338"/>
      <c r="AA57" s="354"/>
      <c r="AB57" s="339"/>
      <c r="AC57" s="338"/>
      <c r="AD57" s="338"/>
      <c r="AE57" s="338"/>
      <c r="AF57" s="338"/>
      <c r="AG57" s="354"/>
      <c r="AH57" s="339"/>
      <c r="AI57" s="338"/>
      <c r="AJ57" s="338"/>
      <c r="AK57" s="338"/>
      <c r="AL57" s="338"/>
      <c r="AM57" s="354"/>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39"/>
      <c r="K58" s="338"/>
      <c r="L58" s="338"/>
      <c r="M58" s="338"/>
      <c r="N58" s="338"/>
      <c r="O58" s="354"/>
      <c r="P58" s="339"/>
      <c r="Q58" s="338"/>
      <c r="R58" s="338"/>
      <c r="S58" s="338"/>
      <c r="T58" s="338"/>
      <c r="U58" s="354"/>
      <c r="V58" s="339"/>
      <c r="W58" s="338"/>
      <c r="X58" s="338"/>
      <c r="Y58" s="338"/>
      <c r="Z58" s="338"/>
      <c r="AA58" s="354"/>
      <c r="AB58" s="339"/>
      <c r="AC58" s="338"/>
      <c r="AD58" s="338"/>
      <c r="AE58" s="338"/>
      <c r="AF58" s="338"/>
      <c r="AG58" s="354"/>
      <c r="AH58" s="339"/>
      <c r="AI58" s="338"/>
      <c r="AJ58" s="338"/>
      <c r="AK58" s="338"/>
      <c r="AL58" s="338"/>
      <c r="AM58" s="354"/>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39"/>
      <c r="K59" s="338"/>
      <c r="L59" s="338"/>
      <c r="M59" s="338"/>
      <c r="N59" s="338"/>
      <c r="O59" s="354"/>
      <c r="P59" s="339"/>
      <c r="Q59" s="338"/>
      <c r="R59" s="338"/>
      <c r="S59" s="338"/>
      <c r="T59" s="338"/>
      <c r="U59" s="354"/>
      <c r="V59" s="339"/>
      <c r="W59" s="338"/>
      <c r="X59" s="338"/>
      <c r="Y59" s="338"/>
      <c r="Z59" s="338"/>
      <c r="AA59" s="354"/>
      <c r="AB59" s="339"/>
      <c r="AC59" s="338"/>
      <c r="AD59" s="338"/>
      <c r="AE59" s="338"/>
      <c r="AF59" s="338"/>
      <c r="AG59" s="354"/>
      <c r="AH59" s="339"/>
      <c r="AI59" s="338"/>
      <c r="AJ59" s="338"/>
      <c r="AK59" s="338"/>
      <c r="AL59" s="338"/>
      <c r="AM59" s="354"/>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39"/>
      <c r="K60" s="338"/>
      <c r="L60" s="338"/>
      <c r="M60" s="338"/>
      <c r="N60" s="338"/>
      <c r="O60" s="354"/>
      <c r="P60" s="339"/>
      <c r="Q60" s="338"/>
      <c r="R60" s="338"/>
      <c r="S60" s="338"/>
      <c r="T60" s="338"/>
      <c r="U60" s="354"/>
      <c r="V60" s="339"/>
      <c r="W60" s="338"/>
      <c r="X60" s="338"/>
      <c r="Y60" s="338"/>
      <c r="Z60" s="338"/>
      <c r="AA60" s="354"/>
      <c r="AB60" s="339"/>
      <c r="AC60" s="338"/>
      <c r="AD60" s="338"/>
      <c r="AE60" s="338"/>
      <c r="AF60" s="338"/>
      <c r="AG60" s="354"/>
      <c r="AH60" s="339"/>
      <c r="AI60" s="338"/>
      <c r="AJ60" s="338"/>
      <c r="AK60" s="338"/>
      <c r="AL60" s="338"/>
      <c r="AM60" s="354"/>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40"/>
      <c r="K61" s="341"/>
      <c r="L61" s="341"/>
      <c r="M61" s="341"/>
      <c r="N61" s="341"/>
      <c r="O61" s="355"/>
      <c r="P61" s="340"/>
      <c r="Q61" s="341"/>
      <c r="R61" s="341"/>
      <c r="S61" s="341"/>
      <c r="T61" s="341"/>
      <c r="U61" s="355"/>
      <c r="V61" s="340"/>
      <c r="W61" s="341"/>
      <c r="X61" s="341"/>
      <c r="Y61" s="341"/>
      <c r="Z61" s="341"/>
      <c r="AA61" s="355"/>
      <c r="AB61" s="340"/>
      <c r="AC61" s="341"/>
      <c r="AD61" s="341"/>
      <c r="AE61" s="341"/>
      <c r="AF61" s="341"/>
      <c r="AG61" s="355"/>
      <c r="AH61" s="340"/>
      <c r="AI61" s="341"/>
      <c r="AJ61" s="341"/>
      <c r="AK61" s="341"/>
      <c r="AL61" s="341"/>
      <c r="AM61" s="355"/>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D6" sqref="D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375" t="s">
        <v>55</v>
      </c>
      <c r="C1" s="375"/>
      <c r="D1" s="375"/>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zoomScale="60" zoomScaleNormal="60" workbookViewId="0">
      <selection activeCell="B7" sqref="B7"/>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376" t="s">
        <v>63</v>
      </c>
      <c r="C1" s="376"/>
      <c r="D1" s="376"/>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155</v>
      </c>
      <c r="D4" s="23" t="s">
        <v>97</v>
      </c>
      <c r="E4" s="69"/>
      <c r="F4" s="69"/>
      <c r="G4" s="69"/>
      <c r="H4" s="69"/>
      <c r="I4" s="69"/>
      <c r="J4" s="69"/>
      <c r="K4" s="69"/>
      <c r="L4" s="69"/>
      <c r="M4" s="69"/>
      <c r="N4" s="69"/>
      <c r="O4" s="69"/>
      <c r="P4" s="69"/>
      <c r="Q4" s="69"/>
      <c r="R4" s="69"/>
      <c r="S4" s="69"/>
      <c r="T4" s="69"/>
      <c r="U4" s="69"/>
    </row>
    <row r="5" spans="1:21" ht="67.5" x14ac:dyDescent="0.25">
      <c r="A5" s="89" t="s">
        <v>84</v>
      </c>
      <c r="B5" s="26" t="s">
        <v>59</v>
      </c>
      <c r="C5" s="31" t="s">
        <v>93</v>
      </c>
      <c r="D5" s="24" t="s">
        <v>98</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143</v>
      </c>
      <c r="D11" s="89" t="s">
        <v>150</v>
      </c>
      <c r="E11" s="69"/>
      <c r="F11" s="69"/>
      <c r="G11" s="69"/>
      <c r="H11" s="69"/>
      <c r="I11" s="69"/>
      <c r="J11" s="69"/>
      <c r="K11" s="69"/>
      <c r="L11" s="69"/>
      <c r="M11" s="69"/>
      <c r="N11" s="69"/>
      <c r="O11" s="69"/>
      <c r="P11" s="69"/>
      <c r="Q11" s="69"/>
      <c r="R11" s="69"/>
      <c r="S11" s="69"/>
      <c r="T11" s="69"/>
      <c r="U11" s="69"/>
    </row>
    <row r="12" spans="1:21" x14ac:dyDescent="0.25">
      <c r="A12" s="89"/>
      <c r="B12" s="89" t="s">
        <v>89</v>
      </c>
      <c r="C12" s="89" t="s">
        <v>147</v>
      </c>
      <c r="D12" s="89" t="s">
        <v>151</v>
      </c>
      <c r="E12" s="69"/>
      <c r="F12" s="69"/>
      <c r="G12" s="69"/>
      <c r="H12" s="69"/>
      <c r="I12" s="69"/>
      <c r="J12" s="69"/>
      <c r="K12" s="69"/>
      <c r="L12" s="69"/>
      <c r="M12" s="69"/>
      <c r="N12" s="69"/>
      <c r="O12" s="69"/>
      <c r="P12" s="69"/>
      <c r="Q12" s="69"/>
      <c r="R12" s="69"/>
      <c r="S12" s="69"/>
      <c r="T12" s="69"/>
      <c r="U12" s="69"/>
    </row>
    <row r="13" spans="1:21" x14ac:dyDescent="0.25">
      <c r="A13" s="89"/>
      <c r="B13" s="89"/>
      <c r="C13" s="89" t="s">
        <v>146</v>
      </c>
      <c r="D13" s="89" t="s">
        <v>152</v>
      </c>
      <c r="E13" s="69"/>
      <c r="F13" s="69"/>
      <c r="G13" s="69"/>
      <c r="H13" s="69"/>
      <c r="I13" s="69"/>
      <c r="J13" s="69"/>
      <c r="K13" s="69"/>
      <c r="L13" s="69"/>
      <c r="M13" s="69"/>
      <c r="N13" s="69"/>
      <c r="O13" s="69"/>
      <c r="P13" s="69"/>
      <c r="Q13" s="69"/>
      <c r="R13" s="69"/>
      <c r="S13" s="69"/>
      <c r="T13" s="69"/>
      <c r="U13" s="69"/>
    </row>
    <row r="14" spans="1:21" x14ac:dyDescent="0.25">
      <c r="A14" s="89"/>
      <c r="B14" s="89"/>
      <c r="C14" s="89" t="s">
        <v>148</v>
      </c>
      <c r="D14" s="89" t="s">
        <v>153</v>
      </c>
      <c r="E14" s="69"/>
      <c r="F14" s="69"/>
      <c r="G14" s="69"/>
      <c r="H14" s="69"/>
      <c r="I14" s="69"/>
      <c r="J14" s="69"/>
      <c r="K14" s="69"/>
      <c r="L14" s="69"/>
      <c r="M14" s="69"/>
      <c r="N14" s="69"/>
      <c r="O14" s="69"/>
      <c r="P14" s="69"/>
      <c r="Q14" s="69"/>
      <c r="R14" s="69"/>
      <c r="S14" s="69"/>
      <c r="T14" s="69"/>
      <c r="U14" s="69"/>
    </row>
    <row r="15" spans="1:21" x14ac:dyDescent="0.25">
      <c r="A15" s="89"/>
      <c r="B15" s="89"/>
      <c r="C15" s="89" t="s">
        <v>149</v>
      </c>
      <c r="D15" s="89" t="s">
        <v>154</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142</v>
      </c>
      <c r="D209" s="19" t="s">
        <v>88</v>
      </c>
      <c r="E209" s="19" t="s">
        <v>142</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98</v>
      </c>
      <c r="F218" t="str">
        <f t="shared" si="0"/>
        <v xml:space="preserve">     El riesgo afecta la imagen de la entidad internamente, de conocimiento general, nivel interno, de junta dircetiva y accionistas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144</v>
      </c>
    </row>
    <row r="224" spans="1:8" x14ac:dyDescent="0.25">
      <c r="B224" s="14"/>
      <c r="C224" s="14"/>
      <c r="F224" s="21" t="s">
        <v>145</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zoomScale="115" zoomScaleNormal="115" workbookViewId="0">
      <selection activeCell="C13" sqref="C13:E14"/>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377" t="s">
        <v>78</v>
      </c>
      <c r="C1" s="378"/>
      <c r="D1" s="378"/>
      <c r="E1" s="378"/>
      <c r="F1" s="379"/>
    </row>
    <row r="2" spans="2:6" ht="16.5" thickBot="1" x14ac:dyDescent="0.3">
      <c r="B2" s="75"/>
      <c r="C2" s="75"/>
      <c r="D2" s="75"/>
      <c r="E2" s="75"/>
      <c r="F2" s="75"/>
    </row>
    <row r="3" spans="2:6" ht="16.5" thickBot="1" x14ac:dyDescent="0.25">
      <c r="B3" s="381" t="s">
        <v>64</v>
      </c>
      <c r="C3" s="382"/>
      <c r="D3" s="382"/>
      <c r="E3" s="87" t="s">
        <v>65</v>
      </c>
      <c r="F3" s="88" t="s">
        <v>66</v>
      </c>
    </row>
    <row r="4" spans="2:6" ht="31.5" x14ac:dyDescent="0.2">
      <c r="B4" s="383" t="s">
        <v>67</v>
      </c>
      <c r="C4" s="385" t="s">
        <v>13</v>
      </c>
      <c r="D4" s="76" t="s">
        <v>14</v>
      </c>
      <c r="E4" s="77" t="s">
        <v>68</v>
      </c>
      <c r="F4" s="78">
        <v>0.25</v>
      </c>
    </row>
    <row r="5" spans="2:6" ht="47.25" x14ac:dyDescent="0.2">
      <c r="B5" s="384"/>
      <c r="C5" s="386"/>
      <c r="D5" s="79" t="s">
        <v>15</v>
      </c>
      <c r="E5" s="80" t="s">
        <v>69</v>
      </c>
      <c r="F5" s="81">
        <v>0.15</v>
      </c>
    </row>
    <row r="6" spans="2:6" ht="47.25" x14ac:dyDescent="0.2">
      <c r="B6" s="384"/>
      <c r="C6" s="386"/>
      <c r="D6" s="79" t="s">
        <v>16</v>
      </c>
      <c r="E6" s="80" t="s">
        <v>70</v>
      </c>
      <c r="F6" s="81">
        <v>0.1</v>
      </c>
    </row>
    <row r="7" spans="2:6" ht="63" x14ac:dyDescent="0.2">
      <c r="B7" s="384"/>
      <c r="C7" s="386" t="s">
        <v>17</v>
      </c>
      <c r="D7" s="79" t="s">
        <v>10</v>
      </c>
      <c r="E7" s="80" t="s">
        <v>71</v>
      </c>
      <c r="F7" s="81">
        <v>0.25</v>
      </c>
    </row>
    <row r="8" spans="2:6" ht="31.5" x14ac:dyDescent="0.2">
      <c r="B8" s="384"/>
      <c r="C8" s="386"/>
      <c r="D8" s="79" t="s">
        <v>9</v>
      </c>
      <c r="E8" s="80" t="s">
        <v>72</v>
      </c>
      <c r="F8" s="81">
        <v>0.15</v>
      </c>
    </row>
    <row r="9" spans="2:6" ht="47.25" x14ac:dyDescent="0.2">
      <c r="B9" s="384" t="s">
        <v>159</v>
      </c>
      <c r="C9" s="386" t="s">
        <v>18</v>
      </c>
      <c r="D9" s="79" t="s">
        <v>19</v>
      </c>
      <c r="E9" s="80" t="s">
        <v>73</v>
      </c>
      <c r="F9" s="82" t="s">
        <v>74</v>
      </c>
    </row>
    <row r="10" spans="2:6" ht="63" x14ac:dyDescent="0.2">
      <c r="B10" s="384"/>
      <c r="C10" s="386"/>
      <c r="D10" s="79" t="s">
        <v>20</v>
      </c>
      <c r="E10" s="80" t="s">
        <v>75</v>
      </c>
      <c r="F10" s="82" t="s">
        <v>74</v>
      </c>
    </row>
    <row r="11" spans="2:6" ht="47.25" x14ac:dyDescent="0.2">
      <c r="B11" s="384"/>
      <c r="C11" s="386" t="s">
        <v>21</v>
      </c>
      <c r="D11" s="79" t="s">
        <v>22</v>
      </c>
      <c r="E11" s="80" t="s">
        <v>76</v>
      </c>
      <c r="F11" s="82" t="s">
        <v>74</v>
      </c>
    </row>
    <row r="12" spans="2:6" ht="47.25" x14ac:dyDescent="0.2">
      <c r="B12" s="384"/>
      <c r="C12" s="386"/>
      <c r="D12" s="79" t="s">
        <v>23</v>
      </c>
      <c r="E12" s="80" t="s">
        <v>77</v>
      </c>
      <c r="F12" s="82" t="s">
        <v>74</v>
      </c>
    </row>
    <row r="13" spans="2:6" ht="31.5" x14ac:dyDescent="0.2">
      <c r="B13" s="384"/>
      <c r="C13" s="386" t="s">
        <v>24</v>
      </c>
      <c r="D13" s="79" t="s">
        <v>119</v>
      </c>
      <c r="E13" s="80" t="s">
        <v>122</v>
      </c>
      <c r="F13" s="82" t="s">
        <v>74</v>
      </c>
    </row>
    <row r="14" spans="2:6" ht="32.25" thickBot="1" x14ac:dyDescent="0.25">
      <c r="B14" s="387"/>
      <c r="C14" s="388"/>
      <c r="D14" s="83" t="s">
        <v>120</v>
      </c>
      <c r="E14" s="84" t="s">
        <v>121</v>
      </c>
      <c r="F14" s="85" t="s">
        <v>74</v>
      </c>
    </row>
    <row r="15" spans="2:6" ht="49.5" customHeight="1" x14ac:dyDescent="0.2">
      <c r="B15" s="380" t="s">
        <v>156</v>
      </c>
      <c r="C15" s="380"/>
      <c r="D15" s="380"/>
      <c r="E15" s="380"/>
      <c r="F15" s="380"/>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Instructivo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cp:lastPrinted>2020-05-13T01:12:22Z</cp:lastPrinted>
  <dcterms:created xsi:type="dcterms:W3CDTF">2020-03-24T23:12:47Z</dcterms:created>
  <dcterms:modified xsi:type="dcterms:W3CDTF">2026-01-28T18:00:26Z</dcterms:modified>
</cp:coreProperties>
</file>