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pivotTables/pivotTable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30.30.30.51\compartida\SGC CONCEJO CHIA 2025\6. Riesgos y oportunidades\Riesgos Relacionamiento con la Ciudadanía\"/>
    </mc:Choice>
  </mc:AlternateContent>
  <xr:revisionPtr revIDLastSave="0" documentId="13_ncr:1_{14A6F7EE-4808-401F-BE9E-2DF7232157B1}" xr6:coauthVersionLast="47" xr6:coauthVersionMax="47" xr10:uidLastSave="{00000000-0000-0000-0000-000000000000}"/>
  <bookViews>
    <workbookView xWindow="-120" yWindow="-120" windowWidth="29040" windowHeight="15720" tabRatio="882" activeTab="1" xr2:uid="{00000000-000D-0000-FFFF-FFFF00000000}"/>
  </bookViews>
  <sheets>
    <sheet name="Intructivo" sheetId="20" r:id="rId1"/>
    <sheet name="Mapa final" sheetId="1" r:id="rId2"/>
    <sheet name="Matriz Calor Inherente" sheetId="18" r:id="rId3"/>
    <sheet name="Matriz Calor Residual" sheetId="19" r:id="rId4"/>
    <sheet name="Tabla probabilidad" sheetId="12" r:id="rId5"/>
    <sheet name="Tabla Impacto" sheetId="13" r:id="rId6"/>
    <sheet name="Tabla Valoración controles" sheetId="15" r:id="rId7"/>
    <sheet name="Opciones Tratamiento" sheetId="16" state="hidden" r:id="rId8"/>
    <sheet name="Hoja1" sheetId="11" state="hidden" r:id="rId9"/>
  </sheets>
  <externalReferences>
    <externalReference r:id="rId10"/>
  </externalReferences>
  <calcPr calcId="191029"/>
  <pivotCaches>
    <pivotCache cacheId="0"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 i="1" l="1"/>
  <c r="K21" i="1"/>
  <c r="K20" i="1"/>
  <c r="K19" i="1"/>
  <c r="K18" i="1"/>
  <c r="K17" i="1"/>
  <c r="L17" i="1" s="1"/>
  <c r="H17" i="1"/>
  <c r="K16" i="1"/>
  <c r="K15" i="1"/>
  <c r="K14" i="1"/>
  <c r="K13" i="1"/>
  <c r="L13" i="1" s="1"/>
  <c r="H13" i="1"/>
  <c r="AB14" i="1"/>
  <c r="AA14" i="1" s="1"/>
  <c r="T14" i="1"/>
  <c r="N13" i="1" l="1"/>
  <c r="M13" i="1"/>
  <c r="N17" i="1"/>
  <c r="M17" i="1"/>
  <c r="I17" i="1"/>
  <c r="I13" i="1"/>
  <c r="F221" i="13"/>
  <c r="F211" i="13"/>
  <c r="F212" i="13"/>
  <c r="F213" i="13"/>
  <c r="F214" i="13"/>
  <c r="F215" i="13"/>
  <c r="F216" i="13"/>
  <c r="F217" i="13"/>
  <c r="F218" i="13"/>
  <c r="F219" i="13"/>
  <c r="F220" i="13"/>
  <c r="F210" i="13"/>
  <c r="B221" i="13" a="1"/>
  <c r="B221" i="13" l="1"/>
  <c r="AL44" i="18" l="1"/>
  <c r="AJ44" i="18"/>
  <c r="AF44" i="18"/>
  <c r="AD44" i="18"/>
  <c r="Z44" i="18"/>
  <c r="X44" i="18"/>
  <c r="T44" i="18"/>
  <c r="R44" i="18"/>
  <c r="N44" i="18"/>
  <c r="L44" i="18"/>
  <c r="AL36" i="18"/>
  <c r="AJ36" i="18"/>
  <c r="AF36" i="18"/>
  <c r="AD36" i="18"/>
  <c r="Z36" i="18"/>
  <c r="X36" i="18"/>
  <c r="T36" i="18"/>
  <c r="R36" i="18"/>
  <c r="N36" i="18"/>
  <c r="L36" i="18"/>
  <c r="AL28" i="18"/>
  <c r="AJ28" i="18"/>
  <c r="AF28" i="18"/>
  <c r="AD28" i="18"/>
  <c r="Z28" i="18"/>
  <c r="X28" i="18"/>
  <c r="T28" i="18"/>
  <c r="R28" i="18"/>
  <c r="N28" i="18"/>
  <c r="L28" i="18"/>
  <c r="AL20" i="18"/>
  <c r="AJ20" i="18"/>
  <c r="AF20" i="18"/>
  <c r="AD20" i="18"/>
  <c r="Z20" i="18"/>
  <c r="X20" i="18"/>
  <c r="T20" i="18"/>
  <c r="R20" i="18"/>
  <c r="N20" i="18"/>
  <c r="L20" i="18"/>
  <c r="AL12" i="18"/>
  <c r="AJ12" i="18"/>
  <c r="AF12" i="18"/>
  <c r="AD12" i="18"/>
  <c r="Z12" i="18"/>
  <c r="X12" i="18"/>
  <c r="T12" i="18"/>
  <c r="R12" i="18"/>
  <c r="N12" i="18"/>
  <c r="L12" i="18"/>
  <c r="H210" i="13"/>
  <c r="T17" i="1" l="1"/>
  <c r="Q17" i="1"/>
  <c r="T16" i="1"/>
  <c r="T15" i="1"/>
  <c r="T13" i="1"/>
  <c r="Q13" i="1"/>
  <c r="X17" i="1" l="1"/>
  <c r="X13" i="1"/>
  <c r="Y17" i="1" l="1"/>
  <c r="Z17" i="1"/>
  <c r="Y13" i="1"/>
  <c r="Z13" i="1"/>
  <c r="X14" i="1" s="1"/>
  <c r="Z14" i="1" s="1"/>
  <c r="X15" i="1" s="1"/>
  <c r="Y15" i="1" s="1"/>
  <c r="Y14" i="1" l="1"/>
  <c r="Z15" i="1"/>
  <c r="T52" i="19"/>
  <c r="AF32" i="19"/>
  <c r="N22" i="19"/>
  <c r="AL32" i="19"/>
  <c r="N52" i="19"/>
  <c r="AL12" i="19"/>
  <c r="AL52" i="19"/>
  <c r="AL42" i="19"/>
  <c r="T32" i="19"/>
  <c r="AF12" i="19"/>
  <c r="N32" i="19"/>
  <c r="T42" i="19"/>
  <c r="N12" i="19"/>
  <c r="Z52" i="19"/>
  <c r="Z42" i="19"/>
  <c r="AL22" i="19"/>
  <c r="T12" i="19"/>
  <c r="T22" i="19"/>
  <c r="Z32" i="19"/>
  <c r="AF52" i="19"/>
  <c r="N42" i="19"/>
  <c r="Z22" i="19"/>
  <c r="AF42" i="19"/>
  <c r="Z12" i="19"/>
  <c r="AF22" i="19"/>
  <c r="AM42" i="19"/>
  <c r="U32" i="19"/>
  <c r="AG12" i="19"/>
  <c r="U42" i="19"/>
  <c r="O12" i="19"/>
  <c r="U22" i="19"/>
  <c r="AM52" i="19"/>
  <c r="AA42" i="19"/>
  <c r="AM22" i="19"/>
  <c r="U12" i="19"/>
  <c r="AA32" i="19"/>
  <c r="AG42" i="19"/>
  <c r="AA12" i="19"/>
  <c r="AG52" i="19"/>
  <c r="O42" i="19"/>
  <c r="AA22" i="19"/>
  <c r="AA52" i="19"/>
  <c r="AG22" i="19"/>
  <c r="AM32" i="19"/>
  <c r="U52" i="19"/>
  <c r="AG32" i="19"/>
  <c r="O22" i="19"/>
  <c r="O52" i="19"/>
  <c r="AM12" i="19"/>
  <c r="O32" i="19"/>
  <c r="X16" i="1" l="1"/>
  <c r="Y16" i="1" l="1"/>
  <c r="Z16" i="1"/>
  <c r="J11" i="19" l="1"/>
  <c r="V11" i="19"/>
  <c r="AB21" i="19"/>
  <c r="P31" i="19"/>
  <c r="J31" i="19"/>
  <c r="AB41" i="19"/>
  <c r="AH41" i="19"/>
  <c r="P41" i="19"/>
  <c r="J21" i="19"/>
  <c r="AB31" i="19"/>
  <c r="AB51" i="19"/>
  <c r="P21" i="19"/>
  <c r="V41" i="19"/>
  <c r="V31" i="19"/>
  <c r="AH21" i="19"/>
  <c r="AB11" i="19"/>
  <c r="P51" i="19"/>
  <c r="V21" i="19"/>
  <c r="AH31" i="19"/>
  <c r="V51" i="19"/>
  <c r="J51" i="19"/>
  <c r="AH51" i="19"/>
  <c r="AH11" i="19"/>
  <c r="J41" i="19"/>
  <c r="P11" i="19"/>
  <c r="AB33" i="19"/>
  <c r="V13" i="19"/>
  <c r="AH23" i="19"/>
  <c r="J23" i="19"/>
  <c r="AB43" i="19"/>
  <c r="P43" i="19"/>
  <c r="AB53" i="19"/>
  <c r="V33" i="19"/>
  <c r="P13" i="19"/>
  <c r="J43" i="19"/>
  <c r="V23" i="19"/>
  <c r="J53" i="19"/>
  <c r="AH43" i="19"/>
  <c r="AH13" i="19"/>
  <c r="P53" i="19"/>
  <c r="V43" i="19"/>
  <c r="J13" i="19"/>
  <c r="P33" i="19"/>
  <c r="J33" i="19"/>
  <c r="V53" i="19"/>
  <c r="AH33" i="19"/>
  <c r="AB23" i="19"/>
  <c r="AH53" i="19"/>
  <c r="P23" i="19"/>
  <c r="AB13" i="19"/>
  <c r="V32" i="19"/>
  <c r="P42" i="19"/>
  <c r="J12" i="19"/>
  <c r="J32" i="19"/>
  <c r="AB52" i="19"/>
  <c r="J22" i="19"/>
  <c r="V22" i="19"/>
  <c r="J52" i="19"/>
  <c r="AH12" i="19"/>
  <c r="J42" i="19"/>
  <c r="AH42" i="19"/>
  <c r="P32" i="19"/>
  <c r="AB12" i="19"/>
  <c r="AH32" i="19"/>
  <c r="AB32" i="19"/>
  <c r="AB42" i="19"/>
  <c r="V42" i="19"/>
  <c r="V12" i="19"/>
  <c r="V52" i="19"/>
  <c r="AB22" i="19"/>
  <c r="AH52" i="19"/>
  <c r="AH22" i="19"/>
  <c r="P22" i="19"/>
  <c r="P12" i="19"/>
  <c r="P52" i="19"/>
  <c r="AB15" i="1"/>
  <c r="W37" i="19" l="1"/>
  <c r="AI7" i="19"/>
  <c r="W17" i="19"/>
  <c r="W27" i="19"/>
  <c r="Q47" i="19"/>
  <c r="W7" i="19"/>
  <c r="AI17" i="19"/>
  <c r="K47" i="19"/>
  <c r="AI47" i="19"/>
  <c r="Q27" i="19"/>
  <c r="AC27" i="19"/>
  <c r="AC47" i="19"/>
  <c r="AC37" i="19"/>
  <c r="AI37" i="19"/>
  <c r="AC17" i="19"/>
  <c r="K37" i="19"/>
  <c r="AC7" i="19"/>
  <c r="W47" i="19"/>
  <c r="Q37" i="19"/>
  <c r="AI27" i="19"/>
  <c r="Q7" i="19"/>
  <c r="K27" i="19"/>
  <c r="K17" i="19"/>
  <c r="K7" i="19"/>
  <c r="Q17" i="19"/>
  <c r="K35" i="19"/>
  <c r="AC25" i="19"/>
  <c r="K45" i="19"/>
  <c r="AI45" i="19"/>
  <c r="W45" i="19"/>
  <c r="Q35" i="19"/>
  <c r="K55" i="19"/>
  <c r="AC15" i="19"/>
  <c r="Q15" i="19"/>
  <c r="AC35" i="19"/>
  <c r="AI35" i="19"/>
  <c r="Q55" i="19"/>
  <c r="AI25" i="19"/>
  <c r="AC55" i="19"/>
  <c r="W15" i="19"/>
  <c r="K15" i="19"/>
  <c r="W25" i="19"/>
  <c r="AC45" i="19"/>
  <c r="Q25" i="19"/>
  <c r="W55" i="19"/>
  <c r="K25" i="19"/>
  <c r="Q45" i="19"/>
  <c r="W35" i="19"/>
  <c r="AI55" i="19"/>
  <c r="AI15" i="19"/>
  <c r="AC14" i="19"/>
  <c r="Q14" i="19"/>
  <c r="AI54" i="19"/>
  <c r="Q54" i="19"/>
  <c r="Q24" i="19"/>
  <c r="AI14" i="19"/>
  <c r="W24" i="19"/>
  <c r="AC44" i="19"/>
  <c r="K54" i="19"/>
  <c r="AI34" i="19"/>
  <c r="W14" i="19"/>
  <c r="K24" i="19"/>
  <c r="AC24" i="19"/>
  <c r="AI44" i="19"/>
  <c r="AI24" i="19"/>
  <c r="W44" i="19"/>
  <c r="Q44" i="19"/>
  <c r="AC54" i="19"/>
  <c r="K44" i="19"/>
  <c r="Q34" i="19"/>
  <c r="W34" i="19"/>
  <c r="K14" i="19"/>
  <c r="W54" i="19"/>
  <c r="K34" i="19"/>
  <c r="AC34" i="19"/>
  <c r="AI41" i="19"/>
  <c r="W11" i="19"/>
  <c r="Q51" i="19"/>
  <c r="W21" i="19"/>
  <c r="AC11" i="19"/>
  <c r="AI51" i="19"/>
  <c r="W41" i="19"/>
  <c r="K41" i="19"/>
  <c r="AI11" i="19"/>
  <c r="AC41" i="19"/>
  <c r="AC21" i="19"/>
  <c r="K31" i="19"/>
  <c r="W51" i="19"/>
  <c r="Q21" i="19"/>
  <c r="Q31" i="19"/>
  <c r="AI21" i="19"/>
  <c r="K51" i="19"/>
  <c r="K21" i="19"/>
  <c r="AI31" i="19"/>
  <c r="Q41" i="19"/>
  <c r="K11" i="19"/>
  <c r="AC31" i="19"/>
  <c r="AC51" i="19"/>
  <c r="W31" i="19"/>
  <c r="Q11" i="19"/>
  <c r="AD55" i="19"/>
  <c r="R15" i="19"/>
  <c r="AJ35" i="19"/>
  <c r="X45" i="19"/>
  <c r="AJ15" i="19"/>
  <c r="AJ55" i="19"/>
  <c r="R25" i="19"/>
  <c r="X15" i="19"/>
  <c r="R55" i="19"/>
  <c r="X55" i="19"/>
  <c r="AD15" i="19"/>
  <c r="L35" i="19"/>
  <c r="L15" i="19"/>
  <c r="L45" i="19"/>
  <c r="AD45" i="19"/>
  <c r="L25" i="19"/>
  <c r="AD25" i="19"/>
  <c r="X35" i="19"/>
  <c r="X25" i="19"/>
  <c r="R35" i="19"/>
  <c r="AJ25" i="19"/>
  <c r="AD35" i="19"/>
  <c r="R45" i="19"/>
  <c r="AJ45" i="19"/>
  <c r="L55" i="19"/>
  <c r="P54" i="19"/>
  <c r="AH14" i="19"/>
  <c r="AB14" i="19"/>
  <c r="AH34" i="19"/>
  <c r="AB54" i="19"/>
  <c r="AH54" i="19"/>
  <c r="V14" i="19"/>
  <c r="J54" i="19"/>
  <c r="AH44" i="19"/>
  <c r="V54" i="19"/>
  <c r="J14" i="19"/>
  <c r="AH24" i="19"/>
  <c r="V34" i="19"/>
  <c r="AB44" i="19"/>
  <c r="AB34" i="19"/>
  <c r="P14" i="19"/>
  <c r="V24" i="19"/>
  <c r="AB24" i="19"/>
  <c r="V44" i="19"/>
  <c r="P34" i="19"/>
  <c r="J34" i="19"/>
  <c r="P24" i="19"/>
  <c r="J44" i="19"/>
  <c r="J24" i="19"/>
  <c r="P44" i="19"/>
  <c r="AJ52" i="19"/>
  <c r="AJ32" i="19"/>
  <c r="L32" i="19"/>
  <c r="AJ42" i="19"/>
  <c r="L12" i="19"/>
  <c r="L52" i="19"/>
  <c r="X12" i="19"/>
  <c r="R12" i="19"/>
  <c r="AD42" i="19"/>
  <c r="X42" i="19"/>
  <c r="AJ12" i="19"/>
  <c r="X32" i="19"/>
  <c r="R52" i="19"/>
  <c r="R32" i="19"/>
  <c r="X22" i="19"/>
  <c r="AJ22" i="19"/>
  <c r="L22" i="19"/>
  <c r="R22" i="19"/>
  <c r="AD12" i="19"/>
  <c r="AD32" i="19"/>
  <c r="AD22" i="19"/>
  <c r="X52" i="19"/>
  <c r="AD52" i="19"/>
  <c r="L42" i="19"/>
  <c r="R42" i="19"/>
  <c r="AJ21" i="19"/>
  <c r="AD31" i="19"/>
  <c r="R21" i="19"/>
  <c r="AD41" i="19"/>
  <c r="AJ11" i="19"/>
  <c r="AJ51" i="19"/>
  <c r="L41" i="19"/>
  <c r="AD11" i="19"/>
  <c r="L21" i="19"/>
  <c r="L11" i="19"/>
  <c r="X51" i="19"/>
  <c r="X21" i="19"/>
  <c r="R11" i="19"/>
  <c r="R31" i="19"/>
  <c r="AJ41" i="19"/>
  <c r="L31" i="19"/>
  <c r="R51" i="19"/>
  <c r="X31" i="19"/>
  <c r="X11" i="19"/>
  <c r="X41" i="19"/>
  <c r="AJ31" i="19"/>
  <c r="AD51" i="19"/>
  <c r="R41" i="19"/>
  <c r="AD21" i="19"/>
  <c r="L51" i="19"/>
  <c r="AA15" i="1"/>
  <c r="AB16" i="1"/>
  <c r="K42" i="19"/>
  <c r="AC32" i="19"/>
  <c r="W42" i="19"/>
  <c r="AI52" i="19"/>
  <c r="K22" i="19"/>
  <c r="Q32" i="19"/>
  <c r="AI12" i="19"/>
  <c r="AC52" i="19"/>
  <c r="Q42" i="19"/>
  <c r="AC42" i="19"/>
  <c r="K12" i="19"/>
  <c r="Q22" i="19"/>
  <c r="W52" i="19"/>
  <c r="AI42" i="19"/>
  <c r="W32" i="19"/>
  <c r="AI22" i="19"/>
  <c r="W12" i="19"/>
  <c r="AI32" i="19"/>
  <c r="AC12" i="19"/>
  <c r="Q12" i="19"/>
  <c r="Q52" i="19"/>
  <c r="K32" i="19"/>
  <c r="W22" i="19"/>
  <c r="K52" i="19"/>
  <c r="AC22" i="19"/>
  <c r="AC40" i="19"/>
  <c r="W10" i="19"/>
  <c r="AC50" i="19"/>
  <c r="Q10" i="19"/>
  <c r="Q30" i="19"/>
  <c r="W50" i="19"/>
  <c r="K40" i="19"/>
  <c r="Q50" i="19"/>
  <c r="W20" i="19"/>
  <c r="K10" i="19"/>
  <c r="Q40" i="19"/>
  <c r="K30" i="19"/>
  <c r="AI50" i="19"/>
  <c r="AI20" i="19"/>
  <c r="K50" i="19"/>
  <c r="AI40" i="19"/>
  <c r="W40" i="19"/>
  <c r="K20" i="19"/>
  <c r="AC10" i="19"/>
  <c r="AI10" i="19"/>
  <c r="AC20" i="19"/>
  <c r="AI30" i="19"/>
  <c r="AC30" i="19"/>
  <c r="W30" i="19"/>
  <c r="Q20" i="19"/>
  <c r="AI6" i="19"/>
  <c r="W26" i="19"/>
  <c r="AI36" i="19"/>
  <c r="W36" i="19"/>
  <c r="K46" i="19"/>
  <c r="Q46" i="19"/>
  <c r="W16" i="19"/>
  <c r="Q6" i="19"/>
  <c r="AI16" i="19"/>
  <c r="K26" i="19"/>
  <c r="AI26" i="19"/>
  <c r="AC36" i="19"/>
  <c r="AI46" i="19"/>
  <c r="AC26" i="19"/>
  <c r="K36" i="19"/>
  <c r="K6" i="19"/>
  <c r="Q36" i="19"/>
  <c r="W46" i="19"/>
  <c r="AC6" i="19"/>
  <c r="K16" i="19"/>
  <c r="AC46" i="19"/>
  <c r="AC16" i="19"/>
  <c r="Q26" i="19"/>
  <c r="Q16" i="19"/>
  <c r="W6" i="19"/>
  <c r="K39" i="19"/>
  <c r="AC39" i="19"/>
  <c r="W29" i="19"/>
  <c r="AI49" i="19"/>
  <c r="W9" i="19"/>
  <c r="AC19" i="19"/>
  <c r="Q49" i="19"/>
  <c r="W49" i="19"/>
  <c r="AC9" i="19"/>
  <c r="AI9" i="19"/>
  <c r="Q29" i="19"/>
  <c r="W39" i="19"/>
  <c r="Q39" i="19"/>
  <c r="AC14" i="1"/>
  <c r="K9" i="19"/>
  <c r="W19" i="19"/>
  <c r="AI39" i="19"/>
  <c r="K29" i="19"/>
  <c r="AC49" i="19"/>
  <c r="AI19" i="19"/>
  <c r="AC29" i="19"/>
  <c r="K19" i="19"/>
  <c r="K49" i="19"/>
  <c r="Q19" i="19"/>
  <c r="Q9" i="19"/>
  <c r="AI29" i="19"/>
  <c r="K23" i="19"/>
  <c r="AI43" i="19"/>
  <c r="AC43" i="19"/>
  <c r="AC53" i="19"/>
  <c r="W43" i="19"/>
  <c r="K13" i="19"/>
  <c r="Q53" i="19"/>
  <c r="AI53" i="19"/>
  <c r="K33" i="19"/>
  <c r="K43" i="19"/>
  <c r="AI33" i="19"/>
  <c r="AC33" i="19"/>
  <c r="Q33" i="19"/>
  <c r="AI23" i="19"/>
  <c r="K53" i="19"/>
  <c r="AC23" i="19"/>
  <c r="AC13" i="19"/>
  <c r="W23" i="19"/>
  <c r="W33" i="19"/>
  <c r="Q13" i="19"/>
  <c r="W13" i="19"/>
  <c r="AI13" i="19"/>
  <c r="Q43" i="19"/>
  <c r="Q23" i="19"/>
  <c r="W53" i="19"/>
  <c r="M12" i="19"/>
  <c r="AK42" i="19"/>
  <c r="AE32" i="19"/>
  <c r="M52" i="19"/>
  <c r="S12" i="19"/>
  <c r="M32" i="19"/>
  <c r="S52" i="19"/>
  <c r="Y52" i="19"/>
  <c r="Y42" i="19"/>
  <c r="AK12" i="19"/>
  <c r="S22" i="19"/>
  <c r="AE12" i="19"/>
  <c r="Y22" i="19"/>
  <c r="S32" i="19"/>
  <c r="AK52" i="19"/>
  <c r="M22" i="19"/>
  <c r="AK32" i="19"/>
  <c r="AE22" i="19"/>
  <c r="AE42" i="19"/>
  <c r="Y32" i="19"/>
  <c r="M42" i="19"/>
  <c r="Y12" i="19"/>
  <c r="AE52" i="19"/>
  <c r="AK22" i="19"/>
  <c r="S42" i="19"/>
  <c r="AC18" i="19"/>
  <c r="W28" i="19"/>
  <c r="W38" i="19"/>
  <c r="K18" i="19"/>
  <c r="AC8" i="19"/>
  <c r="AI48" i="19"/>
  <c r="AI28" i="19"/>
  <c r="K8" i="19"/>
  <c r="W18" i="19"/>
  <c r="W8" i="19"/>
  <c r="K38" i="19"/>
  <c r="AC28" i="19"/>
  <c r="AI8" i="19"/>
  <c r="Q8" i="19"/>
  <c r="W48" i="19"/>
  <c r="AI18" i="19"/>
  <c r="Q48" i="19"/>
  <c r="K48" i="19"/>
  <c r="Q38" i="19"/>
  <c r="K28" i="19"/>
  <c r="AC38" i="19"/>
  <c r="AC48" i="19"/>
  <c r="AI38" i="19"/>
  <c r="Q18" i="19"/>
  <c r="Q28" i="19"/>
  <c r="R40" i="19" l="1"/>
  <c r="AD10" i="19"/>
  <c r="X40" i="19"/>
  <c r="AJ10" i="19"/>
  <c r="R50" i="19"/>
  <c r="X10" i="19"/>
  <c r="R30" i="19"/>
  <c r="L10" i="19"/>
  <c r="L50" i="19"/>
  <c r="AJ20" i="19"/>
  <c r="AJ40" i="19"/>
  <c r="AD30" i="19"/>
  <c r="R20" i="19"/>
  <c r="AD50" i="19"/>
  <c r="AJ30" i="19"/>
  <c r="AJ50" i="19"/>
  <c r="X30" i="19"/>
  <c r="AD20" i="19"/>
  <c r="L40" i="19"/>
  <c r="X50" i="19"/>
  <c r="X20" i="19"/>
  <c r="AD40" i="19"/>
  <c r="R10" i="19"/>
  <c r="L30" i="19"/>
  <c r="L20" i="19"/>
  <c r="AD47" i="19"/>
  <c r="AJ27" i="19"/>
  <c r="AD27" i="19"/>
  <c r="AJ7" i="19"/>
  <c r="AJ37" i="19"/>
  <c r="L27" i="19"/>
  <c r="AD17" i="19"/>
  <c r="L37" i="19"/>
  <c r="R17" i="19"/>
  <c r="AJ17" i="19"/>
  <c r="X7" i="19"/>
  <c r="X47" i="19"/>
  <c r="L7" i="19"/>
  <c r="L17" i="19"/>
  <c r="R27" i="19"/>
  <c r="X27" i="19"/>
  <c r="R7" i="19"/>
  <c r="X17" i="19"/>
  <c r="AJ47" i="19"/>
  <c r="L47" i="19"/>
  <c r="R37" i="19"/>
  <c r="AD7" i="19"/>
  <c r="X37" i="19"/>
  <c r="R47" i="19"/>
  <c r="AD37" i="19"/>
  <c r="AJ43" i="19"/>
  <c r="AD33" i="19"/>
  <c r="X33" i="19"/>
  <c r="X13" i="19"/>
  <c r="AD43" i="19"/>
  <c r="L43" i="19"/>
  <c r="X23" i="19"/>
  <c r="R33" i="19"/>
  <c r="R43" i="19"/>
  <c r="AD53" i="19"/>
  <c r="AJ13" i="19"/>
  <c r="R23" i="19"/>
  <c r="R13" i="19"/>
  <c r="AJ53" i="19"/>
  <c r="L33" i="19"/>
  <c r="L23" i="19"/>
  <c r="X43" i="19"/>
  <c r="X53" i="19"/>
  <c r="AD13" i="19"/>
  <c r="L53" i="19"/>
  <c r="L13" i="19"/>
  <c r="AD23" i="19"/>
  <c r="AJ33" i="19"/>
  <c r="AJ23" i="19"/>
  <c r="R53" i="19"/>
  <c r="M55" i="19"/>
  <c r="AK15" i="19"/>
  <c r="AE25" i="19"/>
  <c r="Y35" i="19"/>
  <c r="M25" i="19"/>
  <c r="S55" i="19"/>
  <c r="S45" i="19"/>
  <c r="S35" i="19"/>
  <c r="M15" i="19"/>
  <c r="AE45" i="19"/>
  <c r="Y15" i="19"/>
  <c r="AK45" i="19"/>
  <c r="AE55" i="19"/>
  <c r="M35" i="19"/>
  <c r="M45" i="19"/>
  <c r="S25" i="19"/>
  <c r="AK35" i="19"/>
  <c r="Y25" i="19"/>
  <c r="AE15" i="19"/>
  <c r="Y45" i="19"/>
  <c r="AE35" i="19"/>
  <c r="AK25" i="19"/>
  <c r="Y55" i="19"/>
  <c r="S15" i="19"/>
  <c r="AK55" i="19"/>
  <c r="X8" i="19"/>
  <c r="R48" i="19"/>
  <c r="L8" i="19"/>
  <c r="AD38" i="19"/>
  <c r="AD48" i="19"/>
  <c r="AD8" i="19"/>
  <c r="R18" i="19"/>
  <c r="L38" i="19"/>
  <c r="AJ28" i="19"/>
  <c r="X18" i="19"/>
  <c r="X48" i="19"/>
  <c r="R28" i="19"/>
  <c r="L18" i="19"/>
  <c r="X28" i="19"/>
  <c r="R8" i="19"/>
  <c r="X38" i="19"/>
  <c r="AJ8" i="19"/>
  <c r="AD18" i="19"/>
  <c r="AJ38" i="19"/>
  <c r="L48" i="19"/>
  <c r="AJ48" i="19"/>
  <c r="AJ18" i="19"/>
  <c r="R38" i="19"/>
  <c r="AD28" i="19"/>
  <c r="L28" i="19"/>
  <c r="Z11" i="19"/>
  <c r="AF31" i="19"/>
  <c r="T51" i="19"/>
  <c r="N51" i="19"/>
  <c r="Z41" i="19"/>
  <c r="AF21" i="19"/>
  <c r="AL31" i="19"/>
  <c r="T31" i="19"/>
  <c r="Z31" i="19"/>
  <c r="N21" i="19"/>
  <c r="N31" i="19"/>
  <c r="AL11" i="19"/>
  <c r="T11" i="19"/>
  <c r="AF11" i="19"/>
  <c r="AL41" i="19"/>
  <c r="T21" i="19"/>
  <c r="Z21" i="19"/>
  <c r="AL51" i="19"/>
  <c r="N11" i="19"/>
  <c r="AF51" i="19"/>
  <c r="N41" i="19"/>
  <c r="Z51" i="19"/>
  <c r="AL21" i="19"/>
  <c r="T41" i="19"/>
  <c r="AF41" i="19"/>
  <c r="AE46" i="19"/>
  <c r="M36" i="19"/>
  <c r="Y16" i="19"/>
  <c r="AK46" i="19"/>
  <c r="S36" i="19"/>
  <c r="AE16" i="19"/>
  <c r="M6" i="19"/>
  <c r="AK16" i="19"/>
  <c r="M26" i="19"/>
  <c r="S46" i="19"/>
  <c r="AE26" i="19"/>
  <c r="M16" i="19"/>
  <c r="Y46" i="19"/>
  <c r="AK26" i="19"/>
  <c r="S16" i="19"/>
  <c r="Y6" i="19"/>
  <c r="AK36" i="19"/>
  <c r="S26" i="19"/>
  <c r="AE6" i="19"/>
  <c r="M46" i="19"/>
  <c r="Y26" i="19"/>
  <c r="AK6" i="19"/>
  <c r="Y36" i="19"/>
  <c r="S6" i="19"/>
  <c r="AE36" i="19"/>
  <c r="O11" i="19"/>
  <c r="O21" i="19"/>
  <c r="O51" i="19"/>
  <c r="AA31" i="19"/>
  <c r="AM31" i="19"/>
  <c r="AG51" i="19"/>
  <c r="AA41" i="19"/>
  <c r="AM11" i="19"/>
  <c r="U21" i="19"/>
  <c r="AG41" i="19"/>
  <c r="AM21" i="19"/>
  <c r="AM51" i="19"/>
  <c r="O41" i="19"/>
  <c r="U11" i="19"/>
  <c r="AG31" i="19"/>
  <c r="U41" i="19"/>
  <c r="AG11" i="19"/>
  <c r="AM41" i="19"/>
  <c r="AA21" i="19"/>
  <c r="AA51" i="19"/>
  <c r="U51" i="19"/>
  <c r="U31" i="19"/>
  <c r="AA11" i="19"/>
  <c r="AG21" i="19"/>
  <c r="O31" i="19"/>
  <c r="AA16" i="1"/>
  <c r="AJ46" i="19"/>
  <c r="AD46" i="19"/>
  <c r="L36" i="19"/>
  <c r="X16" i="19"/>
  <c r="AJ26" i="19"/>
  <c r="L46" i="19"/>
  <c r="X6" i="19"/>
  <c r="R36" i="19"/>
  <c r="X36" i="19"/>
  <c r="R6" i="19"/>
  <c r="AJ6" i="19"/>
  <c r="AD36" i="19"/>
  <c r="R46" i="19"/>
  <c r="AD26" i="19"/>
  <c r="L16" i="19"/>
  <c r="AD16" i="19"/>
  <c r="X46" i="19"/>
  <c r="X26" i="19"/>
  <c r="AJ36" i="19"/>
  <c r="R26" i="19"/>
  <c r="AD6" i="19"/>
  <c r="L6" i="19"/>
  <c r="L26" i="19"/>
  <c r="R16" i="19"/>
  <c r="AJ16" i="19"/>
  <c r="AE11" i="19"/>
  <c r="Y41" i="19"/>
  <c r="M41" i="19"/>
  <c r="Y21" i="19"/>
  <c r="AK41" i="19"/>
  <c r="S31" i="19"/>
  <c r="M31" i="19"/>
  <c r="M51" i="19"/>
  <c r="Y51" i="19"/>
  <c r="AK21" i="19"/>
  <c r="AK31" i="19"/>
  <c r="Y11" i="19"/>
  <c r="AE41" i="19"/>
  <c r="AE21" i="19"/>
  <c r="S51" i="19"/>
  <c r="AE51" i="19"/>
  <c r="AK51" i="19"/>
  <c r="M21" i="19"/>
  <c r="AE31" i="19"/>
  <c r="S41" i="19"/>
  <c r="AK11" i="19"/>
  <c r="S11" i="19"/>
  <c r="Y31" i="19"/>
  <c r="S21" i="19"/>
  <c r="M11" i="19"/>
  <c r="L54" i="19"/>
  <c r="AJ14" i="19"/>
  <c r="AD44" i="19"/>
  <c r="X54" i="19"/>
  <c r="R14" i="19"/>
  <c r="AD24" i="19"/>
  <c r="AD34" i="19"/>
  <c r="R54" i="19"/>
  <c r="L34" i="19"/>
  <c r="AJ34" i="19"/>
  <c r="X24" i="19"/>
  <c r="AJ24" i="19"/>
  <c r="X44" i="19"/>
  <c r="R24" i="19"/>
  <c r="X34" i="19"/>
  <c r="L14" i="19"/>
  <c r="AD14" i="19"/>
  <c r="L44" i="19"/>
  <c r="R44" i="19"/>
  <c r="AD54" i="19"/>
  <c r="X14" i="19"/>
  <c r="AJ44" i="19"/>
  <c r="R34" i="19"/>
  <c r="AJ54" i="19"/>
  <c r="L24" i="19"/>
  <c r="AD29" i="19"/>
  <c r="AD19" i="19"/>
  <c r="R39" i="19"/>
  <c r="R9" i="19"/>
  <c r="X49" i="19"/>
  <c r="X9" i="19"/>
  <c r="AD39" i="19"/>
  <c r="R29" i="19"/>
  <c r="L49" i="19"/>
  <c r="X19" i="19"/>
  <c r="X29" i="19"/>
  <c r="X39" i="19"/>
  <c r="L9" i="19"/>
  <c r="AC15" i="1"/>
  <c r="AD9" i="19"/>
  <c r="AJ49" i="19"/>
  <c r="L39" i="19"/>
  <c r="R19" i="19"/>
  <c r="AJ39" i="19"/>
  <c r="AJ29" i="19"/>
  <c r="AJ19" i="19"/>
  <c r="AJ9" i="19"/>
  <c r="AD49" i="19"/>
  <c r="L19" i="19"/>
  <c r="L29" i="19"/>
  <c r="R49" i="19"/>
  <c r="AG39" i="19" l="1"/>
  <c r="AG29" i="19"/>
  <c r="AM19" i="19"/>
  <c r="O39" i="19"/>
  <c r="AG49" i="19"/>
  <c r="O29" i="19"/>
  <c r="U29" i="19"/>
  <c r="O49" i="19"/>
  <c r="U49" i="19"/>
  <c r="AA19" i="19"/>
  <c r="U39" i="19"/>
  <c r="AG9" i="19"/>
  <c r="AA39" i="19"/>
  <c r="AM49" i="19"/>
  <c r="O19" i="19"/>
  <c r="AM39" i="19"/>
  <c r="AM29" i="19"/>
  <c r="O9" i="19"/>
  <c r="AM9" i="19"/>
  <c r="AA49" i="19"/>
  <c r="AG19" i="19"/>
  <c r="U9" i="19"/>
  <c r="U19" i="19"/>
  <c r="AA9" i="19"/>
  <c r="AA29" i="19"/>
  <c r="AE54" i="19"/>
  <c r="S24" i="19"/>
  <c r="AE34" i="19"/>
  <c r="Y54" i="19"/>
  <c r="AE14" i="19"/>
  <c r="Y34" i="19"/>
  <c r="M44" i="19"/>
  <c r="AK54" i="19"/>
  <c r="M24" i="19"/>
  <c r="AK34" i="19"/>
  <c r="Y14" i="19"/>
  <c r="AK14" i="19"/>
  <c r="Y24" i="19"/>
  <c r="S44" i="19"/>
  <c r="M34" i="19"/>
  <c r="AK44" i="19"/>
  <c r="M54" i="19"/>
  <c r="Y44" i="19"/>
  <c r="S54" i="19"/>
  <c r="AK24" i="19"/>
  <c r="M14" i="19"/>
  <c r="AE44" i="19"/>
  <c r="S34" i="19"/>
  <c r="AE24" i="19"/>
  <c r="S14" i="19"/>
  <c r="AK17" i="19"/>
  <c r="S27" i="19"/>
  <c r="S37" i="19"/>
  <c r="AE27" i="19"/>
  <c r="Y47" i="19"/>
  <c r="S7" i="19"/>
  <c r="M17" i="19"/>
  <c r="AE17" i="19"/>
  <c r="AK27" i="19"/>
  <c r="Y7" i="19"/>
  <c r="Y37" i="19"/>
  <c r="AE37" i="19"/>
  <c r="Y27" i="19"/>
  <c r="M47" i="19"/>
  <c r="AE47" i="19"/>
  <c r="Y17" i="19"/>
  <c r="AE7" i="19"/>
  <c r="M27" i="19"/>
  <c r="S47" i="19"/>
  <c r="M7" i="19"/>
  <c r="M37" i="19"/>
  <c r="S17" i="19"/>
  <c r="AK7" i="19"/>
  <c r="AK47" i="19"/>
  <c r="AK37" i="19"/>
  <c r="M48" i="19"/>
  <c r="S48" i="19"/>
  <c r="AE8" i="19"/>
  <c r="AE38" i="19"/>
  <c r="M38" i="19"/>
  <c r="AE18" i="19"/>
  <c r="AK48" i="19"/>
  <c r="AK18" i="19"/>
  <c r="AK28" i="19"/>
  <c r="S28" i="19"/>
  <c r="Y48" i="19"/>
  <c r="M8" i="19"/>
  <c r="Y8" i="19"/>
  <c r="M28" i="19"/>
  <c r="AK38" i="19"/>
  <c r="M18" i="19"/>
  <c r="Y28" i="19"/>
  <c r="S38" i="19"/>
  <c r="AE48" i="19"/>
  <c r="Y18" i="19"/>
  <c r="AK8" i="19"/>
  <c r="Y38" i="19"/>
  <c r="S8" i="19"/>
  <c r="S18" i="19"/>
  <c r="AE28" i="19"/>
  <c r="AA55" i="19"/>
  <c r="O45" i="19"/>
  <c r="AA15" i="19"/>
  <c r="AM55" i="19"/>
  <c r="O55" i="19"/>
  <c r="AG35" i="19"/>
  <c r="AM25" i="19"/>
  <c r="AM35" i="19"/>
  <c r="AA25" i="19"/>
  <c r="AM45" i="19"/>
  <c r="AG25" i="19"/>
  <c r="AA35" i="19"/>
  <c r="O25" i="19"/>
  <c r="U25" i="19"/>
  <c r="AG45" i="19"/>
  <c r="U35" i="19"/>
  <c r="AA45" i="19"/>
  <c r="AM15" i="19"/>
  <c r="U45" i="19"/>
  <c r="O35" i="19"/>
  <c r="O15" i="19"/>
  <c r="AG15" i="19"/>
  <c r="U15" i="19"/>
  <c r="AG55" i="19"/>
  <c r="U55" i="19"/>
  <c r="AE40" i="19"/>
  <c r="Y30" i="19"/>
  <c r="M20" i="19"/>
  <c r="Y20" i="19"/>
  <c r="M40" i="19"/>
  <c r="M10" i="19"/>
  <c r="AK20" i="19"/>
  <c r="AK10" i="19"/>
  <c r="AK30" i="19"/>
  <c r="Y40" i="19"/>
  <c r="S40" i="19"/>
  <c r="AE30" i="19"/>
  <c r="Y10" i="19"/>
  <c r="M30" i="19"/>
  <c r="AE50" i="19"/>
  <c r="AE20" i="19"/>
  <c r="S50" i="19"/>
  <c r="S10" i="19"/>
  <c r="Y50" i="19"/>
  <c r="S30" i="19"/>
  <c r="AK50" i="19"/>
  <c r="AE10" i="19"/>
  <c r="S20" i="19"/>
  <c r="M50" i="19"/>
  <c r="AK40" i="19"/>
  <c r="AF39" i="19"/>
  <c r="AL19" i="19"/>
  <c r="N39" i="19"/>
  <c r="Z19" i="19"/>
  <c r="AF19" i="19"/>
  <c r="N29" i="19"/>
  <c r="AL29" i="19"/>
  <c r="AL39" i="19"/>
  <c r="AF49" i="19"/>
  <c r="AF9" i="19"/>
  <c r="AL9" i="19"/>
  <c r="N49" i="19"/>
  <c r="Z9" i="19"/>
  <c r="Z49" i="19"/>
  <c r="N19" i="19"/>
  <c r="Z39" i="19"/>
  <c r="T9" i="19"/>
  <c r="T39" i="19"/>
  <c r="Z29" i="19"/>
  <c r="N9" i="19"/>
  <c r="T49" i="19"/>
  <c r="T19" i="19"/>
  <c r="AL49" i="19"/>
  <c r="T29" i="19"/>
  <c r="AF29" i="19"/>
  <c r="T18" i="19"/>
  <c r="N48" i="19"/>
  <c r="N8" i="19"/>
  <c r="T28" i="19"/>
  <c r="AF38" i="19"/>
  <c r="Z28" i="19"/>
  <c r="Z18" i="19"/>
  <c r="AF8" i="19"/>
  <c r="AL8" i="19"/>
  <c r="Z48" i="19"/>
  <c r="AL48" i="19"/>
  <c r="AL28" i="19"/>
  <c r="N38" i="19"/>
  <c r="AL38" i="19"/>
  <c r="AF28" i="19"/>
  <c r="AF18" i="19"/>
  <c r="AL18" i="19"/>
  <c r="Z8" i="19"/>
  <c r="T48" i="19"/>
  <c r="T8" i="19"/>
  <c r="T38" i="19"/>
  <c r="Z38" i="19"/>
  <c r="AF48" i="19"/>
  <c r="N28" i="19"/>
  <c r="N18" i="19"/>
  <c r="AL55" i="19"/>
  <c r="Z45" i="19"/>
  <c r="Z35" i="19"/>
  <c r="N25" i="19"/>
  <c r="Z55" i="19"/>
  <c r="N45" i="19"/>
  <c r="T35" i="19"/>
  <c r="T45" i="19"/>
  <c r="AL25" i="19"/>
  <c r="AL15" i="19"/>
  <c r="N35" i="19"/>
  <c r="AL35" i="19"/>
  <c r="Z25" i="19"/>
  <c r="AF25" i="19"/>
  <c r="T15" i="19"/>
  <c r="T55" i="19"/>
  <c r="AL45" i="19"/>
  <c r="T25" i="19"/>
  <c r="AF45" i="19"/>
  <c r="AF15" i="19"/>
  <c r="N15" i="19"/>
  <c r="AF55" i="19"/>
  <c r="N55" i="19"/>
  <c r="Z15" i="19"/>
  <c r="AF35" i="19"/>
  <c r="S39" i="19"/>
  <c r="M49" i="19"/>
  <c r="AE19" i="19"/>
  <c r="S49" i="19"/>
  <c r="AK19" i="19"/>
  <c r="Y9" i="19"/>
  <c r="M29" i="19"/>
  <c r="AE49" i="19"/>
  <c r="Y39" i="19"/>
  <c r="AK49" i="19"/>
  <c r="AK29" i="19"/>
  <c r="AK39" i="19"/>
  <c r="S19" i="19"/>
  <c r="M19" i="19"/>
  <c r="AE9" i="19"/>
  <c r="AE39" i="19"/>
  <c r="M39" i="19"/>
  <c r="AK9" i="19"/>
  <c r="Y19" i="19"/>
  <c r="S29" i="19"/>
  <c r="S9" i="19"/>
  <c r="AE29" i="19"/>
  <c r="Y49" i="19"/>
  <c r="AC16" i="1"/>
  <c r="M9" i="19"/>
  <c r="Y29" i="19"/>
  <c r="AM46" i="19"/>
  <c r="U36" i="19"/>
  <c r="AG16" i="19"/>
  <c r="O6" i="19"/>
  <c r="AA36" i="19"/>
  <c r="AM16" i="19"/>
  <c r="U6" i="19"/>
  <c r="AG46" i="19"/>
  <c r="AA16" i="19"/>
  <c r="AA6" i="19"/>
  <c r="AG6" i="19"/>
  <c r="AA46" i="19"/>
  <c r="AM26" i="19"/>
  <c r="U16" i="19"/>
  <c r="O36" i="19"/>
  <c r="U26" i="19"/>
  <c r="O46" i="19"/>
  <c r="AA26" i="19"/>
  <c r="AM6" i="19"/>
  <c r="U46" i="19"/>
  <c r="AG26" i="19"/>
  <c r="O16" i="19"/>
  <c r="AG36" i="19"/>
  <c r="O26" i="19"/>
  <c r="AM36" i="19"/>
  <c r="O8" i="19"/>
  <c r="AA48" i="19"/>
  <c r="AM38" i="19"/>
  <c r="U48" i="19"/>
  <c r="AA18" i="19"/>
  <c r="AG18" i="19"/>
  <c r="AG48" i="19"/>
  <c r="AM18" i="19"/>
  <c r="AA28" i="19"/>
  <c r="AG28" i="19"/>
  <c r="AA8" i="19"/>
  <c r="U18" i="19"/>
  <c r="AG38" i="19"/>
  <c r="U38" i="19"/>
  <c r="AM8" i="19"/>
  <c r="AA38" i="19"/>
  <c r="AM48" i="19"/>
  <c r="U28" i="19"/>
  <c r="O38" i="19"/>
  <c r="U8" i="19"/>
  <c r="AG8" i="19"/>
  <c r="O18" i="19"/>
  <c r="O28" i="19"/>
  <c r="O48" i="19"/>
  <c r="AM28" i="19"/>
  <c r="Y33" i="19"/>
  <c r="AE13" i="19"/>
  <c r="S23" i="19"/>
  <c r="Y13" i="19"/>
  <c r="AE23" i="19"/>
  <c r="AK33" i="19"/>
  <c r="AK13" i="19"/>
  <c r="S43" i="19"/>
  <c r="M23" i="19"/>
  <c r="Y43" i="19"/>
  <c r="M43" i="19"/>
  <c r="AE43" i="19"/>
  <c r="AE53" i="19"/>
  <c r="M13" i="19"/>
  <c r="AK43" i="19"/>
  <c r="AK23" i="19"/>
  <c r="Y23" i="19"/>
  <c r="AE33" i="19"/>
  <c r="M53" i="19"/>
  <c r="S13" i="19"/>
  <c r="S33" i="19"/>
  <c r="AK53" i="19"/>
  <c r="Y53" i="19"/>
  <c r="S53" i="19"/>
  <c r="M33" i="19"/>
  <c r="AF6" i="19"/>
  <c r="N46" i="19"/>
  <c r="Z26" i="19"/>
  <c r="AL6" i="19"/>
  <c r="AL36" i="19"/>
  <c r="AF26" i="19"/>
  <c r="Z6" i="19"/>
  <c r="T26" i="19"/>
  <c r="Z46" i="19"/>
  <c r="AF46" i="19"/>
  <c r="T46" i="19"/>
  <c r="T6" i="19"/>
  <c r="AF36" i="19"/>
  <c r="N26" i="19"/>
  <c r="Z16" i="19"/>
  <c r="AL26" i="19"/>
  <c r="Z36" i="19"/>
  <c r="N36" i="19"/>
  <c r="AL46" i="19"/>
  <c r="T36" i="19"/>
  <c r="AF16" i="19"/>
  <c r="N6" i="19"/>
  <c r="N16" i="19"/>
  <c r="AL16" i="19"/>
  <c r="T16" i="19"/>
  <c r="AG24" i="19" l="1"/>
  <c r="O44" i="19"/>
  <c r="O24" i="19"/>
  <c r="AM14" i="19"/>
  <c r="AG34" i="19"/>
  <c r="O34" i="19"/>
  <c r="AA44" i="19"/>
  <c r="O14" i="19"/>
  <c r="AA54" i="19"/>
  <c r="U14" i="19"/>
  <c r="AM44" i="19"/>
  <c r="AA34" i="19"/>
  <c r="AM24" i="19"/>
  <c r="AM54" i="19"/>
  <c r="AG14" i="19"/>
  <c r="AM34" i="19"/>
  <c r="U54" i="19"/>
  <c r="AG44" i="19"/>
  <c r="AA24" i="19"/>
  <c r="AG54" i="19"/>
  <c r="U34" i="19"/>
  <c r="U24" i="19"/>
  <c r="AA14" i="19"/>
  <c r="O54" i="19"/>
  <c r="U44" i="19"/>
  <c r="U43" i="19"/>
  <c r="U13" i="19"/>
  <c r="AM53" i="19"/>
  <c r="AA53" i="19"/>
  <c r="AA43" i="19"/>
  <c r="O53" i="19"/>
  <c r="O23" i="19"/>
  <c r="O13" i="19"/>
  <c r="AG43" i="19"/>
  <c r="U33" i="19"/>
  <c r="U23" i="19"/>
  <c r="AM13" i="19"/>
  <c r="AM23" i="19"/>
  <c r="AG13" i="19"/>
  <c r="AA23" i="19"/>
  <c r="AG33" i="19"/>
  <c r="AA33" i="19"/>
  <c r="AM33" i="19"/>
  <c r="AA13" i="19"/>
  <c r="AG23" i="19"/>
  <c r="U53" i="19"/>
  <c r="AG53" i="19"/>
  <c r="O43" i="19"/>
  <c r="AM43" i="19"/>
  <c r="O33" i="19"/>
  <c r="AF54" i="19"/>
  <c r="AL34" i="19"/>
  <c r="AF34" i="19"/>
  <c r="AL14" i="19"/>
  <c r="AF44" i="19"/>
  <c r="T44" i="19"/>
  <c r="N14" i="19"/>
  <c r="N44" i="19"/>
  <c r="T24" i="19"/>
  <c r="N24" i="19"/>
  <c r="AL44" i="19"/>
  <c r="N34" i="19"/>
  <c r="Z44" i="19"/>
  <c r="Z24" i="19"/>
  <c r="T14" i="19"/>
  <c r="N54" i="19"/>
  <c r="T34" i="19"/>
  <c r="Z14" i="19"/>
  <c r="AF24" i="19"/>
  <c r="AF14" i="19"/>
  <c r="Z54" i="19"/>
  <c r="AL54" i="19"/>
  <c r="T54" i="19"/>
  <c r="AL24" i="19"/>
  <c r="Z34" i="19"/>
  <c r="AF53" i="19"/>
  <c r="T43" i="19"/>
  <c r="Z53" i="19"/>
  <c r="N43" i="19"/>
  <c r="T23" i="19"/>
  <c r="AF43" i="19"/>
  <c r="Z13" i="19"/>
  <c r="Z43" i="19"/>
  <c r="AF23" i="19"/>
  <c r="AL13" i="19"/>
  <c r="Z23" i="19"/>
  <c r="AL43" i="19"/>
  <c r="AF13" i="19"/>
  <c r="AL23" i="19"/>
  <c r="N13" i="19"/>
  <c r="T33" i="19"/>
  <c r="AL53" i="19"/>
  <c r="N23" i="19"/>
  <c r="N53" i="19"/>
  <c r="AF33" i="19"/>
  <c r="N33" i="19"/>
  <c r="T53" i="19"/>
  <c r="AL33" i="19"/>
  <c r="T13" i="19"/>
  <c r="Z33" i="19"/>
  <c r="Z47" i="19"/>
  <c r="T7" i="19"/>
  <c r="AL37" i="19"/>
  <c r="T17" i="19"/>
  <c r="Z17" i="19"/>
  <c r="AF7" i="19"/>
  <c r="AF37" i="19"/>
  <c r="N17" i="19"/>
  <c r="AF27" i="19"/>
  <c r="AF47" i="19"/>
  <c r="AL47" i="19"/>
  <c r="T27" i="19"/>
  <c r="Z37" i="19"/>
  <c r="T37" i="19"/>
  <c r="N37" i="19"/>
  <c r="N47" i="19"/>
  <c r="Z27" i="19"/>
  <c r="AL7" i="19"/>
  <c r="AL17" i="19"/>
  <c r="AF17" i="19"/>
  <c r="AL27" i="19"/>
  <c r="N27" i="19"/>
  <c r="N7" i="19"/>
  <c r="Z7" i="19"/>
  <c r="T47" i="19"/>
  <c r="O20" i="19"/>
  <c r="AM40" i="19"/>
  <c r="O30" i="19"/>
  <c r="AM50" i="19"/>
  <c r="AA50" i="19"/>
  <c r="AM30" i="19"/>
  <c r="AM10" i="19"/>
  <c r="AM20" i="19"/>
  <c r="O50" i="19"/>
  <c r="U30" i="19"/>
  <c r="AA10" i="19"/>
  <c r="U40" i="19"/>
  <c r="O40" i="19"/>
  <c r="U20" i="19"/>
  <c r="AG40" i="19"/>
  <c r="AG50" i="19"/>
  <c r="U50" i="19"/>
  <c r="AA30" i="19"/>
  <c r="AG10" i="19"/>
  <c r="AA40" i="19"/>
  <c r="AG20" i="19"/>
  <c r="AA20" i="19"/>
  <c r="U10" i="19"/>
  <c r="AG30" i="19"/>
  <c r="O10" i="19"/>
  <c r="AG37" i="19"/>
  <c r="AG47" i="19"/>
  <c r="U7" i="19"/>
  <c r="AM47" i="19"/>
  <c r="U27" i="19"/>
  <c r="O37" i="19"/>
  <c r="O17" i="19"/>
  <c r="AA7" i="19"/>
  <c r="AA47" i="19"/>
  <c r="O27" i="19"/>
  <c r="U37" i="19"/>
  <c r="AM17" i="19"/>
  <c r="AM37" i="19"/>
  <c r="AG27" i="19"/>
  <c r="AM7" i="19"/>
  <c r="AG7" i="19"/>
  <c r="AA17" i="19"/>
  <c r="O7" i="19"/>
  <c r="AA37" i="19"/>
  <c r="AA27" i="19"/>
  <c r="AM27" i="19"/>
  <c r="U17" i="19"/>
  <c r="U47" i="19"/>
  <c r="AG17" i="19"/>
  <c r="O47" i="19"/>
  <c r="Z40" i="19"/>
  <c r="T10" i="19"/>
  <c r="AF10" i="19"/>
  <c r="T20" i="19"/>
  <c r="N30" i="19"/>
  <c r="Z20" i="19"/>
  <c r="AF50" i="19"/>
  <c r="T50" i="19"/>
  <c r="AL30" i="19"/>
  <c r="T40" i="19"/>
  <c r="AF40" i="19"/>
  <c r="AF30" i="19"/>
  <c r="N50" i="19"/>
  <c r="AL40" i="19"/>
  <c r="AL20" i="19"/>
  <c r="Z10" i="19"/>
  <c r="AF20" i="19"/>
  <c r="N10" i="19"/>
  <c r="Z50" i="19"/>
  <c r="AL50" i="19"/>
  <c r="N40" i="19"/>
  <c r="T30" i="19"/>
  <c r="Z30" i="19"/>
  <c r="AL10" i="19"/>
  <c r="N20" i="19"/>
  <c r="X6" i="18" l="1"/>
  <c r="AJ30" i="18"/>
  <c r="R22" i="18"/>
  <c r="AJ6" i="18"/>
  <c r="L6" i="18"/>
  <c r="R30" i="18"/>
  <c r="X22" i="18"/>
  <c r="AD38" i="18"/>
  <c r="AD22" i="18"/>
  <c r="L30" i="18"/>
  <c r="R38" i="18"/>
  <c r="AJ14" i="18"/>
  <c r="R14" i="18"/>
  <c r="L38" i="18"/>
  <c r="AD30" i="18"/>
  <c r="AJ38" i="18"/>
  <c r="AJ22" i="18"/>
  <c r="X30" i="18"/>
  <c r="L14" i="18"/>
  <c r="AD6" i="18"/>
  <c r="X38" i="18"/>
  <c r="L22" i="18"/>
  <c r="R6" i="18"/>
  <c r="X14" i="18"/>
  <c r="AD14" i="18"/>
  <c r="P14" i="18"/>
  <c r="V22" i="18"/>
  <c r="V14" i="18"/>
  <c r="AH22" i="18"/>
  <c r="AH14" i="18"/>
  <c r="AH38" i="18"/>
  <c r="J14" i="18"/>
  <c r="AB22" i="18"/>
  <c r="V30" i="18"/>
  <c r="AB14" i="18"/>
  <c r="J30" i="18"/>
  <c r="P38" i="18"/>
  <c r="AB6" i="18"/>
  <c r="P6" i="18"/>
  <c r="J38" i="18"/>
  <c r="AH6" i="18"/>
  <c r="V6" i="18"/>
  <c r="P30" i="18"/>
  <c r="AB38" i="18"/>
  <c r="P22" i="18"/>
  <c r="AB30" i="18"/>
  <c r="J6" i="18"/>
  <c r="AH30" i="18"/>
  <c r="J22" i="18"/>
  <c r="V38" i="18"/>
  <c r="T14" i="18"/>
  <c r="AL38" i="18"/>
  <c r="N14" i="18"/>
  <c r="Z14" i="18"/>
  <c r="T38" i="18"/>
  <c r="T22" i="18"/>
  <c r="AL14" i="18"/>
  <c r="N22" i="18"/>
  <c r="AF22" i="18"/>
  <c r="N6" i="18"/>
  <c r="AF6" i="18"/>
  <c r="AF38" i="18"/>
  <c r="N38" i="18"/>
  <c r="AL30" i="18"/>
  <c r="AL22" i="18"/>
  <c r="T6" i="18"/>
  <c r="AL6" i="18"/>
  <c r="AF30" i="18"/>
  <c r="Z22" i="18"/>
  <c r="T30" i="18"/>
  <c r="Z38" i="18"/>
  <c r="Z6" i="18"/>
  <c r="AF14" i="18"/>
  <c r="Z30" i="18"/>
  <c r="N30" i="18"/>
  <c r="J28" i="19" l="1"/>
  <c r="V28" i="19"/>
  <c r="P28" i="19"/>
  <c r="V38" i="19"/>
  <c r="AB38" i="19"/>
  <c r="P8" i="19"/>
  <c r="AB28" i="19"/>
  <c r="AH38" i="19"/>
  <c r="AB18" i="19"/>
  <c r="J18" i="19"/>
  <c r="AH8" i="19"/>
  <c r="V8" i="19"/>
  <c r="AH18" i="19"/>
  <c r="J38" i="19"/>
  <c r="P18" i="19"/>
  <c r="J48" i="19"/>
  <c r="AB8" i="19"/>
  <c r="AH28" i="19"/>
  <c r="P38" i="19"/>
  <c r="P48" i="19"/>
  <c r="J8" i="19"/>
  <c r="V48" i="19"/>
  <c r="AB48" i="19"/>
  <c r="AH48" i="19"/>
  <c r="V18" i="19"/>
  <c r="V47" i="19"/>
  <c r="AB7" i="19"/>
  <c r="AH17" i="19"/>
  <c r="J37" i="19"/>
  <c r="P17" i="19"/>
  <c r="P7" i="19"/>
  <c r="J47" i="19"/>
  <c r="V17" i="19"/>
  <c r="AH27" i="19"/>
  <c r="P47" i="19"/>
  <c r="V27" i="19"/>
  <c r="AB37" i="19"/>
  <c r="AH47" i="19"/>
  <c r="AB47" i="19"/>
  <c r="V7" i="19"/>
  <c r="AH7" i="19"/>
  <c r="J27" i="19"/>
  <c r="P37" i="19"/>
  <c r="AB27" i="19"/>
  <c r="AH37" i="19"/>
  <c r="J7" i="19"/>
  <c r="J17" i="19"/>
  <c r="P27" i="19"/>
  <c r="V37" i="19"/>
  <c r="AB17" i="19"/>
  <c r="P16" i="19"/>
  <c r="P6" i="19"/>
  <c r="AH6" i="19"/>
  <c r="V46" i="19"/>
  <c r="AH46" i="19"/>
  <c r="AB46" i="19"/>
  <c r="V36" i="19"/>
  <c r="J6" i="19"/>
  <c r="P46" i="19"/>
  <c r="AB26" i="19"/>
  <c r="AB16" i="19"/>
  <c r="AH26" i="19"/>
  <c r="J16" i="19"/>
  <c r="V16" i="19"/>
  <c r="V26" i="19"/>
  <c r="AH36" i="19"/>
  <c r="P26" i="19"/>
  <c r="AB36" i="19"/>
  <c r="AB6" i="19"/>
  <c r="P36" i="19"/>
  <c r="J36" i="19"/>
  <c r="AH16" i="19"/>
  <c r="J26" i="19"/>
  <c r="V6" i="19"/>
  <c r="J46" i="19"/>
  <c r="L16" i="18" l="1"/>
  <c r="R32" i="18"/>
  <c r="AD8" i="18"/>
  <c r="X8" i="18"/>
  <c r="X16" i="18"/>
  <c r="L24" i="18"/>
  <c r="AJ24" i="18"/>
  <c r="R24" i="18"/>
  <c r="AJ16" i="18"/>
  <c r="X40" i="18"/>
  <c r="AB17" i="1"/>
  <c r="AA17" i="1" s="1"/>
  <c r="AD40" i="18"/>
  <c r="X24" i="18"/>
  <c r="AD16" i="18"/>
  <c r="L8" i="18"/>
  <c r="R8" i="18"/>
  <c r="R40" i="18"/>
  <c r="AD32" i="18"/>
  <c r="R16" i="18"/>
  <c r="X32" i="18"/>
  <c r="AJ40" i="18"/>
  <c r="AJ32" i="18"/>
  <c r="L32" i="18"/>
  <c r="L40" i="18"/>
  <c r="AD24" i="18"/>
  <c r="AJ8" i="18"/>
  <c r="AF34" i="18"/>
  <c r="AL10" i="18"/>
  <c r="Z10" i="18"/>
  <c r="AL18" i="18"/>
  <c r="AL34" i="18"/>
  <c r="AF10" i="18"/>
  <c r="Z34" i="18"/>
  <c r="AF42" i="18"/>
  <c r="AL26" i="18"/>
  <c r="N18" i="18"/>
  <c r="N10" i="18"/>
  <c r="T10" i="18"/>
  <c r="AL42" i="18"/>
  <c r="Z42" i="18"/>
  <c r="N42" i="18"/>
  <c r="T26" i="18"/>
  <c r="AF18" i="18"/>
  <c r="N34" i="18"/>
  <c r="T34" i="18"/>
  <c r="T18" i="18"/>
  <c r="Z18" i="18"/>
  <c r="AF26" i="18"/>
  <c r="N26" i="18"/>
  <c r="Z26" i="18"/>
  <c r="T42" i="18"/>
  <c r="AB40" i="18"/>
  <c r="P32" i="18"/>
  <c r="P16" i="18"/>
  <c r="V8" i="18"/>
  <c r="AB32" i="18"/>
  <c r="AH40" i="18"/>
  <c r="AH32" i="18"/>
  <c r="V24" i="18"/>
  <c r="P40" i="18"/>
  <c r="AH24" i="18"/>
  <c r="AB8" i="18"/>
  <c r="AB13" i="1"/>
  <c r="AA13" i="1" s="1"/>
  <c r="J32" i="18"/>
  <c r="AB24" i="18"/>
  <c r="P24" i="18"/>
  <c r="V32" i="18"/>
  <c r="AH8" i="18"/>
  <c r="AH16" i="18"/>
  <c r="AB16" i="18"/>
  <c r="J40" i="18"/>
  <c r="J16" i="18"/>
  <c r="P8" i="18"/>
  <c r="J24" i="18"/>
  <c r="J8" i="18"/>
  <c r="V16" i="18"/>
  <c r="V40" i="18"/>
  <c r="P34" i="18"/>
  <c r="P10" i="18"/>
  <c r="AH42" i="18"/>
  <c r="J26" i="18"/>
  <c r="AB10" i="18"/>
  <c r="AB34" i="18"/>
  <c r="V10" i="18"/>
  <c r="AB18" i="18"/>
  <c r="V34" i="18"/>
  <c r="AB26" i="18"/>
  <c r="AH18" i="18"/>
  <c r="J18" i="18"/>
  <c r="AB42" i="18"/>
  <c r="AH10" i="18"/>
  <c r="P42" i="18"/>
  <c r="AH26" i="18"/>
  <c r="J34" i="18"/>
  <c r="V42" i="18"/>
  <c r="J42" i="18"/>
  <c r="AH34" i="18"/>
  <c r="P18" i="18"/>
  <c r="V26" i="18"/>
  <c r="J10" i="18"/>
  <c r="V18" i="18"/>
  <c r="P26" i="18"/>
  <c r="AB28" i="18"/>
  <c r="AH20" i="18"/>
  <c r="P36" i="18"/>
  <c r="V12" i="18"/>
  <c r="AB20" i="18"/>
  <c r="J12" i="18"/>
  <c r="AH12" i="18"/>
  <c r="P28" i="18"/>
  <c r="P44" i="18"/>
  <c r="AB44" i="18"/>
  <c r="V28" i="18"/>
  <c r="J28" i="18"/>
  <c r="AH36" i="18"/>
  <c r="J20" i="18"/>
  <c r="AB12" i="18"/>
  <c r="V44" i="18"/>
  <c r="AH44" i="18"/>
  <c r="P20" i="18"/>
  <c r="J36" i="18"/>
  <c r="J44" i="18"/>
  <c r="P12" i="18"/>
  <c r="V36" i="18"/>
  <c r="AH28" i="18"/>
  <c r="AB36" i="18"/>
  <c r="V20" i="18"/>
  <c r="AJ18" i="18"/>
  <c r="R18" i="18"/>
  <c r="AJ34" i="18"/>
  <c r="X26" i="18"/>
  <c r="R10" i="18"/>
  <c r="X10" i="18"/>
  <c r="X42" i="18"/>
  <c r="L42" i="18"/>
  <c r="AJ10" i="18"/>
  <c r="R26" i="18"/>
  <c r="R34" i="18"/>
  <c r="AJ26" i="18"/>
  <c r="AD18" i="18"/>
  <c r="AD34" i="18"/>
  <c r="L26" i="18"/>
  <c r="AD42" i="18"/>
  <c r="L34" i="18"/>
  <c r="X34" i="18"/>
  <c r="L10" i="18"/>
  <c r="AD10" i="18"/>
  <c r="X18" i="18"/>
  <c r="R42" i="18"/>
  <c r="L18" i="18"/>
  <c r="AJ42" i="18"/>
  <c r="AD26" i="18"/>
  <c r="AL24" i="18"/>
  <c r="AL8" i="18"/>
  <c r="Z32" i="18"/>
  <c r="N24" i="18"/>
  <c r="N40" i="18"/>
  <c r="N8" i="18"/>
  <c r="AF24" i="18"/>
  <c r="AF8" i="18"/>
  <c r="T32" i="18"/>
  <c r="AL40" i="18"/>
  <c r="Z24" i="18"/>
  <c r="Z8" i="18"/>
  <c r="N32" i="18"/>
  <c r="AF32" i="18"/>
  <c r="AL32" i="18"/>
  <c r="Z16" i="18"/>
  <c r="N16" i="18"/>
  <c r="T16" i="18"/>
  <c r="T8" i="18"/>
  <c r="T40" i="18"/>
  <c r="AL16" i="18"/>
  <c r="AF16" i="18"/>
  <c r="Z40" i="18"/>
  <c r="T24" i="18"/>
  <c r="AF40" i="18"/>
  <c r="AH19" i="19" l="1"/>
  <c r="AC13" i="1"/>
  <c r="J39" i="19"/>
  <c r="AB39" i="19"/>
  <c r="J19" i="19"/>
  <c r="AH39" i="19"/>
  <c r="V39" i="19"/>
  <c r="V9" i="19"/>
  <c r="AH9" i="19"/>
  <c r="J29" i="19"/>
  <c r="V49" i="19"/>
  <c r="P9" i="19"/>
  <c r="AB9" i="19"/>
  <c r="AB29" i="19"/>
  <c r="P49" i="19"/>
  <c r="J49" i="19"/>
  <c r="P19" i="19"/>
  <c r="P39" i="19"/>
  <c r="P29" i="19"/>
  <c r="AB49" i="19"/>
  <c r="AH29" i="19"/>
  <c r="AB19" i="19"/>
  <c r="J9" i="19"/>
  <c r="AH49" i="19"/>
  <c r="V29" i="19"/>
  <c r="V19" i="19"/>
  <c r="J40" i="19"/>
  <c r="AC17" i="1"/>
  <c r="V30" i="19"/>
  <c r="V50" i="19"/>
  <c r="AH40" i="19"/>
  <c r="AH50" i="19"/>
  <c r="P20" i="19"/>
  <c r="J50" i="19"/>
  <c r="V20" i="19"/>
  <c r="AB40" i="19"/>
  <c r="AB10" i="19"/>
  <c r="P40" i="19"/>
  <c r="J30" i="19"/>
  <c r="J20" i="19"/>
  <c r="J10" i="19"/>
  <c r="AH10" i="19"/>
  <c r="AB20" i="19"/>
  <c r="AH30" i="19"/>
  <c r="AH20" i="19"/>
  <c r="P50" i="19"/>
  <c r="V40" i="19"/>
  <c r="P10" i="19"/>
  <c r="AB30" i="19"/>
  <c r="AB50" i="19"/>
  <c r="P30" i="19"/>
  <c r="V10" i="19"/>
  <c r="V25" i="19"/>
  <c r="AH25" i="19"/>
  <c r="AB25" i="19"/>
  <c r="AH45" i="19"/>
  <c r="AH15" i="19"/>
  <c r="J45" i="19"/>
  <c r="V55" i="19"/>
  <c r="V45" i="19"/>
  <c r="AH55" i="19"/>
  <c r="P45" i="19"/>
  <c r="J25" i="19"/>
  <c r="V35" i="19"/>
  <c r="P25" i="19"/>
  <c r="P55" i="19"/>
  <c r="J15" i="19"/>
  <c r="AB15" i="19"/>
  <c r="V15" i="19"/>
  <c r="AB35" i="19"/>
  <c r="J55" i="19"/>
  <c r="P35" i="19"/>
  <c r="AB45" i="19"/>
  <c r="P15" i="19"/>
  <c r="J35" i="19"/>
  <c r="AB55" i="19"/>
  <c r="AH35"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Paola Guevara</author>
  </authors>
  <commentList>
    <comment ref="G13" authorId="0" shapeId="0" xr:uid="{F2AEAADE-13B3-4BAA-A95C-F4F0816D6C35}">
      <text>
        <r>
          <rPr>
            <b/>
            <sz val="9"/>
            <color indexed="81"/>
            <rFont val="Tahoma"/>
            <family val="2"/>
          </rPr>
          <t>Paola Guevara:</t>
        </r>
        <r>
          <rPr>
            <sz val="9"/>
            <color indexed="81"/>
            <rFont val="Tahoma"/>
            <family val="2"/>
          </rPr>
          <t xml:space="preserve">
Cuantas actividades se realizaran en el 2022</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<sst xmlns="http://schemas.openxmlformats.org/spreadsheetml/2006/main" count="404" uniqueCount="260">
  <si>
    <t xml:space="preserve">Referencia </t>
  </si>
  <si>
    <t>Descripción del Riesgo</t>
  </si>
  <si>
    <t>Impacto</t>
  </si>
  <si>
    <t>Causa Inmediata</t>
  </si>
  <si>
    <t>Probabilidad</t>
  </si>
  <si>
    <t>%</t>
  </si>
  <si>
    <t>Alta</t>
  </si>
  <si>
    <t>Mayor</t>
  </si>
  <si>
    <t>Atributos</t>
  </si>
  <si>
    <t>Manual</t>
  </si>
  <si>
    <t>Automático</t>
  </si>
  <si>
    <t>No. Control</t>
  </si>
  <si>
    <t>Afectación</t>
  </si>
  <si>
    <t>Tipo</t>
  </si>
  <si>
    <t>Preventivo</t>
  </si>
  <si>
    <t>Detectivo</t>
  </si>
  <si>
    <t>Correctivo</t>
  </si>
  <si>
    <t>Implementación</t>
  </si>
  <si>
    <t>Documentación</t>
  </si>
  <si>
    <t>Documentado</t>
  </si>
  <si>
    <t>Sin Documentar</t>
  </si>
  <si>
    <t>Frecuencia</t>
  </si>
  <si>
    <t>Continua</t>
  </si>
  <si>
    <t>Aleatoria</t>
  </si>
  <si>
    <t>Evidencia</t>
  </si>
  <si>
    <t>Registro Sustancial</t>
  </si>
  <si>
    <t>Registro Material</t>
  </si>
  <si>
    <t>Sin registro</t>
  </si>
  <si>
    <t>Calificación</t>
  </si>
  <si>
    <t>Tratamiento</t>
  </si>
  <si>
    <t>Reducir</t>
  </si>
  <si>
    <t>Aceptar</t>
  </si>
  <si>
    <t>Evitar</t>
  </si>
  <si>
    <t>Probabilidad Inherente</t>
  </si>
  <si>
    <t>Plan de Acción</t>
  </si>
  <si>
    <t>Responsable</t>
  </si>
  <si>
    <t>Fecha Implementación</t>
  </si>
  <si>
    <t>Seguimiento</t>
  </si>
  <si>
    <t>Fecha Seguimiento</t>
  </si>
  <si>
    <t>Estado</t>
  </si>
  <si>
    <t>Finalizado</t>
  </si>
  <si>
    <t>En curso</t>
  </si>
  <si>
    <t>Causa Raíz</t>
  </si>
  <si>
    <t>Proceso:</t>
  </si>
  <si>
    <t>Alcance:</t>
  </si>
  <si>
    <t>Impacto 
Inherente</t>
  </si>
  <si>
    <t>Probabilidad Residual Final</t>
  </si>
  <si>
    <t>Impacto Residual Final</t>
  </si>
  <si>
    <t>Zona de Riesgo Inherente</t>
  </si>
  <si>
    <t>Zona de Riesgo Final</t>
  </si>
  <si>
    <t>Clasificación del Riesgo</t>
  </si>
  <si>
    <t>Muy Baja</t>
  </si>
  <si>
    <t>Frecuencia de la Actividad</t>
  </si>
  <si>
    <t>Baja</t>
  </si>
  <si>
    <t>Muy Alta</t>
  </si>
  <si>
    <t>Tabla Criterios para definir el nivel de probabilidad</t>
  </si>
  <si>
    <t>Afectación Económica (o presupuestal)</t>
  </si>
  <si>
    <t>Pérdida Reputacional</t>
  </si>
  <si>
    <t>Afectación menor a 10 SMLMV .</t>
  </si>
  <si>
    <t xml:space="preserve">Menor-40% </t>
  </si>
  <si>
    <t>Moderado 60%</t>
  </si>
  <si>
    <t>Mayor 80%</t>
  </si>
  <si>
    <t>Catastrófico 100%</t>
  </si>
  <si>
    <t>Tabla Criterios para definir el nivel de impacto</t>
  </si>
  <si>
    <t>Características</t>
  </si>
  <si>
    <t>Descripción</t>
  </si>
  <si>
    <t>Peso</t>
  </si>
  <si>
    <t>Atributos de Eficiencia</t>
  </si>
  <si>
    <t>Va hacia las causas del riesgo, aseguran el resultado final esperado.</t>
  </si>
  <si>
    <t>Detecta que algo ocurre y devuelve el proceso a los controles preventivos.
Se pueden generar reprocesos.</t>
  </si>
  <si>
    <t>Dado que permiten reducir el impacto de la materialización del riesgo, tienen un costo en su implementación.</t>
  </si>
  <si>
    <t>Son actividades de procesamiento o validación de información que se ejecutan por un sistema y/o aplicativo de manera automática sin la intervención de personas para su realización.</t>
  </si>
  <si>
    <t>Controles que son ejecutados por una persona., tiene implícito el error humano.</t>
  </si>
  <si>
    <t>Controles que están documentados en el proceso, ya sea en manuales, procedimientos, flujogramas o cualquier otro documento propio del proceso.</t>
  </si>
  <si>
    <t>-</t>
  </si>
  <si>
    <t>Identifica a los controles que pese a que se ejecutan en el proceso no se encuentran documentados en ningún documento propio del proceso</t>
  </si>
  <si>
    <t>Este atributo identifica a los controles que se ejecutan siempre que se realiza la actividad originadora del riesgo.</t>
  </si>
  <si>
    <t>Este atributo identifica a los controles que no siempre se ejecutan cuando se realiza la actividad originadora del riesgo</t>
  </si>
  <si>
    <t>Tabla Atributos de para el diseño del control</t>
  </si>
  <si>
    <t>Extremo</t>
  </si>
  <si>
    <t>Alto</t>
  </si>
  <si>
    <t>Moderado</t>
  </si>
  <si>
    <t>Bajo</t>
  </si>
  <si>
    <t>Insignificante</t>
  </si>
  <si>
    <t>Menor</t>
  </si>
  <si>
    <t>Catastrófico</t>
  </si>
  <si>
    <t>Plan de accion (solo para la opción reducir)</t>
  </si>
  <si>
    <t>Criterios de impacto</t>
  </si>
  <si>
    <t>Criterios</t>
  </si>
  <si>
    <t>Pérdida_Reputacional</t>
  </si>
  <si>
    <t>Afectación Económica o presupuestal</t>
  </si>
  <si>
    <t>Afectación_Económica_o_presupuestal</t>
  </si>
  <si>
    <t>Observación de criterio</t>
  </si>
  <si>
    <t xml:space="preserve">Entre 10 y 50 SMLMV </t>
  </si>
  <si>
    <t xml:space="preserve">Entre 50 y 100 SMLMV </t>
  </si>
  <si>
    <t xml:space="preserve">Entre 100 y 500 SMLMV </t>
  </si>
  <si>
    <t xml:space="preserve">Mayor a 500 SMLMV </t>
  </si>
  <si>
    <t>El riesgo afecta la imagen de alguna área de la organización</t>
  </si>
  <si>
    <t>El riesgo afecta la imagen de la entidad internamente, de conocimiento general, nivel interno, de junta dircetiva y accionistas y/o de provedores</t>
  </si>
  <si>
    <t>El riesgo afecta la imagen de de la entidad con efecto publicitario sostenido a nivel de sector administrativo, nivel departamental o municipal</t>
  </si>
  <si>
    <t>El riesgo afecta la imagen de la entidad con algunos usuarios de relevancia frente al logro de los objetivos</t>
  </si>
  <si>
    <t>Leve 20%</t>
  </si>
  <si>
    <t>La actividad que conlleva el riesgo se ejecuta como máximos 2 veces por año</t>
  </si>
  <si>
    <t>La actividad que conlleva el riesgo se ejecuta de 3 a 24 veces por año</t>
  </si>
  <si>
    <t>La actividad que conlleva el riesgo se ejecuta de 24 a 500 veces por año</t>
  </si>
  <si>
    <t>La actividad que conlleva el riesgo se ejecuta mínimo 500 veces al año y máximo 5000 veces por año</t>
  </si>
  <si>
    <t>La actividad que conlleva el riesgo se ejecuta más de 5000 veces por año</t>
  </si>
  <si>
    <t>Media</t>
  </si>
  <si>
    <t>Catastrófico
100%</t>
  </si>
  <si>
    <t>Mayor
80%</t>
  </si>
  <si>
    <t>Moderado
60%</t>
  </si>
  <si>
    <t>Menor
40%</t>
  </si>
  <si>
    <t>Leve
20%</t>
  </si>
  <si>
    <t>Muy Baja
20%</t>
  </si>
  <si>
    <t>Baja
40%</t>
  </si>
  <si>
    <t>Alta
80%</t>
  </si>
  <si>
    <t>Muy Alta
100%</t>
  </si>
  <si>
    <t>Media
60%</t>
  </si>
  <si>
    <t>El riesgo afecta la imagen de la entidad a nivel nacional, con efecto publicitarios sostenible a nivel país</t>
  </si>
  <si>
    <t>Con Registro</t>
  </si>
  <si>
    <t>Sin Registro</t>
  </si>
  <si>
    <t>El control no deja registro de la ejecución del control</t>
  </si>
  <si>
    <t>El control deja un registro que permite evidenciar la ejecución del control</t>
  </si>
  <si>
    <t>Ejecucion y Administracion de procesos</t>
  </si>
  <si>
    <t>Fraude Externo</t>
  </si>
  <si>
    <t>Fraude Interno</t>
  </si>
  <si>
    <t>Fallas Tecnologicas</t>
  </si>
  <si>
    <t>Relaciones Laborales</t>
  </si>
  <si>
    <t>Usuarios, productos y practicas , organizacionales</t>
  </si>
  <si>
    <t>Daños Activos Fisicos</t>
  </si>
  <si>
    <t>Objetivo:</t>
  </si>
  <si>
    <t>Reputacional</t>
  </si>
  <si>
    <t>Económico</t>
  </si>
  <si>
    <t>Económico y Reputacional</t>
  </si>
  <si>
    <t>Frecuencia con la cual se realiza la actividad</t>
  </si>
  <si>
    <t>Reducir (mitigar)</t>
  </si>
  <si>
    <t>Reducir (compartir)</t>
  </si>
  <si>
    <t>Probabilidad Residual</t>
  </si>
  <si>
    <t>Identificación del riesgo</t>
  </si>
  <si>
    <t>Análisis del riesgo inherente</t>
  </si>
  <si>
    <t>Evaluación del riesgo - Valoración de los controles</t>
  </si>
  <si>
    <t>Evaluación del riesgo - Nivel del riesgo residual</t>
  </si>
  <si>
    <t>Fuente:  Adaptado de Curso Riesgo Operativo Universidad del Rosario por Dirección de Gestión y Desempeño Institucional de Función Pública,  2020.</t>
  </si>
  <si>
    <t>Subcriterios</t>
  </si>
  <si>
    <t xml:space="preserve">     Afectación menor a 10 SMLMV .</t>
  </si>
  <si>
    <t>❌</t>
  </si>
  <si>
    <t>✔</t>
  </si>
  <si>
    <t xml:space="preserve">     Entre 50 y 100 SMLMV </t>
  </si>
  <si>
    <t xml:space="preserve">     Entre 10 y 50 SMLMV </t>
  </si>
  <si>
    <t xml:space="preserve">     Entre 100 y 500 SMLMV </t>
  </si>
  <si>
    <t xml:space="preserve">     Mayor a 500 SMLMV </t>
  </si>
  <si>
    <t xml:space="preserve">     El riesgo afecta la imagen de alguna área de la organización</t>
  </si>
  <si>
    <t xml:space="preserve">     El riesgo afecta la imagen de la entidad internamente, de conocimiento general, nivel interno, de junta dircetiva y accionistas y/o de provedores</t>
  </si>
  <si>
    <t xml:space="preserve">     El riesgo afecta la imagen de la entidad con algunos usuarios de relevancia frente al logro de los objetivos</t>
  </si>
  <si>
    <t xml:space="preserve">     El riesgo afecta la imagen de de la entidad con efecto publicitario sostenido a nivel de sector administrativo, nivel departamental o municipal</t>
  </si>
  <si>
    <t xml:space="preserve">     El riesgo afecta la imagen de la entidad a nivel nacional, con efecto publicitarios sostenible a nivel país</t>
  </si>
  <si>
    <t xml:space="preserve">Afectación menor a 10 SMLMV </t>
  </si>
  <si>
    <r>
      <rPr>
        <b/>
        <sz val="12"/>
        <color theme="9" tint="-0.249977111117893"/>
        <rFont val="Arial Narrow"/>
        <family val="2"/>
      </rPr>
      <t>*Nota 1:</t>
    </r>
    <r>
      <rPr>
        <sz val="12"/>
        <color theme="1"/>
        <rFont val="Arial Narrow"/>
        <family val="2"/>
      </rPr>
      <t xml:space="preserve"> Los atributos de formalización se recogerán de manera informativa, con el fin de conocer el entorno del control y complementar el análisis con elementos cualitativos; éstos no tienen una incidencia directa en su efectividad. </t>
    </r>
  </si>
  <si>
    <t xml:space="preserve"> Matriz de Calor Residual</t>
  </si>
  <si>
    <t>Matriz de Calor Inherente</t>
  </si>
  <si>
    <r>
      <rPr>
        <b/>
        <sz val="12"/>
        <color theme="9" tint="-0.249977111117893"/>
        <rFont val="Arial Narrow"/>
        <family val="2"/>
      </rPr>
      <t>*</t>
    </r>
    <r>
      <rPr>
        <b/>
        <sz val="12"/>
        <rFont val="Arial Narrow"/>
        <family val="2"/>
      </rPr>
      <t>Atributos de</t>
    </r>
    <r>
      <rPr>
        <b/>
        <sz val="12"/>
        <color theme="9" tint="-0.249977111117893"/>
        <rFont val="Arial Narrow"/>
        <family val="2"/>
      </rPr>
      <t xml:space="preserve"> </t>
    </r>
    <r>
      <rPr>
        <b/>
        <sz val="12"/>
        <color rgb="FF000000"/>
        <rFont val="Arial Narrow"/>
        <family val="2"/>
      </rPr>
      <t>Formalización</t>
    </r>
  </si>
  <si>
    <t>Descripción del Control</t>
  </si>
  <si>
    <t>Orientaciones Generales</t>
  </si>
  <si>
    <t>Columna</t>
  </si>
  <si>
    <t>Matriz Mapa de Riesgos</t>
  </si>
  <si>
    <t>Referencia</t>
  </si>
  <si>
    <t xml:space="preserve">Permite definir unl consecutivo de riesgos.
Una entidad puede ir en el riesgo 150, pero tener 70 riesgos, lo que permite llevar una traza de los riesgos. Esta información la debe administrar la oficina asesora de planeación o gerencia de riesgos.  Cuando un el riesgo salga del mapa no existirá otro riesgo con el mismo número. </t>
  </si>
  <si>
    <r>
      <t xml:space="preserve">Antes de iniciar con el diligenciamiento de la información en la matriz, se requiere haber avanzado en el análisis del </t>
    </r>
    <r>
      <rPr>
        <b/>
        <sz val="11"/>
        <rFont val="Arial Narrow"/>
        <family val="2"/>
      </rPr>
      <t>proceso, su objetivo, alcance, actividades clave</t>
    </r>
    <r>
      <rPr>
        <sz val="11"/>
        <rFont val="Arial Narrow"/>
        <family val="2"/>
      </rPr>
      <t xml:space="preserve">, considere los lineamientos establecidos en el </t>
    </r>
    <r>
      <rPr>
        <b/>
        <sz val="11"/>
        <color theme="9" tint="-0.249977111117893"/>
        <rFont val="Arial Narrow"/>
        <family val="2"/>
      </rPr>
      <t>Paso 2: identificación del riesgo</t>
    </r>
    <r>
      <rPr>
        <sz val="11"/>
        <rFont val="Arial Narrow"/>
        <family val="2"/>
      </rPr>
      <t xml:space="preserve">, donde se explica ampliamente las bases para adelanter este análisis.
Así mismo, considere en el </t>
    </r>
    <r>
      <rPr>
        <b/>
        <sz val="11"/>
        <color theme="9" tint="-0.249977111117893"/>
        <rFont val="Arial Narrow"/>
        <family val="2"/>
      </rPr>
      <t>Paso 3: valoración del riesgo</t>
    </r>
    <r>
      <rPr>
        <sz val="11"/>
        <rFont val="Arial Narrow"/>
        <family val="2"/>
      </rPr>
      <t xml:space="preserve"> los lineamientos para definir el No. de veces que se hace la actividad con la cual se relaciona el riesgo y su impacto en términos económicos o reputacionales. En este mismo paso se analizan los controles que deben responder a los atributos de eficiencia e informativos.
</t>
    </r>
    <r>
      <rPr>
        <b/>
        <sz val="11"/>
        <color theme="9" tint="-0.249977111117893"/>
        <rFont val="Arial Narrow"/>
        <family val="2"/>
      </rPr>
      <t>NOTA:</t>
    </r>
    <r>
      <rPr>
        <sz val="11"/>
        <rFont val="Arial Narrow"/>
        <family val="2"/>
      </rPr>
      <t xml:space="preserve"> Si lo considera pertinente, es posible agregar hojas de trabajo adicionales al presente formato que permitan incluir la traza de estos análisis.</t>
    </r>
  </si>
  <si>
    <t>Frecuencia con la cual se lleva a cabo la actividad</t>
  </si>
  <si>
    <t>Utilice la lista de despligue que se encuentra parametrizada, le aparecerán las opciones: i)Daños Activos Fisicos, ii)Ejecucion y Administracion de procesos, iii)Fallas Tecnologicas, iv)Fraude Externo, v)Fraude Interno, vi)Relaciones Laborales, vii)Usuarios, productos y practicas organizacionales.</t>
  </si>
  <si>
    <t>Defina el # de veces que se ejecuta la actividad durante el año, (Recuerde la probabilidad e ocurrencia del riesgo se defien como el No. de veces que se pasa por el punto de riesgo en el periodo de 1 año). La matriz automáticamente hará el cálculo para el nivel de probabilidad inherente (Columnas H-I)</t>
  </si>
  <si>
    <t>Criterios de Impacto</t>
  </si>
  <si>
    <t>Utilice la lista de despligue que se encuentra parametrizada, le aparecerán las opciones de la tabla de Impacto en la Hoja 6 del presente documento. La matriz automáticamente hará el cálculo para el nivel de impacto inherente (Columnas L-M)</t>
  </si>
  <si>
    <t>Teniendo en cuenta que ingresó la información de PROBABILIDAD e IMPACTO, la matriz automáticamente hará el cálculo para la zona de riesgo inherente (Columna N)</t>
  </si>
  <si>
    <r>
      <t xml:space="preserve">Recuerde que el control se define como la medida que permite reducir o mitigar un riesgo. Defina el control (es) que atacan la causa raíz del riesgo, considere la estructura explicada en la guía: </t>
    </r>
    <r>
      <rPr>
        <b/>
        <sz val="9"/>
        <color theme="9" tint="-0.249977111117893"/>
        <rFont val="Arial Narrow"/>
        <family val="2"/>
      </rPr>
      <t>Responsable de ejecutar el control + Acción + Complemento</t>
    </r>
  </si>
  <si>
    <t>Esta casilla no se diligencia, depende de la selección en la columna R.</t>
  </si>
  <si>
    <t>Utilice la lista de despligue que se encuentra parametrizada, le aparecerán las opciones: i)Preventivo, ii)Detectivo, iii)Correctivo.</t>
  </si>
  <si>
    <t>Utilice la lista de despligue que se encuentra parametrizada, le aparecerán las opciones: i)Automático, ii)Manual.</t>
  </si>
  <si>
    <t xml:space="preserve">La matriz automáticamente hará el cálculo para el control analizado (Columna T) </t>
  </si>
  <si>
    <r>
      <t xml:space="preserve">ATRIBUTOS EFICIENCIA
</t>
    </r>
    <r>
      <rPr>
        <sz val="9"/>
        <rFont val="Arial Narrow"/>
        <family val="2"/>
      </rPr>
      <t>Tipo</t>
    </r>
  </si>
  <si>
    <r>
      <t xml:space="preserve">ATRIBUTOS EFICIENCIA
</t>
    </r>
    <r>
      <rPr>
        <sz val="9"/>
        <rFont val="Arial Narrow"/>
        <family val="2"/>
      </rPr>
      <t>Implementación</t>
    </r>
  </si>
  <si>
    <r>
      <t xml:space="preserve">ATRIBUTOS EFICIENCIA
</t>
    </r>
    <r>
      <rPr>
        <sz val="9"/>
        <rFont val="Arial Narrow"/>
        <family val="2"/>
      </rPr>
      <t>Calificación</t>
    </r>
  </si>
  <si>
    <r>
      <t xml:space="preserve">ATRIBUTOS INFORMATIVOS
</t>
    </r>
    <r>
      <rPr>
        <sz val="9"/>
        <rFont val="Arial Narrow"/>
        <family val="2"/>
      </rPr>
      <t>Documentación</t>
    </r>
  </si>
  <si>
    <t>Utilice la lista de despligue que se encuentra parametrizada, le aparecerán las opciones: i)Documentado, ii)Sin documentar.</t>
  </si>
  <si>
    <r>
      <t xml:space="preserve">ATRIBUTOS INFORMATIVOS
</t>
    </r>
    <r>
      <rPr>
        <sz val="9"/>
        <rFont val="Arial Narrow"/>
        <family val="2"/>
      </rPr>
      <t>Frecuencia</t>
    </r>
  </si>
  <si>
    <t>Utilice la lista de despligue que se encuentra parametrizada, le aparecerán las opciones: i)Continua, ii)Aleatoria.</t>
  </si>
  <si>
    <r>
      <t xml:space="preserve">ATRIBUTOS INFORMATIVOS
</t>
    </r>
    <r>
      <rPr>
        <sz val="9"/>
        <rFont val="Arial Narrow"/>
        <family val="2"/>
      </rPr>
      <t>Registro</t>
    </r>
  </si>
  <si>
    <t>Utilice la lista de despligue que se encuentra parametrizada, le aparecerán las opciones: i)Con Registro, ii) Sin Registro.</t>
  </si>
  <si>
    <t>Evaluación del Nivel de Riesgo - Nivel de Riesgo Residual</t>
  </si>
  <si>
    <r>
      <t>La matriz automáticamente hará el cálculo, acorde con el control o controles definidos con sus atributos analizados, lo que permitirá establecer el</t>
    </r>
    <r>
      <rPr>
        <b/>
        <sz val="9"/>
        <color theme="9" tint="-0.249977111117893"/>
        <rFont val="Arial Narrow"/>
        <family val="2"/>
      </rPr>
      <t xml:space="preserve"> nivel de riesgo inherente</t>
    </r>
    <r>
      <rPr>
        <sz val="9"/>
        <rFont val="Arial Narrow"/>
        <family val="2"/>
      </rPr>
      <t xml:space="preserve"> (Columnas Y- Z- AA -AB- AC).</t>
    </r>
  </si>
  <si>
    <t>Utilice la lista de despligue que se encuentra parametrizada, le aparecerán las opciones: i)Aceptar, ii)Evitar, iii)Reducir (compartir), iv)Reducir (mitigar).</t>
  </si>
  <si>
    <t xml:space="preserve">Esta casilla dependerá del tratamiento establecido, si es Aceptar no se requieren acciones adicionales, en caso de escoger Reducir (mitigar) se deben diligenciar las acciones que se adelantarán como complemento a los controles establecidos, no necesariamente son controles adicionales. Para Reducir (compartir), es viable diligenciar la acción que deriva de esta (ejemplo póliza seguros, terceración), indicando información relevante. </t>
  </si>
  <si>
    <r>
      <t xml:space="preserve">Plan de Acción
</t>
    </r>
    <r>
      <rPr>
        <sz val="9"/>
        <rFont val="Arial Narrow"/>
        <family val="2"/>
      </rPr>
      <t xml:space="preserve">Responsable, fecha implementación, fecha seguimiento, seguimiento. </t>
    </r>
  </si>
  <si>
    <t>Utilice la lista de despligue que se encuentra parametrizada, le aparecerán las opciones: i)Finalizado, ii)En curso, la selección en este caso dependerá de las acciones del plan que se hayan establecido en cada caso.</t>
  </si>
  <si>
    <t>Proceso</t>
  </si>
  <si>
    <t>Objetivo</t>
  </si>
  <si>
    <t>Alcance</t>
  </si>
  <si>
    <t>Diligencie el objetivo del proceso.</t>
  </si>
  <si>
    <t>Diligencie el alcance del proceso.</t>
  </si>
  <si>
    <t>Diligencie el nombre del proceso al cual se le identificarán y valorarán los riesgos.</t>
  </si>
  <si>
    <r>
      <t xml:space="preserve">El archivo contiene las siguientes hojas:
-   </t>
    </r>
    <r>
      <rPr>
        <b/>
        <sz val="11"/>
        <rFont val="Arial Narrow"/>
        <family val="2"/>
      </rPr>
      <t>Hoja 1 Instructivo</t>
    </r>
    <r>
      <rPr>
        <sz val="10"/>
        <rFont val="Arial Narrow"/>
        <family val="2"/>
      </rPr>
      <t xml:space="preserve">
 -  </t>
    </r>
    <r>
      <rPr>
        <b/>
        <sz val="11"/>
        <rFont val="Arial Narrow"/>
        <family val="2"/>
      </rPr>
      <t xml:space="preserve">Hoja 2 Mapa Final: </t>
    </r>
    <r>
      <rPr>
        <sz val="10"/>
        <rFont val="Arial Narrow"/>
        <family val="2"/>
      </rPr>
      <t>Encontrará la totalidad de la estructura para la identificación y valoración de los riesgos por proceso, programa o proyecto, acorde con el nivel de desagregación que la entidad considere necesaria.</t>
    </r>
  </si>
  <si>
    <t>Descripción - Lineamientos para el diligenciamiento</t>
  </si>
  <si>
    <r>
      <t xml:space="preserve"> -</t>
    </r>
    <r>
      <rPr>
        <sz val="11"/>
        <rFont val="Arial Narrow"/>
        <family val="2"/>
      </rPr>
      <t xml:space="preserve"> </t>
    </r>
    <r>
      <rPr>
        <b/>
        <sz val="11"/>
        <rFont val="Arial Narrow"/>
        <family val="2"/>
      </rPr>
      <t xml:space="preserve"> Hoja 3 Matriz de Calor Inherente: </t>
    </r>
    <r>
      <rPr>
        <sz val="11"/>
        <rFont val="Arial Narrow"/>
        <family val="2"/>
      </rPr>
      <t xml:space="preserve"> 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</si>
  <si>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4 Matriz de Calor Residual: </t>
    </r>
    <r>
      <rPr>
        <sz val="11"/>
        <rFont val="Arial Narrow"/>
        <family val="2"/>
      </rPr>
      <t>En esta hoja, en la medida en que ese diligencia el Mapa Final, se verán reflejados los riesgos en su zona correspondiente. Esta hoja no se diligencia se genera de manera automática.</t>
    </r>
  </si>
  <si>
    <r>
      <t xml:space="preserve"> -</t>
    </r>
    <r>
      <rPr>
        <sz val="11"/>
        <rFont val="Arial Narrow"/>
        <family val="2"/>
      </rPr>
      <t xml:space="preserve"> </t>
    </r>
    <r>
      <rPr>
        <b/>
        <sz val="11"/>
        <rFont val="Arial Narrow"/>
        <family val="2"/>
      </rPr>
      <t xml:space="preserve"> Hoja 5 Tabla de probabilidad: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</si>
  <si>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6 Tabla de Impacto: </t>
    </r>
    <r>
      <rPr>
        <sz val="11"/>
        <rFont val="Arial Narrow"/>
        <family val="2"/>
      </rPr>
      <t>Tabla referente para todos los cálculos (no se diligencia)</t>
    </r>
  </si>
  <si>
    <r>
      <t xml:space="preserve"> -</t>
    </r>
    <r>
      <rPr>
        <sz val="11"/>
        <rFont val="Arial Narrow"/>
        <family val="2"/>
      </rPr>
      <t xml:space="preserve"> </t>
    </r>
    <r>
      <rPr>
        <b/>
        <sz val="11"/>
        <rFont val="Arial Narrow"/>
        <family val="2"/>
      </rPr>
      <t xml:space="preserve"> Hoja 7 Tabla de Valoración de Controles: </t>
    </r>
    <r>
      <rPr>
        <sz val="11"/>
        <rFont val="Arial Narrow"/>
        <family val="2"/>
      </rPr>
      <t>Tabla referente para todos los cálculos (no se diligencia)</t>
    </r>
  </si>
  <si>
    <r>
      <t xml:space="preserve">Teniendo en cuenta que con la expedición del Decreto 1499 de 2017 “Por medio del cual se modifica el Decreto 1083 de 2015, Decreto Único Reglamentario del Sector Función Pública, en lo relacionado con el Sistema de Gestión establecido en el artículo 133 de la Ley 1753 de 2015”, se crea un solo Sistema de Gestión y se alinea con el Sistema de Control Interno, hoy todas las entidades públicas requieren actualizar y/o implementar el Modelo Integrado de Planeación y Gestión MIPG, modelo que incorpora el Modelo Estándar de Control Interno MECI a través de la 7a dimensión del mismo.  En este marco general, el proceso de administración del riesgo es un esfuerzo conjunto entre la Alta Dirección y los servidores en todos sus niveles, ejercicio que inicia con la formulación de la política de Administración del Riesgo, la cual incluye los niveles de responsabilidad frente al seguimiento y evaluación, aspectos que deberán definirse acorde con el Esquema de Líneas de Defensa vinculado a la Dimensión 7.
Teniendo en cuenta lo anterior y dada la necesidad de las entidades frente a la estructuración de los mapas de riesgos, como herramienta fundamental frente a la gestión del riesgo, el presente formato desarrolla un esquema completo acorde con los contenidos metodológicos de la </t>
    </r>
    <r>
      <rPr>
        <b/>
        <sz val="10"/>
        <color theme="9" tint="-0.249977111117893"/>
        <rFont val="Arial Narrow"/>
        <family val="2"/>
      </rPr>
      <t>Guía para la Administración del Riesgo y el diseño de controles V5</t>
    </r>
    <r>
      <rPr>
        <sz val="10"/>
        <rFont val="Arial Narrow"/>
        <family val="2"/>
      </rPr>
      <t>. El formato cuenta con celdas parametrizadas y permite contar con los respectivos mapas de calor para riesgo inherente y riesgo residual.</t>
    </r>
  </si>
  <si>
    <t>Analice las consecuencias que puede ocasionar a la organización la materialización del riesgo, redacte de la forma más concreta posible.</t>
  </si>
  <si>
    <t>Circunstancias bajo las cuales se presenta el riesgo, es la situación más evidente frente al riesgo, redacte de la forma más concreta posible.</t>
  </si>
  <si>
    <t>Causa  principal  o básica, corresponde a las razones por la cuales se puede presentar  el riesgo, redacte de la forma más concreta posible.</t>
  </si>
  <si>
    <r>
      <t xml:space="preserve">Consolida o resume los análisis sobre impacto + causa inmediata + causa raíz, permitiendo contar con una redacción clara y concreta del riesgo indentificado. Tenga en cuenta la estructura de alto nivel establecida en al guía, inicia con </t>
    </r>
    <r>
      <rPr>
        <b/>
        <sz val="9"/>
        <color theme="9" tint="-0.249977111117893"/>
        <rFont val="Arial Narrow"/>
        <family val="2"/>
      </rPr>
      <t>POSIBILIDAD DE + Impacto para la entidad (Qué) + Causa Inmediata (Cómo) + Causa Raíz (Por qué)</t>
    </r>
  </si>
  <si>
    <r>
      <rPr>
        <b/>
        <sz val="11"/>
        <color theme="9" tint="-0.249977111117893"/>
        <rFont val="Arial"/>
        <family val="2"/>
      </rPr>
      <t xml:space="preserve">*Nota: </t>
    </r>
    <r>
      <rPr>
        <sz val="11"/>
        <color theme="1"/>
        <rFont val="Arial"/>
        <family val="2"/>
      </rPr>
      <t>La columna referencia se sugiere para mantener el consecutivo de riesgos, así el riesgo salga del mapa no existirá otro riesgo con el mismo número. Una entidad puede ir en el riesgo 150 pero tener 70 riesgos, lo que permite llevar una traza de los riesgos. Esta información la debe administrar la Oficina Asesora de Planeación o Gerencia de Riesgos.</t>
    </r>
  </si>
  <si>
    <t>SISTEMA DE GESTIÓN DE CALIDAD</t>
  </si>
  <si>
    <t xml:space="preserve">GESTIÓN DE CALIDAD </t>
  </si>
  <si>
    <t>Página 1 de 1</t>
  </si>
  <si>
    <t xml:space="preserve">MAPA DE RIESGOS </t>
  </si>
  <si>
    <t>Estado del Plan de Acción</t>
  </si>
  <si>
    <t xml:space="preserve">Estado del Plan de Acción </t>
  </si>
  <si>
    <t>El riesgo afecta la imagen de la entidad internamente, de conocimiento general, nivel interno, de mesa directiva y/o de provedores</t>
  </si>
  <si>
    <t>El riesgo afecta la imagen de la entidad internamente, de conocimiento general, nivel interno, mesa directiva y/o de provedores</t>
  </si>
  <si>
    <t>Evaluar la percepción de los grupos de valor a traves de encuestas de percepeción con frecuencia anual, en el cual se involucren todas las areas que se relaciones con la ciudadanía. En caso de no cumplir con la meta de percepción, se debe generar una acción correctiva y de manera adicional, evaluar los resultados en el comité institucional de gestión y desempeño.</t>
  </si>
  <si>
    <t>Definir la herramienta encuesta que permita medir la percepeción de los grupos de valor.</t>
  </si>
  <si>
    <t>Lider del proceso de relación estado ciudadano  + Equipo de Relacionamiento</t>
  </si>
  <si>
    <t>	Inicia con la identificación de los grupos de valor y sus necesidades y finaliza con la optimización del proceso.
	Aplica para los escenarios de relacionamiento institucional con la ciudadanía, los usuarios y grupos de valor.</t>
  </si>
  <si>
    <t>RELACIÓN CON LA CIUDADANÍA</t>
  </si>
  <si>
    <t>Fortalecer la interacción con los grupos de valor mediante la articulación y optimización de los procesos de la corporación  con base en la normatividad vigente.</t>
  </si>
  <si>
    <r>
      <t xml:space="preserve">VERSIÓN: </t>
    </r>
    <r>
      <rPr>
        <sz val="11"/>
        <color rgb="FF000000"/>
        <rFont val="Arial"/>
        <family val="2"/>
      </rPr>
      <t>05</t>
    </r>
  </si>
  <si>
    <t>I SEGUIMIENTO 2025
Corte  30 Abril 2025</t>
  </si>
  <si>
    <t>II SEGUIMIENTO 2025
Corte 31 Agosto 2025</t>
  </si>
  <si>
    <t>III SEGUIMIENTO 2025
Corte 31 Diciembre 2025</t>
  </si>
  <si>
    <t>Imagen negativa de la entidad ante sus grupos de valor.</t>
  </si>
  <si>
    <t>Falta de receptividad o insatisfacción de la comunidad chia y demas grupos de valor,  frente a los ejercicios de relacionamiento.</t>
  </si>
  <si>
    <t>Investigaciones administrativas y disciplinarias</t>
  </si>
  <si>
    <t>Contestacion y/o respuestas fuera de los Términos Legales (Derechos de Petición, acciones de tutela, demandas y/o acciones)</t>
  </si>
  <si>
    <r>
      <t xml:space="preserve">FECHA:  </t>
    </r>
    <r>
      <rPr>
        <sz val="11"/>
        <color rgb="FF000000"/>
        <rFont val="Arial"/>
        <family val="2"/>
      </rPr>
      <t>07-05-2025</t>
    </r>
  </si>
  <si>
    <t>Se enviaron a la Oficina de Conntrol interno las evidencias para seguimiento del PTEP.</t>
  </si>
  <si>
    <t>El 30 de enero de 2025, se aprobo el Programa de Transparencia y Etica Publica. PTEP</t>
  </si>
  <si>
    <t>El Comité Institucional de Gestión y Desempeño aprueba el  Programa de Transparencia y Etica Publica. PTEP .</t>
  </si>
  <si>
    <t>El Jefe de Control Interno realiza  Monitoreo al Programa de Transparencia y Etica Publica. PTEP con frencuencia cuatrimestral en atención a la Ley 1474 de 2011.; publicando sus resultado en la página web.</t>
  </si>
  <si>
    <t>Aplicar el proceso de Relacionamiento con el Ciudadano que permita adicionalmente, realizar seguimiento en los tiempos establecidos.</t>
  </si>
  <si>
    <t>Lider del proceso de Relacionamiento con el ciudadano.</t>
  </si>
  <si>
    <t xml:space="preserve">Se implemento la matriz de partes interesadas, adicionalmente se realizo el analisis de los grupos de valor, a partir de las asistencias a la sesiones plenarias y de comision, y del libro de intevencion ciudadana. I Cuatrimeste de 2025,
</t>
  </si>
  <si>
    <t>Se revisaron, actualizaron y aprobaron las encuestas de perceppcion y satisfaccion ciudadana, encuesta  de atencion al ciudadano presencial o virtual, encuesta interna prensa.</t>
  </si>
  <si>
    <t>Jefe Oficina Control Interno</t>
  </si>
  <si>
    <t xml:space="preserve">31/07/2025
31/12/2025
</t>
  </si>
  <si>
    <t xml:space="preserve">La oficina de control interno realiza seguimeintos cuatrimestrales al cumplimiento del programa de Transparencia y etica Publica PTEP </t>
  </si>
  <si>
    <t>Posibilidad de afectación por Investigaciones administrativas y disciplinarias, por la Contestacion y/o respuestas fuera de los Términos Legales (Derechos de Petición, acciones de tutela, demandas y/o acciones)</t>
  </si>
  <si>
    <t xml:space="preserve">Posibilidad Imagen negativa de la entidad ante sus grupos de valor, debido a la falta de receptividad o insatisfacción de la comunidad de ChÍa y demas grupos de valor,  frente a la realización de los ejercicios de relacionamiento con la ciudadanía </t>
  </si>
  <si>
    <t>Generar y enviar a cada responsable desde el area de Gestion Documental , el seguimiento mensual a las peticiones pendientes por dar tramite o cierre en el sistema de correspondencia.</t>
  </si>
  <si>
    <t>Gestion Documental y demas responsables de dar respuesta</t>
  </si>
  <si>
    <t xml:space="preserve">Se han realizado los reportes mensuales de PQRSDF allegados a la entidad, los cuales son remitidos por correos electronicos y  los responsables toman acciones y las reportan por correo electronico. 
</t>
  </si>
  <si>
    <t>El Lider del Proceso de Relacionamiento realiza seguimiento cuatrimestral a las estratégias definidas por la corporación con relación a la participación ciudadana, pqrs, canales de atención, plan de transparencia y etica publica y atención al ciudadano, rendición de cuentas, aplicación de encuestas de percepeción, entre otros. En caso que el seguimiento no cuente con los resultados esperados estos se llevaran al Comité Institucional de Gestión y Desempeño.</t>
  </si>
  <si>
    <t>Se aplicaron, tabularon y analizaron  con corte a 21 de julio de 2025 las encuestas aprobadas .
Se realizo el informe de resultado de las encuestas.</t>
  </si>
  <si>
    <t>Se enviaron a la Oficina de Control interno las evidencias para seguimiento del PTEP.</t>
  </si>
  <si>
    <t>El Lider de PQRS,  realiza seguimeinto al consolidado de la corporación  para control de terminos a las PQRS, mensualmente y emite las alertas tempranas para su respuesta.</t>
  </si>
  <si>
    <t>Se actualizo el proceso de Relacionamiento con el ciudadano en el mes de junio de 2025,
Se expidio Resolucion del Manual de Ventanilla Unica. 
Se realizaron 8 reuniones, 
Se realizo el analisis de los grupos de valor, a partir de las asistencias a la sesiones plenarias y de comision, y del libro de intevencion ciudadana II Cuatrimestre de 2025.</t>
  </si>
  <si>
    <t>Se realizaron 2 reuniones, 
Se realizo el analisis de los grupos de valor, a partir de las asistencias a la sesiones plenarias y de comision, y del libro de intevencion ciudadana III Cuatrimestre de 2025.</t>
  </si>
  <si>
    <t xml:space="preserve">Se enviaron a la Oficina de Control interno las evidencias para seguimiento del PTEP. Se cargaron en la carpeta compartida SGC 2025 No.12 </t>
  </si>
  <si>
    <t>Se aplicaron, tabularon y analizaron   las encuestas aprobadas .
Se realizo el informe de resultado de las encuestas.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</si>
</sst>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m/yyyy"/>
  </numFmts>
  <fonts count="71" x14ac:knownFonts="1">
    <font>
      <sz val="11"/>
      <color theme="1"/>
      <name val="Calibri"/>
      <family val="2"/>
      <scheme val="minor"/>
    </font>
    <font>
      <sz val="11"/>
      <name val="Arial Narrow"/>
      <family val="2"/>
    </font>
    <font>
      <sz val="10"/>
      <color rgb="FF000000"/>
      <name val="Arial Narrow"/>
      <family val="2"/>
    </font>
    <font>
      <b/>
      <sz val="11"/>
      <color theme="1"/>
      <name val="Arial Narrow"/>
      <family val="2"/>
    </font>
    <font>
      <sz val="10"/>
      <color theme="1"/>
      <name val="Calibri"/>
      <family val="2"/>
      <scheme val="minor"/>
    </font>
    <font>
      <b/>
      <sz val="11"/>
      <color theme="9" tint="-0.249977111117893"/>
      <name val="Arial Narrow"/>
      <family val="2"/>
    </font>
    <font>
      <sz val="18"/>
      <name val="Arial"/>
      <family val="2"/>
    </font>
    <font>
      <b/>
      <sz val="20"/>
      <color rgb="FF000000"/>
      <name val="Arial Narrow"/>
      <family val="2"/>
    </font>
    <font>
      <sz val="20"/>
      <color rgb="FF000000"/>
      <name val="Arial Narrow"/>
      <family val="2"/>
    </font>
    <font>
      <sz val="20"/>
      <color rgb="FFFFFFFF"/>
      <name val="Arial Narrow"/>
      <family val="2"/>
    </font>
    <font>
      <sz val="16"/>
      <color rgb="FF000000"/>
      <name val="Arial Narrow"/>
      <family val="2"/>
    </font>
    <font>
      <sz val="11"/>
      <color theme="0"/>
      <name val="Calibri"/>
      <family val="2"/>
      <scheme val="minor"/>
    </font>
    <font>
      <sz val="11"/>
      <color theme="1"/>
      <name val="Calibri"/>
      <family val="2"/>
      <scheme val="minor"/>
    </font>
    <font>
      <sz val="11"/>
      <name val="Calibri"/>
      <family val="2"/>
      <scheme val="minor"/>
    </font>
    <font>
      <sz val="16"/>
      <color theme="1"/>
      <name val="Calibri"/>
      <family val="2"/>
      <scheme val="minor"/>
    </font>
    <font>
      <sz val="28"/>
      <color theme="1"/>
      <name val="Calibri"/>
      <family val="2"/>
      <scheme val="minor"/>
    </font>
    <font>
      <b/>
      <sz val="40"/>
      <color rgb="FF000000"/>
      <name val="Calibri"/>
      <family val="2"/>
    </font>
    <font>
      <b/>
      <sz val="12"/>
      <color rgb="FF000000"/>
      <name val="Calibri"/>
      <family val="2"/>
    </font>
    <font>
      <b/>
      <sz val="28"/>
      <color rgb="FF000000"/>
      <name val="Calibri"/>
      <family val="2"/>
    </font>
    <font>
      <b/>
      <sz val="36"/>
      <color rgb="FF000000"/>
      <name val="Calibri"/>
      <family val="2"/>
    </font>
    <font>
      <sz val="18"/>
      <color theme="1"/>
      <name val="Arial Narrow"/>
      <family val="2"/>
    </font>
    <font>
      <b/>
      <sz val="18"/>
      <color rgb="FF000000"/>
      <name val="Calibri"/>
      <family val="2"/>
    </font>
    <font>
      <b/>
      <sz val="18"/>
      <color theme="1"/>
      <name val="Arial Narrow"/>
      <family val="2"/>
    </font>
    <font>
      <b/>
      <sz val="22"/>
      <color theme="1"/>
      <name val="Arial Narrow"/>
      <family val="2"/>
    </font>
    <font>
      <sz val="11"/>
      <color rgb="FFFF0000"/>
      <name val="Calibri"/>
      <family val="2"/>
      <scheme val="minor"/>
    </font>
    <font>
      <sz val="16"/>
      <color rgb="FFFF0000"/>
      <name val="Arial Narrow"/>
      <family val="2"/>
    </font>
    <font>
      <sz val="16"/>
      <color rgb="FFFF0000"/>
      <name val="Calibri"/>
      <family val="2"/>
      <scheme val="minor"/>
    </font>
    <font>
      <sz val="11"/>
      <color rgb="FF030303"/>
      <name val="Arial"/>
      <family val="2"/>
    </font>
    <font>
      <sz val="24"/>
      <name val="Arial"/>
      <family val="2"/>
    </font>
    <font>
      <b/>
      <sz val="24"/>
      <color rgb="FF000000"/>
      <name val="Arial Narrow"/>
      <family val="2"/>
    </font>
    <font>
      <sz val="26"/>
      <color rgb="FF000000"/>
      <name val="Arial Narrow"/>
      <family val="2"/>
    </font>
    <font>
      <sz val="26"/>
      <color rgb="FFFFFFFF"/>
      <name val="Arial Narrow"/>
      <family val="2"/>
    </font>
    <font>
      <sz val="12"/>
      <color theme="1"/>
      <name val="Arial Narrow"/>
      <family val="2"/>
    </font>
    <font>
      <sz val="12"/>
      <color theme="1"/>
      <name val="Calibri"/>
      <family val="2"/>
      <scheme val="minor"/>
    </font>
    <font>
      <b/>
      <sz val="12"/>
      <color rgb="FF000000"/>
      <name val="Arial Narrow"/>
      <family val="2"/>
    </font>
    <font>
      <sz val="12"/>
      <color rgb="FF000000"/>
      <name val="Arial Narrow"/>
      <family val="2"/>
    </font>
    <font>
      <b/>
      <sz val="12"/>
      <color theme="9" tint="-0.249977111117893"/>
      <name val="Arial Narrow"/>
      <family val="2"/>
    </font>
    <font>
      <b/>
      <sz val="14"/>
      <color rgb="FF000000"/>
      <name val="Arial Narrow"/>
      <family val="2"/>
    </font>
    <font>
      <sz val="24"/>
      <color theme="1"/>
      <name val="Arial Narrow"/>
      <family val="2"/>
    </font>
    <font>
      <b/>
      <sz val="24"/>
      <color rgb="FF000000"/>
      <name val="Calibri"/>
      <family val="2"/>
    </font>
    <font>
      <b/>
      <sz val="20"/>
      <color theme="1"/>
      <name val="Calibri"/>
      <family val="2"/>
      <scheme val="minor"/>
    </font>
    <font>
      <b/>
      <sz val="12"/>
      <name val="Arial Narrow"/>
      <family val="2"/>
    </font>
    <font>
      <b/>
      <sz val="26"/>
      <color theme="1"/>
      <name val="Arial Narrow"/>
      <family val="2"/>
    </font>
    <font>
      <b/>
      <sz val="9"/>
      <color theme="1"/>
      <name val="Arial Narrow"/>
      <family val="2"/>
    </font>
    <font>
      <sz val="10"/>
      <name val="Arial"/>
      <family val="2"/>
    </font>
    <font>
      <sz val="12"/>
      <name val="Times New Roman"/>
      <family val="1"/>
    </font>
    <font>
      <sz val="10"/>
      <name val="Arial Narrow"/>
      <family val="2"/>
    </font>
    <font>
      <b/>
      <sz val="14"/>
      <name val="Arial Narrow"/>
      <family val="2"/>
    </font>
    <font>
      <b/>
      <u/>
      <sz val="11"/>
      <name val="Arial Narrow"/>
      <family val="2"/>
    </font>
    <font>
      <b/>
      <sz val="11"/>
      <name val="Arial Narrow"/>
      <family val="2"/>
    </font>
    <font>
      <b/>
      <sz val="10"/>
      <name val="Arial Narrow"/>
      <family val="2"/>
    </font>
    <font>
      <b/>
      <sz val="9"/>
      <name val="Arial Narrow"/>
      <family val="2"/>
    </font>
    <font>
      <sz val="9"/>
      <name val="Arial Narrow"/>
      <family val="2"/>
    </font>
    <font>
      <b/>
      <sz val="9"/>
      <color theme="9" tint="-0.249977111117893"/>
      <name val="Arial Narrow"/>
      <family val="2"/>
    </font>
    <font>
      <b/>
      <sz val="10"/>
      <color theme="9" tint="-0.249977111117893"/>
      <name val="Arial Narrow"/>
      <family val="2"/>
    </font>
    <font>
      <b/>
      <sz val="22"/>
      <color theme="1"/>
      <name val="Arial"/>
      <family val="2"/>
    </font>
    <font>
      <sz val="11"/>
      <color theme="1"/>
      <name val="Arial"/>
      <family val="2"/>
    </font>
    <font>
      <b/>
      <sz val="11"/>
      <color theme="1"/>
      <name val="Arial"/>
      <family val="2"/>
    </font>
    <font>
      <sz val="11"/>
      <name val="Arial"/>
      <family val="2"/>
    </font>
    <font>
      <sz val="10"/>
      <color theme="1"/>
      <name val="Arial"/>
      <family val="2"/>
    </font>
    <font>
      <b/>
      <sz val="11"/>
      <color theme="9" tint="-0.249977111117893"/>
      <name val="Arial"/>
      <family val="2"/>
    </font>
    <font>
      <sz val="8"/>
      <name val="Times New Roman"/>
      <family val="1"/>
    </font>
    <font>
      <b/>
      <sz val="8"/>
      <color rgb="FF000000"/>
      <name val="Arial"/>
      <family val="2"/>
    </font>
    <font>
      <b/>
      <sz val="8"/>
      <name val="Arial"/>
      <family val="2"/>
    </font>
    <font>
      <b/>
      <sz val="10"/>
      <color theme="1"/>
      <name val="Arial"/>
      <family val="2"/>
    </font>
    <font>
      <b/>
      <sz val="11"/>
      <name val="Arial"/>
      <family val="2"/>
    </font>
    <font>
      <sz val="9"/>
      <color indexed="81"/>
      <name val="Tahoma"/>
      <family val="2"/>
    </font>
    <font>
      <b/>
      <sz val="9"/>
      <color indexed="81"/>
      <name val="Tahoma"/>
      <family val="2"/>
    </font>
    <font>
      <sz val="12"/>
      <name val="Arial"/>
      <family val="2"/>
    </font>
    <font>
      <b/>
      <sz val="11"/>
      <color rgb="FF000000"/>
      <name val="Arial"/>
      <family val="2"/>
    </font>
    <font>
      <sz val="11"/>
      <color rgb="FF000000"/>
      <name val="Arial"/>
      <family val="2"/>
    </font>
  </fonts>
  <fills count="24">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rgb="FFFFFF66"/>
        <bgColor indexed="64"/>
      </patternFill>
    </fill>
    <fill>
      <patternFill patternType="solid">
        <fgColor rgb="FF92D050"/>
        <bgColor indexed="64"/>
      </patternFill>
    </fill>
    <fill>
      <patternFill patternType="solid">
        <fgColor rgb="FFBFBFBF"/>
        <bgColor indexed="64"/>
      </patternFill>
    </fill>
    <fill>
      <patternFill patternType="solid">
        <fgColor rgb="FF00B050"/>
        <bgColor indexed="64"/>
      </patternFill>
    </fill>
    <fill>
      <patternFill patternType="solid">
        <fgColor rgb="FFFFC000"/>
        <bgColor indexed="64"/>
      </patternFill>
    </fill>
    <fill>
      <patternFill patternType="solid">
        <fgColor rgb="FFFF0000"/>
        <bgColor indexed="64"/>
      </patternFill>
    </fill>
    <fill>
      <patternFill patternType="solid">
        <fgColor rgb="FFD9D9D9"/>
        <bgColor indexed="64"/>
      </patternFill>
    </fill>
    <fill>
      <patternFill patternType="solid">
        <fgColor rgb="FFE26B0A"/>
        <bgColor indexed="64"/>
      </patternFill>
    </fill>
    <fill>
      <patternFill patternType="solid">
        <fgColor rgb="FFC00000"/>
        <bgColor indexed="64"/>
      </patternFill>
    </fill>
    <fill>
      <patternFill patternType="solid">
        <fgColor rgb="FFFFFF00"/>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00B0F0"/>
        <bgColor indexed="64"/>
      </patternFill>
    </fill>
    <fill>
      <patternFill patternType="solid">
        <fgColor theme="0"/>
        <bgColor theme="0"/>
      </patternFill>
    </fill>
    <fill>
      <patternFill patternType="solid">
        <fgColor theme="8"/>
        <bgColor indexed="64"/>
      </patternFill>
    </fill>
    <fill>
      <patternFill patternType="solid">
        <fgColor theme="4"/>
        <bgColor indexed="64"/>
      </patternFill>
    </fill>
    <fill>
      <patternFill patternType="solid">
        <fgColor theme="8"/>
        <bgColor rgb="FF92D050"/>
      </patternFill>
    </fill>
    <fill>
      <patternFill patternType="solid">
        <fgColor theme="4"/>
        <bgColor rgb="FF92D050"/>
      </patternFill>
    </fill>
  </fills>
  <borders count="78">
    <border>
      <left/>
      <right/>
      <top/>
      <bottom/>
      <diagonal/>
    </border>
    <border>
      <left style="dotted">
        <color rgb="FFF79646"/>
      </left>
      <right style="dotted">
        <color rgb="FFF79646"/>
      </right>
      <top style="dotted">
        <color rgb="FFF79646"/>
      </top>
      <bottom style="dotted">
        <color rgb="FFF79646"/>
      </bottom>
      <diagonal/>
    </border>
    <border>
      <left style="dotted">
        <color rgb="FFF79646"/>
      </left>
      <right style="dotted">
        <color rgb="FFF79646"/>
      </right>
      <top/>
      <bottom style="dotted">
        <color rgb="FFF7964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top style="thin">
        <color auto="1"/>
      </top>
      <bottom/>
      <diagonal/>
    </border>
    <border>
      <left/>
      <right style="medium">
        <color indexed="64"/>
      </right>
      <top style="thin">
        <color indexed="64"/>
      </top>
      <bottom/>
      <diagonal/>
    </border>
    <border>
      <left style="double">
        <color indexed="64"/>
      </left>
      <right/>
      <top style="double">
        <color indexed="64"/>
      </top>
      <bottom/>
      <diagonal/>
    </border>
    <border>
      <left/>
      <right style="thin">
        <color theme="0"/>
      </right>
      <top style="double">
        <color indexed="64"/>
      </top>
      <bottom/>
      <diagonal/>
    </border>
    <border>
      <left style="thin">
        <color theme="0"/>
      </left>
      <right/>
      <top style="double">
        <color indexed="64"/>
      </top>
      <bottom style="thin">
        <color indexed="64"/>
      </bottom>
      <diagonal/>
    </border>
    <border>
      <left/>
      <right style="double">
        <color indexed="64"/>
      </right>
      <top style="double">
        <color indexed="64"/>
      </top>
      <bottom style="thin">
        <color indexed="64"/>
      </bottom>
      <diagonal/>
    </border>
    <border>
      <left style="double">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double">
        <color indexed="64"/>
      </right>
      <top style="thin">
        <color indexed="64"/>
      </top>
      <bottom style="hair">
        <color indexed="64"/>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auto="1"/>
      </left>
      <right/>
      <top style="hair">
        <color auto="1"/>
      </top>
      <bottom style="hair">
        <color auto="1"/>
      </bottom>
      <diagonal/>
    </border>
    <border>
      <left/>
      <right style="double">
        <color indexed="64"/>
      </right>
      <top style="hair">
        <color indexed="64"/>
      </top>
      <bottom style="hair">
        <color indexed="64"/>
      </bottom>
      <diagonal/>
    </border>
    <border>
      <left style="hair">
        <color indexed="64"/>
      </left>
      <right/>
      <top style="hair">
        <color indexed="64"/>
      </top>
      <bottom style="double">
        <color indexed="64"/>
      </bottom>
      <diagonal/>
    </border>
    <border>
      <left/>
      <right style="double">
        <color indexed="64"/>
      </right>
      <top style="hair">
        <color indexed="64"/>
      </top>
      <bottom style="double">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double">
        <color indexed="64"/>
      </left>
      <right/>
      <top style="hair">
        <color indexed="64"/>
      </top>
      <bottom style="hair">
        <color indexed="64"/>
      </bottom>
      <diagonal/>
    </border>
    <border>
      <left/>
      <right style="hair">
        <color indexed="64"/>
      </right>
      <top style="hair">
        <color indexed="64"/>
      </top>
      <bottom style="hair">
        <color indexed="64"/>
      </bottom>
      <diagonal/>
    </border>
    <border>
      <left style="double">
        <color indexed="64"/>
      </left>
      <right/>
      <top style="hair">
        <color indexed="64"/>
      </top>
      <bottom style="double">
        <color indexed="64"/>
      </bottom>
      <diagonal/>
    </border>
    <border>
      <left/>
      <right style="hair">
        <color indexed="64"/>
      </right>
      <top style="hair">
        <color indexed="64"/>
      </top>
      <bottom style="double">
        <color indexed="64"/>
      </bottom>
      <diagonal/>
    </border>
    <border>
      <left style="thin">
        <color indexed="64"/>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s>
  <cellStyleXfs count="5">
    <xf numFmtId="0" fontId="0" fillId="0" borderId="0"/>
    <xf numFmtId="9" fontId="12" fillId="0" borderId="0" applyFont="0" applyFill="0" applyBorder="0" applyAlignment="0" applyProtection="0"/>
    <xf numFmtId="0" fontId="44" fillId="0" borderId="0"/>
    <xf numFmtId="0" fontId="45" fillId="0" borderId="0"/>
    <xf numFmtId="0" fontId="4" fillId="0" borderId="0"/>
  </cellStyleXfs>
  <cellXfs count="433">
    <xf numFmtId="0" fontId="0" fillId="0" borderId="0" xfId="0"/>
    <xf numFmtId="0" fontId="4" fillId="0" borderId="0" xfId="0" applyFont="1"/>
    <xf numFmtId="0" fontId="2" fillId="0" borderId="1" xfId="0" applyFont="1" applyBorder="1" applyAlignment="1">
      <alignment horizontal="left" vertical="center" wrapText="1" indent="1" readingOrder="1"/>
    </xf>
    <xf numFmtId="0" fontId="6" fillId="0" borderId="0" xfId="0" applyFont="1" applyAlignment="1">
      <alignment horizontal="center" vertical="center" wrapText="1"/>
    </xf>
    <xf numFmtId="0" fontId="7" fillId="6" borderId="0" xfId="0" applyFont="1" applyFill="1" applyAlignment="1">
      <alignment horizontal="center" vertical="center" wrapText="1" readingOrder="1"/>
    </xf>
    <xf numFmtId="0" fontId="8" fillId="5" borderId="2" xfId="0" applyFont="1" applyFill="1" applyBorder="1" applyAlignment="1">
      <alignment horizontal="center" vertical="center" wrapText="1" readingOrder="1"/>
    </xf>
    <xf numFmtId="0" fontId="8" fillId="0" borderId="2" xfId="0" applyFont="1" applyBorder="1" applyAlignment="1">
      <alignment horizontal="justify" vertical="center" wrapText="1" readingOrder="1"/>
    </xf>
    <xf numFmtId="9" fontId="8" fillId="0" borderId="2" xfId="0" applyNumberFormat="1" applyFont="1" applyBorder="1" applyAlignment="1">
      <alignment horizontal="center" vertical="center" wrapText="1" readingOrder="1"/>
    </xf>
    <xf numFmtId="0" fontId="8" fillId="7" borderId="1" xfId="0" applyFont="1" applyFill="1" applyBorder="1" applyAlignment="1">
      <alignment horizontal="center" vertical="center" wrapText="1" readingOrder="1"/>
    </xf>
    <xf numFmtId="0" fontId="8" fillId="0" borderId="1" xfId="0" applyFont="1" applyBorder="1" applyAlignment="1">
      <alignment horizontal="justify" vertical="center" wrapText="1" readingOrder="1"/>
    </xf>
    <xf numFmtId="9" fontId="8" fillId="0" borderId="1" xfId="0" applyNumberFormat="1" applyFont="1" applyBorder="1" applyAlignment="1">
      <alignment horizontal="center" vertical="center" wrapText="1" readingOrder="1"/>
    </xf>
    <xf numFmtId="0" fontId="8" fillId="4" borderId="1" xfId="0" applyFont="1" applyFill="1" applyBorder="1" applyAlignment="1">
      <alignment horizontal="center" vertical="center" wrapText="1" readingOrder="1"/>
    </xf>
    <xf numFmtId="0" fontId="8" fillId="8" borderId="1" xfId="0" applyFont="1" applyFill="1" applyBorder="1" applyAlignment="1">
      <alignment horizontal="center" vertical="center" wrapText="1" readingOrder="1"/>
    </xf>
    <xf numFmtId="0" fontId="9" fillId="9" borderId="1" xfId="0" applyFont="1" applyFill="1" applyBorder="1" applyAlignment="1">
      <alignment horizontal="center" vertical="center" wrapText="1" readingOrder="1"/>
    </xf>
    <xf numFmtId="0" fontId="13" fillId="0" borderId="0" xfId="0" applyFont="1"/>
    <xf numFmtId="0" fontId="11" fillId="0" borderId="0" xfId="0" applyFont="1"/>
    <xf numFmtId="0" fontId="25" fillId="0" borderId="0" xfId="0" applyFont="1" applyAlignment="1">
      <alignment vertical="center"/>
    </xf>
    <xf numFmtId="0" fontId="26" fillId="0" borderId="0" xfId="0" applyFont="1"/>
    <xf numFmtId="0" fontId="24" fillId="0" borderId="0" xfId="0" applyFont="1"/>
    <xf numFmtId="0" fontId="0" fillId="0" borderId="0" xfId="0" pivotButton="1"/>
    <xf numFmtId="0" fontId="10" fillId="0" borderId="0" xfId="0" applyFont="1" applyAlignment="1">
      <alignment horizontal="justify" vertical="center" wrapText="1" readingOrder="1"/>
    </xf>
    <xf numFmtId="0" fontId="27" fillId="0" borderId="0" xfId="0" applyFont="1"/>
    <xf numFmtId="0" fontId="29" fillId="6" borderId="0" xfId="0" applyFont="1" applyFill="1" applyAlignment="1">
      <alignment horizontal="center" vertical="center" wrapText="1" readingOrder="1"/>
    </xf>
    <xf numFmtId="0" fontId="30" fillId="0" borderId="2" xfId="0" applyFont="1" applyBorder="1" applyAlignment="1">
      <alignment horizontal="justify" vertical="center" wrapText="1" readingOrder="1"/>
    </xf>
    <xf numFmtId="0" fontId="30" fillId="0" borderId="1" xfId="0" applyFont="1" applyBorder="1" applyAlignment="1">
      <alignment horizontal="justify" vertical="center" wrapText="1" readingOrder="1"/>
    </xf>
    <xf numFmtId="0" fontId="30" fillId="5" borderId="2" xfId="0" applyFont="1" applyFill="1" applyBorder="1" applyAlignment="1">
      <alignment horizontal="center" vertical="center" wrapText="1" readingOrder="1"/>
    </xf>
    <xf numFmtId="0" fontId="30" fillId="7" borderId="1" xfId="0" applyFont="1" applyFill="1" applyBorder="1" applyAlignment="1">
      <alignment horizontal="center" vertical="center" wrapText="1" readingOrder="1"/>
    </xf>
    <xf numFmtId="0" fontId="30" fillId="4" borderId="1" xfId="0" applyFont="1" applyFill="1" applyBorder="1" applyAlignment="1">
      <alignment horizontal="center" vertical="center" wrapText="1" readingOrder="1"/>
    </xf>
    <xf numFmtId="0" fontId="30" fillId="8" borderId="1" xfId="0" applyFont="1" applyFill="1" applyBorder="1" applyAlignment="1">
      <alignment horizontal="center" vertical="center" wrapText="1" readingOrder="1"/>
    </xf>
    <xf numFmtId="0" fontId="31" fillId="9" borderId="1" xfId="0" applyFont="1" applyFill="1" applyBorder="1" applyAlignment="1">
      <alignment horizontal="center" vertical="center" wrapText="1" readingOrder="1"/>
    </xf>
    <xf numFmtId="0" fontId="30" fillId="0" borderId="2" xfId="0" applyFont="1" applyBorder="1" applyAlignment="1">
      <alignment horizontal="center" vertical="center" wrapText="1" readingOrder="1"/>
    </xf>
    <xf numFmtId="0" fontId="30" fillId="0" borderId="1" xfId="0" applyFont="1" applyBorder="1" applyAlignment="1">
      <alignment horizontal="center" vertical="center" wrapText="1" readingOrder="1"/>
    </xf>
    <xf numFmtId="0" fontId="17" fillId="11" borderId="3" xfId="0" applyFont="1" applyFill="1" applyBorder="1" applyAlignment="1" applyProtection="1">
      <alignment horizontal="center" vertical="center" wrapText="1" readingOrder="1"/>
      <protection hidden="1"/>
    </xf>
    <xf numFmtId="0" fontId="17" fillId="11" borderId="10" xfId="0" applyFont="1" applyFill="1" applyBorder="1" applyAlignment="1" applyProtection="1">
      <alignment horizontal="center" vertical="center" wrapText="1" readingOrder="1"/>
      <protection hidden="1"/>
    </xf>
    <xf numFmtId="0" fontId="17" fillId="11" borderId="4" xfId="0" applyFont="1" applyFill="1" applyBorder="1" applyAlignment="1" applyProtection="1">
      <alignment horizontal="center" vertical="center" wrapText="1" readingOrder="1"/>
      <protection hidden="1"/>
    </xf>
    <xf numFmtId="0" fontId="17" fillId="12" borderId="3" xfId="0" applyFont="1" applyFill="1" applyBorder="1" applyAlignment="1" applyProtection="1">
      <alignment horizontal="center" wrapText="1" readingOrder="1"/>
      <protection hidden="1"/>
    </xf>
    <xf numFmtId="0" fontId="17" fillId="12" borderId="10" xfId="0" applyFont="1" applyFill="1" applyBorder="1" applyAlignment="1" applyProtection="1">
      <alignment horizontal="center" wrapText="1" readingOrder="1"/>
      <protection hidden="1"/>
    </xf>
    <xf numFmtId="0" fontId="17" fillId="12" borderId="4" xfId="0" applyFont="1" applyFill="1" applyBorder="1" applyAlignment="1" applyProtection="1">
      <alignment horizontal="center" wrapText="1" readingOrder="1"/>
      <protection hidden="1"/>
    </xf>
    <xf numFmtId="0" fontId="17" fillId="11" borderId="5" xfId="0" applyFont="1" applyFill="1" applyBorder="1" applyAlignment="1" applyProtection="1">
      <alignment horizontal="center" vertical="center" wrapText="1" readingOrder="1"/>
      <protection hidden="1"/>
    </xf>
    <xf numFmtId="0" fontId="17" fillId="11" borderId="0" xfId="0" applyFont="1" applyFill="1" applyAlignment="1" applyProtection="1">
      <alignment horizontal="center" vertical="center" wrapText="1" readingOrder="1"/>
      <protection hidden="1"/>
    </xf>
    <xf numFmtId="0" fontId="17" fillId="11" borderId="6" xfId="0" applyFont="1" applyFill="1" applyBorder="1" applyAlignment="1" applyProtection="1">
      <alignment horizontal="center" vertical="center" wrapText="1" readingOrder="1"/>
      <protection hidden="1"/>
    </xf>
    <xf numFmtId="0" fontId="17" fillId="12" borderId="5" xfId="0" applyFont="1" applyFill="1" applyBorder="1" applyAlignment="1" applyProtection="1">
      <alignment horizontal="center" wrapText="1" readingOrder="1"/>
      <protection hidden="1"/>
    </xf>
    <xf numFmtId="0" fontId="17" fillId="12" borderId="0" xfId="0" applyFont="1" applyFill="1" applyAlignment="1" applyProtection="1">
      <alignment horizontal="center" wrapText="1" readingOrder="1"/>
      <protection hidden="1"/>
    </xf>
    <xf numFmtId="0" fontId="17" fillId="12" borderId="6" xfId="0" applyFont="1" applyFill="1" applyBorder="1" applyAlignment="1" applyProtection="1">
      <alignment horizontal="center" wrapText="1" readingOrder="1"/>
      <protection hidden="1"/>
    </xf>
    <xf numFmtId="0" fontId="17" fillId="11" borderId="7" xfId="0" applyFont="1" applyFill="1" applyBorder="1" applyAlignment="1" applyProtection="1">
      <alignment horizontal="center" vertical="center" wrapText="1" readingOrder="1"/>
      <protection hidden="1"/>
    </xf>
    <xf numFmtId="0" fontId="17" fillId="11" borderId="9" xfId="0" applyFont="1" applyFill="1" applyBorder="1" applyAlignment="1" applyProtection="1">
      <alignment horizontal="center" vertical="center" wrapText="1" readingOrder="1"/>
      <protection hidden="1"/>
    </xf>
    <xf numFmtId="0" fontId="17" fillId="11" borderId="8" xfId="0" applyFont="1" applyFill="1" applyBorder="1" applyAlignment="1" applyProtection="1">
      <alignment horizontal="center" vertical="center" wrapText="1" readingOrder="1"/>
      <protection hidden="1"/>
    </xf>
    <xf numFmtId="0" fontId="17" fillId="12" borderId="7" xfId="0" applyFont="1" applyFill="1" applyBorder="1" applyAlignment="1" applyProtection="1">
      <alignment horizontal="center" wrapText="1" readingOrder="1"/>
      <protection hidden="1"/>
    </xf>
    <xf numFmtId="0" fontId="17" fillId="12" borderId="9" xfId="0" applyFont="1" applyFill="1" applyBorder="1" applyAlignment="1" applyProtection="1">
      <alignment horizontal="center" wrapText="1" readingOrder="1"/>
      <protection hidden="1"/>
    </xf>
    <xf numFmtId="0" fontId="17" fillId="12" borderId="8" xfId="0" applyFont="1" applyFill="1" applyBorder="1" applyAlignment="1" applyProtection="1">
      <alignment horizontal="center" wrapText="1" readingOrder="1"/>
      <protection hidden="1"/>
    </xf>
    <xf numFmtId="0" fontId="17" fillId="13" borderId="3" xfId="0" applyFont="1" applyFill="1" applyBorder="1" applyAlignment="1" applyProtection="1">
      <alignment horizontal="center" wrapText="1" readingOrder="1"/>
      <protection hidden="1"/>
    </xf>
    <xf numFmtId="0" fontId="17" fillId="13" borderId="10" xfId="0" applyFont="1" applyFill="1" applyBorder="1" applyAlignment="1" applyProtection="1">
      <alignment horizontal="center" wrapText="1" readingOrder="1"/>
      <protection hidden="1"/>
    </xf>
    <xf numFmtId="0" fontId="17" fillId="13" borderId="4" xfId="0" applyFont="1" applyFill="1" applyBorder="1" applyAlignment="1" applyProtection="1">
      <alignment horizontal="center" wrapText="1" readingOrder="1"/>
      <protection hidden="1"/>
    </xf>
    <xf numFmtId="0" fontId="17" fillId="13" borderId="5" xfId="0" applyFont="1" applyFill="1" applyBorder="1" applyAlignment="1" applyProtection="1">
      <alignment horizontal="center" wrapText="1" readingOrder="1"/>
      <protection hidden="1"/>
    </xf>
    <xf numFmtId="0" fontId="17" fillId="13" borderId="0" xfId="0" applyFont="1" applyFill="1" applyAlignment="1" applyProtection="1">
      <alignment horizontal="center" wrapText="1" readingOrder="1"/>
      <protection hidden="1"/>
    </xf>
    <xf numFmtId="0" fontId="17" fillId="13" borderId="6" xfId="0" applyFont="1" applyFill="1" applyBorder="1" applyAlignment="1" applyProtection="1">
      <alignment horizontal="center" wrapText="1" readingOrder="1"/>
      <protection hidden="1"/>
    </xf>
    <xf numFmtId="0" fontId="17" fillId="13" borderId="7" xfId="0" applyFont="1" applyFill="1" applyBorder="1" applyAlignment="1" applyProtection="1">
      <alignment horizontal="center" wrapText="1" readingOrder="1"/>
      <protection hidden="1"/>
    </xf>
    <xf numFmtId="0" fontId="17" fillId="13" borderId="9" xfId="0" applyFont="1" applyFill="1" applyBorder="1" applyAlignment="1" applyProtection="1">
      <alignment horizontal="center" wrapText="1" readingOrder="1"/>
      <protection hidden="1"/>
    </xf>
    <xf numFmtId="0" fontId="17" fillId="13" borderId="8" xfId="0" applyFont="1" applyFill="1" applyBorder="1" applyAlignment="1" applyProtection="1">
      <alignment horizontal="center" wrapText="1" readingOrder="1"/>
      <protection hidden="1"/>
    </xf>
    <xf numFmtId="0" fontId="17" fillId="5" borderId="3" xfId="0" applyFont="1" applyFill="1" applyBorder="1" applyAlignment="1" applyProtection="1">
      <alignment horizontal="center" wrapText="1" readingOrder="1"/>
      <protection hidden="1"/>
    </xf>
    <xf numFmtId="0" fontId="17" fillId="5" borderId="10" xfId="0" applyFont="1" applyFill="1" applyBorder="1" applyAlignment="1" applyProtection="1">
      <alignment horizontal="center" wrapText="1" readingOrder="1"/>
      <protection hidden="1"/>
    </xf>
    <xf numFmtId="0" fontId="17" fillId="5" borderId="4" xfId="0" applyFont="1" applyFill="1" applyBorder="1" applyAlignment="1" applyProtection="1">
      <alignment horizontal="center" wrapText="1" readingOrder="1"/>
      <protection hidden="1"/>
    </xf>
    <xf numFmtId="0" fontId="17" fillId="5" borderId="5" xfId="0" applyFont="1" applyFill="1" applyBorder="1" applyAlignment="1" applyProtection="1">
      <alignment horizontal="center" wrapText="1" readingOrder="1"/>
      <protection hidden="1"/>
    </xf>
    <xf numFmtId="0" fontId="17" fillId="5" borderId="0" xfId="0" applyFont="1" applyFill="1" applyAlignment="1" applyProtection="1">
      <alignment horizontal="center" wrapText="1" readingOrder="1"/>
      <protection hidden="1"/>
    </xf>
    <xf numFmtId="0" fontId="17" fillId="5" borderId="6" xfId="0" applyFont="1" applyFill="1" applyBorder="1" applyAlignment="1" applyProtection="1">
      <alignment horizontal="center" wrapText="1" readingOrder="1"/>
      <protection hidden="1"/>
    </xf>
    <xf numFmtId="0" fontId="17" fillId="5" borderId="7" xfId="0" applyFont="1" applyFill="1" applyBorder="1" applyAlignment="1" applyProtection="1">
      <alignment horizontal="center" wrapText="1" readingOrder="1"/>
      <protection hidden="1"/>
    </xf>
    <xf numFmtId="0" fontId="17" fillId="5" borderId="9" xfId="0" applyFont="1" applyFill="1" applyBorder="1" applyAlignment="1" applyProtection="1">
      <alignment horizontal="center" wrapText="1" readingOrder="1"/>
      <protection hidden="1"/>
    </xf>
    <xf numFmtId="0" fontId="17" fillId="5" borderId="8" xfId="0" applyFont="1" applyFill="1" applyBorder="1" applyAlignment="1" applyProtection="1">
      <alignment horizontal="center" wrapText="1" readingOrder="1"/>
      <protection hidden="1"/>
    </xf>
    <xf numFmtId="0" fontId="21" fillId="13" borderId="10" xfId="0" applyFont="1" applyFill="1" applyBorder="1" applyAlignment="1" applyProtection="1">
      <alignment horizontal="center" wrapText="1" readingOrder="1"/>
      <protection hidden="1"/>
    </xf>
    <xf numFmtId="0" fontId="0" fillId="3" borderId="0" xfId="0" applyFill="1"/>
    <xf numFmtId="0" fontId="46" fillId="3" borderId="37" xfId="2" applyFont="1" applyFill="1" applyBorder="1"/>
    <xf numFmtId="0" fontId="46" fillId="3" borderId="38" xfId="2" applyFont="1" applyFill="1" applyBorder="1"/>
    <xf numFmtId="0" fontId="46" fillId="3" borderId="39" xfId="2" applyFont="1" applyFill="1" applyBorder="1"/>
    <xf numFmtId="0" fontId="14" fillId="3" borderId="0" xfId="0" applyFont="1" applyFill="1" applyAlignment="1">
      <alignment vertical="center"/>
    </xf>
    <xf numFmtId="0" fontId="4" fillId="3" borderId="0" xfId="0" applyFont="1" applyFill="1"/>
    <xf numFmtId="0" fontId="33" fillId="3" borderId="0" xfId="0" applyFont="1" applyFill="1"/>
    <xf numFmtId="0" fontId="34" fillId="3" borderId="20" xfId="0" applyFont="1" applyFill="1" applyBorder="1" applyAlignment="1">
      <alignment horizontal="center" vertical="center" wrapText="1" readingOrder="1"/>
    </xf>
    <xf numFmtId="0" fontId="35" fillId="3" borderId="20" xfId="0" applyFont="1" applyFill="1" applyBorder="1" applyAlignment="1">
      <alignment horizontal="justify" vertical="center" wrapText="1" readingOrder="1"/>
    </xf>
    <xf numFmtId="9" fontId="34" fillId="3" borderId="29" xfId="0" applyNumberFormat="1"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5" fillId="3" borderId="19" xfId="0" applyFont="1" applyFill="1" applyBorder="1" applyAlignment="1">
      <alignment horizontal="justify" vertical="center" wrapText="1" readingOrder="1"/>
    </xf>
    <xf numFmtId="9" fontId="34" fillId="3" borderId="24" xfId="0" applyNumberFormat="1" applyFont="1" applyFill="1" applyBorder="1" applyAlignment="1">
      <alignment horizontal="center" vertical="center" wrapText="1" readingOrder="1"/>
    </xf>
    <xf numFmtId="0" fontId="35" fillId="3" borderId="24"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xf numFmtId="0" fontId="35" fillId="3" borderId="26" xfId="0" applyFont="1" applyFill="1" applyBorder="1" applyAlignment="1">
      <alignment horizontal="justify" vertical="center" wrapText="1" readingOrder="1"/>
    </xf>
    <xf numFmtId="0" fontId="35" fillId="3" borderId="27" xfId="0" applyFont="1" applyFill="1" applyBorder="1" applyAlignment="1">
      <alignment horizontal="center" vertical="center" wrapText="1" readingOrder="1"/>
    </xf>
    <xf numFmtId="0" fontId="43" fillId="3" borderId="0" xfId="0" applyFont="1" applyFill="1"/>
    <xf numFmtId="0" fontId="34" fillId="15" borderId="31" xfId="0" applyFont="1" applyFill="1" applyBorder="1" applyAlignment="1">
      <alignment horizontal="center" vertical="center" wrapText="1" readingOrder="1"/>
    </xf>
    <xf numFmtId="0" fontId="34" fillId="15" borderId="32" xfId="0" applyFont="1" applyFill="1" applyBorder="1" applyAlignment="1">
      <alignment horizontal="center" vertical="center" wrapText="1" readingOrder="1"/>
    </xf>
    <xf numFmtId="0" fontId="11" fillId="3" borderId="0" xfId="0" applyFont="1" applyFill="1"/>
    <xf numFmtId="0" fontId="28" fillId="3" borderId="0" xfId="0" applyFont="1" applyFill="1" applyAlignment="1">
      <alignment horizontal="center" vertical="center" wrapText="1"/>
    </xf>
    <xf numFmtId="0" fontId="10" fillId="3" borderId="0" xfId="0" applyFont="1" applyFill="1" applyAlignment="1">
      <alignment horizontal="justify" vertical="center" wrapText="1" readingOrder="1"/>
    </xf>
    <xf numFmtId="0" fontId="3" fillId="3" borderId="0" xfId="0" applyFont="1" applyFill="1" applyAlignment="1">
      <alignment vertical="center"/>
    </xf>
    <xf numFmtId="0" fontId="13" fillId="3" borderId="0" xfId="0" applyFont="1" applyFill="1"/>
    <xf numFmtId="0" fontId="3" fillId="3" borderId="0" xfId="0" applyFont="1" applyFill="1" applyAlignment="1">
      <alignment horizontal="left" vertical="center"/>
    </xf>
    <xf numFmtId="0" fontId="46" fillId="3" borderId="5" xfId="2" applyFont="1" applyFill="1" applyBorder="1"/>
    <xf numFmtId="0" fontId="51" fillId="3" borderId="0" xfId="0" applyFont="1" applyFill="1" applyAlignment="1">
      <alignment horizontal="left" vertical="center" wrapText="1"/>
    </xf>
    <xf numFmtId="0" fontId="52" fillId="3" borderId="0" xfId="0" applyFont="1" applyFill="1" applyAlignment="1">
      <alignment horizontal="left" vertical="top" wrapText="1"/>
    </xf>
    <xf numFmtId="0" fontId="46" fillId="3" borderId="0" xfId="2" applyFont="1" applyFill="1"/>
    <xf numFmtId="0" fontId="46" fillId="3" borderId="6" xfId="2" applyFont="1" applyFill="1" applyBorder="1"/>
    <xf numFmtId="0" fontId="46" fillId="3" borderId="7" xfId="2" applyFont="1" applyFill="1" applyBorder="1"/>
    <xf numFmtId="0" fontId="46" fillId="3" borderId="9" xfId="2" applyFont="1" applyFill="1" applyBorder="1"/>
    <xf numFmtId="0" fontId="46" fillId="3" borderId="8" xfId="2" applyFont="1" applyFill="1" applyBorder="1"/>
    <xf numFmtId="0" fontId="50" fillId="3" borderId="0" xfId="2" applyFont="1" applyFill="1" applyAlignment="1">
      <alignment horizontal="left" vertical="center" wrapText="1"/>
    </xf>
    <xf numFmtId="0" fontId="46" fillId="3" borderId="0" xfId="2" applyFont="1" applyFill="1" applyAlignment="1">
      <alignment horizontal="left" vertical="center" wrapText="1"/>
    </xf>
    <xf numFmtId="0" fontId="46" fillId="3" borderId="0" xfId="2" quotePrefix="1" applyFont="1" applyFill="1" applyAlignment="1">
      <alignment horizontal="left" vertical="center" wrapText="1"/>
    </xf>
    <xf numFmtId="0" fontId="48" fillId="3" borderId="5" xfId="2" quotePrefix="1" applyFont="1" applyFill="1" applyBorder="1" applyAlignment="1">
      <alignment horizontal="left" vertical="top" wrapText="1"/>
    </xf>
    <xf numFmtId="0" fontId="49" fillId="3" borderId="0" xfId="2" quotePrefix="1" applyFont="1" applyFill="1" applyAlignment="1">
      <alignment horizontal="left" vertical="top" wrapText="1"/>
    </xf>
    <xf numFmtId="0" fontId="49" fillId="3" borderId="6" xfId="2" quotePrefix="1" applyFont="1" applyFill="1" applyBorder="1" applyAlignment="1">
      <alignment horizontal="left" vertical="top" wrapText="1"/>
    </xf>
    <xf numFmtId="0" fontId="56" fillId="3" borderId="0" xfId="0" applyFont="1" applyFill="1"/>
    <xf numFmtId="0" fontId="56" fillId="0" borderId="0" xfId="0" applyFont="1"/>
    <xf numFmtId="0" fontId="57" fillId="3" borderId="0" xfId="0" applyFont="1" applyFill="1" applyAlignment="1">
      <alignment horizontal="center" vertical="center"/>
    </xf>
    <xf numFmtId="0" fontId="57" fillId="2" borderId="0" xfId="0" applyFont="1" applyFill="1" applyAlignment="1">
      <alignment horizontal="center" vertical="center"/>
    </xf>
    <xf numFmtId="0" fontId="57" fillId="0" borderId="0" xfId="0" applyFont="1" applyAlignment="1">
      <alignment horizontal="left" vertical="center"/>
    </xf>
    <xf numFmtId="0" fontId="56" fillId="0" borderId="0" xfId="0" applyFont="1" applyAlignment="1">
      <alignment horizontal="center" vertical="center"/>
    </xf>
    <xf numFmtId="0" fontId="56" fillId="0" borderId="0" xfId="0" applyFont="1" applyAlignment="1">
      <alignment horizontal="center"/>
    </xf>
    <xf numFmtId="0" fontId="56" fillId="0" borderId="19" xfId="0" applyFont="1" applyBorder="1" applyAlignment="1">
      <alignment horizontal="center" vertical="center"/>
    </xf>
    <xf numFmtId="0" fontId="59" fillId="0" borderId="19" xfId="0" applyFont="1" applyBorder="1" applyAlignment="1" applyProtection="1">
      <alignment horizontal="justify" vertical="center" wrapText="1"/>
      <protection locked="0"/>
    </xf>
    <xf numFmtId="0" fontId="56" fillId="0" borderId="19" xfId="0" applyFont="1" applyBorder="1" applyAlignment="1" applyProtection="1">
      <alignment horizontal="center" vertical="center"/>
      <protection hidden="1"/>
    </xf>
    <xf numFmtId="0" fontId="56" fillId="0" borderId="19" xfId="0" applyFont="1" applyBorder="1" applyAlignment="1" applyProtection="1">
      <alignment horizontal="center" vertical="center" textRotation="90"/>
      <protection locked="0"/>
    </xf>
    <xf numFmtId="9" fontId="56" fillId="0" borderId="19" xfId="0" applyNumberFormat="1" applyFont="1" applyBorder="1" applyAlignment="1" applyProtection="1">
      <alignment horizontal="center" vertical="center"/>
      <protection hidden="1"/>
    </xf>
    <xf numFmtId="164" fontId="56" fillId="0" borderId="19" xfId="1" applyNumberFormat="1" applyFont="1" applyBorder="1" applyAlignment="1">
      <alignment horizontal="center" vertical="center"/>
    </xf>
    <xf numFmtId="0" fontId="57" fillId="0" borderId="19" xfId="0" applyFont="1" applyBorder="1" applyAlignment="1" applyProtection="1">
      <alignment horizontal="center" vertical="center" textRotation="90" wrapText="1"/>
      <protection hidden="1"/>
    </xf>
    <xf numFmtId="0" fontId="57" fillId="0" borderId="19" xfId="0" applyFont="1" applyBorder="1" applyAlignment="1" applyProtection="1">
      <alignment horizontal="center" vertical="center" textRotation="90"/>
      <protection hidden="1"/>
    </xf>
    <xf numFmtId="0" fontId="56" fillId="0" borderId="19" xfId="0" applyFont="1" applyBorder="1" applyAlignment="1" applyProtection="1">
      <alignment horizontal="center" vertical="center" wrapText="1"/>
      <protection locked="0"/>
    </xf>
    <xf numFmtId="14" fontId="56" fillId="0" borderId="19" xfId="0" applyNumberFormat="1" applyFont="1" applyBorder="1" applyAlignment="1" applyProtection="1">
      <alignment horizontal="center" vertical="center"/>
      <protection locked="0"/>
    </xf>
    <xf numFmtId="0" fontId="56" fillId="0" borderId="19" xfId="0" applyFont="1" applyBorder="1" applyAlignment="1" applyProtection="1">
      <alignment horizontal="justify" vertical="center"/>
      <protection locked="0"/>
    </xf>
    <xf numFmtId="0" fontId="57" fillId="18" borderId="19" xfId="0" applyFont="1" applyFill="1" applyBorder="1" applyAlignment="1">
      <alignment horizontal="center" vertical="center" textRotation="90"/>
    </xf>
    <xf numFmtId="0" fontId="55" fillId="3" borderId="0" xfId="0" applyFont="1" applyFill="1" applyAlignment="1">
      <alignment vertical="center"/>
    </xf>
    <xf numFmtId="0" fontId="61" fillId="0" borderId="55" xfId="0" applyFont="1" applyBorder="1" applyAlignment="1">
      <alignment vertical="center"/>
    </xf>
    <xf numFmtId="0" fontId="62" fillId="0" borderId="55" xfId="0" applyFont="1" applyBorder="1" applyAlignment="1">
      <alignment horizontal="center" vertical="center" wrapText="1"/>
    </xf>
    <xf numFmtId="0" fontId="63" fillId="0" borderId="55" xfId="0" applyFont="1" applyBorder="1" applyAlignment="1">
      <alignment horizontal="center" vertical="center" wrapText="1"/>
    </xf>
    <xf numFmtId="0" fontId="56" fillId="3" borderId="55" xfId="0" applyFont="1" applyFill="1" applyBorder="1"/>
    <xf numFmtId="0" fontId="59" fillId="3" borderId="0" xfId="0" applyFont="1" applyFill="1"/>
    <xf numFmtId="0" fontId="59" fillId="0" borderId="0" xfId="0" applyFont="1"/>
    <xf numFmtId="0" fontId="55" fillId="19" borderId="0" xfId="0" applyFont="1" applyFill="1" applyAlignment="1">
      <alignment vertical="center"/>
    </xf>
    <xf numFmtId="0" fontId="0" fillId="19" borderId="0" xfId="0" applyFill="1"/>
    <xf numFmtId="0" fontId="0" fillId="0" borderId="67" xfId="0" applyBorder="1" applyAlignment="1">
      <alignment horizontal="center" vertical="center" wrapText="1"/>
    </xf>
    <xf numFmtId="0" fontId="0" fillId="3" borderId="67" xfId="0" applyFill="1" applyBorder="1" applyAlignment="1">
      <alignment horizontal="center" vertical="center"/>
    </xf>
    <xf numFmtId="0" fontId="0" fillId="3" borderId="67" xfId="0" applyFill="1" applyBorder="1" applyAlignment="1">
      <alignment horizontal="center" vertical="center" wrapText="1"/>
    </xf>
    <xf numFmtId="0" fontId="0" fillId="0" borderId="67" xfId="0" applyBorder="1" applyAlignment="1">
      <alignment horizontal="center" vertical="center"/>
    </xf>
    <xf numFmtId="165" fontId="0" fillId="0" borderId="67" xfId="0" applyNumberFormat="1" applyBorder="1" applyAlignment="1">
      <alignment horizontal="center" vertical="center"/>
    </xf>
    <xf numFmtId="165" fontId="0" fillId="3" borderId="67" xfId="0" applyNumberFormat="1" applyFill="1" applyBorder="1" applyAlignment="1">
      <alignment horizontal="center" vertical="center"/>
    </xf>
    <xf numFmtId="14" fontId="56" fillId="0" borderId="19" xfId="0" applyNumberFormat="1" applyFont="1" applyBorder="1" applyAlignment="1" applyProtection="1">
      <alignment horizontal="center" vertical="center" wrapText="1"/>
      <protection locked="0"/>
    </xf>
    <xf numFmtId="165" fontId="56" fillId="3" borderId="67" xfId="0" applyNumberFormat="1" applyFont="1" applyFill="1" applyBorder="1" applyAlignment="1">
      <alignment horizontal="center" vertical="center" wrapText="1"/>
    </xf>
    <xf numFmtId="0" fontId="0" fillId="0" borderId="65" xfId="0" applyBorder="1" applyAlignment="1">
      <alignment horizontal="center" vertical="center" wrapText="1"/>
    </xf>
    <xf numFmtId="0" fontId="52" fillId="3" borderId="50" xfId="2" applyFont="1" applyFill="1" applyBorder="1" applyAlignment="1">
      <alignment horizontal="justify" vertical="center" wrapText="1"/>
    </xf>
    <xf numFmtId="0" fontId="52" fillId="3" borderId="51" xfId="2" applyFont="1" applyFill="1" applyBorder="1" applyAlignment="1">
      <alignment horizontal="justify" vertical="center" wrapText="1"/>
    </xf>
    <xf numFmtId="0" fontId="51" fillId="3" borderId="57" xfId="0" applyFont="1" applyFill="1" applyBorder="1" applyAlignment="1">
      <alignment horizontal="left" vertical="center" wrapText="1"/>
    </xf>
    <xf numFmtId="0" fontId="51" fillId="3" borderId="58" xfId="0" applyFont="1" applyFill="1" applyBorder="1" applyAlignment="1">
      <alignment horizontal="left" vertical="center" wrapText="1"/>
    </xf>
    <xf numFmtId="0" fontId="51" fillId="3" borderId="44" xfId="3" applyFont="1" applyFill="1" applyBorder="1" applyAlignment="1">
      <alignment horizontal="left" vertical="top" wrapText="1" readingOrder="1"/>
    </xf>
    <xf numFmtId="0" fontId="51" fillId="3" borderId="45" xfId="3" applyFont="1" applyFill="1" applyBorder="1" applyAlignment="1">
      <alignment horizontal="left" vertical="top" wrapText="1" readingOrder="1"/>
    </xf>
    <xf numFmtId="0" fontId="52" fillId="3" borderId="46" xfId="2" applyFont="1" applyFill="1" applyBorder="1" applyAlignment="1">
      <alignment horizontal="justify" vertical="center" wrapText="1"/>
    </xf>
    <xf numFmtId="0" fontId="52" fillId="3" borderId="47" xfId="2" applyFont="1" applyFill="1" applyBorder="1" applyAlignment="1">
      <alignment horizontal="justify" vertical="center" wrapText="1"/>
    </xf>
    <xf numFmtId="0" fontId="51" fillId="3" borderId="48" xfId="0" applyFont="1" applyFill="1" applyBorder="1" applyAlignment="1">
      <alignment horizontal="left" vertical="center" wrapText="1"/>
    </xf>
    <xf numFmtId="0" fontId="51" fillId="3" borderId="49" xfId="0" applyFont="1" applyFill="1" applyBorder="1" applyAlignment="1">
      <alignment horizontal="left" vertical="center" wrapText="1"/>
    </xf>
    <xf numFmtId="0" fontId="46" fillId="3" borderId="5" xfId="2" applyFont="1" applyFill="1" applyBorder="1" applyAlignment="1">
      <alignment horizontal="left" vertical="top" wrapText="1"/>
    </xf>
    <xf numFmtId="0" fontId="46" fillId="3" borderId="0" xfId="2" applyFont="1" applyFill="1" applyAlignment="1">
      <alignment horizontal="left" vertical="top" wrapText="1"/>
    </xf>
    <xf numFmtId="0" fontId="46" fillId="3" borderId="6" xfId="2" applyFont="1" applyFill="1" applyBorder="1" applyAlignment="1">
      <alignment horizontal="left" vertical="top" wrapText="1"/>
    </xf>
    <xf numFmtId="0" fontId="51" fillId="3" borderId="59" xfId="0" applyFont="1" applyFill="1" applyBorder="1" applyAlignment="1">
      <alignment horizontal="left" vertical="center" wrapText="1"/>
    </xf>
    <xf numFmtId="0" fontId="51" fillId="3" borderId="60" xfId="0" applyFont="1" applyFill="1" applyBorder="1" applyAlignment="1">
      <alignment horizontal="left" vertical="center" wrapText="1"/>
    </xf>
    <xf numFmtId="0" fontId="52" fillId="3" borderId="52" xfId="0" applyFont="1" applyFill="1" applyBorder="1" applyAlignment="1">
      <alignment horizontal="justify" vertical="center" wrapText="1"/>
    </xf>
    <xf numFmtId="0" fontId="52" fillId="3" borderId="53" xfId="0" applyFont="1" applyFill="1" applyBorder="1" applyAlignment="1">
      <alignment horizontal="justify" vertical="center" wrapText="1"/>
    </xf>
    <xf numFmtId="0" fontId="47" fillId="14" borderId="34" xfId="2" applyFont="1" applyFill="1" applyBorder="1" applyAlignment="1">
      <alignment horizontal="center" vertical="center" wrapText="1"/>
    </xf>
    <xf numFmtId="0" fontId="47" fillId="14" borderId="35" xfId="2" applyFont="1" applyFill="1" applyBorder="1" applyAlignment="1">
      <alignment horizontal="center" vertical="center" wrapText="1"/>
    </xf>
    <xf numFmtId="0" fontId="47" fillId="14" borderId="36" xfId="2" applyFont="1" applyFill="1" applyBorder="1" applyAlignment="1">
      <alignment horizontal="center" vertical="center" wrapText="1"/>
    </xf>
    <xf numFmtId="0" fontId="46" fillId="0" borderId="5" xfId="2" quotePrefix="1" applyFont="1" applyBorder="1" applyAlignment="1">
      <alignment horizontal="left" vertical="center" wrapText="1"/>
    </xf>
    <xf numFmtId="0" fontId="46" fillId="0" borderId="0" xfId="2" quotePrefix="1" applyFont="1" applyAlignment="1">
      <alignment horizontal="left" vertical="center" wrapText="1"/>
    </xf>
    <xf numFmtId="0" fontId="46" fillId="0" borderId="6" xfId="2" quotePrefix="1" applyFont="1" applyBorder="1" applyAlignment="1">
      <alignment horizontal="left" vertical="center" wrapText="1"/>
    </xf>
    <xf numFmtId="0" fontId="46" fillId="0" borderId="54" xfId="2" quotePrefix="1" applyFont="1" applyBorder="1" applyAlignment="1">
      <alignment horizontal="left" vertical="center" wrapText="1"/>
    </xf>
    <xf numFmtId="0" fontId="46" fillId="0" borderId="55" xfId="2" quotePrefix="1" applyFont="1" applyBorder="1" applyAlignment="1">
      <alignment horizontal="left" vertical="center" wrapText="1"/>
    </xf>
    <xf numFmtId="0" fontId="46" fillId="0" borderId="56" xfId="2" quotePrefix="1" applyFont="1" applyBorder="1" applyAlignment="1">
      <alignment horizontal="left" vertical="center" wrapText="1"/>
    </xf>
    <xf numFmtId="0" fontId="48" fillId="3" borderId="37" xfId="2" quotePrefix="1" applyFont="1" applyFill="1" applyBorder="1" applyAlignment="1">
      <alignment horizontal="left" vertical="top" wrapText="1"/>
    </xf>
    <xf numFmtId="0" fontId="49" fillId="3" borderId="38" xfId="2" quotePrefix="1" applyFont="1" applyFill="1" applyBorder="1" applyAlignment="1">
      <alignment horizontal="left" vertical="top" wrapText="1"/>
    </xf>
    <xf numFmtId="0" fontId="49" fillId="3" borderId="39" xfId="2" quotePrefix="1" applyFont="1" applyFill="1" applyBorder="1" applyAlignment="1">
      <alignment horizontal="left" vertical="top" wrapText="1"/>
    </xf>
    <xf numFmtId="0" fontId="46" fillId="0" borderId="5" xfId="2" quotePrefix="1" applyFont="1" applyBorder="1" applyAlignment="1">
      <alignment horizontal="left" vertical="top" wrapText="1"/>
    </xf>
    <xf numFmtId="0" fontId="46" fillId="0" borderId="0" xfId="2" quotePrefix="1" applyFont="1" applyAlignment="1">
      <alignment horizontal="left" vertical="top" wrapText="1"/>
    </xf>
    <xf numFmtId="0" fontId="46" fillId="0" borderId="6" xfId="2" quotePrefix="1" applyFont="1" applyBorder="1" applyAlignment="1">
      <alignment horizontal="left" vertical="top" wrapText="1"/>
    </xf>
    <xf numFmtId="0" fontId="51" fillId="14" borderId="40" xfId="3" applyFont="1" applyFill="1" applyBorder="1" applyAlignment="1">
      <alignment horizontal="center" vertical="center" wrapText="1"/>
    </xf>
    <xf numFmtId="0" fontId="51" fillId="14" borderId="41" xfId="3" applyFont="1" applyFill="1" applyBorder="1" applyAlignment="1">
      <alignment horizontal="center" vertical="center" wrapText="1"/>
    </xf>
    <xf numFmtId="0" fontId="51" fillId="14" borderId="42" xfId="2" applyFont="1" applyFill="1" applyBorder="1" applyAlignment="1">
      <alignment horizontal="center" vertical="center"/>
    </xf>
    <xf numFmtId="0" fontId="51" fillId="14" borderId="43" xfId="2" applyFont="1" applyFill="1" applyBorder="1" applyAlignment="1">
      <alignment horizontal="center" vertical="center"/>
    </xf>
    <xf numFmtId="0" fontId="1" fillId="3" borderId="54" xfId="2" quotePrefix="1" applyFont="1" applyFill="1" applyBorder="1" applyAlignment="1">
      <alignment horizontal="justify" vertical="center" wrapText="1"/>
    </xf>
    <xf numFmtId="0" fontId="1" fillId="3" borderId="55" xfId="2" quotePrefix="1" applyFont="1" applyFill="1" applyBorder="1" applyAlignment="1">
      <alignment horizontal="justify" vertical="center" wrapText="1"/>
    </xf>
    <xf numFmtId="0" fontId="1" fillId="3" borderId="56" xfId="2" quotePrefix="1" applyFont="1" applyFill="1" applyBorder="1" applyAlignment="1">
      <alignment horizontal="justify" vertical="center" wrapText="1"/>
    </xf>
    <xf numFmtId="0" fontId="57" fillId="5" borderId="19" xfId="0" applyFont="1" applyFill="1" applyBorder="1" applyAlignment="1">
      <alignment horizontal="center" vertical="center"/>
    </xf>
    <xf numFmtId="0" fontId="57" fillId="5" borderId="19" xfId="0" applyFont="1" applyFill="1" applyBorder="1" applyAlignment="1">
      <alignment horizontal="center" vertical="center" wrapText="1"/>
    </xf>
    <xf numFmtId="0" fontId="57" fillId="17" borderId="19" xfId="0" applyFont="1" applyFill="1" applyBorder="1" applyAlignment="1">
      <alignment horizontal="center" vertical="center" textRotation="90" wrapText="1"/>
    </xf>
    <xf numFmtId="0" fontId="56" fillId="0" borderId="61" xfId="0" applyFont="1" applyBorder="1" applyAlignment="1" applyProtection="1">
      <alignment horizontal="center" vertical="center" wrapText="1"/>
      <protection locked="0"/>
    </xf>
    <xf numFmtId="0" fontId="56" fillId="0" borderId="68" xfId="0" applyFont="1" applyBorder="1" applyAlignment="1" applyProtection="1">
      <alignment horizontal="center" vertical="center" wrapText="1"/>
      <protection locked="0"/>
    </xf>
    <xf numFmtId="0" fontId="65" fillId="21" borderId="62" xfId="4" applyFont="1" applyFill="1" applyBorder="1" applyAlignment="1">
      <alignment horizontal="center" wrapText="1"/>
    </xf>
    <xf numFmtId="0" fontId="65" fillId="21" borderId="62" xfId="4" applyFont="1" applyFill="1" applyBorder="1" applyAlignment="1">
      <alignment horizontal="center"/>
    </xf>
    <xf numFmtId="0" fontId="65" fillId="21" borderId="63" xfId="4" applyFont="1" applyFill="1" applyBorder="1" applyAlignment="1">
      <alignment horizontal="center"/>
    </xf>
    <xf numFmtId="0" fontId="65" fillId="20" borderId="62" xfId="4" applyFont="1" applyFill="1" applyBorder="1" applyAlignment="1">
      <alignment horizontal="center" wrapText="1"/>
    </xf>
    <xf numFmtId="0" fontId="65" fillId="20" borderId="62" xfId="4" applyFont="1" applyFill="1" applyBorder="1" applyAlignment="1">
      <alignment horizontal="center"/>
    </xf>
    <xf numFmtId="0" fontId="65" fillId="20" borderId="63" xfId="4" applyFont="1" applyFill="1" applyBorder="1" applyAlignment="1">
      <alignment horizontal="center"/>
    </xf>
    <xf numFmtId="0" fontId="57" fillId="22" borderId="64" xfId="4" applyFont="1" applyFill="1" applyBorder="1" applyAlignment="1">
      <alignment horizontal="center" vertical="center" wrapText="1"/>
    </xf>
    <xf numFmtId="0" fontId="58" fillId="20" borderId="65" xfId="4" applyFont="1" applyFill="1" applyBorder="1"/>
    <xf numFmtId="0" fontId="57" fillId="23" borderId="64" xfId="4" applyFont="1" applyFill="1" applyBorder="1" applyAlignment="1">
      <alignment horizontal="center" vertical="center" wrapText="1"/>
    </xf>
    <xf numFmtId="0" fontId="58" fillId="21" borderId="65" xfId="4" applyFont="1" applyFill="1" applyBorder="1"/>
    <xf numFmtId="0" fontId="58" fillId="20" borderId="66" xfId="4" applyFont="1" applyFill="1" applyBorder="1"/>
    <xf numFmtId="0" fontId="56" fillId="0" borderId="19" xfId="0" applyFont="1" applyBorder="1" applyAlignment="1">
      <alignment horizontal="center" vertical="center"/>
    </xf>
    <xf numFmtId="0" fontId="56" fillId="0" borderId="19" xfId="0" applyFont="1" applyBorder="1" applyAlignment="1" applyProtection="1">
      <alignment horizontal="center" vertical="center" wrapText="1"/>
      <protection locked="0"/>
    </xf>
    <xf numFmtId="0" fontId="58" fillId="0" borderId="19" xfId="0" applyFont="1" applyBorder="1" applyAlignment="1" applyProtection="1">
      <alignment horizontal="center" vertical="center" wrapText="1"/>
      <protection locked="0"/>
    </xf>
    <xf numFmtId="0" fontId="56" fillId="0" borderId="19" xfId="0" applyFont="1" applyBorder="1" applyAlignment="1">
      <alignment horizontal="left" vertical="center" wrapText="1"/>
    </xf>
    <xf numFmtId="9" fontId="56" fillId="0" borderId="19" xfId="0" applyNumberFormat="1" applyFont="1" applyBorder="1" applyAlignment="1" applyProtection="1">
      <alignment horizontal="center" vertical="center" wrapText="1"/>
      <protection hidden="1"/>
    </xf>
    <xf numFmtId="9" fontId="56" fillId="0" borderId="19" xfId="0" applyNumberFormat="1" applyFont="1" applyBorder="1" applyAlignment="1" applyProtection="1">
      <alignment horizontal="center" vertical="center" wrapText="1"/>
      <protection locked="0"/>
    </xf>
    <xf numFmtId="0" fontId="57" fillId="0" borderId="19" xfId="0" applyFont="1" applyBorder="1" applyAlignment="1" applyProtection="1">
      <alignment horizontal="center" vertical="center" wrapText="1"/>
      <protection hidden="1"/>
    </xf>
    <xf numFmtId="0" fontId="57" fillId="0" borderId="19" xfId="0" applyFont="1" applyBorder="1" applyAlignment="1" applyProtection="1">
      <alignment horizontal="center" vertical="center"/>
      <protection hidden="1"/>
    </xf>
    <xf numFmtId="0" fontId="56" fillId="0" borderId="19" xfId="0" applyFont="1" applyBorder="1" applyAlignment="1" applyProtection="1">
      <alignment horizontal="center" vertical="center"/>
      <protection locked="0"/>
    </xf>
    <xf numFmtId="0" fontId="56" fillId="0" borderId="61" xfId="0" applyFont="1" applyBorder="1" applyAlignment="1">
      <alignment horizontal="center" vertical="center"/>
    </xf>
    <xf numFmtId="0" fontId="56" fillId="0" borderId="68" xfId="0" applyFont="1" applyBorder="1" applyAlignment="1">
      <alignment horizontal="center" vertical="center"/>
    </xf>
    <xf numFmtId="0" fontId="56" fillId="0" borderId="20" xfId="0" applyFont="1" applyBorder="1" applyAlignment="1">
      <alignment horizontal="center" vertical="center"/>
    </xf>
    <xf numFmtId="0" fontId="59" fillId="0" borderId="61" xfId="0" applyFont="1" applyBorder="1" applyAlignment="1" applyProtection="1">
      <alignment horizontal="center" vertical="center" wrapText="1"/>
      <protection locked="0"/>
    </xf>
    <xf numFmtId="0" fontId="59" fillId="0" borderId="68" xfId="0" applyFont="1" applyBorder="1" applyAlignment="1" applyProtection="1">
      <alignment horizontal="center" vertical="center" wrapText="1"/>
      <protection locked="0"/>
    </xf>
    <xf numFmtId="0" fontId="59" fillId="0" borderId="20" xfId="0" applyFont="1" applyBorder="1" applyAlignment="1" applyProtection="1">
      <alignment horizontal="center" vertical="center" wrapText="1"/>
      <protection locked="0"/>
    </xf>
    <xf numFmtId="0" fontId="56" fillId="0" borderId="61" xfId="0" applyFont="1" applyBorder="1" applyAlignment="1" applyProtection="1">
      <alignment horizontal="center" vertical="center"/>
      <protection hidden="1"/>
    </xf>
    <xf numFmtId="0" fontId="56" fillId="0" borderId="68" xfId="0" applyFont="1" applyBorder="1" applyAlignment="1" applyProtection="1">
      <alignment horizontal="center" vertical="center"/>
      <protection hidden="1"/>
    </xf>
    <xf numFmtId="0" fontId="56" fillId="0" borderId="20" xfId="0" applyFont="1" applyBorder="1" applyAlignment="1" applyProtection="1">
      <alignment horizontal="center" vertical="center"/>
      <protection hidden="1"/>
    </xf>
    <xf numFmtId="0" fontId="56" fillId="0" borderId="61" xfId="0" applyFont="1" applyBorder="1" applyAlignment="1" applyProtection="1">
      <alignment horizontal="center" vertical="center" textRotation="90"/>
      <protection locked="0"/>
    </xf>
    <xf numFmtId="0" fontId="56" fillId="0" borderId="68" xfId="0" applyFont="1" applyBorder="1" applyAlignment="1" applyProtection="1">
      <alignment horizontal="center" vertical="center" textRotation="90"/>
      <protection locked="0"/>
    </xf>
    <xf numFmtId="0" fontId="56" fillId="0" borderId="20" xfId="0" applyFont="1" applyBorder="1" applyAlignment="1" applyProtection="1">
      <alignment horizontal="center" vertical="center" textRotation="90"/>
      <protection locked="0"/>
    </xf>
    <xf numFmtId="9" fontId="56" fillId="0" borderId="61" xfId="0" applyNumberFormat="1" applyFont="1" applyBorder="1" applyAlignment="1" applyProtection="1">
      <alignment horizontal="center" vertical="center"/>
      <protection hidden="1"/>
    </xf>
    <xf numFmtId="9" fontId="56" fillId="0" borderId="68" xfId="0" applyNumberFormat="1" applyFont="1" applyBorder="1" applyAlignment="1" applyProtection="1">
      <alignment horizontal="center" vertical="center"/>
      <protection hidden="1"/>
    </xf>
    <xf numFmtId="9" fontId="56" fillId="0" borderId="20" xfId="0" applyNumberFormat="1" applyFont="1" applyBorder="1" applyAlignment="1" applyProtection="1">
      <alignment horizontal="center" vertical="center"/>
      <protection hidden="1"/>
    </xf>
    <xf numFmtId="0" fontId="58" fillId="0" borderId="61" xfId="0" applyFont="1" applyBorder="1" applyAlignment="1" applyProtection="1">
      <alignment horizontal="center" vertical="center" wrapText="1"/>
      <protection locked="0"/>
    </xf>
    <xf numFmtId="0" fontId="58" fillId="0" borderId="68" xfId="0" applyFont="1" applyBorder="1" applyAlignment="1" applyProtection="1">
      <alignment horizontal="center" vertical="center" wrapText="1"/>
      <protection locked="0"/>
    </xf>
    <xf numFmtId="0" fontId="58" fillId="0" borderId="20" xfId="0" applyFont="1" applyBorder="1" applyAlignment="1" applyProtection="1">
      <alignment horizontal="center" vertical="center" wrapText="1"/>
      <protection locked="0"/>
    </xf>
    <xf numFmtId="0" fontId="57" fillId="17" borderId="19" xfId="0" applyFont="1" applyFill="1" applyBorder="1" applyAlignment="1">
      <alignment horizontal="center" vertical="center"/>
    </xf>
    <xf numFmtId="0" fontId="57" fillId="0" borderId="61" xfId="0" applyFont="1" applyBorder="1" applyAlignment="1" applyProtection="1">
      <alignment horizontal="center" vertical="center" wrapText="1"/>
      <protection hidden="1"/>
    </xf>
    <xf numFmtId="0" fontId="57" fillId="0" borderId="68" xfId="0" applyFont="1" applyBorder="1" applyAlignment="1" applyProtection="1">
      <alignment horizontal="center" vertical="center" wrapText="1"/>
      <protection hidden="1"/>
    </xf>
    <xf numFmtId="0" fontId="57" fillId="18" borderId="19" xfId="0" applyFont="1" applyFill="1" applyBorder="1" applyAlignment="1">
      <alignment horizontal="center" vertical="center" wrapText="1"/>
    </xf>
    <xf numFmtId="0" fontId="57" fillId="3" borderId="19" xfId="0" applyFont="1" applyFill="1" applyBorder="1" applyAlignment="1">
      <alignment horizontal="center" vertical="center" wrapText="1"/>
    </xf>
    <xf numFmtId="0" fontId="57" fillId="3" borderId="19" xfId="0" applyFont="1" applyFill="1" applyBorder="1" applyAlignment="1">
      <alignment horizontal="center" vertical="center"/>
    </xf>
    <xf numFmtId="0" fontId="64" fillId="3" borderId="19" xfId="0" applyFont="1" applyFill="1" applyBorder="1" applyAlignment="1">
      <alignment horizontal="center" vertical="center" textRotation="90"/>
    </xf>
    <xf numFmtId="0" fontId="58" fillId="0" borderId="19" xfId="0" applyFont="1" applyBorder="1" applyAlignment="1" applyProtection="1">
      <alignment horizontal="center" vertical="center"/>
      <protection locked="0"/>
    </xf>
    <xf numFmtId="0" fontId="57" fillId="18" borderId="19" xfId="0" applyFont="1" applyFill="1" applyBorder="1" applyAlignment="1">
      <alignment horizontal="center" vertical="center"/>
    </xf>
    <xf numFmtId="0" fontId="59" fillId="3" borderId="0" xfId="0" applyFont="1" applyFill="1" applyAlignment="1">
      <alignment horizontal="left" vertical="center"/>
    </xf>
    <xf numFmtId="0" fontId="61" fillId="0" borderId="19" xfId="0" applyFont="1" applyBorder="1" applyAlignment="1">
      <alignment horizontal="center" vertical="center"/>
    </xf>
    <xf numFmtId="0" fontId="69" fillId="3" borderId="19" xfId="0" applyFont="1" applyFill="1" applyBorder="1" applyAlignment="1">
      <alignment horizontal="center" vertical="center" wrapText="1"/>
    </xf>
    <xf numFmtId="0" fontId="65" fillId="0" borderId="19" xfId="0" applyFont="1" applyBorder="1" applyAlignment="1">
      <alignment horizontal="center" vertical="center" wrapText="1"/>
    </xf>
    <xf numFmtId="0" fontId="69" fillId="0" borderId="19" xfId="0" applyFont="1" applyBorder="1" applyAlignment="1">
      <alignment horizontal="center" vertical="center" wrapText="1"/>
    </xf>
    <xf numFmtId="0" fontId="64" fillId="3" borderId="19" xfId="0" applyFont="1" applyFill="1" applyBorder="1" applyAlignment="1" applyProtection="1">
      <alignment horizontal="left" vertical="center"/>
      <protection locked="0"/>
    </xf>
    <xf numFmtId="0" fontId="64" fillId="16" borderId="19" xfId="0" applyFont="1" applyFill="1" applyBorder="1" applyAlignment="1">
      <alignment horizontal="left" vertical="center"/>
    </xf>
    <xf numFmtId="0" fontId="64" fillId="16" borderId="61" xfId="0" applyFont="1" applyFill="1" applyBorder="1" applyAlignment="1">
      <alignment horizontal="left" vertical="center"/>
    </xf>
    <xf numFmtId="0" fontId="59" fillId="3" borderId="19" xfId="0" applyFont="1" applyFill="1" applyBorder="1" applyAlignment="1" applyProtection="1">
      <alignment horizontal="left" vertical="center" wrapText="1"/>
      <protection locked="0"/>
    </xf>
    <xf numFmtId="0" fontId="59" fillId="3" borderId="19" xfId="0" applyFont="1" applyFill="1" applyBorder="1" applyAlignment="1" applyProtection="1">
      <alignment horizontal="left" vertical="center"/>
      <protection locked="0"/>
    </xf>
    <xf numFmtId="0" fontId="59" fillId="3" borderId="61" xfId="0" applyFont="1" applyFill="1" applyBorder="1" applyAlignment="1" applyProtection="1">
      <alignment horizontal="left" vertical="center" wrapText="1"/>
      <protection locked="0"/>
    </xf>
    <xf numFmtId="165" fontId="56" fillId="3" borderId="64" xfId="0" applyNumberFormat="1" applyFont="1" applyFill="1" applyBorder="1" applyAlignment="1">
      <alignment horizontal="center" vertical="center" wrapText="1"/>
    </xf>
    <xf numFmtId="165" fontId="56" fillId="3" borderId="66" xfId="0" applyNumberFormat="1" applyFont="1" applyFill="1" applyBorder="1" applyAlignment="1">
      <alignment horizontal="center" vertical="center" wrapText="1"/>
    </xf>
    <xf numFmtId="165" fontId="56" fillId="3" borderId="65" xfId="0" applyNumberFormat="1" applyFont="1" applyFill="1" applyBorder="1" applyAlignment="1">
      <alignment horizontal="center" vertical="center" wrapText="1"/>
    </xf>
    <xf numFmtId="0" fontId="0" fillId="3" borderId="64" xfId="0" applyFill="1" applyBorder="1" applyAlignment="1">
      <alignment horizontal="center" vertical="center"/>
    </xf>
    <xf numFmtId="0" fontId="0" fillId="3" borderId="66" xfId="0" applyFill="1" applyBorder="1" applyAlignment="1">
      <alignment horizontal="center" vertical="center"/>
    </xf>
    <xf numFmtId="0" fontId="0" fillId="3" borderId="65" xfId="0" applyFill="1" applyBorder="1" applyAlignment="1">
      <alignment horizontal="center" vertical="center"/>
    </xf>
    <xf numFmtId="14" fontId="56" fillId="0" borderId="69" xfId="0" applyNumberFormat="1" applyFont="1" applyBorder="1" applyAlignment="1" applyProtection="1">
      <alignment horizontal="center" vertical="center"/>
      <protection locked="0"/>
    </xf>
    <xf numFmtId="14" fontId="56" fillId="0" borderId="70" xfId="0" applyNumberFormat="1" applyFont="1" applyBorder="1" applyAlignment="1" applyProtection="1">
      <alignment horizontal="center" vertical="center"/>
      <protection locked="0"/>
    </xf>
    <xf numFmtId="14" fontId="56" fillId="0" borderId="71" xfId="0" applyNumberFormat="1" applyFont="1" applyBorder="1" applyAlignment="1" applyProtection="1">
      <alignment horizontal="center" vertical="center"/>
      <protection locked="0"/>
    </xf>
    <xf numFmtId="0" fontId="57" fillId="18" borderId="19" xfId="0" applyFont="1" applyFill="1" applyBorder="1" applyAlignment="1">
      <alignment horizontal="center" vertical="center" textRotation="90" wrapText="1"/>
    </xf>
    <xf numFmtId="164" fontId="56" fillId="0" borderId="61" xfId="1" applyNumberFormat="1" applyFont="1" applyBorder="1" applyAlignment="1">
      <alignment horizontal="center" vertical="center"/>
    </xf>
    <xf numFmtId="164" fontId="56" fillId="0" borderId="68" xfId="1" applyNumberFormat="1" applyFont="1" applyBorder="1" applyAlignment="1">
      <alignment horizontal="center" vertical="center"/>
    </xf>
    <xf numFmtId="164" fontId="56" fillId="0" borderId="20" xfId="1" applyNumberFormat="1" applyFont="1" applyBorder="1" applyAlignment="1">
      <alignment horizontal="center" vertical="center"/>
    </xf>
    <xf numFmtId="0" fontId="57" fillId="0" borderId="61" xfId="0" applyFont="1" applyBorder="1" applyAlignment="1" applyProtection="1">
      <alignment horizontal="center" vertical="center" textRotation="90" wrapText="1"/>
      <protection hidden="1"/>
    </xf>
    <xf numFmtId="0" fontId="57" fillId="0" borderId="68" xfId="0" applyFont="1" applyBorder="1" applyAlignment="1" applyProtection="1">
      <alignment horizontal="center" vertical="center" textRotation="90" wrapText="1"/>
      <protection hidden="1"/>
    </xf>
    <xf numFmtId="0" fontId="57" fillId="0" borderId="20" xfId="0" applyFont="1" applyBorder="1" applyAlignment="1" applyProtection="1">
      <alignment horizontal="center" vertical="center" textRotation="90" wrapText="1"/>
      <protection hidden="1"/>
    </xf>
    <xf numFmtId="0" fontId="57" fillId="0" borderId="61" xfId="0" applyFont="1" applyBorder="1" applyAlignment="1" applyProtection="1">
      <alignment horizontal="center" vertical="center" textRotation="90"/>
      <protection hidden="1"/>
    </xf>
    <xf numFmtId="0" fontId="57" fillId="0" borderId="68" xfId="0" applyFont="1" applyBorder="1" applyAlignment="1" applyProtection="1">
      <alignment horizontal="center" vertical="center" textRotation="90"/>
      <protection hidden="1"/>
    </xf>
    <xf numFmtId="0" fontId="57" fillId="0" borderId="20" xfId="0" applyFont="1" applyBorder="1" applyAlignment="1" applyProtection="1">
      <alignment horizontal="center" vertical="center" textRotation="90"/>
      <protection hidden="1"/>
    </xf>
    <xf numFmtId="0" fontId="16" fillId="10" borderId="0" xfId="0" applyFont="1" applyFill="1" applyAlignment="1">
      <alignment horizontal="center" vertical="center" textRotation="90" wrapText="1" readingOrder="1"/>
    </xf>
    <xf numFmtId="0" fontId="16" fillId="10" borderId="6" xfId="0" applyFont="1" applyFill="1" applyBorder="1" applyAlignment="1">
      <alignment horizontal="center" vertical="center" textRotation="90" wrapText="1" readingOrder="1"/>
    </xf>
    <xf numFmtId="0" fontId="19" fillId="12" borderId="11" xfId="0" applyFont="1" applyFill="1" applyBorder="1" applyAlignment="1">
      <alignment horizontal="center" vertical="center" wrapText="1" readingOrder="1"/>
    </xf>
    <xf numFmtId="0" fontId="19" fillId="12" borderId="12" xfId="0" applyFont="1" applyFill="1" applyBorder="1" applyAlignment="1">
      <alignment horizontal="center" vertical="center" wrapText="1" readingOrder="1"/>
    </xf>
    <xf numFmtId="0" fontId="19" fillId="12" borderId="13" xfId="0" applyFont="1" applyFill="1" applyBorder="1" applyAlignment="1">
      <alignment horizontal="center" vertical="center" wrapText="1" readingOrder="1"/>
    </xf>
    <xf numFmtId="0" fontId="19" fillId="12" borderId="14" xfId="0" applyFont="1" applyFill="1" applyBorder="1" applyAlignment="1">
      <alignment horizontal="center" vertical="center" wrapText="1" readingOrder="1"/>
    </xf>
    <xf numFmtId="0" fontId="19" fillId="12" borderId="0" xfId="0" applyFont="1" applyFill="1" applyAlignment="1">
      <alignment horizontal="center" vertical="center" wrapText="1" readingOrder="1"/>
    </xf>
    <xf numFmtId="0" fontId="19" fillId="12" borderId="15" xfId="0" applyFont="1" applyFill="1" applyBorder="1" applyAlignment="1">
      <alignment horizontal="center" vertical="center" wrapText="1" readingOrder="1"/>
    </xf>
    <xf numFmtId="0" fontId="19" fillId="12" borderId="16" xfId="0" applyFont="1" applyFill="1" applyBorder="1" applyAlignment="1">
      <alignment horizontal="center" vertical="center" wrapText="1" readingOrder="1"/>
    </xf>
    <xf numFmtId="0" fontId="19" fillId="12" borderId="17" xfId="0" applyFont="1" applyFill="1" applyBorder="1" applyAlignment="1">
      <alignment horizontal="center" vertical="center" wrapText="1" readingOrder="1"/>
    </xf>
    <xf numFmtId="0" fontId="19" fillId="12" borderId="18" xfId="0" applyFont="1" applyFill="1" applyBorder="1" applyAlignment="1">
      <alignment horizontal="center" vertical="center" wrapText="1" readingOrder="1"/>
    </xf>
    <xf numFmtId="0" fontId="19" fillId="11" borderId="11" xfId="0" applyFont="1" applyFill="1" applyBorder="1" applyAlignment="1">
      <alignment horizontal="center" vertical="center" wrapText="1" readingOrder="1"/>
    </xf>
    <xf numFmtId="0" fontId="19" fillId="11" borderId="12" xfId="0" applyFont="1" applyFill="1" applyBorder="1" applyAlignment="1">
      <alignment horizontal="center" vertical="center" wrapText="1" readingOrder="1"/>
    </xf>
    <xf numFmtId="0" fontId="19" fillId="11" borderId="13" xfId="0" applyFont="1" applyFill="1" applyBorder="1" applyAlignment="1">
      <alignment horizontal="center" vertical="center" wrapText="1" readingOrder="1"/>
    </xf>
    <xf numFmtId="0" fontId="19" fillId="11" borderId="14" xfId="0" applyFont="1" applyFill="1" applyBorder="1" applyAlignment="1">
      <alignment horizontal="center" vertical="center" wrapText="1" readingOrder="1"/>
    </xf>
    <xf numFmtId="0" fontId="19" fillId="11" borderId="0" xfId="0" applyFont="1" applyFill="1" applyAlignment="1">
      <alignment horizontal="center" vertical="center" wrapText="1" readingOrder="1"/>
    </xf>
    <xf numFmtId="0" fontId="19" fillId="11" borderId="15" xfId="0" applyFont="1" applyFill="1" applyBorder="1" applyAlignment="1">
      <alignment horizontal="center" vertical="center" wrapText="1" readingOrder="1"/>
    </xf>
    <xf numFmtId="0" fontId="19" fillId="11" borderId="16" xfId="0" applyFont="1" applyFill="1" applyBorder="1" applyAlignment="1">
      <alignment horizontal="center" vertical="center" wrapText="1" readingOrder="1"/>
    </xf>
    <xf numFmtId="0" fontId="19" fillId="11" borderId="17" xfId="0" applyFont="1" applyFill="1" applyBorder="1" applyAlignment="1">
      <alignment horizontal="center" vertical="center" wrapText="1" readingOrder="1"/>
    </xf>
    <xf numFmtId="0" fontId="19" fillId="11" borderId="18" xfId="0" applyFont="1" applyFill="1" applyBorder="1" applyAlignment="1">
      <alignment horizontal="center" vertical="center" wrapText="1" readingOrder="1"/>
    </xf>
    <xf numFmtId="0" fontId="19" fillId="13" borderId="11" xfId="0" applyFont="1" applyFill="1" applyBorder="1" applyAlignment="1">
      <alignment horizontal="center" vertical="center" wrapText="1" readingOrder="1"/>
    </xf>
    <xf numFmtId="0" fontId="19" fillId="13" borderId="12" xfId="0" applyFont="1" applyFill="1" applyBorder="1" applyAlignment="1">
      <alignment horizontal="center" vertical="center" wrapText="1" readingOrder="1"/>
    </xf>
    <xf numFmtId="0" fontId="19" fillId="13" borderId="13" xfId="0" applyFont="1" applyFill="1" applyBorder="1" applyAlignment="1">
      <alignment horizontal="center" vertical="center" wrapText="1" readingOrder="1"/>
    </xf>
    <xf numFmtId="0" fontId="19" fillId="13" borderId="14" xfId="0" applyFont="1" applyFill="1" applyBorder="1" applyAlignment="1">
      <alignment horizontal="center" vertical="center" wrapText="1" readingOrder="1"/>
    </xf>
    <xf numFmtId="0" fontId="19" fillId="13" borderId="0" xfId="0" applyFont="1" applyFill="1" applyAlignment="1">
      <alignment horizontal="center" vertical="center" wrapText="1" readingOrder="1"/>
    </xf>
    <xf numFmtId="0" fontId="19" fillId="13" borderId="15" xfId="0" applyFont="1" applyFill="1" applyBorder="1" applyAlignment="1">
      <alignment horizontal="center" vertical="center" wrapText="1" readingOrder="1"/>
    </xf>
    <xf numFmtId="0" fontId="19" fillId="13" borderId="16" xfId="0" applyFont="1" applyFill="1" applyBorder="1" applyAlignment="1">
      <alignment horizontal="center" vertical="center" wrapText="1" readingOrder="1"/>
    </xf>
    <xf numFmtId="0" fontId="19" fillId="13" borderId="17" xfId="0" applyFont="1" applyFill="1" applyBorder="1" applyAlignment="1">
      <alignment horizontal="center" vertical="center" wrapText="1" readingOrder="1"/>
    </xf>
    <xf numFmtId="0" fontId="19" fillId="13" borderId="18" xfId="0" applyFont="1" applyFill="1" applyBorder="1" applyAlignment="1">
      <alignment horizontal="center" vertical="center" wrapText="1" readingOrder="1"/>
    </xf>
    <xf numFmtId="0" fontId="19" fillId="5" borderId="11" xfId="0" applyFont="1" applyFill="1" applyBorder="1" applyAlignment="1">
      <alignment horizontal="center" vertical="center" wrapText="1" readingOrder="1"/>
    </xf>
    <xf numFmtId="0" fontId="19" fillId="5" borderId="12" xfId="0" applyFont="1" applyFill="1" applyBorder="1" applyAlignment="1">
      <alignment horizontal="center" vertical="center" wrapText="1" readingOrder="1"/>
    </xf>
    <xf numFmtId="0" fontId="19" fillId="5" borderId="13" xfId="0" applyFont="1" applyFill="1" applyBorder="1" applyAlignment="1">
      <alignment horizontal="center" vertical="center" wrapText="1" readingOrder="1"/>
    </xf>
    <xf numFmtId="0" fontId="19" fillId="5" borderId="14" xfId="0" applyFont="1" applyFill="1" applyBorder="1" applyAlignment="1">
      <alignment horizontal="center" vertical="center" wrapText="1" readingOrder="1"/>
    </xf>
    <xf numFmtId="0" fontId="19" fillId="5" borderId="0" xfId="0" applyFont="1" applyFill="1" applyAlignment="1">
      <alignment horizontal="center" vertical="center" wrapText="1" readingOrder="1"/>
    </xf>
    <xf numFmtId="0" fontId="19" fillId="5" borderId="15" xfId="0" applyFont="1" applyFill="1" applyBorder="1" applyAlignment="1">
      <alignment horizontal="center" vertical="center" wrapText="1" readingOrder="1"/>
    </xf>
    <xf numFmtId="0" fontId="19" fillId="5" borderId="16" xfId="0" applyFont="1" applyFill="1" applyBorder="1" applyAlignment="1">
      <alignment horizontal="center" vertical="center" wrapText="1" readingOrder="1"/>
    </xf>
    <xf numFmtId="0" fontId="19" fillId="5" borderId="17" xfId="0" applyFont="1" applyFill="1" applyBorder="1" applyAlignment="1">
      <alignment horizontal="center" vertical="center" wrapText="1" readingOrder="1"/>
    </xf>
    <xf numFmtId="0" fontId="19" fillId="5" borderId="18" xfId="0" applyFont="1" applyFill="1" applyBorder="1" applyAlignment="1">
      <alignment horizontal="center" vertical="center" wrapText="1" readingOrder="1"/>
    </xf>
    <xf numFmtId="0" fontId="15" fillId="0" borderId="3" xfId="0" applyFont="1" applyBorder="1" applyAlignment="1">
      <alignment horizontal="center" vertical="center" wrapText="1"/>
    </xf>
    <xf numFmtId="0" fontId="15" fillId="0" borderId="10"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9" xfId="0" applyFont="1" applyBorder="1" applyAlignment="1">
      <alignment horizontal="center" vertical="center"/>
    </xf>
    <xf numFmtId="0" fontId="15" fillId="0" borderId="8" xfId="0" applyFont="1" applyBorder="1" applyAlignment="1">
      <alignment horizontal="center" vertical="center"/>
    </xf>
    <xf numFmtId="0" fontId="18" fillId="11" borderId="0" xfId="0" applyFont="1" applyFill="1" applyAlignment="1" applyProtection="1">
      <alignment horizontal="center" vertical="center" wrapText="1" readingOrder="1"/>
      <protection hidden="1"/>
    </xf>
    <xf numFmtId="0" fontId="18" fillId="11" borderId="6" xfId="0" applyFont="1" applyFill="1" applyBorder="1" applyAlignment="1" applyProtection="1">
      <alignment horizontal="center" vertical="center" wrapText="1" readingOrder="1"/>
      <protection hidden="1"/>
    </xf>
    <xf numFmtId="0" fontId="18" fillId="11" borderId="3" xfId="0" applyFont="1" applyFill="1" applyBorder="1" applyAlignment="1" applyProtection="1">
      <alignment horizontal="center" vertical="center" wrapText="1" readingOrder="1"/>
      <protection hidden="1"/>
    </xf>
    <xf numFmtId="0" fontId="18" fillId="11" borderId="10" xfId="0" applyFont="1" applyFill="1" applyBorder="1" applyAlignment="1" applyProtection="1">
      <alignment horizontal="center" vertical="center" wrapText="1" readingOrder="1"/>
      <protection hidden="1"/>
    </xf>
    <xf numFmtId="0" fontId="18" fillId="11" borderId="5" xfId="0" applyFont="1" applyFill="1" applyBorder="1" applyAlignment="1" applyProtection="1">
      <alignment horizontal="center" vertical="center" wrapText="1" readingOrder="1"/>
      <protection hidden="1"/>
    </xf>
    <xf numFmtId="0" fontId="18" fillId="11" borderId="4" xfId="0" applyFont="1" applyFill="1" applyBorder="1" applyAlignment="1" applyProtection="1">
      <alignment horizontal="center" vertical="center" wrapText="1" readingOrder="1"/>
      <protection hidden="1"/>
    </xf>
    <xf numFmtId="0" fontId="16" fillId="10" borderId="0" xfId="0" applyFont="1" applyFill="1" applyAlignment="1">
      <alignment horizontal="center" vertical="center" wrapText="1" readingOrder="1"/>
    </xf>
    <xf numFmtId="0" fontId="15" fillId="0" borderId="10" xfId="0" applyFont="1" applyBorder="1" applyAlignment="1">
      <alignment horizontal="center" vertical="center" wrapText="1"/>
    </xf>
    <xf numFmtId="0" fontId="18" fillId="11" borderId="7" xfId="0" applyFont="1" applyFill="1" applyBorder="1" applyAlignment="1" applyProtection="1">
      <alignment horizontal="center" vertical="center" wrapText="1" readingOrder="1"/>
      <protection hidden="1"/>
    </xf>
    <xf numFmtId="0" fontId="18" fillId="11" borderId="9" xfId="0" applyFont="1" applyFill="1" applyBorder="1" applyAlignment="1" applyProtection="1">
      <alignment horizontal="center" vertical="center" wrapText="1" readingOrder="1"/>
      <protection hidden="1"/>
    </xf>
    <xf numFmtId="0" fontId="18" fillId="11" borderId="8" xfId="0" applyFont="1" applyFill="1" applyBorder="1" applyAlignment="1" applyProtection="1">
      <alignment horizontal="center" vertical="center" wrapText="1" readingOrder="1"/>
      <protection hidden="1"/>
    </xf>
    <xf numFmtId="0" fontId="18" fillId="12" borderId="5" xfId="0" applyFont="1" applyFill="1" applyBorder="1" applyAlignment="1" applyProtection="1">
      <alignment horizontal="center" wrapText="1" readingOrder="1"/>
      <protection hidden="1"/>
    </xf>
    <xf numFmtId="0" fontId="18" fillId="12" borderId="0" xfId="0" applyFont="1" applyFill="1" applyAlignment="1" applyProtection="1">
      <alignment horizontal="center" wrapText="1" readingOrder="1"/>
      <protection hidden="1"/>
    </xf>
    <xf numFmtId="0" fontId="18" fillId="12" borderId="6" xfId="0" applyFont="1" applyFill="1" applyBorder="1" applyAlignment="1" applyProtection="1">
      <alignment horizontal="center" wrapText="1" readingOrder="1"/>
      <protection hidden="1"/>
    </xf>
    <xf numFmtId="0" fontId="18" fillId="12" borderId="7" xfId="0" applyFont="1" applyFill="1" applyBorder="1" applyAlignment="1" applyProtection="1">
      <alignment horizontal="center" wrapText="1" readingOrder="1"/>
      <protection hidden="1"/>
    </xf>
    <xf numFmtId="0" fontId="18" fillId="12" borderId="9" xfId="0" applyFont="1" applyFill="1" applyBorder="1" applyAlignment="1" applyProtection="1">
      <alignment horizontal="center" wrapText="1" readingOrder="1"/>
      <protection hidden="1"/>
    </xf>
    <xf numFmtId="0" fontId="18" fillId="12" borderId="8" xfId="0" applyFont="1" applyFill="1" applyBorder="1" applyAlignment="1" applyProtection="1">
      <alignment horizontal="center" wrapText="1" readingOrder="1"/>
      <protection hidden="1"/>
    </xf>
    <xf numFmtId="0" fontId="18" fillId="12" borderId="3" xfId="0" applyFont="1" applyFill="1" applyBorder="1" applyAlignment="1" applyProtection="1">
      <alignment horizontal="center" wrapText="1" readingOrder="1"/>
      <protection hidden="1"/>
    </xf>
    <xf numFmtId="0" fontId="18" fillId="12" borderId="10" xfId="0" applyFont="1" applyFill="1" applyBorder="1" applyAlignment="1" applyProtection="1">
      <alignment horizontal="center" wrapText="1" readingOrder="1"/>
      <protection hidden="1"/>
    </xf>
    <xf numFmtId="0" fontId="18" fillId="12" borderId="4" xfId="0" applyFont="1" applyFill="1" applyBorder="1" applyAlignment="1" applyProtection="1">
      <alignment horizontal="center" wrapText="1" readingOrder="1"/>
      <protection hidden="1"/>
    </xf>
    <xf numFmtId="0" fontId="18" fillId="13" borderId="5" xfId="0" applyFont="1" applyFill="1" applyBorder="1" applyAlignment="1" applyProtection="1">
      <alignment horizontal="center" wrapText="1" readingOrder="1"/>
      <protection hidden="1"/>
    </xf>
    <xf numFmtId="0" fontId="18" fillId="13" borderId="0" xfId="0" applyFont="1" applyFill="1" applyAlignment="1" applyProtection="1">
      <alignment horizontal="center" wrapText="1" readingOrder="1"/>
      <protection hidden="1"/>
    </xf>
    <xf numFmtId="0" fontId="18" fillId="13" borderId="6" xfId="0" applyFont="1" applyFill="1" applyBorder="1" applyAlignment="1" applyProtection="1">
      <alignment horizontal="center" wrapText="1" readingOrder="1"/>
      <protection hidden="1"/>
    </xf>
    <xf numFmtId="0" fontId="18" fillId="13" borderId="7" xfId="0" applyFont="1" applyFill="1" applyBorder="1" applyAlignment="1" applyProtection="1">
      <alignment horizontal="center" wrapText="1" readingOrder="1"/>
      <protection hidden="1"/>
    </xf>
    <xf numFmtId="0" fontId="18" fillId="13" borderId="9" xfId="0" applyFont="1" applyFill="1" applyBorder="1" applyAlignment="1" applyProtection="1">
      <alignment horizontal="center" wrapText="1" readingOrder="1"/>
      <protection hidden="1"/>
    </xf>
    <xf numFmtId="0" fontId="18" fillId="13" borderId="8" xfId="0" applyFont="1" applyFill="1" applyBorder="1" applyAlignment="1" applyProtection="1">
      <alignment horizontal="center" wrapText="1" readingOrder="1"/>
      <protection hidden="1"/>
    </xf>
    <xf numFmtId="0" fontId="18" fillId="13" borderId="3" xfId="0" applyFont="1" applyFill="1" applyBorder="1" applyAlignment="1" applyProtection="1">
      <alignment horizontal="center" wrapText="1" readingOrder="1"/>
      <protection hidden="1"/>
    </xf>
    <xf numFmtId="0" fontId="18" fillId="13" borderId="10" xfId="0" applyFont="1" applyFill="1" applyBorder="1" applyAlignment="1" applyProtection="1">
      <alignment horizontal="center" wrapText="1" readingOrder="1"/>
      <protection hidden="1"/>
    </xf>
    <xf numFmtId="0" fontId="18" fillId="13" borderId="4" xfId="0" applyFont="1" applyFill="1" applyBorder="1" applyAlignment="1" applyProtection="1">
      <alignment horizontal="center" wrapText="1" readingOrder="1"/>
      <protection hidden="1"/>
    </xf>
    <xf numFmtId="0" fontId="18" fillId="5" borderId="0" xfId="0" applyFont="1" applyFill="1" applyAlignment="1" applyProtection="1">
      <alignment horizontal="center" wrapText="1" readingOrder="1"/>
      <protection hidden="1"/>
    </xf>
    <xf numFmtId="0" fontId="18" fillId="5" borderId="6" xfId="0" applyFont="1" applyFill="1" applyBorder="1" applyAlignment="1" applyProtection="1">
      <alignment horizontal="center" wrapText="1" readingOrder="1"/>
      <protection hidden="1"/>
    </xf>
    <xf numFmtId="0" fontId="18" fillId="5" borderId="5" xfId="0" applyFont="1" applyFill="1" applyBorder="1" applyAlignment="1" applyProtection="1">
      <alignment horizontal="center" wrapText="1" readingOrder="1"/>
      <protection hidden="1"/>
    </xf>
    <xf numFmtId="0" fontId="18" fillId="5" borderId="7" xfId="0" applyFont="1" applyFill="1" applyBorder="1" applyAlignment="1" applyProtection="1">
      <alignment horizontal="center" wrapText="1" readingOrder="1"/>
      <protection hidden="1"/>
    </xf>
    <xf numFmtId="0" fontId="18" fillId="5" borderId="9" xfId="0" applyFont="1" applyFill="1" applyBorder="1" applyAlignment="1" applyProtection="1">
      <alignment horizontal="center" wrapText="1" readingOrder="1"/>
      <protection hidden="1"/>
    </xf>
    <xf numFmtId="0" fontId="18" fillId="5" borderId="8" xfId="0" applyFont="1" applyFill="1" applyBorder="1" applyAlignment="1" applyProtection="1">
      <alignment horizontal="center" wrapText="1" readingOrder="1"/>
      <protection hidden="1"/>
    </xf>
    <xf numFmtId="0" fontId="18" fillId="5" borderId="3" xfId="0" applyFont="1" applyFill="1" applyBorder="1" applyAlignment="1" applyProtection="1">
      <alignment horizontal="center" wrapText="1" readingOrder="1"/>
      <protection hidden="1"/>
    </xf>
    <xf numFmtId="0" fontId="18" fillId="5" borderId="10" xfId="0" applyFont="1" applyFill="1" applyBorder="1" applyAlignment="1" applyProtection="1">
      <alignment horizontal="center" wrapText="1" readingOrder="1"/>
      <protection hidden="1"/>
    </xf>
    <xf numFmtId="0" fontId="18" fillId="5" borderId="4" xfId="0" applyFont="1" applyFill="1" applyBorder="1" applyAlignment="1" applyProtection="1">
      <alignment horizontal="center" wrapText="1" readingOrder="1"/>
      <protection hidden="1"/>
    </xf>
    <xf numFmtId="0" fontId="23" fillId="0" borderId="0" xfId="0" applyFont="1" applyAlignment="1">
      <alignment horizontal="center" vertical="center" wrapText="1"/>
    </xf>
    <xf numFmtId="0" fontId="39" fillId="11" borderId="11" xfId="0" applyFont="1" applyFill="1" applyBorder="1" applyAlignment="1">
      <alignment horizontal="center" vertical="center" wrapText="1" readingOrder="1"/>
    </xf>
    <xf numFmtId="0" fontId="39" fillId="11" borderId="12" xfId="0" applyFont="1" applyFill="1" applyBorder="1" applyAlignment="1">
      <alignment horizontal="center" vertical="center" wrapText="1" readingOrder="1"/>
    </xf>
    <xf numFmtId="0" fontId="39" fillId="11" borderId="13" xfId="0" applyFont="1" applyFill="1" applyBorder="1" applyAlignment="1">
      <alignment horizontal="center" vertical="center" wrapText="1" readingOrder="1"/>
    </xf>
    <xf numFmtId="0" fontId="39" fillId="11" borderId="14" xfId="0" applyFont="1" applyFill="1" applyBorder="1" applyAlignment="1">
      <alignment horizontal="center" vertical="center" wrapText="1" readingOrder="1"/>
    </xf>
    <xf numFmtId="0" fontId="39" fillId="11" borderId="0" xfId="0" applyFont="1" applyFill="1" applyAlignment="1">
      <alignment horizontal="center" vertical="center" wrapText="1" readingOrder="1"/>
    </xf>
    <xf numFmtId="0" fontId="39" fillId="11" borderId="15" xfId="0" applyFont="1" applyFill="1" applyBorder="1" applyAlignment="1">
      <alignment horizontal="center" vertical="center" wrapText="1" readingOrder="1"/>
    </xf>
    <xf numFmtId="0" fontId="39" fillId="11" borderId="16" xfId="0" applyFont="1" applyFill="1" applyBorder="1" applyAlignment="1">
      <alignment horizontal="center" vertical="center" wrapText="1" readingOrder="1"/>
    </xf>
    <xf numFmtId="0" fontId="39" fillId="11" borderId="17" xfId="0" applyFont="1" applyFill="1" applyBorder="1" applyAlignment="1">
      <alignment horizontal="center" vertical="center" wrapText="1" readingOrder="1"/>
    </xf>
    <xf numFmtId="0" fontId="39" fillId="11" borderId="18" xfId="0" applyFont="1" applyFill="1" applyBorder="1" applyAlignment="1">
      <alignment horizontal="center" vertical="center" wrapText="1" readingOrder="1"/>
    </xf>
    <xf numFmtId="0" fontId="40" fillId="0" borderId="3" xfId="0" applyFont="1" applyBorder="1" applyAlignment="1">
      <alignment horizontal="center" vertical="center" wrapText="1"/>
    </xf>
    <xf numFmtId="0" fontId="40" fillId="0" borderId="10" xfId="0" applyFont="1" applyBorder="1" applyAlignment="1">
      <alignment horizontal="center" vertical="center"/>
    </xf>
    <xf numFmtId="0" fontId="40" fillId="0" borderId="5" xfId="0" applyFont="1" applyBorder="1" applyAlignment="1">
      <alignment horizontal="center" vertical="center" wrapText="1"/>
    </xf>
    <xf numFmtId="0" fontId="40" fillId="0" borderId="0" xfId="0" applyFont="1" applyAlignment="1">
      <alignment horizontal="center" vertical="center"/>
    </xf>
    <xf numFmtId="0" fontId="40" fillId="0" borderId="5" xfId="0" applyFont="1" applyBorder="1" applyAlignment="1">
      <alignment horizontal="center" vertical="center"/>
    </xf>
    <xf numFmtId="0" fontId="40" fillId="0" borderId="7" xfId="0" applyFont="1" applyBorder="1" applyAlignment="1">
      <alignment horizontal="center" vertical="center"/>
    </xf>
    <xf numFmtId="0" fontId="40" fillId="0" borderId="9" xfId="0" applyFont="1" applyBorder="1" applyAlignment="1">
      <alignment horizontal="center" vertical="center"/>
    </xf>
    <xf numFmtId="0" fontId="39" fillId="12" borderId="11" xfId="0" applyFont="1" applyFill="1" applyBorder="1" applyAlignment="1">
      <alignment horizontal="center" vertical="center" wrapText="1" readingOrder="1"/>
    </xf>
    <xf numFmtId="0" fontId="39" fillId="12" borderId="12" xfId="0" applyFont="1" applyFill="1" applyBorder="1" applyAlignment="1">
      <alignment horizontal="center" vertical="center" wrapText="1" readingOrder="1"/>
    </xf>
    <xf numFmtId="0" fontId="39" fillId="12" borderId="13" xfId="0" applyFont="1" applyFill="1" applyBorder="1" applyAlignment="1">
      <alignment horizontal="center" vertical="center" wrapText="1" readingOrder="1"/>
    </xf>
    <xf numFmtId="0" fontId="39" fillId="12" borderId="14" xfId="0" applyFont="1" applyFill="1" applyBorder="1" applyAlignment="1">
      <alignment horizontal="center" vertical="center" wrapText="1" readingOrder="1"/>
    </xf>
    <xf numFmtId="0" fontId="39" fillId="12" borderId="0" xfId="0" applyFont="1" applyFill="1" applyAlignment="1">
      <alignment horizontal="center" vertical="center" wrapText="1" readingOrder="1"/>
    </xf>
    <xf numFmtId="0" fontId="39" fillId="12" borderId="15" xfId="0" applyFont="1" applyFill="1" applyBorder="1" applyAlignment="1">
      <alignment horizontal="center" vertical="center" wrapText="1" readingOrder="1"/>
    </xf>
    <xf numFmtId="0" fontId="39" fillId="12" borderId="16" xfId="0" applyFont="1" applyFill="1" applyBorder="1" applyAlignment="1">
      <alignment horizontal="center" vertical="center" wrapText="1" readingOrder="1"/>
    </xf>
    <xf numFmtId="0" fontId="39" fillId="12" borderId="17" xfId="0" applyFont="1" applyFill="1" applyBorder="1" applyAlignment="1">
      <alignment horizontal="center" vertical="center" wrapText="1" readingOrder="1"/>
    </xf>
    <xf numFmtId="0" fontId="39" fillId="12" borderId="18" xfId="0" applyFont="1" applyFill="1" applyBorder="1" applyAlignment="1">
      <alignment horizontal="center" vertical="center" wrapText="1" readingOrder="1"/>
    </xf>
    <xf numFmtId="0" fontId="38" fillId="0" borderId="0" xfId="0" applyFont="1" applyAlignment="1">
      <alignment horizontal="center" vertical="center" wrapText="1"/>
    </xf>
    <xf numFmtId="0" fontId="20" fillId="0" borderId="0" xfId="0" applyFont="1" applyAlignment="1">
      <alignment horizontal="center" vertical="center" wrapText="1"/>
    </xf>
    <xf numFmtId="0" fontId="40" fillId="0" borderId="4" xfId="0" applyFont="1" applyBorder="1" applyAlignment="1">
      <alignment horizontal="center" vertical="center"/>
    </xf>
    <xf numFmtId="0" fontId="40" fillId="0" borderId="6" xfId="0" applyFont="1" applyBorder="1" applyAlignment="1">
      <alignment horizontal="center" vertical="center"/>
    </xf>
    <xf numFmtId="0" fontId="40" fillId="0" borderId="8" xfId="0" applyFont="1" applyBorder="1" applyAlignment="1">
      <alignment horizontal="center" vertical="center"/>
    </xf>
    <xf numFmtId="0" fontId="39" fillId="5" borderId="11" xfId="0" applyFont="1" applyFill="1" applyBorder="1" applyAlignment="1">
      <alignment horizontal="center" vertical="center" wrapText="1" readingOrder="1"/>
    </xf>
    <xf numFmtId="0" fontId="39" fillId="5" borderId="12" xfId="0" applyFont="1" applyFill="1" applyBorder="1" applyAlignment="1">
      <alignment horizontal="center" vertical="center" wrapText="1" readingOrder="1"/>
    </xf>
    <xf numFmtId="0" fontId="39" fillId="5" borderId="13" xfId="0" applyFont="1" applyFill="1" applyBorder="1" applyAlignment="1">
      <alignment horizontal="center" vertical="center" wrapText="1" readingOrder="1"/>
    </xf>
    <xf numFmtId="0" fontId="39" fillId="5" borderId="14" xfId="0" applyFont="1" applyFill="1" applyBorder="1" applyAlignment="1">
      <alignment horizontal="center" vertical="center" wrapText="1" readingOrder="1"/>
    </xf>
    <xf numFmtId="0" fontId="39" fillId="5" borderId="0" xfId="0" applyFont="1" applyFill="1" applyAlignment="1">
      <alignment horizontal="center" vertical="center" wrapText="1" readingOrder="1"/>
    </xf>
    <xf numFmtId="0" fontId="39" fillId="5" borderId="15" xfId="0" applyFont="1" applyFill="1" applyBorder="1" applyAlignment="1">
      <alignment horizontal="center" vertical="center" wrapText="1" readingOrder="1"/>
    </xf>
    <xf numFmtId="0" fontId="39" fillId="5" borderId="16" xfId="0" applyFont="1" applyFill="1" applyBorder="1" applyAlignment="1">
      <alignment horizontal="center" vertical="center" wrapText="1" readingOrder="1"/>
    </xf>
    <xf numFmtId="0" fontId="39" fillId="5" borderId="17" xfId="0" applyFont="1" applyFill="1" applyBorder="1" applyAlignment="1">
      <alignment horizontal="center" vertical="center" wrapText="1" readingOrder="1"/>
    </xf>
    <xf numFmtId="0" fontId="39" fillId="5" borderId="18" xfId="0" applyFont="1" applyFill="1" applyBorder="1" applyAlignment="1">
      <alignment horizontal="center" vertical="center" wrapText="1" readingOrder="1"/>
    </xf>
    <xf numFmtId="0" fontId="39" fillId="13" borderId="11" xfId="0" applyFont="1" applyFill="1" applyBorder="1" applyAlignment="1">
      <alignment horizontal="center" vertical="center" wrapText="1" readingOrder="1"/>
    </xf>
    <xf numFmtId="0" fontId="39" fillId="13" borderId="12" xfId="0" applyFont="1" applyFill="1" applyBorder="1" applyAlignment="1">
      <alignment horizontal="center" vertical="center" wrapText="1" readingOrder="1"/>
    </xf>
    <xf numFmtId="0" fontId="39" fillId="13" borderId="13" xfId="0" applyFont="1" applyFill="1" applyBorder="1" applyAlignment="1">
      <alignment horizontal="center" vertical="center" wrapText="1" readingOrder="1"/>
    </xf>
    <xf numFmtId="0" fontId="39" fillId="13" borderId="14" xfId="0" applyFont="1" applyFill="1" applyBorder="1" applyAlignment="1">
      <alignment horizontal="center" vertical="center" wrapText="1" readingOrder="1"/>
    </xf>
    <xf numFmtId="0" fontId="39" fillId="13" borderId="0" xfId="0" applyFont="1" applyFill="1" applyAlignment="1">
      <alignment horizontal="center" vertical="center" wrapText="1" readingOrder="1"/>
    </xf>
    <xf numFmtId="0" fontId="39" fillId="13" borderId="15" xfId="0" applyFont="1" applyFill="1" applyBorder="1" applyAlignment="1">
      <alignment horizontal="center" vertical="center" wrapText="1" readingOrder="1"/>
    </xf>
    <xf numFmtId="0" fontId="39" fillId="13" borderId="16" xfId="0" applyFont="1" applyFill="1" applyBorder="1" applyAlignment="1">
      <alignment horizontal="center" vertical="center" wrapText="1" readingOrder="1"/>
    </xf>
    <xf numFmtId="0" fontId="39" fillId="13" borderId="17" xfId="0" applyFont="1" applyFill="1" applyBorder="1" applyAlignment="1">
      <alignment horizontal="center" vertical="center" wrapText="1" readingOrder="1"/>
    </xf>
    <xf numFmtId="0" fontId="39" fillId="13" borderId="18" xfId="0" applyFont="1" applyFill="1" applyBorder="1" applyAlignment="1">
      <alignment horizontal="center" vertical="center" wrapText="1" readingOrder="1"/>
    </xf>
    <xf numFmtId="0" fontId="40" fillId="0" borderId="10" xfId="0" applyFont="1" applyBorder="1" applyAlignment="1">
      <alignment horizontal="center" vertical="center" wrapText="1"/>
    </xf>
    <xf numFmtId="0" fontId="22" fillId="0" borderId="0" xfId="0" applyFont="1" applyAlignment="1">
      <alignment horizontal="center" vertical="center"/>
    </xf>
    <xf numFmtId="0" fontId="42" fillId="0" borderId="0" xfId="0" applyFont="1" applyAlignment="1">
      <alignment horizontal="center" vertical="center"/>
    </xf>
    <xf numFmtId="0" fontId="37" fillId="15" borderId="21" xfId="0" applyFont="1" applyFill="1" applyBorder="1" applyAlignment="1">
      <alignment horizontal="center" vertical="center" wrapText="1" readingOrder="1"/>
    </xf>
    <xf numFmtId="0" fontId="37" fillId="15" borderId="22" xfId="0" applyFont="1" applyFill="1" applyBorder="1" applyAlignment="1">
      <alignment horizontal="center" vertical="center" wrapText="1" readingOrder="1"/>
    </xf>
    <xf numFmtId="0" fontId="37" fillId="15" borderId="33" xfId="0" applyFont="1" applyFill="1" applyBorder="1" applyAlignment="1">
      <alignment horizontal="center" vertical="center" wrapText="1" readingOrder="1"/>
    </xf>
    <xf numFmtId="0" fontId="32" fillId="3" borderId="0" xfId="0" applyFont="1" applyFill="1" applyAlignment="1">
      <alignment horizontal="justify" vertical="center" wrapText="1"/>
    </xf>
    <xf numFmtId="0" fontId="34" fillId="15" borderId="30" xfId="0" applyFont="1" applyFill="1" applyBorder="1" applyAlignment="1">
      <alignment horizontal="center" vertical="center" wrapText="1" readingOrder="1"/>
    </xf>
    <xf numFmtId="0" fontId="34" fillId="15" borderId="31" xfId="0" applyFont="1" applyFill="1" applyBorder="1" applyAlignment="1">
      <alignment horizontal="center" vertical="center" wrapText="1" readingOrder="1"/>
    </xf>
    <xf numFmtId="0" fontId="34" fillId="3" borderId="28" xfId="0" applyFont="1" applyFill="1" applyBorder="1" applyAlignment="1">
      <alignment horizontal="center" vertical="center" wrapText="1" readingOrder="1"/>
    </xf>
    <xf numFmtId="0" fontId="34" fillId="3" borderId="23" xfId="0" applyFont="1" applyFill="1" applyBorder="1" applyAlignment="1">
      <alignment horizontal="center" vertical="center" wrapText="1" readingOrder="1"/>
    </xf>
    <xf numFmtId="0" fontId="34" fillId="3" borderId="20" xfId="0" applyFont="1" applyFill="1" applyBorder="1" applyAlignment="1">
      <alignment horizontal="center" vertical="center" wrapText="1" readingOrder="1"/>
    </xf>
    <xf numFmtId="0" fontId="34" fillId="3" borderId="19" xfId="0" applyFont="1" applyFill="1" applyBorder="1" applyAlignment="1">
      <alignment horizontal="center" vertical="center" wrapText="1" readingOrder="1"/>
    </xf>
    <xf numFmtId="0" fontId="34" fillId="3" borderId="25" xfId="0" applyFont="1" applyFill="1" applyBorder="1" applyAlignment="1">
      <alignment horizontal="center" vertical="center" wrapText="1" readingOrder="1"/>
    </xf>
    <xf numFmtId="0" fontId="34" fillId="3" borderId="26" xfId="0" applyFont="1" applyFill="1" applyBorder="1" applyAlignment="1">
      <alignment horizontal="center" vertical="center" wrapText="1" readingOrder="1"/>
    </xf>
    <xf numFmtId="14" fontId="56" fillId="3" borderId="67" xfId="0" applyNumberFormat="1" applyFont="1" applyFill="1" applyBorder="1" applyAlignment="1">
      <alignment horizontal="center" vertical="center" wrapText="1"/>
    </xf>
    <xf numFmtId="0" fontId="0" fillId="3" borderId="67" xfId="0" applyFill="1" applyBorder="1" applyAlignment="1">
      <alignment horizontal="left" vertical="center" wrapText="1"/>
    </xf>
    <xf numFmtId="14" fontId="68" fillId="3" borderId="67" xfId="0" applyNumberFormat="1" applyFont="1" applyFill="1" applyBorder="1" applyAlignment="1">
      <alignment horizontal="center" vertical="center" wrapText="1"/>
    </xf>
    <xf numFmtId="0" fontId="13" fillId="3" borderId="67" xfId="0" applyFont="1" applyFill="1" applyBorder="1" applyAlignment="1">
      <alignment horizontal="left" vertical="center" wrapText="1"/>
    </xf>
    <xf numFmtId="0" fontId="56" fillId="3" borderId="67" xfId="0" applyFont="1" applyFill="1" applyBorder="1" applyAlignment="1">
      <alignment horizontal="center" vertical="center" wrapText="1"/>
    </xf>
    <xf numFmtId="0" fontId="58" fillId="3" borderId="67" xfId="0" applyFont="1" applyFill="1" applyBorder="1" applyAlignment="1">
      <alignment horizontal="left" vertical="center" wrapText="1"/>
    </xf>
    <xf numFmtId="14" fontId="56" fillId="3" borderId="19" xfId="0" applyNumberFormat="1" applyFont="1" applyFill="1" applyBorder="1" applyAlignment="1" applyProtection="1">
      <alignment horizontal="center" vertical="center"/>
      <protection locked="0"/>
    </xf>
    <xf numFmtId="0" fontId="56" fillId="3" borderId="72" xfId="0" applyFont="1" applyFill="1" applyBorder="1" applyAlignment="1">
      <alignment horizontal="center" vertical="center" wrapText="1"/>
    </xf>
    <xf numFmtId="0" fontId="0" fillId="3" borderId="75" xfId="0" applyFill="1" applyBorder="1" applyAlignment="1">
      <alignment horizontal="center" vertical="center"/>
    </xf>
    <xf numFmtId="14" fontId="68" fillId="3" borderId="19" xfId="0" applyNumberFormat="1" applyFont="1" applyFill="1" applyBorder="1" applyAlignment="1">
      <alignment horizontal="center" vertical="center" wrapText="1"/>
    </xf>
    <xf numFmtId="0" fontId="56" fillId="3" borderId="72" xfId="0" applyFont="1" applyFill="1" applyBorder="1" applyAlignment="1">
      <alignment horizontal="left" vertical="center" wrapText="1"/>
    </xf>
    <xf numFmtId="0" fontId="56" fillId="3" borderId="73" xfId="0" applyFont="1" applyFill="1" applyBorder="1" applyAlignment="1">
      <alignment horizontal="center" vertical="center" wrapText="1"/>
    </xf>
    <xf numFmtId="0" fontId="0" fillId="3" borderId="76" xfId="0" applyFill="1" applyBorder="1" applyAlignment="1">
      <alignment horizontal="center" vertical="center"/>
    </xf>
    <xf numFmtId="0" fontId="56" fillId="3" borderId="73" xfId="0" applyFont="1" applyFill="1" applyBorder="1" applyAlignment="1">
      <alignment horizontal="left" vertical="center" wrapText="1"/>
    </xf>
    <xf numFmtId="0" fontId="56" fillId="3" borderId="74" xfId="0" applyFont="1" applyFill="1" applyBorder="1" applyAlignment="1">
      <alignment horizontal="center" vertical="center" wrapText="1"/>
    </xf>
    <xf numFmtId="0" fontId="0" fillId="3" borderId="77" xfId="0" applyFill="1" applyBorder="1" applyAlignment="1">
      <alignment horizontal="center" vertical="center"/>
    </xf>
    <xf numFmtId="0" fontId="56" fillId="3" borderId="74" xfId="0" applyFont="1" applyFill="1" applyBorder="1" applyAlignment="1">
      <alignment horizontal="left" vertical="center" wrapText="1"/>
    </xf>
  </cellXfs>
  <cellStyles count="5">
    <cellStyle name="Normal" xfId="0" builtinId="0"/>
    <cellStyle name="Normal - Style1 2" xfId="2" xr:uid="{00000000-0005-0000-0000-000001000000}"/>
    <cellStyle name="Normal 2" xfId="4" xr:uid="{00000000-0005-0000-0000-000002000000}"/>
    <cellStyle name="Normal 2 2" xfId="3" xr:uid="{00000000-0005-0000-0000-000003000000}"/>
    <cellStyle name="Porcentaje" xfId="1" builtinId="5"/>
  </cellStyles>
  <dxfs count="28">
    <dxf>
      <fill>
        <patternFill>
          <bgColor rgb="FF92D050"/>
        </patternFill>
      </fill>
    </dxf>
    <dxf>
      <fill>
        <patternFill>
          <bgColor rgb="FFFFFF00"/>
        </patternFill>
      </fill>
    </dxf>
    <dxf>
      <fill>
        <patternFill>
          <bgColor theme="9" tint="-0.24994659260841701"/>
        </patternFill>
      </fill>
    </dxf>
    <dxf>
      <fill>
        <patternFill>
          <bgColor rgb="FFC00000"/>
        </patternFill>
      </fill>
    </dxf>
    <dxf>
      <fill>
        <patternFill>
          <bgColor rgb="FF92D050"/>
        </patternFill>
      </fill>
    </dxf>
    <dxf>
      <fill>
        <patternFill>
          <bgColor rgb="FFFFFF00"/>
        </patternFill>
      </fill>
    </dxf>
    <dxf>
      <fill>
        <patternFill>
          <bgColor theme="9" tint="-0.24994659260841701"/>
        </patternFill>
      </fill>
    </dxf>
    <dxf>
      <fill>
        <patternFill>
          <bgColor rgb="FFC0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rgb="FF9C0006"/>
      </font>
      <fill>
        <patternFill>
          <bgColor rgb="FFFFC7CE"/>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color auto="1"/>
      </font>
      <fill>
        <patternFill>
          <bgColor rgb="FF92D050"/>
        </patternFill>
      </fill>
    </dxf>
    <dxf>
      <fill>
        <patternFill>
          <bgColor rgb="FF00B050"/>
        </patternFill>
      </fill>
    </dxf>
    <dxf>
      <fill>
        <patternFill>
          <bgColor rgb="FFFFFF66"/>
        </patternFill>
      </fill>
    </dxf>
    <dxf>
      <fill>
        <patternFill>
          <bgColor rgb="FFFFC000"/>
        </patternFill>
      </fill>
    </dxf>
    <dxf>
      <fill>
        <patternFill>
          <bgColor rgb="FFFF0000"/>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Calibri"/>
        <scheme val="minor"/>
      </font>
      <fill>
        <patternFill patternType="none">
          <fgColor indexed="64"/>
          <bgColor indexed="65"/>
        </patternFill>
      </fill>
    </dxf>
    <dxf>
      <font>
        <b val="0"/>
        <i val="0"/>
        <strike val="0"/>
        <condense val="0"/>
        <extend val="0"/>
        <outline val="0"/>
        <shadow val="0"/>
        <u val="none"/>
        <vertAlign val="baseline"/>
        <sz val="16"/>
        <color rgb="FFFF0000"/>
        <name val="Arial Narrow"/>
        <scheme val="none"/>
      </font>
      <fill>
        <patternFill patternType="none">
          <fgColor indexed="64"/>
          <bgColor indexed="65"/>
        </patternFill>
      </fill>
      <alignment horizontal="general" vertical="center" textRotation="0" wrapText="0" indent="0" justifyLastLine="0" shrinkToFit="0" readingOrder="0"/>
    </dxf>
  </dxfs>
  <tableStyles count="0" defaultTableStyle="TableStyleMedium2" defaultPivotStyle="PivotStyleLight16"/>
  <colors>
    <mruColors>
      <color rgb="FFFFFF66"/>
      <color rgb="FFFFCC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272142</xdr:colOff>
      <xdr:row>1</xdr:row>
      <xdr:rowOff>27215</xdr:rowOff>
    </xdr:from>
    <xdr:to>
      <xdr:col>2</xdr:col>
      <xdr:colOff>870491</xdr:colOff>
      <xdr:row>3</xdr:row>
      <xdr:rowOff>310009</xdr:rowOff>
    </xdr:to>
    <xdr:pic>
      <xdr:nvPicPr>
        <xdr:cNvPr id="3" name="Imagen 2">
          <a:extLst>
            <a:ext uri="{FF2B5EF4-FFF2-40B4-BE49-F238E27FC236}">
              <a16:creationId xmlns:a16="http://schemas.microsoft.com/office/drawing/2014/main" id="{39426843-E7FD-4F91-8966-6F1A644BC95B}"/>
            </a:ext>
          </a:extLst>
        </xdr:cNvPr>
        <xdr:cNvPicPr>
          <a:picLocks noChangeAspect="1"/>
        </xdr:cNvPicPr>
      </xdr:nvPicPr>
      <xdr:blipFill>
        <a:blip xmlns:r="http://schemas.openxmlformats.org/officeDocument/2006/relationships" r:embed="rId1"/>
        <a:stretch>
          <a:fillRect/>
        </a:stretch>
      </xdr:blipFill>
      <xdr:spPr>
        <a:xfrm>
          <a:off x="272142" y="231322"/>
          <a:ext cx="1809385" cy="69100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192.168.40.150\compartida\SGC%20CONCEJO%20CHIA%202025\6.%20Riesgos%20y%20oportunidades\Riesgos%20Relacionamiento%20con%20la%20Ciudadan&#237;a\MATRIZ%20MAPA%20DE%20RIESGOS%20-%20RELACI&#211;NAMIENTO%20CON%20LA%20CIUDADAN&#205;A%202024.xlsx" TargetMode="External"/><Relationship Id="rId1" Type="http://schemas.openxmlformats.org/officeDocument/2006/relationships/externalLinkPath" Target="file:///\\192.168.40.150\compartida\SGC%20CONCEJO%20CHIA%202025\6.%20Riesgos%20y%20oportunidades\Riesgos%20Relacionamiento%20con%20la%20Ciudadan&#237;a\MATRIZ%20MAPA%20DE%20RIESGOS%20-%20RELACI&#211;NAMIENTO%20CON%20LA%20CIUDADAN&#205;A%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uctivo"/>
      <sheetName val="Mapa final"/>
      <sheetName val="Matriz Calor Inherente"/>
      <sheetName val="Matriz Calor Residual"/>
      <sheetName val="Tabla probabilidad"/>
      <sheetName val="Tabla Impacto"/>
      <sheetName val="Tabla Valoración controles"/>
      <sheetName val="Opciones Tratamiento"/>
      <sheetName val="Hoja1"/>
    </sheetNames>
    <sheetDataSet>
      <sheetData sheetId="0"/>
      <sheetData sheetId="1"/>
      <sheetData sheetId="2"/>
      <sheetData sheetId="3"/>
      <sheetData sheetId="4"/>
      <sheetData sheetId="5">
        <row r="11">
          <cell r="C11" t="str">
            <v xml:space="preserve">     Afectación menor a 10 SMLMV .</v>
          </cell>
          <cell r="D11" t="str">
            <v xml:space="preserve">     El riesgo afecta la imagen de alguna área de la organización</v>
          </cell>
        </row>
        <row r="12">
          <cell r="C12" t="str">
            <v xml:space="preserve">     Entre 10 y 50 SMLMV </v>
          </cell>
          <cell r="D12" t="str">
            <v xml:space="preserve">     El riesgo afecta la imagen de la entidad internamente, de conocimiento general, nivel interno, de junta dircetiva y accionistas y/o de provedores</v>
          </cell>
        </row>
        <row r="13">
          <cell r="C13" t="str">
            <v xml:space="preserve">     Entre 50 y 100 SMLMV </v>
          </cell>
          <cell r="D13" t="str">
            <v xml:space="preserve">     El riesgo afecta la imagen de la entidad con algunos usuarios de relevancia frente al logro de los objetivos</v>
          </cell>
        </row>
        <row r="14">
          <cell r="C14" t="str">
            <v xml:space="preserve">     Entre 100 y 500 SMLMV </v>
          </cell>
          <cell r="D14" t="str">
            <v xml:space="preserve">     El riesgo afecta la imagen de de la entidad con efecto publicitario sostenido a nivel de sector administrativo, nivel departamental o municipal</v>
          </cell>
        </row>
        <row r="15">
          <cell r="C15" t="str">
            <v xml:space="preserve">     Mayor a 500 SMLMV </v>
          </cell>
          <cell r="D15" t="str">
            <v xml:space="preserve">     El riesgo afecta la imagen de la entidad a nivel nacional, con efecto publicitarios sostenible a nivel país</v>
          </cell>
        </row>
      </sheetData>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s Marin" refreshedDate="44186.276661689815" createdVersion="6" refreshedVersion="6" minRefreshableVersion="3" recordCount="10" xr:uid="{00000000-000A-0000-FFFF-FFFF04000000}">
  <cacheSource type="worksheet">
    <worksheetSource name="Tabla1"/>
  </cacheSource>
  <cacheFields count="2">
    <cacheField name="Criterios" numFmtId="0">
      <sharedItems count="2">
        <s v="Afectación Económica o presupuestal"/>
        <s v="Pérdida Reputacional"/>
      </sharedItems>
    </cacheField>
    <cacheField name="Subcriterios" numFmtId="0">
      <sharedItems count="10">
        <s v="Afectación menor a 10 SMLMV ."/>
        <s v="Entre 10 y 50 SMLMV "/>
        <s v="Entre 50 y 100 SMLMV "/>
        <s v="Entre 100 y 500 SMLMV "/>
        <s v="Mayor a 500 SMLMV "/>
        <s v="El riesgo afecta la imagen de alguna área de la organización"/>
        <s v="El riesgo afecta la imagen de la entidad internamente, de conocimiento general, nivel interno, de junta dircetiva y accionistas y/o de provedores"/>
        <s v="El riesgo afecta la imagen de la entidad con algunos usuarios de relevancia frente al logro de los objetivos"/>
        <s v="El riesgo afecta la imagen de de la entidad con efecto publicitario sostenido a nivel de sector administrativo, nivel departamental o municipal"/>
        <s v="El riesgo afecta la imagen de la entidad a nivel nacional, con efecto publicitarios sostenible a nivel paí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r>
  <r>
    <x v="0"/>
    <x v="1"/>
  </r>
  <r>
    <x v="0"/>
    <x v="2"/>
  </r>
  <r>
    <x v="0"/>
    <x v="3"/>
  </r>
  <r>
    <x v="0"/>
    <x v="4"/>
  </r>
  <r>
    <x v="1"/>
    <x v="5"/>
  </r>
  <r>
    <x v="1"/>
    <x v="6"/>
  </r>
  <r>
    <x v="1"/>
    <x v="7"/>
  </r>
  <r>
    <x v="1"/>
    <x v="8"/>
  </r>
  <r>
    <x v="1"/>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TablaDinámica1" cacheId="0" applyNumberFormats="0" applyBorderFormats="0" applyFontFormats="0" applyPatternFormats="0" applyAlignmentFormats="0" applyWidthHeightFormats="1" dataCaption="Valores" updatedVersion="6" minRefreshableVersion="3" useAutoFormatting="1" rowGrandTotals="0" colGrandTotals="0" itemPrintTitles="1" createdVersion="6" indent="0" compact="0" outline="1" outlineData="1" compactData="0" multipleFieldFilters="0">
  <location ref="D209:E221" firstHeaderRow="1" firstDataRow="1" firstDataCol="2"/>
  <pivotFields count="2">
    <pivotField axis="axisRow" compact="0" showAll="0" defaultSubtotal="0">
      <items count="2">
        <item x="0"/>
        <item x="1"/>
      </items>
    </pivotField>
    <pivotField axis="axisRow" compact="0" showAll="0" defaultSubtotal="0">
      <items count="10">
        <item x="0"/>
        <item x="5"/>
        <item n="El riesgo afecta la imagen de la entidad internamente, de conocimiento general, nivel interno, mesa directiva y/o de provedores" x="6"/>
        <item x="7"/>
        <item x="8"/>
        <item x="9"/>
        <item x="1"/>
        <item x="2"/>
        <item x="3"/>
        <item x="4"/>
      </items>
    </pivotField>
  </pivotFields>
  <rowFields count="2">
    <field x="0"/>
    <field x="1"/>
  </rowFields>
  <rowItems count="12">
    <i>
      <x/>
    </i>
    <i r="1">
      <x/>
    </i>
    <i r="1">
      <x v="6"/>
    </i>
    <i r="1">
      <x v="7"/>
    </i>
    <i r="1">
      <x v="8"/>
    </i>
    <i r="1">
      <x v="9"/>
    </i>
    <i>
      <x v="1"/>
    </i>
    <i r="1">
      <x v="1"/>
    </i>
    <i r="1">
      <x v="2"/>
    </i>
    <i r="1">
      <x v="3"/>
    </i>
    <i r="1">
      <x v="4"/>
    </i>
    <i r="1">
      <x v="5"/>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1" displayName="Tabla1" ref="B209:C219" totalsRowShown="0" headerRowDxfId="27" dataDxfId="26">
  <autoFilter ref="B209:C219" xr:uid="{00000000-0009-0000-0100-000001000000}"/>
  <tableColumns count="2">
    <tableColumn id="1" xr3:uid="{00000000-0010-0000-0000-000001000000}" name="Criterios" dataDxfId="25"/>
    <tableColumn id="2" xr3:uid="{00000000-0010-0000-0000-000002000000}" name="Subcriterios" dataDxfId="24"/>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5"/>
  <sheetViews>
    <sheetView zoomScale="110" zoomScaleNormal="110" workbookViewId="0">
      <selection activeCell="B4" sqref="B4:H5"/>
    </sheetView>
  </sheetViews>
  <sheetFormatPr baseColWidth="10" defaultColWidth="11.42578125" defaultRowHeight="15" x14ac:dyDescent="0.25"/>
  <cols>
    <col min="1" max="1" width="2.85546875" style="69" customWidth="1" collapsed="1"/>
    <col min="2" max="3" width="24.7109375" style="69" customWidth="1" collapsed="1"/>
    <col min="4" max="4" width="16" style="69" customWidth="1" collapsed="1"/>
    <col min="5" max="5" width="24.7109375" style="69" customWidth="1" collapsed="1"/>
    <col min="6" max="6" width="27.7109375" style="69" customWidth="1" collapsed="1"/>
    <col min="7" max="8" width="24.7109375" style="69" customWidth="1" collapsed="1"/>
    <col min="9" max="16384" width="11.42578125" style="69" collapsed="1"/>
  </cols>
  <sheetData>
    <row r="1" spans="2:8" ht="15.75" thickBot="1" x14ac:dyDescent="0.3"/>
    <row r="2" spans="2:8" ht="18" x14ac:dyDescent="0.25">
      <c r="B2" s="163" t="s">
        <v>164</v>
      </c>
      <c r="C2" s="164"/>
      <c r="D2" s="164"/>
      <c r="E2" s="164"/>
      <c r="F2" s="164"/>
      <c r="G2" s="164"/>
      <c r="H2" s="165"/>
    </row>
    <row r="3" spans="2:8" x14ac:dyDescent="0.25">
      <c r="B3" s="70"/>
      <c r="C3" s="71"/>
      <c r="D3" s="71"/>
      <c r="E3" s="71"/>
      <c r="F3" s="71"/>
      <c r="G3" s="71"/>
      <c r="H3" s="72"/>
    </row>
    <row r="4" spans="2:8" ht="63" customHeight="1" x14ac:dyDescent="0.25">
      <c r="B4" s="166" t="s">
        <v>207</v>
      </c>
      <c r="C4" s="167"/>
      <c r="D4" s="167"/>
      <c r="E4" s="167"/>
      <c r="F4" s="167"/>
      <c r="G4" s="167"/>
      <c r="H4" s="168"/>
    </row>
    <row r="5" spans="2:8" ht="63" customHeight="1" x14ac:dyDescent="0.25">
      <c r="B5" s="169"/>
      <c r="C5" s="170"/>
      <c r="D5" s="170"/>
      <c r="E5" s="170"/>
      <c r="F5" s="170"/>
      <c r="G5" s="170"/>
      <c r="H5" s="171"/>
    </row>
    <row r="6" spans="2:8" ht="16.5" x14ac:dyDescent="0.25">
      <c r="B6" s="172" t="s">
        <v>162</v>
      </c>
      <c r="C6" s="173"/>
      <c r="D6" s="173"/>
      <c r="E6" s="173"/>
      <c r="F6" s="173"/>
      <c r="G6" s="173"/>
      <c r="H6" s="174"/>
    </row>
    <row r="7" spans="2:8" ht="95.25" customHeight="1" x14ac:dyDescent="0.25">
      <c r="B7" s="182" t="s">
        <v>167</v>
      </c>
      <c r="C7" s="183"/>
      <c r="D7" s="183"/>
      <c r="E7" s="183"/>
      <c r="F7" s="183"/>
      <c r="G7" s="183"/>
      <c r="H7" s="184"/>
    </row>
    <row r="8" spans="2:8" ht="16.5" x14ac:dyDescent="0.25">
      <c r="B8" s="106"/>
      <c r="C8" s="107"/>
      <c r="D8" s="107"/>
      <c r="E8" s="107"/>
      <c r="F8" s="107"/>
      <c r="G8" s="107"/>
      <c r="H8" s="108"/>
    </row>
    <row r="9" spans="2:8" ht="16.5" customHeight="1" x14ac:dyDescent="0.25">
      <c r="B9" s="175" t="s">
        <v>200</v>
      </c>
      <c r="C9" s="176"/>
      <c r="D9" s="176"/>
      <c r="E9" s="176"/>
      <c r="F9" s="176"/>
      <c r="G9" s="176"/>
      <c r="H9" s="177"/>
    </row>
    <row r="10" spans="2:8" ht="44.25" customHeight="1" x14ac:dyDescent="0.25">
      <c r="B10" s="175"/>
      <c r="C10" s="176"/>
      <c r="D10" s="176"/>
      <c r="E10" s="176"/>
      <c r="F10" s="176"/>
      <c r="G10" s="176"/>
      <c r="H10" s="177"/>
    </row>
    <row r="11" spans="2:8" ht="15.75" thickBot="1" x14ac:dyDescent="0.3">
      <c r="B11" s="95"/>
      <c r="C11" s="98"/>
      <c r="D11" s="103"/>
      <c r="E11" s="104"/>
      <c r="F11" s="104"/>
      <c r="G11" s="105"/>
      <c r="H11" s="99"/>
    </row>
    <row r="12" spans="2:8" ht="15.75" thickTop="1" x14ac:dyDescent="0.25">
      <c r="B12" s="95"/>
      <c r="C12" s="178" t="s">
        <v>163</v>
      </c>
      <c r="D12" s="179"/>
      <c r="E12" s="180" t="s">
        <v>201</v>
      </c>
      <c r="F12" s="181"/>
      <c r="G12" s="98"/>
      <c r="H12" s="99"/>
    </row>
    <row r="13" spans="2:8" ht="35.25" customHeight="1" x14ac:dyDescent="0.25">
      <c r="B13" s="95"/>
      <c r="C13" s="150" t="s">
        <v>194</v>
      </c>
      <c r="D13" s="151"/>
      <c r="E13" s="152" t="s">
        <v>199</v>
      </c>
      <c r="F13" s="153"/>
      <c r="G13" s="98"/>
      <c r="H13" s="99"/>
    </row>
    <row r="14" spans="2:8" ht="17.25" customHeight="1" x14ac:dyDescent="0.25">
      <c r="B14" s="95"/>
      <c r="C14" s="150" t="s">
        <v>195</v>
      </c>
      <c r="D14" s="151"/>
      <c r="E14" s="152" t="s">
        <v>197</v>
      </c>
      <c r="F14" s="153"/>
      <c r="G14" s="98"/>
      <c r="H14" s="99"/>
    </row>
    <row r="15" spans="2:8" ht="19.5" customHeight="1" x14ac:dyDescent="0.25">
      <c r="B15" s="95"/>
      <c r="C15" s="150" t="s">
        <v>196</v>
      </c>
      <c r="D15" s="151"/>
      <c r="E15" s="152" t="s">
        <v>198</v>
      </c>
      <c r="F15" s="153"/>
      <c r="G15" s="98"/>
      <c r="H15" s="99"/>
    </row>
    <row r="16" spans="2:8" ht="69.75" customHeight="1" x14ac:dyDescent="0.25">
      <c r="B16" s="95"/>
      <c r="C16" s="150" t="s">
        <v>165</v>
      </c>
      <c r="D16" s="151"/>
      <c r="E16" s="152" t="s">
        <v>166</v>
      </c>
      <c r="F16" s="153"/>
      <c r="G16" s="98"/>
      <c r="H16" s="99"/>
    </row>
    <row r="17" spans="2:8" ht="34.5" customHeight="1" x14ac:dyDescent="0.25">
      <c r="B17" s="95"/>
      <c r="C17" s="154" t="s">
        <v>2</v>
      </c>
      <c r="D17" s="155"/>
      <c r="E17" s="146" t="s">
        <v>208</v>
      </c>
      <c r="F17" s="147"/>
      <c r="G17" s="98"/>
      <c r="H17" s="99"/>
    </row>
    <row r="18" spans="2:8" ht="27.75" customHeight="1" x14ac:dyDescent="0.25">
      <c r="B18" s="95"/>
      <c r="C18" s="154" t="s">
        <v>3</v>
      </c>
      <c r="D18" s="155"/>
      <c r="E18" s="146" t="s">
        <v>209</v>
      </c>
      <c r="F18" s="147"/>
      <c r="G18" s="98"/>
      <c r="H18" s="99"/>
    </row>
    <row r="19" spans="2:8" ht="28.5" customHeight="1" x14ac:dyDescent="0.25">
      <c r="B19" s="95"/>
      <c r="C19" s="154" t="s">
        <v>42</v>
      </c>
      <c r="D19" s="155"/>
      <c r="E19" s="146" t="s">
        <v>210</v>
      </c>
      <c r="F19" s="147"/>
      <c r="G19" s="98"/>
      <c r="H19" s="99"/>
    </row>
    <row r="20" spans="2:8" ht="72.75" customHeight="1" x14ac:dyDescent="0.25">
      <c r="B20" s="95"/>
      <c r="C20" s="154" t="s">
        <v>1</v>
      </c>
      <c r="D20" s="155"/>
      <c r="E20" s="146" t="s">
        <v>211</v>
      </c>
      <c r="F20" s="147"/>
      <c r="G20" s="98"/>
      <c r="H20" s="99"/>
    </row>
    <row r="21" spans="2:8" ht="64.5" customHeight="1" x14ac:dyDescent="0.25">
      <c r="B21" s="95"/>
      <c r="C21" s="154" t="s">
        <v>50</v>
      </c>
      <c r="D21" s="155"/>
      <c r="E21" s="146" t="s">
        <v>169</v>
      </c>
      <c r="F21" s="147"/>
      <c r="G21" s="98"/>
      <c r="H21" s="99"/>
    </row>
    <row r="22" spans="2:8" ht="71.25" customHeight="1" x14ac:dyDescent="0.25">
      <c r="B22" s="95"/>
      <c r="C22" s="154" t="s">
        <v>168</v>
      </c>
      <c r="D22" s="155"/>
      <c r="E22" s="146" t="s">
        <v>170</v>
      </c>
      <c r="F22" s="147"/>
      <c r="G22" s="98"/>
      <c r="H22" s="99"/>
    </row>
    <row r="23" spans="2:8" ht="55.5" customHeight="1" x14ac:dyDescent="0.25">
      <c r="B23" s="95"/>
      <c r="C23" s="148" t="s">
        <v>171</v>
      </c>
      <c r="D23" s="149"/>
      <c r="E23" s="146" t="s">
        <v>172</v>
      </c>
      <c r="F23" s="147"/>
      <c r="G23" s="98"/>
      <c r="H23" s="99"/>
    </row>
    <row r="24" spans="2:8" ht="42" customHeight="1" x14ac:dyDescent="0.25">
      <c r="B24" s="95"/>
      <c r="C24" s="148" t="s">
        <v>48</v>
      </c>
      <c r="D24" s="149"/>
      <c r="E24" s="146" t="s">
        <v>173</v>
      </c>
      <c r="F24" s="147"/>
      <c r="G24" s="98"/>
      <c r="H24" s="99"/>
    </row>
    <row r="25" spans="2:8" ht="59.25" customHeight="1" x14ac:dyDescent="0.25">
      <c r="B25" s="95"/>
      <c r="C25" s="148" t="s">
        <v>161</v>
      </c>
      <c r="D25" s="149"/>
      <c r="E25" s="146" t="s">
        <v>174</v>
      </c>
      <c r="F25" s="147"/>
      <c r="G25" s="98"/>
      <c r="H25" s="99"/>
    </row>
    <row r="26" spans="2:8" ht="23.25" customHeight="1" x14ac:dyDescent="0.25">
      <c r="B26" s="95"/>
      <c r="C26" s="148" t="s">
        <v>12</v>
      </c>
      <c r="D26" s="149"/>
      <c r="E26" s="146" t="s">
        <v>175</v>
      </c>
      <c r="F26" s="147"/>
      <c r="G26" s="98"/>
      <c r="H26" s="99"/>
    </row>
    <row r="27" spans="2:8" ht="30.75" customHeight="1" x14ac:dyDescent="0.25">
      <c r="B27" s="95"/>
      <c r="C27" s="148" t="s">
        <v>179</v>
      </c>
      <c r="D27" s="149"/>
      <c r="E27" s="146" t="s">
        <v>176</v>
      </c>
      <c r="F27" s="147"/>
      <c r="G27" s="98"/>
      <c r="H27" s="99"/>
    </row>
    <row r="28" spans="2:8" ht="35.25" customHeight="1" x14ac:dyDescent="0.25">
      <c r="B28" s="95"/>
      <c r="C28" s="148" t="s">
        <v>180</v>
      </c>
      <c r="D28" s="149"/>
      <c r="E28" s="146" t="s">
        <v>177</v>
      </c>
      <c r="F28" s="147"/>
      <c r="G28" s="98"/>
      <c r="H28" s="99"/>
    </row>
    <row r="29" spans="2:8" ht="33" customHeight="1" x14ac:dyDescent="0.25">
      <c r="B29" s="95"/>
      <c r="C29" s="148" t="s">
        <v>180</v>
      </c>
      <c r="D29" s="149"/>
      <c r="E29" s="146" t="s">
        <v>177</v>
      </c>
      <c r="F29" s="147"/>
      <c r="G29" s="98"/>
      <c r="H29" s="99"/>
    </row>
    <row r="30" spans="2:8" ht="30" customHeight="1" x14ac:dyDescent="0.25">
      <c r="B30" s="95"/>
      <c r="C30" s="148" t="s">
        <v>181</v>
      </c>
      <c r="D30" s="149"/>
      <c r="E30" s="146" t="s">
        <v>178</v>
      </c>
      <c r="F30" s="147"/>
      <c r="G30" s="98"/>
      <c r="H30" s="99"/>
    </row>
    <row r="31" spans="2:8" ht="35.25" customHeight="1" x14ac:dyDescent="0.25">
      <c r="B31" s="95"/>
      <c r="C31" s="148" t="s">
        <v>182</v>
      </c>
      <c r="D31" s="149"/>
      <c r="E31" s="146" t="s">
        <v>183</v>
      </c>
      <c r="F31" s="147"/>
      <c r="G31" s="98"/>
      <c r="H31" s="99"/>
    </row>
    <row r="32" spans="2:8" ht="31.5" customHeight="1" x14ac:dyDescent="0.25">
      <c r="B32" s="95"/>
      <c r="C32" s="148" t="s">
        <v>184</v>
      </c>
      <c r="D32" s="149"/>
      <c r="E32" s="146" t="s">
        <v>185</v>
      </c>
      <c r="F32" s="147"/>
      <c r="G32" s="98"/>
      <c r="H32" s="99"/>
    </row>
    <row r="33" spans="2:8" ht="35.25" customHeight="1" x14ac:dyDescent="0.25">
      <c r="B33" s="95"/>
      <c r="C33" s="148" t="s">
        <v>186</v>
      </c>
      <c r="D33" s="149"/>
      <c r="E33" s="146" t="s">
        <v>187</v>
      </c>
      <c r="F33" s="147"/>
      <c r="G33" s="98"/>
      <c r="H33" s="99"/>
    </row>
    <row r="34" spans="2:8" ht="59.25" customHeight="1" x14ac:dyDescent="0.25">
      <c r="B34" s="95"/>
      <c r="C34" s="148" t="s">
        <v>188</v>
      </c>
      <c r="D34" s="149"/>
      <c r="E34" s="146" t="s">
        <v>189</v>
      </c>
      <c r="F34" s="147"/>
      <c r="G34" s="98"/>
      <c r="H34" s="99"/>
    </row>
    <row r="35" spans="2:8" ht="29.25" customHeight="1" x14ac:dyDescent="0.25">
      <c r="B35" s="95"/>
      <c r="C35" s="148" t="s">
        <v>29</v>
      </c>
      <c r="D35" s="149"/>
      <c r="E35" s="146" t="s">
        <v>190</v>
      </c>
      <c r="F35" s="147"/>
      <c r="G35" s="98"/>
      <c r="H35" s="99"/>
    </row>
    <row r="36" spans="2:8" ht="82.5" customHeight="1" x14ac:dyDescent="0.25">
      <c r="B36" s="95"/>
      <c r="C36" s="148" t="s">
        <v>192</v>
      </c>
      <c r="D36" s="149"/>
      <c r="E36" s="146" t="s">
        <v>191</v>
      </c>
      <c r="F36" s="147"/>
      <c r="G36" s="98"/>
      <c r="H36" s="99"/>
    </row>
    <row r="37" spans="2:8" ht="46.5" customHeight="1" x14ac:dyDescent="0.25">
      <c r="B37" s="95"/>
      <c r="C37" s="148" t="s">
        <v>39</v>
      </c>
      <c r="D37" s="149"/>
      <c r="E37" s="146" t="s">
        <v>193</v>
      </c>
      <c r="F37" s="147"/>
      <c r="G37" s="98"/>
      <c r="H37" s="99"/>
    </row>
    <row r="38" spans="2:8" ht="6.75" customHeight="1" thickBot="1" x14ac:dyDescent="0.3">
      <c r="B38" s="95"/>
      <c r="C38" s="159"/>
      <c r="D38" s="160"/>
      <c r="E38" s="161"/>
      <c r="F38" s="162"/>
      <c r="G38" s="98"/>
      <c r="H38" s="99"/>
    </row>
    <row r="39" spans="2:8" ht="15.75" thickTop="1" x14ac:dyDescent="0.25">
      <c r="B39" s="95"/>
      <c r="C39" s="96"/>
      <c r="D39" s="96"/>
      <c r="E39" s="97"/>
      <c r="F39" s="97"/>
      <c r="G39" s="98"/>
      <c r="H39" s="99"/>
    </row>
    <row r="40" spans="2:8" ht="21" customHeight="1" x14ac:dyDescent="0.25">
      <c r="B40" s="156" t="s">
        <v>202</v>
      </c>
      <c r="C40" s="157"/>
      <c r="D40" s="157"/>
      <c r="E40" s="157"/>
      <c r="F40" s="157"/>
      <c r="G40" s="157"/>
      <c r="H40" s="158"/>
    </row>
    <row r="41" spans="2:8" ht="20.25" customHeight="1" x14ac:dyDescent="0.25">
      <c r="B41" s="156" t="s">
        <v>203</v>
      </c>
      <c r="C41" s="157"/>
      <c r="D41" s="157"/>
      <c r="E41" s="157"/>
      <c r="F41" s="157"/>
      <c r="G41" s="157"/>
      <c r="H41" s="158"/>
    </row>
    <row r="42" spans="2:8" ht="20.25" customHeight="1" x14ac:dyDescent="0.25">
      <c r="B42" s="156" t="s">
        <v>204</v>
      </c>
      <c r="C42" s="157"/>
      <c r="D42" s="157"/>
      <c r="E42" s="157"/>
      <c r="F42" s="157"/>
      <c r="G42" s="157"/>
      <c r="H42" s="158"/>
    </row>
    <row r="43" spans="2:8" ht="20.25" customHeight="1" x14ac:dyDescent="0.25">
      <c r="B43" s="156" t="s">
        <v>205</v>
      </c>
      <c r="C43" s="157"/>
      <c r="D43" s="157"/>
      <c r="E43" s="157"/>
      <c r="F43" s="157"/>
      <c r="G43" s="157"/>
      <c r="H43" s="158"/>
    </row>
    <row r="44" spans="2:8" x14ac:dyDescent="0.25">
      <c r="B44" s="156" t="s">
        <v>206</v>
      </c>
      <c r="C44" s="157"/>
      <c r="D44" s="157"/>
      <c r="E44" s="157"/>
      <c r="F44" s="157"/>
      <c r="G44" s="157"/>
      <c r="H44" s="158"/>
    </row>
    <row r="45" spans="2:8" ht="15.75" thickBot="1" x14ac:dyDescent="0.3">
      <c r="B45" s="100"/>
      <c r="C45" s="101"/>
      <c r="D45" s="101"/>
      <c r="E45" s="101"/>
      <c r="F45" s="101"/>
      <c r="G45" s="101"/>
      <c r="H45" s="102"/>
    </row>
  </sheetData>
  <mergeCells count="64">
    <mergeCell ref="B2:H2"/>
    <mergeCell ref="B4:H5"/>
    <mergeCell ref="B6:H6"/>
    <mergeCell ref="B9:H10"/>
    <mergeCell ref="C12:D12"/>
    <mergeCell ref="E12:F12"/>
    <mergeCell ref="B7:H7"/>
    <mergeCell ref="C13:D13"/>
    <mergeCell ref="E13:F13"/>
    <mergeCell ref="C17:D17"/>
    <mergeCell ref="E17:F17"/>
    <mergeCell ref="C21:D21"/>
    <mergeCell ref="C18:D18"/>
    <mergeCell ref="C19:D19"/>
    <mergeCell ref="C20:D20"/>
    <mergeCell ref="E18:F18"/>
    <mergeCell ref="E19:F19"/>
    <mergeCell ref="E20:F20"/>
    <mergeCell ref="E21:F21"/>
    <mergeCell ref="B42:H42"/>
    <mergeCell ref="B43:H43"/>
    <mergeCell ref="B44:H44"/>
    <mergeCell ref="E23:F23"/>
    <mergeCell ref="C23:D23"/>
    <mergeCell ref="C24:D24"/>
    <mergeCell ref="E24:F24"/>
    <mergeCell ref="C26:D26"/>
    <mergeCell ref="E26:F26"/>
    <mergeCell ref="E34:F34"/>
    <mergeCell ref="C32:D32"/>
    <mergeCell ref="C31:D31"/>
    <mergeCell ref="E31:F31"/>
    <mergeCell ref="E32:F32"/>
    <mergeCell ref="C27:D27"/>
    <mergeCell ref="E27:F27"/>
    <mergeCell ref="C33:D33"/>
    <mergeCell ref="B40:H40"/>
    <mergeCell ref="C29:D29"/>
    <mergeCell ref="E29:F29"/>
    <mergeCell ref="C30:D30"/>
    <mergeCell ref="E30:F30"/>
    <mergeCell ref="E33:F33"/>
    <mergeCell ref="C34:D34"/>
    <mergeCell ref="C35:D35"/>
    <mergeCell ref="E35:F35"/>
    <mergeCell ref="C36:D36"/>
    <mergeCell ref="E36:F36"/>
    <mergeCell ref="B41:H41"/>
    <mergeCell ref="C38:D38"/>
    <mergeCell ref="E38:F38"/>
    <mergeCell ref="C37:D37"/>
    <mergeCell ref="E37:F37"/>
    <mergeCell ref="E28:F28"/>
    <mergeCell ref="C28:D28"/>
    <mergeCell ref="C16:D16"/>
    <mergeCell ref="E16:F16"/>
    <mergeCell ref="C14:D14"/>
    <mergeCell ref="E14:F14"/>
    <mergeCell ref="C15:D15"/>
    <mergeCell ref="E15:F15"/>
    <mergeCell ref="E22:F22"/>
    <mergeCell ref="C22:D22"/>
    <mergeCell ref="C25:D25"/>
    <mergeCell ref="E25:F2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2060"/>
  </sheetPr>
  <dimension ref="A1:BY25"/>
  <sheetViews>
    <sheetView showGridLines="0" tabSelected="1" topLeftCell="Q13" zoomScale="60" zoomScaleNormal="60" workbookViewId="0">
      <selection activeCell="AO15" sqref="AO15"/>
    </sheetView>
  </sheetViews>
  <sheetFormatPr baseColWidth="10" defaultColWidth="11.42578125" defaultRowHeight="15" x14ac:dyDescent="0.25"/>
  <cols>
    <col min="1" max="1" width="4" style="114" bestFit="1" customWidth="1" collapsed="1"/>
    <col min="2" max="2" width="14.140625" style="114" customWidth="1" collapsed="1"/>
    <col min="3" max="3" width="17.28515625" style="114" customWidth="1" collapsed="1"/>
    <col min="4" max="4" width="23.140625" style="114" customWidth="1" collapsed="1"/>
    <col min="5" max="5" width="32.42578125" style="110" customWidth="1" collapsed="1"/>
    <col min="6" max="6" width="19" style="115" customWidth="1" collapsed="1"/>
    <col min="7" max="7" width="17.85546875" style="110" customWidth="1" collapsed="1"/>
    <col min="8" max="8" width="22.28515625" style="110" customWidth="1" collapsed="1"/>
    <col min="9" max="9" width="10.140625" style="110" customWidth="1" collapsed="1"/>
    <col min="10" max="10" width="27.28515625" style="110" customWidth="1" collapsed="1"/>
    <col min="11" max="11" width="30.5703125" style="110" customWidth="1" collapsed="1"/>
    <col min="12" max="12" width="17.5703125" style="110" customWidth="1" collapsed="1"/>
    <col min="13" max="13" width="6.28515625" style="110" customWidth="1" collapsed="1"/>
    <col min="14" max="14" width="16" style="110" customWidth="1" collapsed="1"/>
    <col min="15" max="15" width="5.85546875" style="110" customWidth="1" collapsed="1"/>
    <col min="16" max="16" width="31" style="110" customWidth="1" collapsed="1"/>
    <col min="17" max="17" width="15.140625" style="110" customWidth="1" collapsed="1"/>
    <col min="18" max="18" width="6.85546875" style="110" customWidth="1" collapsed="1"/>
    <col min="19" max="19" width="5" style="110" customWidth="1" collapsed="1"/>
    <col min="20" max="20" width="5.5703125" style="110" customWidth="1" collapsed="1"/>
    <col min="21" max="21" width="7.140625" style="110" customWidth="1" collapsed="1"/>
    <col min="22" max="22" width="6.7109375" style="110" customWidth="1" collapsed="1"/>
    <col min="23" max="23" width="7.5703125" style="110" customWidth="1" collapsed="1"/>
    <col min="24" max="24" width="38.28515625" style="110" customWidth="1" collapsed="1"/>
    <col min="25" max="25" width="8.7109375" style="110" customWidth="1" collapsed="1"/>
    <col min="26" max="26" width="10.42578125" style="110" customWidth="1" collapsed="1"/>
    <col min="27" max="27" width="9.28515625" style="110" customWidth="1" collapsed="1"/>
    <col min="28" max="28" width="9.140625" style="110" customWidth="1" collapsed="1"/>
    <col min="29" max="29" width="8.42578125" style="110" customWidth="1" collapsed="1"/>
    <col min="30" max="30" width="7.28515625" style="110" customWidth="1" collapsed="1"/>
    <col min="31" max="31" width="23" style="110" customWidth="1" collapsed="1"/>
    <col min="32" max="32" width="18.85546875" style="110" customWidth="1" collapsed="1"/>
    <col min="33" max="33" width="19.42578125" style="110" customWidth="1" collapsed="1"/>
    <col min="34" max="34" width="20.85546875" customWidth="1"/>
    <col min="35" max="35" width="29.42578125" customWidth="1"/>
    <col min="36" max="36" width="21" customWidth="1"/>
    <col min="37" max="37" width="23.85546875" bestFit="1" customWidth="1"/>
    <col min="38" max="38" width="31.85546875" customWidth="1"/>
    <col min="39" max="39" width="21" customWidth="1"/>
    <col min="40" max="40" width="16.85546875" customWidth="1"/>
    <col min="41" max="41" width="38" customWidth="1"/>
    <col min="42" max="42" width="18.5703125" customWidth="1"/>
    <col min="43" max="74" width="11.42578125" style="110" collapsed="1"/>
    <col min="75" max="77" width="11.42578125" style="110"/>
    <col min="78" max="16384" width="11.42578125" style="110" collapsed="1"/>
  </cols>
  <sheetData>
    <row r="1" spans="1:74" ht="16.5" customHeight="1" x14ac:dyDescent="0.2">
      <c r="A1" s="238"/>
      <c r="B1" s="238"/>
      <c r="C1" s="238"/>
      <c r="D1" s="239" t="s">
        <v>213</v>
      </c>
      <c r="E1" s="239"/>
      <c r="F1" s="239"/>
      <c r="G1" s="239"/>
      <c r="H1" s="239"/>
      <c r="I1" s="239"/>
      <c r="J1" s="239"/>
      <c r="K1" s="239"/>
      <c r="L1" s="239"/>
      <c r="M1" s="239"/>
      <c r="N1" s="239"/>
      <c r="O1" s="128"/>
      <c r="P1" s="128"/>
      <c r="Q1" s="128"/>
      <c r="R1" s="128"/>
      <c r="S1" s="128"/>
      <c r="T1" s="128"/>
      <c r="U1" s="128"/>
      <c r="V1" s="128"/>
      <c r="W1" s="128"/>
      <c r="X1" s="128"/>
      <c r="Y1" s="128"/>
      <c r="Z1" s="128"/>
      <c r="AA1" s="128"/>
      <c r="AB1" s="128"/>
      <c r="AC1" s="128"/>
      <c r="AD1" s="128"/>
      <c r="AE1" s="128"/>
      <c r="AF1" s="128"/>
      <c r="AG1" s="128"/>
      <c r="AH1" s="135"/>
      <c r="AI1" s="135"/>
      <c r="AJ1" s="135"/>
      <c r="AK1" s="135"/>
      <c r="AL1" s="135"/>
      <c r="AM1" s="135"/>
      <c r="AN1" s="135"/>
      <c r="AO1" s="135"/>
      <c r="AP1" s="135"/>
      <c r="AQ1" s="109"/>
      <c r="AR1" s="109"/>
      <c r="AS1" s="109"/>
      <c r="AT1" s="109"/>
      <c r="AU1" s="109"/>
      <c r="AV1" s="109"/>
      <c r="AW1" s="109"/>
      <c r="AX1" s="109"/>
      <c r="AY1" s="109"/>
      <c r="AZ1" s="109"/>
      <c r="BA1" s="109"/>
      <c r="BB1" s="109"/>
      <c r="BC1" s="109"/>
      <c r="BD1" s="109"/>
      <c r="BE1" s="109"/>
      <c r="BF1" s="109"/>
      <c r="BG1" s="109"/>
      <c r="BH1" s="109"/>
      <c r="BI1" s="109"/>
      <c r="BJ1" s="109"/>
      <c r="BK1" s="109"/>
      <c r="BL1" s="109"/>
      <c r="BM1" s="109"/>
      <c r="BN1" s="109"/>
      <c r="BO1" s="109"/>
      <c r="BP1" s="109"/>
      <c r="BQ1" s="109"/>
      <c r="BR1" s="109"/>
      <c r="BS1" s="109"/>
      <c r="BT1" s="109"/>
      <c r="BU1" s="109"/>
      <c r="BV1" s="109"/>
    </row>
    <row r="2" spans="1:74" ht="16.5" customHeight="1" x14ac:dyDescent="0.2">
      <c r="A2" s="238"/>
      <c r="B2" s="238"/>
      <c r="C2" s="238"/>
      <c r="D2" s="239"/>
      <c r="E2" s="239"/>
      <c r="F2" s="239"/>
      <c r="G2" s="239"/>
      <c r="H2" s="239"/>
      <c r="I2" s="239"/>
      <c r="J2" s="239"/>
      <c r="K2" s="239"/>
      <c r="L2" s="239"/>
      <c r="M2" s="239"/>
      <c r="N2" s="239"/>
      <c r="O2" s="128"/>
      <c r="P2" s="128"/>
      <c r="Q2" s="128"/>
      <c r="R2" s="128"/>
      <c r="S2" s="128"/>
      <c r="T2" s="128"/>
      <c r="U2" s="128"/>
      <c r="V2" s="128"/>
      <c r="W2" s="128"/>
      <c r="X2" s="128"/>
      <c r="Y2" s="128"/>
      <c r="Z2" s="128"/>
      <c r="AA2" s="128"/>
      <c r="AB2" s="128"/>
      <c r="AC2" s="128"/>
      <c r="AD2" s="128"/>
      <c r="AE2" s="128"/>
      <c r="AF2" s="128"/>
      <c r="AG2" s="128"/>
      <c r="AH2" s="135"/>
      <c r="AI2" s="135"/>
      <c r="AJ2" s="135"/>
      <c r="AK2" s="135"/>
      <c r="AL2" s="135"/>
      <c r="AM2" s="135"/>
      <c r="AN2" s="135"/>
      <c r="AO2" s="135"/>
      <c r="AP2" s="135"/>
      <c r="AQ2" s="109"/>
      <c r="AR2" s="109"/>
      <c r="AS2" s="109"/>
      <c r="AT2" s="109"/>
      <c r="AU2" s="109"/>
      <c r="AV2" s="109"/>
      <c r="AW2" s="109"/>
      <c r="AX2" s="109"/>
      <c r="AY2" s="109"/>
      <c r="AZ2" s="109"/>
      <c r="BA2" s="109"/>
      <c r="BB2" s="109"/>
      <c r="BC2" s="109"/>
      <c r="BD2" s="109"/>
      <c r="BE2" s="109"/>
      <c r="BF2" s="109"/>
      <c r="BG2" s="109"/>
      <c r="BH2" s="109"/>
      <c r="BI2" s="109"/>
      <c r="BJ2" s="109"/>
      <c r="BK2" s="109"/>
      <c r="BL2" s="109"/>
      <c r="BM2" s="109"/>
      <c r="BN2" s="109"/>
      <c r="BO2" s="109"/>
      <c r="BP2" s="109"/>
      <c r="BQ2" s="109"/>
      <c r="BR2" s="109"/>
      <c r="BS2" s="109"/>
      <c r="BT2" s="109"/>
      <c r="BU2" s="109"/>
      <c r="BV2" s="109"/>
    </row>
    <row r="3" spans="1:74" ht="16.5" customHeight="1" x14ac:dyDescent="0.2">
      <c r="A3" s="238"/>
      <c r="B3" s="238"/>
      <c r="C3" s="238"/>
      <c r="D3" s="240" t="s">
        <v>214</v>
      </c>
      <c r="E3" s="240"/>
      <c r="F3" s="240"/>
      <c r="G3" s="240"/>
      <c r="H3" s="240"/>
      <c r="I3" s="240"/>
      <c r="J3" s="240"/>
      <c r="K3" s="240"/>
      <c r="L3" s="240"/>
      <c r="M3" s="240"/>
      <c r="N3" s="240"/>
      <c r="O3" s="128"/>
      <c r="P3" s="128"/>
      <c r="Q3" s="128"/>
      <c r="R3" s="128"/>
      <c r="S3" s="128"/>
      <c r="T3" s="128"/>
      <c r="U3" s="128"/>
      <c r="V3" s="128"/>
      <c r="W3" s="128"/>
      <c r="X3" s="128"/>
      <c r="Y3" s="128"/>
      <c r="Z3" s="128"/>
      <c r="AA3" s="128"/>
      <c r="AB3" s="128"/>
      <c r="AC3" s="128"/>
      <c r="AD3" s="128"/>
      <c r="AE3" s="128"/>
      <c r="AF3" s="128"/>
      <c r="AG3" s="128"/>
      <c r="AH3" s="135"/>
      <c r="AI3" s="135"/>
      <c r="AJ3" s="135"/>
      <c r="AK3" s="135"/>
      <c r="AL3" s="135"/>
      <c r="AM3" s="135"/>
      <c r="AN3" s="135"/>
      <c r="AO3" s="135"/>
      <c r="AP3" s="135"/>
      <c r="AQ3" s="109"/>
      <c r="AR3" s="109"/>
      <c r="AS3" s="109"/>
      <c r="AT3" s="109"/>
      <c r="AU3" s="109"/>
      <c r="AV3" s="109"/>
      <c r="AW3" s="109"/>
      <c r="AX3" s="109"/>
      <c r="AY3" s="109"/>
      <c r="AZ3" s="109"/>
      <c r="BA3" s="109"/>
      <c r="BB3" s="109"/>
      <c r="BC3" s="109"/>
      <c r="BD3" s="109"/>
      <c r="BE3" s="109"/>
      <c r="BF3" s="109"/>
      <c r="BG3" s="109"/>
      <c r="BH3" s="109"/>
      <c r="BI3" s="109"/>
      <c r="BJ3" s="109"/>
      <c r="BK3" s="109"/>
      <c r="BL3" s="109"/>
      <c r="BM3" s="109"/>
      <c r="BN3" s="109"/>
      <c r="BO3" s="109"/>
      <c r="BP3" s="109"/>
      <c r="BQ3" s="109"/>
      <c r="BR3" s="109"/>
      <c r="BS3" s="109"/>
      <c r="BT3" s="109"/>
      <c r="BU3" s="109"/>
      <c r="BV3" s="109"/>
    </row>
    <row r="4" spans="1:74" ht="27.75" x14ac:dyDescent="0.2">
      <c r="A4" s="238"/>
      <c r="B4" s="238"/>
      <c r="C4" s="238"/>
      <c r="D4" s="240" t="s">
        <v>216</v>
      </c>
      <c r="E4" s="240"/>
      <c r="F4" s="240"/>
      <c r="G4" s="240"/>
      <c r="H4" s="240"/>
      <c r="I4" s="240"/>
      <c r="J4" s="240"/>
      <c r="K4" s="240"/>
      <c r="L4" s="240"/>
      <c r="M4" s="240"/>
      <c r="N4" s="240"/>
      <c r="O4" s="128"/>
      <c r="P4" s="128"/>
      <c r="Q4" s="128"/>
      <c r="R4" s="128"/>
      <c r="S4" s="128"/>
      <c r="T4" s="128"/>
      <c r="U4" s="128"/>
      <c r="V4" s="128"/>
      <c r="W4" s="128"/>
      <c r="X4" s="128"/>
      <c r="Y4" s="128"/>
      <c r="Z4" s="128"/>
      <c r="AA4" s="128"/>
      <c r="AB4" s="128"/>
      <c r="AC4" s="128"/>
      <c r="AD4" s="128"/>
      <c r="AE4" s="128"/>
      <c r="AF4" s="128"/>
      <c r="AG4" s="128"/>
      <c r="AH4" s="135"/>
      <c r="AI4" s="135"/>
      <c r="AJ4" s="135"/>
      <c r="AK4" s="135"/>
      <c r="AL4" s="135"/>
      <c r="AM4" s="135"/>
      <c r="AN4" s="135"/>
      <c r="AO4" s="135"/>
      <c r="AP4" s="135"/>
      <c r="AQ4" s="109"/>
      <c r="AR4" s="109"/>
      <c r="AS4" s="109"/>
      <c r="AT4" s="109"/>
      <c r="AU4" s="109"/>
      <c r="AV4" s="109"/>
      <c r="AW4" s="109"/>
      <c r="AX4" s="109"/>
      <c r="AY4" s="109"/>
      <c r="AZ4" s="109"/>
      <c r="BA4" s="109"/>
      <c r="BB4" s="109"/>
      <c r="BC4" s="109"/>
      <c r="BD4" s="109"/>
      <c r="BE4" s="109"/>
      <c r="BF4" s="109"/>
      <c r="BG4" s="109"/>
      <c r="BH4" s="109"/>
      <c r="BI4" s="109"/>
      <c r="BJ4" s="109"/>
      <c r="BK4" s="109"/>
      <c r="BL4" s="109"/>
      <c r="BM4" s="109"/>
      <c r="BN4" s="109"/>
      <c r="BO4" s="109"/>
      <c r="BP4" s="109"/>
      <c r="BQ4" s="109"/>
      <c r="BR4" s="109"/>
      <c r="BS4" s="109"/>
      <c r="BT4" s="109"/>
      <c r="BU4" s="109"/>
      <c r="BV4" s="109"/>
    </row>
    <row r="5" spans="1:74" x14ac:dyDescent="0.25">
      <c r="A5" s="238"/>
      <c r="B5" s="238"/>
      <c r="C5" s="238"/>
      <c r="D5" s="241" t="s">
        <v>227</v>
      </c>
      <c r="E5" s="241"/>
      <c r="F5" s="241"/>
      <c r="G5" s="241" t="s">
        <v>235</v>
      </c>
      <c r="H5" s="241"/>
      <c r="I5" s="241"/>
      <c r="J5" s="240" t="s">
        <v>215</v>
      </c>
      <c r="K5" s="240"/>
      <c r="L5" s="240"/>
      <c r="M5" s="240"/>
      <c r="N5" s="240"/>
      <c r="O5" s="109"/>
      <c r="P5" s="109"/>
      <c r="Q5" s="109"/>
      <c r="R5" s="109"/>
      <c r="S5" s="109"/>
      <c r="T5" s="109"/>
      <c r="U5" s="109"/>
      <c r="V5" s="109"/>
      <c r="W5" s="109"/>
      <c r="X5" s="109"/>
      <c r="Y5" s="109"/>
      <c r="Z5" s="109"/>
      <c r="AA5" s="109"/>
      <c r="AB5" s="109"/>
      <c r="AC5" s="109"/>
      <c r="AD5" s="109"/>
      <c r="AE5" s="109"/>
      <c r="AF5" s="109"/>
      <c r="AG5" s="109"/>
      <c r="AH5" s="136"/>
      <c r="AI5" s="136"/>
      <c r="AJ5" s="136"/>
      <c r="AK5" s="136"/>
      <c r="AL5" s="136"/>
      <c r="AM5" s="136"/>
      <c r="AN5" s="136"/>
      <c r="AO5" s="136"/>
      <c r="AP5" s="136"/>
      <c r="AQ5" s="109"/>
      <c r="AR5" s="109"/>
      <c r="AS5" s="109"/>
      <c r="AT5" s="109"/>
      <c r="AU5" s="109"/>
      <c r="AV5" s="109"/>
      <c r="AW5" s="109"/>
      <c r="AX5" s="109"/>
      <c r="AY5" s="109"/>
      <c r="AZ5" s="109"/>
      <c r="BA5" s="109"/>
      <c r="BB5" s="109"/>
      <c r="BC5" s="109"/>
      <c r="BD5" s="109"/>
      <c r="BE5" s="109"/>
      <c r="BF5" s="109"/>
      <c r="BG5" s="109"/>
      <c r="BH5" s="109"/>
      <c r="BI5" s="109"/>
      <c r="BJ5" s="109"/>
      <c r="BK5" s="109"/>
      <c r="BL5" s="109"/>
      <c r="BM5" s="109"/>
      <c r="BN5" s="109"/>
      <c r="BO5" s="109"/>
      <c r="BP5" s="109"/>
      <c r="BQ5" s="109"/>
      <c r="BR5" s="109"/>
      <c r="BS5" s="109"/>
      <c r="BT5" s="109"/>
      <c r="BU5" s="109"/>
      <c r="BV5" s="109"/>
    </row>
    <row r="6" spans="1:74" x14ac:dyDescent="0.25">
      <c r="A6" s="129"/>
      <c r="B6" s="130"/>
      <c r="C6" s="130"/>
      <c r="D6" s="130"/>
      <c r="E6" s="130"/>
      <c r="F6" s="130"/>
      <c r="G6" s="130"/>
      <c r="H6" s="131"/>
      <c r="I6" s="132"/>
      <c r="J6" s="132"/>
      <c r="K6" s="132"/>
      <c r="L6" s="132"/>
      <c r="M6" s="109"/>
      <c r="N6" s="109"/>
      <c r="O6" s="109"/>
      <c r="P6" s="109"/>
      <c r="Q6" s="109"/>
      <c r="R6" s="109"/>
      <c r="S6" s="109"/>
      <c r="T6" s="109"/>
      <c r="U6" s="109"/>
      <c r="V6" s="109"/>
      <c r="W6" s="109"/>
      <c r="X6" s="109"/>
      <c r="Y6" s="109"/>
      <c r="Z6" s="109"/>
      <c r="AA6" s="109"/>
      <c r="AB6" s="109"/>
      <c r="AC6" s="109"/>
      <c r="AD6" s="109"/>
      <c r="AE6" s="109"/>
      <c r="AF6" s="109"/>
      <c r="AG6" s="109"/>
      <c r="AH6" s="136"/>
      <c r="AI6" s="136"/>
      <c r="AJ6" s="136"/>
      <c r="AK6" s="136"/>
      <c r="AL6" s="136"/>
      <c r="AM6" s="136"/>
      <c r="AN6" s="136"/>
      <c r="AO6" s="136"/>
      <c r="AP6" s="136"/>
      <c r="AQ6" s="109"/>
      <c r="AR6" s="109"/>
      <c r="AS6" s="109"/>
      <c r="AT6" s="109"/>
      <c r="AU6" s="109"/>
      <c r="AV6" s="109"/>
      <c r="AW6" s="109"/>
      <c r="AX6" s="109"/>
      <c r="AY6" s="109"/>
      <c r="AZ6" s="109"/>
      <c r="BA6" s="109"/>
      <c r="BB6" s="109"/>
      <c r="BC6" s="109"/>
      <c r="BD6" s="109"/>
      <c r="BE6" s="109"/>
      <c r="BF6" s="109"/>
      <c r="BG6" s="109"/>
      <c r="BH6" s="109"/>
      <c r="BI6" s="109"/>
      <c r="BJ6" s="109"/>
      <c r="BK6" s="109"/>
      <c r="BL6" s="109"/>
      <c r="BM6" s="109"/>
      <c r="BN6" s="109"/>
      <c r="BO6" s="109"/>
      <c r="BP6" s="109"/>
      <c r="BQ6" s="109"/>
      <c r="BR6" s="109"/>
      <c r="BS6" s="109"/>
      <c r="BT6" s="109"/>
      <c r="BU6" s="109"/>
      <c r="BV6" s="109"/>
    </row>
    <row r="7" spans="1:74" s="134" customFormat="1" ht="28.5" customHeight="1" x14ac:dyDescent="0.25">
      <c r="A7" s="243" t="s">
        <v>43</v>
      </c>
      <c r="B7" s="243"/>
      <c r="C7" s="242" t="s">
        <v>225</v>
      </c>
      <c r="D7" s="242"/>
      <c r="E7" s="242"/>
      <c r="F7" s="242"/>
      <c r="G7" s="242"/>
      <c r="H7" s="242"/>
      <c r="I7" s="242"/>
      <c r="J7" s="242"/>
      <c r="K7" s="242"/>
      <c r="L7" s="242"/>
      <c r="M7" s="242"/>
      <c r="N7" s="242"/>
      <c r="O7" s="237"/>
      <c r="P7" s="237"/>
      <c r="Q7" s="237"/>
      <c r="R7" s="133"/>
      <c r="S7" s="133"/>
      <c r="T7" s="133"/>
      <c r="U7" s="133"/>
      <c r="V7" s="133"/>
      <c r="W7" s="133"/>
      <c r="X7" s="133"/>
      <c r="Y7" s="133"/>
      <c r="Z7" s="133"/>
      <c r="AA7" s="133"/>
      <c r="AB7" s="133"/>
      <c r="AC7" s="133"/>
      <c r="AD7" s="133"/>
      <c r="AE7" s="133"/>
      <c r="AF7" s="133"/>
      <c r="AG7" s="133"/>
      <c r="AH7" s="136"/>
      <c r="AI7" s="136"/>
      <c r="AJ7" s="136"/>
      <c r="AK7" s="136"/>
      <c r="AL7" s="136"/>
      <c r="AM7" s="136"/>
      <c r="AN7" s="136"/>
      <c r="AO7" s="136"/>
      <c r="AP7" s="136"/>
      <c r="AQ7" s="133"/>
      <c r="AR7" s="133"/>
      <c r="AS7" s="133"/>
      <c r="AT7" s="133"/>
      <c r="AU7" s="133"/>
      <c r="AV7" s="133"/>
      <c r="AW7" s="133"/>
      <c r="AX7" s="133"/>
      <c r="AY7" s="133"/>
      <c r="AZ7" s="133"/>
      <c r="BA7" s="133"/>
      <c r="BB7" s="133"/>
      <c r="BC7" s="133"/>
      <c r="BD7" s="133"/>
      <c r="BE7" s="133"/>
      <c r="BF7" s="133"/>
      <c r="BG7" s="133"/>
      <c r="BH7" s="133"/>
      <c r="BI7" s="133"/>
      <c r="BJ7" s="133"/>
      <c r="BK7" s="133"/>
      <c r="BL7" s="133"/>
      <c r="BM7" s="133"/>
      <c r="BN7" s="133"/>
      <c r="BO7" s="133"/>
      <c r="BP7" s="133"/>
      <c r="BQ7" s="133"/>
      <c r="BR7" s="133"/>
      <c r="BS7" s="133"/>
      <c r="BT7" s="133"/>
      <c r="BU7" s="133"/>
      <c r="BV7" s="133"/>
    </row>
    <row r="8" spans="1:74" s="134" customFormat="1" ht="32.25" customHeight="1" x14ac:dyDescent="0.25">
      <c r="A8" s="243" t="s">
        <v>130</v>
      </c>
      <c r="B8" s="243"/>
      <c r="C8" s="245" t="s">
        <v>226</v>
      </c>
      <c r="D8" s="246"/>
      <c r="E8" s="246"/>
      <c r="F8" s="246"/>
      <c r="G8" s="246"/>
      <c r="H8" s="246"/>
      <c r="I8" s="246"/>
      <c r="J8" s="246"/>
      <c r="K8" s="246"/>
      <c r="L8" s="246"/>
      <c r="M8" s="246"/>
      <c r="N8" s="246"/>
      <c r="O8" s="133"/>
      <c r="P8" s="133"/>
      <c r="Q8" s="133"/>
      <c r="R8" s="133"/>
      <c r="S8" s="133"/>
      <c r="T8" s="133"/>
      <c r="U8" s="133"/>
      <c r="V8" s="133"/>
      <c r="W8" s="133"/>
      <c r="X8" s="133"/>
      <c r="Y8" s="133"/>
      <c r="Z8" s="133"/>
      <c r="AA8" s="133"/>
      <c r="AB8" s="133"/>
      <c r="AC8" s="133"/>
      <c r="AD8" s="133"/>
      <c r="AE8" s="133"/>
      <c r="AF8" s="133"/>
      <c r="AG8" s="133"/>
      <c r="AH8" s="136"/>
      <c r="AI8" s="136"/>
      <c r="AJ8" s="136"/>
      <c r="AK8" s="136"/>
      <c r="AL8" s="136"/>
      <c r="AM8" s="136"/>
      <c r="AN8" s="136"/>
      <c r="AO8" s="136"/>
      <c r="AP8" s="136"/>
      <c r="AQ8" s="133"/>
      <c r="AR8" s="133"/>
      <c r="AS8" s="133"/>
      <c r="AT8" s="133"/>
      <c r="AU8" s="133"/>
      <c r="AV8" s="133"/>
      <c r="AW8" s="133"/>
      <c r="AX8" s="133"/>
      <c r="AY8" s="133"/>
      <c r="AZ8" s="133"/>
      <c r="BA8" s="133"/>
      <c r="BB8" s="133"/>
      <c r="BC8" s="133"/>
      <c r="BD8" s="133"/>
      <c r="BE8" s="133"/>
      <c r="BF8" s="133"/>
      <c r="BG8" s="133"/>
      <c r="BH8" s="133"/>
      <c r="BI8" s="133"/>
      <c r="BJ8" s="133"/>
      <c r="BK8" s="133"/>
      <c r="BL8" s="133"/>
      <c r="BM8" s="133"/>
      <c r="BN8" s="133"/>
      <c r="BO8" s="133"/>
      <c r="BP8" s="133"/>
      <c r="BQ8" s="133"/>
      <c r="BR8" s="133"/>
      <c r="BS8" s="133"/>
      <c r="BT8" s="133"/>
      <c r="BU8" s="133"/>
      <c r="BV8" s="133"/>
    </row>
    <row r="9" spans="1:74" s="134" customFormat="1" ht="38.25" customHeight="1" x14ac:dyDescent="0.25">
      <c r="A9" s="244" t="s">
        <v>44</v>
      </c>
      <c r="B9" s="244"/>
      <c r="C9" s="247" t="s">
        <v>224</v>
      </c>
      <c r="D9" s="247"/>
      <c r="E9" s="247"/>
      <c r="F9" s="247"/>
      <c r="G9" s="247"/>
      <c r="H9" s="247"/>
      <c r="I9" s="247"/>
      <c r="J9" s="247"/>
      <c r="K9" s="247"/>
      <c r="L9" s="247"/>
      <c r="M9" s="247"/>
      <c r="N9" s="247"/>
      <c r="O9" s="133"/>
      <c r="P9" s="133"/>
      <c r="Q9" s="133"/>
      <c r="R9" s="133"/>
      <c r="S9" s="133"/>
      <c r="T9" s="133"/>
      <c r="U9" s="133"/>
      <c r="V9" s="133"/>
      <c r="W9" s="133"/>
      <c r="X9" s="133"/>
      <c r="Y9" s="133"/>
      <c r="Z9" s="133"/>
      <c r="AA9" s="133"/>
      <c r="AB9" s="133"/>
      <c r="AC9" s="133"/>
      <c r="AD9" s="133"/>
      <c r="AE9" s="133"/>
      <c r="AF9" s="133"/>
      <c r="AG9" s="133"/>
      <c r="AH9" s="136"/>
      <c r="AI9" s="136"/>
      <c r="AJ9" s="136"/>
      <c r="AK9" s="136"/>
      <c r="AL9" s="136"/>
      <c r="AM9" s="136"/>
      <c r="AN9" s="136"/>
      <c r="AO9" s="136"/>
      <c r="AP9" s="136"/>
      <c r="AQ9" s="133"/>
      <c r="AR9" s="133"/>
      <c r="AS9" s="133"/>
      <c r="AT9" s="133"/>
      <c r="AU9" s="133"/>
      <c r="AV9" s="133"/>
      <c r="AW9" s="133"/>
      <c r="AX9" s="133"/>
      <c r="AY9" s="133"/>
      <c r="AZ9" s="133"/>
      <c r="BA9" s="133"/>
      <c r="BB9" s="133"/>
      <c r="BC9" s="133"/>
      <c r="BD9" s="133"/>
      <c r="BE9" s="133"/>
      <c r="BF9" s="133"/>
      <c r="BG9" s="133"/>
      <c r="BH9" s="133"/>
      <c r="BI9" s="133"/>
      <c r="BJ9" s="133"/>
      <c r="BK9" s="133"/>
      <c r="BL9" s="133"/>
      <c r="BM9" s="133"/>
      <c r="BN9" s="133"/>
      <c r="BO9" s="133"/>
      <c r="BP9" s="133"/>
      <c r="BQ9" s="133"/>
      <c r="BR9" s="133"/>
      <c r="BS9" s="133"/>
      <c r="BT9" s="133"/>
      <c r="BU9" s="133"/>
      <c r="BV9" s="133"/>
    </row>
    <row r="10" spans="1:74" ht="50.25" customHeight="1" x14ac:dyDescent="0.25">
      <c r="A10" s="233" t="s">
        <v>138</v>
      </c>
      <c r="B10" s="233"/>
      <c r="C10" s="233"/>
      <c r="D10" s="233"/>
      <c r="E10" s="233"/>
      <c r="F10" s="233"/>
      <c r="G10" s="233"/>
      <c r="H10" s="233" t="s">
        <v>139</v>
      </c>
      <c r="I10" s="233"/>
      <c r="J10" s="233"/>
      <c r="K10" s="233"/>
      <c r="L10" s="233"/>
      <c r="M10" s="233"/>
      <c r="N10" s="233"/>
      <c r="O10" s="236" t="s">
        <v>140</v>
      </c>
      <c r="P10" s="236"/>
      <c r="Q10" s="236"/>
      <c r="R10" s="236"/>
      <c r="S10" s="236"/>
      <c r="T10" s="236"/>
      <c r="U10" s="236"/>
      <c r="V10" s="236"/>
      <c r="W10" s="236"/>
      <c r="X10" s="228" t="s">
        <v>141</v>
      </c>
      <c r="Y10" s="228"/>
      <c r="Z10" s="228"/>
      <c r="AA10" s="228"/>
      <c r="AB10" s="228"/>
      <c r="AC10" s="228"/>
      <c r="AD10" s="228"/>
      <c r="AE10" s="185" t="s">
        <v>34</v>
      </c>
      <c r="AF10" s="185"/>
      <c r="AG10" s="185"/>
      <c r="AH10" s="193" t="s">
        <v>228</v>
      </c>
      <c r="AI10" s="194"/>
      <c r="AJ10" s="195"/>
      <c r="AK10" s="190" t="s">
        <v>229</v>
      </c>
      <c r="AL10" s="191"/>
      <c r="AM10" s="192"/>
      <c r="AN10" s="193" t="s">
        <v>230</v>
      </c>
      <c r="AO10" s="194"/>
      <c r="AP10" s="195"/>
      <c r="AQ10" s="109"/>
      <c r="AR10" s="109"/>
      <c r="AS10" s="109"/>
      <c r="AT10" s="109"/>
      <c r="AU10" s="109"/>
      <c r="AV10" s="109"/>
      <c r="AW10" s="109"/>
      <c r="AX10" s="109"/>
      <c r="AY10" s="109"/>
      <c r="AZ10" s="109"/>
      <c r="BA10" s="109"/>
      <c r="BB10" s="109"/>
      <c r="BC10" s="109"/>
      <c r="BD10" s="109"/>
      <c r="BE10" s="109"/>
      <c r="BF10" s="109"/>
      <c r="BG10" s="109"/>
      <c r="BH10" s="109"/>
      <c r="BI10" s="109"/>
      <c r="BJ10" s="109"/>
      <c r="BK10" s="109"/>
      <c r="BL10" s="109"/>
      <c r="BM10" s="109"/>
      <c r="BN10" s="109"/>
      <c r="BO10" s="109"/>
      <c r="BP10" s="109"/>
      <c r="BQ10" s="109"/>
      <c r="BR10" s="109"/>
      <c r="BS10" s="109"/>
      <c r="BT10" s="109"/>
      <c r="BU10" s="109"/>
      <c r="BV10" s="109"/>
    </row>
    <row r="11" spans="1:74" ht="16.5" customHeight="1" x14ac:dyDescent="0.2">
      <c r="A11" s="234" t="s">
        <v>0</v>
      </c>
      <c r="B11" s="233" t="s">
        <v>2</v>
      </c>
      <c r="C11" s="232" t="s">
        <v>3</v>
      </c>
      <c r="D11" s="232" t="s">
        <v>42</v>
      </c>
      <c r="E11" s="233" t="s">
        <v>1</v>
      </c>
      <c r="F11" s="232" t="s">
        <v>50</v>
      </c>
      <c r="G11" s="232" t="s">
        <v>134</v>
      </c>
      <c r="H11" s="232" t="s">
        <v>33</v>
      </c>
      <c r="I11" s="233" t="s">
        <v>5</v>
      </c>
      <c r="J11" s="232" t="s">
        <v>87</v>
      </c>
      <c r="K11" s="232" t="s">
        <v>92</v>
      </c>
      <c r="L11" s="232" t="s">
        <v>45</v>
      </c>
      <c r="M11" s="233" t="s">
        <v>5</v>
      </c>
      <c r="N11" s="232" t="s">
        <v>48</v>
      </c>
      <c r="O11" s="257" t="s">
        <v>11</v>
      </c>
      <c r="P11" s="231" t="s">
        <v>161</v>
      </c>
      <c r="Q11" s="231" t="s">
        <v>12</v>
      </c>
      <c r="R11" s="231" t="s">
        <v>8</v>
      </c>
      <c r="S11" s="231"/>
      <c r="T11" s="231"/>
      <c r="U11" s="231"/>
      <c r="V11" s="231"/>
      <c r="W11" s="231"/>
      <c r="X11" s="187" t="s">
        <v>137</v>
      </c>
      <c r="Y11" s="187" t="s">
        <v>46</v>
      </c>
      <c r="Z11" s="187" t="s">
        <v>5</v>
      </c>
      <c r="AA11" s="187" t="s">
        <v>47</v>
      </c>
      <c r="AB11" s="187" t="s">
        <v>5</v>
      </c>
      <c r="AC11" s="187" t="s">
        <v>49</v>
      </c>
      <c r="AD11" s="187" t="s">
        <v>29</v>
      </c>
      <c r="AE11" s="186" t="s">
        <v>34</v>
      </c>
      <c r="AF11" s="186" t="s">
        <v>35</v>
      </c>
      <c r="AG11" s="186" t="s">
        <v>36</v>
      </c>
      <c r="AH11" s="196" t="s">
        <v>38</v>
      </c>
      <c r="AI11" s="196" t="s">
        <v>37</v>
      </c>
      <c r="AJ11" s="196" t="s">
        <v>217</v>
      </c>
      <c r="AK11" s="198" t="s">
        <v>38</v>
      </c>
      <c r="AL11" s="198" t="s">
        <v>37</v>
      </c>
      <c r="AM11" s="198" t="s">
        <v>217</v>
      </c>
      <c r="AN11" s="196" t="s">
        <v>38</v>
      </c>
      <c r="AO11" s="196" t="s">
        <v>37</v>
      </c>
      <c r="AP11" s="196" t="s">
        <v>218</v>
      </c>
      <c r="AQ11" s="109"/>
      <c r="AR11" s="109"/>
      <c r="AS11" s="109"/>
      <c r="AT11" s="109"/>
      <c r="AU11" s="109"/>
      <c r="AV11" s="109"/>
      <c r="AW11" s="109"/>
      <c r="AX11" s="109"/>
      <c r="AY11" s="109"/>
      <c r="AZ11" s="109"/>
      <c r="BA11" s="109"/>
      <c r="BB11" s="109"/>
      <c r="BC11" s="109"/>
      <c r="BD11" s="109"/>
      <c r="BE11" s="109"/>
      <c r="BF11" s="109"/>
      <c r="BG11" s="109"/>
      <c r="BH11" s="109"/>
      <c r="BI11" s="109"/>
      <c r="BJ11" s="109"/>
      <c r="BK11" s="109"/>
      <c r="BL11" s="109"/>
      <c r="BM11" s="109"/>
      <c r="BN11" s="109"/>
      <c r="BO11" s="109"/>
      <c r="BP11" s="109"/>
      <c r="BQ11" s="109"/>
      <c r="BR11" s="109"/>
      <c r="BS11" s="109"/>
      <c r="BT11" s="109"/>
      <c r="BU11" s="109"/>
      <c r="BV11" s="109"/>
    </row>
    <row r="12" spans="1:74" s="112" customFormat="1" ht="63.75" customHeight="1" x14ac:dyDescent="0.25">
      <c r="A12" s="234"/>
      <c r="B12" s="233"/>
      <c r="C12" s="232"/>
      <c r="D12" s="232"/>
      <c r="E12" s="233"/>
      <c r="F12" s="232"/>
      <c r="G12" s="232"/>
      <c r="H12" s="232"/>
      <c r="I12" s="233"/>
      <c r="J12" s="232"/>
      <c r="K12" s="232"/>
      <c r="L12" s="233"/>
      <c r="M12" s="233"/>
      <c r="N12" s="232"/>
      <c r="O12" s="257"/>
      <c r="P12" s="231"/>
      <c r="Q12" s="231"/>
      <c r="R12" s="127" t="s">
        <v>13</v>
      </c>
      <c r="S12" s="127" t="s">
        <v>17</v>
      </c>
      <c r="T12" s="127" t="s">
        <v>28</v>
      </c>
      <c r="U12" s="127" t="s">
        <v>18</v>
      </c>
      <c r="V12" s="127" t="s">
        <v>21</v>
      </c>
      <c r="W12" s="127" t="s">
        <v>24</v>
      </c>
      <c r="X12" s="187"/>
      <c r="Y12" s="187"/>
      <c r="Z12" s="187"/>
      <c r="AA12" s="187"/>
      <c r="AB12" s="187"/>
      <c r="AC12" s="187"/>
      <c r="AD12" s="187"/>
      <c r="AE12" s="186"/>
      <c r="AF12" s="186"/>
      <c r="AG12" s="186"/>
      <c r="AH12" s="197"/>
      <c r="AI12" s="197"/>
      <c r="AJ12" s="197"/>
      <c r="AK12" s="199"/>
      <c r="AL12" s="199"/>
      <c r="AM12" s="199"/>
      <c r="AN12" s="200"/>
      <c r="AO12" s="200"/>
      <c r="AP12" s="200"/>
      <c r="AQ12" s="111"/>
      <c r="AR12" s="111"/>
      <c r="AS12" s="111"/>
      <c r="AT12" s="111"/>
      <c r="AU12" s="111"/>
      <c r="AV12" s="111"/>
      <c r="AW12" s="111"/>
      <c r="AX12" s="111"/>
      <c r="AY12" s="111"/>
      <c r="AZ12" s="111"/>
      <c r="BA12" s="111"/>
      <c r="BB12" s="111"/>
      <c r="BC12" s="111"/>
      <c r="BD12" s="111"/>
      <c r="BE12" s="111"/>
      <c r="BF12" s="111"/>
      <c r="BG12" s="111"/>
      <c r="BH12" s="111"/>
      <c r="BI12" s="111"/>
      <c r="BJ12" s="111"/>
      <c r="BK12" s="111"/>
      <c r="BL12" s="111"/>
      <c r="BM12" s="111"/>
      <c r="BN12" s="111"/>
      <c r="BO12" s="111"/>
      <c r="BP12" s="111"/>
      <c r="BQ12" s="111"/>
      <c r="BR12" s="111"/>
      <c r="BS12" s="111"/>
      <c r="BT12" s="111"/>
      <c r="BU12" s="111"/>
      <c r="BV12" s="111"/>
    </row>
    <row r="13" spans="1:74" ht="306.75" customHeight="1" x14ac:dyDescent="0.2">
      <c r="A13" s="201">
        <v>1</v>
      </c>
      <c r="B13" s="202" t="s">
        <v>131</v>
      </c>
      <c r="C13" s="202" t="s">
        <v>231</v>
      </c>
      <c r="D13" s="202" t="s">
        <v>232</v>
      </c>
      <c r="E13" s="203" t="s">
        <v>248</v>
      </c>
      <c r="F13" s="202" t="s">
        <v>128</v>
      </c>
      <c r="G13" s="235">
        <v>20</v>
      </c>
      <c r="H13" s="207" t="str">
        <f>IF(G13&lt;=0,"",IF(G13&lt;=2,"Muy Baja",IF(G13&lt;=24,"Baja",IF(G13&lt;=500,"Media",IF(G13&lt;=5000,"Alta","Muy Alta")))))</f>
        <v>Baja</v>
      </c>
      <c r="I13" s="205">
        <f>IF(H13="","",IF(H13="Muy Baja",0.2,IF(H13="Baja",0.4,IF(H13="Media",0.6,IF(H13="Alta",0.8,IF(H13="Muy Alta",1,))))))</f>
        <v>0.4</v>
      </c>
      <c r="J13" s="206" t="s">
        <v>154</v>
      </c>
      <c r="K13" s="205" t="str">
        <f>IF(NOT(ISERROR(MATCH(J13,#REF!,0))),#REF!&amp;"Por favor no seleccionar los criterios de impacto(Afectación Económica o presupuestal y Pérdida Reputacional)",J13)</f>
        <v xml:space="preserve">     El riesgo afecta la imagen de de la entidad con efecto publicitario sostenido a nivel de sector administrativo, nivel departamental o municipal</v>
      </c>
      <c r="L13" s="229" t="str">
        <f>IF(OR(K13='[1]Tabla Impacto'!$C$11,K13='[1]Tabla Impacto'!$D$11),"Leve",IF(OR(K13='[1]Tabla Impacto'!$C$12,K13='[1]Tabla Impacto'!$D$12),"Menor",IF(OR(K13='[1]Tabla Impacto'!$C$13,K13='[1]Tabla Impacto'!$D$13),"Moderado",IF(OR(K13='[1]Tabla Impacto'!$C$14,K13='[1]Tabla Impacto'!$D$14),"Mayor",IF(OR(K13='[1]Tabla Impacto'!$C$15,K13='[1]Tabla Impacto'!$D$15),"Catastrófico","")))))</f>
        <v>Mayor</v>
      </c>
      <c r="M13" s="205">
        <f>IF(L13="","",IF(L13="Leve",0.2,IF(L13="Menor",0.4,IF(L13="Moderado",0.6,IF(L13="Mayor",0.8,IF(L13="Catastrófico",1,))))))</f>
        <v>0.8</v>
      </c>
      <c r="N13" s="208" t="str">
        <f>IF(OR(AND(H13="Muy Baja",L13="Leve"),AND(H13="Muy Baja",L13="Menor"),AND(H13="Baja",L13="Leve")),"Bajo",IF(OR(AND(H13="Muy baja",L13="Moderado"),AND(H13="Baja",L13="Menor"),AND(H13="Baja",L13="Moderado"),AND(H13="Media",L13="Leve"),AND(H13="Media",L13="Menor"),AND(H13="Media",L13="Moderado"),AND(H13="Alta",L13="Leve"),AND(H13="Alta",L13="Menor")),"Moderado",IF(OR(AND(H13="Muy Baja",L13="Mayor"),AND(H13="Baja",L13="Mayor"),AND(H13="Media",L13="Mayor"),AND(H13="Alta",L13="Moderado"),AND(H13="Alta",L13="Mayor"),AND(H13="Muy Alta",L13="Leve"),AND(H13="Muy Alta",L13="Menor"),AND(H13="Muy Alta",L13="Moderado"),AND(H13="Muy Alta",L13="Mayor")),"Alto",IF(OR(AND(H13="Muy Baja",L13="Catastrófico"),AND(H13="Baja",L13="Catastrófico"),AND(H13="Media",L13="Catastrófico"),AND(H13="Alta",L13="Catastrófico"),AND(H13="Muy Alta",L13="Catastrófico")),"Extremo",""))))</f>
        <v>Alto</v>
      </c>
      <c r="O13" s="116">
        <v>1</v>
      </c>
      <c r="P13" s="117" t="s">
        <v>252</v>
      </c>
      <c r="Q13" s="118" t="str">
        <f>IF(OR(R13="Preventivo",R13="Detectivo"),"Probabilidad",IF(R13="Correctivo","Impacto",""))</f>
        <v>Probabilidad</v>
      </c>
      <c r="R13" s="119" t="s">
        <v>14</v>
      </c>
      <c r="S13" s="119" t="s">
        <v>9</v>
      </c>
      <c r="T13" s="120" t="str">
        <f>IF(AND(R13="Preventivo",S13="Automático"),"50%",IF(AND(R13="Preventivo",S13="Manual"),"40%",IF(AND(R13="Detectivo",S13="Automático"),"40%",IF(AND(R13="Detectivo",S13="Manual"),"30%",IF(AND(R13="Correctivo",S13="Automático"),"35%",IF(AND(R13="Correctivo",S13="Manual"),"25%",""))))))</f>
        <v>40%</v>
      </c>
      <c r="U13" s="119" t="s">
        <v>19</v>
      </c>
      <c r="V13" s="119" t="s">
        <v>22</v>
      </c>
      <c r="W13" s="119" t="s">
        <v>119</v>
      </c>
      <c r="X13" s="121">
        <f>IFERROR(IF(Q13="Probabilidad",(I13-(+I13*T13)),IF(Q13="Impacto",I13,"")),"")</f>
        <v>0.24</v>
      </c>
      <c r="Y13" s="122" t="str">
        <f>IFERROR(IF(X13="","",IF(X13&lt;=0.2,"Muy Baja",IF(X13&lt;=0.4,"Baja",IF(X13&lt;=0.6,"Media",IF(X13&lt;=0.8,"Alta","Muy Alta"))))),"")</f>
        <v>Baja</v>
      </c>
      <c r="Z13" s="120">
        <f>+X13</f>
        <v>0.24</v>
      </c>
      <c r="AA13" s="122" t="str">
        <f>IFERROR(IF(AB13="","",IF(AB13&lt;=0.2,"Leve",IF(AB13&lt;=0.4,"Menor",IF(AB13&lt;=0.6,"Moderado",IF(AB13&lt;=0.8,"Mayor","Catastrófico"))))),"")</f>
        <v>Mayor</v>
      </c>
      <c r="AB13" s="120">
        <f>IFERROR(IF(Q13="Impacto",(M13-(+M13*T13)),IF(Q13="Probabilidad",M13,"")),"")</f>
        <v>0.8</v>
      </c>
      <c r="AC13" s="123" t="str">
        <f>IFERROR(IF(OR(AND(Y13="Muy Baja",AA13="Leve"),AND(Y13="Muy Baja",AA13="Menor"),AND(Y13="Baja",AA13="Leve")),"Bajo",IF(OR(AND(Y13="Muy baja",AA13="Moderado"),AND(Y13="Baja",AA13="Menor"),AND(Y13="Baja",AA13="Moderado"),AND(Y13="Media",AA13="Leve"),AND(Y13="Media",AA13="Menor"),AND(Y13="Media",AA13="Moderado"),AND(Y13="Alta",AA13="Leve"),AND(Y13="Alta",AA13="Menor")),"Moderado",IF(OR(AND(Y13="Muy Baja",AA13="Mayor"),AND(Y13="Baja",AA13="Mayor"),AND(Y13="Media",AA13="Mayor"),AND(Y13="Alta",AA13="Moderado"),AND(Y13="Alta",AA13="Mayor"),AND(Y13="Muy Alta",AA13="Leve"),AND(Y13="Muy Alta",AA13="Menor"),AND(Y13="Muy Alta",AA13="Moderado"),AND(Y13="Muy Alta",AA13="Mayor")),"Alto",IF(OR(AND(Y13="Muy Baja",AA13="Catastrófico"),AND(Y13="Baja",AA13="Catastrófico"),AND(Y13="Media",AA13="Catastrófico"),AND(Y13="Alta",AA13="Catastrófico"),AND(Y13="Muy Alta",AA13="Catastrófico")),"Extremo","")))),"")</f>
        <v>Alto</v>
      </c>
      <c r="AD13" s="119" t="s">
        <v>135</v>
      </c>
      <c r="AE13" s="124" t="s">
        <v>240</v>
      </c>
      <c r="AF13" s="124" t="s">
        <v>241</v>
      </c>
      <c r="AG13" s="125">
        <v>45807</v>
      </c>
      <c r="AH13" s="416">
        <v>45786</v>
      </c>
      <c r="AI13" s="417" t="s">
        <v>242</v>
      </c>
      <c r="AJ13" s="138" t="s">
        <v>41</v>
      </c>
      <c r="AK13" s="418">
        <v>45905</v>
      </c>
      <c r="AL13" s="419" t="s">
        <v>256</v>
      </c>
      <c r="AM13" s="138" t="s">
        <v>41</v>
      </c>
      <c r="AN13" s="144">
        <v>46006</v>
      </c>
      <c r="AO13" s="139" t="s">
        <v>257</v>
      </c>
      <c r="AP13" s="138" t="s">
        <v>40</v>
      </c>
      <c r="AQ13" s="109"/>
      <c r="AR13" s="109"/>
      <c r="AS13" s="109"/>
      <c r="AT13" s="109"/>
      <c r="AU13" s="109"/>
      <c r="AV13" s="109"/>
      <c r="AW13" s="109"/>
      <c r="AX13" s="109"/>
      <c r="AY13" s="109"/>
      <c r="AZ13" s="109"/>
      <c r="BA13" s="109"/>
      <c r="BB13" s="109"/>
      <c r="BC13" s="109"/>
      <c r="BD13" s="109"/>
      <c r="BE13" s="109"/>
      <c r="BF13" s="109"/>
      <c r="BG13" s="109"/>
      <c r="BH13" s="109"/>
      <c r="BI13" s="109"/>
      <c r="BJ13" s="109"/>
      <c r="BK13" s="109"/>
      <c r="BL13" s="109"/>
      <c r="BM13" s="109"/>
      <c r="BN13" s="109"/>
      <c r="BO13" s="109"/>
      <c r="BP13" s="109"/>
      <c r="BQ13" s="109"/>
      <c r="BR13" s="109"/>
      <c r="BS13" s="109"/>
      <c r="BT13" s="109"/>
      <c r="BU13" s="109"/>
      <c r="BV13" s="109"/>
    </row>
    <row r="14" spans="1:74" ht="174" customHeight="1" x14ac:dyDescent="0.2">
      <c r="A14" s="201"/>
      <c r="B14" s="202"/>
      <c r="C14" s="202"/>
      <c r="D14" s="202"/>
      <c r="E14" s="203"/>
      <c r="F14" s="202"/>
      <c r="G14" s="235"/>
      <c r="H14" s="207"/>
      <c r="I14" s="205"/>
      <c r="J14" s="206"/>
      <c r="K14" s="205">
        <f>IF(NOT(ISERROR(MATCH(J14,_xlfn.ANCHORARRAY(E23),0))),I25&amp;"Por favor no seleccionar los criterios de impacto",J14)</f>
        <v>0</v>
      </c>
      <c r="L14" s="230"/>
      <c r="M14" s="205"/>
      <c r="N14" s="208"/>
      <c r="O14" s="116">
        <v>2</v>
      </c>
      <c r="P14" s="117" t="s">
        <v>221</v>
      </c>
      <c r="Q14" s="118" t="s">
        <v>4</v>
      </c>
      <c r="R14" s="119" t="s">
        <v>14</v>
      </c>
      <c r="S14" s="119" t="s">
        <v>9</v>
      </c>
      <c r="T14" s="120" t="str">
        <f>IF(AND(R14="Preventivo",S14="Automático"),"50%",IF(AND(R14="Preventivo",S14="Manual"),"40%",IF(AND(R14="Detectivo",S14="Automático"),"40%",IF(AND(R14="Detectivo",S14="Manual"),"30%",IF(AND(R14="Correctivo",S14="Automático"),"35%",IF(AND(R14="Correctivo",S14="Manual"),"25%",""))))))</f>
        <v>40%</v>
      </c>
      <c r="U14" s="119" t="s">
        <v>19</v>
      </c>
      <c r="V14" s="119" t="s">
        <v>22</v>
      </c>
      <c r="W14" s="119" t="s">
        <v>119</v>
      </c>
      <c r="X14" s="121">
        <f>IFERROR(IF(AND(Q13="Probabilidad",Q14="Probabilidad"),(Z13-(+Z13*T14)),IF(Q14="Probabilidad",(I13-(+I13*T14)),IF(Q14="Impacto",Z13,""))),"")</f>
        <v>0.14399999999999999</v>
      </c>
      <c r="Y14" s="122" t="str">
        <f t="shared" ref="Y14:Y16" si="0">IFERROR(IF(X14="","",IF(X14&lt;=0.2,"Muy Baja",IF(X14&lt;=0.4,"Baja",IF(X14&lt;=0.6,"Media",IF(X14&lt;=0.8,"Alta","Muy Alta"))))),"")</f>
        <v>Muy Baja</v>
      </c>
      <c r="Z14" s="120">
        <f t="shared" ref="Z14:Z16" si="1">+X14</f>
        <v>0.14399999999999999</v>
      </c>
      <c r="AA14" s="122" t="str">
        <f>IFERROR(IF(AB14="","",IF(AB14&lt;=0.2,"Leve",IF(AB14&lt;=0.4,"Menor",IF(AB14&lt;=0.6,"Moderado",IF(AB14&lt;=0.8,"Mayor","Catastrófico"))))),"")</f>
        <v>Leve</v>
      </c>
      <c r="AB14" s="120">
        <f>IFERROR(IF(Q14="Impacto",(M14-(+M14*T14)),IF(Q14="Probabilidad",M14,"")),"")</f>
        <v>0</v>
      </c>
      <c r="AC14" s="123" t="str">
        <f t="shared" ref="AC14:AC15" si="2">IFERROR(IF(OR(AND(Y14="Muy Baja",AA14="Leve"),AND(Y14="Muy Baja",AA14="Menor"),AND(Y14="Baja",AA14="Leve")),"Bajo",IF(OR(AND(Y14="Muy baja",AA14="Moderado"),AND(Y14="Baja",AA14="Menor"),AND(Y14="Baja",AA14="Moderado"),AND(Y14="Media",AA14="Leve"),AND(Y14="Media",AA14="Menor"),AND(Y14="Media",AA14="Moderado"),AND(Y14="Alta",AA14="Leve"),AND(Y14="Alta",AA14="Menor")),"Moderado",IF(OR(AND(Y14="Muy Baja",AA14="Mayor"),AND(Y14="Baja",AA14="Mayor"),AND(Y14="Media",AA14="Mayor"),AND(Y14="Alta",AA14="Moderado"),AND(Y14="Alta",AA14="Mayor"),AND(Y14="Muy Alta",AA14="Leve"),AND(Y14="Muy Alta",AA14="Menor"),AND(Y14="Muy Alta",AA14="Moderado"),AND(Y14="Muy Alta",AA14="Mayor")),"Alto",IF(OR(AND(Y14="Muy Baja",AA14="Catastrófico"),AND(Y14="Baja",AA14="Catastrófico"),AND(Y14="Media",AA14="Catastrófico"),AND(Y14="Alta",AA14="Catastrófico"),AND(Y14="Muy Alta",AA14="Catastrófico")),"Extremo","")))),"")</f>
        <v>Bajo</v>
      </c>
      <c r="AD14" s="119"/>
      <c r="AE14" s="124" t="s">
        <v>222</v>
      </c>
      <c r="AF14" s="124" t="s">
        <v>223</v>
      </c>
      <c r="AG14" s="125">
        <v>45807</v>
      </c>
      <c r="AH14" s="416">
        <v>45786</v>
      </c>
      <c r="AI14" s="420" t="s">
        <v>243</v>
      </c>
      <c r="AJ14" s="138" t="s">
        <v>41</v>
      </c>
      <c r="AK14" s="418">
        <v>45905</v>
      </c>
      <c r="AL14" s="421" t="s">
        <v>253</v>
      </c>
      <c r="AM14" s="138" t="s">
        <v>41</v>
      </c>
      <c r="AN14" s="144">
        <v>46006</v>
      </c>
      <c r="AO14" s="144" t="s">
        <v>259</v>
      </c>
      <c r="AP14" s="138" t="s">
        <v>40</v>
      </c>
      <c r="AQ14" s="109"/>
      <c r="AR14" s="109"/>
      <c r="AS14" s="109"/>
      <c r="AT14" s="109"/>
      <c r="AU14" s="109"/>
      <c r="AV14" s="109"/>
      <c r="AW14" s="109"/>
      <c r="AX14" s="109"/>
      <c r="AY14" s="109"/>
      <c r="AZ14" s="109"/>
      <c r="BA14" s="109"/>
      <c r="BB14" s="109"/>
      <c r="BC14" s="109"/>
      <c r="BD14" s="109"/>
      <c r="BE14" s="109"/>
      <c r="BF14" s="109"/>
      <c r="BG14" s="109"/>
      <c r="BH14" s="109"/>
      <c r="BI14" s="109"/>
      <c r="BJ14" s="109"/>
      <c r="BK14" s="109"/>
      <c r="BL14" s="109"/>
      <c r="BM14" s="109"/>
      <c r="BN14" s="109"/>
      <c r="BO14" s="109"/>
      <c r="BP14" s="109"/>
      <c r="BQ14" s="109"/>
      <c r="BR14" s="109"/>
      <c r="BS14" s="109"/>
      <c r="BT14" s="109"/>
      <c r="BU14" s="109"/>
      <c r="BV14" s="109"/>
    </row>
    <row r="15" spans="1:74" ht="74.25" customHeight="1" x14ac:dyDescent="0.2">
      <c r="A15" s="201"/>
      <c r="B15" s="202"/>
      <c r="C15" s="202"/>
      <c r="D15" s="202"/>
      <c r="E15" s="203"/>
      <c r="F15" s="202"/>
      <c r="G15" s="235"/>
      <c r="H15" s="207"/>
      <c r="I15" s="205"/>
      <c r="J15" s="206"/>
      <c r="K15" s="205">
        <f>IF(NOT(ISERROR(MATCH(J15,_xlfn.ANCHORARRAY(E24),0))),I26&amp;"Por favor no seleccionar los criterios de impacto",J15)</f>
        <v>0</v>
      </c>
      <c r="L15" s="230"/>
      <c r="M15" s="205"/>
      <c r="N15" s="208"/>
      <c r="O15" s="116">
        <v>3</v>
      </c>
      <c r="P15" s="126" t="s">
        <v>238</v>
      </c>
      <c r="Q15" s="118" t="s">
        <v>4</v>
      </c>
      <c r="R15" s="119" t="s">
        <v>14</v>
      </c>
      <c r="S15" s="119" t="s">
        <v>9</v>
      </c>
      <c r="T15" s="120" t="str">
        <f t="shared" ref="T15:T16" si="3">IF(AND(R15="Preventivo",S15="Automático"),"50%",IF(AND(R15="Preventivo",S15="Manual"),"40%",IF(AND(R15="Detectivo",S15="Automático"),"40%",IF(AND(R15="Detectivo",S15="Manual"),"30%",IF(AND(R15="Correctivo",S15="Automático"),"35%",IF(AND(R15="Correctivo",S15="Manual"),"25%",""))))))</f>
        <v>40%</v>
      </c>
      <c r="U15" s="119" t="s">
        <v>19</v>
      </c>
      <c r="V15" s="119" t="s">
        <v>22</v>
      </c>
      <c r="W15" s="119" t="s">
        <v>119</v>
      </c>
      <c r="X15" s="121">
        <f>IFERROR(IF(AND(Q14="Probabilidad",Q15="Probabilidad"),(Z14-(+Z14*T15)),IF(AND(Q14="Impacto",Q15="Probabilidad"),(Z13-(+Z13*T15)),IF(Q15="Impacto",Z14,""))),"")</f>
        <v>8.6399999999999991E-2</v>
      </c>
      <c r="Y15" s="122" t="str">
        <f t="shared" si="0"/>
        <v>Muy Baja</v>
      </c>
      <c r="Z15" s="120">
        <f t="shared" si="1"/>
        <v>8.6399999999999991E-2</v>
      </c>
      <c r="AA15" s="122" t="str">
        <f t="shared" ref="AA15:AA16" si="4">IFERROR(IF(AB15="","",IF(AB15&lt;=0.2,"Leve",IF(AB15&lt;=0.4,"Menor",IF(AB15&lt;=0.6,"Moderado",IF(AB15&lt;=0.8,"Mayor","Catastrófico"))))),"")</f>
        <v>Leve</v>
      </c>
      <c r="AB15" s="120">
        <f>IFERROR(IF(AND(Q14="Impacto",Q15="Impacto"),(AB14-(+AB14*T15)),IF(AND(Q14="Probabilidad",Q15="Impacto"),(AB13-(+AB13*T15)),IF(Q15="Probabilidad",AB14,""))),"")</f>
        <v>0</v>
      </c>
      <c r="AC15" s="123" t="str">
        <f t="shared" si="2"/>
        <v>Bajo</v>
      </c>
      <c r="AD15" s="119"/>
      <c r="AE15" s="188" t="s">
        <v>246</v>
      </c>
      <c r="AF15" s="188" t="s">
        <v>244</v>
      </c>
      <c r="AG15" s="125">
        <v>45681</v>
      </c>
      <c r="AH15" s="416">
        <v>45687</v>
      </c>
      <c r="AI15" s="139" t="s">
        <v>237</v>
      </c>
      <c r="AJ15" s="138" t="s">
        <v>40</v>
      </c>
      <c r="AK15" s="418"/>
      <c r="AL15" s="139"/>
      <c r="AM15" s="138"/>
      <c r="AN15" s="144">
        <v>46006</v>
      </c>
      <c r="AO15" s="142"/>
      <c r="AP15" s="138"/>
      <c r="AQ15" s="109"/>
      <c r="AR15" s="109"/>
      <c r="AS15" s="109"/>
      <c r="AT15" s="109"/>
      <c r="AU15" s="109"/>
      <c r="AV15" s="109"/>
      <c r="AW15" s="109"/>
      <c r="AX15" s="109"/>
      <c r="AY15" s="109"/>
      <c r="AZ15" s="109"/>
      <c r="BA15" s="109"/>
      <c r="BB15" s="109"/>
      <c r="BC15" s="109"/>
      <c r="BD15" s="109"/>
      <c r="BE15" s="109"/>
      <c r="BF15" s="109"/>
      <c r="BG15" s="109"/>
      <c r="BH15" s="109"/>
      <c r="BI15" s="109"/>
      <c r="BJ15" s="109"/>
      <c r="BK15" s="109"/>
      <c r="BL15" s="109"/>
      <c r="BM15" s="109"/>
      <c r="BN15" s="109"/>
      <c r="BO15" s="109"/>
      <c r="BP15" s="109"/>
      <c r="BQ15" s="109"/>
      <c r="BR15" s="109"/>
      <c r="BS15" s="109"/>
      <c r="BT15" s="109"/>
      <c r="BU15" s="109"/>
      <c r="BV15" s="109"/>
    </row>
    <row r="16" spans="1:74" ht="105" x14ac:dyDescent="0.2">
      <c r="A16" s="201"/>
      <c r="B16" s="202"/>
      <c r="C16" s="202"/>
      <c r="D16" s="202"/>
      <c r="E16" s="203"/>
      <c r="F16" s="202"/>
      <c r="G16" s="235"/>
      <c r="H16" s="207"/>
      <c r="I16" s="205"/>
      <c r="J16" s="206"/>
      <c r="K16" s="205">
        <f>IF(NOT(ISERROR(MATCH(J16,_xlfn.ANCHORARRAY(E25),0))),#REF!&amp;"Por favor no seleccionar los criterios de impacto",J16)</f>
        <v>0</v>
      </c>
      <c r="L16" s="230"/>
      <c r="M16" s="205"/>
      <c r="N16" s="208"/>
      <c r="O16" s="116">
        <v>4</v>
      </c>
      <c r="P16" s="117" t="s">
        <v>239</v>
      </c>
      <c r="Q16" s="118" t="s">
        <v>4</v>
      </c>
      <c r="R16" s="119" t="s">
        <v>14</v>
      </c>
      <c r="S16" s="119" t="s">
        <v>9</v>
      </c>
      <c r="T16" s="120" t="str">
        <f t="shared" si="3"/>
        <v>40%</v>
      </c>
      <c r="U16" s="119" t="s">
        <v>19</v>
      </c>
      <c r="V16" s="119" t="s">
        <v>22</v>
      </c>
      <c r="W16" s="119" t="s">
        <v>119</v>
      </c>
      <c r="X16" s="121">
        <f t="shared" ref="X16" si="5">IFERROR(IF(AND(Q15="Probabilidad",Q16="Probabilidad"),(Z15-(+Z15*T16)),IF(AND(Q15="Impacto",Q16="Probabilidad"),(Z14-(+Z14*T16)),IF(Q16="Impacto",Z15,""))),"")</f>
        <v>5.183999999999999E-2</v>
      </c>
      <c r="Y16" s="122" t="str">
        <f t="shared" si="0"/>
        <v>Muy Baja</v>
      </c>
      <c r="Z16" s="120">
        <f t="shared" si="1"/>
        <v>5.183999999999999E-2</v>
      </c>
      <c r="AA16" s="122" t="str">
        <f t="shared" si="4"/>
        <v>Leve</v>
      </c>
      <c r="AB16" s="120">
        <f t="shared" ref="AB16" si="6">IFERROR(IF(AND(Q15="Impacto",Q16="Impacto"),(AB15-(+AB15*T16)),IF(AND(Q15="Probabilidad",Q16="Impacto"),(AB14-(+AB14*T16)),IF(Q16="Probabilidad",AB15,""))),"")</f>
        <v>0</v>
      </c>
      <c r="AC16" s="123" t="str">
        <f>IFERROR(IF(OR(AND(Y16="Muy Baja",AA16="Leve"),AND(Y16="Muy Baja",AA16="Menor"),AND(Y16="Baja",AA16="Leve")),"Bajo",IF(OR(AND(Y16="Muy baja",AA16="Moderado"),AND(Y16="Baja",AA16="Menor"),AND(Y16="Baja",AA16="Moderado"),AND(Y16="Media",AA16="Leve"),AND(Y16="Media",AA16="Menor"),AND(Y16="Media",AA16="Moderado"),AND(Y16="Alta",AA16="Leve"),AND(Y16="Alta",AA16="Menor")),"Moderado",IF(OR(AND(Y16="Muy Baja",AA16="Mayor"),AND(Y16="Baja",AA16="Mayor"),AND(Y16="Media",AA16="Mayor"),AND(Y16="Alta",AA16="Moderado"),AND(Y16="Alta",AA16="Mayor"),AND(Y16="Muy Alta",AA16="Leve"),AND(Y16="Muy Alta",AA16="Menor"),AND(Y16="Muy Alta",AA16="Moderado"),AND(Y16="Muy Alta",AA16="Mayor")),"Alto",IF(OR(AND(Y16="Muy Baja",AA16="Catastrófico"),AND(Y16="Baja",AA16="Catastrófico"),AND(Y16="Media",AA16="Catastrófico"),AND(Y16="Alta",AA16="Catastrófico"),AND(Y16="Muy Alta",AA16="Catastrófico")),"Extremo","")))),"")</f>
        <v>Bajo</v>
      </c>
      <c r="AD16" s="119"/>
      <c r="AE16" s="189"/>
      <c r="AF16" s="189"/>
      <c r="AG16" s="143" t="s">
        <v>245</v>
      </c>
      <c r="AH16" s="416">
        <v>45786</v>
      </c>
      <c r="AI16" s="139" t="s">
        <v>236</v>
      </c>
      <c r="AJ16" s="138" t="s">
        <v>41</v>
      </c>
      <c r="AK16" s="418">
        <v>45905</v>
      </c>
      <c r="AL16" s="417" t="s">
        <v>254</v>
      </c>
      <c r="AM16" s="138" t="s">
        <v>41</v>
      </c>
      <c r="AN16" s="144">
        <v>46006</v>
      </c>
      <c r="AO16" s="417" t="s">
        <v>258</v>
      </c>
      <c r="AP16" s="138" t="s">
        <v>40</v>
      </c>
      <c r="AQ16" s="109"/>
      <c r="AR16" s="109"/>
      <c r="AS16" s="109"/>
      <c r="AT16" s="109"/>
      <c r="AU16" s="109"/>
      <c r="AV16" s="109"/>
      <c r="AW16" s="109"/>
      <c r="AX16" s="109"/>
      <c r="AY16" s="109"/>
      <c r="AZ16" s="109"/>
      <c r="BA16" s="109"/>
      <c r="BB16" s="109"/>
      <c r="BC16" s="109"/>
      <c r="BD16" s="109"/>
      <c r="BE16" s="109"/>
      <c r="BF16" s="109"/>
      <c r="BG16" s="109"/>
      <c r="BH16" s="109"/>
      <c r="BI16" s="109"/>
      <c r="BJ16" s="109"/>
      <c r="BK16" s="109"/>
      <c r="BL16" s="109"/>
      <c r="BM16" s="109"/>
      <c r="BN16" s="109"/>
      <c r="BO16" s="109"/>
      <c r="BP16" s="109"/>
      <c r="BQ16" s="109"/>
      <c r="BR16" s="109"/>
      <c r="BS16" s="109"/>
      <c r="BT16" s="109"/>
      <c r="BU16" s="109"/>
      <c r="BV16" s="109"/>
    </row>
    <row r="17" spans="1:74" ht="99.75" customHeight="1" x14ac:dyDescent="0.2">
      <c r="A17" s="201">
        <v>2</v>
      </c>
      <c r="B17" s="202" t="s">
        <v>133</v>
      </c>
      <c r="C17" s="202" t="s">
        <v>233</v>
      </c>
      <c r="D17" s="202" t="s">
        <v>234</v>
      </c>
      <c r="E17" s="203" t="s">
        <v>247</v>
      </c>
      <c r="F17" s="202" t="s">
        <v>123</v>
      </c>
      <c r="G17" s="209">
        <v>375</v>
      </c>
      <c r="H17" s="207" t="str">
        <f>IF(G17&lt;=0,"",IF(G17&lt;=2,"Muy Baja",IF(G17&lt;=24,"Baja",IF(G17&lt;=500,"Media",IF(G17&lt;=5000,"Alta","Muy Alta")))))</f>
        <v>Media</v>
      </c>
      <c r="I17" s="205">
        <f>IF(H17="","",IF(H17="Muy Baja",0.2,IF(H17="Baja",0.4,IF(H17="Media",0.6,IF(H17="Alta",0.8,IF(H17="Muy Alta",1,))))))</f>
        <v>0.6</v>
      </c>
      <c r="J17" s="206" t="s">
        <v>153</v>
      </c>
      <c r="K17" s="205" t="str">
        <f>IF(NOT(ISERROR(MATCH(J17,#REF!,0))),#REF!&amp;"Por favor no seleccionar los criterios de impacto(Afectación Económica o presupuestal y Pérdida Reputacional)",J17)</f>
        <v xml:space="preserve">     El riesgo afecta la imagen de la entidad con algunos usuarios de relevancia frente al logro de los objetivos</v>
      </c>
      <c r="L17" s="207" t="str">
        <f>IF(OR(K17='[1]Tabla Impacto'!$C$11,K17='[1]Tabla Impacto'!$D$11),"Leve",IF(OR(K17='[1]Tabla Impacto'!$C$12,K17='[1]Tabla Impacto'!$D$12),"Menor",IF(OR(K17='[1]Tabla Impacto'!$C$13,K17='[1]Tabla Impacto'!$D$13),"Moderado",IF(OR(K17='[1]Tabla Impacto'!$C$14,K17='[1]Tabla Impacto'!$D$14),"Mayor",IF(OR(K17='[1]Tabla Impacto'!$C$15,K17='[1]Tabla Impacto'!$D$15),"Catastrófico","")))))</f>
        <v>Moderado</v>
      </c>
      <c r="M17" s="205">
        <f>IF(L17="","",IF(L17="Leve",0.2,IF(L17="Menor",0.4,IF(L17="Moderado",0.6,IF(L17="Mayor",0.8,IF(L17="Catastrófico",1,))))))</f>
        <v>0.6</v>
      </c>
      <c r="N17" s="208" t="str">
        <f>IF(OR(AND(H17="Muy Baja",L17="Leve"),AND(H17="Muy Baja",L17="Menor"),AND(H17="Baja",L17="Leve")),"Bajo",IF(OR(AND(H17="Muy baja",L17="Moderado"),AND(H17="Baja",L17="Menor"),AND(H17="Baja",L17="Moderado"),AND(H17="Media",L17="Leve"),AND(H17="Media",L17="Menor"),AND(H17="Media",L17="Moderado"),AND(H17="Alta",L17="Leve"),AND(H17="Alta",L17="Menor")),"Moderado",IF(OR(AND(H17="Muy Baja",L17="Mayor"),AND(H17="Baja",L17="Mayor"),AND(H17="Media",L17="Mayor"),AND(H17="Alta",L17="Moderado"),AND(H17="Alta",L17="Mayor"),AND(H17="Muy Alta",L17="Leve"),AND(H17="Muy Alta",L17="Menor"),AND(H17="Muy Alta",L17="Moderado"),AND(H17="Muy Alta",L17="Mayor")),"Alto",IF(OR(AND(H17="Muy Baja",L17="Catastrófico"),AND(H17="Baja",L17="Catastrófico"),AND(H17="Media",L17="Catastrófico"),AND(H17="Alta",L17="Catastrófico"),AND(H17="Muy Alta",L17="Catastrófico")),"Extremo",""))))</f>
        <v>Moderado</v>
      </c>
      <c r="O17" s="210">
        <v>1</v>
      </c>
      <c r="P17" s="213" t="s">
        <v>255</v>
      </c>
      <c r="Q17" s="216" t="str">
        <f>IF(OR(R17="Preventivo",R17="Detectivo"),"Probabilidad",IF(R17="Correctivo","Impacto",""))</f>
        <v>Probabilidad</v>
      </c>
      <c r="R17" s="219" t="s">
        <v>14</v>
      </c>
      <c r="S17" s="219" t="s">
        <v>9</v>
      </c>
      <c r="T17" s="222" t="str">
        <f>IF(AND(R17="Preventivo",S17="Automático"),"50%",IF(AND(R17="Preventivo",S17="Manual"),"40%",IF(AND(R17="Detectivo",S17="Automático"),"40%",IF(AND(R17="Detectivo",S17="Manual"),"30%",IF(AND(R17="Correctivo",S17="Automático"),"35%",IF(AND(R17="Correctivo",S17="Manual"),"25%",""))))))</f>
        <v>40%</v>
      </c>
      <c r="U17" s="219" t="s">
        <v>20</v>
      </c>
      <c r="V17" s="219" t="s">
        <v>22</v>
      </c>
      <c r="W17" s="219" t="s">
        <v>119</v>
      </c>
      <c r="X17" s="258">
        <f>IFERROR(IF(Q17="Probabilidad",(I17-(+I17*T17)),IF(Q17="Impacto",I17,"")),"")</f>
        <v>0.36</v>
      </c>
      <c r="Y17" s="261" t="str">
        <f>IFERROR(IF(X17="","",IF(X17&lt;=0.2,"Muy Baja",IF(X17&lt;=0.4,"Baja",IF(X17&lt;=0.6,"Media",IF(X17&lt;=0.8,"Alta","Muy Alta"))))),"")</f>
        <v>Baja</v>
      </c>
      <c r="Z17" s="222">
        <f>+X17</f>
        <v>0.36</v>
      </c>
      <c r="AA17" s="261" t="str">
        <f>IFERROR(IF(AB17="","",IF(AB17&lt;=0.2,"Leve",IF(AB17&lt;=0.4,"Menor",IF(AB17&lt;=0.6,"Moderado",IF(AB17&lt;=0.8,"Mayor","Catastrófico"))))),"")</f>
        <v>Moderado</v>
      </c>
      <c r="AB17" s="222">
        <f>IFERROR(IF(Q17="Impacto",(M17-(+M17*T17)),IF(Q17="Probabilidad",M17,"")),"")</f>
        <v>0.6</v>
      </c>
      <c r="AC17" s="264" t="str">
        <f>IFERROR(IF(OR(AND(Y17="Muy Baja",AA17="Leve"),AND(Y17="Muy Baja",AA17="Menor"),AND(Y17="Baja",AA17="Leve")),"Bajo",IF(OR(AND(Y17="Muy baja",AA17="Moderado"),AND(Y17="Baja",AA17="Menor"),AND(Y17="Baja",AA17="Moderado"),AND(Y17="Media",AA17="Leve"),AND(Y17="Media",AA17="Menor"),AND(Y17="Media",AA17="Moderado"),AND(Y17="Alta",AA17="Leve"),AND(Y17="Alta",AA17="Menor")),"Moderado",IF(OR(AND(Y17="Muy Baja",AA17="Mayor"),AND(Y17="Baja",AA17="Mayor"),AND(Y17="Media",AA17="Mayor"),AND(Y17="Alta",AA17="Moderado"),AND(Y17="Alta",AA17="Mayor"),AND(Y17="Muy Alta",AA17="Leve"),AND(Y17="Muy Alta",AA17="Menor"),AND(Y17="Muy Alta",AA17="Moderado"),AND(Y17="Muy Alta",AA17="Mayor")),"Alto",IF(OR(AND(Y17="Muy Baja",AA17="Catastrófico"),AND(Y17="Baja",AA17="Catastrófico"),AND(Y17="Media",AA17="Catastrófico"),AND(Y17="Alta",AA17="Catastrófico"),AND(Y17="Muy Alta",AA17="Catastrófico")),"Extremo","")))),"")</f>
        <v>Moderado</v>
      </c>
      <c r="AD17" s="219" t="s">
        <v>135</v>
      </c>
      <c r="AE17" s="225" t="s">
        <v>249</v>
      </c>
      <c r="AF17" s="225" t="s">
        <v>250</v>
      </c>
      <c r="AG17" s="254">
        <v>45658</v>
      </c>
      <c r="AH17" s="422">
        <v>45786</v>
      </c>
      <c r="AI17" s="423" t="s">
        <v>251</v>
      </c>
      <c r="AJ17" s="424" t="s">
        <v>41</v>
      </c>
      <c r="AK17" s="425">
        <v>45905</v>
      </c>
      <c r="AL17" s="426" t="s">
        <v>251</v>
      </c>
      <c r="AM17" s="251" t="s">
        <v>41</v>
      </c>
      <c r="AN17" s="248">
        <v>46006</v>
      </c>
      <c r="AO17" s="426" t="s">
        <v>251</v>
      </c>
      <c r="AP17" s="251" t="s">
        <v>40</v>
      </c>
      <c r="AQ17" s="109"/>
      <c r="AR17" s="109"/>
      <c r="AS17" s="109"/>
      <c r="AT17" s="109"/>
      <c r="AU17" s="109"/>
      <c r="AV17" s="109"/>
      <c r="AW17" s="109"/>
      <c r="AX17" s="109"/>
      <c r="AY17" s="109"/>
      <c r="AZ17" s="109"/>
      <c r="BA17" s="109"/>
      <c r="BB17" s="109"/>
      <c r="BC17" s="109"/>
      <c r="BD17" s="109"/>
      <c r="BE17" s="109"/>
      <c r="BF17" s="109"/>
      <c r="BG17" s="109"/>
      <c r="BH17" s="109"/>
      <c r="BI17" s="109"/>
      <c r="BJ17" s="109"/>
      <c r="BK17" s="109"/>
      <c r="BL17" s="109"/>
      <c r="BM17" s="109"/>
      <c r="BN17" s="109"/>
      <c r="BO17" s="109"/>
      <c r="BP17" s="109"/>
      <c r="BQ17" s="109"/>
      <c r="BR17" s="109"/>
      <c r="BS17" s="109"/>
      <c r="BT17" s="109"/>
      <c r="BU17" s="109"/>
      <c r="BV17" s="109"/>
    </row>
    <row r="18" spans="1:74" ht="15" customHeight="1" x14ac:dyDescent="0.2">
      <c r="A18" s="201"/>
      <c r="B18" s="202"/>
      <c r="C18" s="202"/>
      <c r="D18" s="202"/>
      <c r="E18" s="203"/>
      <c r="F18" s="202"/>
      <c r="G18" s="209"/>
      <c r="H18" s="207"/>
      <c r="I18" s="205"/>
      <c r="J18" s="206"/>
      <c r="K18" s="205">
        <f>IF(NOT(ISERROR(MATCH(J18,_xlfn.ANCHORARRAY(#REF!),0))),#REF!&amp;"Por favor no seleccionar los criterios de impacto",J18)</f>
        <v>0</v>
      </c>
      <c r="L18" s="207"/>
      <c r="M18" s="205"/>
      <c r="N18" s="208"/>
      <c r="O18" s="211"/>
      <c r="P18" s="214"/>
      <c r="Q18" s="217"/>
      <c r="R18" s="220"/>
      <c r="S18" s="220"/>
      <c r="T18" s="223"/>
      <c r="U18" s="220"/>
      <c r="V18" s="220"/>
      <c r="W18" s="220"/>
      <c r="X18" s="259"/>
      <c r="Y18" s="262"/>
      <c r="Z18" s="223"/>
      <c r="AA18" s="262"/>
      <c r="AB18" s="223"/>
      <c r="AC18" s="265"/>
      <c r="AD18" s="220"/>
      <c r="AE18" s="226"/>
      <c r="AF18" s="226"/>
      <c r="AG18" s="255"/>
      <c r="AH18" s="422"/>
      <c r="AI18" s="427"/>
      <c r="AJ18" s="428"/>
      <c r="AK18" s="425"/>
      <c r="AL18" s="429"/>
      <c r="AM18" s="252"/>
      <c r="AN18" s="249"/>
      <c r="AO18" s="429"/>
      <c r="AP18" s="252"/>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109"/>
      <c r="BV18" s="109"/>
    </row>
    <row r="19" spans="1:74" ht="15" customHeight="1" x14ac:dyDescent="0.2">
      <c r="A19" s="201"/>
      <c r="B19" s="202"/>
      <c r="C19" s="202"/>
      <c r="D19" s="202"/>
      <c r="E19" s="203"/>
      <c r="F19" s="202"/>
      <c r="G19" s="209"/>
      <c r="H19" s="207"/>
      <c r="I19" s="205"/>
      <c r="J19" s="206"/>
      <c r="K19" s="205">
        <f>IF(NOT(ISERROR(MATCH(J19,_xlfn.ANCHORARRAY(#REF!),0))),#REF!&amp;"Por favor no seleccionar los criterios de impacto",J19)</f>
        <v>0</v>
      </c>
      <c r="L19" s="207"/>
      <c r="M19" s="205"/>
      <c r="N19" s="208"/>
      <c r="O19" s="211"/>
      <c r="P19" s="214"/>
      <c r="Q19" s="217"/>
      <c r="R19" s="220"/>
      <c r="S19" s="220"/>
      <c r="T19" s="223"/>
      <c r="U19" s="220"/>
      <c r="V19" s="220"/>
      <c r="W19" s="220"/>
      <c r="X19" s="259"/>
      <c r="Y19" s="262"/>
      <c r="Z19" s="223"/>
      <c r="AA19" s="262"/>
      <c r="AB19" s="223"/>
      <c r="AC19" s="265"/>
      <c r="AD19" s="220"/>
      <c r="AE19" s="226"/>
      <c r="AF19" s="226"/>
      <c r="AG19" s="255"/>
      <c r="AH19" s="422"/>
      <c r="AI19" s="427"/>
      <c r="AJ19" s="428"/>
      <c r="AK19" s="425"/>
      <c r="AL19" s="429"/>
      <c r="AM19" s="252"/>
      <c r="AN19" s="249"/>
      <c r="AO19" s="429"/>
      <c r="AP19" s="252"/>
      <c r="AQ19" s="109"/>
      <c r="AR19" s="109"/>
      <c r="AS19" s="109"/>
      <c r="AT19" s="109"/>
      <c r="AU19" s="109"/>
      <c r="AV19" s="109"/>
      <c r="AW19" s="109"/>
      <c r="AX19" s="109"/>
      <c r="AY19" s="109"/>
      <c r="AZ19" s="109"/>
      <c r="BA19" s="109"/>
      <c r="BB19" s="109"/>
      <c r="BC19" s="109"/>
      <c r="BD19" s="109"/>
      <c r="BE19" s="109"/>
      <c r="BF19" s="109"/>
      <c r="BG19" s="109"/>
      <c r="BH19" s="109"/>
      <c r="BI19" s="109"/>
      <c r="BJ19" s="109"/>
      <c r="BK19" s="109"/>
      <c r="BL19" s="109"/>
      <c r="BM19" s="109"/>
      <c r="BN19" s="109"/>
      <c r="BO19" s="109"/>
      <c r="BP19" s="109"/>
      <c r="BQ19" s="109"/>
      <c r="BR19" s="109"/>
      <c r="BS19" s="109"/>
      <c r="BT19" s="109"/>
      <c r="BU19" s="109"/>
      <c r="BV19" s="109"/>
    </row>
    <row r="20" spans="1:74" ht="15" customHeight="1" x14ac:dyDescent="0.2">
      <c r="A20" s="201"/>
      <c r="B20" s="202"/>
      <c r="C20" s="202"/>
      <c r="D20" s="202"/>
      <c r="E20" s="203"/>
      <c r="F20" s="202"/>
      <c r="G20" s="209"/>
      <c r="H20" s="207"/>
      <c r="I20" s="205"/>
      <c r="J20" s="206"/>
      <c r="K20" s="205">
        <f>IF(NOT(ISERROR(MATCH(J20,_xlfn.ANCHORARRAY(#REF!),0))),#REF!&amp;"Por favor no seleccionar los criterios de impacto",J20)</f>
        <v>0</v>
      </c>
      <c r="L20" s="207"/>
      <c r="M20" s="205"/>
      <c r="N20" s="208"/>
      <c r="O20" s="211"/>
      <c r="P20" s="214"/>
      <c r="Q20" s="217"/>
      <c r="R20" s="220"/>
      <c r="S20" s="220"/>
      <c r="T20" s="223"/>
      <c r="U20" s="220"/>
      <c r="V20" s="220"/>
      <c r="W20" s="220"/>
      <c r="X20" s="259"/>
      <c r="Y20" s="262"/>
      <c r="Z20" s="223"/>
      <c r="AA20" s="262"/>
      <c r="AB20" s="223"/>
      <c r="AC20" s="265"/>
      <c r="AD20" s="220"/>
      <c r="AE20" s="226"/>
      <c r="AF20" s="226"/>
      <c r="AG20" s="255"/>
      <c r="AH20" s="422"/>
      <c r="AI20" s="427"/>
      <c r="AJ20" s="428"/>
      <c r="AK20" s="425"/>
      <c r="AL20" s="429"/>
      <c r="AM20" s="252"/>
      <c r="AN20" s="249"/>
      <c r="AO20" s="429"/>
      <c r="AP20" s="252"/>
      <c r="AQ20" s="109"/>
      <c r="AR20" s="109"/>
      <c r="AS20" s="109"/>
      <c r="AT20" s="109"/>
      <c r="AU20" s="109"/>
      <c r="AV20" s="109"/>
      <c r="AW20" s="109"/>
      <c r="AX20" s="109"/>
      <c r="AY20" s="109"/>
      <c r="AZ20" s="109"/>
      <c r="BA20" s="109"/>
      <c r="BB20" s="109"/>
      <c r="BC20" s="109"/>
      <c r="BD20" s="109"/>
      <c r="BE20" s="109"/>
      <c r="BF20" s="109"/>
      <c r="BG20" s="109"/>
      <c r="BH20" s="109"/>
      <c r="BI20" s="109"/>
      <c r="BJ20" s="109"/>
      <c r="BK20" s="109"/>
      <c r="BL20" s="109"/>
      <c r="BM20" s="109"/>
      <c r="BN20" s="109"/>
      <c r="BO20" s="109"/>
      <c r="BP20" s="109"/>
      <c r="BQ20" s="109"/>
      <c r="BR20" s="109"/>
      <c r="BS20" s="109"/>
      <c r="BT20" s="109"/>
      <c r="BU20" s="109"/>
      <c r="BV20" s="109"/>
    </row>
    <row r="21" spans="1:74" ht="15" customHeight="1" x14ac:dyDescent="0.2">
      <c r="A21" s="201"/>
      <c r="B21" s="202"/>
      <c r="C21" s="202"/>
      <c r="D21" s="202"/>
      <c r="E21" s="203"/>
      <c r="F21" s="202"/>
      <c r="G21" s="209"/>
      <c r="H21" s="207"/>
      <c r="I21" s="205"/>
      <c r="J21" s="206"/>
      <c r="K21" s="205">
        <f>IF(NOT(ISERROR(MATCH(J21,_xlfn.ANCHORARRAY(#REF!),0))),#REF!&amp;"Por favor no seleccionar los criterios de impacto",J21)</f>
        <v>0</v>
      </c>
      <c r="L21" s="207"/>
      <c r="M21" s="205"/>
      <c r="N21" s="208"/>
      <c r="O21" s="211"/>
      <c r="P21" s="214"/>
      <c r="Q21" s="217"/>
      <c r="R21" s="220"/>
      <c r="S21" s="220"/>
      <c r="T21" s="223"/>
      <c r="U21" s="220"/>
      <c r="V21" s="220"/>
      <c r="W21" s="220"/>
      <c r="X21" s="259"/>
      <c r="Y21" s="262"/>
      <c r="Z21" s="223"/>
      <c r="AA21" s="262"/>
      <c r="AB21" s="223"/>
      <c r="AC21" s="265"/>
      <c r="AD21" s="220"/>
      <c r="AE21" s="226"/>
      <c r="AF21" s="226"/>
      <c r="AG21" s="255"/>
      <c r="AH21" s="422"/>
      <c r="AI21" s="427"/>
      <c r="AJ21" s="428"/>
      <c r="AK21" s="425"/>
      <c r="AL21" s="429"/>
      <c r="AM21" s="252"/>
      <c r="AN21" s="249"/>
      <c r="AO21" s="429"/>
      <c r="AP21" s="252"/>
      <c r="AQ21" s="109"/>
      <c r="AR21" s="109"/>
      <c r="AS21" s="109"/>
      <c r="AT21" s="109"/>
      <c r="AU21" s="109"/>
      <c r="AV21" s="109"/>
      <c r="AW21" s="109"/>
      <c r="AX21" s="109"/>
      <c r="AY21" s="109"/>
      <c r="AZ21" s="109"/>
      <c r="BA21" s="109"/>
      <c r="BB21" s="109"/>
      <c r="BC21" s="109"/>
      <c r="BD21" s="109"/>
      <c r="BE21" s="109"/>
      <c r="BF21" s="109"/>
      <c r="BG21" s="109"/>
      <c r="BH21" s="109"/>
      <c r="BI21" s="109"/>
      <c r="BJ21" s="109"/>
      <c r="BK21" s="109"/>
      <c r="BL21" s="109"/>
      <c r="BM21" s="109"/>
      <c r="BN21" s="109"/>
      <c r="BO21" s="109"/>
      <c r="BP21" s="109"/>
      <c r="BQ21" s="109"/>
      <c r="BR21" s="109"/>
      <c r="BS21" s="109"/>
      <c r="BT21" s="109"/>
      <c r="BU21" s="109"/>
      <c r="BV21" s="109"/>
    </row>
    <row r="22" spans="1:74" ht="59.25" customHeight="1" x14ac:dyDescent="0.2">
      <c r="A22" s="201"/>
      <c r="B22" s="202"/>
      <c r="C22" s="202"/>
      <c r="D22" s="202"/>
      <c r="E22" s="203"/>
      <c r="F22" s="202"/>
      <c r="G22" s="209"/>
      <c r="H22" s="207"/>
      <c r="I22" s="205"/>
      <c r="J22" s="206"/>
      <c r="K22" s="205">
        <f>IF(NOT(ISERROR(MATCH(J22,_xlfn.ANCHORARRAY(#REF!),0))),#REF!&amp;"Por favor no seleccionar los criterios de impacto",J22)</f>
        <v>0</v>
      </c>
      <c r="L22" s="207"/>
      <c r="M22" s="205"/>
      <c r="N22" s="208"/>
      <c r="O22" s="212"/>
      <c r="P22" s="215"/>
      <c r="Q22" s="218"/>
      <c r="R22" s="221"/>
      <c r="S22" s="221"/>
      <c r="T22" s="224"/>
      <c r="U22" s="221"/>
      <c r="V22" s="221"/>
      <c r="W22" s="221"/>
      <c r="X22" s="260"/>
      <c r="Y22" s="263"/>
      <c r="Z22" s="224"/>
      <c r="AA22" s="263"/>
      <c r="AB22" s="224"/>
      <c r="AC22" s="266"/>
      <c r="AD22" s="221"/>
      <c r="AE22" s="227"/>
      <c r="AF22" s="227"/>
      <c r="AG22" s="256"/>
      <c r="AH22" s="422"/>
      <c r="AI22" s="430"/>
      <c r="AJ22" s="431"/>
      <c r="AK22" s="425"/>
      <c r="AL22" s="432"/>
      <c r="AM22" s="253"/>
      <c r="AN22" s="250"/>
      <c r="AO22" s="432"/>
      <c r="AP22" s="253"/>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109"/>
    </row>
    <row r="23" spans="1:74" ht="49.5" customHeight="1" x14ac:dyDescent="0.25">
      <c r="A23" s="116"/>
      <c r="B23" s="204" t="s">
        <v>212</v>
      </c>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c r="AD23" s="204"/>
      <c r="AE23" s="204"/>
      <c r="AF23" s="204"/>
      <c r="AG23" s="204"/>
      <c r="AH23" s="145"/>
      <c r="AI23" s="140"/>
      <c r="AJ23" s="141"/>
      <c r="AK23" s="145"/>
      <c r="AL23" s="140"/>
      <c r="AM23" s="141"/>
      <c r="AN23" s="137"/>
      <c r="AO23" s="136"/>
      <c r="AP23" s="138"/>
    </row>
    <row r="25" spans="1:74" x14ac:dyDescent="0.25">
      <c r="A25" s="110"/>
      <c r="B25" s="113" t="s">
        <v>142</v>
      </c>
      <c r="C25" s="110"/>
      <c r="D25" s="110"/>
      <c r="F25" s="110"/>
    </row>
  </sheetData>
  <dataConsolidate/>
  <mergeCells count="118">
    <mergeCell ref="AF17:AF22"/>
    <mergeCell ref="W17:W22"/>
    <mergeCell ref="X17:X22"/>
    <mergeCell ref="Y17:Y22"/>
    <mergeCell ref="Z17:Z22"/>
    <mergeCell ref="AA17:AA22"/>
    <mergeCell ref="AB17:AB22"/>
    <mergeCell ref="AC17:AC22"/>
    <mergeCell ref="AD17:AD22"/>
    <mergeCell ref="AL17:AL22"/>
    <mergeCell ref="AM17:AM22"/>
    <mergeCell ref="AN17:AN22"/>
    <mergeCell ref="AO17:AO22"/>
    <mergeCell ref="AP17:AP22"/>
    <mergeCell ref="AG17:AG22"/>
    <mergeCell ref="AH17:AH22"/>
    <mergeCell ref="AI17:AI22"/>
    <mergeCell ref="AJ17:AJ22"/>
    <mergeCell ref="AK17:AK22"/>
    <mergeCell ref="O10:W10"/>
    <mergeCell ref="O7:Q7"/>
    <mergeCell ref="A1:C5"/>
    <mergeCell ref="D1:N2"/>
    <mergeCell ref="D3:N3"/>
    <mergeCell ref="D4:N4"/>
    <mergeCell ref="D5:F5"/>
    <mergeCell ref="G5:I5"/>
    <mergeCell ref="J5:N5"/>
    <mergeCell ref="C7:N7"/>
    <mergeCell ref="A7:B7"/>
    <mergeCell ref="A8:B8"/>
    <mergeCell ref="A9:B9"/>
    <mergeCell ref="C8:N8"/>
    <mergeCell ref="C9:N9"/>
    <mergeCell ref="A10:G10"/>
    <mergeCell ref="A11:A12"/>
    <mergeCell ref="F11:F12"/>
    <mergeCell ref="E11:E12"/>
    <mergeCell ref="D11:D12"/>
    <mergeCell ref="C11:C12"/>
    <mergeCell ref="H10:N10"/>
    <mergeCell ref="B11:B12"/>
    <mergeCell ref="F13:F16"/>
    <mergeCell ref="G13:G16"/>
    <mergeCell ref="H13:H16"/>
    <mergeCell ref="I13:I16"/>
    <mergeCell ref="G11:G12"/>
    <mergeCell ref="H11:H12"/>
    <mergeCell ref="I11:I12"/>
    <mergeCell ref="A13:A16"/>
    <mergeCell ref="B13:B16"/>
    <mergeCell ref="C13:C16"/>
    <mergeCell ref="D13:D16"/>
    <mergeCell ref="E13:E16"/>
    <mergeCell ref="N11:N12"/>
    <mergeCell ref="J11:J12"/>
    <mergeCell ref="K11:K12"/>
    <mergeCell ref="J13:J16"/>
    <mergeCell ref="K13:K16"/>
    <mergeCell ref="L13:L16"/>
    <mergeCell ref="M13:M16"/>
    <mergeCell ref="N13:N16"/>
    <mergeCell ref="AC11:AC12"/>
    <mergeCell ref="AB11:AB12"/>
    <mergeCell ref="X11:X12"/>
    <mergeCell ref="AA11:AA12"/>
    <mergeCell ref="Y11:Y12"/>
    <mergeCell ref="Z11:Z12"/>
    <mergeCell ref="R11:W11"/>
    <mergeCell ref="Q11:Q12"/>
    <mergeCell ref="P11:P12"/>
    <mergeCell ref="L11:L12"/>
    <mergeCell ref="M11:M12"/>
    <mergeCell ref="O11:O12"/>
    <mergeCell ref="A17:A22"/>
    <mergeCell ref="B17:B22"/>
    <mergeCell ref="C17:C22"/>
    <mergeCell ref="D17:D22"/>
    <mergeCell ref="E17:E22"/>
    <mergeCell ref="B23:AG23"/>
    <mergeCell ref="I17:I22"/>
    <mergeCell ref="J17:J22"/>
    <mergeCell ref="K17:K22"/>
    <mergeCell ref="L17:L22"/>
    <mergeCell ref="M17:M22"/>
    <mergeCell ref="N17:N22"/>
    <mergeCell ref="F17:F22"/>
    <mergeCell ref="G17:G22"/>
    <mergeCell ref="H17:H22"/>
    <mergeCell ref="O17:O22"/>
    <mergeCell ref="P17:P22"/>
    <mergeCell ref="Q17:Q22"/>
    <mergeCell ref="R17:R22"/>
    <mergeCell ref="S17:S22"/>
    <mergeCell ref="T17:T22"/>
    <mergeCell ref="U17:U22"/>
    <mergeCell ref="V17:V22"/>
    <mergeCell ref="AE17:AE22"/>
    <mergeCell ref="AE10:AG10"/>
    <mergeCell ref="AE11:AE12"/>
    <mergeCell ref="AG11:AG12"/>
    <mergeCell ref="AF11:AF12"/>
    <mergeCell ref="AD11:AD12"/>
    <mergeCell ref="AE15:AE16"/>
    <mergeCell ref="AF15:AF16"/>
    <mergeCell ref="AK10:AM10"/>
    <mergeCell ref="AN10:AP10"/>
    <mergeCell ref="AH11:AH12"/>
    <mergeCell ref="AI11:AI12"/>
    <mergeCell ref="AJ11:AJ12"/>
    <mergeCell ref="AK11:AK12"/>
    <mergeCell ref="AL11:AL12"/>
    <mergeCell ref="AM11:AM12"/>
    <mergeCell ref="AN11:AN12"/>
    <mergeCell ref="AO11:AO12"/>
    <mergeCell ref="AP11:AP12"/>
    <mergeCell ref="AH10:AJ10"/>
    <mergeCell ref="X10:AD10"/>
  </mergeCells>
  <conditionalFormatting sqref="H13 Y13:Y17">
    <cfRule type="cellIs" dxfId="23" priority="28" operator="equal">
      <formula>"Muy Alta"</formula>
    </cfRule>
    <cfRule type="cellIs" dxfId="22" priority="29" operator="equal">
      <formula>"Alta"</formula>
    </cfRule>
    <cfRule type="cellIs" dxfId="21" priority="30" operator="equal">
      <formula>"Media"</formula>
    </cfRule>
    <cfRule type="cellIs" dxfId="20" priority="31" operator="equal">
      <formula>"Baja"</formula>
    </cfRule>
    <cfRule type="cellIs" dxfId="19" priority="32" operator="equal">
      <formula>"Muy Baja"</formula>
    </cfRule>
  </conditionalFormatting>
  <conditionalFormatting sqref="H17">
    <cfRule type="cellIs" dxfId="18" priority="19" operator="equal">
      <formula>"Muy Alta"</formula>
    </cfRule>
    <cfRule type="cellIs" dxfId="17" priority="20" operator="equal">
      <formula>"Alta"</formula>
    </cfRule>
    <cfRule type="cellIs" dxfId="16" priority="21" operator="equal">
      <formula>"Media"</formula>
    </cfRule>
    <cfRule type="cellIs" dxfId="15" priority="22" operator="equal">
      <formula>"Baja"</formula>
    </cfRule>
    <cfRule type="cellIs" dxfId="14" priority="23" operator="equal">
      <formula>"Muy Baja"</formula>
    </cfRule>
  </conditionalFormatting>
  <conditionalFormatting sqref="K13:K22">
    <cfRule type="containsText" dxfId="13" priority="14" operator="containsText" text="❌">
      <formula>NOT(ISERROR(SEARCH("❌",K13)))</formula>
    </cfRule>
  </conditionalFormatting>
  <conditionalFormatting sqref="L13 AA13:AA17 L17">
    <cfRule type="cellIs" dxfId="12" priority="9" operator="equal">
      <formula>"Catastrófico"</formula>
    </cfRule>
    <cfRule type="cellIs" dxfId="11" priority="10" operator="equal">
      <formula>"Mayor"</formula>
    </cfRule>
    <cfRule type="cellIs" dxfId="10" priority="11" operator="equal">
      <formula>"Moderado"</formula>
    </cfRule>
    <cfRule type="cellIs" dxfId="9" priority="12" operator="equal">
      <formula>"Menor"</formula>
    </cfRule>
    <cfRule type="cellIs" dxfId="8" priority="13" operator="equal">
      <formula>"Leve"</formula>
    </cfRule>
  </conditionalFormatting>
  <conditionalFormatting sqref="N13 AC13:AC17">
    <cfRule type="cellIs" dxfId="7" priority="5" operator="equal">
      <formula>"Extremo"</formula>
    </cfRule>
    <cfRule type="cellIs" dxfId="6" priority="6" operator="equal">
      <formula>"Alto"</formula>
    </cfRule>
    <cfRule type="cellIs" dxfId="5" priority="7" operator="equal">
      <formula>"Moderado"</formula>
    </cfRule>
    <cfRule type="cellIs" dxfId="4" priority="8" operator="equal">
      <formula>"Bajo"</formula>
    </cfRule>
  </conditionalFormatting>
  <conditionalFormatting sqref="N17">
    <cfRule type="cellIs" dxfId="3" priority="1" operator="equal">
      <formula>"Extremo"</formula>
    </cfRule>
    <cfRule type="cellIs" dxfId="2" priority="2" operator="equal">
      <formula>"Alto"</formula>
    </cfRule>
    <cfRule type="cellIs" dxfId="1" priority="3" operator="equal">
      <formula>"Moderado"</formula>
    </cfRule>
    <cfRule type="cellIs" dxfId="0" priority="4" operator="equal">
      <formula>"Bajo"</formula>
    </cfRule>
  </conditionalFormatting>
  <dataValidations count="1">
    <dataValidation allowBlank="1" showInputMessage="1" showErrorMessage="1" sqref="AK23 AI23 AK13:AL17 AI13:AI17 AN13:AO17" xr:uid="{B4EA2918-29C6-4C8B-98D1-CC59BEC144F6}"/>
  </dataValidations>
  <pageMargins left="0.70866141732283472" right="0.70866141732283472" top="0.74803149606299213" bottom="0.74803149606299213" header="0.31496062992125984" footer="0.31496062992125984"/>
  <pageSetup paperSize="41" scale="35" orientation="landscape" r:id="rId1"/>
  <drawing r:id="rId2"/>
  <legacyDrawing r:id="rId3"/>
  <extLst>
    <ext xmlns:x14="http://schemas.microsoft.com/office/spreadsheetml/2009/9/main" uri="{CCE6A557-97BC-4b89-ADB6-D9C93CAAB3DF}">
      <x14:dataValidations xmlns:xm="http://schemas.microsoft.com/office/excel/2006/main" count="12">
        <x14:dataValidation type="custom" allowBlank="1" showInputMessage="1" showErrorMessage="1" error="Recuerde que las acciones se generan bajo la medida de mitigar el riesgo" xr:uid="{130A2472-74E7-49CE-B9AF-4C1A485A9217}">
          <x14:formula1>
            <xm:f>IF(OR(AD13='Opciones Tratamiento'!$B$2,AD13='Opciones Tratamiento'!$B$3,AD13='Opciones Tratamiento'!$B$4),ISBLANK(AD13),ISTEXT(AD13))</xm:f>
          </x14:formula1>
          <xm:sqref>AH17 AH15 AG13:AG17</xm:sqref>
        </x14:dataValidation>
        <x14:dataValidation type="list" allowBlank="1" showInputMessage="1" showErrorMessage="1" xr:uid="{871F0955-F200-4BC4-A869-6F9A5AE886AC}">
          <x14:formula1>
            <xm:f>'Opciones Tratamiento'!$B$9:$B$10</xm:f>
          </x14:formula1>
          <xm:sqref>AP16:AP17 AP13:AP14 AJ13:AJ17 AM13:AM17</xm:sqref>
        </x14:dataValidation>
        <x14:dataValidation type="custom" allowBlank="1" showInputMessage="1" showErrorMessage="1" error="Recuerde que las acciones se generan bajo la medida de mitigar el riesgo" xr:uid="{3E27FEF7-AD88-488A-AE9C-C68D7986466E}">
          <x14:formula1>
            <xm:f>IF(OR(AD13='Opciones Tratamiento'!$B$2,AD13='Opciones Tratamiento'!$B$3,AD13='Opciones Tratamiento'!$B$4),ISBLANK(AD13),ISTEXT(AD13))</xm:f>
          </x14:formula1>
          <xm:sqref>AE13:AE14 AE17</xm:sqref>
        </x14:dataValidation>
        <x14:dataValidation type="custom" allowBlank="1" showInputMessage="1" showErrorMessage="1" error="Recuerde que las acciones se generan bajo la medida de mitigar el riesgo" xr:uid="{8B74877E-7369-4D7F-B78A-E4EB7BC8F451}">
          <x14:formula1>
            <xm:f>IF(OR(AD13='Opciones Tratamiento'!$B$2,AD13='Opciones Tratamiento'!$B$3,AD13='Opciones Tratamiento'!$B$4),ISBLANK(AD13),ISTEXT(AD13))</xm:f>
          </x14:formula1>
          <xm:sqref>AF13:AF14 AF17</xm:sqref>
        </x14:dataValidation>
        <x14:dataValidation type="custom" allowBlank="1" showInputMessage="1" showErrorMessage="1" error="Recuerde que las acciones se generan bajo la medida de mitigar el riesgo" xr:uid="{2CB03207-6F1F-4E93-A4C1-1A260DEE091C}">
          <x14:formula1>
            <xm:f>IF(OR(AD16='Opciones Tratamiento'!$B$2,AD16='Opciones Tratamiento'!$B$3,AD16='Opciones Tratamiento'!$B$4),ISBLANK(AD16),ISTEXT(AD16))</xm:f>
          </x14:formula1>
          <xm:sqref>AE15</xm:sqref>
        </x14:dataValidation>
        <x14:dataValidation type="custom" allowBlank="1" showInputMessage="1" showErrorMessage="1" error="Recuerde que las acciones se generan bajo la medida de mitigar el riesgo" xr:uid="{AA004261-43C2-40B9-8ACF-13B08C2D476A}">
          <x14:formula1>
            <xm:f>IF(OR(AD16='Opciones Tratamiento'!$B$2,AD16='Opciones Tratamiento'!$B$3,AD16='Opciones Tratamiento'!$B$4),ISBLANK(AD16),ISTEXT(AD16))</xm:f>
          </x14:formula1>
          <xm:sqref>AF15</xm:sqref>
        </x14:dataValidation>
        <x14:dataValidation type="list" allowBlank="1" showInputMessage="1" showErrorMessage="1" xr:uid="{CBBFDA43-46E0-4F4A-B998-60707A60335D}">
          <x14:formula1>
            <xm:f>'Tabla Valoración controles'!$D$4:$D$6</xm:f>
          </x14:formula1>
          <xm:sqref>R13:R17</xm:sqref>
        </x14:dataValidation>
        <x14:dataValidation type="list" allowBlank="1" showInputMessage="1" showErrorMessage="1" xr:uid="{56FE3227-EA79-43DD-B13D-FE630559F3AC}">
          <x14:formula1>
            <xm:f>'Tabla Valoración controles'!$D$7:$D$8</xm:f>
          </x14:formula1>
          <xm:sqref>S13:S17</xm:sqref>
        </x14:dataValidation>
        <x14:dataValidation type="list" allowBlank="1" showInputMessage="1" showErrorMessage="1" xr:uid="{A87AE4AD-6324-4A49-9FEB-96F84BA64923}">
          <x14:formula1>
            <xm:f>'Tabla Valoración controles'!$D$9:$D$10</xm:f>
          </x14:formula1>
          <xm:sqref>U13:U17</xm:sqref>
        </x14:dataValidation>
        <x14:dataValidation type="list" allowBlank="1" showInputMessage="1" showErrorMessage="1" xr:uid="{E7AD4DFF-2C43-4A12-8D3D-41BC41980495}">
          <x14:formula1>
            <xm:f>'Tabla Valoración controles'!$D$11:$D$12</xm:f>
          </x14:formula1>
          <xm:sqref>V13:V17</xm:sqref>
        </x14:dataValidation>
        <x14:dataValidation type="list" allowBlank="1" showInputMessage="1" showErrorMessage="1" xr:uid="{37C22902-55D7-4D46-8D1E-BFDA219D7A1B}">
          <x14:formula1>
            <xm:f>'Tabla Valoración controles'!$D$13:$D$14</xm:f>
          </x14:formula1>
          <xm:sqref>W13:W17</xm:sqref>
        </x14:dataValidation>
        <x14:dataValidation type="list" allowBlank="1" showInputMessage="1" showErrorMessage="1" xr:uid="{74D9C160-7F89-4761-BA01-FFCC3CA564EE}">
          <x14:formula1>
            <xm:f>'Opciones Tratamiento'!$B$2:$B$5</xm:f>
          </x14:formula1>
          <xm:sqref>AD13:AD17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U140"/>
  <sheetViews>
    <sheetView topLeftCell="A13" zoomScale="50" zoomScaleNormal="50" workbookViewId="0">
      <selection activeCell="AB32" sqref="AB32:AC33"/>
    </sheetView>
  </sheetViews>
  <sheetFormatPr baseColWidth="10" defaultRowHeight="15" x14ac:dyDescent="0.25"/>
  <cols>
    <col min="2" max="39" width="5.7109375" customWidth="1" collapsed="1"/>
    <col min="41" max="46" width="5.7109375" customWidth="1" collapsed="1"/>
  </cols>
  <sheetData>
    <row r="1" spans="1:99"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c r="CN1" s="69"/>
      <c r="CO1" s="69"/>
      <c r="CP1" s="69"/>
      <c r="CQ1" s="69"/>
      <c r="CR1" s="69"/>
      <c r="CS1" s="69"/>
      <c r="CT1" s="69"/>
      <c r="CU1" s="69"/>
    </row>
    <row r="2" spans="1:99" ht="18" customHeight="1" x14ac:dyDescent="0.25">
      <c r="A2" s="69"/>
      <c r="B2" s="352" t="s">
        <v>159</v>
      </c>
      <c r="C2" s="352"/>
      <c r="D2" s="352"/>
      <c r="E2" s="352"/>
      <c r="F2" s="352"/>
      <c r="G2" s="352"/>
      <c r="H2" s="352"/>
      <c r="I2" s="352"/>
      <c r="J2" s="320" t="s">
        <v>2</v>
      </c>
      <c r="K2" s="320"/>
      <c r="L2" s="320"/>
      <c r="M2" s="320"/>
      <c r="N2" s="320"/>
      <c r="O2" s="320"/>
      <c r="P2" s="320"/>
      <c r="Q2" s="320"/>
      <c r="R2" s="320"/>
      <c r="S2" s="320"/>
      <c r="T2" s="320"/>
      <c r="U2" s="320"/>
      <c r="V2" s="320"/>
      <c r="W2" s="320"/>
      <c r="X2" s="320"/>
      <c r="Y2" s="320"/>
      <c r="Z2" s="320"/>
      <c r="AA2" s="320"/>
      <c r="AB2" s="320"/>
      <c r="AC2" s="320"/>
      <c r="AD2" s="320"/>
      <c r="AE2" s="320"/>
      <c r="AF2" s="320"/>
      <c r="AG2" s="320"/>
      <c r="AH2" s="320"/>
      <c r="AI2" s="320"/>
      <c r="AJ2" s="320"/>
      <c r="AK2" s="320"/>
      <c r="AL2" s="320"/>
      <c r="AM2" s="320"/>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c r="CN2" s="69"/>
      <c r="CO2" s="69"/>
      <c r="CP2" s="69"/>
      <c r="CQ2" s="69"/>
      <c r="CR2" s="69"/>
      <c r="CS2" s="69"/>
      <c r="CT2" s="69"/>
      <c r="CU2" s="69"/>
    </row>
    <row r="3" spans="1:99" ht="18.75" customHeight="1" x14ac:dyDescent="0.25">
      <c r="A3" s="69"/>
      <c r="B3" s="352"/>
      <c r="C3" s="352"/>
      <c r="D3" s="352"/>
      <c r="E3" s="352"/>
      <c r="F3" s="352"/>
      <c r="G3" s="352"/>
      <c r="H3" s="352"/>
      <c r="I3" s="352"/>
      <c r="J3" s="320"/>
      <c r="K3" s="320"/>
      <c r="L3" s="320"/>
      <c r="M3" s="320"/>
      <c r="N3" s="320"/>
      <c r="O3" s="320"/>
      <c r="P3" s="320"/>
      <c r="Q3" s="320"/>
      <c r="R3" s="320"/>
      <c r="S3" s="320"/>
      <c r="T3" s="320"/>
      <c r="U3" s="320"/>
      <c r="V3" s="320"/>
      <c r="W3" s="320"/>
      <c r="X3" s="320"/>
      <c r="Y3" s="320"/>
      <c r="Z3" s="320"/>
      <c r="AA3" s="320"/>
      <c r="AB3" s="320"/>
      <c r="AC3" s="320"/>
      <c r="AD3" s="320"/>
      <c r="AE3" s="320"/>
      <c r="AF3" s="320"/>
      <c r="AG3" s="320"/>
      <c r="AH3" s="320"/>
      <c r="AI3" s="320"/>
      <c r="AJ3" s="320"/>
      <c r="AK3" s="320"/>
      <c r="AL3" s="320"/>
      <c r="AM3" s="320"/>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c r="CN3" s="69"/>
      <c r="CO3" s="69"/>
      <c r="CP3" s="69"/>
      <c r="CQ3" s="69"/>
      <c r="CR3" s="69"/>
      <c r="CS3" s="69"/>
      <c r="CT3" s="69"/>
      <c r="CU3" s="69"/>
    </row>
    <row r="4" spans="1:99" ht="15" customHeight="1" x14ac:dyDescent="0.25">
      <c r="A4" s="69"/>
      <c r="B4" s="352"/>
      <c r="C4" s="352"/>
      <c r="D4" s="352"/>
      <c r="E4" s="352"/>
      <c r="F4" s="352"/>
      <c r="G4" s="352"/>
      <c r="H4" s="352"/>
      <c r="I4" s="352"/>
      <c r="J4" s="320"/>
      <c r="K4" s="320"/>
      <c r="L4" s="320"/>
      <c r="M4" s="320"/>
      <c r="N4" s="320"/>
      <c r="O4" s="320"/>
      <c r="P4" s="320"/>
      <c r="Q4" s="320"/>
      <c r="R4" s="320"/>
      <c r="S4" s="320"/>
      <c r="T4" s="320"/>
      <c r="U4" s="320"/>
      <c r="V4" s="320"/>
      <c r="W4" s="320"/>
      <c r="X4" s="320"/>
      <c r="Y4" s="320"/>
      <c r="Z4" s="320"/>
      <c r="AA4" s="320"/>
      <c r="AB4" s="320"/>
      <c r="AC4" s="320"/>
      <c r="AD4" s="320"/>
      <c r="AE4" s="320"/>
      <c r="AF4" s="320"/>
      <c r="AG4" s="320"/>
      <c r="AH4" s="320"/>
      <c r="AI4" s="320"/>
      <c r="AJ4" s="320"/>
      <c r="AK4" s="320"/>
      <c r="AL4" s="320"/>
      <c r="AM4" s="320"/>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c r="CN4" s="69"/>
      <c r="CO4" s="69"/>
      <c r="CP4" s="69"/>
      <c r="CQ4" s="69"/>
      <c r="CR4" s="69"/>
      <c r="CS4" s="69"/>
      <c r="CT4" s="69"/>
      <c r="CU4" s="69"/>
    </row>
    <row r="5" spans="1:99"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c r="BV5" s="69"/>
      <c r="BW5" s="69"/>
      <c r="BX5" s="69"/>
      <c r="BY5" s="69"/>
      <c r="BZ5" s="69"/>
      <c r="CA5" s="69"/>
      <c r="CB5" s="69"/>
      <c r="CC5" s="69"/>
      <c r="CD5" s="69"/>
      <c r="CE5" s="69"/>
      <c r="CF5" s="69"/>
      <c r="CG5" s="69"/>
      <c r="CH5" s="69"/>
      <c r="CI5" s="69"/>
      <c r="CJ5" s="69"/>
      <c r="CK5" s="69"/>
      <c r="CL5" s="69"/>
      <c r="CM5" s="69"/>
      <c r="CN5" s="69"/>
      <c r="CO5" s="69"/>
      <c r="CP5" s="69"/>
      <c r="CQ5" s="69"/>
      <c r="CR5" s="69"/>
      <c r="CS5" s="69"/>
      <c r="CT5" s="69"/>
      <c r="CU5" s="69"/>
    </row>
    <row r="6" spans="1:99" ht="15" customHeight="1" x14ac:dyDescent="0.25">
      <c r="A6" s="69"/>
      <c r="B6" s="267" t="s">
        <v>4</v>
      </c>
      <c r="C6" s="267"/>
      <c r="D6" s="268"/>
      <c r="E6" s="305" t="s">
        <v>116</v>
      </c>
      <c r="F6" s="306"/>
      <c r="G6" s="306"/>
      <c r="H6" s="306"/>
      <c r="I6" s="307"/>
      <c r="J6" s="316" t="e">
        <f>IF(AND('Mapa final'!#REF!="Muy Alta",'Mapa final'!#REF!="Leve"),CONCATENATE("R",'Mapa final'!#REF!),"")</f>
        <v>#REF!</v>
      </c>
      <c r="K6" s="317"/>
      <c r="L6" s="317" t="e">
        <f>IF(AND('Mapa final'!#REF!="Muy Alta",'Mapa final'!#REF!="Leve"),CONCATENATE("R",'Mapa final'!#REF!),"")</f>
        <v>#REF!</v>
      </c>
      <c r="M6" s="317"/>
      <c r="N6" s="317" t="e">
        <f>IF(AND('Mapa final'!#REF!="Muy Alta",'Mapa final'!#REF!="Leve"),CONCATENATE("R",'Mapa final'!#REF!),"")</f>
        <v>#REF!</v>
      </c>
      <c r="O6" s="319"/>
      <c r="P6" s="316" t="e">
        <f>IF(AND('Mapa final'!#REF!="Muy Alta",'Mapa final'!#REF!="Menor"),CONCATENATE("R",'Mapa final'!#REF!),"")</f>
        <v>#REF!</v>
      </c>
      <c r="Q6" s="317"/>
      <c r="R6" s="317" t="e">
        <f>IF(AND('Mapa final'!#REF!="Muy Alta",'Mapa final'!#REF!="Menor"),CONCATENATE("R",'Mapa final'!#REF!),"")</f>
        <v>#REF!</v>
      </c>
      <c r="S6" s="317"/>
      <c r="T6" s="317" t="e">
        <f>IF(AND('Mapa final'!#REF!="Muy Alta",'Mapa final'!#REF!="Menor"),CONCATENATE("R",'Mapa final'!#REF!),"")</f>
        <v>#REF!</v>
      </c>
      <c r="U6" s="319"/>
      <c r="V6" s="316" t="e">
        <f>IF(AND('Mapa final'!#REF!="Muy Alta",'Mapa final'!#REF!="Moderado"),CONCATENATE("R",'Mapa final'!#REF!),"")</f>
        <v>#REF!</v>
      </c>
      <c r="W6" s="317"/>
      <c r="X6" s="317" t="e">
        <f>IF(AND('Mapa final'!#REF!="Muy Alta",'Mapa final'!#REF!="Moderado"),CONCATENATE("R",'Mapa final'!#REF!),"")</f>
        <v>#REF!</v>
      </c>
      <c r="Y6" s="317"/>
      <c r="Z6" s="317" t="e">
        <f>IF(AND('Mapa final'!#REF!="Muy Alta",'Mapa final'!#REF!="Moderado"),CONCATENATE("R",'Mapa final'!#REF!),"")</f>
        <v>#REF!</v>
      </c>
      <c r="AA6" s="319"/>
      <c r="AB6" s="316" t="e">
        <f>IF(AND('Mapa final'!#REF!="Muy Alta",'Mapa final'!#REF!="Mayor"),CONCATENATE("R",'Mapa final'!#REF!),"")</f>
        <v>#REF!</v>
      </c>
      <c r="AC6" s="317"/>
      <c r="AD6" s="317" t="e">
        <f>IF(AND('Mapa final'!#REF!="Muy Alta",'Mapa final'!#REF!="Mayor"),CONCATENATE("R",'Mapa final'!#REF!),"")</f>
        <v>#REF!</v>
      </c>
      <c r="AE6" s="317"/>
      <c r="AF6" s="317" t="e">
        <f>IF(AND('Mapa final'!#REF!="Muy Alta",'Mapa final'!#REF!="Mayor"),CONCATENATE("R",'Mapa final'!#REF!),"")</f>
        <v>#REF!</v>
      </c>
      <c r="AG6" s="319"/>
      <c r="AH6" s="331" t="e">
        <f>IF(AND('Mapa final'!#REF!="Muy Alta",'Mapa final'!#REF!="Catastrófico"),CONCATENATE("R",'Mapa final'!#REF!),"")</f>
        <v>#REF!</v>
      </c>
      <c r="AI6" s="332"/>
      <c r="AJ6" s="332" t="e">
        <f>IF(AND('Mapa final'!#REF!="Muy Alta",'Mapa final'!#REF!="Catastrófico"),CONCATENATE("R",'Mapa final'!#REF!),"")</f>
        <v>#REF!</v>
      </c>
      <c r="AK6" s="332"/>
      <c r="AL6" s="332" t="e">
        <f>IF(AND('Mapa final'!#REF!="Muy Alta",'Mapa final'!#REF!="Catastrófico"),CONCATENATE("R",'Mapa final'!#REF!),"")</f>
        <v>#REF!</v>
      </c>
      <c r="AM6" s="333"/>
      <c r="AO6" s="269" t="s">
        <v>79</v>
      </c>
      <c r="AP6" s="270"/>
      <c r="AQ6" s="270"/>
      <c r="AR6" s="270"/>
      <c r="AS6" s="270"/>
      <c r="AT6" s="271"/>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c r="BY6" s="69"/>
      <c r="BZ6" s="69"/>
      <c r="CA6" s="69"/>
      <c r="CB6" s="69"/>
    </row>
    <row r="7" spans="1:99" ht="15" customHeight="1" x14ac:dyDescent="0.25">
      <c r="A7" s="69"/>
      <c r="B7" s="267"/>
      <c r="C7" s="267"/>
      <c r="D7" s="268"/>
      <c r="E7" s="308"/>
      <c r="F7" s="309"/>
      <c r="G7" s="309"/>
      <c r="H7" s="309"/>
      <c r="I7" s="310"/>
      <c r="J7" s="318"/>
      <c r="K7" s="314"/>
      <c r="L7" s="314"/>
      <c r="M7" s="314"/>
      <c r="N7" s="314"/>
      <c r="O7" s="315"/>
      <c r="P7" s="318"/>
      <c r="Q7" s="314"/>
      <c r="R7" s="314"/>
      <c r="S7" s="314"/>
      <c r="T7" s="314"/>
      <c r="U7" s="315"/>
      <c r="V7" s="318"/>
      <c r="W7" s="314"/>
      <c r="X7" s="314"/>
      <c r="Y7" s="314"/>
      <c r="Z7" s="314"/>
      <c r="AA7" s="315"/>
      <c r="AB7" s="318"/>
      <c r="AC7" s="314"/>
      <c r="AD7" s="314"/>
      <c r="AE7" s="314"/>
      <c r="AF7" s="314"/>
      <c r="AG7" s="315"/>
      <c r="AH7" s="325"/>
      <c r="AI7" s="326"/>
      <c r="AJ7" s="326"/>
      <c r="AK7" s="326"/>
      <c r="AL7" s="326"/>
      <c r="AM7" s="327"/>
      <c r="AN7" s="69"/>
      <c r="AO7" s="272"/>
      <c r="AP7" s="273"/>
      <c r="AQ7" s="273"/>
      <c r="AR7" s="273"/>
      <c r="AS7" s="273"/>
      <c r="AT7" s="274"/>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c r="BY7" s="69"/>
      <c r="BZ7" s="69"/>
      <c r="CA7" s="69"/>
      <c r="CB7" s="69"/>
    </row>
    <row r="8" spans="1:99" ht="15" customHeight="1" x14ac:dyDescent="0.25">
      <c r="A8" s="69"/>
      <c r="B8" s="267"/>
      <c r="C8" s="267"/>
      <c r="D8" s="268"/>
      <c r="E8" s="308"/>
      <c r="F8" s="309"/>
      <c r="G8" s="309"/>
      <c r="H8" s="309"/>
      <c r="I8" s="310"/>
      <c r="J8" s="318" t="str">
        <f>IF(AND('Mapa final'!$H$13="Muy Alta",'Mapa final'!$L$13="Leve"),CONCATENATE("R",'Mapa final'!$A$13),"")</f>
        <v/>
      </c>
      <c r="K8" s="314"/>
      <c r="L8" s="314" t="str">
        <f>IF(AND('Mapa final'!$H$17="Muy Alta",'Mapa final'!$L$17="Leve"),CONCATENATE("R",'Mapa final'!$A$17),"")</f>
        <v/>
      </c>
      <c r="M8" s="314"/>
      <c r="N8" s="314" t="e">
        <f>IF(AND('Mapa final'!#REF!="Muy Alta",'Mapa final'!#REF!="Leve"),CONCATENATE("R",'Mapa final'!#REF!),"")</f>
        <v>#REF!</v>
      </c>
      <c r="O8" s="315"/>
      <c r="P8" s="318" t="str">
        <f>IF(AND('Mapa final'!$H$13="Muy Alta",'Mapa final'!$L$13="Menor"),CONCATENATE("R",'Mapa final'!$A$13),"")</f>
        <v/>
      </c>
      <c r="Q8" s="314"/>
      <c r="R8" s="314" t="str">
        <f>IF(AND('Mapa final'!$H$17="Muy Alta",'Mapa final'!$L$17="Menor"),CONCATENATE("R",'Mapa final'!$A$17),"")</f>
        <v/>
      </c>
      <c r="S8" s="314"/>
      <c r="T8" s="314" t="e">
        <f>IF(AND('Mapa final'!#REF!="Muy Alta",'Mapa final'!#REF!="Menor"),CONCATENATE("R",'Mapa final'!#REF!),"")</f>
        <v>#REF!</v>
      </c>
      <c r="U8" s="315"/>
      <c r="V8" s="318" t="str">
        <f>IF(AND('Mapa final'!$H$13="Muy Alta",'Mapa final'!$L$13="Moderado"),CONCATENATE("R",'Mapa final'!$A$13),"")</f>
        <v/>
      </c>
      <c r="W8" s="314"/>
      <c r="X8" s="314" t="str">
        <f>IF(AND('Mapa final'!$H$17="Muy Alta",'Mapa final'!$L$17="Moderado"),CONCATENATE("R",'Mapa final'!$A$17),"")</f>
        <v/>
      </c>
      <c r="Y8" s="314"/>
      <c r="Z8" s="314" t="e">
        <f>IF(AND('Mapa final'!#REF!="Muy Alta",'Mapa final'!#REF!="Moderado"),CONCATENATE("R",'Mapa final'!#REF!),"")</f>
        <v>#REF!</v>
      </c>
      <c r="AA8" s="315"/>
      <c r="AB8" s="318" t="str">
        <f>IF(AND('Mapa final'!$H$13="Muy Alta",'Mapa final'!$L$13="Mayor"),CONCATENATE("R",'Mapa final'!$A$13),"")</f>
        <v/>
      </c>
      <c r="AC8" s="314"/>
      <c r="AD8" s="314" t="str">
        <f>IF(AND('Mapa final'!$H$17="Muy Alta",'Mapa final'!$L$17="Mayor"),CONCATENATE("R",'Mapa final'!$A$17),"")</f>
        <v/>
      </c>
      <c r="AE8" s="314"/>
      <c r="AF8" s="314" t="e">
        <f>IF(AND('Mapa final'!#REF!="Muy Alta",'Mapa final'!#REF!="Mayor"),CONCATENATE("R",'Mapa final'!#REF!),"")</f>
        <v>#REF!</v>
      </c>
      <c r="AG8" s="315"/>
      <c r="AH8" s="325" t="str">
        <f>IF(AND('Mapa final'!$H$13="Muy Alta",'Mapa final'!$L$13="Catastrófico"),CONCATENATE("R",'Mapa final'!$A$13),"")</f>
        <v/>
      </c>
      <c r="AI8" s="326"/>
      <c r="AJ8" s="326" t="str">
        <f>IF(AND('Mapa final'!$H$17="Muy Alta",'Mapa final'!$L$17="Catastrófico"),CONCATENATE("R",'Mapa final'!$A$17),"")</f>
        <v/>
      </c>
      <c r="AK8" s="326"/>
      <c r="AL8" s="326" t="e">
        <f>IF(AND('Mapa final'!#REF!="Muy Alta",'Mapa final'!#REF!="Catastrófico"),CONCATENATE("R",'Mapa final'!#REF!),"")</f>
        <v>#REF!</v>
      </c>
      <c r="AM8" s="327"/>
      <c r="AN8" s="69"/>
      <c r="AO8" s="272"/>
      <c r="AP8" s="273"/>
      <c r="AQ8" s="273"/>
      <c r="AR8" s="273"/>
      <c r="AS8" s="273"/>
      <c r="AT8" s="274"/>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c r="BY8" s="69"/>
      <c r="BZ8" s="69"/>
      <c r="CA8" s="69"/>
      <c r="CB8" s="69"/>
    </row>
    <row r="9" spans="1:99" ht="15" customHeight="1" x14ac:dyDescent="0.25">
      <c r="A9" s="69"/>
      <c r="B9" s="267"/>
      <c r="C9" s="267"/>
      <c r="D9" s="268"/>
      <c r="E9" s="308"/>
      <c r="F9" s="309"/>
      <c r="G9" s="309"/>
      <c r="H9" s="309"/>
      <c r="I9" s="310"/>
      <c r="J9" s="318"/>
      <c r="K9" s="314"/>
      <c r="L9" s="314"/>
      <c r="M9" s="314"/>
      <c r="N9" s="314"/>
      <c r="O9" s="315"/>
      <c r="P9" s="318"/>
      <c r="Q9" s="314"/>
      <c r="R9" s="314"/>
      <c r="S9" s="314"/>
      <c r="T9" s="314"/>
      <c r="U9" s="315"/>
      <c r="V9" s="318"/>
      <c r="W9" s="314"/>
      <c r="X9" s="314"/>
      <c r="Y9" s="314"/>
      <c r="Z9" s="314"/>
      <c r="AA9" s="315"/>
      <c r="AB9" s="318"/>
      <c r="AC9" s="314"/>
      <c r="AD9" s="314"/>
      <c r="AE9" s="314"/>
      <c r="AF9" s="314"/>
      <c r="AG9" s="315"/>
      <c r="AH9" s="325"/>
      <c r="AI9" s="326"/>
      <c r="AJ9" s="326"/>
      <c r="AK9" s="326"/>
      <c r="AL9" s="326"/>
      <c r="AM9" s="327"/>
      <c r="AN9" s="69"/>
      <c r="AO9" s="272"/>
      <c r="AP9" s="273"/>
      <c r="AQ9" s="273"/>
      <c r="AR9" s="273"/>
      <c r="AS9" s="273"/>
      <c r="AT9" s="274"/>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c r="BY9" s="69"/>
      <c r="BZ9" s="69"/>
      <c r="CA9" s="69"/>
      <c r="CB9" s="69"/>
    </row>
    <row r="10" spans="1:99" ht="15" customHeight="1" x14ac:dyDescent="0.25">
      <c r="A10" s="69"/>
      <c r="B10" s="267"/>
      <c r="C10" s="267"/>
      <c r="D10" s="268"/>
      <c r="E10" s="308"/>
      <c r="F10" s="309"/>
      <c r="G10" s="309"/>
      <c r="H10" s="309"/>
      <c r="I10" s="310"/>
      <c r="J10" s="318" t="e">
        <f>IF(AND('Mapa final'!#REF!="Muy Alta",'Mapa final'!#REF!="Leve"),CONCATENATE("R",'Mapa final'!#REF!),"")</f>
        <v>#REF!</v>
      </c>
      <c r="K10" s="314"/>
      <c r="L10" s="314" t="e">
        <f>IF(AND('Mapa final'!#REF!="Muy Alta",'Mapa final'!#REF!="Leve"),CONCATENATE("R",'Mapa final'!#REF!),"")</f>
        <v>#REF!</v>
      </c>
      <c r="M10" s="314"/>
      <c r="N10" s="314" t="e">
        <f>IF(AND('Mapa final'!#REF!="Muy Alta",'Mapa final'!#REF!="Leve"),CONCATENATE("R",'Mapa final'!#REF!),"")</f>
        <v>#REF!</v>
      </c>
      <c r="O10" s="315"/>
      <c r="P10" s="318" t="e">
        <f>IF(AND('Mapa final'!#REF!="Muy Alta",'Mapa final'!#REF!="Menor"),CONCATENATE("R",'Mapa final'!#REF!),"")</f>
        <v>#REF!</v>
      </c>
      <c r="Q10" s="314"/>
      <c r="R10" s="314" t="e">
        <f>IF(AND('Mapa final'!#REF!="Muy Alta",'Mapa final'!#REF!="Menor"),CONCATENATE("R",'Mapa final'!#REF!),"")</f>
        <v>#REF!</v>
      </c>
      <c r="S10" s="314"/>
      <c r="T10" s="314" t="e">
        <f>IF(AND('Mapa final'!#REF!="Muy Alta",'Mapa final'!#REF!="Menor"),CONCATENATE("R",'Mapa final'!#REF!),"")</f>
        <v>#REF!</v>
      </c>
      <c r="U10" s="315"/>
      <c r="V10" s="318" t="e">
        <f>IF(AND('Mapa final'!#REF!="Muy Alta",'Mapa final'!#REF!="Moderado"),CONCATENATE("R",'Mapa final'!#REF!),"")</f>
        <v>#REF!</v>
      </c>
      <c r="W10" s="314"/>
      <c r="X10" s="314" t="e">
        <f>IF(AND('Mapa final'!#REF!="Muy Alta",'Mapa final'!#REF!="Moderado"),CONCATENATE("R",'Mapa final'!#REF!),"")</f>
        <v>#REF!</v>
      </c>
      <c r="Y10" s="314"/>
      <c r="Z10" s="314" t="e">
        <f>IF(AND('Mapa final'!#REF!="Muy Alta",'Mapa final'!#REF!="Moderado"),CONCATENATE("R",'Mapa final'!#REF!),"")</f>
        <v>#REF!</v>
      </c>
      <c r="AA10" s="315"/>
      <c r="AB10" s="318" t="e">
        <f>IF(AND('Mapa final'!#REF!="Muy Alta",'Mapa final'!#REF!="Mayor"),CONCATENATE("R",'Mapa final'!#REF!),"")</f>
        <v>#REF!</v>
      </c>
      <c r="AC10" s="314"/>
      <c r="AD10" s="314" t="e">
        <f>IF(AND('Mapa final'!#REF!="Muy Alta",'Mapa final'!#REF!="Mayor"),CONCATENATE("R",'Mapa final'!#REF!),"")</f>
        <v>#REF!</v>
      </c>
      <c r="AE10" s="314"/>
      <c r="AF10" s="314" t="e">
        <f>IF(AND('Mapa final'!#REF!="Muy Alta",'Mapa final'!#REF!="Mayor"),CONCATENATE("R",'Mapa final'!#REF!),"")</f>
        <v>#REF!</v>
      </c>
      <c r="AG10" s="315"/>
      <c r="AH10" s="325" t="e">
        <f>IF(AND('Mapa final'!#REF!="Muy Alta",'Mapa final'!#REF!="Catastrófico"),CONCATENATE("R",'Mapa final'!#REF!),"")</f>
        <v>#REF!</v>
      </c>
      <c r="AI10" s="326"/>
      <c r="AJ10" s="326" t="e">
        <f>IF(AND('Mapa final'!#REF!="Muy Alta",'Mapa final'!#REF!="Catastrófico"),CONCATENATE("R",'Mapa final'!#REF!),"")</f>
        <v>#REF!</v>
      </c>
      <c r="AK10" s="326"/>
      <c r="AL10" s="326" t="e">
        <f>IF(AND('Mapa final'!#REF!="Muy Alta",'Mapa final'!#REF!="Catastrófico"),CONCATENATE("R",'Mapa final'!#REF!),"")</f>
        <v>#REF!</v>
      </c>
      <c r="AM10" s="327"/>
      <c r="AN10" s="69"/>
      <c r="AO10" s="272"/>
      <c r="AP10" s="273"/>
      <c r="AQ10" s="273"/>
      <c r="AR10" s="273"/>
      <c r="AS10" s="273"/>
      <c r="AT10" s="274"/>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c r="BY10" s="69"/>
      <c r="BZ10" s="69"/>
      <c r="CA10" s="69"/>
      <c r="CB10" s="69"/>
    </row>
    <row r="11" spans="1:99" ht="15" customHeight="1" x14ac:dyDescent="0.25">
      <c r="A11" s="69"/>
      <c r="B11" s="267"/>
      <c r="C11" s="267"/>
      <c r="D11" s="268"/>
      <c r="E11" s="308"/>
      <c r="F11" s="309"/>
      <c r="G11" s="309"/>
      <c r="H11" s="309"/>
      <c r="I11" s="310"/>
      <c r="J11" s="318"/>
      <c r="K11" s="314"/>
      <c r="L11" s="314"/>
      <c r="M11" s="314"/>
      <c r="N11" s="314"/>
      <c r="O11" s="315"/>
      <c r="P11" s="318"/>
      <c r="Q11" s="314"/>
      <c r="R11" s="314"/>
      <c r="S11" s="314"/>
      <c r="T11" s="314"/>
      <c r="U11" s="315"/>
      <c r="V11" s="318"/>
      <c r="W11" s="314"/>
      <c r="X11" s="314"/>
      <c r="Y11" s="314"/>
      <c r="Z11" s="314"/>
      <c r="AA11" s="315"/>
      <c r="AB11" s="318"/>
      <c r="AC11" s="314"/>
      <c r="AD11" s="314"/>
      <c r="AE11" s="314"/>
      <c r="AF11" s="314"/>
      <c r="AG11" s="315"/>
      <c r="AH11" s="325"/>
      <c r="AI11" s="326"/>
      <c r="AJ11" s="326"/>
      <c r="AK11" s="326"/>
      <c r="AL11" s="326"/>
      <c r="AM11" s="327"/>
      <c r="AN11" s="69"/>
      <c r="AO11" s="272"/>
      <c r="AP11" s="273"/>
      <c r="AQ11" s="273"/>
      <c r="AR11" s="273"/>
      <c r="AS11" s="273"/>
      <c r="AT11" s="274"/>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c r="BY11" s="69"/>
      <c r="BZ11" s="69"/>
      <c r="CA11" s="69"/>
      <c r="CB11" s="69"/>
    </row>
    <row r="12" spans="1:99" ht="15" customHeight="1" x14ac:dyDescent="0.25">
      <c r="A12" s="69"/>
      <c r="B12" s="267"/>
      <c r="C12" s="267"/>
      <c r="D12" s="268"/>
      <c r="E12" s="308"/>
      <c r="F12" s="309"/>
      <c r="G12" s="309"/>
      <c r="H12" s="309"/>
      <c r="I12" s="310"/>
      <c r="J12" s="318" t="e">
        <f>IF(AND('Mapa final'!#REF!="Muy Alta",'Mapa final'!#REF!="Leve"),CONCATENATE("R",'Mapa final'!#REF!),"")</f>
        <v>#REF!</v>
      </c>
      <c r="K12" s="314"/>
      <c r="L12" s="314" t="str">
        <f>IF(AND('Mapa final'!$H$23="Muy Alta",'Mapa final'!$L$23="Leve"),CONCATENATE("R",'Mapa final'!$A$23),"")</f>
        <v/>
      </c>
      <c r="M12" s="314"/>
      <c r="N12" s="314" t="e">
        <f>IF(AND('Mapa final'!#REF!="Muy Alta",'Mapa final'!#REF!="Leve"),CONCATENATE("R",'Mapa final'!#REF!),"")</f>
        <v>#REF!</v>
      </c>
      <c r="O12" s="315"/>
      <c r="P12" s="318" t="e">
        <f>IF(AND('Mapa final'!#REF!="Muy Alta",'Mapa final'!#REF!="Menor"),CONCATENATE("R",'Mapa final'!#REF!),"")</f>
        <v>#REF!</v>
      </c>
      <c r="Q12" s="314"/>
      <c r="R12" s="314" t="str">
        <f>IF(AND('Mapa final'!$H$23="Muy Alta",'Mapa final'!$L$23="Menor"),CONCATENATE("R",'Mapa final'!$A$23),"")</f>
        <v/>
      </c>
      <c r="S12" s="314"/>
      <c r="T12" s="314" t="e">
        <f>IF(AND('Mapa final'!#REF!="Muy Alta",'Mapa final'!#REF!="Menor"),CONCATENATE("R",'Mapa final'!#REF!),"")</f>
        <v>#REF!</v>
      </c>
      <c r="U12" s="315"/>
      <c r="V12" s="318" t="e">
        <f>IF(AND('Mapa final'!#REF!="Muy Alta",'Mapa final'!#REF!="Moderado"),CONCATENATE("R",'Mapa final'!#REF!),"")</f>
        <v>#REF!</v>
      </c>
      <c r="W12" s="314"/>
      <c r="X12" s="314" t="str">
        <f>IF(AND('Mapa final'!$H$23="Muy Alta",'Mapa final'!$L$23="Moderado"),CONCATENATE("R",'Mapa final'!$A$23),"")</f>
        <v/>
      </c>
      <c r="Y12" s="314"/>
      <c r="Z12" s="314" t="e">
        <f>IF(AND('Mapa final'!#REF!="Muy Alta",'Mapa final'!#REF!="Moderado"),CONCATENATE("R",'Mapa final'!#REF!),"")</f>
        <v>#REF!</v>
      </c>
      <c r="AA12" s="315"/>
      <c r="AB12" s="318" t="e">
        <f>IF(AND('Mapa final'!#REF!="Muy Alta",'Mapa final'!#REF!="Mayor"),CONCATENATE("R",'Mapa final'!#REF!),"")</f>
        <v>#REF!</v>
      </c>
      <c r="AC12" s="314"/>
      <c r="AD12" s="314" t="str">
        <f>IF(AND('Mapa final'!$H$23="Muy Alta",'Mapa final'!$L$23="Mayor"),CONCATENATE("R",'Mapa final'!$A$23),"")</f>
        <v/>
      </c>
      <c r="AE12" s="314"/>
      <c r="AF12" s="314" t="e">
        <f>IF(AND('Mapa final'!#REF!="Muy Alta",'Mapa final'!#REF!="Mayor"),CONCATENATE("R",'Mapa final'!#REF!),"")</f>
        <v>#REF!</v>
      </c>
      <c r="AG12" s="315"/>
      <c r="AH12" s="325" t="e">
        <f>IF(AND('Mapa final'!#REF!="Muy Alta",'Mapa final'!#REF!="Catastrófico"),CONCATENATE("R",'Mapa final'!#REF!),"")</f>
        <v>#REF!</v>
      </c>
      <c r="AI12" s="326"/>
      <c r="AJ12" s="326" t="str">
        <f>IF(AND('Mapa final'!$H$23="Muy Alta",'Mapa final'!$L$23="Catastrófico"),CONCATENATE("R",'Mapa final'!$A$23),"")</f>
        <v/>
      </c>
      <c r="AK12" s="326"/>
      <c r="AL12" s="326" t="e">
        <f>IF(AND('Mapa final'!#REF!="Muy Alta",'Mapa final'!#REF!="Catastrófico"),CONCATENATE("R",'Mapa final'!#REF!),"")</f>
        <v>#REF!</v>
      </c>
      <c r="AM12" s="327"/>
      <c r="AN12" s="69"/>
      <c r="AO12" s="272"/>
      <c r="AP12" s="273"/>
      <c r="AQ12" s="273"/>
      <c r="AR12" s="273"/>
      <c r="AS12" s="273"/>
      <c r="AT12" s="274"/>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c r="BY12" s="69"/>
      <c r="BZ12" s="69"/>
      <c r="CA12" s="69"/>
      <c r="CB12" s="69"/>
    </row>
    <row r="13" spans="1:99" ht="15.75" customHeight="1" thickBot="1" x14ac:dyDescent="0.3">
      <c r="A13" s="69"/>
      <c r="B13" s="267"/>
      <c r="C13" s="267"/>
      <c r="D13" s="268"/>
      <c r="E13" s="311"/>
      <c r="F13" s="312"/>
      <c r="G13" s="312"/>
      <c r="H13" s="312"/>
      <c r="I13" s="313"/>
      <c r="J13" s="318"/>
      <c r="K13" s="314"/>
      <c r="L13" s="314"/>
      <c r="M13" s="314"/>
      <c r="N13" s="314"/>
      <c r="O13" s="315"/>
      <c r="P13" s="318"/>
      <c r="Q13" s="314"/>
      <c r="R13" s="314"/>
      <c r="S13" s="314"/>
      <c r="T13" s="314"/>
      <c r="U13" s="315"/>
      <c r="V13" s="318"/>
      <c r="W13" s="314"/>
      <c r="X13" s="314"/>
      <c r="Y13" s="314"/>
      <c r="Z13" s="314"/>
      <c r="AA13" s="315"/>
      <c r="AB13" s="318"/>
      <c r="AC13" s="314"/>
      <c r="AD13" s="314"/>
      <c r="AE13" s="314"/>
      <c r="AF13" s="314"/>
      <c r="AG13" s="315"/>
      <c r="AH13" s="328"/>
      <c r="AI13" s="329"/>
      <c r="AJ13" s="329"/>
      <c r="AK13" s="329"/>
      <c r="AL13" s="329"/>
      <c r="AM13" s="330"/>
      <c r="AN13" s="69"/>
      <c r="AO13" s="275"/>
      <c r="AP13" s="276"/>
      <c r="AQ13" s="276"/>
      <c r="AR13" s="276"/>
      <c r="AS13" s="276"/>
      <c r="AT13" s="277"/>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c r="BY13" s="69"/>
      <c r="BZ13" s="69"/>
      <c r="CA13" s="69"/>
      <c r="CB13" s="69"/>
    </row>
    <row r="14" spans="1:99" ht="15" customHeight="1" x14ac:dyDescent="0.25">
      <c r="A14" s="69"/>
      <c r="B14" s="267"/>
      <c r="C14" s="267"/>
      <c r="D14" s="268"/>
      <c r="E14" s="305" t="s">
        <v>115</v>
      </c>
      <c r="F14" s="306"/>
      <c r="G14" s="306"/>
      <c r="H14" s="306"/>
      <c r="I14" s="306"/>
      <c r="J14" s="340" t="e">
        <f>IF(AND('Mapa final'!#REF!="Alta",'Mapa final'!#REF!="Leve"),CONCATENATE("R",'Mapa final'!#REF!),"")</f>
        <v>#REF!</v>
      </c>
      <c r="K14" s="341"/>
      <c r="L14" s="341" t="e">
        <f>IF(AND('Mapa final'!#REF!="Alta",'Mapa final'!#REF!="Leve"),CONCATENATE("R",'Mapa final'!#REF!),"")</f>
        <v>#REF!</v>
      </c>
      <c r="M14" s="341"/>
      <c r="N14" s="341" t="e">
        <f>IF(AND('Mapa final'!#REF!="Alta",'Mapa final'!#REF!="Leve"),CONCATENATE("R",'Mapa final'!#REF!),"")</f>
        <v>#REF!</v>
      </c>
      <c r="O14" s="342"/>
      <c r="P14" s="340" t="e">
        <f>IF(AND('Mapa final'!#REF!="Alta",'Mapa final'!#REF!="Menor"),CONCATENATE("R",'Mapa final'!#REF!),"")</f>
        <v>#REF!</v>
      </c>
      <c r="Q14" s="341"/>
      <c r="R14" s="341" t="e">
        <f>IF(AND('Mapa final'!#REF!="Alta",'Mapa final'!#REF!="Menor"),CONCATENATE("R",'Mapa final'!#REF!),"")</f>
        <v>#REF!</v>
      </c>
      <c r="S14" s="341"/>
      <c r="T14" s="341" t="e">
        <f>IF(AND('Mapa final'!#REF!="Alta",'Mapa final'!#REF!="Menor"),CONCATENATE("R",'Mapa final'!#REF!),"")</f>
        <v>#REF!</v>
      </c>
      <c r="U14" s="342"/>
      <c r="V14" s="316" t="e">
        <f>IF(AND('Mapa final'!#REF!="Alta",'Mapa final'!#REF!="Moderado"),CONCATENATE("R",'Mapa final'!#REF!),"")</f>
        <v>#REF!</v>
      </c>
      <c r="W14" s="317"/>
      <c r="X14" s="317" t="e">
        <f>IF(AND('Mapa final'!#REF!="Alta",'Mapa final'!#REF!="Moderado"),CONCATENATE("R",'Mapa final'!#REF!),"")</f>
        <v>#REF!</v>
      </c>
      <c r="Y14" s="317"/>
      <c r="Z14" s="317" t="e">
        <f>IF(AND('Mapa final'!#REF!="Alta",'Mapa final'!#REF!="Moderado"),CONCATENATE("R",'Mapa final'!#REF!),"")</f>
        <v>#REF!</v>
      </c>
      <c r="AA14" s="319"/>
      <c r="AB14" s="316" t="e">
        <f>IF(AND('Mapa final'!#REF!="Alta",'Mapa final'!#REF!="Mayor"),CONCATENATE("R",'Mapa final'!#REF!),"")</f>
        <v>#REF!</v>
      </c>
      <c r="AC14" s="317"/>
      <c r="AD14" s="317" t="e">
        <f>IF(AND('Mapa final'!#REF!="Alta",'Mapa final'!#REF!="Mayor"),CONCATENATE("R",'Mapa final'!#REF!),"")</f>
        <v>#REF!</v>
      </c>
      <c r="AE14" s="317"/>
      <c r="AF14" s="317" t="e">
        <f>IF(AND('Mapa final'!#REF!="Alta",'Mapa final'!#REF!="Mayor"),CONCATENATE("R",'Mapa final'!#REF!),"")</f>
        <v>#REF!</v>
      </c>
      <c r="AG14" s="319"/>
      <c r="AH14" s="331" t="e">
        <f>IF(AND('Mapa final'!#REF!="Alta",'Mapa final'!#REF!="Catastrófico"),CONCATENATE("R",'Mapa final'!#REF!),"")</f>
        <v>#REF!</v>
      </c>
      <c r="AI14" s="332"/>
      <c r="AJ14" s="332" t="e">
        <f>IF(AND('Mapa final'!#REF!="Alta",'Mapa final'!#REF!="Catastrófico"),CONCATENATE("R",'Mapa final'!#REF!),"")</f>
        <v>#REF!</v>
      </c>
      <c r="AK14" s="332"/>
      <c r="AL14" s="332" t="e">
        <f>IF(AND('Mapa final'!#REF!="Alta",'Mapa final'!#REF!="Catastrófico"),CONCATENATE("R",'Mapa final'!#REF!),"")</f>
        <v>#REF!</v>
      </c>
      <c r="AM14" s="333"/>
      <c r="AN14" s="69"/>
      <c r="AO14" s="278" t="s">
        <v>80</v>
      </c>
      <c r="AP14" s="279"/>
      <c r="AQ14" s="279"/>
      <c r="AR14" s="279"/>
      <c r="AS14" s="279"/>
      <c r="AT14" s="280"/>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c r="BY14" s="69"/>
      <c r="BZ14" s="69"/>
      <c r="CA14" s="69"/>
      <c r="CB14" s="69"/>
    </row>
    <row r="15" spans="1:99" ht="15" customHeight="1" x14ac:dyDescent="0.25">
      <c r="A15" s="69"/>
      <c r="B15" s="267"/>
      <c r="C15" s="267"/>
      <c r="D15" s="268"/>
      <c r="E15" s="308"/>
      <c r="F15" s="309"/>
      <c r="G15" s="309"/>
      <c r="H15" s="309"/>
      <c r="I15" s="309"/>
      <c r="J15" s="334"/>
      <c r="K15" s="335"/>
      <c r="L15" s="335"/>
      <c r="M15" s="335"/>
      <c r="N15" s="335"/>
      <c r="O15" s="336"/>
      <c r="P15" s="334"/>
      <c r="Q15" s="335"/>
      <c r="R15" s="335"/>
      <c r="S15" s="335"/>
      <c r="T15" s="335"/>
      <c r="U15" s="336"/>
      <c r="V15" s="318"/>
      <c r="W15" s="314"/>
      <c r="X15" s="314"/>
      <c r="Y15" s="314"/>
      <c r="Z15" s="314"/>
      <c r="AA15" s="315"/>
      <c r="AB15" s="318"/>
      <c r="AC15" s="314"/>
      <c r="AD15" s="314"/>
      <c r="AE15" s="314"/>
      <c r="AF15" s="314"/>
      <c r="AG15" s="315"/>
      <c r="AH15" s="325"/>
      <c r="AI15" s="326"/>
      <c r="AJ15" s="326"/>
      <c r="AK15" s="326"/>
      <c r="AL15" s="326"/>
      <c r="AM15" s="327"/>
      <c r="AN15" s="69"/>
      <c r="AO15" s="281"/>
      <c r="AP15" s="282"/>
      <c r="AQ15" s="282"/>
      <c r="AR15" s="282"/>
      <c r="AS15" s="282"/>
      <c r="AT15" s="283"/>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c r="BY15" s="69"/>
      <c r="BZ15" s="69"/>
      <c r="CA15" s="69"/>
      <c r="CB15" s="69"/>
    </row>
    <row r="16" spans="1:99" ht="15" customHeight="1" x14ac:dyDescent="0.25">
      <c r="A16" s="69"/>
      <c r="B16" s="267"/>
      <c r="C16" s="267"/>
      <c r="D16" s="268"/>
      <c r="E16" s="308"/>
      <c r="F16" s="309"/>
      <c r="G16" s="309"/>
      <c r="H16" s="309"/>
      <c r="I16" s="309"/>
      <c r="J16" s="334" t="str">
        <f>IF(AND('Mapa final'!$H$13="Alta",'Mapa final'!$L$13="Leve"),CONCATENATE("R",'Mapa final'!$A$13),"")</f>
        <v/>
      </c>
      <c r="K16" s="335"/>
      <c r="L16" s="335" t="str">
        <f>IF(AND('Mapa final'!$H$17="Alta",'Mapa final'!$L$17="Leve"),CONCATENATE("R",'Mapa final'!$A$17),"")</f>
        <v/>
      </c>
      <c r="M16" s="335"/>
      <c r="N16" s="335" t="e">
        <f>IF(AND('Mapa final'!#REF!="Alta",'Mapa final'!#REF!="Leve"),CONCATENATE("R",'Mapa final'!#REF!),"")</f>
        <v>#REF!</v>
      </c>
      <c r="O16" s="336"/>
      <c r="P16" s="334" t="str">
        <f>IF(AND('Mapa final'!$H$13="Alta",'Mapa final'!$L$13="Menor"),CONCATENATE("R",'Mapa final'!$A$13),"")</f>
        <v/>
      </c>
      <c r="Q16" s="335"/>
      <c r="R16" s="335" t="str">
        <f>IF(AND('Mapa final'!$H$17="Alta",'Mapa final'!$L$17="Menor"),CONCATENATE("R",'Mapa final'!$A$17),"")</f>
        <v/>
      </c>
      <c r="S16" s="335"/>
      <c r="T16" s="335" t="e">
        <f>IF(AND('Mapa final'!#REF!="Alta",'Mapa final'!#REF!="Menor"),CONCATENATE("R",'Mapa final'!#REF!),"")</f>
        <v>#REF!</v>
      </c>
      <c r="U16" s="336"/>
      <c r="V16" s="318" t="str">
        <f>IF(AND('Mapa final'!$H$13="Alta",'Mapa final'!$L$13="Moderado"),CONCATENATE("R",'Mapa final'!$A$13),"")</f>
        <v/>
      </c>
      <c r="W16" s="314"/>
      <c r="X16" s="314" t="str">
        <f>IF(AND('Mapa final'!$H$17="Alta",'Mapa final'!$L$17="Moderado"),CONCATENATE("R",'Mapa final'!$A$17),"")</f>
        <v/>
      </c>
      <c r="Y16" s="314"/>
      <c r="Z16" s="314" t="e">
        <f>IF(AND('Mapa final'!#REF!="Alta",'Mapa final'!#REF!="Moderado"),CONCATENATE("R",'Mapa final'!#REF!),"")</f>
        <v>#REF!</v>
      </c>
      <c r="AA16" s="315"/>
      <c r="AB16" s="318" t="str">
        <f>IF(AND('Mapa final'!$H$13="Alta",'Mapa final'!$L$13="Mayor"),CONCATENATE("R",'Mapa final'!$A$13),"")</f>
        <v/>
      </c>
      <c r="AC16" s="314"/>
      <c r="AD16" s="314" t="str">
        <f>IF(AND('Mapa final'!$H$17="Alta",'Mapa final'!$L$17="Mayor"),CONCATENATE("R",'Mapa final'!$A$17),"")</f>
        <v/>
      </c>
      <c r="AE16" s="314"/>
      <c r="AF16" s="314" t="e">
        <f>IF(AND('Mapa final'!#REF!="Alta",'Mapa final'!#REF!="Mayor"),CONCATENATE("R",'Mapa final'!#REF!),"")</f>
        <v>#REF!</v>
      </c>
      <c r="AG16" s="315"/>
      <c r="AH16" s="325" t="str">
        <f>IF(AND('Mapa final'!$H$13="Alta",'Mapa final'!$L$13="Catastrófico"),CONCATENATE("R",'Mapa final'!$A$13),"")</f>
        <v/>
      </c>
      <c r="AI16" s="326"/>
      <c r="AJ16" s="326" t="str">
        <f>IF(AND('Mapa final'!$H$17="Alta",'Mapa final'!$L$17="Catastrófico"),CONCATENATE("R",'Mapa final'!$A$17),"")</f>
        <v/>
      </c>
      <c r="AK16" s="326"/>
      <c r="AL16" s="326" t="e">
        <f>IF(AND('Mapa final'!#REF!="Alta",'Mapa final'!#REF!="Catastrófico"),CONCATENATE("R",'Mapa final'!#REF!),"")</f>
        <v>#REF!</v>
      </c>
      <c r="AM16" s="327"/>
      <c r="AN16" s="69"/>
      <c r="AO16" s="281"/>
      <c r="AP16" s="282"/>
      <c r="AQ16" s="282"/>
      <c r="AR16" s="282"/>
      <c r="AS16" s="282"/>
      <c r="AT16" s="283"/>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c r="BY16" s="69"/>
      <c r="BZ16" s="69"/>
      <c r="CA16" s="69"/>
      <c r="CB16" s="69"/>
    </row>
    <row r="17" spans="1:80" ht="15" customHeight="1" x14ac:dyDescent="0.25">
      <c r="A17" s="69"/>
      <c r="B17" s="267"/>
      <c r="C17" s="267"/>
      <c r="D17" s="268"/>
      <c r="E17" s="308"/>
      <c r="F17" s="309"/>
      <c r="G17" s="309"/>
      <c r="H17" s="309"/>
      <c r="I17" s="309"/>
      <c r="J17" s="334"/>
      <c r="K17" s="335"/>
      <c r="L17" s="335"/>
      <c r="M17" s="335"/>
      <c r="N17" s="335"/>
      <c r="O17" s="336"/>
      <c r="P17" s="334"/>
      <c r="Q17" s="335"/>
      <c r="R17" s="335"/>
      <c r="S17" s="335"/>
      <c r="T17" s="335"/>
      <c r="U17" s="336"/>
      <c r="V17" s="318"/>
      <c r="W17" s="314"/>
      <c r="X17" s="314"/>
      <c r="Y17" s="314"/>
      <c r="Z17" s="314"/>
      <c r="AA17" s="315"/>
      <c r="AB17" s="318"/>
      <c r="AC17" s="314"/>
      <c r="AD17" s="314"/>
      <c r="AE17" s="314"/>
      <c r="AF17" s="314"/>
      <c r="AG17" s="315"/>
      <c r="AH17" s="325"/>
      <c r="AI17" s="326"/>
      <c r="AJ17" s="326"/>
      <c r="AK17" s="326"/>
      <c r="AL17" s="326"/>
      <c r="AM17" s="327"/>
      <c r="AN17" s="69"/>
      <c r="AO17" s="281"/>
      <c r="AP17" s="282"/>
      <c r="AQ17" s="282"/>
      <c r="AR17" s="282"/>
      <c r="AS17" s="282"/>
      <c r="AT17" s="283"/>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c r="BY17" s="69"/>
      <c r="BZ17" s="69"/>
      <c r="CA17" s="69"/>
      <c r="CB17" s="69"/>
    </row>
    <row r="18" spans="1:80" ht="15" customHeight="1" x14ac:dyDescent="0.25">
      <c r="A18" s="69"/>
      <c r="B18" s="267"/>
      <c r="C18" s="267"/>
      <c r="D18" s="268"/>
      <c r="E18" s="308"/>
      <c r="F18" s="309"/>
      <c r="G18" s="309"/>
      <c r="H18" s="309"/>
      <c r="I18" s="309"/>
      <c r="J18" s="334" t="e">
        <f>IF(AND('Mapa final'!#REF!="Alta",'Mapa final'!#REF!="Leve"),CONCATENATE("R",'Mapa final'!#REF!),"")</f>
        <v>#REF!</v>
      </c>
      <c r="K18" s="335"/>
      <c r="L18" s="335" t="e">
        <f>IF(AND('Mapa final'!#REF!="Alta",'Mapa final'!#REF!="Leve"),CONCATENATE("R",'Mapa final'!#REF!),"")</f>
        <v>#REF!</v>
      </c>
      <c r="M18" s="335"/>
      <c r="N18" s="335" t="e">
        <f>IF(AND('Mapa final'!#REF!="Alta",'Mapa final'!#REF!="Leve"),CONCATENATE("R",'Mapa final'!#REF!),"")</f>
        <v>#REF!</v>
      </c>
      <c r="O18" s="336"/>
      <c r="P18" s="334" t="e">
        <f>IF(AND('Mapa final'!#REF!="Alta",'Mapa final'!#REF!="Menor"),CONCATENATE("R",'Mapa final'!#REF!),"")</f>
        <v>#REF!</v>
      </c>
      <c r="Q18" s="335"/>
      <c r="R18" s="335" t="e">
        <f>IF(AND('Mapa final'!#REF!="Alta",'Mapa final'!#REF!="Menor"),CONCATENATE("R",'Mapa final'!#REF!),"")</f>
        <v>#REF!</v>
      </c>
      <c r="S18" s="335"/>
      <c r="T18" s="335" t="e">
        <f>IF(AND('Mapa final'!#REF!="Alta",'Mapa final'!#REF!="Menor"),CONCATENATE("R",'Mapa final'!#REF!),"")</f>
        <v>#REF!</v>
      </c>
      <c r="U18" s="336"/>
      <c r="V18" s="318" t="e">
        <f>IF(AND('Mapa final'!#REF!="Alta",'Mapa final'!#REF!="Moderado"),CONCATENATE("R",'Mapa final'!#REF!),"")</f>
        <v>#REF!</v>
      </c>
      <c r="W18" s="314"/>
      <c r="X18" s="314" t="e">
        <f>IF(AND('Mapa final'!#REF!="Alta",'Mapa final'!#REF!="Moderado"),CONCATENATE("R",'Mapa final'!#REF!),"")</f>
        <v>#REF!</v>
      </c>
      <c r="Y18" s="314"/>
      <c r="Z18" s="314" t="e">
        <f>IF(AND('Mapa final'!#REF!="Alta",'Mapa final'!#REF!="Moderado"),CONCATENATE("R",'Mapa final'!#REF!),"")</f>
        <v>#REF!</v>
      </c>
      <c r="AA18" s="315"/>
      <c r="AB18" s="318" t="e">
        <f>IF(AND('Mapa final'!#REF!="Alta",'Mapa final'!#REF!="Mayor"),CONCATENATE("R",'Mapa final'!#REF!),"")</f>
        <v>#REF!</v>
      </c>
      <c r="AC18" s="314"/>
      <c r="AD18" s="314" t="e">
        <f>IF(AND('Mapa final'!#REF!="Alta",'Mapa final'!#REF!="Mayor"),CONCATENATE("R",'Mapa final'!#REF!),"")</f>
        <v>#REF!</v>
      </c>
      <c r="AE18" s="314"/>
      <c r="AF18" s="314" t="e">
        <f>IF(AND('Mapa final'!#REF!="Alta",'Mapa final'!#REF!="Mayor"),CONCATENATE("R",'Mapa final'!#REF!),"")</f>
        <v>#REF!</v>
      </c>
      <c r="AG18" s="315"/>
      <c r="AH18" s="325" t="e">
        <f>IF(AND('Mapa final'!#REF!="Alta",'Mapa final'!#REF!="Catastrófico"),CONCATENATE("R",'Mapa final'!#REF!),"")</f>
        <v>#REF!</v>
      </c>
      <c r="AI18" s="326"/>
      <c r="AJ18" s="326" t="e">
        <f>IF(AND('Mapa final'!#REF!="Alta",'Mapa final'!#REF!="Catastrófico"),CONCATENATE("R",'Mapa final'!#REF!),"")</f>
        <v>#REF!</v>
      </c>
      <c r="AK18" s="326"/>
      <c r="AL18" s="326" t="e">
        <f>IF(AND('Mapa final'!#REF!="Alta",'Mapa final'!#REF!="Catastrófico"),CONCATENATE("R",'Mapa final'!#REF!),"")</f>
        <v>#REF!</v>
      </c>
      <c r="AM18" s="327"/>
      <c r="AN18" s="69"/>
      <c r="AO18" s="281"/>
      <c r="AP18" s="282"/>
      <c r="AQ18" s="282"/>
      <c r="AR18" s="282"/>
      <c r="AS18" s="282"/>
      <c r="AT18" s="283"/>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c r="BY18" s="69"/>
      <c r="BZ18" s="69"/>
      <c r="CA18" s="69"/>
      <c r="CB18" s="69"/>
    </row>
    <row r="19" spans="1:80" ht="15" customHeight="1" x14ac:dyDescent="0.25">
      <c r="A19" s="69"/>
      <c r="B19" s="267"/>
      <c r="C19" s="267"/>
      <c r="D19" s="268"/>
      <c r="E19" s="308"/>
      <c r="F19" s="309"/>
      <c r="G19" s="309"/>
      <c r="H19" s="309"/>
      <c r="I19" s="309"/>
      <c r="J19" s="334"/>
      <c r="K19" s="335"/>
      <c r="L19" s="335"/>
      <c r="M19" s="335"/>
      <c r="N19" s="335"/>
      <c r="O19" s="336"/>
      <c r="P19" s="334"/>
      <c r="Q19" s="335"/>
      <c r="R19" s="335"/>
      <c r="S19" s="335"/>
      <c r="T19" s="335"/>
      <c r="U19" s="336"/>
      <c r="V19" s="318"/>
      <c r="W19" s="314"/>
      <c r="X19" s="314"/>
      <c r="Y19" s="314"/>
      <c r="Z19" s="314"/>
      <c r="AA19" s="315"/>
      <c r="AB19" s="318"/>
      <c r="AC19" s="314"/>
      <c r="AD19" s="314"/>
      <c r="AE19" s="314"/>
      <c r="AF19" s="314"/>
      <c r="AG19" s="315"/>
      <c r="AH19" s="325"/>
      <c r="AI19" s="326"/>
      <c r="AJ19" s="326"/>
      <c r="AK19" s="326"/>
      <c r="AL19" s="326"/>
      <c r="AM19" s="327"/>
      <c r="AN19" s="69"/>
      <c r="AO19" s="281"/>
      <c r="AP19" s="282"/>
      <c r="AQ19" s="282"/>
      <c r="AR19" s="282"/>
      <c r="AS19" s="282"/>
      <c r="AT19" s="283"/>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c r="BY19" s="69"/>
      <c r="BZ19" s="69"/>
      <c r="CA19" s="69"/>
      <c r="CB19" s="69"/>
    </row>
    <row r="20" spans="1:80" ht="15" customHeight="1" x14ac:dyDescent="0.25">
      <c r="A20" s="69"/>
      <c r="B20" s="267"/>
      <c r="C20" s="267"/>
      <c r="D20" s="268"/>
      <c r="E20" s="308"/>
      <c r="F20" s="309"/>
      <c r="G20" s="309"/>
      <c r="H20" s="309"/>
      <c r="I20" s="309"/>
      <c r="J20" s="334" t="e">
        <f>IF(AND('Mapa final'!#REF!="Alta",'Mapa final'!#REF!="Leve"),CONCATENATE("R",'Mapa final'!#REF!),"")</f>
        <v>#REF!</v>
      </c>
      <c r="K20" s="335"/>
      <c r="L20" s="335" t="str">
        <f>IF(AND('Mapa final'!$H$23="Alta",'Mapa final'!$L$23="Leve"),CONCATENATE("R",'Mapa final'!$A$23),"")</f>
        <v/>
      </c>
      <c r="M20" s="335"/>
      <c r="N20" s="335" t="e">
        <f>IF(AND('Mapa final'!#REF!="Alta",'Mapa final'!#REF!="Leve"),CONCATENATE("R",'Mapa final'!#REF!),"")</f>
        <v>#REF!</v>
      </c>
      <c r="O20" s="336"/>
      <c r="P20" s="334" t="e">
        <f>IF(AND('Mapa final'!#REF!="Alta",'Mapa final'!#REF!="Menor"),CONCATENATE("R",'Mapa final'!#REF!),"")</f>
        <v>#REF!</v>
      </c>
      <c r="Q20" s="335"/>
      <c r="R20" s="335" t="str">
        <f>IF(AND('Mapa final'!$H$23="Alta",'Mapa final'!$L$23="Menor"),CONCATENATE("R",'Mapa final'!$A$23),"")</f>
        <v/>
      </c>
      <c r="S20" s="335"/>
      <c r="T20" s="335" t="e">
        <f>IF(AND('Mapa final'!#REF!="Alta",'Mapa final'!#REF!="Menor"),CONCATENATE("R",'Mapa final'!#REF!),"")</f>
        <v>#REF!</v>
      </c>
      <c r="U20" s="336"/>
      <c r="V20" s="318" t="e">
        <f>IF(AND('Mapa final'!#REF!="Alta",'Mapa final'!#REF!="Moderado"),CONCATENATE("R",'Mapa final'!#REF!),"")</f>
        <v>#REF!</v>
      </c>
      <c r="W20" s="314"/>
      <c r="X20" s="314" t="str">
        <f>IF(AND('Mapa final'!$H$23="Alta",'Mapa final'!$L$23="Moderado"),CONCATENATE("R",'Mapa final'!$A$23),"")</f>
        <v/>
      </c>
      <c r="Y20" s="314"/>
      <c r="Z20" s="314" t="e">
        <f>IF(AND('Mapa final'!#REF!="Alta",'Mapa final'!#REF!="Moderado"),CONCATENATE("R",'Mapa final'!#REF!),"")</f>
        <v>#REF!</v>
      </c>
      <c r="AA20" s="315"/>
      <c r="AB20" s="318" t="e">
        <f>IF(AND('Mapa final'!#REF!="Alta",'Mapa final'!#REF!="Mayor"),CONCATENATE("R",'Mapa final'!#REF!),"")</f>
        <v>#REF!</v>
      </c>
      <c r="AC20" s="314"/>
      <c r="AD20" s="314" t="str">
        <f>IF(AND('Mapa final'!$H$23="Alta",'Mapa final'!$L$23="Mayor"),CONCATENATE("R",'Mapa final'!$A$23),"")</f>
        <v/>
      </c>
      <c r="AE20" s="314"/>
      <c r="AF20" s="314" t="e">
        <f>IF(AND('Mapa final'!#REF!="Alta",'Mapa final'!#REF!="Mayor"),CONCATENATE("R",'Mapa final'!#REF!),"")</f>
        <v>#REF!</v>
      </c>
      <c r="AG20" s="315"/>
      <c r="AH20" s="325" t="e">
        <f>IF(AND('Mapa final'!#REF!="Alta",'Mapa final'!#REF!="Catastrófico"),CONCATENATE("R",'Mapa final'!#REF!),"")</f>
        <v>#REF!</v>
      </c>
      <c r="AI20" s="326"/>
      <c r="AJ20" s="326" t="str">
        <f>IF(AND('Mapa final'!$H$23="Alta",'Mapa final'!$L$23="Catastrófico"),CONCATENATE("R",'Mapa final'!$A$23),"")</f>
        <v/>
      </c>
      <c r="AK20" s="326"/>
      <c r="AL20" s="326" t="e">
        <f>IF(AND('Mapa final'!#REF!="Alta",'Mapa final'!#REF!="Catastrófico"),CONCATENATE("R",'Mapa final'!#REF!),"")</f>
        <v>#REF!</v>
      </c>
      <c r="AM20" s="327"/>
      <c r="AN20" s="69"/>
      <c r="AO20" s="281"/>
      <c r="AP20" s="282"/>
      <c r="AQ20" s="282"/>
      <c r="AR20" s="282"/>
      <c r="AS20" s="282"/>
      <c r="AT20" s="283"/>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c r="BY20" s="69"/>
      <c r="BZ20" s="69"/>
      <c r="CA20" s="69"/>
      <c r="CB20" s="69"/>
    </row>
    <row r="21" spans="1:80" ht="15.75" customHeight="1" thickBot="1" x14ac:dyDescent="0.3">
      <c r="A21" s="69"/>
      <c r="B21" s="267"/>
      <c r="C21" s="267"/>
      <c r="D21" s="268"/>
      <c r="E21" s="311"/>
      <c r="F21" s="312"/>
      <c r="G21" s="312"/>
      <c r="H21" s="312"/>
      <c r="I21" s="312"/>
      <c r="J21" s="337"/>
      <c r="K21" s="338"/>
      <c r="L21" s="338"/>
      <c r="M21" s="338"/>
      <c r="N21" s="338"/>
      <c r="O21" s="339"/>
      <c r="P21" s="337"/>
      <c r="Q21" s="338"/>
      <c r="R21" s="338"/>
      <c r="S21" s="338"/>
      <c r="T21" s="338"/>
      <c r="U21" s="339"/>
      <c r="V21" s="322"/>
      <c r="W21" s="323"/>
      <c r="X21" s="323"/>
      <c r="Y21" s="323"/>
      <c r="Z21" s="323"/>
      <c r="AA21" s="324"/>
      <c r="AB21" s="322"/>
      <c r="AC21" s="323"/>
      <c r="AD21" s="323"/>
      <c r="AE21" s="323"/>
      <c r="AF21" s="323"/>
      <c r="AG21" s="324"/>
      <c r="AH21" s="328"/>
      <c r="AI21" s="329"/>
      <c r="AJ21" s="329"/>
      <c r="AK21" s="329"/>
      <c r="AL21" s="329"/>
      <c r="AM21" s="330"/>
      <c r="AN21" s="69"/>
      <c r="AO21" s="284"/>
      <c r="AP21" s="285"/>
      <c r="AQ21" s="285"/>
      <c r="AR21" s="285"/>
      <c r="AS21" s="285"/>
      <c r="AT21" s="286"/>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c r="BY21" s="69"/>
      <c r="BZ21" s="69"/>
      <c r="CA21" s="69"/>
      <c r="CB21" s="69"/>
    </row>
    <row r="22" spans="1:80" x14ac:dyDescent="0.25">
      <c r="A22" s="69"/>
      <c r="B22" s="267"/>
      <c r="C22" s="267"/>
      <c r="D22" s="268"/>
      <c r="E22" s="305" t="s">
        <v>117</v>
      </c>
      <c r="F22" s="306"/>
      <c r="G22" s="306"/>
      <c r="H22" s="306"/>
      <c r="I22" s="307"/>
      <c r="J22" s="340" t="e">
        <f>IF(AND('Mapa final'!#REF!="Media",'Mapa final'!#REF!="Leve"),CONCATENATE("R",'Mapa final'!#REF!),"")</f>
        <v>#REF!</v>
      </c>
      <c r="K22" s="341"/>
      <c r="L22" s="341" t="e">
        <f>IF(AND('Mapa final'!#REF!="Media",'Mapa final'!#REF!="Leve"),CONCATENATE("R",'Mapa final'!#REF!),"")</f>
        <v>#REF!</v>
      </c>
      <c r="M22" s="341"/>
      <c r="N22" s="341" t="e">
        <f>IF(AND('Mapa final'!#REF!="Media",'Mapa final'!#REF!="Leve"),CONCATENATE("R",'Mapa final'!#REF!),"")</f>
        <v>#REF!</v>
      </c>
      <c r="O22" s="342"/>
      <c r="P22" s="340" t="e">
        <f>IF(AND('Mapa final'!#REF!="Media",'Mapa final'!#REF!="Menor"),CONCATENATE("R",'Mapa final'!#REF!),"")</f>
        <v>#REF!</v>
      </c>
      <c r="Q22" s="341"/>
      <c r="R22" s="341" t="e">
        <f>IF(AND('Mapa final'!#REF!="Media",'Mapa final'!#REF!="Menor"),CONCATENATE("R",'Mapa final'!#REF!),"")</f>
        <v>#REF!</v>
      </c>
      <c r="S22" s="341"/>
      <c r="T22" s="341" t="e">
        <f>IF(AND('Mapa final'!#REF!="Media",'Mapa final'!#REF!="Menor"),CONCATENATE("R",'Mapa final'!#REF!),"")</f>
        <v>#REF!</v>
      </c>
      <c r="U22" s="342"/>
      <c r="V22" s="340" t="e">
        <f>IF(AND('Mapa final'!#REF!="Media",'Mapa final'!#REF!="Moderado"),CONCATENATE("R",'Mapa final'!#REF!),"")</f>
        <v>#REF!</v>
      </c>
      <c r="W22" s="341"/>
      <c r="X22" s="341" t="e">
        <f>IF(AND('Mapa final'!#REF!="Media",'Mapa final'!#REF!="Moderado"),CONCATENATE("R",'Mapa final'!#REF!),"")</f>
        <v>#REF!</v>
      </c>
      <c r="Y22" s="341"/>
      <c r="Z22" s="341" t="e">
        <f>IF(AND('Mapa final'!#REF!="Media",'Mapa final'!#REF!="Moderado"),CONCATENATE("R",'Mapa final'!#REF!),"")</f>
        <v>#REF!</v>
      </c>
      <c r="AA22" s="342"/>
      <c r="AB22" s="316" t="e">
        <f>IF(AND('Mapa final'!#REF!="Media",'Mapa final'!#REF!="Mayor"),CONCATENATE("R",'Mapa final'!#REF!),"")</f>
        <v>#REF!</v>
      </c>
      <c r="AC22" s="317"/>
      <c r="AD22" s="317" t="e">
        <f>IF(AND('Mapa final'!#REF!="Media",'Mapa final'!#REF!="Mayor"),CONCATENATE("R",'Mapa final'!#REF!),"")</f>
        <v>#REF!</v>
      </c>
      <c r="AE22" s="317"/>
      <c r="AF22" s="317" t="e">
        <f>IF(AND('Mapa final'!#REF!="Media",'Mapa final'!#REF!="Mayor"),CONCATENATE("R",'Mapa final'!#REF!),"")</f>
        <v>#REF!</v>
      </c>
      <c r="AG22" s="319"/>
      <c r="AH22" s="331" t="e">
        <f>IF(AND('Mapa final'!#REF!="Media",'Mapa final'!#REF!="Catastrófico"),CONCATENATE("R",'Mapa final'!#REF!),"")</f>
        <v>#REF!</v>
      </c>
      <c r="AI22" s="332"/>
      <c r="AJ22" s="332" t="e">
        <f>IF(AND('Mapa final'!#REF!="Media",'Mapa final'!#REF!="Catastrófico"),CONCATENATE("R",'Mapa final'!#REF!),"")</f>
        <v>#REF!</v>
      </c>
      <c r="AK22" s="332"/>
      <c r="AL22" s="332" t="e">
        <f>IF(AND('Mapa final'!#REF!="Media",'Mapa final'!#REF!="Catastrófico"),CONCATENATE("R",'Mapa final'!#REF!),"")</f>
        <v>#REF!</v>
      </c>
      <c r="AM22" s="333"/>
      <c r="AN22" s="69"/>
      <c r="AO22" s="287" t="s">
        <v>81</v>
      </c>
      <c r="AP22" s="288"/>
      <c r="AQ22" s="288"/>
      <c r="AR22" s="288"/>
      <c r="AS22" s="288"/>
      <c r="AT22" s="289"/>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c r="BY22" s="69"/>
      <c r="BZ22" s="69"/>
      <c r="CA22" s="69"/>
      <c r="CB22" s="69"/>
    </row>
    <row r="23" spans="1:80" x14ac:dyDescent="0.25">
      <c r="A23" s="69"/>
      <c r="B23" s="267"/>
      <c r="C23" s="267"/>
      <c r="D23" s="268"/>
      <c r="E23" s="308"/>
      <c r="F23" s="309"/>
      <c r="G23" s="309"/>
      <c r="H23" s="309"/>
      <c r="I23" s="310"/>
      <c r="J23" s="334"/>
      <c r="K23" s="335"/>
      <c r="L23" s="335"/>
      <c r="M23" s="335"/>
      <c r="N23" s="335"/>
      <c r="O23" s="336"/>
      <c r="P23" s="334"/>
      <c r="Q23" s="335"/>
      <c r="R23" s="335"/>
      <c r="S23" s="335"/>
      <c r="T23" s="335"/>
      <c r="U23" s="336"/>
      <c r="V23" s="334"/>
      <c r="W23" s="335"/>
      <c r="X23" s="335"/>
      <c r="Y23" s="335"/>
      <c r="Z23" s="335"/>
      <c r="AA23" s="336"/>
      <c r="AB23" s="318"/>
      <c r="AC23" s="314"/>
      <c r="AD23" s="314"/>
      <c r="AE23" s="314"/>
      <c r="AF23" s="314"/>
      <c r="AG23" s="315"/>
      <c r="AH23" s="325"/>
      <c r="AI23" s="326"/>
      <c r="AJ23" s="326"/>
      <c r="AK23" s="326"/>
      <c r="AL23" s="326"/>
      <c r="AM23" s="327"/>
      <c r="AN23" s="69"/>
      <c r="AO23" s="290"/>
      <c r="AP23" s="291"/>
      <c r="AQ23" s="291"/>
      <c r="AR23" s="291"/>
      <c r="AS23" s="291"/>
      <c r="AT23" s="292"/>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c r="BY23" s="69"/>
      <c r="BZ23" s="69"/>
      <c r="CA23" s="69"/>
      <c r="CB23" s="69"/>
    </row>
    <row r="24" spans="1:80" x14ac:dyDescent="0.25">
      <c r="A24" s="69"/>
      <c r="B24" s="267"/>
      <c r="C24" s="267"/>
      <c r="D24" s="268"/>
      <c r="E24" s="308"/>
      <c r="F24" s="309"/>
      <c r="G24" s="309"/>
      <c r="H24" s="309"/>
      <c r="I24" s="310"/>
      <c r="J24" s="334" t="str">
        <f>IF(AND('Mapa final'!$H$13="Media",'Mapa final'!$L$13="Leve"),CONCATENATE("R",'Mapa final'!$A$13),"")</f>
        <v/>
      </c>
      <c r="K24" s="335"/>
      <c r="L24" s="335" t="str">
        <f>IF(AND('Mapa final'!$H$17="Media",'Mapa final'!$L$17="Leve"),CONCATENATE("R",'Mapa final'!$A$17),"")</f>
        <v/>
      </c>
      <c r="M24" s="335"/>
      <c r="N24" s="335" t="e">
        <f>IF(AND('Mapa final'!#REF!="Media",'Mapa final'!#REF!="Leve"),CONCATENATE("R",'Mapa final'!#REF!),"")</f>
        <v>#REF!</v>
      </c>
      <c r="O24" s="336"/>
      <c r="P24" s="334" t="str">
        <f>IF(AND('Mapa final'!$H$13="Media",'Mapa final'!$L$13="Menor"),CONCATENATE("R",'Mapa final'!$A$13),"")</f>
        <v/>
      </c>
      <c r="Q24" s="335"/>
      <c r="R24" s="335" t="str">
        <f>IF(AND('Mapa final'!$H$17="Media",'Mapa final'!$L$17="Menor"),CONCATENATE("R",'Mapa final'!$A$17),"")</f>
        <v/>
      </c>
      <c r="S24" s="335"/>
      <c r="T24" s="335" t="e">
        <f>IF(AND('Mapa final'!#REF!="Media",'Mapa final'!#REF!="Menor"),CONCATENATE("R",'Mapa final'!#REF!),"")</f>
        <v>#REF!</v>
      </c>
      <c r="U24" s="336"/>
      <c r="V24" s="334" t="str">
        <f>IF(AND('Mapa final'!$H$13="Media",'Mapa final'!$L$13="Moderado"),CONCATENATE("R",'Mapa final'!$A$13),"")</f>
        <v/>
      </c>
      <c r="W24" s="335"/>
      <c r="X24" s="335" t="str">
        <f>IF(AND('Mapa final'!$H$17="Media",'Mapa final'!$L$17="Moderado"),CONCATENATE("R",'Mapa final'!$A$17),"")</f>
        <v>R2</v>
      </c>
      <c r="Y24" s="335"/>
      <c r="Z24" s="335" t="e">
        <f>IF(AND('Mapa final'!#REF!="Media",'Mapa final'!#REF!="Moderado"),CONCATENATE("R",'Mapa final'!#REF!),"")</f>
        <v>#REF!</v>
      </c>
      <c r="AA24" s="336"/>
      <c r="AB24" s="318" t="str">
        <f>IF(AND('Mapa final'!$H$13="Media",'Mapa final'!$L$13="Mayor"),CONCATENATE("R",'Mapa final'!$A$13),"")</f>
        <v/>
      </c>
      <c r="AC24" s="314"/>
      <c r="AD24" s="314" t="str">
        <f>IF(AND('Mapa final'!$H$17="Media",'Mapa final'!$L$17="Mayor"),CONCATENATE("R",'Mapa final'!$A$17),"")</f>
        <v/>
      </c>
      <c r="AE24" s="314"/>
      <c r="AF24" s="314" t="e">
        <f>IF(AND('Mapa final'!#REF!="Media",'Mapa final'!#REF!="Mayor"),CONCATENATE("R",'Mapa final'!#REF!),"")</f>
        <v>#REF!</v>
      </c>
      <c r="AG24" s="315"/>
      <c r="AH24" s="325" t="str">
        <f>IF(AND('Mapa final'!$H$13="Media",'Mapa final'!$L$13="Catastrófico"),CONCATENATE("R",'Mapa final'!$A$13),"")</f>
        <v/>
      </c>
      <c r="AI24" s="326"/>
      <c r="AJ24" s="326" t="str">
        <f>IF(AND('Mapa final'!$H$17="Media",'Mapa final'!$L$17="Catastrófico"),CONCATENATE("R",'Mapa final'!$A$17),"")</f>
        <v/>
      </c>
      <c r="AK24" s="326"/>
      <c r="AL24" s="326" t="e">
        <f>IF(AND('Mapa final'!#REF!="Media",'Mapa final'!#REF!="Catastrófico"),CONCATENATE("R",'Mapa final'!#REF!),"")</f>
        <v>#REF!</v>
      </c>
      <c r="AM24" s="327"/>
      <c r="AN24" s="69"/>
      <c r="AO24" s="290"/>
      <c r="AP24" s="291"/>
      <c r="AQ24" s="291"/>
      <c r="AR24" s="291"/>
      <c r="AS24" s="291"/>
      <c r="AT24" s="292"/>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c r="BY24" s="69"/>
      <c r="BZ24" s="69"/>
      <c r="CA24" s="69"/>
      <c r="CB24" s="69"/>
    </row>
    <row r="25" spans="1:80" x14ac:dyDescent="0.25">
      <c r="A25" s="69"/>
      <c r="B25" s="267"/>
      <c r="C25" s="267"/>
      <c r="D25" s="268"/>
      <c r="E25" s="308"/>
      <c r="F25" s="309"/>
      <c r="G25" s="309"/>
      <c r="H25" s="309"/>
      <c r="I25" s="310"/>
      <c r="J25" s="334"/>
      <c r="K25" s="335"/>
      <c r="L25" s="335"/>
      <c r="M25" s="335"/>
      <c r="N25" s="335"/>
      <c r="O25" s="336"/>
      <c r="P25" s="334"/>
      <c r="Q25" s="335"/>
      <c r="R25" s="335"/>
      <c r="S25" s="335"/>
      <c r="T25" s="335"/>
      <c r="U25" s="336"/>
      <c r="V25" s="334"/>
      <c r="W25" s="335"/>
      <c r="X25" s="335"/>
      <c r="Y25" s="335"/>
      <c r="Z25" s="335"/>
      <c r="AA25" s="336"/>
      <c r="AB25" s="318"/>
      <c r="AC25" s="314"/>
      <c r="AD25" s="314"/>
      <c r="AE25" s="314"/>
      <c r="AF25" s="314"/>
      <c r="AG25" s="315"/>
      <c r="AH25" s="325"/>
      <c r="AI25" s="326"/>
      <c r="AJ25" s="326"/>
      <c r="AK25" s="326"/>
      <c r="AL25" s="326"/>
      <c r="AM25" s="327"/>
      <c r="AN25" s="69"/>
      <c r="AO25" s="290"/>
      <c r="AP25" s="291"/>
      <c r="AQ25" s="291"/>
      <c r="AR25" s="291"/>
      <c r="AS25" s="291"/>
      <c r="AT25" s="292"/>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c r="BY25" s="69"/>
      <c r="BZ25" s="69"/>
      <c r="CA25" s="69"/>
      <c r="CB25" s="69"/>
    </row>
    <row r="26" spans="1:80" x14ac:dyDescent="0.25">
      <c r="A26" s="69"/>
      <c r="B26" s="267"/>
      <c r="C26" s="267"/>
      <c r="D26" s="268"/>
      <c r="E26" s="308"/>
      <c r="F26" s="309"/>
      <c r="G26" s="309"/>
      <c r="H26" s="309"/>
      <c r="I26" s="310"/>
      <c r="J26" s="334" t="e">
        <f>IF(AND('Mapa final'!#REF!="Media",'Mapa final'!#REF!="Leve"),CONCATENATE("R",'Mapa final'!#REF!),"")</f>
        <v>#REF!</v>
      </c>
      <c r="K26" s="335"/>
      <c r="L26" s="335" t="e">
        <f>IF(AND('Mapa final'!#REF!="Media",'Mapa final'!#REF!="Leve"),CONCATENATE("R",'Mapa final'!#REF!),"")</f>
        <v>#REF!</v>
      </c>
      <c r="M26" s="335"/>
      <c r="N26" s="335" t="e">
        <f>IF(AND('Mapa final'!#REF!="Media",'Mapa final'!#REF!="Leve"),CONCATENATE("R",'Mapa final'!#REF!),"")</f>
        <v>#REF!</v>
      </c>
      <c r="O26" s="336"/>
      <c r="P26" s="334" t="e">
        <f>IF(AND('Mapa final'!#REF!="Media",'Mapa final'!#REF!="Menor"),CONCATENATE("R",'Mapa final'!#REF!),"")</f>
        <v>#REF!</v>
      </c>
      <c r="Q26" s="335"/>
      <c r="R26" s="335" t="e">
        <f>IF(AND('Mapa final'!#REF!="Media",'Mapa final'!#REF!="Menor"),CONCATENATE("R",'Mapa final'!#REF!),"")</f>
        <v>#REF!</v>
      </c>
      <c r="S26" s="335"/>
      <c r="T26" s="335" t="e">
        <f>IF(AND('Mapa final'!#REF!="Media",'Mapa final'!#REF!="Menor"),CONCATENATE("R",'Mapa final'!#REF!),"")</f>
        <v>#REF!</v>
      </c>
      <c r="U26" s="336"/>
      <c r="V26" s="334" t="e">
        <f>IF(AND('Mapa final'!#REF!="Media",'Mapa final'!#REF!="Moderado"),CONCATENATE("R",'Mapa final'!#REF!),"")</f>
        <v>#REF!</v>
      </c>
      <c r="W26" s="335"/>
      <c r="X26" s="335" t="e">
        <f>IF(AND('Mapa final'!#REF!="Media",'Mapa final'!#REF!="Moderado"),CONCATENATE("R",'Mapa final'!#REF!),"")</f>
        <v>#REF!</v>
      </c>
      <c r="Y26" s="335"/>
      <c r="Z26" s="335" t="e">
        <f>IF(AND('Mapa final'!#REF!="Media",'Mapa final'!#REF!="Moderado"),CONCATENATE("R",'Mapa final'!#REF!),"")</f>
        <v>#REF!</v>
      </c>
      <c r="AA26" s="336"/>
      <c r="AB26" s="318" t="e">
        <f>IF(AND('Mapa final'!#REF!="Media",'Mapa final'!#REF!="Mayor"),CONCATENATE("R",'Mapa final'!#REF!),"")</f>
        <v>#REF!</v>
      </c>
      <c r="AC26" s="314"/>
      <c r="AD26" s="314" t="e">
        <f>IF(AND('Mapa final'!#REF!="Media",'Mapa final'!#REF!="Mayor"),CONCATENATE("R",'Mapa final'!#REF!),"")</f>
        <v>#REF!</v>
      </c>
      <c r="AE26" s="314"/>
      <c r="AF26" s="314" t="e">
        <f>IF(AND('Mapa final'!#REF!="Media",'Mapa final'!#REF!="Mayor"),CONCATENATE("R",'Mapa final'!#REF!),"")</f>
        <v>#REF!</v>
      </c>
      <c r="AG26" s="315"/>
      <c r="AH26" s="325" t="e">
        <f>IF(AND('Mapa final'!#REF!="Media",'Mapa final'!#REF!="Catastrófico"),CONCATENATE("R",'Mapa final'!#REF!),"")</f>
        <v>#REF!</v>
      </c>
      <c r="AI26" s="326"/>
      <c r="AJ26" s="326" t="e">
        <f>IF(AND('Mapa final'!#REF!="Media",'Mapa final'!#REF!="Catastrófico"),CONCATENATE("R",'Mapa final'!#REF!),"")</f>
        <v>#REF!</v>
      </c>
      <c r="AK26" s="326"/>
      <c r="AL26" s="326" t="e">
        <f>IF(AND('Mapa final'!#REF!="Media",'Mapa final'!#REF!="Catastrófico"),CONCATENATE("R",'Mapa final'!#REF!),"")</f>
        <v>#REF!</v>
      </c>
      <c r="AM26" s="327"/>
      <c r="AN26" s="69"/>
      <c r="AO26" s="290"/>
      <c r="AP26" s="291"/>
      <c r="AQ26" s="291"/>
      <c r="AR26" s="291"/>
      <c r="AS26" s="291"/>
      <c r="AT26" s="292"/>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c r="BY26" s="69"/>
      <c r="BZ26" s="69"/>
      <c r="CA26" s="69"/>
      <c r="CB26" s="69"/>
    </row>
    <row r="27" spans="1:80" x14ac:dyDescent="0.25">
      <c r="A27" s="69"/>
      <c r="B27" s="267"/>
      <c r="C27" s="267"/>
      <c r="D27" s="268"/>
      <c r="E27" s="308"/>
      <c r="F27" s="309"/>
      <c r="G27" s="309"/>
      <c r="H27" s="309"/>
      <c r="I27" s="310"/>
      <c r="J27" s="334"/>
      <c r="K27" s="335"/>
      <c r="L27" s="335"/>
      <c r="M27" s="335"/>
      <c r="N27" s="335"/>
      <c r="O27" s="336"/>
      <c r="P27" s="334"/>
      <c r="Q27" s="335"/>
      <c r="R27" s="335"/>
      <c r="S27" s="335"/>
      <c r="T27" s="335"/>
      <c r="U27" s="336"/>
      <c r="V27" s="334"/>
      <c r="W27" s="335"/>
      <c r="X27" s="335"/>
      <c r="Y27" s="335"/>
      <c r="Z27" s="335"/>
      <c r="AA27" s="336"/>
      <c r="AB27" s="318"/>
      <c r="AC27" s="314"/>
      <c r="AD27" s="314"/>
      <c r="AE27" s="314"/>
      <c r="AF27" s="314"/>
      <c r="AG27" s="315"/>
      <c r="AH27" s="325"/>
      <c r="AI27" s="326"/>
      <c r="AJ27" s="326"/>
      <c r="AK27" s="326"/>
      <c r="AL27" s="326"/>
      <c r="AM27" s="327"/>
      <c r="AN27" s="69"/>
      <c r="AO27" s="290"/>
      <c r="AP27" s="291"/>
      <c r="AQ27" s="291"/>
      <c r="AR27" s="291"/>
      <c r="AS27" s="291"/>
      <c r="AT27" s="292"/>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c r="BY27" s="69"/>
      <c r="BZ27" s="69"/>
      <c r="CA27" s="69"/>
      <c r="CB27" s="69"/>
    </row>
    <row r="28" spans="1:80" x14ac:dyDescent="0.25">
      <c r="A28" s="69"/>
      <c r="B28" s="267"/>
      <c r="C28" s="267"/>
      <c r="D28" s="268"/>
      <c r="E28" s="308"/>
      <c r="F28" s="309"/>
      <c r="G28" s="309"/>
      <c r="H28" s="309"/>
      <c r="I28" s="310"/>
      <c r="J28" s="334" t="e">
        <f>IF(AND('Mapa final'!#REF!="Media",'Mapa final'!#REF!="Leve"),CONCATENATE("R",'Mapa final'!#REF!),"")</f>
        <v>#REF!</v>
      </c>
      <c r="K28" s="335"/>
      <c r="L28" s="335" t="str">
        <f>IF(AND('Mapa final'!$H$23="Media",'Mapa final'!$L$23="Leve"),CONCATENATE("R",'Mapa final'!$A$23),"")</f>
        <v/>
      </c>
      <c r="M28" s="335"/>
      <c r="N28" s="335" t="e">
        <f>IF(AND('Mapa final'!#REF!="Media",'Mapa final'!#REF!="Leve"),CONCATENATE("R",'Mapa final'!#REF!),"")</f>
        <v>#REF!</v>
      </c>
      <c r="O28" s="336"/>
      <c r="P28" s="334" t="e">
        <f>IF(AND('Mapa final'!#REF!="Media",'Mapa final'!#REF!="Menor"),CONCATENATE("R",'Mapa final'!#REF!),"")</f>
        <v>#REF!</v>
      </c>
      <c r="Q28" s="335"/>
      <c r="R28" s="335" t="str">
        <f>IF(AND('Mapa final'!$H$23="Media",'Mapa final'!$L$23="Menor"),CONCATENATE("R",'Mapa final'!$A$23),"")</f>
        <v/>
      </c>
      <c r="S28" s="335"/>
      <c r="T28" s="335" t="e">
        <f>IF(AND('Mapa final'!#REF!="Media",'Mapa final'!#REF!="Menor"),CONCATENATE("R",'Mapa final'!#REF!),"")</f>
        <v>#REF!</v>
      </c>
      <c r="U28" s="336"/>
      <c r="V28" s="334" t="e">
        <f>IF(AND('Mapa final'!#REF!="Media",'Mapa final'!#REF!="Moderado"),CONCATENATE("R",'Mapa final'!#REF!),"")</f>
        <v>#REF!</v>
      </c>
      <c r="W28" s="335"/>
      <c r="X28" s="335" t="str">
        <f>IF(AND('Mapa final'!$H$23="Media",'Mapa final'!$L$23="Moderado"),CONCATENATE("R",'Mapa final'!$A$23),"")</f>
        <v/>
      </c>
      <c r="Y28" s="335"/>
      <c r="Z28" s="335" t="e">
        <f>IF(AND('Mapa final'!#REF!="Media",'Mapa final'!#REF!="Moderado"),CONCATENATE("R",'Mapa final'!#REF!),"")</f>
        <v>#REF!</v>
      </c>
      <c r="AA28" s="336"/>
      <c r="AB28" s="318" t="e">
        <f>IF(AND('Mapa final'!#REF!="Media",'Mapa final'!#REF!="Mayor"),CONCATENATE("R",'Mapa final'!#REF!),"")</f>
        <v>#REF!</v>
      </c>
      <c r="AC28" s="314"/>
      <c r="AD28" s="314" t="str">
        <f>IF(AND('Mapa final'!$H$23="Media",'Mapa final'!$L$23="Mayor"),CONCATENATE("R",'Mapa final'!$A$23),"")</f>
        <v/>
      </c>
      <c r="AE28" s="314"/>
      <c r="AF28" s="314" t="e">
        <f>IF(AND('Mapa final'!#REF!="Media",'Mapa final'!#REF!="Mayor"),CONCATENATE("R",'Mapa final'!#REF!),"")</f>
        <v>#REF!</v>
      </c>
      <c r="AG28" s="315"/>
      <c r="AH28" s="325" t="e">
        <f>IF(AND('Mapa final'!#REF!="Media",'Mapa final'!#REF!="Catastrófico"),CONCATENATE("R",'Mapa final'!#REF!),"")</f>
        <v>#REF!</v>
      </c>
      <c r="AI28" s="326"/>
      <c r="AJ28" s="326" t="str">
        <f>IF(AND('Mapa final'!$H$23="Media",'Mapa final'!$L$23="Catastrófico"),CONCATENATE("R",'Mapa final'!$A$23),"")</f>
        <v/>
      </c>
      <c r="AK28" s="326"/>
      <c r="AL28" s="326" t="e">
        <f>IF(AND('Mapa final'!#REF!="Media",'Mapa final'!#REF!="Catastrófico"),CONCATENATE("R",'Mapa final'!#REF!),"")</f>
        <v>#REF!</v>
      </c>
      <c r="AM28" s="327"/>
      <c r="AN28" s="69"/>
      <c r="AO28" s="290"/>
      <c r="AP28" s="291"/>
      <c r="AQ28" s="291"/>
      <c r="AR28" s="291"/>
      <c r="AS28" s="291"/>
      <c r="AT28" s="292"/>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c r="BY28" s="69"/>
      <c r="BZ28" s="69"/>
      <c r="CA28" s="69"/>
      <c r="CB28" s="69"/>
    </row>
    <row r="29" spans="1:80" ht="15.75" thickBot="1" x14ac:dyDescent="0.3">
      <c r="A29" s="69"/>
      <c r="B29" s="267"/>
      <c r="C29" s="267"/>
      <c r="D29" s="268"/>
      <c r="E29" s="311"/>
      <c r="F29" s="312"/>
      <c r="G29" s="312"/>
      <c r="H29" s="312"/>
      <c r="I29" s="313"/>
      <c r="J29" s="334"/>
      <c r="K29" s="335"/>
      <c r="L29" s="335"/>
      <c r="M29" s="335"/>
      <c r="N29" s="335"/>
      <c r="O29" s="336"/>
      <c r="P29" s="337"/>
      <c r="Q29" s="338"/>
      <c r="R29" s="338"/>
      <c r="S29" s="338"/>
      <c r="T29" s="338"/>
      <c r="U29" s="339"/>
      <c r="V29" s="337"/>
      <c r="W29" s="338"/>
      <c r="X29" s="338"/>
      <c r="Y29" s="338"/>
      <c r="Z29" s="338"/>
      <c r="AA29" s="339"/>
      <c r="AB29" s="322"/>
      <c r="AC29" s="323"/>
      <c r="AD29" s="323"/>
      <c r="AE29" s="323"/>
      <c r="AF29" s="323"/>
      <c r="AG29" s="324"/>
      <c r="AH29" s="328"/>
      <c r="AI29" s="329"/>
      <c r="AJ29" s="329"/>
      <c r="AK29" s="329"/>
      <c r="AL29" s="329"/>
      <c r="AM29" s="330"/>
      <c r="AN29" s="69"/>
      <c r="AO29" s="293"/>
      <c r="AP29" s="294"/>
      <c r="AQ29" s="294"/>
      <c r="AR29" s="294"/>
      <c r="AS29" s="294"/>
      <c r="AT29" s="295"/>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c r="BY29" s="69"/>
      <c r="BZ29" s="69"/>
      <c r="CA29" s="69"/>
      <c r="CB29" s="69"/>
    </row>
    <row r="30" spans="1:80" x14ac:dyDescent="0.25">
      <c r="A30" s="69"/>
      <c r="B30" s="267"/>
      <c r="C30" s="267"/>
      <c r="D30" s="268"/>
      <c r="E30" s="305" t="s">
        <v>114</v>
      </c>
      <c r="F30" s="306"/>
      <c r="G30" s="306"/>
      <c r="H30" s="306"/>
      <c r="I30" s="306"/>
      <c r="J30" s="349" t="e">
        <f>IF(AND('Mapa final'!#REF!="Baja",'Mapa final'!#REF!="Leve"),CONCATENATE("R",'Mapa final'!#REF!),"")</f>
        <v>#REF!</v>
      </c>
      <c r="K30" s="350"/>
      <c r="L30" s="350" t="e">
        <f>IF(AND('Mapa final'!#REF!="Baja",'Mapa final'!#REF!="Leve"),CONCATENATE("R",'Mapa final'!#REF!),"")</f>
        <v>#REF!</v>
      </c>
      <c r="M30" s="350"/>
      <c r="N30" s="350" t="e">
        <f>IF(AND('Mapa final'!#REF!="Baja",'Mapa final'!#REF!="Leve"),CONCATENATE("R",'Mapa final'!#REF!),"")</f>
        <v>#REF!</v>
      </c>
      <c r="O30" s="351"/>
      <c r="P30" s="341" t="e">
        <f>IF(AND('Mapa final'!#REF!="Baja",'Mapa final'!#REF!="Menor"),CONCATENATE("R",'Mapa final'!#REF!),"")</f>
        <v>#REF!</v>
      </c>
      <c r="Q30" s="341"/>
      <c r="R30" s="341" t="e">
        <f>IF(AND('Mapa final'!#REF!="Baja",'Mapa final'!#REF!="Menor"),CONCATENATE("R",'Mapa final'!#REF!),"")</f>
        <v>#REF!</v>
      </c>
      <c r="S30" s="341"/>
      <c r="T30" s="341" t="e">
        <f>IF(AND('Mapa final'!#REF!="Baja",'Mapa final'!#REF!="Menor"),CONCATENATE("R",'Mapa final'!#REF!),"")</f>
        <v>#REF!</v>
      </c>
      <c r="U30" s="342"/>
      <c r="V30" s="340" t="e">
        <f>IF(AND('Mapa final'!#REF!="Baja",'Mapa final'!#REF!="Moderado"),CONCATENATE("R",'Mapa final'!#REF!),"")</f>
        <v>#REF!</v>
      </c>
      <c r="W30" s="341"/>
      <c r="X30" s="341" t="e">
        <f>IF(AND('Mapa final'!#REF!="Baja",'Mapa final'!#REF!="Moderado"),CONCATENATE("R",'Mapa final'!#REF!),"")</f>
        <v>#REF!</v>
      </c>
      <c r="Y30" s="341"/>
      <c r="Z30" s="341" t="e">
        <f>IF(AND('Mapa final'!#REF!="Baja",'Mapa final'!#REF!="Moderado"),CONCATENATE("R",'Mapa final'!#REF!),"")</f>
        <v>#REF!</v>
      </c>
      <c r="AA30" s="342"/>
      <c r="AB30" s="316" t="e">
        <f>IF(AND('Mapa final'!#REF!="Baja",'Mapa final'!#REF!="Mayor"),CONCATENATE("R",'Mapa final'!#REF!),"")</f>
        <v>#REF!</v>
      </c>
      <c r="AC30" s="317"/>
      <c r="AD30" s="317" t="e">
        <f>IF(AND('Mapa final'!#REF!="Baja",'Mapa final'!#REF!="Mayor"),CONCATENATE("R",'Mapa final'!#REF!),"")</f>
        <v>#REF!</v>
      </c>
      <c r="AE30" s="317"/>
      <c r="AF30" s="317" t="e">
        <f>IF(AND('Mapa final'!#REF!="Baja",'Mapa final'!#REF!="Mayor"),CONCATENATE("R",'Mapa final'!#REF!),"")</f>
        <v>#REF!</v>
      </c>
      <c r="AG30" s="319"/>
      <c r="AH30" s="331" t="e">
        <f>IF(AND('Mapa final'!#REF!="Baja",'Mapa final'!#REF!="Catastrófico"),CONCATENATE("R",'Mapa final'!#REF!),"")</f>
        <v>#REF!</v>
      </c>
      <c r="AI30" s="332"/>
      <c r="AJ30" s="332" t="e">
        <f>IF(AND('Mapa final'!#REF!="Baja",'Mapa final'!#REF!="Catastrófico"),CONCATENATE("R",'Mapa final'!#REF!),"")</f>
        <v>#REF!</v>
      </c>
      <c r="AK30" s="332"/>
      <c r="AL30" s="332" t="e">
        <f>IF(AND('Mapa final'!#REF!="Baja",'Mapa final'!#REF!="Catastrófico"),CONCATENATE("R",'Mapa final'!#REF!),"")</f>
        <v>#REF!</v>
      </c>
      <c r="AM30" s="333"/>
      <c r="AN30" s="69"/>
      <c r="AO30" s="296" t="s">
        <v>82</v>
      </c>
      <c r="AP30" s="297"/>
      <c r="AQ30" s="297"/>
      <c r="AR30" s="297"/>
      <c r="AS30" s="297"/>
      <c r="AT30" s="298"/>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c r="BY30" s="69"/>
      <c r="BZ30" s="69"/>
      <c r="CA30" s="69"/>
      <c r="CB30" s="69"/>
    </row>
    <row r="31" spans="1:80" x14ac:dyDescent="0.25">
      <c r="A31" s="69"/>
      <c r="B31" s="267"/>
      <c r="C31" s="267"/>
      <c r="D31" s="268"/>
      <c r="E31" s="308"/>
      <c r="F31" s="309"/>
      <c r="G31" s="309"/>
      <c r="H31" s="309"/>
      <c r="I31" s="309"/>
      <c r="J31" s="345"/>
      <c r="K31" s="343"/>
      <c r="L31" s="343"/>
      <c r="M31" s="343"/>
      <c r="N31" s="343"/>
      <c r="O31" s="344"/>
      <c r="P31" s="335"/>
      <c r="Q31" s="335"/>
      <c r="R31" s="335"/>
      <c r="S31" s="335"/>
      <c r="T31" s="335"/>
      <c r="U31" s="336"/>
      <c r="V31" s="334"/>
      <c r="W31" s="335"/>
      <c r="X31" s="335"/>
      <c r="Y31" s="335"/>
      <c r="Z31" s="335"/>
      <c r="AA31" s="336"/>
      <c r="AB31" s="318"/>
      <c r="AC31" s="314"/>
      <c r="AD31" s="314"/>
      <c r="AE31" s="314"/>
      <c r="AF31" s="314"/>
      <c r="AG31" s="315"/>
      <c r="AH31" s="325"/>
      <c r="AI31" s="326"/>
      <c r="AJ31" s="326"/>
      <c r="AK31" s="326"/>
      <c r="AL31" s="326"/>
      <c r="AM31" s="327"/>
      <c r="AN31" s="69"/>
      <c r="AO31" s="299"/>
      <c r="AP31" s="300"/>
      <c r="AQ31" s="300"/>
      <c r="AR31" s="300"/>
      <c r="AS31" s="300"/>
      <c r="AT31" s="301"/>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c r="BY31" s="69"/>
      <c r="BZ31" s="69"/>
      <c r="CA31" s="69"/>
      <c r="CB31" s="69"/>
    </row>
    <row r="32" spans="1:80" x14ac:dyDescent="0.25">
      <c r="A32" s="69"/>
      <c r="B32" s="267"/>
      <c r="C32" s="267"/>
      <c r="D32" s="268"/>
      <c r="E32" s="308"/>
      <c r="F32" s="309"/>
      <c r="G32" s="309"/>
      <c r="H32" s="309"/>
      <c r="I32" s="309"/>
      <c r="J32" s="345" t="str">
        <f>IF(AND('Mapa final'!$H$13="Baja",'Mapa final'!$L$13="Leve"),CONCATENATE("R",'Mapa final'!$A$13),"")</f>
        <v/>
      </c>
      <c r="K32" s="343"/>
      <c r="L32" s="343" t="str">
        <f>IF(AND('Mapa final'!$H$17="Baja",'Mapa final'!$L$17="Leve"),CONCATENATE("R",'Mapa final'!$A$17),"")</f>
        <v/>
      </c>
      <c r="M32" s="343"/>
      <c r="N32" s="343" t="e">
        <f>IF(AND('Mapa final'!#REF!="Baja",'Mapa final'!#REF!="Leve"),CONCATENATE("R",'Mapa final'!#REF!),"")</f>
        <v>#REF!</v>
      </c>
      <c r="O32" s="344"/>
      <c r="P32" s="335" t="str">
        <f>IF(AND('Mapa final'!$H$13="Baja",'Mapa final'!$L$13="Menor"),CONCATENATE("R",'Mapa final'!$A$13),"")</f>
        <v/>
      </c>
      <c r="Q32" s="335"/>
      <c r="R32" s="335" t="str">
        <f>IF(AND('Mapa final'!$H$17="Baja",'Mapa final'!$L$17="Menor"),CONCATENATE("R",'Mapa final'!$A$17),"")</f>
        <v/>
      </c>
      <c r="S32" s="335"/>
      <c r="T32" s="335" t="e">
        <f>IF(AND('Mapa final'!#REF!="Baja",'Mapa final'!#REF!="Menor"),CONCATENATE("R",'Mapa final'!#REF!),"")</f>
        <v>#REF!</v>
      </c>
      <c r="U32" s="336"/>
      <c r="V32" s="334" t="str">
        <f>IF(AND('Mapa final'!$H$13="Baja",'Mapa final'!$L$13="Moderado"),CONCATENATE("R",'Mapa final'!$A$13),"")</f>
        <v/>
      </c>
      <c r="W32" s="335"/>
      <c r="X32" s="335" t="str">
        <f>IF(AND('Mapa final'!$H$17="Baja",'Mapa final'!$L$17="Moderado"),CONCATENATE("R",'Mapa final'!$A$17),"")</f>
        <v/>
      </c>
      <c r="Y32" s="335"/>
      <c r="Z32" s="335" t="e">
        <f>IF(AND('Mapa final'!#REF!="Baja",'Mapa final'!#REF!="Moderado"),CONCATENATE("R",'Mapa final'!#REF!),"")</f>
        <v>#REF!</v>
      </c>
      <c r="AA32" s="336"/>
      <c r="AB32" s="318" t="str">
        <f>IF(AND('Mapa final'!$H$13="Baja",'Mapa final'!$L$13="Mayor"),CONCATENATE("R",'Mapa final'!$A$13),"")</f>
        <v>R1</v>
      </c>
      <c r="AC32" s="314"/>
      <c r="AD32" s="314" t="str">
        <f>IF(AND('Mapa final'!$H$17="Baja",'Mapa final'!$L$17="Mayor"),CONCATENATE("R",'Mapa final'!$A$17),"")</f>
        <v/>
      </c>
      <c r="AE32" s="314"/>
      <c r="AF32" s="314" t="e">
        <f>IF(AND('Mapa final'!#REF!="Baja",'Mapa final'!#REF!="Mayor"),CONCATENATE("R",'Mapa final'!#REF!),"")</f>
        <v>#REF!</v>
      </c>
      <c r="AG32" s="315"/>
      <c r="AH32" s="325" t="str">
        <f>IF(AND('Mapa final'!$H$13="Baja",'Mapa final'!$L$13="Catastrófico"),CONCATENATE("R",'Mapa final'!$A$13),"")</f>
        <v/>
      </c>
      <c r="AI32" s="326"/>
      <c r="AJ32" s="326" t="str">
        <f>IF(AND('Mapa final'!$H$17="Baja",'Mapa final'!$L$17="Catastrófico"),CONCATENATE("R",'Mapa final'!$A$17),"")</f>
        <v/>
      </c>
      <c r="AK32" s="326"/>
      <c r="AL32" s="326" t="e">
        <f>IF(AND('Mapa final'!#REF!="Baja",'Mapa final'!#REF!="Catastrófico"),CONCATENATE("R",'Mapa final'!#REF!),"")</f>
        <v>#REF!</v>
      </c>
      <c r="AM32" s="327"/>
      <c r="AN32" s="69"/>
      <c r="AO32" s="299"/>
      <c r="AP32" s="300"/>
      <c r="AQ32" s="300"/>
      <c r="AR32" s="300"/>
      <c r="AS32" s="300"/>
      <c r="AT32" s="301"/>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c r="BY32" s="69"/>
      <c r="BZ32" s="69"/>
      <c r="CA32" s="69"/>
      <c r="CB32" s="69"/>
    </row>
    <row r="33" spans="1:80" x14ac:dyDescent="0.25">
      <c r="A33" s="69"/>
      <c r="B33" s="267"/>
      <c r="C33" s="267"/>
      <c r="D33" s="268"/>
      <c r="E33" s="308"/>
      <c r="F33" s="309"/>
      <c r="G33" s="309"/>
      <c r="H33" s="309"/>
      <c r="I33" s="309"/>
      <c r="J33" s="345"/>
      <c r="K33" s="343"/>
      <c r="L33" s="343"/>
      <c r="M33" s="343"/>
      <c r="N33" s="343"/>
      <c r="O33" s="344"/>
      <c r="P33" s="335"/>
      <c r="Q33" s="335"/>
      <c r="R33" s="335"/>
      <c r="S33" s="335"/>
      <c r="T33" s="335"/>
      <c r="U33" s="336"/>
      <c r="V33" s="334"/>
      <c r="W33" s="335"/>
      <c r="X33" s="335"/>
      <c r="Y33" s="335"/>
      <c r="Z33" s="335"/>
      <c r="AA33" s="336"/>
      <c r="AB33" s="318"/>
      <c r="AC33" s="314"/>
      <c r="AD33" s="314"/>
      <c r="AE33" s="314"/>
      <c r="AF33" s="314"/>
      <c r="AG33" s="315"/>
      <c r="AH33" s="325"/>
      <c r="AI33" s="326"/>
      <c r="AJ33" s="326"/>
      <c r="AK33" s="326"/>
      <c r="AL33" s="326"/>
      <c r="AM33" s="327"/>
      <c r="AN33" s="69"/>
      <c r="AO33" s="299"/>
      <c r="AP33" s="300"/>
      <c r="AQ33" s="300"/>
      <c r="AR33" s="300"/>
      <c r="AS33" s="300"/>
      <c r="AT33" s="301"/>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row>
    <row r="34" spans="1:80" x14ac:dyDescent="0.25">
      <c r="A34" s="69"/>
      <c r="B34" s="267"/>
      <c r="C34" s="267"/>
      <c r="D34" s="268"/>
      <c r="E34" s="308"/>
      <c r="F34" s="309"/>
      <c r="G34" s="309"/>
      <c r="H34" s="309"/>
      <c r="I34" s="309"/>
      <c r="J34" s="345" t="e">
        <f>IF(AND('Mapa final'!#REF!="Baja",'Mapa final'!#REF!="Leve"),CONCATENATE("R",'Mapa final'!#REF!),"")</f>
        <v>#REF!</v>
      </c>
      <c r="K34" s="343"/>
      <c r="L34" s="343" t="e">
        <f>IF(AND('Mapa final'!#REF!="Baja",'Mapa final'!#REF!="Leve"),CONCATENATE("R",'Mapa final'!#REF!),"")</f>
        <v>#REF!</v>
      </c>
      <c r="M34" s="343"/>
      <c r="N34" s="343" t="e">
        <f>IF(AND('Mapa final'!#REF!="Baja",'Mapa final'!#REF!="Leve"),CONCATENATE("R",'Mapa final'!#REF!),"")</f>
        <v>#REF!</v>
      </c>
      <c r="O34" s="344"/>
      <c r="P34" s="335" t="e">
        <f>IF(AND('Mapa final'!#REF!="Baja",'Mapa final'!#REF!="Menor"),CONCATENATE("R",'Mapa final'!#REF!),"")</f>
        <v>#REF!</v>
      </c>
      <c r="Q34" s="335"/>
      <c r="R34" s="335" t="e">
        <f>IF(AND('Mapa final'!#REF!="Baja",'Mapa final'!#REF!="Menor"),CONCATENATE("R",'Mapa final'!#REF!),"")</f>
        <v>#REF!</v>
      </c>
      <c r="S34" s="335"/>
      <c r="T34" s="335" t="e">
        <f>IF(AND('Mapa final'!#REF!="Baja",'Mapa final'!#REF!="Menor"),CONCATENATE("R",'Mapa final'!#REF!),"")</f>
        <v>#REF!</v>
      </c>
      <c r="U34" s="336"/>
      <c r="V34" s="334" t="e">
        <f>IF(AND('Mapa final'!#REF!="Baja",'Mapa final'!#REF!="Moderado"),CONCATENATE("R",'Mapa final'!#REF!),"")</f>
        <v>#REF!</v>
      </c>
      <c r="W34" s="335"/>
      <c r="X34" s="335" t="e">
        <f>IF(AND('Mapa final'!#REF!="Baja",'Mapa final'!#REF!="Moderado"),CONCATENATE("R",'Mapa final'!#REF!),"")</f>
        <v>#REF!</v>
      </c>
      <c r="Y34" s="335"/>
      <c r="Z34" s="335" t="e">
        <f>IF(AND('Mapa final'!#REF!="Baja",'Mapa final'!#REF!="Moderado"),CONCATENATE("R",'Mapa final'!#REF!),"")</f>
        <v>#REF!</v>
      </c>
      <c r="AA34" s="336"/>
      <c r="AB34" s="318" t="e">
        <f>IF(AND('Mapa final'!#REF!="Baja",'Mapa final'!#REF!="Mayor"),CONCATENATE("R",'Mapa final'!#REF!),"")</f>
        <v>#REF!</v>
      </c>
      <c r="AC34" s="314"/>
      <c r="AD34" s="314" t="e">
        <f>IF(AND('Mapa final'!#REF!="Baja",'Mapa final'!#REF!="Mayor"),CONCATENATE("R",'Mapa final'!#REF!),"")</f>
        <v>#REF!</v>
      </c>
      <c r="AE34" s="314"/>
      <c r="AF34" s="314" t="e">
        <f>IF(AND('Mapa final'!#REF!="Baja",'Mapa final'!#REF!="Mayor"),CONCATENATE("R",'Mapa final'!#REF!),"")</f>
        <v>#REF!</v>
      </c>
      <c r="AG34" s="315"/>
      <c r="AH34" s="325" t="e">
        <f>IF(AND('Mapa final'!#REF!="Baja",'Mapa final'!#REF!="Catastrófico"),CONCATENATE("R",'Mapa final'!#REF!),"")</f>
        <v>#REF!</v>
      </c>
      <c r="AI34" s="326"/>
      <c r="AJ34" s="326" t="e">
        <f>IF(AND('Mapa final'!#REF!="Baja",'Mapa final'!#REF!="Catastrófico"),CONCATENATE("R",'Mapa final'!#REF!),"")</f>
        <v>#REF!</v>
      </c>
      <c r="AK34" s="326"/>
      <c r="AL34" s="326" t="e">
        <f>IF(AND('Mapa final'!#REF!="Baja",'Mapa final'!#REF!="Catastrófico"),CONCATENATE("R",'Mapa final'!#REF!),"")</f>
        <v>#REF!</v>
      </c>
      <c r="AM34" s="327"/>
      <c r="AN34" s="69"/>
      <c r="AO34" s="299"/>
      <c r="AP34" s="300"/>
      <c r="AQ34" s="300"/>
      <c r="AR34" s="300"/>
      <c r="AS34" s="300"/>
      <c r="AT34" s="301"/>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c r="BY34" s="69"/>
      <c r="BZ34" s="69"/>
      <c r="CA34" s="69"/>
      <c r="CB34" s="69"/>
    </row>
    <row r="35" spans="1:80" x14ac:dyDescent="0.25">
      <c r="A35" s="69"/>
      <c r="B35" s="267"/>
      <c r="C35" s="267"/>
      <c r="D35" s="268"/>
      <c r="E35" s="308"/>
      <c r="F35" s="309"/>
      <c r="G35" s="309"/>
      <c r="H35" s="309"/>
      <c r="I35" s="309"/>
      <c r="J35" s="345"/>
      <c r="K35" s="343"/>
      <c r="L35" s="343"/>
      <c r="M35" s="343"/>
      <c r="N35" s="343"/>
      <c r="O35" s="344"/>
      <c r="P35" s="335"/>
      <c r="Q35" s="335"/>
      <c r="R35" s="335"/>
      <c r="S35" s="335"/>
      <c r="T35" s="335"/>
      <c r="U35" s="336"/>
      <c r="V35" s="334"/>
      <c r="W35" s="335"/>
      <c r="X35" s="335"/>
      <c r="Y35" s="335"/>
      <c r="Z35" s="335"/>
      <c r="AA35" s="336"/>
      <c r="AB35" s="318"/>
      <c r="AC35" s="314"/>
      <c r="AD35" s="314"/>
      <c r="AE35" s="314"/>
      <c r="AF35" s="314"/>
      <c r="AG35" s="315"/>
      <c r="AH35" s="325"/>
      <c r="AI35" s="326"/>
      <c r="AJ35" s="326"/>
      <c r="AK35" s="326"/>
      <c r="AL35" s="326"/>
      <c r="AM35" s="327"/>
      <c r="AN35" s="69"/>
      <c r="AO35" s="299"/>
      <c r="AP35" s="300"/>
      <c r="AQ35" s="300"/>
      <c r="AR35" s="300"/>
      <c r="AS35" s="300"/>
      <c r="AT35" s="301"/>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c r="BY35" s="69"/>
      <c r="BZ35" s="69"/>
      <c r="CA35" s="69"/>
      <c r="CB35" s="69"/>
    </row>
    <row r="36" spans="1:80" x14ac:dyDescent="0.25">
      <c r="A36" s="69"/>
      <c r="B36" s="267"/>
      <c r="C36" s="267"/>
      <c r="D36" s="268"/>
      <c r="E36" s="308"/>
      <c r="F36" s="309"/>
      <c r="G36" s="309"/>
      <c r="H36" s="309"/>
      <c r="I36" s="309"/>
      <c r="J36" s="345" t="e">
        <f>IF(AND('Mapa final'!#REF!="Baja",'Mapa final'!#REF!="Leve"),CONCATENATE("R",'Mapa final'!#REF!),"")</f>
        <v>#REF!</v>
      </c>
      <c r="K36" s="343"/>
      <c r="L36" s="343" t="str">
        <f>IF(AND('Mapa final'!$H$23="Baja",'Mapa final'!$L$23="Leve"),CONCATENATE("R",'Mapa final'!$A$23),"")</f>
        <v/>
      </c>
      <c r="M36" s="343"/>
      <c r="N36" s="343" t="e">
        <f>IF(AND('Mapa final'!#REF!="Baja",'Mapa final'!#REF!="Leve"),CONCATENATE("R",'Mapa final'!#REF!),"")</f>
        <v>#REF!</v>
      </c>
      <c r="O36" s="344"/>
      <c r="P36" s="335" t="e">
        <f>IF(AND('Mapa final'!#REF!="Baja",'Mapa final'!#REF!="Menor"),CONCATENATE("R",'Mapa final'!#REF!),"")</f>
        <v>#REF!</v>
      </c>
      <c r="Q36" s="335"/>
      <c r="R36" s="335" t="str">
        <f>IF(AND('Mapa final'!$H$23="Baja",'Mapa final'!$L$23="Menor"),CONCATENATE("R",'Mapa final'!$A$23),"")</f>
        <v/>
      </c>
      <c r="S36" s="335"/>
      <c r="T36" s="335" t="e">
        <f>IF(AND('Mapa final'!#REF!="Baja",'Mapa final'!#REF!="Menor"),CONCATENATE("R",'Mapa final'!#REF!),"")</f>
        <v>#REF!</v>
      </c>
      <c r="U36" s="336"/>
      <c r="V36" s="334" t="e">
        <f>IF(AND('Mapa final'!#REF!="Baja",'Mapa final'!#REF!="Moderado"),CONCATENATE("R",'Mapa final'!#REF!),"")</f>
        <v>#REF!</v>
      </c>
      <c r="W36" s="335"/>
      <c r="X36" s="335" t="str">
        <f>IF(AND('Mapa final'!$H$23="Baja",'Mapa final'!$L$23="Moderado"),CONCATENATE("R",'Mapa final'!$A$23),"")</f>
        <v/>
      </c>
      <c r="Y36" s="335"/>
      <c r="Z36" s="335" t="e">
        <f>IF(AND('Mapa final'!#REF!="Baja",'Mapa final'!#REF!="Moderado"),CONCATENATE("R",'Mapa final'!#REF!),"")</f>
        <v>#REF!</v>
      </c>
      <c r="AA36" s="336"/>
      <c r="AB36" s="318" t="e">
        <f>IF(AND('Mapa final'!#REF!="Baja",'Mapa final'!#REF!="Mayor"),CONCATENATE("R",'Mapa final'!#REF!),"")</f>
        <v>#REF!</v>
      </c>
      <c r="AC36" s="314"/>
      <c r="AD36" s="314" t="str">
        <f>IF(AND('Mapa final'!$H$23="Baja",'Mapa final'!$L$23="Mayor"),CONCATENATE("R",'Mapa final'!$A$23),"")</f>
        <v/>
      </c>
      <c r="AE36" s="314"/>
      <c r="AF36" s="314" t="e">
        <f>IF(AND('Mapa final'!#REF!="Baja",'Mapa final'!#REF!="Mayor"),CONCATENATE("R",'Mapa final'!#REF!),"")</f>
        <v>#REF!</v>
      </c>
      <c r="AG36" s="315"/>
      <c r="AH36" s="325" t="e">
        <f>IF(AND('Mapa final'!#REF!="Baja",'Mapa final'!#REF!="Catastrófico"),CONCATENATE("R",'Mapa final'!#REF!),"")</f>
        <v>#REF!</v>
      </c>
      <c r="AI36" s="326"/>
      <c r="AJ36" s="326" t="str">
        <f>IF(AND('Mapa final'!$H$23="Baja",'Mapa final'!$L$23="Catastrófico"),CONCATENATE("R",'Mapa final'!$A$23),"")</f>
        <v/>
      </c>
      <c r="AK36" s="326"/>
      <c r="AL36" s="326" t="e">
        <f>IF(AND('Mapa final'!#REF!="Baja",'Mapa final'!#REF!="Catastrófico"),CONCATENATE("R",'Mapa final'!#REF!),"")</f>
        <v>#REF!</v>
      </c>
      <c r="AM36" s="327"/>
      <c r="AN36" s="69"/>
      <c r="AO36" s="299"/>
      <c r="AP36" s="300"/>
      <c r="AQ36" s="300"/>
      <c r="AR36" s="300"/>
      <c r="AS36" s="300"/>
      <c r="AT36" s="301"/>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c r="BY36" s="69"/>
      <c r="BZ36" s="69"/>
      <c r="CA36" s="69"/>
      <c r="CB36" s="69"/>
    </row>
    <row r="37" spans="1:80" ht="15.75" thickBot="1" x14ac:dyDescent="0.3">
      <c r="A37" s="69"/>
      <c r="B37" s="267"/>
      <c r="C37" s="267"/>
      <c r="D37" s="268"/>
      <c r="E37" s="311"/>
      <c r="F37" s="312"/>
      <c r="G37" s="312"/>
      <c r="H37" s="312"/>
      <c r="I37" s="312"/>
      <c r="J37" s="346"/>
      <c r="K37" s="347"/>
      <c r="L37" s="347"/>
      <c r="M37" s="347"/>
      <c r="N37" s="347"/>
      <c r="O37" s="348"/>
      <c r="P37" s="338"/>
      <c r="Q37" s="338"/>
      <c r="R37" s="338"/>
      <c r="S37" s="338"/>
      <c r="T37" s="338"/>
      <c r="U37" s="339"/>
      <c r="V37" s="337"/>
      <c r="W37" s="338"/>
      <c r="X37" s="338"/>
      <c r="Y37" s="338"/>
      <c r="Z37" s="338"/>
      <c r="AA37" s="339"/>
      <c r="AB37" s="322"/>
      <c r="AC37" s="323"/>
      <c r="AD37" s="323"/>
      <c r="AE37" s="323"/>
      <c r="AF37" s="323"/>
      <c r="AG37" s="324"/>
      <c r="AH37" s="328"/>
      <c r="AI37" s="329"/>
      <c r="AJ37" s="329"/>
      <c r="AK37" s="329"/>
      <c r="AL37" s="329"/>
      <c r="AM37" s="330"/>
      <c r="AN37" s="69"/>
      <c r="AO37" s="302"/>
      <c r="AP37" s="303"/>
      <c r="AQ37" s="303"/>
      <c r="AR37" s="303"/>
      <c r="AS37" s="303"/>
      <c r="AT37" s="304"/>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c r="BY37" s="69"/>
      <c r="BZ37" s="69"/>
      <c r="CA37" s="69"/>
      <c r="CB37" s="69"/>
    </row>
    <row r="38" spans="1:80" x14ac:dyDescent="0.25">
      <c r="A38" s="69"/>
      <c r="B38" s="267"/>
      <c r="C38" s="267"/>
      <c r="D38" s="268"/>
      <c r="E38" s="305" t="s">
        <v>113</v>
      </c>
      <c r="F38" s="306"/>
      <c r="G38" s="306"/>
      <c r="H38" s="306"/>
      <c r="I38" s="307"/>
      <c r="J38" s="349" t="e">
        <f>IF(AND('Mapa final'!#REF!="Muy Baja",'Mapa final'!#REF!="Leve"),CONCATENATE("R",'Mapa final'!#REF!),"")</f>
        <v>#REF!</v>
      </c>
      <c r="K38" s="350"/>
      <c r="L38" s="350" t="e">
        <f>IF(AND('Mapa final'!#REF!="Muy Baja",'Mapa final'!#REF!="Leve"),CONCATENATE("R",'Mapa final'!#REF!),"")</f>
        <v>#REF!</v>
      </c>
      <c r="M38" s="350"/>
      <c r="N38" s="350" t="e">
        <f>IF(AND('Mapa final'!#REF!="Muy Baja",'Mapa final'!#REF!="Leve"),CONCATENATE("R",'Mapa final'!#REF!),"")</f>
        <v>#REF!</v>
      </c>
      <c r="O38" s="351"/>
      <c r="P38" s="349" t="e">
        <f>IF(AND('Mapa final'!#REF!="Muy Baja",'Mapa final'!#REF!="Menor"),CONCATENATE("R",'Mapa final'!#REF!),"")</f>
        <v>#REF!</v>
      </c>
      <c r="Q38" s="350"/>
      <c r="R38" s="350" t="e">
        <f>IF(AND('Mapa final'!#REF!="Muy Baja",'Mapa final'!#REF!="Menor"),CONCATENATE("R",'Mapa final'!#REF!),"")</f>
        <v>#REF!</v>
      </c>
      <c r="S38" s="350"/>
      <c r="T38" s="350" t="e">
        <f>IF(AND('Mapa final'!#REF!="Muy Baja",'Mapa final'!#REF!="Menor"),CONCATENATE("R",'Mapa final'!#REF!),"")</f>
        <v>#REF!</v>
      </c>
      <c r="U38" s="351"/>
      <c r="V38" s="340" t="e">
        <f>IF(AND('Mapa final'!#REF!="Muy Baja",'Mapa final'!#REF!="Moderado"),CONCATENATE("R",'Mapa final'!#REF!),"")</f>
        <v>#REF!</v>
      </c>
      <c r="W38" s="341"/>
      <c r="X38" s="341" t="e">
        <f>IF(AND('Mapa final'!#REF!="Muy Baja",'Mapa final'!#REF!="Moderado"),CONCATENATE("R",'Mapa final'!#REF!),"")</f>
        <v>#REF!</v>
      </c>
      <c r="Y38" s="341"/>
      <c r="Z38" s="341" t="e">
        <f>IF(AND('Mapa final'!#REF!="Muy Baja",'Mapa final'!#REF!="Moderado"),CONCATENATE("R",'Mapa final'!#REF!),"")</f>
        <v>#REF!</v>
      </c>
      <c r="AA38" s="342"/>
      <c r="AB38" s="316" t="e">
        <f>IF(AND('Mapa final'!#REF!="Muy Baja",'Mapa final'!#REF!="Mayor"),CONCATENATE("R",'Mapa final'!#REF!),"")</f>
        <v>#REF!</v>
      </c>
      <c r="AC38" s="317"/>
      <c r="AD38" s="317" t="e">
        <f>IF(AND('Mapa final'!#REF!="Muy Baja",'Mapa final'!#REF!="Mayor"),CONCATENATE("R",'Mapa final'!#REF!),"")</f>
        <v>#REF!</v>
      </c>
      <c r="AE38" s="317"/>
      <c r="AF38" s="317" t="e">
        <f>IF(AND('Mapa final'!#REF!="Muy Baja",'Mapa final'!#REF!="Mayor"),CONCATENATE("R",'Mapa final'!#REF!),"")</f>
        <v>#REF!</v>
      </c>
      <c r="AG38" s="319"/>
      <c r="AH38" s="331" t="e">
        <f>IF(AND('Mapa final'!#REF!="Muy Baja",'Mapa final'!#REF!="Catastrófico"),CONCATENATE("R",'Mapa final'!#REF!),"")</f>
        <v>#REF!</v>
      </c>
      <c r="AI38" s="332"/>
      <c r="AJ38" s="332" t="e">
        <f>IF(AND('Mapa final'!#REF!="Muy Baja",'Mapa final'!#REF!="Catastrófico"),CONCATENATE("R",'Mapa final'!#REF!),"")</f>
        <v>#REF!</v>
      </c>
      <c r="AK38" s="332"/>
      <c r="AL38" s="332" t="e">
        <f>IF(AND('Mapa final'!#REF!="Muy Baja",'Mapa final'!#REF!="Catastrófico"),CONCATENATE("R",'Mapa final'!#REF!),"")</f>
        <v>#REF!</v>
      </c>
      <c r="AM38" s="333"/>
      <c r="AN38" s="69"/>
      <c r="AO38" s="69"/>
      <c r="AP38" s="69"/>
      <c r="AQ38" s="69"/>
      <c r="AR38" s="69"/>
      <c r="AS38" s="69"/>
      <c r="AT38" s="69"/>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c r="BY38" s="69"/>
      <c r="BZ38" s="69"/>
      <c r="CA38" s="69"/>
      <c r="CB38" s="69"/>
    </row>
    <row r="39" spans="1:80" x14ac:dyDescent="0.25">
      <c r="A39" s="69"/>
      <c r="B39" s="267"/>
      <c r="C39" s="267"/>
      <c r="D39" s="268"/>
      <c r="E39" s="308"/>
      <c r="F39" s="309"/>
      <c r="G39" s="309"/>
      <c r="H39" s="309"/>
      <c r="I39" s="310"/>
      <c r="J39" s="345"/>
      <c r="K39" s="343"/>
      <c r="L39" s="343"/>
      <c r="M39" s="343"/>
      <c r="N39" s="343"/>
      <c r="O39" s="344"/>
      <c r="P39" s="345"/>
      <c r="Q39" s="343"/>
      <c r="R39" s="343"/>
      <c r="S39" s="343"/>
      <c r="T39" s="343"/>
      <c r="U39" s="344"/>
      <c r="V39" s="334"/>
      <c r="W39" s="335"/>
      <c r="X39" s="335"/>
      <c r="Y39" s="335"/>
      <c r="Z39" s="335"/>
      <c r="AA39" s="336"/>
      <c r="AB39" s="318"/>
      <c r="AC39" s="314"/>
      <c r="AD39" s="314"/>
      <c r="AE39" s="314"/>
      <c r="AF39" s="314"/>
      <c r="AG39" s="315"/>
      <c r="AH39" s="325"/>
      <c r="AI39" s="326"/>
      <c r="AJ39" s="326"/>
      <c r="AK39" s="326"/>
      <c r="AL39" s="326"/>
      <c r="AM39" s="327"/>
      <c r="AN39" s="69"/>
      <c r="AO39" s="69"/>
      <c r="AP39" s="69"/>
      <c r="AQ39" s="69"/>
      <c r="AR39" s="69"/>
      <c r="AS39" s="69"/>
      <c r="AT39" s="69"/>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c r="BY39" s="69"/>
      <c r="BZ39" s="69"/>
      <c r="CA39" s="69"/>
      <c r="CB39" s="69"/>
    </row>
    <row r="40" spans="1:80" x14ac:dyDescent="0.25">
      <c r="A40" s="69"/>
      <c r="B40" s="267"/>
      <c r="C40" s="267"/>
      <c r="D40" s="268"/>
      <c r="E40" s="308"/>
      <c r="F40" s="309"/>
      <c r="G40" s="309"/>
      <c r="H40" s="309"/>
      <c r="I40" s="310"/>
      <c r="J40" s="345" t="str">
        <f>IF(AND('Mapa final'!$H$13="Muy Baja",'Mapa final'!$L$13="Leve"),CONCATENATE("R",'Mapa final'!$A$13),"")</f>
        <v/>
      </c>
      <c r="K40" s="343"/>
      <c r="L40" s="343" t="str">
        <f>IF(AND('Mapa final'!$H$17="Muy Baja",'Mapa final'!$L$17="Leve"),CONCATENATE("R",'Mapa final'!$A$17),"")</f>
        <v/>
      </c>
      <c r="M40" s="343"/>
      <c r="N40" s="343" t="e">
        <f>IF(AND('Mapa final'!#REF!="Muy Baja",'Mapa final'!#REF!="Leve"),CONCATENATE("R",'Mapa final'!#REF!),"")</f>
        <v>#REF!</v>
      </c>
      <c r="O40" s="344"/>
      <c r="P40" s="345" t="str">
        <f>IF(AND('Mapa final'!$H$13="Muy Baja",'Mapa final'!$L$13="Menor"),CONCATENATE("R",'Mapa final'!$A$13),"")</f>
        <v/>
      </c>
      <c r="Q40" s="343"/>
      <c r="R40" s="343" t="str">
        <f>IF(AND('Mapa final'!$H$17="Muy Baja",'Mapa final'!$L$17="Menor"),CONCATENATE("R",'Mapa final'!$A$17),"")</f>
        <v/>
      </c>
      <c r="S40" s="343"/>
      <c r="T40" s="343" t="e">
        <f>IF(AND('Mapa final'!#REF!="Muy Baja",'Mapa final'!#REF!="Menor"),CONCATENATE("R",'Mapa final'!#REF!),"")</f>
        <v>#REF!</v>
      </c>
      <c r="U40" s="344"/>
      <c r="V40" s="334" t="str">
        <f>IF(AND('Mapa final'!$H$13="Muy Baja",'Mapa final'!$L$13="Moderado"),CONCATENATE("R",'Mapa final'!$A$13),"")</f>
        <v/>
      </c>
      <c r="W40" s="335"/>
      <c r="X40" s="335" t="str">
        <f>IF(AND('Mapa final'!$H$17="Muy Baja",'Mapa final'!$L$17="Moderado"),CONCATENATE("R",'Mapa final'!$A$17),"")</f>
        <v/>
      </c>
      <c r="Y40" s="335"/>
      <c r="Z40" s="335" t="e">
        <f>IF(AND('Mapa final'!#REF!="Muy Baja",'Mapa final'!#REF!="Moderado"),CONCATENATE("R",'Mapa final'!#REF!),"")</f>
        <v>#REF!</v>
      </c>
      <c r="AA40" s="336"/>
      <c r="AB40" s="318" t="str">
        <f>IF(AND('Mapa final'!$H$13="Muy Baja",'Mapa final'!$L$13="Mayor"),CONCATENATE("R",'Mapa final'!$A$13),"")</f>
        <v/>
      </c>
      <c r="AC40" s="314"/>
      <c r="AD40" s="314" t="str">
        <f>IF(AND('Mapa final'!$H$17="Muy Baja",'Mapa final'!$L$17="Mayor"),CONCATENATE("R",'Mapa final'!$A$17),"")</f>
        <v/>
      </c>
      <c r="AE40" s="314"/>
      <c r="AF40" s="314" t="e">
        <f>IF(AND('Mapa final'!#REF!="Muy Baja",'Mapa final'!#REF!="Mayor"),CONCATENATE("R",'Mapa final'!#REF!),"")</f>
        <v>#REF!</v>
      </c>
      <c r="AG40" s="315"/>
      <c r="AH40" s="325" t="str">
        <f>IF(AND('Mapa final'!$H$13="Muy Baja",'Mapa final'!$L$13="Catastrófico"),CONCATENATE("R",'Mapa final'!$A$13),"")</f>
        <v/>
      </c>
      <c r="AI40" s="326"/>
      <c r="AJ40" s="326" t="str">
        <f>IF(AND('Mapa final'!$H$17="Muy Baja",'Mapa final'!$L$17="Catastrófico"),CONCATENATE("R",'Mapa final'!$A$17),"")</f>
        <v/>
      </c>
      <c r="AK40" s="326"/>
      <c r="AL40" s="326" t="e">
        <f>IF(AND('Mapa final'!#REF!="Muy Baja",'Mapa final'!#REF!="Catastrófico"),CONCATENATE("R",'Mapa final'!#REF!),"")</f>
        <v>#REF!</v>
      </c>
      <c r="AM40" s="327"/>
      <c r="AN40" s="69"/>
      <c r="AO40" s="69"/>
      <c r="AP40" s="69"/>
      <c r="AQ40" s="69"/>
      <c r="AR40" s="69"/>
      <c r="AS40" s="69"/>
      <c r="AT40" s="69"/>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c r="BY40" s="69"/>
      <c r="BZ40" s="69"/>
      <c r="CA40" s="69"/>
      <c r="CB40" s="69"/>
    </row>
    <row r="41" spans="1:80" x14ac:dyDescent="0.25">
      <c r="A41" s="69"/>
      <c r="B41" s="267"/>
      <c r="C41" s="267"/>
      <c r="D41" s="268"/>
      <c r="E41" s="308"/>
      <c r="F41" s="309"/>
      <c r="G41" s="309"/>
      <c r="H41" s="309"/>
      <c r="I41" s="310"/>
      <c r="J41" s="345"/>
      <c r="K41" s="343"/>
      <c r="L41" s="343"/>
      <c r="M41" s="343"/>
      <c r="N41" s="343"/>
      <c r="O41" s="344"/>
      <c r="P41" s="345"/>
      <c r="Q41" s="343"/>
      <c r="R41" s="343"/>
      <c r="S41" s="343"/>
      <c r="T41" s="343"/>
      <c r="U41" s="344"/>
      <c r="V41" s="334"/>
      <c r="W41" s="335"/>
      <c r="X41" s="335"/>
      <c r="Y41" s="335"/>
      <c r="Z41" s="335"/>
      <c r="AA41" s="336"/>
      <c r="AB41" s="318"/>
      <c r="AC41" s="314"/>
      <c r="AD41" s="314"/>
      <c r="AE41" s="314"/>
      <c r="AF41" s="314"/>
      <c r="AG41" s="315"/>
      <c r="AH41" s="325"/>
      <c r="AI41" s="326"/>
      <c r="AJ41" s="326"/>
      <c r="AK41" s="326"/>
      <c r="AL41" s="326"/>
      <c r="AM41" s="327"/>
      <c r="AN41" s="69"/>
      <c r="AO41" s="69"/>
      <c r="AP41" s="69"/>
      <c r="AQ41" s="69"/>
      <c r="AR41" s="69"/>
      <c r="AS41" s="69"/>
      <c r="AT41" s="69"/>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c r="BY41" s="69"/>
      <c r="BZ41" s="69"/>
      <c r="CA41" s="69"/>
      <c r="CB41" s="69"/>
    </row>
    <row r="42" spans="1:80" x14ac:dyDescent="0.25">
      <c r="A42" s="69"/>
      <c r="B42" s="267"/>
      <c r="C42" s="267"/>
      <c r="D42" s="268"/>
      <c r="E42" s="308"/>
      <c r="F42" s="309"/>
      <c r="G42" s="309"/>
      <c r="H42" s="309"/>
      <c r="I42" s="310"/>
      <c r="J42" s="345" t="e">
        <f>IF(AND('Mapa final'!#REF!="Muy Baja",'Mapa final'!#REF!="Leve"),CONCATENATE("R",'Mapa final'!#REF!),"")</f>
        <v>#REF!</v>
      </c>
      <c r="K42" s="343"/>
      <c r="L42" s="343" t="e">
        <f>IF(AND('Mapa final'!#REF!="Muy Baja",'Mapa final'!#REF!="Leve"),CONCATENATE("R",'Mapa final'!#REF!),"")</f>
        <v>#REF!</v>
      </c>
      <c r="M42" s="343"/>
      <c r="N42" s="343" t="e">
        <f>IF(AND('Mapa final'!#REF!="Muy Baja",'Mapa final'!#REF!="Leve"),CONCATENATE("R",'Mapa final'!#REF!),"")</f>
        <v>#REF!</v>
      </c>
      <c r="O42" s="344"/>
      <c r="P42" s="345" t="e">
        <f>IF(AND('Mapa final'!#REF!="Muy Baja",'Mapa final'!#REF!="Menor"),CONCATENATE("R",'Mapa final'!#REF!),"")</f>
        <v>#REF!</v>
      </c>
      <c r="Q42" s="343"/>
      <c r="R42" s="343" t="e">
        <f>IF(AND('Mapa final'!#REF!="Muy Baja",'Mapa final'!#REF!="Menor"),CONCATENATE("R",'Mapa final'!#REF!),"")</f>
        <v>#REF!</v>
      </c>
      <c r="S42" s="343"/>
      <c r="T42" s="343" t="e">
        <f>IF(AND('Mapa final'!#REF!="Muy Baja",'Mapa final'!#REF!="Menor"),CONCATENATE("R",'Mapa final'!#REF!),"")</f>
        <v>#REF!</v>
      </c>
      <c r="U42" s="344"/>
      <c r="V42" s="334" t="e">
        <f>IF(AND('Mapa final'!#REF!="Muy Baja",'Mapa final'!#REF!="Moderado"),CONCATENATE("R",'Mapa final'!#REF!),"")</f>
        <v>#REF!</v>
      </c>
      <c r="W42" s="335"/>
      <c r="X42" s="335" t="e">
        <f>IF(AND('Mapa final'!#REF!="Muy Baja",'Mapa final'!#REF!="Moderado"),CONCATENATE("R",'Mapa final'!#REF!),"")</f>
        <v>#REF!</v>
      </c>
      <c r="Y42" s="335"/>
      <c r="Z42" s="335" t="e">
        <f>IF(AND('Mapa final'!#REF!="Muy Baja",'Mapa final'!#REF!="Moderado"),CONCATENATE("R",'Mapa final'!#REF!),"")</f>
        <v>#REF!</v>
      </c>
      <c r="AA42" s="336"/>
      <c r="AB42" s="318" t="e">
        <f>IF(AND('Mapa final'!#REF!="Muy Baja",'Mapa final'!#REF!="Mayor"),CONCATENATE("R",'Mapa final'!#REF!),"")</f>
        <v>#REF!</v>
      </c>
      <c r="AC42" s="314"/>
      <c r="AD42" s="314" t="e">
        <f>IF(AND('Mapa final'!#REF!="Muy Baja",'Mapa final'!#REF!="Mayor"),CONCATENATE("R",'Mapa final'!#REF!),"")</f>
        <v>#REF!</v>
      </c>
      <c r="AE42" s="314"/>
      <c r="AF42" s="314" t="e">
        <f>IF(AND('Mapa final'!#REF!="Muy Baja",'Mapa final'!#REF!="Mayor"),CONCATENATE("R",'Mapa final'!#REF!),"")</f>
        <v>#REF!</v>
      </c>
      <c r="AG42" s="315"/>
      <c r="AH42" s="325" t="e">
        <f>IF(AND('Mapa final'!#REF!="Muy Baja",'Mapa final'!#REF!="Catastrófico"),CONCATENATE("R",'Mapa final'!#REF!),"")</f>
        <v>#REF!</v>
      </c>
      <c r="AI42" s="326"/>
      <c r="AJ42" s="326" t="e">
        <f>IF(AND('Mapa final'!#REF!="Muy Baja",'Mapa final'!#REF!="Catastrófico"),CONCATENATE("R",'Mapa final'!#REF!),"")</f>
        <v>#REF!</v>
      </c>
      <c r="AK42" s="326"/>
      <c r="AL42" s="326" t="e">
        <f>IF(AND('Mapa final'!#REF!="Muy Baja",'Mapa final'!#REF!="Catastrófico"),CONCATENATE("R",'Mapa final'!#REF!),"")</f>
        <v>#REF!</v>
      </c>
      <c r="AM42" s="327"/>
      <c r="AN42" s="69"/>
      <c r="AO42" s="69"/>
      <c r="AP42" s="69"/>
      <c r="AQ42" s="69"/>
      <c r="AR42" s="69"/>
      <c r="AS42" s="69"/>
      <c r="AT42" s="69"/>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c r="BY42" s="69"/>
      <c r="BZ42" s="69"/>
      <c r="CA42" s="69"/>
      <c r="CB42" s="69"/>
    </row>
    <row r="43" spans="1:80" x14ac:dyDescent="0.25">
      <c r="A43" s="69"/>
      <c r="B43" s="267"/>
      <c r="C43" s="267"/>
      <c r="D43" s="268"/>
      <c r="E43" s="308"/>
      <c r="F43" s="309"/>
      <c r="G43" s="309"/>
      <c r="H43" s="309"/>
      <c r="I43" s="310"/>
      <c r="J43" s="345"/>
      <c r="K43" s="343"/>
      <c r="L43" s="343"/>
      <c r="M43" s="343"/>
      <c r="N43" s="343"/>
      <c r="O43" s="344"/>
      <c r="P43" s="345"/>
      <c r="Q43" s="343"/>
      <c r="R43" s="343"/>
      <c r="S43" s="343"/>
      <c r="T43" s="343"/>
      <c r="U43" s="344"/>
      <c r="V43" s="334"/>
      <c r="W43" s="335"/>
      <c r="X43" s="335"/>
      <c r="Y43" s="335"/>
      <c r="Z43" s="335"/>
      <c r="AA43" s="336"/>
      <c r="AB43" s="318"/>
      <c r="AC43" s="314"/>
      <c r="AD43" s="314"/>
      <c r="AE43" s="314"/>
      <c r="AF43" s="314"/>
      <c r="AG43" s="315"/>
      <c r="AH43" s="325"/>
      <c r="AI43" s="326"/>
      <c r="AJ43" s="326"/>
      <c r="AK43" s="326"/>
      <c r="AL43" s="326"/>
      <c r="AM43" s="327"/>
      <c r="AN43" s="69"/>
      <c r="AO43" s="69"/>
      <c r="AP43" s="69"/>
      <c r="AQ43" s="69"/>
      <c r="AR43" s="69"/>
      <c r="AS43" s="69"/>
      <c r="AT43" s="69"/>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c r="BY43" s="69"/>
      <c r="BZ43" s="69"/>
      <c r="CA43" s="69"/>
      <c r="CB43" s="69"/>
    </row>
    <row r="44" spans="1:80" x14ac:dyDescent="0.25">
      <c r="A44" s="69"/>
      <c r="B44" s="267"/>
      <c r="C44" s="267"/>
      <c r="D44" s="268"/>
      <c r="E44" s="308"/>
      <c r="F44" s="309"/>
      <c r="G44" s="309"/>
      <c r="H44" s="309"/>
      <c r="I44" s="310"/>
      <c r="J44" s="345" t="e">
        <f>IF(AND('Mapa final'!#REF!="Muy Baja",'Mapa final'!#REF!="Leve"),CONCATENATE("R",'Mapa final'!#REF!),"")</f>
        <v>#REF!</v>
      </c>
      <c r="K44" s="343"/>
      <c r="L44" s="343" t="str">
        <f>IF(AND('Mapa final'!$H$23="Muy Baja",'Mapa final'!$L$23="Leve"),CONCATENATE("R",'Mapa final'!$A$23),"")</f>
        <v/>
      </c>
      <c r="M44" s="343"/>
      <c r="N44" s="343" t="e">
        <f>IF(AND('Mapa final'!#REF!="Muy Baja",'Mapa final'!#REF!="Leve"),CONCATENATE("R",'Mapa final'!#REF!),"")</f>
        <v>#REF!</v>
      </c>
      <c r="O44" s="344"/>
      <c r="P44" s="345" t="e">
        <f>IF(AND('Mapa final'!#REF!="Muy Baja",'Mapa final'!#REF!="Menor"),CONCATENATE("R",'Mapa final'!#REF!),"")</f>
        <v>#REF!</v>
      </c>
      <c r="Q44" s="343"/>
      <c r="R44" s="343" t="str">
        <f>IF(AND('Mapa final'!$H$23="Muy Baja",'Mapa final'!$L$23="Menor"),CONCATENATE("R",'Mapa final'!$A$23),"")</f>
        <v/>
      </c>
      <c r="S44" s="343"/>
      <c r="T44" s="343" t="e">
        <f>IF(AND('Mapa final'!#REF!="Muy Baja",'Mapa final'!#REF!="Menor"),CONCATENATE("R",'Mapa final'!#REF!),"")</f>
        <v>#REF!</v>
      </c>
      <c r="U44" s="344"/>
      <c r="V44" s="334" t="e">
        <f>IF(AND('Mapa final'!#REF!="Muy Baja",'Mapa final'!#REF!="Moderado"),CONCATENATE("R",'Mapa final'!#REF!),"")</f>
        <v>#REF!</v>
      </c>
      <c r="W44" s="335"/>
      <c r="X44" s="335" t="str">
        <f>IF(AND('Mapa final'!$H$23="Muy Baja",'Mapa final'!$L$23="Moderado"),CONCATENATE("R",'Mapa final'!$A$23),"")</f>
        <v/>
      </c>
      <c r="Y44" s="335"/>
      <c r="Z44" s="335" t="e">
        <f>IF(AND('Mapa final'!#REF!="Muy Baja",'Mapa final'!#REF!="Moderado"),CONCATENATE("R",'Mapa final'!#REF!),"")</f>
        <v>#REF!</v>
      </c>
      <c r="AA44" s="336"/>
      <c r="AB44" s="318" t="e">
        <f>IF(AND('Mapa final'!#REF!="Muy Baja",'Mapa final'!#REF!="Mayor"),CONCATENATE("R",'Mapa final'!#REF!),"")</f>
        <v>#REF!</v>
      </c>
      <c r="AC44" s="314"/>
      <c r="AD44" s="314" t="str">
        <f>IF(AND('Mapa final'!$H$23="Muy Baja",'Mapa final'!$L$23="Mayor"),CONCATENATE("R",'Mapa final'!$A$23),"")</f>
        <v/>
      </c>
      <c r="AE44" s="314"/>
      <c r="AF44" s="314" t="e">
        <f>IF(AND('Mapa final'!#REF!="Muy Baja",'Mapa final'!#REF!="Mayor"),CONCATENATE("R",'Mapa final'!#REF!),"")</f>
        <v>#REF!</v>
      </c>
      <c r="AG44" s="315"/>
      <c r="AH44" s="325" t="e">
        <f>IF(AND('Mapa final'!#REF!="Muy Baja",'Mapa final'!#REF!="Catastrófico"),CONCATENATE("R",'Mapa final'!#REF!),"")</f>
        <v>#REF!</v>
      </c>
      <c r="AI44" s="326"/>
      <c r="AJ44" s="326" t="str">
        <f>IF(AND('Mapa final'!$H$23="Muy Baja",'Mapa final'!$L$23="Catastrófico"),CONCATENATE("R",'Mapa final'!$A$23),"")</f>
        <v/>
      </c>
      <c r="AK44" s="326"/>
      <c r="AL44" s="326" t="e">
        <f>IF(AND('Mapa final'!#REF!="Muy Baja",'Mapa final'!#REF!="Catastrófico"),CONCATENATE("R",'Mapa final'!#REF!),"")</f>
        <v>#REF!</v>
      </c>
      <c r="AM44" s="327"/>
      <c r="AN44" s="69"/>
      <c r="AO44" s="69"/>
      <c r="AP44" s="69"/>
      <c r="AQ44" s="69"/>
      <c r="AR44" s="69"/>
      <c r="AS44" s="69"/>
      <c r="AT44" s="69"/>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c r="BY44" s="69"/>
      <c r="BZ44" s="69"/>
      <c r="CA44" s="69"/>
      <c r="CB44" s="69"/>
    </row>
    <row r="45" spans="1:80" ht="15.75" thickBot="1" x14ac:dyDescent="0.3">
      <c r="A45" s="69"/>
      <c r="B45" s="267"/>
      <c r="C45" s="267"/>
      <c r="D45" s="268"/>
      <c r="E45" s="311"/>
      <c r="F45" s="312"/>
      <c r="G45" s="312"/>
      <c r="H45" s="312"/>
      <c r="I45" s="313"/>
      <c r="J45" s="346"/>
      <c r="K45" s="347"/>
      <c r="L45" s="347"/>
      <c r="M45" s="347"/>
      <c r="N45" s="347"/>
      <c r="O45" s="348"/>
      <c r="P45" s="346"/>
      <c r="Q45" s="347"/>
      <c r="R45" s="347"/>
      <c r="S45" s="347"/>
      <c r="T45" s="347"/>
      <c r="U45" s="348"/>
      <c r="V45" s="337"/>
      <c r="W45" s="338"/>
      <c r="X45" s="338"/>
      <c r="Y45" s="338"/>
      <c r="Z45" s="338"/>
      <c r="AA45" s="339"/>
      <c r="AB45" s="322"/>
      <c r="AC45" s="323"/>
      <c r="AD45" s="323"/>
      <c r="AE45" s="323"/>
      <c r="AF45" s="323"/>
      <c r="AG45" s="324"/>
      <c r="AH45" s="328"/>
      <c r="AI45" s="329"/>
      <c r="AJ45" s="329"/>
      <c r="AK45" s="329"/>
      <c r="AL45" s="329"/>
      <c r="AM45" s="330"/>
      <c r="AN45" s="69"/>
      <c r="AO45" s="69"/>
      <c r="AP45" s="69"/>
      <c r="AQ45" s="69"/>
      <c r="AR45" s="69"/>
      <c r="AS45" s="69"/>
      <c r="AT45" s="69"/>
      <c r="AU45" s="69"/>
      <c r="AV45" s="69"/>
      <c r="AW45" s="69"/>
      <c r="AX45" s="69"/>
      <c r="AY45" s="69"/>
      <c r="AZ45" s="69"/>
      <c r="BA45" s="69"/>
      <c r="BB45" s="69"/>
      <c r="BC45" s="69"/>
      <c r="BD45" s="69"/>
      <c r="BE45" s="69"/>
      <c r="BF45" s="69"/>
      <c r="BG45" s="69"/>
      <c r="BH45" s="69"/>
      <c r="BI45" s="69"/>
      <c r="BJ45" s="69"/>
      <c r="BK45" s="69"/>
      <c r="BL45" s="69"/>
      <c r="BM45" s="69"/>
      <c r="BN45" s="69"/>
      <c r="BO45" s="69"/>
      <c r="BP45" s="69"/>
      <c r="BQ45" s="69"/>
      <c r="BR45" s="69"/>
      <c r="BS45" s="69"/>
      <c r="BT45" s="69"/>
      <c r="BU45" s="69"/>
      <c r="BV45" s="69"/>
      <c r="BW45" s="69"/>
      <c r="BX45" s="69"/>
      <c r="BY45" s="69"/>
      <c r="BZ45" s="69"/>
      <c r="CA45" s="69"/>
      <c r="CB45" s="69"/>
    </row>
    <row r="46" spans="1:80" x14ac:dyDescent="0.25">
      <c r="A46" s="69"/>
      <c r="B46" s="69"/>
      <c r="C46" s="69"/>
      <c r="D46" s="69"/>
      <c r="E46" s="69"/>
      <c r="F46" s="69"/>
      <c r="G46" s="69"/>
      <c r="H46" s="69"/>
      <c r="I46" s="69"/>
      <c r="J46" s="305" t="s">
        <v>112</v>
      </c>
      <c r="K46" s="306"/>
      <c r="L46" s="306"/>
      <c r="M46" s="306"/>
      <c r="N46" s="306"/>
      <c r="O46" s="307"/>
      <c r="P46" s="305" t="s">
        <v>111</v>
      </c>
      <c r="Q46" s="306"/>
      <c r="R46" s="306"/>
      <c r="S46" s="306"/>
      <c r="T46" s="306"/>
      <c r="U46" s="307"/>
      <c r="V46" s="305" t="s">
        <v>110</v>
      </c>
      <c r="W46" s="306"/>
      <c r="X46" s="306"/>
      <c r="Y46" s="306"/>
      <c r="Z46" s="306"/>
      <c r="AA46" s="307"/>
      <c r="AB46" s="305" t="s">
        <v>109</v>
      </c>
      <c r="AC46" s="321"/>
      <c r="AD46" s="306"/>
      <c r="AE46" s="306"/>
      <c r="AF46" s="306"/>
      <c r="AG46" s="307"/>
      <c r="AH46" s="305" t="s">
        <v>108</v>
      </c>
      <c r="AI46" s="306"/>
      <c r="AJ46" s="306"/>
      <c r="AK46" s="306"/>
      <c r="AL46" s="306"/>
      <c r="AM46" s="307"/>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x14ac:dyDescent="0.25">
      <c r="A47" s="69"/>
      <c r="B47" s="69"/>
      <c r="C47" s="69"/>
      <c r="D47" s="69"/>
      <c r="E47" s="69"/>
      <c r="F47" s="69"/>
      <c r="G47" s="69"/>
      <c r="H47" s="69"/>
      <c r="I47" s="69"/>
      <c r="J47" s="308"/>
      <c r="K47" s="309"/>
      <c r="L47" s="309"/>
      <c r="M47" s="309"/>
      <c r="N47" s="309"/>
      <c r="O47" s="310"/>
      <c r="P47" s="308"/>
      <c r="Q47" s="309"/>
      <c r="R47" s="309"/>
      <c r="S47" s="309"/>
      <c r="T47" s="309"/>
      <c r="U47" s="310"/>
      <c r="V47" s="308"/>
      <c r="W47" s="309"/>
      <c r="X47" s="309"/>
      <c r="Y47" s="309"/>
      <c r="Z47" s="309"/>
      <c r="AA47" s="310"/>
      <c r="AB47" s="308"/>
      <c r="AC47" s="309"/>
      <c r="AD47" s="309"/>
      <c r="AE47" s="309"/>
      <c r="AF47" s="309"/>
      <c r="AG47" s="310"/>
      <c r="AH47" s="308"/>
      <c r="AI47" s="309"/>
      <c r="AJ47" s="309"/>
      <c r="AK47" s="309"/>
      <c r="AL47" s="309"/>
      <c r="AM47" s="310"/>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x14ac:dyDescent="0.25">
      <c r="A48" s="69"/>
      <c r="B48" s="69"/>
      <c r="C48" s="69"/>
      <c r="D48" s="69"/>
      <c r="E48" s="69"/>
      <c r="F48" s="69"/>
      <c r="G48" s="69"/>
      <c r="H48" s="69"/>
      <c r="I48" s="69"/>
      <c r="J48" s="308"/>
      <c r="K48" s="309"/>
      <c r="L48" s="309"/>
      <c r="M48" s="309"/>
      <c r="N48" s="309"/>
      <c r="O48" s="310"/>
      <c r="P48" s="308"/>
      <c r="Q48" s="309"/>
      <c r="R48" s="309"/>
      <c r="S48" s="309"/>
      <c r="T48" s="309"/>
      <c r="U48" s="310"/>
      <c r="V48" s="308"/>
      <c r="W48" s="309"/>
      <c r="X48" s="309"/>
      <c r="Y48" s="309"/>
      <c r="Z48" s="309"/>
      <c r="AA48" s="310"/>
      <c r="AB48" s="308"/>
      <c r="AC48" s="309"/>
      <c r="AD48" s="309"/>
      <c r="AE48" s="309"/>
      <c r="AF48" s="309"/>
      <c r="AG48" s="310"/>
      <c r="AH48" s="308"/>
      <c r="AI48" s="309"/>
      <c r="AJ48" s="309"/>
      <c r="AK48" s="309"/>
      <c r="AL48" s="309"/>
      <c r="AM48" s="310"/>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x14ac:dyDescent="0.25">
      <c r="A49" s="69"/>
      <c r="B49" s="69"/>
      <c r="C49" s="69"/>
      <c r="D49" s="69"/>
      <c r="E49" s="69"/>
      <c r="F49" s="69"/>
      <c r="G49" s="69"/>
      <c r="H49" s="69"/>
      <c r="I49" s="69"/>
      <c r="J49" s="308"/>
      <c r="K49" s="309"/>
      <c r="L49" s="309"/>
      <c r="M49" s="309"/>
      <c r="N49" s="309"/>
      <c r="O49" s="310"/>
      <c r="P49" s="308"/>
      <c r="Q49" s="309"/>
      <c r="R49" s="309"/>
      <c r="S49" s="309"/>
      <c r="T49" s="309"/>
      <c r="U49" s="310"/>
      <c r="V49" s="308"/>
      <c r="W49" s="309"/>
      <c r="X49" s="309"/>
      <c r="Y49" s="309"/>
      <c r="Z49" s="309"/>
      <c r="AA49" s="310"/>
      <c r="AB49" s="308"/>
      <c r="AC49" s="309"/>
      <c r="AD49" s="309"/>
      <c r="AE49" s="309"/>
      <c r="AF49" s="309"/>
      <c r="AG49" s="310"/>
      <c r="AH49" s="308"/>
      <c r="AI49" s="309"/>
      <c r="AJ49" s="309"/>
      <c r="AK49" s="309"/>
      <c r="AL49" s="309"/>
      <c r="AM49" s="310"/>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x14ac:dyDescent="0.25">
      <c r="A50" s="69"/>
      <c r="B50" s="69"/>
      <c r="C50" s="69"/>
      <c r="D50" s="69"/>
      <c r="E50" s="69"/>
      <c r="F50" s="69"/>
      <c r="G50" s="69"/>
      <c r="H50" s="69"/>
      <c r="I50" s="69"/>
      <c r="J50" s="308"/>
      <c r="K50" s="309"/>
      <c r="L50" s="309"/>
      <c r="M50" s="309"/>
      <c r="N50" s="309"/>
      <c r="O50" s="310"/>
      <c r="P50" s="308"/>
      <c r="Q50" s="309"/>
      <c r="R50" s="309"/>
      <c r="S50" s="309"/>
      <c r="T50" s="309"/>
      <c r="U50" s="310"/>
      <c r="V50" s="308"/>
      <c r="W50" s="309"/>
      <c r="X50" s="309"/>
      <c r="Y50" s="309"/>
      <c r="Z50" s="309"/>
      <c r="AA50" s="310"/>
      <c r="AB50" s="308"/>
      <c r="AC50" s="309"/>
      <c r="AD50" s="309"/>
      <c r="AE50" s="309"/>
      <c r="AF50" s="309"/>
      <c r="AG50" s="310"/>
      <c r="AH50" s="308"/>
      <c r="AI50" s="309"/>
      <c r="AJ50" s="309"/>
      <c r="AK50" s="309"/>
      <c r="AL50" s="309"/>
      <c r="AM50" s="310"/>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75" thickBot="1" x14ac:dyDescent="0.3">
      <c r="A51" s="69"/>
      <c r="B51" s="69"/>
      <c r="C51" s="69"/>
      <c r="D51" s="69"/>
      <c r="E51" s="69"/>
      <c r="F51" s="69"/>
      <c r="G51" s="69"/>
      <c r="H51" s="69"/>
      <c r="I51" s="69"/>
      <c r="J51" s="311"/>
      <c r="K51" s="312"/>
      <c r="L51" s="312"/>
      <c r="M51" s="312"/>
      <c r="N51" s="312"/>
      <c r="O51" s="313"/>
      <c r="P51" s="311"/>
      <c r="Q51" s="312"/>
      <c r="R51" s="312"/>
      <c r="S51" s="312"/>
      <c r="T51" s="312"/>
      <c r="U51" s="313"/>
      <c r="V51" s="311"/>
      <c r="W51" s="312"/>
      <c r="X51" s="312"/>
      <c r="Y51" s="312"/>
      <c r="Z51" s="312"/>
      <c r="AA51" s="313"/>
      <c r="AB51" s="311"/>
      <c r="AC51" s="312"/>
      <c r="AD51" s="312"/>
      <c r="AE51" s="312"/>
      <c r="AF51" s="312"/>
      <c r="AG51" s="313"/>
      <c r="AH51" s="311"/>
      <c r="AI51" s="312"/>
      <c r="AJ51" s="312"/>
      <c r="AK51" s="312"/>
      <c r="AL51" s="312"/>
      <c r="AM51" s="313"/>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x14ac:dyDescent="0.25">
      <c r="A52" s="69"/>
      <c r="B52" s="69"/>
      <c r="C52" s="69"/>
      <c r="D52" s="69"/>
      <c r="E52" s="69"/>
      <c r="F52" s="69"/>
      <c r="G52" s="69"/>
      <c r="H52" s="69"/>
      <c r="I52" s="69"/>
      <c r="J52" s="69"/>
      <c r="K52" s="69"/>
      <c r="L52" s="69"/>
      <c r="M52" s="69"/>
      <c r="N52" s="69"/>
      <c r="O52" s="69"/>
      <c r="P52" s="69"/>
      <c r="Q52" s="69"/>
      <c r="R52" s="69"/>
      <c r="S52" s="69"/>
      <c r="T52" s="69"/>
      <c r="U52" s="69"/>
      <c r="V52" s="69"/>
      <c r="W52" s="69"/>
      <c r="X52" s="69"/>
      <c r="Y52" s="69"/>
      <c r="Z52" s="69"/>
      <c r="AA52" s="69"/>
      <c r="AB52" s="69"/>
      <c r="AC52" s="69"/>
      <c r="AD52" s="69"/>
      <c r="AE52" s="69"/>
      <c r="AF52" s="69"/>
      <c r="AG52" s="69"/>
      <c r="AH52" s="69"/>
      <c r="AI52" s="69"/>
      <c r="AJ52" s="69"/>
      <c r="AK52" s="69"/>
      <c r="AL52" s="69"/>
      <c r="AM52" s="69"/>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73"/>
      <c r="C53" s="73"/>
      <c r="D53" s="73"/>
      <c r="E53" s="73"/>
      <c r="F53" s="73"/>
      <c r="G53" s="73"/>
      <c r="H53" s="73"/>
      <c r="I53" s="73"/>
      <c r="J53" s="73"/>
      <c r="K53" s="73"/>
      <c r="L53" s="73"/>
      <c r="M53" s="73"/>
      <c r="N53" s="73"/>
      <c r="O53" s="73"/>
      <c r="P53" s="73"/>
      <c r="Q53" s="73"/>
      <c r="R53" s="73"/>
      <c r="S53" s="73"/>
      <c r="T53" s="73"/>
      <c r="U53" s="73"/>
      <c r="V53" s="73"/>
      <c r="W53" s="73"/>
      <c r="X53" s="73"/>
      <c r="Y53" s="73"/>
      <c r="Z53" s="73"/>
      <c r="AA53" s="73"/>
      <c r="AB53" s="73"/>
      <c r="AC53" s="73"/>
      <c r="AD53" s="73"/>
      <c r="AE53" s="73"/>
      <c r="AF53" s="73"/>
      <c r="AG53" s="73"/>
      <c r="AH53" s="73"/>
      <c r="AI53" s="73"/>
      <c r="AJ53" s="73"/>
      <c r="AK53" s="73"/>
      <c r="AL53" s="73"/>
      <c r="AM53" s="73"/>
      <c r="AN53" s="73"/>
      <c r="AO53" s="73"/>
      <c r="AP53" s="73"/>
      <c r="AQ53" s="73"/>
      <c r="AR53" s="73"/>
      <c r="AS53" s="73"/>
      <c r="AT53" s="73"/>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73"/>
      <c r="C54" s="73"/>
      <c r="D54" s="73"/>
      <c r="E54" s="73"/>
      <c r="F54" s="73"/>
      <c r="G54" s="73"/>
      <c r="H54" s="73"/>
      <c r="I54" s="73"/>
      <c r="J54" s="73"/>
      <c r="K54" s="73"/>
      <c r="L54" s="73"/>
      <c r="M54" s="73"/>
      <c r="N54" s="73"/>
      <c r="O54" s="73"/>
      <c r="P54" s="73"/>
      <c r="Q54" s="73"/>
      <c r="R54" s="73"/>
      <c r="S54" s="73"/>
      <c r="T54" s="73"/>
      <c r="U54" s="73"/>
      <c r="V54" s="73"/>
      <c r="W54" s="73"/>
      <c r="X54" s="73"/>
      <c r="Y54" s="73"/>
      <c r="Z54" s="73"/>
      <c r="AA54" s="73"/>
      <c r="AB54" s="73"/>
      <c r="AC54" s="73"/>
      <c r="AD54" s="73"/>
      <c r="AE54" s="73"/>
      <c r="AF54" s="73"/>
      <c r="AG54" s="73"/>
      <c r="AH54" s="73"/>
      <c r="AI54" s="73"/>
      <c r="AJ54" s="73"/>
      <c r="AK54" s="73"/>
      <c r="AL54" s="73"/>
      <c r="AM54" s="73"/>
      <c r="AN54" s="73"/>
      <c r="AO54" s="73"/>
      <c r="AP54" s="73"/>
      <c r="AQ54" s="73"/>
      <c r="AR54" s="73"/>
      <c r="AS54" s="73"/>
      <c r="AT54" s="73"/>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x14ac:dyDescent="0.25">
      <c r="A55" s="69"/>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69"/>
      <c r="K56" s="69"/>
      <c r="L56" s="69"/>
      <c r="M56" s="69"/>
      <c r="N56" s="69"/>
      <c r="O56" s="69"/>
      <c r="P56" s="69"/>
      <c r="Q56" s="69"/>
      <c r="R56" s="69"/>
      <c r="S56" s="69"/>
      <c r="T56" s="69"/>
      <c r="U56" s="69"/>
      <c r="V56" s="69"/>
      <c r="W56" s="69"/>
      <c r="X56" s="69"/>
      <c r="Y56" s="69"/>
      <c r="Z56" s="69"/>
      <c r="AA56" s="69"/>
      <c r="AB56" s="69"/>
      <c r="AC56" s="69"/>
      <c r="AD56" s="69"/>
      <c r="AE56" s="69"/>
      <c r="AF56" s="69"/>
      <c r="AG56" s="69"/>
      <c r="AH56" s="69"/>
      <c r="AI56" s="69"/>
      <c r="AJ56" s="69"/>
      <c r="AK56" s="69"/>
      <c r="AL56" s="69"/>
      <c r="AM56" s="69"/>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69"/>
      <c r="K60" s="69"/>
      <c r="L60" s="69"/>
      <c r="M60" s="69"/>
      <c r="N60" s="69"/>
      <c r="O60" s="69"/>
      <c r="P60" s="69"/>
      <c r="Q60" s="69"/>
      <c r="R60" s="69"/>
      <c r="S60" s="69"/>
      <c r="T60" s="69"/>
      <c r="U60" s="69"/>
      <c r="V60" s="69"/>
      <c r="W60" s="69"/>
      <c r="X60" s="69"/>
      <c r="Y60" s="69"/>
      <c r="Z60" s="69"/>
      <c r="AA60" s="69"/>
      <c r="AB60" s="69"/>
      <c r="AC60" s="69"/>
      <c r="AD60" s="69"/>
      <c r="AE60" s="69"/>
      <c r="AF60" s="69"/>
      <c r="AG60" s="69"/>
      <c r="AH60" s="69"/>
      <c r="AI60" s="69"/>
      <c r="AJ60" s="69"/>
      <c r="AK60" s="69"/>
      <c r="AL60" s="69"/>
      <c r="AM60" s="69"/>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x14ac:dyDescent="0.25">
      <c r="A61" s="69"/>
      <c r="B61" s="69"/>
      <c r="C61" s="69"/>
      <c r="D61" s="69"/>
      <c r="E61" s="69"/>
      <c r="F61" s="69"/>
      <c r="G61" s="69"/>
      <c r="H61" s="69"/>
      <c r="I61" s="69"/>
      <c r="J61" s="69"/>
      <c r="K61" s="69"/>
      <c r="L61" s="69"/>
      <c r="M61" s="69"/>
      <c r="N61" s="69"/>
      <c r="O61" s="69"/>
      <c r="P61" s="69"/>
      <c r="Q61" s="69"/>
      <c r="R61" s="69"/>
      <c r="S61" s="69"/>
      <c r="T61" s="69"/>
      <c r="U61" s="69"/>
      <c r="V61" s="69"/>
      <c r="W61" s="69"/>
      <c r="X61" s="69"/>
      <c r="Y61" s="69"/>
      <c r="Z61" s="69"/>
      <c r="AA61" s="69"/>
      <c r="AB61" s="69"/>
      <c r="AC61" s="69"/>
      <c r="AD61" s="69"/>
      <c r="AE61" s="69"/>
      <c r="AF61" s="69"/>
      <c r="AG61" s="69"/>
      <c r="AH61" s="69"/>
      <c r="AI61" s="69"/>
      <c r="AJ61" s="69"/>
      <c r="AK61" s="69"/>
      <c r="AL61" s="69"/>
      <c r="AM61" s="69"/>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c r="BI62" s="69"/>
      <c r="BJ62" s="69"/>
      <c r="BK62" s="69"/>
      <c r="BL62" s="69"/>
      <c r="BM62" s="69"/>
      <c r="BN62" s="69"/>
      <c r="BO62" s="69"/>
      <c r="BP62" s="69"/>
      <c r="BQ62" s="69"/>
      <c r="BR62" s="69"/>
      <c r="BS62" s="69"/>
      <c r="BT62" s="69"/>
      <c r="BU62" s="69"/>
      <c r="BV62" s="69"/>
      <c r="BW62" s="69"/>
      <c r="BX62" s="69"/>
      <c r="BY62" s="69"/>
      <c r="BZ62" s="69"/>
      <c r="CA62" s="69"/>
      <c r="CB62" s="69"/>
    </row>
    <row r="63" spans="1:80" x14ac:dyDescent="0.25">
      <c r="A63" s="69"/>
      <c r="B63" s="69"/>
      <c r="C63" s="69"/>
      <c r="D63" s="69"/>
      <c r="E63" s="69"/>
      <c r="F63" s="69"/>
      <c r="G63" s="69"/>
      <c r="H63" s="69"/>
      <c r="I63" s="69"/>
      <c r="J63" s="69"/>
      <c r="K63" s="69"/>
      <c r="L63" s="69"/>
      <c r="M63" s="69"/>
      <c r="N63" s="69"/>
      <c r="O63" s="69"/>
      <c r="P63" s="69"/>
      <c r="Q63" s="69"/>
      <c r="R63" s="69"/>
      <c r="S63" s="69"/>
      <c r="T63" s="69"/>
      <c r="U63" s="69"/>
      <c r="V63" s="69"/>
      <c r="W63" s="69"/>
      <c r="X63" s="69"/>
      <c r="Y63" s="69"/>
      <c r="Z63" s="69"/>
      <c r="AA63" s="69"/>
      <c r="AB63" s="69"/>
      <c r="AC63" s="69"/>
      <c r="AD63" s="69"/>
      <c r="AE63" s="69"/>
      <c r="AF63" s="69"/>
      <c r="AG63" s="69"/>
      <c r="AH63" s="69"/>
      <c r="AI63" s="69"/>
      <c r="AJ63" s="69"/>
      <c r="AK63" s="69"/>
      <c r="AL63" s="69"/>
      <c r="AM63" s="69"/>
      <c r="AN63" s="69"/>
      <c r="AO63" s="69"/>
      <c r="AP63" s="69"/>
      <c r="AQ63" s="69"/>
      <c r="AR63" s="69"/>
      <c r="AS63" s="69"/>
      <c r="AT63" s="69"/>
      <c r="AU63" s="69"/>
      <c r="AV63" s="69"/>
      <c r="AW63" s="69"/>
      <c r="AX63" s="69"/>
      <c r="AY63" s="69"/>
      <c r="AZ63" s="69"/>
      <c r="BA63" s="69"/>
      <c r="BB63" s="69"/>
      <c r="BC63" s="69"/>
      <c r="BD63" s="69"/>
      <c r="BE63" s="69"/>
      <c r="BF63" s="69"/>
      <c r="BG63" s="69"/>
      <c r="BH63" s="69"/>
      <c r="BI63" s="69"/>
      <c r="BJ63" s="69"/>
      <c r="BK63" s="69"/>
      <c r="BL63" s="69"/>
      <c r="BM63" s="69"/>
      <c r="BN63" s="69"/>
      <c r="BO63" s="69"/>
      <c r="BP63" s="69"/>
      <c r="BQ63" s="69"/>
      <c r="BR63" s="69"/>
      <c r="BS63" s="69"/>
      <c r="BT63" s="69"/>
      <c r="BU63" s="69"/>
      <c r="BV63" s="69"/>
      <c r="BW63" s="69"/>
      <c r="BX63" s="69"/>
      <c r="BY63" s="69"/>
      <c r="BZ63" s="69"/>
      <c r="CA63" s="69"/>
      <c r="CB63" s="69"/>
    </row>
    <row r="64" spans="1:80" x14ac:dyDescent="0.25">
      <c r="A64" s="69"/>
      <c r="B64" s="69"/>
      <c r="C64" s="69"/>
      <c r="D64" s="69"/>
      <c r="E64" s="69"/>
      <c r="F64" s="69"/>
      <c r="G64" s="69"/>
      <c r="H64" s="69"/>
      <c r="I64" s="69"/>
      <c r="J64" s="69"/>
      <c r="K64" s="69"/>
      <c r="L64" s="69"/>
      <c r="M64" s="69"/>
      <c r="N64" s="69"/>
      <c r="O64" s="69"/>
      <c r="P64" s="69"/>
      <c r="Q64" s="69"/>
      <c r="R64" s="69"/>
      <c r="S64" s="69"/>
      <c r="T64" s="69"/>
      <c r="U64" s="69"/>
      <c r="V64" s="69"/>
      <c r="W64" s="69"/>
      <c r="X64" s="69"/>
      <c r="Y64" s="69"/>
      <c r="Z64" s="69"/>
      <c r="AA64" s="69"/>
      <c r="AB64" s="69"/>
      <c r="AC64" s="69"/>
      <c r="AD64" s="69"/>
      <c r="AE64" s="69"/>
      <c r="AF64" s="69"/>
      <c r="AG64" s="69"/>
      <c r="AH64" s="69"/>
      <c r="AI64" s="69"/>
      <c r="AJ64" s="69"/>
      <c r="AK64" s="69"/>
      <c r="AL64" s="69"/>
      <c r="AM64" s="69"/>
      <c r="AN64" s="69"/>
      <c r="AO64" s="69"/>
      <c r="AP64" s="69"/>
      <c r="AQ64" s="69"/>
      <c r="AR64" s="69"/>
      <c r="AS64" s="69"/>
      <c r="AT64" s="69"/>
      <c r="AU64" s="69"/>
      <c r="AV64" s="69"/>
      <c r="AW64" s="69"/>
      <c r="AX64" s="69"/>
      <c r="AY64" s="69"/>
      <c r="AZ64" s="69"/>
      <c r="BA64" s="69"/>
      <c r="BB64" s="69"/>
      <c r="BC64" s="69"/>
      <c r="BD64" s="69"/>
      <c r="BE64" s="69"/>
      <c r="BF64" s="69"/>
      <c r="BG64" s="69"/>
      <c r="BH64" s="69"/>
      <c r="BI64" s="69"/>
      <c r="BJ64" s="69"/>
      <c r="BK64" s="69"/>
      <c r="BL64" s="69"/>
      <c r="BM64" s="69"/>
      <c r="BN64" s="69"/>
      <c r="BO64" s="69"/>
      <c r="BP64" s="69"/>
      <c r="BQ64" s="69"/>
      <c r="BR64" s="69"/>
      <c r="BS64" s="69"/>
      <c r="BT64" s="69"/>
      <c r="BU64" s="69"/>
      <c r="BV64" s="69"/>
      <c r="BW64" s="69"/>
      <c r="BX64" s="69"/>
      <c r="BY64" s="69"/>
      <c r="BZ64" s="69"/>
      <c r="CA64" s="69"/>
      <c r="CB64" s="69"/>
    </row>
    <row r="65" spans="1:8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row>
    <row r="66" spans="1:8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c r="BI66" s="69"/>
      <c r="BJ66" s="69"/>
      <c r="BK66" s="69"/>
      <c r="BL66" s="69"/>
      <c r="BM66" s="69"/>
      <c r="BN66" s="69"/>
      <c r="BO66" s="69"/>
      <c r="BP66" s="69"/>
      <c r="BQ66" s="69"/>
      <c r="BR66" s="69"/>
      <c r="BS66" s="69"/>
      <c r="BT66" s="69"/>
      <c r="BU66" s="69"/>
      <c r="BV66" s="69"/>
      <c r="BW66" s="69"/>
      <c r="BX66" s="69"/>
      <c r="BY66" s="69"/>
      <c r="BZ66" s="69"/>
      <c r="CA66" s="69"/>
      <c r="CB66" s="69"/>
    </row>
    <row r="67" spans="1:8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c r="BI67" s="69"/>
      <c r="BJ67" s="69"/>
      <c r="BK67" s="69"/>
      <c r="BL67" s="69"/>
      <c r="BM67" s="69"/>
      <c r="BN67" s="69"/>
      <c r="BO67" s="69"/>
      <c r="BP67" s="69"/>
      <c r="BQ67" s="69"/>
      <c r="BR67" s="69"/>
      <c r="BS67" s="69"/>
      <c r="BT67" s="69"/>
      <c r="BU67" s="69"/>
      <c r="BV67" s="69"/>
      <c r="BW67" s="69"/>
      <c r="BX67" s="69"/>
      <c r="BY67" s="69"/>
      <c r="BZ67" s="69"/>
      <c r="CA67" s="69"/>
      <c r="CB67" s="69"/>
    </row>
    <row r="68" spans="1:8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c r="BI68" s="69"/>
      <c r="BJ68" s="69"/>
      <c r="BK68" s="69"/>
      <c r="BL68" s="69"/>
      <c r="BM68" s="69"/>
      <c r="BN68" s="69"/>
      <c r="BO68" s="69"/>
      <c r="BP68" s="69"/>
      <c r="BQ68" s="69"/>
      <c r="BR68" s="69"/>
      <c r="BS68" s="69"/>
      <c r="BT68" s="69"/>
      <c r="BU68" s="69"/>
      <c r="BV68" s="69"/>
      <c r="BW68" s="69"/>
      <c r="BX68" s="69"/>
      <c r="BY68" s="69"/>
      <c r="BZ68" s="69"/>
      <c r="CA68" s="69"/>
      <c r="CB68" s="69"/>
    </row>
    <row r="69" spans="1:8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c r="BI69" s="69"/>
      <c r="BJ69" s="69"/>
      <c r="BK69" s="69"/>
      <c r="BL69" s="69"/>
      <c r="BM69" s="69"/>
      <c r="BN69" s="69"/>
      <c r="BO69" s="69"/>
      <c r="BP69" s="69"/>
      <c r="BQ69" s="69"/>
      <c r="BR69" s="69"/>
      <c r="BS69" s="69"/>
      <c r="BT69" s="69"/>
      <c r="BU69" s="69"/>
      <c r="BV69" s="69"/>
      <c r="BW69" s="69"/>
      <c r="BX69" s="69"/>
      <c r="BY69" s="69"/>
      <c r="BZ69" s="69"/>
      <c r="CA69" s="69"/>
      <c r="CB69" s="69"/>
    </row>
    <row r="70" spans="1:8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c r="BI70" s="69"/>
      <c r="BJ70" s="69"/>
      <c r="BK70" s="69"/>
      <c r="BL70" s="69"/>
      <c r="BM70" s="69"/>
      <c r="BN70" s="69"/>
      <c r="BO70" s="69"/>
      <c r="BP70" s="69"/>
      <c r="BQ70" s="69"/>
      <c r="BR70" s="69"/>
      <c r="BS70" s="69"/>
      <c r="BT70" s="69"/>
      <c r="BU70" s="69"/>
      <c r="BV70" s="69"/>
      <c r="BW70" s="69"/>
      <c r="BX70" s="69"/>
      <c r="BY70" s="69"/>
      <c r="BZ70" s="69"/>
      <c r="CA70" s="69"/>
      <c r="CB70" s="69"/>
    </row>
    <row r="71" spans="1:8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c r="BI71" s="69"/>
      <c r="BJ71" s="69"/>
      <c r="BK71" s="69"/>
      <c r="BL71" s="69"/>
      <c r="BM71" s="69"/>
      <c r="BN71" s="69"/>
      <c r="BO71" s="69"/>
      <c r="BP71" s="69"/>
      <c r="BQ71" s="69"/>
      <c r="BR71" s="69"/>
      <c r="BS71" s="69"/>
      <c r="BT71" s="69"/>
      <c r="BU71" s="69"/>
      <c r="BV71" s="69"/>
      <c r="BW71" s="69"/>
      <c r="BX71" s="69"/>
      <c r="BY71" s="69"/>
      <c r="BZ71" s="69"/>
      <c r="CA71" s="69"/>
      <c r="CB71" s="69"/>
    </row>
    <row r="72" spans="1:8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c r="BI72" s="69"/>
      <c r="BJ72" s="69"/>
      <c r="BK72" s="69"/>
      <c r="BL72" s="69"/>
      <c r="BM72" s="69"/>
      <c r="BN72" s="69"/>
      <c r="BO72" s="69"/>
      <c r="BP72" s="69"/>
      <c r="BQ72" s="69"/>
      <c r="BR72" s="69"/>
      <c r="BS72" s="69"/>
      <c r="BT72" s="69"/>
      <c r="BU72" s="69"/>
      <c r="BV72" s="69"/>
      <c r="BW72" s="69"/>
      <c r="BX72" s="69"/>
      <c r="BY72" s="69"/>
      <c r="BZ72" s="69"/>
      <c r="CA72" s="69"/>
      <c r="CB72" s="69"/>
    </row>
    <row r="73" spans="1:8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c r="BI73" s="69"/>
      <c r="BJ73" s="69"/>
      <c r="BK73" s="69"/>
      <c r="BL73" s="69"/>
      <c r="BM73" s="69"/>
      <c r="BN73" s="69"/>
      <c r="BO73" s="69"/>
      <c r="BP73" s="69"/>
      <c r="BQ73" s="69"/>
      <c r="BR73" s="69"/>
      <c r="BS73" s="69"/>
      <c r="BT73" s="69"/>
      <c r="BU73" s="69"/>
      <c r="BV73" s="69"/>
      <c r="BW73" s="69"/>
      <c r="BX73" s="69"/>
      <c r="BY73" s="69"/>
      <c r="BZ73" s="69"/>
      <c r="CA73" s="69"/>
      <c r="CB73" s="69"/>
    </row>
    <row r="74" spans="1:8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c r="BI74" s="69"/>
      <c r="BJ74" s="69"/>
      <c r="BK74" s="69"/>
      <c r="BL74" s="69"/>
      <c r="BM74" s="69"/>
      <c r="BN74" s="69"/>
      <c r="BO74" s="69"/>
      <c r="BP74" s="69"/>
      <c r="BQ74" s="69"/>
      <c r="BR74" s="69"/>
      <c r="BS74" s="69"/>
      <c r="BT74" s="69"/>
      <c r="BU74" s="69"/>
      <c r="BV74" s="69"/>
      <c r="BW74" s="69"/>
      <c r="BX74" s="69"/>
      <c r="BY74" s="69"/>
      <c r="BZ74" s="69"/>
      <c r="CA74" s="69"/>
      <c r="CB74" s="69"/>
    </row>
    <row r="75" spans="1:8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c r="BI75" s="69"/>
      <c r="BJ75" s="69"/>
      <c r="BK75" s="69"/>
      <c r="BL75" s="69"/>
      <c r="BM75" s="69"/>
      <c r="BN75" s="69"/>
      <c r="BO75" s="69"/>
      <c r="BP75" s="69"/>
      <c r="BQ75" s="69"/>
      <c r="BR75" s="69"/>
      <c r="BS75" s="69"/>
      <c r="BT75" s="69"/>
      <c r="BU75" s="69"/>
      <c r="BV75" s="69"/>
      <c r="BW75" s="69"/>
      <c r="BX75" s="69"/>
      <c r="BY75" s="69"/>
      <c r="BZ75" s="69"/>
      <c r="CA75" s="69"/>
      <c r="CB75" s="69"/>
    </row>
    <row r="76" spans="1:8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c r="BI76" s="69"/>
      <c r="BJ76" s="69"/>
      <c r="BK76" s="69"/>
      <c r="BL76" s="69"/>
      <c r="BM76" s="69"/>
      <c r="BN76" s="69"/>
      <c r="BO76" s="69"/>
      <c r="BP76" s="69"/>
      <c r="BQ76" s="69"/>
      <c r="BR76" s="69"/>
      <c r="BS76" s="69"/>
      <c r="BT76" s="69"/>
      <c r="BU76" s="69"/>
      <c r="BV76" s="69"/>
      <c r="BW76" s="69"/>
      <c r="BX76" s="69"/>
      <c r="BY76" s="69"/>
      <c r="BZ76" s="69"/>
      <c r="CA76" s="69"/>
      <c r="CB76" s="69"/>
    </row>
    <row r="77" spans="1:8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c r="BI77" s="69"/>
      <c r="BJ77" s="69"/>
      <c r="BK77" s="69"/>
      <c r="BL77" s="69"/>
      <c r="BM77" s="69"/>
      <c r="BN77" s="69"/>
      <c r="BO77" s="69"/>
      <c r="BP77" s="69"/>
      <c r="BQ77" s="69"/>
      <c r="BR77" s="69"/>
      <c r="BS77" s="69"/>
      <c r="BT77" s="69"/>
      <c r="BU77" s="69"/>
      <c r="BV77" s="69"/>
      <c r="BW77" s="69"/>
      <c r="BX77" s="69"/>
      <c r="BY77" s="69"/>
      <c r="BZ77" s="69"/>
      <c r="CA77" s="69"/>
      <c r="CB77" s="69"/>
    </row>
    <row r="78" spans="1:8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c r="BI78" s="69"/>
      <c r="BJ78" s="69"/>
      <c r="BK78" s="69"/>
      <c r="BL78" s="69"/>
      <c r="BM78" s="69"/>
      <c r="BN78" s="69"/>
      <c r="BO78" s="69"/>
      <c r="BP78" s="69"/>
      <c r="BQ78" s="69"/>
      <c r="BR78" s="69"/>
      <c r="BS78" s="69"/>
      <c r="BT78" s="69"/>
      <c r="BU78" s="69"/>
      <c r="BV78" s="69"/>
      <c r="BW78" s="69"/>
      <c r="BX78" s="69"/>
      <c r="BY78" s="69"/>
      <c r="BZ78" s="69"/>
      <c r="CA78" s="69"/>
      <c r="CB78" s="69"/>
    </row>
    <row r="79" spans="1:8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c r="BI79" s="69"/>
      <c r="BJ79" s="69"/>
      <c r="BK79" s="69"/>
    </row>
    <row r="80" spans="1:8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c r="BI80" s="69"/>
      <c r="BJ80" s="69"/>
      <c r="BK80" s="69"/>
    </row>
    <row r="81" spans="1:63"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c r="BI81" s="69"/>
      <c r="BJ81" s="69"/>
      <c r="BK81" s="69"/>
    </row>
    <row r="82" spans="1:63"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c r="BI82" s="69"/>
      <c r="BJ82" s="69"/>
      <c r="BK82" s="69"/>
    </row>
    <row r="83" spans="1:63"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c r="BI83" s="69"/>
      <c r="BJ83" s="69"/>
      <c r="BK83" s="69"/>
    </row>
    <row r="84" spans="1:63"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c r="BI84" s="69"/>
      <c r="BJ84" s="69"/>
      <c r="BK84" s="69"/>
    </row>
    <row r="85" spans="1:63"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c r="BI85" s="69"/>
      <c r="BJ85" s="69"/>
      <c r="BK85" s="69"/>
    </row>
    <row r="86" spans="1:63"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c r="BI86" s="69"/>
      <c r="BJ86" s="69"/>
      <c r="BK86" s="69"/>
    </row>
    <row r="87" spans="1:63"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c r="BI87" s="69"/>
      <c r="BJ87" s="69"/>
      <c r="BK87" s="69"/>
    </row>
    <row r="88" spans="1:63"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c r="BI88" s="69"/>
      <c r="BJ88" s="69"/>
      <c r="BK88" s="69"/>
    </row>
    <row r="89" spans="1:63"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c r="BI89" s="69"/>
      <c r="BJ89" s="69"/>
      <c r="BK89" s="69"/>
    </row>
    <row r="90" spans="1:63"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c r="BI90" s="69"/>
      <c r="BJ90" s="69"/>
      <c r="BK90" s="69"/>
    </row>
    <row r="91" spans="1:63"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c r="BI91" s="69"/>
      <c r="BJ91" s="69"/>
      <c r="BK91" s="69"/>
    </row>
    <row r="92" spans="1:63"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c r="BI92" s="69"/>
      <c r="BJ92" s="69"/>
      <c r="BK92" s="69"/>
    </row>
    <row r="93" spans="1:63"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c r="BI93" s="69"/>
      <c r="BJ93" s="69"/>
      <c r="BK93" s="69"/>
    </row>
    <row r="94" spans="1:63"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c r="BI94" s="69"/>
      <c r="BJ94" s="69"/>
      <c r="BK94" s="69"/>
    </row>
    <row r="95" spans="1:63"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c r="BI95" s="69"/>
      <c r="BJ95" s="69"/>
      <c r="BK95" s="69"/>
    </row>
    <row r="96" spans="1:63"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c r="BI96" s="69"/>
      <c r="BJ96" s="69"/>
      <c r="BK96" s="69"/>
    </row>
    <row r="97" spans="1:63"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c r="BI97" s="69"/>
      <c r="BJ97" s="69"/>
      <c r="BK97" s="69"/>
    </row>
    <row r="98" spans="1:63"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c r="BI98" s="69"/>
      <c r="BJ98" s="69"/>
      <c r="BK98" s="69"/>
    </row>
    <row r="99" spans="1:63"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c r="BI99" s="69"/>
      <c r="BJ99" s="69"/>
      <c r="BK99" s="69"/>
    </row>
    <row r="100" spans="1:63"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c r="BI100" s="69"/>
      <c r="BJ100" s="69"/>
      <c r="BK100" s="69"/>
    </row>
    <row r="101" spans="1:63"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c r="BI101" s="69"/>
      <c r="BJ101" s="69"/>
      <c r="BK101" s="69"/>
    </row>
    <row r="102" spans="1:63"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c r="BI102" s="69"/>
      <c r="BJ102" s="69"/>
      <c r="BK102" s="69"/>
    </row>
    <row r="103" spans="1:63"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row>
    <row r="104" spans="1:63"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c r="BI104" s="69"/>
      <c r="BJ104" s="69"/>
      <c r="BK104" s="69"/>
    </row>
    <row r="105" spans="1:63"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row>
    <row r="106" spans="1:63"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c r="BI106" s="69"/>
      <c r="BJ106" s="69"/>
      <c r="BK106" s="69"/>
    </row>
    <row r="107" spans="1:63"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c r="BI107" s="69"/>
      <c r="BJ107" s="69"/>
      <c r="BK107" s="69"/>
    </row>
    <row r="108" spans="1:63"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c r="BI108" s="69"/>
      <c r="BJ108" s="69"/>
      <c r="BK108" s="69"/>
    </row>
    <row r="109" spans="1:63"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c r="BI109" s="69"/>
      <c r="BJ109" s="69"/>
      <c r="BK109" s="69"/>
    </row>
    <row r="110" spans="1:63"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row>
    <row r="111" spans="1:63"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row>
    <row r="112" spans="1:63"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c r="BI112" s="69"/>
      <c r="BJ112" s="69"/>
      <c r="BK112" s="69"/>
    </row>
    <row r="113" spans="1:63"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c r="BI113" s="69"/>
      <c r="BJ113" s="69"/>
      <c r="BK113" s="69"/>
    </row>
    <row r="114" spans="1:63"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c r="BI114" s="69"/>
      <c r="BJ114" s="69"/>
      <c r="BK114" s="69"/>
    </row>
    <row r="115" spans="1:63"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c r="BI115" s="69"/>
      <c r="BJ115" s="69"/>
      <c r="BK115" s="69"/>
    </row>
    <row r="116" spans="1:63"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row>
    <row r="117" spans="1:63"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row>
    <row r="118" spans="1:63"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c r="BI118" s="69"/>
      <c r="BJ118" s="69"/>
      <c r="BK118" s="69"/>
    </row>
    <row r="119" spans="1:63"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row>
    <row r="120" spans="1:63"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row>
    <row r="121" spans="1:63"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c r="BI121" s="69"/>
      <c r="BJ121" s="69"/>
      <c r="BK121" s="69"/>
    </row>
    <row r="122" spans="1:63" x14ac:dyDescent="0.25">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c r="BI122" s="69"/>
      <c r="BJ122" s="69"/>
      <c r="BK122" s="69"/>
    </row>
    <row r="123" spans="1:63" x14ac:dyDescent="0.25">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c r="BI123" s="69"/>
      <c r="BJ123" s="69"/>
      <c r="BK123" s="69"/>
    </row>
    <row r="124" spans="1:63" x14ac:dyDescent="0.25">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c r="BI124" s="69"/>
      <c r="BJ124" s="69"/>
      <c r="BK124" s="69"/>
    </row>
    <row r="125" spans="1:63" x14ac:dyDescent="0.25">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c r="BI125" s="69"/>
      <c r="BJ125" s="69"/>
      <c r="BK125" s="69"/>
    </row>
    <row r="126" spans="1:63" x14ac:dyDescent="0.25">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c r="BI126" s="69"/>
      <c r="BJ126" s="69"/>
      <c r="BK126" s="69"/>
    </row>
    <row r="127" spans="1:63" x14ac:dyDescent="0.25">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c r="BI127" s="69"/>
      <c r="BJ127" s="69"/>
      <c r="BK127" s="69"/>
    </row>
    <row r="128" spans="1:63" x14ac:dyDescent="0.25">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c r="BI128" s="69"/>
      <c r="BJ128" s="69"/>
      <c r="BK128" s="69"/>
    </row>
    <row r="129" spans="2:63" x14ac:dyDescent="0.25">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c r="BI129" s="69"/>
      <c r="BJ129" s="69"/>
      <c r="BK129" s="69"/>
    </row>
    <row r="130" spans="2:63" x14ac:dyDescent="0.25">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c r="BI130" s="69"/>
      <c r="BJ130" s="69"/>
      <c r="BK130" s="69"/>
    </row>
    <row r="131" spans="2:63" x14ac:dyDescent="0.25">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c r="BI131" s="69"/>
      <c r="BJ131" s="69"/>
      <c r="BK131" s="69"/>
    </row>
    <row r="132" spans="2:63" x14ac:dyDescent="0.25">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c r="BI132" s="69"/>
      <c r="BJ132" s="69"/>
      <c r="BK132" s="69"/>
    </row>
    <row r="133" spans="2:63" x14ac:dyDescent="0.25">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c r="BI133" s="69"/>
      <c r="BJ133" s="69"/>
      <c r="BK133" s="69"/>
    </row>
    <row r="134" spans="2:63" x14ac:dyDescent="0.25">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c r="BI134" s="69"/>
      <c r="BJ134" s="69"/>
      <c r="BK134" s="69"/>
    </row>
    <row r="135" spans="2:63" x14ac:dyDescent="0.25">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c r="BI135" s="69"/>
      <c r="BJ135" s="69"/>
      <c r="BK135" s="69"/>
    </row>
    <row r="136" spans="2:63" x14ac:dyDescent="0.25">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c r="BI136" s="69"/>
      <c r="BJ136" s="69"/>
      <c r="BK136" s="69"/>
    </row>
    <row r="137" spans="2:63" x14ac:dyDescent="0.25">
      <c r="B137" s="69"/>
      <c r="C137" s="69"/>
      <c r="D137" s="69"/>
      <c r="E137" s="69"/>
      <c r="F137" s="69"/>
      <c r="G137" s="69"/>
      <c r="H137" s="69"/>
      <c r="I137" s="69"/>
    </row>
    <row r="138" spans="2:63" x14ac:dyDescent="0.25">
      <c r="B138" s="69"/>
      <c r="C138" s="69"/>
      <c r="D138" s="69"/>
      <c r="E138" s="69"/>
      <c r="F138" s="69"/>
      <c r="G138" s="69"/>
      <c r="H138" s="69"/>
      <c r="I138" s="69"/>
    </row>
    <row r="139" spans="2:63" x14ac:dyDescent="0.25">
      <c r="B139" s="69"/>
      <c r="C139" s="69"/>
      <c r="D139" s="69"/>
      <c r="E139" s="69"/>
      <c r="F139" s="69"/>
      <c r="G139" s="69"/>
      <c r="H139" s="69"/>
      <c r="I139" s="69"/>
    </row>
    <row r="140" spans="2:63" x14ac:dyDescent="0.25">
      <c r="B140" s="69"/>
      <c r="C140" s="69"/>
      <c r="D140" s="69"/>
      <c r="E140" s="69"/>
      <c r="F140" s="69"/>
      <c r="G140" s="69"/>
      <c r="H140" s="69"/>
      <c r="I140" s="69"/>
    </row>
  </sheetData>
  <mergeCells count="317">
    <mergeCell ref="B2:I4"/>
    <mergeCell ref="P42:Q43"/>
    <mergeCell ref="R42:S43"/>
    <mergeCell ref="T42:U43"/>
    <mergeCell ref="P44:Q45"/>
    <mergeCell ref="R44:S45"/>
    <mergeCell ref="T44:U45"/>
    <mergeCell ref="P38:Q39"/>
    <mergeCell ref="R38:S39"/>
    <mergeCell ref="T38:U39"/>
    <mergeCell ref="P40:Q41"/>
    <mergeCell ref="R40:S41"/>
    <mergeCell ref="T40:U41"/>
    <mergeCell ref="J42:K43"/>
    <mergeCell ref="L42:M43"/>
    <mergeCell ref="N42:O43"/>
    <mergeCell ref="J44:K45"/>
    <mergeCell ref="L44:M45"/>
    <mergeCell ref="N44:O45"/>
    <mergeCell ref="J38:K39"/>
    <mergeCell ref="L38:M39"/>
    <mergeCell ref="N38:O39"/>
    <mergeCell ref="J40:K41"/>
    <mergeCell ref="L40:M41"/>
    <mergeCell ref="N40:O41"/>
    <mergeCell ref="J34:K35"/>
    <mergeCell ref="L34:M35"/>
    <mergeCell ref="N34:O35"/>
    <mergeCell ref="J36:K37"/>
    <mergeCell ref="L36:M37"/>
    <mergeCell ref="N36:O37"/>
    <mergeCell ref="J30:K31"/>
    <mergeCell ref="L30:M31"/>
    <mergeCell ref="N30:O31"/>
    <mergeCell ref="J32:K33"/>
    <mergeCell ref="L32:M33"/>
    <mergeCell ref="N32:O33"/>
    <mergeCell ref="V42:W43"/>
    <mergeCell ref="X42:Y43"/>
    <mergeCell ref="Z42:AA43"/>
    <mergeCell ref="V44:W45"/>
    <mergeCell ref="X44:Y45"/>
    <mergeCell ref="Z44:AA45"/>
    <mergeCell ref="V38:W39"/>
    <mergeCell ref="X38:Y39"/>
    <mergeCell ref="Z38:AA39"/>
    <mergeCell ref="V40:W41"/>
    <mergeCell ref="X40:Y41"/>
    <mergeCell ref="Z40:AA41"/>
    <mergeCell ref="P34:Q35"/>
    <mergeCell ref="R34:S35"/>
    <mergeCell ref="T34:U35"/>
    <mergeCell ref="P36:Q37"/>
    <mergeCell ref="R36:S37"/>
    <mergeCell ref="T36:U37"/>
    <mergeCell ref="P30:Q31"/>
    <mergeCell ref="R30:S31"/>
    <mergeCell ref="T30:U31"/>
    <mergeCell ref="P32:Q33"/>
    <mergeCell ref="R32:S33"/>
    <mergeCell ref="T32:U33"/>
    <mergeCell ref="V34:W35"/>
    <mergeCell ref="X34:Y35"/>
    <mergeCell ref="Z34:AA35"/>
    <mergeCell ref="V36:W37"/>
    <mergeCell ref="X36:Y37"/>
    <mergeCell ref="Z36:AA37"/>
    <mergeCell ref="V30:W31"/>
    <mergeCell ref="X30:Y31"/>
    <mergeCell ref="Z30:AA31"/>
    <mergeCell ref="V32:W33"/>
    <mergeCell ref="X32:Y33"/>
    <mergeCell ref="Z32:AA33"/>
    <mergeCell ref="V26:W27"/>
    <mergeCell ref="X26:Y27"/>
    <mergeCell ref="Z26:AA27"/>
    <mergeCell ref="V28:W29"/>
    <mergeCell ref="X28:Y29"/>
    <mergeCell ref="Z28:AA29"/>
    <mergeCell ref="V22:W23"/>
    <mergeCell ref="X22:Y23"/>
    <mergeCell ref="Z22:AA23"/>
    <mergeCell ref="V24:W25"/>
    <mergeCell ref="X24:Y25"/>
    <mergeCell ref="Z24:AA25"/>
    <mergeCell ref="P26:Q27"/>
    <mergeCell ref="R26:S27"/>
    <mergeCell ref="T26:U27"/>
    <mergeCell ref="P28:Q29"/>
    <mergeCell ref="R28:S29"/>
    <mergeCell ref="T28:U29"/>
    <mergeCell ref="P22:Q23"/>
    <mergeCell ref="R22:S23"/>
    <mergeCell ref="T22:U23"/>
    <mergeCell ref="P24:Q25"/>
    <mergeCell ref="R24:S25"/>
    <mergeCell ref="T24:U25"/>
    <mergeCell ref="J26:K27"/>
    <mergeCell ref="L26:M27"/>
    <mergeCell ref="N26:O27"/>
    <mergeCell ref="J28:K29"/>
    <mergeCell ref="L28:M29"/>
    <mergeCell ref="N28:O29"/>
    <mergeCell ref="J22:K23"/>
    <mergeCell ref="L22:M23"/>
    <mergeCell ref="N22:O23"/>
    <mergeCell ref="J24:K25"/>
    <mergeCell ref="L24:M25"/>
    <mergeCell ref="N24:O25"/>
    <mergeCell ref="P18:Q19"/>
    <mergeCell ref="R18:S19"/>
    <mergeCell ref="T18:U19"/>
    <mergeCell ref="P20:Q21"/>
    <mergeCell ref="R20:S21"/>
    <mergeCell ref="T20:U21"/>
    <mergeCell ref="P14:Q15"/>
    <mergeCell ref="R14:S15"/>
    <mergeCell ref="T14:U15"/>
    <mergeCell ref="P16:Q17"/>
    <mergeCell ref="R16:S17"/>
    <mergeCell ref="T16:U17"/>
    <mergeCell ref="J18:K19"/>
    <mergeCell ref="L18:M19"/>
    <mergeCell ref="N18:O19"/>
    <mergeCell ref="J20:K21"/>
    <mergeCell ref="L20:M21"/>
    <mergeCell ref="N20:O21"/>
    <mergeCell ref="J14:K15"/>
    <mergeCell ref="L14:M15"/>
    <mergeCell ref="N14:O15"/>
    <mergeCell ref="J16:K17"/>
    <mergeCell ref="L16:M17"/>
    <mergeCell ref="N16:O17"/>
    <mergeCell ref="AH42:AI43"/>
    <mergeCell ref="AJ42:AK43"/>
    <mergeCell ref="AL42:AM43"/>
    <mergeCell ref="AH44:AI45"/>
    <mergeCell ref="AJ44:AK45"/>
    <mergeCell ref="AL44:AM45"/>
    <mergeCell ref="AH38:AI39"/>
    <mergeCell ref="AJ38:AK39"/>
    <mergeCell ref="AL38:AM39"/>
    <mergeCell ref="AH40:AI41"/>
    <mergeCell ref="AJ40:AK41"/>
    <mergeCell ref="AL40:AM41"/>
    <mergeCell ref="AH34:AI35"/>
    <mergeCell ref="AJ34:AK35"/>
    <mergeCell ref="AL34:AM35"/>
    <mergeCell ref="AH36:AI37"/>
    <mergeCell ref="AJ36:AK37"/>
    <mergeCell ref="AL36:AM37"/>
    <mergeCell ref="AH30:AI31"/>
    <mergeCell ref="AJ30:AK31"/>
    <mergeCell ref="AL30:AM31"/>
    <mergeCell ref="AH32:AI33"/>
    <mergeCell ref="AJ32:AK33"/>
    <mergeCell ref="AL32:AM33"/>
    <mergeCell ref="AH26:AI27"/>
    <mergeCell ref="AJ26:AK27"/>
    <mergeCell ref="AL26:AM27"/>
    <mergeCell ref="AH28:AI29"/>
    <mergeCell ref="AJ28:AK29"/>
    <mergeCell ref="AL28:AM29"/>
    <mergeCell ref="AH22:AI23"/>
    <mergeCell ref="AJ22:AK23"/>
    <mergeCell ref="AL22:AM23"/>
    <mergeCell ref="AH24:AI25"/>
    <mergeCell ref="AJ24:AK25"/>
    <mergeCell ref="AL24:AM25"/>
    <mergeCell ref="AH18:AI19"/>
    <mergeCell ref="AJ18:AK19"/>
    <mergeCell ref="AL18:AM19"/>
    <mergeCell ref="AH20:AI21"/>
    <mergeCell ref="AJ20:AK21"/>
    <mergeCell ref="AL20:AM21"/>
    <mergeCell ref="AH14:AI15"/>
    <mergeCell ref="AJ14:AK15"/>
    <mergeCell ref="AL14:AM15"/>
    <mergeCell ref="AH16:AI17"/>
    <mergeCell ref="AJ16:AK17"/>
    <mergeCell ref="AL16:AM17"/>
    <mergeCell ref="AH10:AI11"/>
    <mergeCell ref="AJ10:AK11"/>
    <mergeCell ref="AL10:AM11"/>
    <mergeCell ref="AH12:AI13"/>
    <mergeCell ref="AJ12:AK13"/>
    <mergeCell ref="AL12:AM13"/>
    <mergeCell ref="AH6:AI7"/>
    <mergeCell ref="AJ6:AK7"/>
    <mergeCell ref="AL6:AM7"/>
    <mergeCell ref="AH8:AI9"/>
    <mergeCell ref="AJ8:AK9"/>
    <mergeCell ref="AL8:AM9"/>
    <mergeCell ref="AB42:AC43"/>
    <mergeCell ref="AD42:AE43"/>
    <mergeCell ref="AF42:AG43"/>
    <mergeCell ref="AB44:AC45"/>
    <mergeCell ref="AD44:AE45"/>
    <mergeCell ref="AF44:AG45"/>
    <mergeCell ref="AB38:AC39"/>
    <mergeCell ref="AD38:AE39"/>
    <mergeCell ref="AF38:AG39"/>
    <mergeCell ref="AB40:AC41"/>
    <mergeCell ref="AD40:AE41"/>
    <mergeCell ref="AF40:AG41"/>
    <mergeCell ref="AB34:AC35"/>
    <mergeCell ref="AD34:AE35"/>
    <mergeCell ref="AF34:AG35"/>
    <mergeCell ref="AB36:AC37"/>
    <mergeCell ref="AD36:AE37"/>
    <mergeCell ref="AF36:AG37"/>
    <mergeCell ref="AB30:AC31"/>
    <mergeCell ref="AD30:AE31"/>
    <mergeCell ref="AF30:AG31"/>
    <mergeCell ref="AB32:AC33"/>
    <mergeCell ref="AD32:AE33"/>
    <mergeCell ref="AF32:AG33"/>
    <mergeCell ref="AB26:AC27"/>
    <mergeCell ref="AD26:AE27"/>
    <mergeCell ref="AF26:AG27"/>
    <mergeCell ref="AB28:AC29"/>
    <mergeCell ref="AD28:AE29"/>
    <mergeCell ref="AF28:AG29"/>
    <mergeCell ref="AB22:AC23"/>
    <mergeCell ref="AD22:AE23"/>
    <mergeCell ref="AF22:AG23"/>
    <mergeCell ref="AB24:AC25"/>
    <mergeCell ref="AD24:AE25"/>
    <mergeCell ref="AF24:AG25"/>
    <mergeCell ref="AB14:AC15"/>
    <mergeCell ref="AD14:AE15"/>
    <mergeCell ref="AF14:AG15"/>
    <mergeCell ref="AB16:AC17"/>
    <mergeCell ref="AD16:AE17"/>
    <mergeCell ref="AF16:AG17"/>
    <mergeCell ref="V20:W21"/>
    <mergeCell ref="X20:Y21"/>
    <mergeCell ref="Z20:AA21"/>
    <mergeCell ref="V14:W15"/>
    <mergeCell ref="X14:Y15"/>
    <mergeCell ref="Z14:AA15"/>
    <mergeCell ref="V16:W17"/>
    <mergeCell ref="X16:Y17"/>
    <mergeCell ref="Z16:AA17"/>
    <mergeCell ref="AB18:AC19"/>
    <mergeCell ref="AD18:AE19"/>
    <mergeCell ref="V18:W19"/>
    <mergeCell ref="X18:Y19"/>
    <mergeCell ref="Z18:AA19"/>
    <mergeCell ref="AF18:AG19"/>
    <mergeCell ref="AB20:AC21"/>
    <mergeCell ref="AD20:AE21"/>
    <mergeCell ref="AF20:AG21"/>
    <mergeCell ref="AF6:AG7"/>
    <mergeCell ref="AB8:AC9"/>
    <mergeCell ref="AD8:AE9"/>
    <mergeCell ref="AF8:AG9"/>
    <mergeCell ref="AB10:AC11"/>
    <mergeCell ref="AD10:AE11"/>
    <mergeCell ref="AF10:AG11"/>
    <mergeCell ref="Z10:AA11"/>
    <mergeCell ref="V12:W13"/>
    <mergeCell ref="X12:Y13"/>
    <mergeCell ref="Z12:AA13"/>
    <mergeCell ref="AB6:AC7"/>
    <mergeCell ref="AD6:AE7"/>
    <mergeCell ref="AB12:AC13"/>
    <mergeCell ref="AD12:AE13"/>
    <mergeCell ref="AF12:AG13"/>
    <mergeCell ref="J2:AM4"/>
    <mergeCell ref="E6:I13"/>
    <mergeCell ref="E14:I21"/>
    <mergeCell ref="J6:K7"/>
    <mergeCell ref="AB46:AG51"/>
    <mergeCell ref="AH46:AM51"/>
    <mergeCell ref="P6:Q7"/>
    <mergeCell ref="P12:Q13"/>
    <mergeCell ref="L6:M7"/>
    <mergeCell ref="N6:O7"/>
    <mergeCell ref="N8:O9"/>
    <mergeCell ref="L8:M9"/>
    <mergeCell ref="J8:K9"/>
    <mergeCell ref="J10:K11"/>
    <mergeCell ref="E30:I37"/>
    <mergeCell ref="P8:Q9"/>
    <mergeCell ref="R8:S9"/>
    <mergeCell ref="T8:U9"/>
    <mergeCell ref="P10:Q11"/>
    <mergeCell ref="R10:S11"/>
    <mergeCell ref="T10:U11"/>
    <mergeCell ref="J12:K13"/>
    <mergeCell ref="L10:M11"/>
    <mergeCell ref="L12:M13"/>
    <mergeCell ref="B6:D45"/>
    <mergeCell ref="AO6:AT13"/>
    <mergeCell ref="AO14:AT21"/>
    <mergeCell ref="AO22:AT29"/>
    <mergeCell ref="AO30:AT37"/>
    <mergeCell ref="E22:I29"/>
    <mergeCell ref="E38:I45"/>
    <mergeCell ref="J46:O51"/>
    <mergeCell ref="P46:U51"/>
    <mergeCell ref="V46:AA51"/>
    <mergeCell ref="N10:O11"/>
    <mergeCell ref="N12:O13"/>
    <mergeCell ref="R12:S13"/>
    <mergeCell ref="T12:U13"/>
    <mergeCell ref="V6:W7"/>
    <mergeCell ref="X6:Y7"/>
    <mergeCell ref="Z6:AA7"/>
    <mergeCell ref="V8:W9"/>
    <mergeCell ref="X8:Y9"/>
    <mergeCell ref="Z8:AA9"/>
    <mergeCell ref="V10:W11"/>
    <mergeCell ref="X10:Y11"/>
    <mergeCell ref="R6:S7"/>
    <mergeCell ref="T6:U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M248"/>
  <sheetViews>
    <sheetView zoomScale="50" zoomScaleNormal="50" workbookViewId="0">
      <selection activeCell="A2" sqref="A2"/>
    </sheetView>
  </sheetViews>
  <sheetFormatPr baseColWidth="10" defaultRowHeight="15" x14ac:dyDescent="0.25"/>
  <cols>
    <col min="2" max="18" width="5.7109375" customWidth="1" collapsed="1"/>
    <col min="19" max="19" width="8.42578125" customWidth="1" collapsed="1"/>
    <col min="20" max="23" width="5.7109375" customWidth="1" collapsed="1"/>
    <col min="24" max="24" width="8.5703125" customWidth="1" collapsed="1"/>
    <col min="25" max="26" width="5.7109375" customWidth="1" collapsed="1"/>
    <col min="27" max="27" width="10.7109375" customWidth="1" collapsed="1"/>
    <col min="28" max="28" width="5.7109375" customWidth="1" collapsed="1"/>
    <col min="29" max="29" width="7.42578125" customWidth="1" collapsed="1"/>
    <col min="30" max="33" width="5.7109375" customWidth="1" collapsed="1"/>
    <col min="34" max="34" width="8.5703125" customWidth="1" collapsed="1"/>
    <col min="35" max="39" width="5.7109375" customWidth="1" collapsed="1"/>
    <col min="41" max="46" width="5.7109375" customWidth="1" collapsed="1"/>
  </cols>
  <sheetData>
    <row r="1" spans="1:91" x14ac:dyDescent="0.25">
      <c r="A1" s="69"/>
      <c r="B1" s="69"/>
      <c r="C1" s="69"/>
      <c r="D1" s="69"/>
      <c r="E1" s="69"/>
      <c r="F1" s="69"/>
      <c r="G1" s="69"/>
      <c r="H1" s="69"/>
      <c r="I1" s="69"/>
      <c r="J1" s="69"/>
      <c r="K1" s="69"/>
      <c r="L1" s="69"/>
      <c r="M1" s="69"/>
      <c r="N1" s="69"/>
      <c r="O1" s="69"/>
      <c r="P1" s="69"/>
      <c r="Q1" s="69"/>
      <c r="R1" s="69"/>
      <c r="S1" s="69"/>
      <c r="T1" s="69"/>
      <c r="U1" s="69"/>
      <c r="V1" s="69"/>
      <c r="W1" s="69"/>
      <c r="X1" s="69"/>
      <c r="Y1" s="69"/>
      <c r="Z1" s="69"/>
      <c r="AA1" s="69"/>
      <c r="AB1" s="69"/>
      <c r="AC1" s="69"/>
      <c r="AD1" s="69"/>
      <c r="AE1" s="69"/>
      <c r="AF1" s="69"/>
      <c r="AG1" s="69"/>
      <c r="AH1" s="69"/>
      <c r="AI1" s="69"/>
      <c r="AJ1" s="69"/>
      <c r="AK1" s="69"/>
      <c r="AL1" s="69"/>
      <c r="AM1" s="69"/>
      <c r="AN1" s="69"/>
      <c r="AO1" s="69"/>
      <c r="AP1" s="69"/>
      <c r="AQ1" s="69"/>
      <c r="AR1" s="69"/>
      <c r="AS1" s="69"/>
      <c r="AT1" s="69"/>
      <c r="AU1" s="69"/>
      <c r="AV1" s="69"/>
      <c r="AW1" s="69"/>
      <c r="AX1" s="69"/>
      <c r="AY1" s="69"/>
      <c r="AZ1" s="69"/>
      <c r="BA1" s="69"/>
      <c r="BB1" s="69"/>
      <c r="BC1" s="69"/>
      <c r="BD1" s="69"/>
      <c r="BE1" s="69"/>
      <c r="BF1" s="69"/>
      <c r="BG1" s="69"/>
      <c r="BH1" s="69"/>
      <c r="BI1" s="69"/>
      <c r="BJ1" s="69"/>
      <c r="BK1" s="69"/>
      <c r="BL1" s="69"/>
      <c r="BM1" s="69"/>
      <c r="BN1" s="69"/>
      <c r="BO1" s="69"/>
      <c r="BP1" s="69"/>
      <c r="BQ1" s="69"/>
      <c r="BR1" s="69"/>
      <c r="BS1" s="69"/>
      <c r="BT1" s="69"/>
      <c r="BU1" s="69"/>
      <c r="BV1" s="69"/>
      <c r="BW1" s="69"/>
      <c r="BX1" s="69"/>
      <c r="BY1" s="69"/>
      <c r="BZ1" s="69"/>
      <c r="CA1" s="69"/>
      <c r="CB1" s="69"/>
      <c r="CC1" s="69"/>
      <c r="CD1" s="69"/>
      <c r="CE1" s="69"/>
      <c r="CF1" s="69"/>
      <c r="CG1" s="69"/>
      <c r="CH1" s="69"/>
      <c r="CI1" s="69"/>
      <c r="CJ1" s="69"/>
      <c r="CK1" s="69"/>
      <c r="CL1" s="69"/>
      <c r="CM1" s="69"/>
    </row>
    <row r="2" spans="1:91" ht="18" customHeight="1" x14ac:dyDescent="0.25">
      <c r="A2" s="69"/>
      <c r="B2" s="378" t="s">
        <v>158</v>
      </c>
      <c r="C2" s="379"/>
      <c r="D2" s="379"/>
      <c r="E2" s="379"/>
      <c r="F2" s="379"/>
      <c r="G2" s="379"/>
      <c r="H2" s="379"/>
      <c r="I2" s="379"/>
      <c r="J2" s="320" t="s">
        <v>2</v>
      </c>
      <c r="K2" s="320"/>
      <c r="L2" s="320"/>
      <c r="M2" s="320"/>
      <c r="N2" s="320"/>
      <c r="O2" s="320"/>
      <c r="P2" s="320"/>
      <c r="Q2" s="320"/>
      <c r="R2" s="320"/>
      <c r="S2" s="320"/>
      <c r="T2" s="320"/>
      <c r="U2" s="320"/>
      <c r="V2" s="320"/>
      <c r="W2" s="320"/>
      <c r="X2" s="320"/>
      <c r="Y2" s="320"/>
      <c r="Z2" s="320"/>
      <c r="AA2" s="320"/>
      <c r="AB2" s="320"/>
      <c r="AC2" s="320"/>
      <c r="AD2" s="320"/>
      <c r="AE2" s="320"/>
      <c r="AF2" s="320"/>
      <c r="AG2" s="320"/>
      <c r="AH2" s="320"/>
      <c r="AI2" s="320"/>
      <c r="AJ2" s="320"/>
      <c r="AK2" s="320"/>
      <c r="AL2" s="320"/>
      <c r="AM2" s="320"/>
      <c r="AN2" s="69"/>
      <c r="AO2" s="69"/>
      <c r="AP2" s="69"/>
      <c r="AQ2" s="69"/>
      <c r="AR2" s="69"/>
      <c r="AS2" s="69"/>
      <c r="AT2" s="69"/>
      <c r="AU2" s="69"/>
      <c r="AV2" s="69"/>
      <c r="AW2" s="69"/>
      <c r="AX2" s="69"/>
      <c r="AY2" s="69"/>
      <c r="AZ2" s="69"/>
      <c r="BA2" s="69"/>
      <c r="BB2" s="69"/>
      <c r="BC2" s="69"/>
      <c r="BD2" s="69"/>
      <c r="BE2" s="69"/>
      <c r="BF2" s="69"/>
      <c r="BG2" s="69"/>
      <c r="BH2" s="69"/>
      <c r="BI2" s="69"/>
      <c r="BJ2" s="69"/>
      <c r="BK2" s="69"/>
      <c r="BL2" s="69"/>
      <c r="BM2" s="69"/>
      <c r="BN2" s="69"/>
      <c r="BO2" s="69"/>
      <c r="BP2" s="69"/>
      <c r="BQ2" s="69"/>
      <c r="BR2" s="69"/>
      <c r="BS2" s="69"/>
      <c r="BT2" s="69"/>
      <c r="BU2" s="69"/>
      <c r="BV2" s="69"/>
      <c r="BW2" s="69"/>
      <c r="BX2" s="69"/>
      <c r="BY2" s="69"/>
      <c r="BZ2" s="69"/>
      <c r="CA2" s="69"/>
      <c r="CB2" s="69"/>
      <c r="CC2" s="69"/>
      <c r="CD2" s="69"/>
      <c r="CE2" s="69"/>
      <c r="CF2" s="69"/>
      <c r="CG2" s="69"/>
      <c r="CH2" s="69"/>
      <c r="CI2" s="69"/>
      <c r="CJ2" s="69"/>
      <c r="CK2" s="69"/>
      <c r="CL2" s="69"/>
      <c r="CM2" s="69"/>
    </row>
    <row r="3" spans="1:91" ht="18.75" customHeight="1" x14ac:dyDescent="0.25">
      <c r="A3" s="69"/>
      <c r="B3" s="379"/>
      <c r="C3" s="379"/>
      <c r="D3" s="379"/>
      <c r="E3" s="379"/>
      <c r="F3" s="379"/>
      <c r="G3" s="379"/>
      <c r="H3" s="379"/>
      <c r="I3" s="379"/>
      <c r="J3" s="320"/>
      <c r="K3" s="320"/>
      <c r="L3" s="320"/>
      <c r="M3" s="320"/>
      <c r="N3" s="320"/>
      <c r="O3" s="320"/>
      <c r="P3" s="320"/>
      <c r="Q3" s="320"/>
      <c r="R3" s="320"/>
      <c r="S3" s="320"/>
      <c r="T3" s="320"/>
      <c r="U3" s="320"/>
      <c r="V3" s="320"/>
      <c r="W3" s="320"/>
      <c r="X3" s="320"/>
      <c r="Y3" s="320"/>
      <c r="Z3" s="320"/>
      <c r="AA3" s="320"/>
      <c r="AB3" s="320"/>
      <c r="AC3" s="320"/>
      <c r="AD3" s="320"/>
      <c r="AE3" s="320"/>
      <c r="AF3" s="320"/>
      <c r="AG3" s="320"/>
      <c r="AH3" s="320"/>
      <c r="AI3" s="320"/>
      <c r="AJ3" s="320"/>
      <c r="AK3" s="320"/>
      <c r="AL3" s="320"/>
      <c r="AM3" s="320"/>
      <c r="AN3" s="69"/>
      <c r="AO3" s="69"/>
      <c r="AP3" s="69"/>
      <c r="AQ3" s="69"/>
      <c r="AR3" s="69"/>
      <c r="AS3" s="69"/>
      <c r="AT3" s="69"/>
      <c r="AU3" s="69"/>
      <c r="AV3" s="69"/>
      <c r="AW3" s="69"/>
      <c r="AX3" s="69"/>
      <c r="AY3" s="69"/>
      <c r="AZ3" s="69"/>
      <c r="BA3" s="69"/>
      <c r="BB3" s="69"/>
      <c r="BC3" s="69"/>
      <c r="BD3" s="69"/>
      <c r="BE3" s="69"/>
      <c r="BF3" s="69"/>
      <c r="BG3" s="69"/>
      <c r="BH3" s="69"/>
      <c r="BI3" s="69"/>
      <c r="BJ3" s="69"/>
      <c r="BK3" s="69"/>
      <c r="BL3" s="69"/>
      <c r="BM3" s="69"/>
      <c r="BN3" s="69"/>
      <c r="BO3" s="69"/>
      <c r="BP3" s="69"/>
      <c r="BQ3" s="69"/>
      <c r="BR3" s="69"/>
      <c r="BS3" s="69"/>
      <c r="BT3" s="69"/>
      <c r="BU3" s="69"/>
      <c r="BV3" s="69"/>
      <c r="BW3" s="69"/>
      <c r="BX3" s="69"/>
      <c r="BY3" s="69"/>
      <c r="BZ3" s="69"/>
      <c r="CA3" s="69"/>
      <c r="CB3" s="69"/>
      <c r="CC3" s="69"/>
      <c r="CD3" s="69"/>
      <c r="CE3" s="69"/>
      <c r="CF3" s="69"/>
      <c r="CG3" s="69"/>
      <c r="CH3" s="69"/>
      <c r="CI3" s="69"/>
      <c r="CJ3" s="69"/>
      <c r="CK3" s="69"/>
      <c r="CL3" s="69"/>
      <c r="CM3" s="69"/>
    </row>
    <row r="4" spans="1:91" ht="15" customHeight="1" x14ac:dyDescent="0.25">
      <c r="A4" s="69"/>
      <c r="B4" s="379"/>
      <c r="C4" s="379"/>
      <c r="D4" s="379"/>
      <c r="E4" s="379"/>
      <c r="F4" s="379"/>
      <c r="G4" s="379"/>
      <c r="H4" s="379"/>
      <c r="I4" s="379"/>
      <c r="J4" s="320"/>
      <c r="K4" s="320"/>
      <c r="L4" s="320"/>
      <c r="M4" s="320"/>
      <c r="N4" s="320"/>
      <c r="O4" s="320"/>
      <c r="P4" s="320"/>
      <c r="Q4" s="320"/>
      <c r="R4" s="320"/>
      <c r="S4" s="320"/>
      <c r="T4" s="320"/>
      <c r="U4" s="320"/>
      <c r="V4" s="320"/>
      <c r="W4" s="320"/>
      <c r="X4" s="320"/>
      <c r="Y4" s="320"/>
      <c r="Z4" s="320"/>
      <c r="AA4" s="320"/>
      <c r="AB4" s="320"/>
      <c r="AC4" s="320"/>
      <c r="AD4" s="320"/>
      <c r="AE4" s="320"/>
      <c r="AF4" s="320"/>
      <c r="AG4" s="320"/>
      <c r="AH4" s="320"/>
      <c r="AI4" s="320"/>
      <c r="AJ4" s="320"/>
      <c r="AK4" s="320"/>
      <c r="AL4" s="320"/>
      <c r="AM4" s="320"/>
      <c r="AN4" s="69"/>
      <c r="AO4" s="69"/>
      <c r="AP4" s="69"/>
      <c r="AQ4" s="69"/>
      <c r="AR4" s="69"/>
      <c r="AS4" s="69"/>
      <c r="AT4" s="69"/>
      <c r="AU4" s="69"/>
      <c r="AV4" s="69"/>
      <c r="AW4" s="69"/>
      <c r="AX4" s="69"/>
      <c r="AY4" s="69"/>
      <c r="AZ4" s="69"/>
      <c r="BA4" s="69"/>
      <c r="BB4" s="69"/>
      <c r="BC4" s="69"/>
      <c r="BD4" s="69"/>
      <c r="BE4" s="69"/>
      <c r="BF4" s="69"/>
      <c r="BG4" s="69"/>
      <c r="BH4" s="69"/>
      <c r="BI4" s="69"/>
      <c r="BJ4" s="69"/>
      <c r="BK4" s="69"/>
      <c r="BL4" s="69"/>
      <c r="BM4" s="69"/>
      <c r="BN4" s="69"/>
      <c r="BO4" s="69"/>
      <c r="BP4" s="69"/>
      <c r="BQ4" s="69"/>
      <c r="BR4" s="69"/>
      <c r="BS4" s="69"/>
      <c r="BT4" s="69"/>
      <c r="BU4" s="69"/>
      <c r="BV4" s="69"/>
      <c r="BW4" s="69"/>
      <c r="BX4" s="69"/>
      <c r="BY4" s="69"/>
      <c r="BZ4" s="69"/>
      <c r="CA4" s="69"/>
      <c r="CB4" s="69"/>
      <c r="CC4" s="69"/>
      <c r="CD4" s="69"/>
      <c r="CE4" s="69"/>
      <c r="CF4" s="69"/>
      <c r="CG4" s="69"/>
      <c r="CH4" s="69"/>
      <c r="CI4" s="69"/>
      <c r="CJ4" s="69"/>
      <c r="CK4" s="69"/>
      <c r="CL4" s="69"/>
      <c r="CM4" s="69"/>
    </row>
    <row r="5" spans="1:91" ht="15.75" thickBot="1" x14ac:dyDescent="0.3">
      <c r="A5" s="69"/>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c r="AJ5" s="69"/>
      <c r="AK5" s="69"/>
      <c r="AL5" s="69"/>
      <c r="AM5" s="69"/>
      <c r="AN5" s="69"/>
      <c r="AO5" s="69"/>
      <c r="AP5" s="69"/>
      <c r="AQ5" s="69"/>
      <c r="AR5" s="69"/>
      <c r="AS5" s="69"/>
      <c r="AT5" s="69"/>
      <c r="AU5" s="69"/>
      <c r="AV5" s="69"/>
      <c r="AW5" s="69"/>
      <c r="AX5" s="69"/>
      <c r="AY5" s="69"/>
      <c r="AZ5" s="69"/>
      <c r="BA5" s="69"/>
      <c r="BB5" s="69"/>
      <c r="BC5" s="69"/>
      <c r="BD5" s="69"/>
      <c r="BE5" s="69"/>
      <c r="BF5" s="69"/>
      <c r="BG5" s="69"/>
      <c r="BH5" s="69"/>
      <c r="BI5" s="69"/>
      <c r="BJ5" s="69"/>
      <c r="BK5" s="69"/>
      <c r="BL5" s="69"/>
      <c r="BM5" s="69"/>
      <c r="BN5" s="69"/>
      <c r="BO5" s="69"/>
      <c r="BP5" s="69"/>
      <c r="BQ5" s="69"/>
      <c r="BR5" s="69"/>
      <c r="BS5" s="69"/>
      <c r="BT5" s="69"/>
      <c r="BU5" s="69"/>
    </row>
    <row r="6" spans="1:91" ht="15" customHeight="1" x14ac:dyDescent="0.25">
      <c r="A6" s="69"/>
      <c r="B6" s="267" t="s">
        <v>4</v>
      </c>
      <c r="C6" s="267"/>
      <c r="D6" s="268"/>
      <c r="E6" s="362" t="s">
        <v>116</v>
      </c>
      <c r="F6" s="363"/>
      <c r="G6" s="363"/>
      <c r="H6" s="363"/>
      <c r="I6" s="380"/>
      <c r="J6" s="32" t="e">
        <f>IF(AND('Mapa final'!#REF!="Muy Alta",'Mapa final'!#REF!="Leve"),CONCATENATE("R1C",'Mapa final'!#REF!),"")</f>
        <v>#REF!</v>
      </c>
      <c r="K6" s="33" t="e">
        <f>IF(AND('Mapa final'!#REF!="Muy Alta",'Mapa final'!#REF!="Leve"),CONCATENATE("R1C",'Mapa final'!#REF!),"")</f>
        <v>#REF!</v>
      </c>
      <c r="L6" s="33" t="e">
        <f>IF(AND('Mapa final'!#REF!="Muy Alta",'Mapa final'!#REF!="Leve"),CONCATENATE("R1C",'Mapa final'!#REF!),"")</f>
        <v>#REF!</v>
      </c>
      <c r="M6" s="33" t="e">
        <f>IF(AND('Mapa final'!#REF!="Muy Alta",'Mapa final'!#REF!="Leve"),CONCATENATE("R1C",'Mapa final'!#REF!),"")</f>
        <v>#REF!</v>
      </c>
      <c r="N6" s="33" t="e">
        <f>IF(AND('Mapa final'!#REF!="Muy Alta",'Mapa final'!#REF!="Leve"),CONCATENATE("R1C",'Mapa final'!#REF!),"")</f>
        <v>#REF!</v>
      </c>
      <c r="O6" s="34" t="e">
        <f>IF(AND('Mapa final'!#REF!="Muy Alta",'Mapa final'!#REF!="Leve"),CONCATENATE("R1C",'Mapa final'!#REF!),"")</f>
        <v>#REF!</v>
      </c>
      <c r="P6" s="32" t="e">
        <f>IF(AND('Mapa final'!#REF!="Muy Alta",'Mapa final'!#REF!="Menor"),CONCATENATE("R1C",'Mapa final'!#REF!),"")</f>
        <v>#REF!</v>
      </c>
      <c r="Q6" s="33" t="e">
        <f>IF(AND('Mapa final'!#REF!="Muy Alta",'Mapa final'!#REF!="Menor"),CONCATENATE("R1C",'Mapa final'!#REF!),"")</f>
        <v>#REF!</v>
      </c>
      <c r="R6" s="33" t="e">
        <f>IF(AND('Mapa final'!#REF!="Muy Alta",'Mapa final'!#REF!="Menor"),CONCATENATE("R1C",'Mapa final'!#REF!),"")</f>
        <v>#REF!</v>
      </c>
      <c r="S6" s="33" t="e">
        <f>IF(AND('Mapa final'!#REF!="Muy Alta",'Mapa final'!#REF!="Menor"),CONCATENATE("R1C",'Mapa final'!#REF!),"")</f>
        <v>#REF!</v>
      </c>
      <c r="T6" s="33" t="e">
        <f>IF(AND('Mapa final'!#REF!="Muy Alta",'Mapa final'!#REF!="Menor"),CONCATENATE("R1C",'Mapa final'!#REF!),"")</f>
        <v>#REF!</v>
      </c>
      <c r="U6" s="34" t="e">
        <f>IF(AND('Mapa final'!#REF!="Muy Alta",'Mapa final'!#REF!="Menor"),CONCATENATE("R1C",'Mapa final'!#REF!),"")</f>
        <v>#REF!</v>
      </c>
      <c r="V6" s="32" t="e">
        <f>IF(AND('Mapa final'!#REF!="Muy Alta",'Mapa final'!#REF!="Moderado"),CONCATENATE("R1C",'Mapa final'!#REF!),"")</f>
        <v>#REF!</v>
      </c>
      <c r="W6" s="33" t="e">
        <f>IF(AND('Mapa final'!#REF!="Muy Alta",'Mapa final'!#REF!="Moderado"),CONCATENATE("R1C",'Mapa final'!#REF!),"")</f>
        <v>#REF!</v>
      </c>
      <c r="X6" s="33" t="e">
        <f>IF(AND('Mapa final'!#REF!="Muy Alta",'Mapa final'!#REF!="Moderado"),CONCATENATE("R1C",'Mapa final'!#REF!),"")</f>
        <v>#REF!</v>
      </c>
      <c r="Y6" s="33" t="e">
        <f>IF(AND('Mapa final'!#REF!="Muy Alta",'Mapa final'!#REF!="Moderado"),CONCATENATE("R1C",'Mapa final'!#REF!),"")</f>
        <v>#REF!</v>
      </c>
      <c r="Z6" s="33" t="e">
        <f>IF(AND('Mapa final'!#REF!="Muy Alta",'Mapa final'!#REF!="Moderado"),CONCATENATE("R1C",'Mapa final'!#REF!),"")</f>
        <v>#REF!</v>
      </c>
      <c r="AA6" s="34" t="e">
        <f>IF(AND('Mapa final'!#REF!="Muy Alta",'Mapa final'!#REF!="Moderado"),CONCATENATE("R1C",'Mapa final'!#REF!),"")</f>
        <v>#REF!</v>
      </c>
      <c r="AB6" s="32" t="e">
        <f>IF(AND('Mapa final'!#REF!="Muy Alta",'Mapa final'!#REF!="Mayor"),CONCATENATE("R1C",'Mapa final'!#REF!),"")</f>
        <v>#REF!</v>
      </c>
      <c r="AC6" s="33" t="e">
        <f>IF(AND('Mapa final'!#REF!="Muy Alta",'Mapa final'!#REF!="Mayor"),CONCATENATE("R1C",'Mapa final'!#REF!),"")</f>
        <v>#REF!</v>
      </c>
      <c r="AD6" s="33" t="e">
        <f>IF(AND('Mapa final'!#REF!="Muy Alta",'Mapa final'!#REF!="Mayor"),CONCATENATE("R1C",'Mapa final'!#REF!),"")</f>
        <v>#REF!</v>
      </c>
      <c r="AE6" s="33" t="e">
        <f>IF(AND('Mapa final'!#REF!="Muy Alta",'Mapa final'!#REF!="Mayor"),CONCATENATE("R1C",'Mapa final'!#REF!),"")</f>
        <v>#REF!</v>
      </c>
      <c r="AF6" s="33" t="e">
        <f>IF(AND('Mapa final'!#REF!="Muy Alta",'Mapa final'!#REF!="Mayor"),CONCATENATE("R1C",'Mapa final'!#REF!),"")</f>
        <v>#REF!</v>
      </c>
      <c r="AG6" s="34" t="e">
        <f>IF(AND('Mapa final'!#REF!="Muy Alta",'Mapa final'!#REF!="Mayor"),CONCATENATE("R1C",'Mapa final'!#REF!),"")</f>
        <v>#REF!</v>
      </c>
      <c r="AH6" s="35" t="e">
        <f>IF(AND('Mapa final'!#REF!="Muy Alta",'Mapa final'!#REF!="Catastrófico"),CONCATENATE("R1C",'Mapa final'!#REF!),"")</f>
        <v>#REF!</v>
      </c>
      <c r="AI6" s="36" t="e">
        <f>IF(AND('Mapa final'!#REF!="Muy Alta",'Mapa final'!#REF!="Catastrófico"),CONCATENATE("R1C",'Mapa final'!#REF!),"")</f>
        <v>#REF!</v>
      </c>
      <c r="AJ6" s="36" t="e">
        <f>IF(AND('Mapa final'!#REF!="Muy Alta",'Mapa final'!#REF!="Catastrófico"),CONCATENATE("R1C",'Mapa final'!#REF!),"")</f>
        <v>#REF!</v>
      </c>
      <c r="AK6" s="36" t="e">
        <f>IF(AND('Mapa final'!#REF!="Muy Alta",'Mapa final'!#REF!="Catastrófico"),CONCATENATE("R1C",'Mapa final'!#REF!),"")</f>
        <v>#REF!</v>
      </c>
      <c r="AL6" s="36" t="e">
        <f>IF(AND('Mapa final'!#REF!="Muy Alta",'Mapa final'!#REF!="Catastrófico"),CONCATENATE("R1C",'Mapa final'!#REF!),"")</f>
        <v>#REF!</v>
      </c>
      <c r="AM6" s="37" t="e">
        <f>IF(AND('Mapa final'!#REF!="Muy Alta",'Mapa final'!#REF!="Catastrófico"),CONCATENATE("R1C",'Mapa final'!#REF!),"")</f>
        <v>#REF!</v>
      </c>
      <c r="AN6" s="69"/>
      <c r="AO6" s="369" t="s">
        <v>79</v>
      </c>
      <c r="AP6" s="370"/>
      <c r="AQ6" s="370"/>
      <c r="AR6" s="370"/>
      <c r="AS6" s="370"/>
      <c r="AT6" s="371"/>
      <c r="AU6" s="69"/>
      <c r="AV6" s="69"/>
      <c r="AW6" s="69"/>
      <c r="AX6" s="69"/>
      <c r="AY6" s="69"/>
      <c r="AZ6" s="69"/>
      <c r="BA6" s="69"/>
      <c r="BB6" s="69"/>
      <c r="BC6" s="69"/>
      <c r="BD6" s="69"/>
      <c r="BE6" s="69"/>
      <c r="BF6" s="69"/>
      <c r="BG6" s="69"/>
      <c r="BH6" s="69"/>
      <c r="BI6" s="69"/>
      <c r="BJ6" s="69"/>
      <c r="BK6" s="69"/>
      <c r="BL6" s="69"/>
      <c r="BM6" s="69"/>
      <c r="BN6" s="69"/>
      <c r="BO6" s="69"/>
      <c r="BP6" s="69"/>
      <c r="BQ6" s="69"/>
      <c r="BR6" s="69"/>
      <c r="BS6" s="69"/>
      <c r="BT6" s="69"/>
      <c r="BU6" s="69"/>
      <c r="BV6" s="69"/>
      <c r="BW6" s="69"/>
      <c r="BX6" s="69"/>
    </row>
    <row r="7" spans="1:91" ht="15" customHeight="1" x14ac:dyDescent="0.25">
      <c r="A7" s="69"/>
      <c r="B7" s="267"/>
      <c r="C7" s="267"/>
      <c r="D7" s="268"/>
      <c r="E7" s="366"/>
      <c r="F7" s="365"/>
      <c r="G7" s="365"/>
      <c r="H7" s="365"/>
      <c r="I7" s="381"/>
      <c r="J7" s="38" t="e">
        <f>IF(AND('Mapa final'!#REF!="Muy Alta",'Mapa final'!#REF!="Leve"),CONCATENATE("R2C",'Mapa final'!#REF!),"")</f>
        <v>#REF!</v>
      </c>
      <c r="K7" s="39" t="e">
        <f>IF(AND('Mapa final'!#REF!="Muy Alta",'Mapa final'!#REF!="Leve"),CONCATENATE("R2C",'Mapa final'!#REF!),"")</f>
        <v>#REF!</v>
      </c>
      <c r="L7" s="39" t="e">
        <f>IF(AND('Mapa final'!#REF!="Muy Alta",'Mapa final'!#REF!="Leve"),CONCATENATE("R2C",'Mapa final'!#REF!),"")</f>
        <v>#REF!</v>
      </c>
      <c r="M7" s="39" t="e">
        <f>IF(AND('Mapa final'!#REF!="Muy Alta",'Mapa final'!#REF!="Leve"),CONCATENATE("R2C",'Mapa final'!#REF!),"")</f>
        <v>#REF!</v>
      </c>
      <c r="N7" s="39" t="e">
        <f>IF(AND('Mapa final'!#REF!="Muy Alta",'Mapa final'!#REF!="Leve"),CONCATENATE("R2C",'Mapa final'!#REF!),"")</f>
        <v>#REF!</v>
      </c>
      <c r="O7" s="40" t="e">
        <f>IF(AND('Mapa final'!#REF!="Muy Alta",'Mapa final'!#REF!="Leve"),CONCATENATE("R2C",'Mapa final'!#REF!),"")</f>
        <v>#REF!</v>
      </c>
      <c r="P7" s="38" t="e">
        <f>IF(AND('Mapa final'!#REF!="Muy Alta",'Mapa final'!#REF!="Menor"),CONCATENATE("R2C",'Mapa final'!#REF!),"")</f>
        <v>#REF!</v>
      </c>
      <c r="Q7" s="39" t="e">
        <f>IF(AND('Mapa final'!#REF!="Muy Alta",'Mapa final'!#REF!="Menor"),CONCATENATE("R2C",'Mapa final'!#REF!),"")</f>
        <v>#REF!</v>
      </c>
      <c r="R7" s="39" t="e">
        <f>IF(AND('Mapa final'!#REF!="Muy Alta",'Mapa final'!#REF!="Menor"),CONCATENATE("R2C",'Mapa final'!#REF!),"")</f>
        <v>#REF!</v>
      </c>
      <c r="S7" s="39" t="e">
        <f>IF(AND('Mapa final'!#REF!="Muy Alta",'Mapa final'!#REF!="Menor"),CONCATENATE("R2C",'Mapa final'!#REF!),"")</f>
        <v>#REF!</v>
      </c>
      <c r="T7" s="39" t="e">
        <f>IF(AND('Mapa final'!#REF!="Muy Alta",'Mapa final'!#REF!="Menor"),CONCATENATE("R2C",'Mapa final'!#REF!),"")</f>
        <v>#REF!</v>
      </c>
      <c r="U7" s="40" t="e">
        <f>IF(AND('Mapa final'!#REF!="Muy Alta",'Mapa final'!#REF!="Menor"),CONCATENATE("R2C",'Mapa final'!#REF!),"")</f>
        <v>#REF!</v>
      </c>
      <c r="V7" s="38" t="e">
        <f>IF(AND('Mapa final'!#REF!="Muy Alta",'Mapa final'!#REF!="Moderado"),CONCATENATE("R2C",'Mapa final'!#REF!),"")</f>
        <v>#REF!</v>
      </c>
      <c r="W7" s="39" t="e">
        <f>IF(AND('Mapa final'!#REF!="Muy Alta",'Mapa final'!#REF!="Moderado"),CONCATENATE("R2C",'Mapa final'!#REF!),"")</f>
        <v>#REF!</v>
      </c>
      <c r="X7" s="39" t="e">
        <f>IF(AND('Mapa final'!#REF!="Muy Alta",'Mapa final'!#REF!="Moderado"),CONCATENATE("R2C",'Mapa final'!#REF!),"")</f>
        <v>#REF!</v>
      </c>
      <c r="Y7" s="39" t="e">
        <f>IF(AND('Mapa final'!#REF!="Muy Alta",'Mapa final'!#REF!="Moderado"),CONCATENATE("R2C",'Mapa final'!#REF!),"")</f>
        <v>#REF!</v>
      </c>
      <c r="Z7" s="39" t="e">
        <f>IF(AND('Mapa final'!#REF!="Muy Alta",'Mapa final'!#REF!="Moderado"),CONCATENATE("R2C",'Mapa final'!#REF!),"")</f>
        <v>#REF!</v>
      </c>
      <c r="AA7" s="40" t="e">
        <f>IF(AND('Mapa final'!#REF!="Muy Alta",'Mapa final'!#REF!="Moderado"),CONCATENATE("R2C",'Mapa final'!#REF!),"")</f>
        <v>#REF!</v>
      </c>
      <c r="AB7" s="38" t="e">
        <f>IF(AND('Mapa final'!#REF!="Muy Alta",'Mapa final'!#REF!="Mayor"),CONCATENATE("R2C",'Mapa final'!#REF!),"")</f>
        <v>#REF!</v>
      </c>
      <c r="AC7" s="39" t="e">
        <f>IF(AND('Mapa final'!#REF!="Muy Alta",'Mapa final'!#REF!="Mayor"),CONCATENATE("R2C",'Mapa final'!#REF!),"")</f>
        <v>#REF!</v>
      </c>
      <c r="AD7" s="39" t="e">
        <f>IF(AND('Mapa final'!#REF!="Muy Alta",'Mapa final'!#REF!="Mayor"),CONCATENATE("R2C",'Mapa final'!#REF!),"")</f>
        <v>#REF!</v>
      </c>
      <c r="AE7" s="39" t="e">
        <f>IF(AND('Mapa final'!#REF!="Muy Alta",'Mapa final'!#REF!="Mayor"),CONCATENATE("R2C",'Mapa final'!#REF!),"")</f>
        <v>#REF!</v>
      </c>
      <c r="AF7" s="39" t="e">
        <f>IF(AND('Mapa final'!#REF!="Muy Alta",'Mapa final'!#REF!="Mayor"),CONCATENATE("R2C",'Mapa final'!#REF!),"")</f>
        <v>#REF!</v>
      </c>
      <c r="AG7" s="40" t="e">
        <f>IF(AND('Mapa final'!#REF!="Muy Alta",'Mapa final'!#REF!="Mayor"),CONCATENATE("R2C",'Mapa final'!#REF!),"")</f>
        <v>#REF!</v>
      </c>
      <c r="AH7" s="41" t="e">
        <f>IF(AND('Mapa final'!#REF!="Muy Alta",'Mapa final'!#REF!="Catastrófico"),CONCATENATE("R2C",'Mapa final'!#REF!),"")</f>
        <v>#REF!</v>
      </c>
      <c r="AI7" s="42" t="e">
        <f>IF(AND('Mapa final'!#REF!="Muy Alta",'Mapa final'!#REF!="Catastrófico"),CONCATENATE("R2C",'Mapa final'!#REF!),"")</f>
        <v>#REF!</v>
      </c>
      <c r="AJ7" s="42" t="e">
        <f>IF(AND('Mapa final'!#REF!="Muy Alta",'Mapa final'!#REF!="Catastrófico"),CONCATENATE("R2C",'Mapa final'!#REF!),"")</f>
        <v>#REF!</v>
      </c>
      <c r="AK7" s="42" t="e">
        <f>IF(AND('Mapa final'!#REF!="Muy Alta",'Mapa final'!#REF!="Catastrófico"),CONCATENATE("R2C",'Mapa final'!#REF!),"")</f>
        <v>#REF!</v>
      </c>
      <c r="AL7" s="42" t="e">
        <f>IF(AND('Mapa final'!#REF!="Muy Alta",'Mapa final'!#REF!="Catastrófico"),CONCATENATE("R2C",'Mapa final'!#REF!),"")</f>
        <v>#REF!</v>
      </c>
      <c r="AM7" s="43" t="e">
        <f>IF(AND('Mapa final'!#REF!="Muy Alta",'Mapa final'!#REF!="Catastrófico"),CONCATENATE("R2C",'Mapa final'!#REF!),"")</f>
        <v>#REF!</v>
      </c>
      <c r="AN7" s="69"/>
      <c r="AO7" s="372"/>
      <c r="AP7" s="373"/>
      <c r="AQ7" s="373"/>
      <c r="AR7" s="373"/>
      <c r="AS7" s="373"/>
      <c r="AT7" s="374"/>
      <c r="AU7" s="69"/>
      <c r="AV7" s="69"/>
      <c r="AW7" s="69"/>
      <c r="AX7" s="69"/>
      <c r="AY7" s="69"/>
      <c r="AZ7" s="69"/>
      <c r="BA7" s="69"/>
      <c r="BB7" s="69"/>
      <c r="BC7" s="69"/>
      <c r="BD7" s="69"/>
      <c r="BE7" s="69"/>
      <c r="BF7" s="69"/>
      <c r="BG7" s="69"/>
      <c r="BH7" s="69"/>
      <c r="BI7" s="69"/>
      <c r="BJ7" s="69"/>
      <c r="BK7" s="69"/>
      <c r="BL7" s="69"/>
      <c r="BM7" s="69"/>
      <c r="BN7" s="69"/>
      <c r="BO7" s="69"/>
      <c r="BP7" s="69"/>
      <c r="BQ7" s="69"/>
      <c r="BR7" s="69"/>
      <c r="BS7" s="69"/>
      <c r="BT7" s="69"/>
      <c r="BU7" s="69"/>
      <c r="BV7" s="69"/>
      <c r="BW7" s="69"/>
      <c r="BX7" s="69"/>
    </row>
    <row r="8" spans="1:91" ht="15" customHeight="1" x14ac:dyDescent="0.25">
      <c r="A8" s="69"/>
      <c r="B8" s="267"/>
      <c r="C8" s="267"/>
      <c r="D8" s="268"/>
      <c r="E8" s="366"/>
      <c r="F8" s="365"/>
      <c r="G8" s="365"/>
      <c r="H8" s="365"/>
      <c r="I8" s="381"/>
      <c r="J8" s="38" t="e">
        <f>IF(AND('Mapa final'!#REF!="Muy Alta",'Mapa final'!#REF!="Leve"),CONCATENATE("R3C",'Mapa final'!#REF!),"")</f>
        <v>#REF!</v>
      </c>
      <c r="K8" s="39" t="e">
        <f>IF(AND('Mapa final'!#REF!="Muy Alta",'Mapa final'!#REF!="Leve"),CONCATENATE("R3C",'Mapa final'!#REF!),"")</f>
        <v>#REF!</v>
      </c>
      <c r="L8" s="39" t="e">
        <f>IF(AND('Mapa final'!#REF!="Muy Alta",'Mapa final'!#REF!="Leve"),CONCATENATE("R3C",'Mapa final'!#REF!),"")</f>
        <v>#REF!</v>
      </c>
      <c r="M8" s="39" t="e">
        <f>IF(AND('Mapa final'!#REF!="Muy Alta",'Mapa final'!#REF!="Leve"),CONCATENATE("R3C",'Mapa final'!#REF!),"")</f>
        <v>#REF!</v>
      </c>
      <c r="N8" s="39" t="e">
        <f>IF(AND('Mapa final'!#REF!="Muy Alta",'Mapa final'!#REF!="Leve"),CONCATENATE("R3C",'Mapa final'!#REF!),"")</f>
        <v>#REF!</v>
      </c>
      <c r="O8" s="40" t="e">
        <f>IF(AND('Mapa final'!#REF!="Muy Alta",'Mapa final'!#REF!="Leve"),CONCATENATE("R3C",'Mapa final'!#REF!),"")</f>
        <v>#REF!</v>
      </c>
      <c r="P8" s="38" t="e">
        <f>IF(AND('Mapa final'!#REF!="Muy Alta",'Mapa final'!#REF!="Menor"),CONCATENATE("R3C",'Mapa final'!#REF!),"")</f>
        <v>#REF!</v>
      </c>
      <c r="Q8" s="39" t="e">
        <f>IF(AND('Mapa final'!#REF!="Muy Alta",'Mapa final'!#REF!="Menor"),CONCATENATE("R3C",'Mapa final'!#REF!),"")</f>
        <v>#REF!</v>
      </c>
      <c r="R8" s="39" t="e">
        <f>IF(AND('Mapa final'!#REF!="Muy Alta",'Mapa final'!#REF!="Menor"),CONCATENATE("R3C",'Mapa final'!#REF!),"")</f>
        <v>#REF!</v>
      </c>
      <c r="S8" s="39" t="e">
        <f>IF(AND('Mapa final'!#REF!="Muy Alta",'Mapa final'!#REF!="Menor"),CONCATENATE("R3C",'Mapa final'!#REF!),"")</f>
        <v>#REF!</v>
      </c>
      <c r="T8" s="39" t="e">
        <f>IF(AND('Mapa final'!#REF!="Muy Alta",'Mapa final'!#REF!="Menor"),CONCATENATE("R3C",'Mapa final'!#REF!),"")</f>
        <v>#REF!</v>
      </c>
      <c r="U8" s="40" t="e">
        <f>IF(AND('Mapa final'!#REF!="Muy Alta",'Mapa final'!#REF!="Menor"),CONCATENATE("R3C",'Mapa final'!#REF!),"")</f>
        <v>#REF!</v>
      </c>
      <c r="V8" s="38" t="e">
        <f>IF(AND('Mapa final'!#REF!="Muy Alta",'Mapa final'!#REF!="Moderado"),CONCATENATE("R3C",'Mapa final'!#REF!),"")</f>
        <v>#REF!</v>
      </c>
      <c r="W8" s="39" t="e">
        <f>IF(AND('Mapa final'!#REF!="Muy Alta",'Mapa final'!#REF!="Moderado"),CONCATENATE("R3C",'Mapa final'!#REF!),"")</f>
        <v>#REF!</v>
      </c>
      <c r="X8" s="39" t="e">
        <f>IF(AND('Mapa final'!#REF!="Muy Alta",'Mapa final'!#REF!="Moderado"),CONCATENATE("R3C",'Mapa final'!#REF!),"")</f>
        <v>#REF!</v>
      </c>
      <c r="Y8" s="39" t="e">
        <f>IF(AND('Mapa final'!#REF!="Muy Alta",'Mapa final'!#REF!="Moderado"),CONCATENATE("R3C",'Mapa final'!#REF!),"")</f>
        <v>#REF!</v>
      </c>
      <c r="Z8" s="39" t="e">
        <f>IF(AND('Mapa final'!#REF!="Muy Alta",'Mapa final'!#REF!="Moderado"),CONCATENATE("R3C",'Mapa final'!#REF!),"")</f>
        <v>#REF!</v>
      </c>
      <c r="AA8" s="40" t="e">
        <f>IF(AND('Mapa final'!#REF!="Muy Alta",'Mapa final'!#REF!="Moderado"),CONCATENATE("R3C",'Mapa final'!#REF!),"")</f>
        <v>#REF!</v>
      </c>
      <c r="AB8" s="38" t="e">
        <f>IF(AND('Mapa final'!#REF!="Muy Alta",'Mapa final'!#REF!="Mayor"),CONCATENATE("R3C",'Mapa final'!#REF!),"")</f>
        <v>#REF!</v>
      </c>
      <c r="AC8" s="39" t="e">
        <f>IF(AND('Mapa final'!#REF!="Muy Alta",'Mapa final'!#REF!="Mayor"),CONCATENATE("R3C",'Mapa final'!#REF!),"")</f>
        <v>#REF!</v>
      </c>
      <c r="AD8" s="39" t="e">
        <f>IF(AND('Mapa final'!#REF!="Muy Alta",'Mapa final'!#REF!="Mayor"),CONCATENATE("R3C",'Mapa final'!#REF!),"")</f>
        <v>#REF!</v>
      </c>
      <c r="AE8" s="39" t="e">
        <f>IF(AND('Mapa final'!#REF!="Muy Alta",'Mapa final'!#REF!="Mayor"),CONCATENATE("R3C",'Mapa final'!#REF!),"")</f>
        <v>#REF!</v>
      </c>
      <c r="AF8" s="39" t="e">
        <f>IF(AND('Mapa final'!#REF!="Muy Alta",'Mapa final'!#REF!="Mayor"),CONCATENATE("R3C",'Mapa final'!#REF!),"")</f>
        <v>#REF!</v>
      </c>
      <c r="AG8" s="40" t="e">
        <f>IF(AND('Mapa final'!#REF!="Muy Alta",'Mapa final'!#REF!="Mayor"),CONCATENATE("R3C",'Mapa final'!#REF!),"")</f>
        <v>#REF!</v>
      </c>
      <c r="AH8" s="41" t="e">
        <f>IF(AND('Mapa final'!#REF!="Muy Alta",'Mapa final'!#REF!="Catastrófico"),CONCATENATE("R3C",'Mapa final'!#REF!),"")</f>
        <v>#REF!</v>
      </c>
      <c r="AI8" s="42" t="e">
        <f>IF(AND('Mapa final'!#REF!="Muy Alta",'Mapa final'!#REF!="Catastrófico"),CONCATENATE("R3C",'Mapa final'!#REF!),"")</f>
        <v>#REF!</v>
      </c>
      <c r="AJ8" s="42" t="e">
        <f>IF(AND('Mapa final'!#REF!="Muy Alta",'Mapa final'!#REF!="Catastrófico"),CONCATENATE("R3C",'Mapa final'!#REF!),"")</f>
        <v>#REF!</v>
      </c>
      <c r="AK8" s="42" t="e">
        <f>IF(AND('Mapa final'!#REF!="Muy Alta",'Mapa final'!#REF!="Catastrófico"),CONCATENATE("R3C",'Mapa final'!#REF!),"")</f>
        <v>#REF!</v>
      </c>
      <c r="AL8" s="42" t="e">
        <f>IF(AND('Mapa final'!#REF!="Muy Alta",'Mapa final'!#REF!="Catastrófico"),CONCATENATE("R3C",'Mapa final'!#REF!),"")</f>
        <v>#REF!</v>
      </c>
      <c r="AM8" s="43" t="e">
        <f>IF(AND('Mapa final'!#REF!="Muy Alta",'Mapa final'!#REF!="Catastrófico"),CONCATENATE("R3C",'Mapa final'!#REF!),"")</f>
        <v>#REF!</v>
      </c>
      <c r="AN8" s="69"/>
      <c r="AO8" s="372"/>
      <c r="AP8" s="373"/>
      <c r="AQ8" s="373"/>
      <c r="AR8" s="373"/>
      <c r="AS8" s="373"/>
      <c r="AT8" s="374"/>
      <c r="AU8" s="69"/>
      <c r="AV8" s="69"/>
      <c r="AW8" s="69"/>
      <c r="AX8" s="69"/>
      <c r="AY8" s="69"/>
      <c r="AZ8" s="69"/>
      <c r="BA8" s="69"/>
      <c r="BB8" s="69"/>
      <c r="BC8" s="69"/>
      <c r="BD8" s="69"/>
      <c r="BE8" s="69"/>
      <c r="BF8" s="69"/>
      <c r="BG8" s="69"/>
      <c r="BH8" s="69"/>
      <c r="BI8" s="69"/>
      <c r="BJ8" s="69"/>
      <c r="BK8" s="69"/>
      <c r="BL8" s="69"/>
      <c r="BM8" s="69"/>
      <c r="BN8" s="69"/>
      <c r="BO8" s="69"/>
      <c r="BP8" s="69"/>
      <c r="BQ8" s="69"/>
      <c r="BR8" s="69"/>
      <c r="BS8" s="69"/>
      <c r="BT8" s="69"/>
      <c r="BU8" s="69"/>
      <c r="BV8" s="69"/>
      <c r="BW8" s="69"/>
      <c r="BX8" s="69"/>
    </row>
    <row r="9" spans="1:91" ht="15" customHeight="1" x14ac:dyDescent="0.25">
      <c r="A9" s="69"/>
      <c r="B9" s="267"/>
      <c r="C9" s="267"/>
      <c r="D9" s="268"/>
      <c r="E9" s="366"/>
      <c r="F9" s="365"/>
      <c r="G9" s="365"/>
      <c r="H9" s="365"/>
      <c r="I9" s="381"/>
      <c r="J9" s="38" t="str">
        <f>IF(AND('Mapa final'!$Y$13="Muy Alta",'Mapa final'!$AA$13="Leve"),CONCATENATE("R4C",'Mapa final'!$O$13),"")</f>
        <v/>
      </c>
      <c r="K9" s="39" t="str">
        <f>IF(AND('Mapa final'!$Y$14="Muy Alta",'Mapa final'!$AA$14="Leve"),CONCATENATE("R4C",'Mapa final'!$O$14),"")</f>
        <v/>
      </c>
      <c r="L9" s="39" t="str">
        <f>IF(AND('Mapa final'!$Y$15="Muy Alta",'Mapa final'!$AA$15="Leve"),CONCATENATE("R4C",'Mapa final'!$O$15),"")</f>
        <v/>
      </c>
      <c r="M9" s="39" t="str">
        <f>IF(AND('Mapa final'!$Y$16="Muy Alta",'Mapa final'!$AA$16="Leve"),CONCATENATE("R4C",'Mapa final'!$O$16),"")</f>
        <v/>
      </c>
      <c r="N9" s="39" t="e">
        <f>IF(AND('Mapa final'!#REF!="Muy Alta",'Mapa final'!#REF!="Leve"),CONCATENATE("R4C",'Mapa final'!#REF!),"")</f>
        <v>#REF!</v>
      </c>
      <c r="O9" s="40" t="e">
        <f>IF(AND('Mapa final'!#REF!="Muy Alta",'Mapa final'!#REF!="Leve"),CONCATENATE("R4C",'Mapa final'!#REF!),"")</f>
        <v>#REF!</v>
      </c>
      <c r="P9" s="38" t="str">
        <f>IF(AND('Mapa final'!$Y$13="Muy Alta",'Mapa final'!$AA$13="Menor"),CONCATENATE("R4C",'Mapa final'!$O$13),"")</f>
        <v/>
      </c>
      <c r="Q9" s="39" t="str">
        <f>IF(AND('Mapa final'!$Y$14="Muy Alta",'Mapa final'!$AA$14="Menor"),CONCATENATE("R4C",'Mapa final'!$O$14),"")</f>
        <v/>
      </c>
      <c r="R9" s="39" t="str">
        <f>IF(AND('Mapa final'!$Y$15="Muy Alta",'Mapa final'!$AA$15="Menor"),CONCATENATE("R4C",'Mapa final'!$O$15),"")</f>
        <v/>
      </c>
      <c r="S9" s="39" t="str">
        <f>IF(AND('Mapa final'!$Y$16="Muy Alta",'Mapa final'!$AA$16="Menor"),CONCATENATE("R4C",'Mapa final'!$O$16),"")</f>
        <v/>
      </c>
      <c r="T9" s="39" t="e">
        <f>IF(AND('Mapa final'!#REF!="Muy Alta",'Mapa final'!#REF!="Menor"),CONCATENATE("R4C",'Mapa final'!#REF!),"")</f>
        <v>#REF!</v>
      </c>
      <c r="U9" s="40" t="e">
        <f>IF(AND('Mapa final'!#REF!="Muy Alta",'Mapa final'!#REF!="Menor"),CONCATENATE("R4C",'Mapa final'!#REF!),"")</f>
        <v>#REF!</v>
      </c>
      <c r="V9" s="38" t="str">
        <f>IF(AND('Mapa final'!$Y$13="Muy Alta",'Mapa final'!$AA$13="Moderado"),CONCATENATE("R4C",'Mapa final'!$O$13),"")</f>
        <v/>
      </c>
      <c r="W9" s="39" t="str">
        <f>IF(AND('Mapa final'!$Y$14="Muy Alta",'Mapa final'!$AA$14="Moderado"),CONCATENATE("R4C",'Mapa final'!$O$14),"")</f>
        <v/>
      </c>
      <c r="X9" s="39" t="str">
        <f>IF(AND('Mapa final'!$Y$15="Muy Alta",'Mapa final'!$AA$15="Moderado"),CONCATENATE("R4C",'Mapa final'!$O$15),"")</f>
        <v/>
      </c>
      <c r="Y9" s="39" t="str">
        <f>IF(AND('Mapa final'!$Y$16="Muy Alta",'Mapa final'!$AA$16="Moderado"),CONCATENATE("R4C",'Mapa final'!$O$16),"")</f>
        <v/>
      </c>
      <c r="Z9" s="39" t="e">
        <f>IF(AND('Mapa final'!#REF!="Muy Alta",'Mapa final'!#REF!="Moderado"),CONCATENATE("R4C",'Mapa final'!#REF!),"")</f>
        <v>#REF!</v>
      </c>
      <c r="AA9" s="40" t="e">
        <f>IF(AND('Mapa final'!#REF!="Muy Alta",'Mapa final'!#REF!="Moderado"),CONCATENATE("R4C",'Mapa final'!#REF!),"")</f>
        <v>#REF!</v>
      </c>
      <c r="AB9" s="38" t="str">
        <f>IF(AND('Mapa final'!$Y$13="Muy Alta",'Mapa final'!$AA$13="Mayor"),CONCATENATE("R4C",'Mapa final'!$O$13),"")</f>
        <v/>
      </c>
      <c r="AC9" s="39" t="str">
        <f>IF(AND('Mapa final'!$Y$14="Muy Alta",'Mapa final'!$AA$14="Mayor"),CONCATENATE("R4C",'Mapa final'!$O$14),"")</f>
        <v/>
      </c>
      <c r="AD9" s="39" t="str">
        <f>IF(AND('Mapa final'!$Y$15="Muy Alta",'Mapa final'!$AA$15="Mayor"),CONCATENATE("R4C",'Mapa final'!$O$15),"")</f>
        <v/>
      </c>
      <c r="AE9" s="39" t="str">
        <f>IF(AND('Mapa final'!$Y$16="Muy Alta",'Mapa final'!$AA$16="Mayor"),CONCATENATE("R4C",'Mapa final'!$O$16),"")</f>
        <v/>
      </c>
      <c r="AF9" s="39" t="e">
        <f>IF(AND('Mapa final'!#REF!="Muy Alta",'Mapa final'!#REF!="Mayor"),CONCATENATE("R4C",'Mapa final'!#REF!),"")</f>
        <v>#REF!</v>
      </c>
      <c r="AG9" s="40" t="e">
        <f>IF(AND('Mapa final'!#REF!="Muy Alta",'Mapa final'!#REF!="Mayor"),CONCATENATE("R4C",'Mapa final'!#REF!),"")</f>
        <v>#REF!</v>
      </c>
      <c r="AH9" s="41" t="str">
        <f>IF(AND('Mapa final'!$Y$13="Muy Alta",'Mapa final'!$AA$13="Catastrófico"),CONCATENATE("R4C",'Mapa final'!$O$13),"")</f>
        <v/>
      </c>
      <c r="AI9" s="42" t="str">
        <f>IF(AND('Mapa final'!$Y$14="Muy Alta",'Mapa final'!$AA$14="Catastrófico"),CONCATENATE("R4C",'Mapa final'!$O$14),"")</f>
        <v/>
      </c>
      <c r="AJ9" s="42" t="str">
        <f>IF(AND('Mapa final'!$Y$15="Muy Alta",'Mapa final'!$AA$15="Catastrófico"),CONCATENATE("R4C",'Mapa final'!$O$15),"")</f>
        <v/>
      </c>
      <c r="AK9" s="42" t="str">
        <f>IF(AND('Mapa final'!$Y$16="Muy Alta",'Mapa final'!$AA$16="Catastrófico"),CONCATENATE("R4C",'Mapa final'!$O$16),"")</f>
        <v/>
      </c>
      <c r="AL9" s="42" t="e">
        <f>IF(AND('Mapa final'!#REF!="Muy Alta",'Mapa final'!#REF!="Catastrófico"),CONCATENATE("R4C",'Mapa final'!#REF!),"")</f>
        <v>#REF!</v>
      </c>
      <c r="AM9" s="43" t="e">
        <f>IF(AND('Mapa final'!#REF!="Muy Alta",'Mapa final'!#REF!="Catastrófico"),CONCATENATE("R4C",'Mapa final'!#REF!),"")</f>
        <v>#REF!</v>
      </c>
      <c r="AN9" s="69"/>
      <c r="AO9" s="372"/>
      <c r="AP9" s="373"/>
      <c r="AQ9" s="373"/>
      <c r="AR9" s="373"/>
      <c r="AS9" s="373"/>
      <c r="AT9" s="374"/>
      <c r="AU9" s="69"/>
      <c r="AV9" s="69"/>
      <c r="AW9" s="69"/>
      <c r="AX9" s="69"/>
      <c r="AY9" s="69"/>
      <c r="AZ9" s="69"/>
      <c r="BA9" s="69"/>
      <c r="BB9" s="69"/>
      <c r="BC9" s="69"/>
      <c r="BD9" s="69"/>
      <c r="BE9" s="69"/>
      <c r="BF9" s="69"/>
      <c r="BG9" s="69"/>
      <c r="BH9" s="69"/>
      <c r="BI9" s="69"/>
      <c r="BJ9" s="69"/>
      <c r="BK9" s="69"/>
      <c r="BL9" s="69"/>
      <c r="BM9" s="69"/>
      <c r="BN9" s="69"/>
      <c r="BO9" s="69"/>
      <c r="BP9" s="69"/>
      <c r="BQ9" s="69"/>
      <c r="BR9" s="69"/>
      <c r="BS9" s="69"/>
      <c r="BT9" s="69"/>
      <c r="BU9" s="69"/>
      <c r="BV9" s="69"/>
      <c r="BW9" s="69"/>
      <c r="BX9" s="69"/>
    </row>
    <row r="10" spans="1:91" ht="15" customHeight="1" x14ac:dyDescent="0.25">
      <c r="A10" s="69"/>
      <c r="B10" s="267"/>
      <c r="C10" s="267"/>
      <c r="D10" s="268"/>
      <c r="E10" s="366"/>
      <c r="F10" s="365"/>
      <c r="G10" s="365"/>
      <c r="H10" s="365"/>
      <c r="I10" s="381"/>
      <c r="J10" s="38" t="str">
        <f>IF(AND('Mapa final'!$Y$17="Muy Alta",'Mapa final'!$AA$17="Leve"),CONCATENATE("R5C",'Mapa final'!$O$17),"")</f>
        <v/>
      </c>
      <c r="K10" s="39" t="str">
        <f>IF(AND('Mapa final'!$Y$18="Muy Alta",'Mapa final'!$AA$18="Leve"),CONCATENATE("R5C",'Mapa final'!$O$18),"")</f>
        <v/>
      </c>
      <c r="L10" s="39" t="str">
        <f>IF(AND('Mapa final'!$Y$19="Muy Alta",'Mapa final'!$AA$19="Leve"),CONCATENATE("R5C",'Mapa final'!$O$19),"")</f>
        <v/>
      </c>
      <c r="M10" s="39" t="str">
        <f>IF(AND('Mapa final'!$Y$20="Muy Alta",'Mapa final'!$AA$20="Leve"),CONCATENATE("R5C",'Mapa final'!$O$20),"")</f>
        <v/>
      </c>
      <c r="N10" s="39" t="str">
        <f>IF(AND('Mapa final'!$Y$21="Muy Alta",'Mapa final'!$AA$21="Leve"),CONCATENATE("R5C",'Mapa final'!$O$21),"")</f>
        <v/>
      </c>
      <c r="O10" s="40" t="str">
        <f>IF(AND('Mapa final'!$Y$22="Muy Alta",'Mapa final'!$AA$22="Leve"),CONCATENATE("R5C",'Mapa final'!$O$22),"")</f>
        <v/>
      </c>
      <c r="P10" s="38" t="str">
        <f>IF(AND('Mapa final'!$Y$17="Muy Alta",'Mapa final'!$AA$17="Menor"),CONCATENATE("R5C",'Mapa final'!$O$17),"")</f>
        <v/>
      </c>
      <c r="Q10" s="39" t="str">
        <f>IF(AND('Mapa final'!$Y$18="Muy Alta",'Mapa final'!$AA$18="Menor"),CONCATENATE("R5C",'Mapa final'!$O$18),"")</f>
        <v/>
      </c>
      <c r="R10" s="39" t="str">
        <f>IF(AND('Mapa final'!$Y$19="Muy Alta",'Mapa final'!$AA$19="Menor"),CONCATENATE("R5C",'Mapa final'!$O$19),"")</f>
        <v/>
      </c>
      <c r="S10" s="39" t="str">
        <f>IF(AND('Mapa final'!$Y$20="Muy Alta",'Mapa final'!$AA$20="Menor"),CONCATENATE("R5C",'Mapa final'!$O$20),"")</f>
        <v/>
      </c>
      <c r="T10" s="39" t="str">
        <f>IF(AND('Mapa final'!$Y$21="Muy Alta",'Mapa final'!$AA$21="Menor"),CONCATENATE("R5C",'Mapa final'!$O$21),"")</f>
        <v/>
      </c>
      <c r="U10" s="40" t="str">
        <f>IF(AND('Mapa final'!$Y$22="Muy Alta",'Mapa final'!$AA$22="Menor"),CONCATENATE("R5C",'Mapa final'!$O$22),"")</f>
        <v/>
      </c>
      <c r="V10" s="38" t="str">
        <f>IF(AND('Mapa final'!$Y$17="Muy Alta",'Mapa final'!$AA$17="Moderado"),CONCATENATE("R5C",'Mapa final'!$O$17),"")</f>
        <v/>
      </c>
      <c r="W10" s="39" t="str">
        <f>IF(AND('Mapa final'!$Y$18="Muy Alta",'Mapa final'!$AA$18="Moderado"),CONCATENATE("R5C",'Mapa final'!$O$18),"")</f>
        <v/>
      </c>
      <c r="X10" s="39" t="str">
        <f>IF(AND('Mapa final'!$Y$19="Muy Alta",'Mapa final'!$AA$19="Moderado"),CONCATENATE("R5C",'Mapa final'!$O$19),"")</f>
        <v/>
      </c>
      <c r="Y10" s="39" t="str">
        <f>IF(AND('Mapa final'!$Y$20="Muy Alta",'Mapa final'!$AA$20="Moderado"),CONCATENATE("R5C",'Mapa final'!$O$20),"")</f>
        <v/>
      </c>
      <c r="Z10" s="39" t="str">
        <f>IF(AND('Mapa final'!$Y$21="Muy Alta",'Mapa final'!$AA$21="Moderado"),CONCATENATE("R5C",'Mapa final'!$O$21),"")</f>
        <v/>
      </c>
      <c r="AA10" s="40" t="str">
        <f>IF(AND('Mapa final'!$Y$22="Muy Alta",'Mapa final'!$AA$22="Moderado"),CONCATENATE("R5C",'Mapa final'!$O$22),"")</f>
        <v/>
      </c>
      <c r="AB10" s="38" t="str">
        <f>IF(AND('Mapa final'!$Y$17="Muy Alta",'Mapa final'!$AA$17="Mayor"),CONCATENATE("R5C",'Mapa final'!$O$17),"")</f>
        <v/>
      </c>
      <c r="AC10" s="39" t="str">
        <f>IF(AND('Mapa final'!$Y$18="Muy Alta",'Mapa final'!$AA$18="Mayor"),CONCATENATE("R5C",'Mapa final'!$O$18),"")</f>
        <v/>
      </c>
      <c r="AD10" s="39" t="str">
        <f>IF(AND('Mapa final'!$Y$19="Muy Alta",'Mapa final'!$AA$19="Mayor"),CONCATENATE("R5C",'Mapa final'!$O$19),"")</f>
        <v/>
      </c>
      <c r="AE10" s="39" t="str">
        <f>IF(AND('Mapa final'!$Y$20="Muy Alta",'Mapa final'!$AA$20="Mayor"),CONCATENATE("R5C",'Mapa final'!$O$20),"")</f>
        <v/>
      </c>
      <c r="AF10" s="39" t="str">
        <f>IF(AND('Mapa final'!$Y$21="Muy Alta",'Mapa final'!$AA$21="Mayor"),CONCATENATE("R5C",'Mapa final'!$O$21),"")</f>
        <v/>
      </c>
      <c r="AG10" s="40" t="str">
        <f>IF(AND('Mapa final'!$Y$22="Muy Alta",'Mapa final'!$AA$22="Mayor"),CONCATENATE("R5C",'Mapa final'!$O$22),"")</f>
        <v/>
      </c>
      <c r="AH10" s="41" t="str">
        <f>IF(AND('Mapa final'!$Y$17="Muy Alta",'Mapa final'!$AA$17="Catastrófico"),CONCATENATE("R5C",'Mapa final'!$O$17),"")</f>
        <v/>
      </c>
      <c r="AI10" s="42" t="str">
        <f>IF(AND('Mapa final'!$Y$18="Muy Alta",'Mapa final'!$AA$18="Catastrófico"),CONCATENATE("R5C",'Mapa final'!$O$18),"")</f>
        <v/>
      </c>
      <c r="AJ10" s="42" t="str">
        <f>IF(AND('Mapa final'!$Y$19="Muy Alta",'Mapa final'!$AA$19="Catastrófico"),CONCATENATE("R5C",'Mapa final'!$O$19),"")</f>
        <v/>
      </c>
      <c r="AK10" s="42" t="str">
        <f>IF(AND('Mapa final'!$Y$20="Muy Alta",'Mapa final'!$AA$20="Catastrófico"),CONCATENATE("R5C",'Mapa final'!$O$20),"")</f>
        <v/>
      </c>
      <c r="AL10" s="42" t="str">
        <f>IF(AND('Mapa final'!$Y$21="Muy Alta",'Mapa final'!$AA$21="Catastrófico"),CONCATENATE("R5C",'Mapa final'!$O$21),"")</f>
        <v/>
      </c>
      <c r="AM10" s="43" t="str">
        <f>IF(AND('Mapa final'!$Y$22="Muy Alta",'Mapa final'!$AA$22="Catastrófico"),CONCATENATE("R5C",'Mapa final'!$O$22),"")</f>
        <v/>
      </c>
      <c r="AN10" s="69"/>
      <c r="AO10" s="372"/>
      <c r="AP10" s="373"/>
      <c r="AQ10" s="373"/>
      <c r="AR10" s="373"/>
      <c r="AS10" s="373"/>
      <c r="AT10" s="374"/>
      <c r="AU10" s="69"/>
      <c r="AV10" s="69"/>
      <c r="AW10" s="69"/>
      <c r="AX10" s="69"/>
      <c r="AY10" s="69"/>
      <c r="AZ10" s="69"/>
      <c r="BA10" s="69"/>
      <c r="BB10" s="69"/>
      <c r="BC10" s="69"/>
      <c r="BD10" s="69"/>
      <c r="BE10" s="69"/>
      <c r="BF10" s="69"/>
      <c r="BG10" s="69"/>
      <c r="BH10" s="69"/>
      <c r="BI10" s="69"/>
      <c r="BJ10" s="69"/>
      <c r="BK10" s="69"/>
      <c r="BL10" s="69"/>
      <c r="BM10" s="69"/>
      <c r="BN10" s="69"/>
      <c r="BO10" s="69"/>
      <c r="BP10" s="69"/>
      <c r="BQ10" s="69"/>
      <c r="BR10" s="69"/>
      <c r="BS10" s="69"/>
      <c r="BT10" s="69"/>
      <c r="BU10" s="69"/>
      <c r="BV10" s="69"/>
      <c r="BW10" s="69"/>
      <c r="BX10" s="69"/>
    </row>
    <row r="11" spans="1:91" ht="15" customHeight="1" x14ac:dyDescent="0.25">
      <c r="A11" s="69"/>
      <c r="B11" s="267"/>
      <c r="C11" s="267"/>
      <c r="D11" s="268"/>
      <c r="E11" s="366"/>
      <c r="F11" s="365"/>
      <c r="G11" s="365"/>
      <c r="H11" s="365"/>
      <c r="I11" s="381"/>
      <c r="J11" s="38" t="e">
        <f>IF(AND('Mapa final'!#REF!="Muy Alta",'Mapa final'!#REF!="Leve"),CONCATENATE("R6C",'Mapa final'!#REF!),"")</f>
        <v>#REF!</v>
      </c>
      <c r="K11" s="39" t="e">
        <f>IF(AND('Mapa final'!#REF!="Muy Alta",'Mapa final'!#REF!="Leve"),CONCATENATE("R6C",'Mapa final'!#REF!),"")</f>
        <v>#REF!</v>
      </c>
      <c r="L11" s="39" t="e">
        <f>IF(AND('Mapa final'!#REF!="Muy Alta",'Mapa final'!#REF!="Leve"),CONCATENATE("R6C",'Mapa final'!#REF!),"")</f>
        <v>#REF!</v>
      </c>
      <c r="M11" s="39" t="e">
        <f>IF(AND('Mapa final'!#REF!="Muy Alta",'Mapa final'!#REF!="Leve"),CONCATENATE("R6C",'Mapa final'!#REF!),"")</f>
        <v>#REF!</v>
      </c>
      <c r="N11" s="39" t="e">
        <f>IF(AND('Mapa final'!#REF!="Muy Alta",'Mapa final'!#REF!="Leve"),CONCATENATE("R6C",'Mapa final'!#REF!),"")</f>
        <v>#REF!</v>
      </c>
      <c r="O11" s="40" t="e">
        <f>IF(AND('Mapa final'!#REF!="Muy Alta",'Mapa final'!#REF!="Leve"),CONCATENATE("R6C",'Mapa final'!#REF!),"")</f>
        <v>#REF!</v>
      </c>
      <c r="P11" s="38" t="e">
        <f>IF(AND('Mapa final'!#REF!="Muy Alta",'Mapa final'!#REF!="Menor"),CONCATENATE("R6C",'Mapa final'!#REF!),"")</f>
        <v>#REF!</v>
      </c>
      <c r="Q11" s="39" t="e">
        <f>IF(AND('Mapa final'!#REF!="Muy Alta",'Mapa final'!#REF!="Menor"),CONCATENATE("R6C",'Mapa final'!#REF!),"")</f>
        <v>#REF!</v>
      </c>
      <c r="R11" s="39" t="e">
        <f>IF(AND('Mapa final'!#REF!="Muy Alta",'Mapa final'!#REF!="Menor"),CONCATENATE("R6C",'Mapa final'!#REF!),"")</f>
        <v>#REF!</v>
      </c>
      <c r="S11" s="39" t="e">
        <f>IF(AND('Mapa final'!#REF!="Muy Alta",'Mapa final'!#REF!="Menor"),CONCATENATE("R6C",'Mapa final'!#REF!),"")</f>
        <v>#REF!</v>
      </c>
      <c r="T11" s="39" t="e">
        <f>IF(AND('Mapa final'!#REF!="Muy Alta",'Mapa final'!#REF!="Menor"),CONCATENATE("R6C",'Mapa final'!#REF!),"")</f>
        <v>#REF!</v>
      </c>
      <c r="U11" s="40" t="e">
        <f>IF(AND('Mapa final'!#REF!="Muy Alta",'Mapa final'!#REF!="Menor"),CONCATENATE("R6C",'Mapa final'!#REF!),"")</f>
        <v>#REF!</v>
      </c>
      <c r="V11" s="38" t="e">
        <f>IF(AND('Mapa final'!#REF!="Muy Alta",'Mapa final'!#REF!="Moderado"),CONCATENATE("R6C",'Mapa final'!#REF!),"")</f>
        <v>#REF!</v>
      </c>
      <c r="W11" s="39" t="e">
        <f>IF(AND('Mapa final'!#REF!="Muy Alta",'Mapa final'!#REF!="Moderado"),CONCATENATE("R6C",'Mapa final'!#REF!),"")</f>
        <v>#REF!</v>
      </c>
      <c r="X11" s="39" t="e">
        <f>IF(AND('Mapa final'!#REF!="Muy Alta",'Mapa final'!#REF!="Moderado"),CONCATENATE("R6C",'Mapa final'!#REF!),"")</f>
        <v>#REF!</v>
      </c>
      <c r="Y11" s="39" t="e">
        <f>IF(AND('Mapa final'!#REF!="Muy Alta",'Mapa final'!#REF!="Moderado"),CONCATENATE("R6C",'Mapa final'!#REF!),"")</f>
        <v>#REF!</v>
      </c>
      <c r="Z11" s="39" t="e">
        <f>IF(AND('Mapa final'!#REF!="Muy Alta",'Mapa final'!#REF!="Moderado"),CONCATENATE("R6C",'Mapa final'!#REF!),"")</f>
        <v>#REF!</v>
      </c>
      <c r="AA11" s="40" t="e">
        <f>IF(AND('Mapa final'!#REF!="Muy Alta",'Mapa final'!#REF!="Moderado"),CONCATENATE("R6C",'Mapa final'!#REF!),"")</f>
        <v>#REF!</v>
      </c>
      <c r="AB11" s="38" t="e">
        <f>IF(AND('Mapa final'!#REF!="Muy Alta",'Mapa final'!#REF!="Mayor"),CONCATENATE("R6C",'Mapa final'!#REF!),"")</f>
        <v>#REF!</v>
      </c>
      <c r="AC11" s="39" t="e">
        <f>IF(AND('Mapa final'!#REF!="Muy Alta",'Mapa final'!#REF!="Mayor"),CONCATENATE("R6C",'Mapa final'!#REF!),"")</f>
        <v>#REF!</v>
      </c>
      <c r="AD11" s="39" t="e">
        <f>IF(AND('Mapa final'!#REF!="Muy Alta",'Mapa final'!#REF!="Mayor"),CONCATENATE("R6C",'Mapa final'!#REF!),"")</f>
        <v>#REF!</v>
      </c>
      <c r="AE11" s="39" t="e">
        <f>IF(AND('Mapa final'!#REF!="Muy Alta",'Mapa final'!#REF!="Mayor"),CONCATENATE("R6C",'Mapa final'!#REF!),"")</f>
        <v>#REF!</v>
      </c>
      <c r="AF11" s="39" t="e">
        <f>IF(AND('Mapa final'!#REF!="Muy Alta",'Mapa final'!#REF!="Mayor"),CONCATENATE("R6C",'Mapa final'!#REF!),"")</f>
        <v>#REF!</v>
      </c>
      <c r="AG11" s="40" t="e">
        <f>IF(AND('Mapa final'!#REF!="Muy Alta",'Mapa final'!#REF!="Mayor"),CONCATENATE("R6C",'Mapa final'!#REF!),"")</f>
        <v>#REF!</v>
      </c>
      <c r="AH11" s="41" t="e">
        <f>IF(AND('Mapa final'!#REF!="Muy Alta",'Mapa final'!#REF!="Catastrófico"),CONCATENATE("R6C",'Mapa final'!#REF!),"")</f>
        <v>#REF!</v>
      </c>
      <c r="AI11" s="42" t="e">
        <f>IF(AND('Mapa final'!#REF!="Muy Alta",'Mapa final'!#REF!="Catastrófico"),CONCATENATE("R6C",'Mapa final'!#REF!),"")</f>
        <v>#REF!</v>
      </c>
      <c r="AJ11" s="42" t="e">
        <f>IF(AND('Mapa final'!#REF!="Muy Alta",'Mapa final'!#REF!="Catastrófico"),CONCATENATE("R6C",'Mapa final'!#REF!),"")</f>
        <v>#REF!</v>
      </c>
      <c r="AK11" s="42" t="e">
        <f>IF(AND('Mapa final'!#REF!="Muy Alta",'Mapa final'!#REF!="Catastrófico"),CONCATENATE("R6C",'Mapa final'!#REF!),"")</f>
        <v>#REF!</v>
      </c>
      <c r="AL11" s="42" t="e">
        <f>IF(AND('Mapa final'!#REF!="Muy Alta",'Mapa final'!#REF!="Catastrófico"),CONCATENATE("R6C",'Mapa final'!#REF!),"")</f>
        <v>#REF!</v>
      </c>
      <c r="AM11" s="43" t="e">
        <f>IF(AND('Mapa final'!#REF!="Muy Alta",'Mapa final'!#REF!="Catastrófico"),CONCATENATE("R6C",'Mapa final'!#REF!),"")</f>
        <v>#REF!</v>
      </c>
      <c r="AN11" s="69"/>
      <c r="AO11" s="372"/>
      <c r="AP11" s="373"/>
      <c r="AQ11" s="373"/>
      <c r="AR11" s="373"/>
      <c r="AS11" s="373"/>
      <c r="AT11" s="374"/>
      <c r="AU11" s="69"/>
      <c r="AV11" s="69"/>
      <c r="AW11" s="69"/>
      <c r="AX11" s="69"/>
      <c r="AY11" s="69"/>
      <c r="AZ11" s="69"/>
      <c r="BA11" s="69"/>
      <c r="BB11" s="69"/>
      <c r="BC11" s="69"/>
      <c r="BD11" s="69"/>
      <c r="BE11" s="69"/>
      <c r="BF11" s="69"/>
      <c r="BG11" s="69"/>
      <c r="BH11" s="69"/>
      <c r="BI11" s="69"/>
      <c r="BJ11" s="69"/>
      <c r="BK11" s="69"/>
      <c r="BL11" s="69"/>
      <c r="BM11" s="69"/>
      <c r="BN11" s="69"/>
      <c r="BO11" s="69"/>
      <c r="BP11" s="69"/>
      <c r="BQ11" s="69"/>
      <c r="BR11" s="69"/>
      <c r="BS11" s="69"/>
      <c r="BT11" s="69"/>
      <c r="BU11" s="69"/>
      <c r="BV11" s="69"/>
      <c r="BW11" s="69"/>
      <c r="BX11" s="69"/>
    </row>
    <row r="12" spans="1:91" ht="15" customHeight="1" x14ac:dyDescent="0.25">
      <c r="A12" s="69"/>
      <c r="B12" s="267"/>
      <c r="C12" s="267"/>
      <c r="D12" s="268"/>
      <c r="E12" s="366"/>
      <c r="F12" s="365"/>
      <c r="G12" s="365"/>
      <c r="H12" s="365"/>
      <c r="I12" s="381"/>
      <c r="J12" s="38" t="e">
        <f>IF(AND('Mapa final'!#REF!="Muy Alta",'Mapa final'!#REF!="Leve"),CONCATENATE("R7C",'Mapa final'!#REF!),"")</f>
        <v>#REF!</v>
      </c>
      <c r="K12" s="39" t="e">
        <f>IF(AND('Mapa final'!#REF!="Muy Alta",'Mapa final'!#REF!="Leve"),CONCATENATE("R7C",'Mapa final'!#REF!),"")</f>
        <v>#REF!</v>
      </c>
      <c r="L12" s="39" t="e">
        <f>IF(AND('Mapa final'!#REF!="Muy Alta",'Mapa final'!#REF!="Leve"),CONCATENATE("R7C",'Mapa final'!#REF!),"")</f>
        <v>#REF!</v>
      </c>
      <c r="M12" s="39" t="e">
        <f>IF(AND('Mapa final'!#REF!="Muy Alta",'Mapa final'!#REF!="Leve"),CONCATENATE("R7C",'Mapa final'!#REF!),"")</f>
        <v>#REF!</v>
      </c>
      <c r="N12" s="39" t="e">
        <f>IF(AND('Mapa final'!#REF!="Muy Alta",'Mapa final'!#REF!="Leve"),CONCATENATE("R7C",'Mapa final'!#REF!),"")</f>
        <v>#REF!</v>
      </c>
      <c r="O12" s="40" t="e">
        <f>IF(AND('Mapa final'!#REF!="Muy Alta",'Mapa final'!#REF!="Leve"),CONCATENATE("R7C",'Mapa final'!#REF!),"")</f>
        <v>#REF!</v>
      </c>
      <c r="P12" s="38" t="e">
        <f>IF(AND('Mapa final'!#REF!="Muy Alta",'Mapa final'!#REF!="Menor"),CONCATENATE("R7C",'Mapa final'!#REF!),"")</f>
        <v>#REF!</v>
      </c>
      <c r="Q12" s="39" t="e">
        <f>IF(AND('Mapa final'!#REF!="Muy Alta",'Mapa final'!#REF!="Menor"),CONCATENATE("R7C",'Mapa final'!#REF!),"")</f>
        <v>#REF!</v>
      </c>
      <c r="R12" s="39" t="e">
        <f>IF(AND('Mapa final'!#REF!="Muy Alta",'Mapa final'!#REF!="Menor"),CONCATENATE("R7C",'Mapa final'!#REF!),"")</f>
        <v>#REF!</v>
      </c>
      <c r="S12" s="39" t="e">
        <f>IF(AND('Mapa final'!#REF!="Muy Alta",'Mapa final'!#REF!="Menor"),CONCATENATE("R7C",'Mapa final'!#REF!),"")</f>
        <v>#REF!</v>
      </c>
      <c r="T12" s="39" t="e">
        <f>IF(AND('Mapa final'!#REF!="Muy Alta",'Mapa final'!#REF!="Menor"),CONCATENATE("R7C",'Mapa final'!#REF!),"")</f>
        <v>#REF!</v>
      </c>
      <c r="U12" s="40" t="e">
        <f>IF(AND('Mapa final'!#REF!="Muy Alta",'Mapa final'!#REF!="Menor"),CONCATENATE("R7C",'Mapa final'!#REF!),"")</f>
        <v>#REF!</v>
      </c>
      <c r="V12" s="38" t="e">
        <f>IF(AND('Mapa final'!#REF!="Muy Alta",'Mapa final'!#REF!="Moderado"),CONCATENATE("R7C",'Mapa final'!#REF!),"")</f>
        <v>#REF!</v>
      </c>
      <c r="W12" s="39" t="e">
        <f>IF(AND('Mapa final'!#REF!="Muy Alta",'Mapa final'!#REF!="Moderado"),CONCATENATE("R7C",'Mapa final'!#REF!),"")</f>
        <v>#REF!</v>
      </c>
      <c r="X12" s="39" t="e">
        <f>IF(AND('Mapa final'!#REF!="Muy Alta",'Mapa final'!#REF!="Moderado"),CONCATENATE("R7C",'Mapa final'!#REF!),"")</f>
        <v>#REF!</v>
      </c>
      <c r="Y12" s="39" t="e">
        <f>IF(AND('Mapa final'!#REF!="Muy Alta",'Mapa final'!#REF!="Moderado"),CONCATENATE("R7C",'Mapa final'!#REF!),"")</f>
        <v>#REF!</v>
      </c>
      <c r="Z12" s="39" t="e">
        <f>IF(AND('Mapa final'!#REF!="Muy Alta",'Mapa final'!#REF!="Moderado"),CONCATENATE("R7C",'Mapa final'!#REF!),"")</f>
        <v>#REF!</v>
      </c>
      <c r="AA12" s="40" t="e">
        <f>IF(AND('Mapa final'!#REF!="Muy Alta",'Mapa final'!#REF!="Moderado"),CONCATENATE("R7C",'Mapa final'!#REF!),"")</f>
        <v>#REF!</v>
      </c>
      <c r="AB12" s="38" t="e">
        <f>IF(AND('Mapa final'!#REF!="Muy Alta",'Mapa final'!#REF!="Mayor"),CONCATENATE("R7C",'Mapa final'!#REF!),"")</f>
        <v>#REF!</v>
      </c>
      <c r="AC12" s="39" t="e">
        <f>IF(AND('Mapa final'!#REF!="Muy Alta",'Mapa final'!#REF!="Mayor"),CONCATENATE("R7C",'Mapa final'!#REF!),"")</f>
        <v>#REF!</v>
      </c>
      <c r="AD12" s="39" t="e">
        <f>IF(AND('Mapa final'!#REF!="Muy Alta",'Mapa final'!#REF!="Mayor"),CONCATENATE("R7C",'Mapa final'!#REF!),"")</f>
        <v>#REF!</v>
      </c>
      <c r="AE12" s="39" t="e">
        <f>IF(AND('Mapa final'!#REF!="Muy Alta",'Mapa final'!#REF!="Mayor"),CONCATENATE("R7C",'Mapa final'!#REF!),"")</f>
        <v>#REF!</v>
      </c>
      <c r="AF12" s="39" t="e">
        <f>IF(AND('Mapa final'!#REF!="Muy Alta",'Mapa final'!#REF!="Mayor"),CONCATENATE("R7C",'Mapa final'!#REF!),"")</f>
        <v>#REF!</v>
      </c>
      <c r="AG12" s="40" t="e">
        <f>IF(AND('Mapa final'!#REF!="Muy Alta",'Mapa final'!#REF!="Mayor"),CONCATENATE("R7C",'Mapa final'!#REF!),"")</f>
        <v>#REF!</v>
      </c>
      <c r="AH12" s="41" t="e">
        <f>IF(AND('Mapa final'!#REF!="Muy Alta",'Mapa final'!#REF!="Catastrófico"),CONCATENATE("R7C",'Mapa final'!#REF!),"")</f>
        <v>#REF!</v>
      </c>
      <c r="AI12" s="42" t="e">
        <f>IF(AND('Mapa final'!#REF!="Muy Alta",'Mapa final'!#REF!="Catastrófico"),CONCATENATE("R7C",'Mapa final'!#REF!),"")</f>
        <v>#REF!</v>
      </c>
      <c r="AJ12" s="42" t="e">
        <f>IF(AND('Mapa final'!#REF!="Muy Alta",'Mapa final'!#REF!="Catastrófico"),CONCATENATE("R7C",'Mapa final'!#REF!),"")</f>
        <v>#REF!</v>
      </c>
      <c r="AK12" s="42" t="e">
        <f>IF(AND('Mapa final'!#REF!="Muy Alta",'Mapa final'!#REF!="Catastrófico"),CONCATENATE("R7C",'Mapa final'!#REF!),"")</f>
        <v>#REF!</v>
      </c>
      <c r="AL12" s="42" t="e">
        <f>IF(AND('Mapa final'!#REF!="Muy Alta",'Mapa final'!#REF!="Catastrófico"),CONCATENATE("R7C",'Mapa final'!#REF!),"")</f>
        <v>#REF!</v>
      </c>
      <c r="AM12" s="43" t="e">
        <f>IF(AND('Mapa final'!#REF!="Muy Alta",'Mapa final'!#REF!="Catastrófico"),CONCATENATE("R7C",'Mapa final'!#REF!),"")</f>
        <v>#REF!</v>
      </c>
      <c r="AN12" s="69"/>
      <c r="AO12" s="372"/>
      <c r="AP12" s="373"/>
      <c r="AQ12" s="373"/>
      <c r="AR12" s="373"/>
      <c r="AS12" s="373"/>
      <c r="AT12" s="374"/>
      <c r="AU12" s="69"/>
      <c r="AV12" s="69"/>
      <c r="AW12" s="69"/>
      <c r="AX12" s="69"/>
      <c r="AY12" s="69"/>
      <c r="AZ12" s="69"/>
      <c r="BA12" s="69"/>
      <c r="BB12" s="69"/>
      <c r="BC12" s="69"/>
      <c r="BD12" s="69"/>
      <c r="BE12" s="69"/>
      <c r="BF12" s="69"/>
      <c r="BG12" s="69"/>
      <c r="BH12" s="69"/>
      <c r="BI12" s="69"/>
      <c r="BJ12" s="69"/>
      <c r="BK12" s="69"/>
      <c r="BL12" s="69"/>
      <c r="BM12" s="69"/>
      <c r="BN12" s="69"/>
      <c r="BO12" s="69"/>
      <c r="BP12" s="69"/>
      <c r="BQ12" s="69"/>
      <c r="BR12" s="69"/>
      <c r="BS12" s="69"/>
      <c r="BT12" s="69"/>
      <c r="BU12" s="69"/>
      <c r="BV12" s="69"/>
      <c r="BW12" s="69"/>
      <c r="BX12" s="69"/>
    </row>
    <row r="13" spans="1:91" ht="15" customHeight="1" x14ac:dyDescent="0.25">
      <c r="A13" s="69"/>
      <c r="B13" s="267"/>
      <c r="C13" s="267"/>
      <c r="D13" s="268"/>
      <c r="E13" s="366"/>
      <c r="F13" s="365"/>
      <c r="G13" s="365"/>
      <c r="H13" s="365"/>
      <c r="I13" s="381"/>
      <c r="J13" s="38" t="e">
        <f>IF(AND('Mapa final'!#REF!="Muy Alta",'Mapa final'!#REF!="Leve"),CONCATENATE("R8C",'Mapa final'!#REF!),"")</f>
        <v>#REF!</v>
      </c>
      <c r="K13" s="39" t="e">
        <f>IF(AND('Mapa final'!#REF!="Muy Alta",'Mapa final'!#REF!="Leve"),CONCATENATE("R8C",'Mapa final'!#REF!),"")</f>
        <v>#REF!</v>
      </c>
      <c r="L13" s="39" t="e">
        <f>IF(AND('Mapa final'!#REF!="Muy Alta",'Mapa final'!#REF!="Leve"),CONCATENATE("R8C",'Mapa final'!#REF!),"")</f>
        <v>#REF!</v>
      </c>
      <c r="M13" s="39" t="e">
        <f>IF(AND('Mapa final'!#REF!="Muy Alta",'Mapa final'!#REF!="Leve"),CONCATENATE("R8C",'Mapa final'!#REF!),"")</f>
        <v>#REF!</v>
      </c>
      <c r="N13" s="39" t="e">
        <f>IF(AND('Mapa final'!#REF!="Muy Alta",'Mapa final'!#REF!="Leve"),CONCATENATE("R8C",'Mapa final'!#REF!),"")</f>
        <v>#REF!</v>
      </c>
      <c r="O13" s="40" t="e">
        <f>IF(AND('Mapa final'!#REF!="Muy Alta",'Mapa final'!#REF!="Leve"),CONCATENATE("R8C",'Mapa final'!#REF!),"")</f>
        <v>#REF!</v>
      </c>
      <c r="P13" s="38" t="e">
        <f>IF(AND('Mapa final'!#REF!="Muy Alta",'Mapa final'!#REF!="Menor"),CONCATENATE("R8C",'Mapa final'!#REF!),"")</f>
        <v>#REF!</v>
      </c>
      <c r="Q13" s="39" t="e">
        <f>IF(AND('Mapa final'!#REF!="Muy Alta",'Mapa final'!#REF!="Menor"),CONCATENATE("R8C",'Mapa final'!#REF!),"")</f>
        <v>#REF!</v>
      </c>
      <c r="R13" s="39" t="e">
        <f>IF(AND('Mapa final'!#REF!="Muy Alta",'Mapa final'!#REF!="Menor"),CONCATENATE("R8C",'Mapa final'!#REF!),"")</f>
        <v>#REF!</v>
      </c>
      <c r="S13" s="39" t="e">
        <f>IF(AND('Mapa final'!#REF!="Muy Alta",'Mapa final'!#REF!="Menor"),CONCATENATE("R8C",'Mapa final'!#REF!),"")</f>
        <v>#REF!</v>
      </c>
      <c r="T13" s="39" t="e">
        <f>IF(AND('Mapa final'!#REF!="Muy Alta",'Mapa final'!#REF!="Menor"),CONCATENATE("R8C",'Mapa final'!#REF!),"")</f>
        <v>#REF!</v>
      </c>
      <c r="U13" s="40" t="e">
        <f>IF(AND('Mapa final'!#REF!="Muy Alta",'Mapa final'!#REF!="Menor"),CONCATENATE("R8C",'Mapa final'!#REF!),"")</f>
        <v>#REF!</v>
      </c>
      <c r="V13" s="38" t="e">
        <f>IF(AND('Mapa final'!#REF!="Muy Alta",'Mapa final'!#REF!="Moderado"),CONCATENATE("R8C",'Mapa final'!#REF!),"")</f>
        <v>#REF!</v>
      </c>
      <c r="W13" s="39" t="e">
        <f>IF(AND('Mapa final'!#REF!="Muy Alta",'Mapa final'!#REF!="Moderado"),CONCATENATE("R8C",'Mapa final'!#REF!),"")</f>
        <v>#REF!</v>
      </c>
      <c r="X13" s="39" t="e">
        <f>IF(AND('Mapa final'!#REF!="Muy Alta",'Mapa final'!#REF!="Moderado"),CONCATENATE("R8C",'Mapa final'!#REF!),"")</f>
        <v>#REF!</v>
      </c>
      <c r="Y13" s="39" t="e">
        <f>IF(AND('Mapa final'!#REF!="Muy Alta",'Mapa final'!#REF!="Moderado"),CONCATENATE("R8C",'Mapa final'!#REF!),"")</f>
        <v>#REF!</v>
      </c>
      <c r="Z13" s="39" t="e">
        <f>IF(AND('Mapa final'!#REF!="Muy Alta",'Mapa final'!#REF!="Moderado"),CONCATENATE("R8C",'Mapa final'!#REF!),"")</f>
        <v>#REF!</v>
      </c>
      <c r="AA13" s="40" t="e">
        <f>IF(AND('Mapa final'!#REF!="Muy Alta",'Mapa final'!#REF!="Moderado"),CONCATENATE("R8C",'Mapa final'!#REF!),"")</f>
        <v>#REF!</v>
      </c>
      <c r="AB13" s="38" t="e">
        <f>IF(AND('Mapa final'!#REF!="Muy Alta",'Mapa final'!#REF!="Mayor"),CONCATENATE("R8C",'Mapa final'!#REF!),"")</f>
        <v>#REF!</v>
      </c>
      <c r="AC13" s="39" t="e">
        <f>IF(AND('Mapa final'!#REF!="Muy Alta",'Mapa final'!#REF!="Mayor"),CONCATENATE("R8C",'Mapa final'!#REF!),"")</f>
        <v>#REF!</v>
      </c>
      <c r="AD13" s="39" t="e">
        <f>IF(AND('Mapa final'!#REF!="Muy Alta",'Mapa final'!#REF!="Mayor"),CONCATENATE("R8C",'Mapa final'!#REF!),"")</f>
        <v>#REF!</v>
      </c>
      <c r="AE13" s="39" t="e">
        <f>IF(AND('Mapa final'!#REF!="Muy Alta",'Mapa final'!#REF!="Mayor"),CONCATENATE("R8C",'Mapa final'!#REF!),"")</f>
        <v>#REF!</v>
      </c>
      <c r="AF13" s="39" t="e">
        <f>IF(AND('Mapa final'!#REF!="Muy Alta",'Mapa final'!#REF!="Mayor"),CONCATENATE("R8C",'Mapa final'!#REF!),"")</f>
        <v>#REF!</v>
      </c>
      <c r="AG13" s="40" t="e">
        <f>IF(AND('Mapa final'!#REF!="Muy Alta",'Mapa final'!#REF!="Mayor"),CONCATENATE("R8C",'Mapa final'!#REF!),"")</f>
        <v>#REF!</v>
      </c>
      <c r="AH13" s="41" t="e">
        <f>IF(AND('Mapa final'!#REF!="Muy Alta",'Mapa final'!#REF!="Catastrófico"),CONCATENATE("R8C",'Mapa final'!#REF!),"")</f>
        <v>#REF!</v>
      </c>
      <c r="AI13" s="42" t="e">
        <f>IF(AND('Mapa final'!#REF!="Muy Alta",'Mapa final'!#REF!="Catastrófico"),CONCATENATE("R8C",'Mapa final'!#REF!),"")</f>
        <v>#REF!</v>
      </c>
      <c r="AJ13" s="42" t="e">
        <f>IF(AND('Mapa final'!#REF!="Muy Alta",'Mapa final'!#REF!="Catastrófico"),CONCATENATE("R8C",'Mapa final'!#REF!),"")</f>
        <v>#REF!</v>
      </c>
      <c r="AK13" s="42" t="e">
        <f>IF(AND('Mapa final'!#REF!="Muy Alta",'Mapa final'!#REF!="Catastrófico"),CONCATENATE("R8C",'Mapa final'!#REF!),"")</f>
        <v>#REF!</v>
      </c>
      <c r="AL13" s="42" t="e">
        <f>IF(AND('Mapa final'!#REF!="Muy Alta",'Mapa final'!#REF!="Catastrófico"),CONCATENATE("R8C",'Mapa final'!#REF!),"")</f>
        <v>#REF!</v>
      </c>
      <c r="AM13" s="43" t="e">
        <f>IF(AND('Mapa final'!#REF!="Muy Alta",'Mapa final'!#REF!="Catastrófico"),CONCATENATE("R8C",'Mapa final'!#REF!),"")</f>
        <v>#REF!</v>
      </c>
      <c r="AN13" s="69"/>
      <c r="AO13" s="372"/>
      <c r="AP13" s="373"/>
      <c r="AQ13" s="373"/>
      <c r="AR13" s="373"/>
      <c r="AS13" s="373"/>
      <c r="AT13" s="374"/>
      <c r="AU13" s="69"/>
      <c r="AV13" s="69"/>
      <c r="AW13" s="69"/>
      <c r="AX13" s="69"/>
      <c r="AY13" s="69"/>
      <c r="AZ13" s="69"/>
      <c r="BA13" s="69"/>
      <c r="BB13" s="69"/>
      <c r="BC13" s="69"/>
      <c r="BD13" s="69"/>
      <c r="BE13" s="69"/>
      <c r="BF13" s="69"/>
      <c r="BG13" s="69"/>
      <c r="BH13" s="69"/>
      <c r="BI13" s="69"/>
      <c r="BJ13" s="69"/>
      <c r="BK13" s="69"/>
      <c r="BL13" s="69"/>
      <c r="BM13" s="69"/>
      <c r="BN13" s="69"/>
      <c r="BO13" s="69"/>
      <c r="BP13" s="69"/>
      <c r="BQ13" s="69"/>
      <c r="BR13" s="69"/>
      <c r="BS13" s="69"/>
      <c r="BT13" s="69"/>
      <c r="BU13" s="69"/>
      <c r="BV13" s="69"/>
      <c r="BW13" s="69"/>
      <c r="BX13" s="69"/>
    </row>
    <row r="14" spans="1:91" ht="15" customHeight="1" x14ac:dyDescent="0.25">
      <c r="A14" s="69"/>
      <c r="B14" s="267"/>
      <c r="C14" s="267"/>
      <c r="D14" s="268"/>
      <c r="E14" s="366"/>
      <c r="F14" s="365"/>
      <c r="G14" s="365"/>
      <c r="H14" s="365"/>
      <c r="I14" s="381"/>
      <c r="J14" s="38" t="e">
        <f>IF(AND('Mapa final'!#REF!="Muy Alta",'Mapa final'!#REF!="Leve"),CONCATENATE("R9C",'Mapa final'!#REF!),"")</f>
        <v>#REF!</v>
      </c>
      <c r="K14" s="39" t="e">
        <f>IF(AND('Mapa final'!#REF!="Muy Alta",'Mapa final'!#REF!="Leve"),CONCATENATE("R9C",'Mapa final'!#REF!),"")</f>
        <v>#REF!</v>
      </c>
      <c r="L14" s="39" t="e">
        <f>IF(AND('Mapa final'!#REF!="Muy Alta",'Mapa final'!#REF!="Leve"),CONCATENATE("R9C",'Mapa final'!#REF!),"")</f>
        <v>#REF!</v>
      </c>
      <c r="M14" s="39" t="e">
        <f>IF(AND('Mapa final'!#REF!="Muy Alta",'Mapa final'!#REF!="Leve"),CONCATENATE("R9C",'Mapa final'!#REF!),"")</f>
        <v>#REF!</v>
      </c>
      <c r="N14" s="39" t="e">
        <f>IF(AND('Mapa final'!#REF!="Muy Alta",'Mapa final'!#REF!="Leve"),CONCATENATE("R9C",'Mapa final'!#REF!),"")</f>
        <v>#REF!</v>
      </c>
      <c r="O14" s="40" t="e">
        <f>IF(AND('Mapa final'!#REF!="Muy Alta",'Mapa final'!#REF!="Leve"),CONCATENATE("R9C",'Mapa final'!#REF!),"")</f>
        <v>#REF!</v>
      </c>
      <c r="P14" s="38" t="e">
        <f>IF(AND('Mapa final'!#REF!="Muy Alta",'Mapa final'!#REF!="Menor"),CONCATENATE("R9C",'Mapa final'!#REF!),"")</f>
        <v>#REF!</v>
      </c>
      <c r="Q14" s="39" t="e">
        <f>IF(AND('Mapa final'!#REF!="Muy Alta",'Mapa final'!#REF!="Menor"),CONCATENATE("R9C",'Mapa final'!#REF!),"")</f>
        <v>#REF!</v>
      </c>
      <c r="R14" s="39" t="e">
        <f>IF(AND('Mapa final'!#REF!="Muy Alta",'Mapa final'!#REF!="Menor"),CONCATENATE("R9C",'Mapa final'!#REF!),"")</f>
        <v>#REF!</v>
      </c>
      <c r="S14" s="39" t="e">
        <f>IF(AND('Mapa final'!#REF!="Muy Alta",'Mapa final'!#REF!="Menor"),CONCATENATE("R9C",'Mapa final'!#REF!),"")</f>
        <v>#REF!</v>
      </c>
      <c r="T14" s="39" t="e">
        <f>IF(AND('Mapa final'!#REF!="Muy Alta",'Mapa final'!#REF!="Menor"),CONCATENATE("R9C",'Mapa final'!#REF!),"")</f>
        <v>#REF!</v>
      </c>
      <c r="U14" s="40" t="e">
        <f>IF(AND('Mapa final'!#REF!="Muy Alta",'Mapa final'!#REF!="Menor"),CONCATENATE("R9C",'Mapa final'!#REF!),"")</f>
        <v>#REF!</v>
      </c>
      <c r="V14" s="38" t="e">
        <f>IF(AND('Mapa final'!#REF!="Muy Alta",'Mapa final'!#REF!="Moderado"),CONCATENATE("R9C",'Mapa final'!#REF!),"")</f>
        <v>#REF!</v>
      </c>
      <c r="W14" s="39" t="e">
        <f>IF(AND('Mapa final'!#REF!="Muy Alta",'Mapa final'!#REF!="Moderado"),CONCATENATE("R9C",'Mapa final'!#REF!),"")</f>
        <v>#REF!</v>
      </c>
      <c r="X14" s="39" t="e">
        <f>IF(AND('Mapa final'!#REF!="Muy Alta",'Mapa final'!#REF!="Moderado"),CONCATENATE("R9C",'Mapa final'!#REF!),"")</f>
        <v>#REF!</v>
      </c>
      <c r="Y14" s="39" t="e">
        <f>IF(AND('Mapa final'!#REF!="Muy Alta",'Mapa final'!#REF!="Moderado"),CONCATENATE("R9C",'Mapa final'!#REF!),"")</f>
        <v>#REF!</v>
      </c>
      <c r="Z14" s="39" t="e">
        <f>IF(AND('Mapa final'!#REF!="Muy Alta",'Mapa final'!#REF!="Moderado"),CONCATENATE("R9C",'Mapa final'!#REF!),"")</f>
        <v>#REF!</v>
      </c>
      <c r="AA14" s="40" t="e">
        <f>IF(AND('Mapa final'!#REF!="Muy Alta",'Mapa final'!#REF!="Moderado"),CONCATENATE("R9C",'Mapa final'!#REF!),"")</f>
        <v>#REF!</v>
      </c>
      <c r="AB14" s="38" t="e">
        <f>IF(AND('Mapa final'!#REF!="Muy Alta",'Mapa final'!#REF!="Mayor"),CONCATENATE("R9C",'Mapa final'!#REF!),"")</f>
        <v>#REF!</v>
      </c>
      <c r="AC14" s="39" t="e">
        <f>IF(AND('Mapa final'!#REF!="Muy Alta",'Mapa final'!#REF!="Mayor"),CONCATENATE("R9C",'Mapa final'!#REF!),"")</f>
        <v>#REF!</v>
      </c>
      <c r="AD14" s="39" t="e">
        <f>IF(AND('Mapa final'!#REF!="Muy Alta",'Mapa final'!#REF!="Mayor"),CONCATENATE("R9C",'Mapa final'!#REF!),"")</f>
        <v>#REF!</v>
      </c>
      <c r="AE14" s="39" t="e">
        <f>IF(AND('Mapa final'!#REF!="Muy Alta",'Mapa final'!#REF!="Mayor"),CONCATENATE("R9C",'Mapa final'!#REF!),"")</f>
        <v>#REF!</v>
      </c>
      <c r="AF14" s="39" t="e">
        <f>IF(AND('Mapa final'!#REF!="Muy Alta",'Mapa final'!#REF!="Mayor"),CONCATENATE("R9C",'Mapa final'!#REF!),"")</f>
        <v>#REF!</v>
      </c>
      <c r="AG14" s="40" t="e">
        <f>IF(AND('Mapa final'!#REF!="Muy Alta",'Mapa final'!#REF!="Mayor"),CONCATENATE("R9C",'Mapa final'!#REF!),"")</f>
        <v>#REF!</v>
      </c>
      <c r="AH14" s="41" t="e">
        <f>IF(AND('Mapa final'!#REF!="Muy Alta",'Mapa final'!#REF!="Catastrófico"),CONCATENATE("R9C",'Mapa final'!#REF!),"")</f>
        <v>#REF!</v>
      </c>
      <c r="AI14" s="42" t="e">
        <f>IF(AND('Mapa final'!#REF!="Muy Alta",'Mapa final'!#REF!="Catastrófico"),CONCATENATE("R9C",'Mapa final'!#REF!),"")</f>
        <v>#REF!</v>
      </c>
      <c r="AJ14" s="42" t="e">
        <f>IF(AND('Mapa final'!#REF!="Muy Alta",'Mapa final'!#REF!="Catastrófico"),CONCATENATE("R9C",'Mapa final'!#REF!),"")</f>
        <v>#REF!</v>
      </c>
      <c r="AK14" s="42" t="e">
        <f>IF(AND('Mapa final'!#REF!="Muy Alta",'Mapa final'!#REF!="Catastrófico"),CONCATENATE("R9C",'Mapa final'!#REF!),"")</f>
        <v>#REF!</v>
      </c>
      <c r="AL14" s="42" t="e">
        <f>IF(AND('Mapa final'!#REF!="Muy Alta",'Mapa final'!#REF!="Catastrófico"),CONCATENATE("R9C",'Mapa final'!#REF!),"")</f>
        <v>#REF!</v>
      </c>
      <c r="AM14" s="43" t="e">
        <f>IF(AND('Mapa final'!#REF!="Muy Alta",'Mapa final'!#REF!="Catastrófico"),CONCATENATE("R9C",'Mapa final'!#REF!),"")</f>
        <v>#REF!</v>
      </c>
      <c r="AN14" s="69"/>
      <c r="AO14" s="372"/>
      <c r="AP14" s="373"/>
      <c r="AQ14" s="373"/>
      <c r="AR14" s="373"/>
      <c r="AS14" s="373"/>
      <c r="AT14" s="374"/>
      <c r="AU14" s="69"/>
      <c r="AV14" s="69"/>
      <c r="AW14" s="69"/>
      <c r="AX14" s="69"/>
      <c r="AY14" s="69"/>
      <c r="AZ14" s="69"/>
      <c r="BA14" s="69"/>
      <c r="BB14" s="69"/>
      <c r="BC14" s="69"/>
      <c r="BD14" s="69"/>
      <c r="BE14" s="69"/>
      <c r="BF14" s="69"/>
      <c r="BG14" s="69"/>
      <c r="BH14" s="69"/>
      <c r="BI14" s="69"/>
      <c r="BJ14" s="69"/>
      <c r="BK14" s="69"/>
      <c r="BL14" s="69"/>
      <c r="BM14" s="69"/>
      <c r="BN14" s="69"/>
      <c r="BO14" s="69"/>
      <c r="BP14" s="69"/>
      <c r="BQ14" s="69"/>
      <c r="BR14" s="69"/>
      <c r="BS14" s="69"/>
      <c r="BT14" s="69"/>
      <c r="BU14" s="69"/>
      <c r="BV14" s="69"/>
      <c r="BW14" s="69"/>
      <c r="BX14" s="69"/>
    </row>
    <row r="15" spans="1:91" ht="15.75" customHeight="1" thickBot="1" x14ac:dyDescent="0.3">
      <c r="A15" s="69"/>
      <c r="B15" s="267"/>
      <c r="C15" s="267"/>
      <c r="D15" s="268"/>
      <c r="E15" s="367"/>
      <c r="F15" s="368"/>
      <c r="G15" s="368"/>
      <c r="H15" s="368"/>
      <c r="I15" s="382"/>
      <c r="J15" s="44" t="e">
        <f>IF(AND('Mapa final'!#REF!="Muy Alta",'Mapa final'!#REF!="Leve"),CONCATENATE("R10C",'Mapa final'!#REF!),"")</f>
        <v>#REF!</v>
      </c>
      <c r="K15" s="45" t="e">
        <f>IF(AND('Mapa final'!#REF!="Muy Alta",'Mapa final'!#REF!="Leve"),CONCATENATE("R10C",'Mapa final'!#REF!),"")</f>
        <v>#REF!</v>
      </c>
      <c r="L15" s="45" t="e">
        <f>IF(AND('Mapa final'!#REF!="Muy Alta",'Mapa final'!#REF!="Leve"),CONCATENATE("R10C",'Mapa final'!#REF!),"")</f>
        <v>#REF!</v>
      </c>
      <c r="M15" s="45" t="e">
        <f>IF(AND('Mapa final'!#REF!="Muy Alta",'Mapa final'!#REF!="Leve"),CONCATENATE("R10C",'Mapa final'!#REF!),"")</f>
        <v>#REF!</v>
      </c>
      <c r="N15" s="45" t="e">
        <f>IF(AND('Mapa final'!#REF!="Muy Alta",'Mapa final'!#REF!="Leve"),CONCATENATE("R10C",'Mapa final'!#REF!),"")</f>
        <v>#REF!</v>
      </c>
      <c r="O15" s="46" t="e">
        <f>IF(AND('Mapa final'!#REF!="Muy Alta",'Mapa final'!#REF!="Leve"),CONCATENATE("R10C",'Mapa final'!#REF!),"")</f>
        <v>#REF!</v>
      </c>
      <c r="P15" s="38" t="e">
        <f>IF(AND('Mapa final'!#REF!="Muy Alta",'Mapa final'!#REF!="Menor"),CONCATENATE("R10C",'Mapa final'!#REF!),"")</f>
        <v>#REF!</v>
      </c>
      <c r="Q15" s="39" t="e">
        <f>IF(AND('Mapa final'!#REF!="Muy Alta",'Mapa final'!#REF!="Menor"),CONCATENATE("R10C",'Mapa final'!#REF!),"")</f>
        <v>#REF!</v>
      </c>
      <c r="R15" s="39" t="e">
        <f>IF(AND('Mapa final'!#REF!="Muy Alta",'Mapa final'!#REF!="Menor"),CONCATENATE("R10C",'Mapa final'!#REF!),"")</f>
        <v>#REF!</v>
      </c>
      <c r="S15" s="39" t="e">
        <f>IF(AND('Mapa final'!#REF!="Muy Alta",'Mapa final'!#REF!="Menor"),CONCATENATE("R10C",'Mapa final'!#REF!),"")</f>
        <v>#REF!</v>
      </c>
      <c r="T15" s="39" t="e">
        <f>IF(AND('Mapa final'!#REF!="Muy Alta",'Mapa final'!#REF!="Menor"),CONCATENATE("R10C",'Mapa final'!#REF!),"")</f>
        <v>#REF!</v>
      </c>
      <c r="U15" s="40" t="e">
        <f>IF(AND('Mapa final'!#REF!="Muy Alta",'Mapa final'!#REF!="Menor"),CONCATENATE("R10C",'Mapa final'!#REF!),"")</f>
        <v>#REF!</v>
      </c>
      <c r="V15" s="44" t="e">
        <f>IF(AND('Mapa final'!#REF!="Muy Alta",'Mapa final'!#REF!="Moderado"),CONCATENATE("R10C",'Mapa final'!#REF!),"")</f>
        <v>#REF!</v>
      </c>
      <c r="W15" s="45" t="e">
        <f>IF(AND('Mapa final'!#REF!="Muy Alta",'Mapa final'!#REF!="Moderado"),CONCATENATE("R10C",'Mapa final'!#REF!),"")</f>
        <v>#REF!</v>
      </c>
      <c r="X15" s="45" t="e">
        <f>IF(AND('Mapa final'!#REF!="Muy Alta",'Mapa final'!#REF!="Moderado"),CONCATENATE("R10C",'Mapa final'!#REF!),"")</f>
        <v>#REF!</v>
      </c>
      <c r="Y15" s="45" t="e">
        <f>IF(AND('Mapa final'!#REF!="Muy Alta",'Mapa final'!#REF!="Moderado"),CONCATENATE("R10C",'Mapa final'!#REF!),"")</f>
        <v>#REF!</v>
      </c>
      <c r="Z15" s="45" t="e">
        <f>IF(AND('Mapa final'!#REF!="Muy Alta",'Mapa final'!#REF!="Moderado"),CONCATENATE("R10C",'Mapa final'!#REF!),"")</f>
        <v>#REF!</v>
      </c>
      <c r="AA15" s="46" t="e">
        <f>IF(AND('Mapa final'!#REF!="Muy Alta",'Mapa final'!#REF!="Moderado"),CONCATENATE("R10C",'Mapa final'!#REF!),"")</f>
        <v>#REF!</v>
      </c>
      <c r="AB15" s="38" t="e">
        <f>IF(AND('Mapa final'!#REF!="Muy Alta",'Mapa final'!#REF!="Mayor"),CONCATENATE("R10C",'Mapa final'!#REF!),"")</f>
        <v>#REF!</v>
      </c>
      <c r="AC15" s="39" t="e">
        <f>IF(AND('Mapa final'!#REF!="Muy Alta",'Mapa final'!#REF!="Mayor"),CONCATENATE("R10C",'Mapa final'!#REF!),"")</f>
        <v>#REF!</v>
      </c>
      <c r="AD15" s="39" t="e">
        <f>IF(AND('Mapa final'!#REF!="Muy Alta",'Mapa final'!#REF!="Mayor"),CONCATENATE("R10C",'Mapa final'!#REF!),"")</f>
        <v>#REF!</v>
      </c>
      <c r="AE15" s="39" t="e">
        <f>IF(AND('Mapa final'!#REF!="Muy Alta",'Mapa final'!#REF!="Mayor"),CONCATENATE("R10C",'Mapa final'!#REF!),"")</f>
        <v>#REF!</v>
      </c>
      <c r="AF15" s="39" t="e">
        <f>IF(AND('Mapa final'!#REF!="Muy Alta",'Mapa final'!#REF!="Mayor"),CONCATENATE("R10C",'Mapa final'!#REF!),"")</f>
        <v>#REF!</v>
      </c>
      <c r="AG15" s="40" t="e">
        <f>IF(AND('Mapa final'!#REF!="Muy Alta",'Mapa final'!#REF!="Mayor"),CONCATENATE("R10C",'Mapa final'!#REF!),"")</f>
        <v>#REF!</v>
      </c>
      <c r="AH15" s="47" t="e">
        <f>IF(AND('Mapa final'!#REF!="Muy Alta",'Mapa final'!#REF!="Catastrófico"),CONCATENATE("R10C",'Mapa final'!#REF!),"")</f>
        <v>#REF!</v>
      </c>
      <c r="AI15" s="48" t="e">
        <f>IF(AND('Mapa final'!#REF!="Muy Alta",'Mapa final'!#REF!="Catastrófico"),CONCATENATE("R10C",'Mapa final'!#REF!),"")</f>
        <v>#REF!</v>
      </c>
      <c r="AJ15" s="48" t="e">
        <f>IF(AND('Mapa final'!#REF!="Muy Alta",'Mapa final'!#REF!="Catastrófico"),CONCATENATE("R10C",'Mapa final'!#REF!),"")</f>
        <v>#REF!</v>
      </c>
      <c r="AK15" s="48" t="e">
        <f>IF(AND('Mapa final'!#REF!="Muy Alta",'Mapa final'!#REF!="Catastrófico"),CONCATENATE("R10C",'Mapa final'!#REF!),"")</f>
        <v>#REF!</v>
      </c>
      <c r="AL15" s="48" t="e">
        <f>IF(AND('Mapa final'!#REF!="Muy Alta",'Mapa final'!#REF!="Catastrófico"),CONCATENATE("R10C",'Mapa final'!#REF!),"")</f>
        <v>#REF!</v>
      </c>
      <c r="AM15" s="49" t="e">
        <f>IF(AND('Mapa final'!#REF!="Muy Alta",'Mapa final'!#REF!="Catastrófico"),CONCATENATE("R10C",'Mapa final'!#REF!),"")</f>
        <v>#REF!</v>
      </c>
      <c r="AN15" s="69"/>
      <c r="AO15" s="375"/>
      <c r="AP15" s="376"/>
      <c r="AQ15" s="376"/>
      <c r="AR15" s="376"/>
      <c r="AS15" s="376"/>
      <c r="AT15" s="377"/>
      <c r="AU15" s="69"/>
      <c r="AV15" s="69"/>
      <c r="AW15" s="69"/>
      <c r="AX15" s="69"/>
      <c r="AY15" s="69"/>
      <c r="AZ15" s="69"/>
      <c r="BA15" s="69"/>
      <c r="BB15" s="69"/>
      <c r="BC15" s="69"/>
      <c r="BD15" s="69"/>
      <c r="BE15" s="69"/>
      <c r="BF15" s="69"/>
      <c r="BG15" s="69"/>
      <c r="BH15" s="69"/>
      <c r="BI15" s="69"/>
      <c r="BJ15" s="69"/>
      <c r="BK15" s="69"/>
      <c r="BL15" s="69"/>
      <c r="BM15" s="69"/>
      <c r="BN15" s="69"/>
      <c r="BO15" s="69"/>
      <c r="BP15" s="69"/>
      <c r="BQ15" s="69"/>
      <c r="BR15" s="69"/>
      <c r="BS15" s="69"/>
      <c r="BT15" s="69"/>
      <c r="BU15" s="69"/>
      <c r="BV15" s="69"/>
      <c r="BW15" s="69"/>
      <c r="BX15" s="69"/>
    </row>
    <row r="16" spans="1:91" ht="15" customHeight="1" x14ac:dyDescent="0.25">
      <c r="A16" s="69"/>
      <c r="B16" s="267"/>
      <c r="C16" s="267"/>
      <c r="D16" s="268"/>
      <c r="E16" s="362" t="s">
        <v>115</v>
      </c>
      <c r="F16" s="363"/>
      <c r="G16" s="363"/>
      <c r="H16" s="363"/>
      <c r="I16" s="363"/>
      <c r="J16" s="50" t="e">
        <f>IF(AND('Mapa final'!#REF!="Alta",'Mapa final'!#REF!="Leve"),CONCATENATE("R1C",'Mapa final'!#REF!),"")</f>
        <v>#REF!</v>
      </c>
      <c r="K16" s="51" t="e">
        <f>IF(AND('Mapa final'!#REF!="Alta",'Mapa final'!#REF!="Leve"),CONCATENATE("R1C",'Mapa final'!#REF!),"")</f>
        <v>#REF!</v>
      </c>
      <c r="L16" s="51" t="e">
        <f>IF(AND('Mapa final'!#REF!="Alta",'Mapa final'!#REF!="Leve"),CONCATENATE("R1C",'Mapa final'!#REF!),"")</f>
        <v>#REF!</v>
      </c>
      <c r="M16" s="51" t="e">
        <f>IF(AND('Mapa final'!#REF!="Alta",'Mapa final'!#REF!="Leve"),CONCATENATE("R1C",'Mapa final'!#REF!),"")</f>
        <v>#REF!</v>
      </c>
      <c r="N16" s="51" t="e">
        <f>IF(AND('Mapa final'!#REF!="Alta",'Mapa final'!#REF!="Leve"),CONCATENATE("R1C",'Mapa final'!#REF!),"")</f>
        <v>#REF!</v>
      </c>
      <c r="O16" s="52" t="e">
        <f>IF(AND('Mapa final'!#REF!="Alta",'Mapa final'!#REF!="Leve"),CONCATENATE("R1C",'Mapa final'!#REF!),"")</f>
        <v>#REF!</v>
      </c>
      <c r="P16" s="50" t="e">
        <f>IF(AND('Mapa final'!#REF!="Alta",'Mapa final'!#REF!="Menor"),CONCATENATE("R1C",'Mapa final'!#REF!),"")</f>
        <v>#REF!</v>
      </c>
      <c r="Q16" s="51" t="e">
        <f>IF(AND('Mapa final'!#REF!="Alta",'Mapa final'!#REF!="Menor"),CONCATENATE("R1C",'Mapa final'!#REF!),"")</f>
        <v>#REF!</v>
      </c>
      <c r="R16" s="51" t="e">
        <f>IF(AND('Mapa final'!#REF!="Alta",'Mapa final'!#REF!="Menor"),CONCATENATE("R1C",'Mapa final'!#REF!),"")</f>
        <v>#REF!</v>
      </c>
      <c r="S16" s="51" t="e">
        <f>IF(AND('Mapa final'!#REF!="Alta",'Mapa final'!#REF!="Menor"),CONCATENATE("R1C",'Mapa final'!#REF!),"")</f>
        <v>#REF!</v>
      </c>
      <c r="T16" s="51" t="e">
        <f>IF(AND('Mapa final'!#REF!="Alta",'Mapa final'!#REF!="Menor"),CONCATENATE("R1C",'Mapa final'!#REF!),"")</f>
        <v>#REF!</v>
      </c>
      <c r="U16" s="52" t="e">
        <f>IF(AND('Mapa final'!#REF!="Alta",'Mapa final'!#REF!="Menor"),CONCATENATE("R1C",'Mapa final'!#REF!),"")</f>
        <v>#REF!</v>
      </c>
      <c r="V16" s="32" t="e">
        <f>IF(AND('Mapa final'!#REF!="Alta",'Mapa final'!#REF!="Moderado"),CONCATENATE("R1C",'Mapa final'!#REF!),"")</f>
        <v>#REF!</v>
      </c>
      <c r="W16" s="33" t="e">
        <f>IF(AND('Mapa final'!#REF!="Alta",'Mapa final'!#REF!="Moderado"),CONCATENATE("R1C",'Mapa final'!#REF!),"")</f>
        <v>#REF!</v>
      </c>
      <c r="X16" s="33" t="e">
        <f>IF(AND('Mapa final'!#REF!="Alta",'Mapa final'!#REF!="Moderado"),CONCATENATE("R1C",'Mapa final'!#REF!),"")</f>
        <v>#REF!</v>
      </c>
      <c r="Y16" s="33" t="e">
        <f>IF(AND('Mapa final'!#REF!="Alta",'Mapa final'!#REF!="Moderado"),CONCATENATE("R1C",'Mapa final'!#REF!),"")</f>
        <v>#REF!</v>
      </c>
      <c r="Z16" s="33" t="e">
        <f>IF(AND('Mapa final'!#REF!="Alta",'Mapa final'!#REF!="Moderado"),CONCATENATE("R1C",'Mapa final'!#REF!),"")</f>
        <v>#REF!</v>
      </c>
      <c r="AA16" s="34" t="e">
        <f>IF(AND('Mapa final'!#REF!="Alta",'Mapa final'!#REF!="Moderado"),CONCATENATE("R1C",'Mapa final'!#REF!),"")</f>
        <v>#REF!</v>
      </c>
      <c r="AB16" s="32" t="e">
        <f>IF(AND('Mapa final'!#REF!="Alta",'Mapa final'!#REF!="Mayor"),CONCATENATE("R1C",'Mapa final'!#REF!),"")</f>
        <v>#REF!</v>
      </c>
      <c r="AC16" s="33" t="e">
        <f>IF(AND('Mapa final'!#REF!="Alta",'Mapa final'!#REF!="Mayor"),CONCATENATE("R1C",'Mapa final'!#REF!),"")</f>
        <v>#REF!</v>
      </c>
      <c r="AD16" s="33" t="e">
        <f>IF(AND('Mapa final'!#REF!="Alta",'Mapa final'!#REF!="Mayor"),CONCATENATE("R1C",'Mapa final'!#REF!),"")</f>
        <v>#REF!</v>
      </c>
      <c r="AE16" s="33" t="e">
        <f>IF(AND('Mapa final'!#REF!="Alta",'Mapa final'!#REF!="Mayor"),CONCATENATE("R1C",'Mapa final'!#REF!),"")</f>
        <v>#REF!</v>
      </c>
      <c r="AF16" s="33" t="e">
        <f>IF(AND('Mapa final'!#REF!="Alta",'Mapa final'!#REF!="Mayor"),CONCATENATE("R1C",'Mapa final'!#REF!),"")</f>
        <v>#REF!</v>
      </c>
      <c r="AG16" s="34" t="e">
        <f>IF(AND('Mapa final'!#REF!="Alta",'Mapa final'!#REF!="Mayor"),CONCATENATE("R1C",'Mapa final'!#REF!),"")</f>
        <v>#REF!</v>
      </c>
      <c r="AH16" s="35" t="e">
        <f>IF(AND('Mapa final'!#REF!="Alta",'Mapa final'!#REF!="Catastrófico"),CONCATENATE("R1C",'Mapa final'!#REF!),"")</f>
        <v>#REF!</v>
      </c>
      <c r="AI16" s="36" t="e">
        <f>IF(AND('Mapa final'!#REF!="Alta",'Mapa final'!#REF!="Catastrófico"),CONCATENATE("R1C",'Mapa final'!#REF!),"")</f>
        <v>#REF!</v>
      </c>
      <c r="AJ16" s="36" t="e">
        <f>IF(AND('Mapa final'!#REF!="Alta",'Mapa final'!#REF!="Catastrófico"),CONCATENATE("R1C",'Mapa final'!#REF!),"")</f>
        <v>#REF!</v>
      </c>
      <c r="AK16" s="36" t="e">
        <f>IF(AND('Mapa final'!#REF!="Alta",'Mapa final'!#REF!="Catastrófico"),CONCATENATE("R1C",'Mapa final'!#REF!),"")</f>
        <v>#REF!</v>
      </c>
      <c r="AL16" s="36" t="e">
        <f>IF(AND('Mapa final'!#REF!="Alta",'Mapa final'!#REF!="Catastrófico"),CONCATENATE("R1C",'Mapa final'!#REF!),"")</f>
        <v>#REF!</v>
      </c>
      <c r="AM16" s="37" t="e">
        <f>IF(AND('Mapa final'!#REF!="Alta",'Mapa final'!#REF!="Catastrófico"),CONCATENATE("R1C",'Mapa final'!#REF!),"")</f>
        <v>#REF!</v>
      </c>
      <c r="AN16" s="69"/>
      <c r="AO16" s="353" t="s">
        <v>80</v>
      </c>
      <c r="AP16" s="354"/>
      <c r="AQ16" s="354"/>
      <c r="AR16" s="354"/>
      <c r="AS16" s="354"/>
      <c r="AT16" s="355"/>
      <c r="AU16" s="69"/>
      <c r="AV16" s="69"/>
      <c r="AW16" s="69"/>
      <c r="AX16" s="69"/>
      <c r="AY16" s="69"/>
      <c r="AZ16" s="69"/>
      <c r="BA16" s="69"/>
      <c r="BB16" s="69"/>
      <c r="BC16" s="69"/>
      <c r="BD16" s="69"/>
      <c r="BE16" s="69"/>
      <c r="BF16" s="69"/>
      <c r="BG16" s="69"/>
      <c r="BH16" s="69"/>
      <c r="BI16" s="69"/>
      <c r="BJ16" s="69"/>
      <c r="BK16" s="69"/>
      <c r="BL16" s="69"/>
      <c r="BM16" s="69"/>
      <c r="BN16" s="69"/>
      <c r="BO16" s="69"/>
      <c r="BP16" s="69"/>
      <c r="BQ16" s="69"/>
      <c r="BR16" s="69"/>
      <c r="BS16" s="69"/>
      <c r="BT16" s="69"/>
      <c r="BU16" s="69"/>
      <c r="BV16" s="69"/>
      <c r="BW16" s="69"/>
      <c r="BX16" s="69"/>
    </row>
    <row r="17" spans="1:76" ht="15" customHeight="1" x14ac:dyDescent="0.25">
      <c r="A17" s="69"/>
      <c r="B17" s="267"/>
      <c r="C17" s="267"/>
      <c r="D17" s="268"/>
      <c r="E17" s="364"/>
      <c r="F17" s="365"/>
      <c r="G17" s="365"/>
      <c r="H17" s="365"/>
      <c r="I17" s="365"/>
      <c r="J17" s="53" t="e">
        <f>IF(AND('Mapa final'!#REF!="Alta",'Mapa final'!#REF!="Leve"),CONCATENATE("R2C",'Mapa final'!#REF!),"")</f>
        <v>#REF!</v>
      </c>
      <c r="K17" s="54" t="e">
        <f>IF(AND('Mapa final'!#REF!="Alta",'Mapa final'!#REF!="Leve"),CONCATENATE("R2C",'Mapa final'!#REF!),"")</f>
        <v>#REF!</v>
      </c>
      <c r="L17" s="54" t="e">
        <f>IF(AND('Mapa final'!#REF!="Alta",'Mapa final'!#REF!="Leve"),CONCATENATE("R2C",'Mapa final'!#REF!),"")</f>
        <v>#REF!</v>
      </c>
      <c r="M17" s="54" t="e">
        <f>IF(AND('Mapa final'!#REF!="Alta",'Mapa final'!#REF!="Leve"),CONCATENATE("R2C",'Mapa final'!#REF!),"")</f>
        <v>#REF!</v>
      </c>
      <c r="N17" s="54" t="e">
        <f>IF(AND('Mapa final'!#REF!="Alta",'Mapa final'!#REF!="Leve"),CONCATENATE("R2C",'Mapa final'!#REF!),"")</f>
        <v>#REF!</v>
      </c>
      <c r="O17" s="55" t="e">
        <f>IF(AND('Mapa final'!#REF!="Alta",'Mapa final'!#REF!="Leve"),CONCATENATE("R2C",'Mapa final'!#REF!),"")</f>
        <v>#REF!</v>
      </c>
      <c r="P17" s="53" t="e">
        <f>IF(AND('Mapa final'!#REF!="Alta",'Mapa final'!#REF!="Menor"),CONCATENATE("R2C",'Mapa final'!#REF!),"")</f>
        <v>#REF!</v>
      </c>
      <c r="Q17" s="54" t="e">
        <f>IF(AND('Mapa final'!#REF!="Alta",'Mapa final'!#REF!="Menor"),CONCATENATE("R2C",'Mapa final'!#REF!),"")</f>
        <v>#REF!</v>
      </c>
      <c r="R17" s="54" t="e">
        <f>IF(AND('Mapa final'!#REF!="Alta",'Mapa final'!#REF!="Menor"),CONCATENATE("R2C",'Mapa final'!#REF!),"")</f>
        <v>#REF!</v>
      </c>
      <c r="S17" s="54" t="e">
        <f>IF(AND('Mapa final'!#REF!="Alta",'Mapa final'!#REF!="Menor"),CONCATENATE("R2C",'Mapa final'!#REF!),"")</f>
        <v>#REF!</v>
      </c>
      <c r="T17" s="54" t="e">
        <f>IF(AND('Mapa final'!#REF!="Alta",'Mapa final'!#REF!="Menor"),CONCATENATE("R2C",'Mapa final'!#REF!),"")</f>
        <v>#REF!</v>
      </c>
      <c r="U17" s="55" t="e">
        <f>IF(AND('Mapa final'!#REF!="Alta",'Mapa final'!#REF!="Menor"),CONCATENATE("R2C",'Mapa final'!#REF!),"")</f>
        <v>#REF!</v>
      </c>
      <c r="V17" s="38" t="e">
        <f>IF(AND('Mapa final'!#REF!="Alta",'Mapa final'!#REF!="Moderado"),CONCATENATE("R2C",'Mapa final'!#REF!),"")</f>
        <v>#REF!</v>
      </c>
      <c r="W17" s="39" t="e">
        <f>IF(AND('Mapa final'!#REF!="Alta",'Mapa final'!#REF!="Moderado"),CONCATENATE("R2C",'Mapa final'!#REF!),"")</f>
        <v>#REF!</v>
      </c>
      <c r="X17" s="39" t="e">
        <f>IF(AND('Mapa final'!#REF!="Alta",'Mapa final'!#REF!="Moderado"),CONCATENATE("R2C",'Mapa final'!#REF!),"")</f>
        <v>#REF!</v>
      </c>
      <c r="Y17" s="39" t="e">
        <f>IF(AND('Mapa final'!#REF!="Alta",'Mapa final'!#REF!="Moderado"),CONCATENATE("R2C",'Mapa final'!#REF!),"")</f>
        <v>#REF!</v>
      </c>
      <c r="Z17" s="39" t="e">
        <f>IF(AND('Mapa final'!#REF!="Alta",'Mapa final'!#REF!="Moderado"),CONCATENATE("R2C",'Mapa final'!#REF!),"")</f>
        <v>#REF!</v>
      </c>
      <c r="AA17" s="40" t="e">
        <f>IF(AND('Mapa final'!#REF!="Alta",'Mapa final'!#REF!="Moderado"),CONCATENATE("R2C",'Mapa final'!#REF!),"")</f>
        <v>#REF!</v>
      </c>
      <c r="AB17" s="38" t="e">
        <f>IF(AND('Mapa final'!#REF!="Alta",'Mapa final'!#REF!="Mayor"),CONCATENATE("R2C",'Mapa final'!#REF!),"")</f>
        <v>#REF!</v>
      </c>
      <c r="AC17" s="39" t="e">
        <f>IF(AND('Mapa final'!#REF!="Alta",'Mapa final'!#REF!="Mayor"),CONCATENATE("R2C",'Mapa final'!#REF!),"")</f>
        <v>#REF!</v>
      </c>
      <c r="AD17" s="39" t="e">
        <f>IF(AND('Mapa final'!#REF!="Alta",'Mapa final'!#REF!="Mayor"),CONCATENATE("R2C",'Mapa final'!#REF!),"")</f>
        <v>#REF!</v>
      </c>
      <c r="AE17" s="39" t="e">
        <f>IF(AND('Mapa final'!#REF!="Alta",'Mapa final'!#REF!="Mayor"),CONCATENATE("R2C",'Mapa final'!#REF!),"")</f>
        <v>#REF!</v>
      </c>
      <c r="AF17" s="39" t="e">
        <f>IF(AND('Mapa final'!#REF!="Alta",'Mapa final'!#REF!="Mayor"),CONCATENATE("R2C",'Mapa final'!#REF!),"")</f>
        <v>#REF!</v>
      </c>
      <c r="AG17" s="40" t="e">
        <f>IF(AND('Mapa final'!#REF!="Alta",'Mapa final'!#REF!="Mayor"),CONCATENATE("R2C",'Mapa final'!#REF!),"")</f>
        <v>#REF!</v>
      </c>
      <c r="AH17" s="41" t="e">
        <f>IF(AND('Mapa final'!#REF!="Alta",'Mapa final'!#REF!="Catastrófico"),CONCATENATE("R2C",'Mapa final'!#REF!),"")</f>
        <v>#REF!</v>
      </c>
      <c r="AI17" s="42" t="e">
        <f>IF(AND('Mapa final'!#REF!="Alta",'Mapa final'!#REF!="Catastrófico"),CONCATENATE("R2C",'Mapa final'!#REF!),"")</f>
        <v>#REF!</v>
      </c>
      <c r="AJ17" s="42" t="e">
        <f>IF(AND('Mapa final'!#REF!="Alta",'Mapa final'!#REF!="Catastrófico"),CONCATENATE("R2C",'Mapa final'!#REF!),"")</f>
        <v>#REF!</v>
      </c>
      <c r="AK17" s="42" t="e">
        <f>IF(AND('Mapa final'!#REF!="Alta",'Mapa final'!#REF!="Catastrófico"),CONCATENATE("R2C",'Mapa final'!#REF!),"")</f>
        <v>#REF!</v>
      </c>
      <c r="AL17" s="42" t="e">
        <f>IF(AND('Mapa final'!#REF!="Alta",'Mapa final'!#REF!="Catastrófico"),CONCATENATE("R2C",'Mapa final'!#REF!),"")</f>
        <v>#REF!</v>
      </c>
      <c r="AM17" s="43" t="e">
        <f>IF(AND('Mapa final'!#REF!="Alta",'Mapa final'!#REF!="Catastrófico"),CONCATENATE("R2C",'Mapa final'!#REF!),"")</f>
        <v>#REF!</v>
      </c>
      <c r="AN17" s="69"/>
      <c r="AO17" s="356"/>
      <c r="AP17" s="357"/>
      <c r="AQ17" s="357"/>
      <c r="AR17" s="357"/>
      <c r="AS17" s="357"/>
      <c r="AT17" s="358"/>
      <c r="AU17" s="69"/>
      <c r="AV17" s="69"/>
      <c r="AW17" s="69"/>
      <c r="AX17" s="69"/>
      <c r="AY17" s="69"/>
      <c r="AZ17" s="69"/>
      <c r="BA17" s="69"/>
      <c r="BB17" s="69"/>
      <c r="BC17" s="69"/>
      <c r="BD17" s="69"/>
      <c r="BE17" s="69"/>
      <c r="BF17" s="69"/>
      <c r="BG17" s="69"/>
      <c r="BH17" s="69"/>
      <c r="BI17" s="69"/>
      <c r="BJ17" s="69"/>
      <c r="BK17" s="69"/>
      <c r="BL17" s="69"/>
      <c r="BM17" s="69"/>
      <c r="BN17" s="69"/>
      <c r="BO17" s="69"/>
      <c r="BP17" s="69"/>
      <c r="BQ17" s="69"/>
      <c r="BR17" s="69"/>
      <c r="BS17" s="69"/>
      <c r="BT17" s="69"/>
      <c r="BU17" s="69"/>
      <c r="BV17" s="69"/>
      <c r="BW17" s="69"/>
      <c r="BX17" s="69"/>
    </row>
    <row r="18" spans="1:76" ht="15" customHeight="1" x14ac:dyDescent="0.25">
      <c r="A18" s="69"/>
      <c r="B18" s="267"/>
      <c r="C18" s="267"/>
      <c r="D18" s="268"/>
      <c r="E18" s="366"/>
      <c r="F18" s="365"/>
      <c r="G18" s="365"/>
      <c r="H18" s="365"/>
      <c r="I18" s="365"/>
      <c r="J18" s="53" t="e">
        <f>IF(AND('Mapa final'!#REF!="Alta",'Mapa final'!#REF!="Leve"),CONCATENATE("R3C",'Mapa final'!#REF!),"")</f>
        <v>#REF!</v>
      </c>
      <c r="K18" s="54" t="e">
        <f>IF(AND('Mapa final'!#REF!="Alta",'Mapa final'!#REF!="Leve"),CONCATENATE("R3C",'Mapa final'!#REF!),"")</f>
        <v>#REF!</v>
      </c>
      <c r="L18" s="54" t="e">
        <f>IF(AND('Mapa final'!#REF!="Alta",'Mapa final'!#REF!="Leve"),CONCATENATE("R3C",'Mapa final'!#REF!),"")</f>
        <v>#REF!</v>
      </c>
      <c r="M18" s="54" t="e">
        <f>IF(AND('Mapa final'!#REF!="Alta",'Mapa final'!#REF!="Leve"),CONCATENATE("R3C",'Mapa final'!#REF!),"")</f>
        <v>#REF!</v>
      </c>
      <c r="N18" s="54" t="e">
        <f>IF(AND('Mapa final'!#REF!="Alta",'Mapa final'!#REF!="Leve"),CONCATENATE("R3C",'Mapa final'!#REF!),"")</f>
        <v>#REF!</v>
      </c>
      <c r="O18" s="55" t="e">
        <f>IF(AND('Mapa final'!#REF!="Alta",'Mapa final'!#REF!="Leve"),CONCATENATE("R3C",'Mapa final'!#REF!),"")</f>
        <v>#REF!</v>
      </c>
      <c r="P18" s="53" t="e">
        <f>IF(AND('Mapa final'!#REF!="Alta",'Mapa final'!#REF!="Menor"),CONCATENATE("R3C",'Mapa final'!#REF!),"")</f>
        <v>#REF!</v>
      </c>
      <c r="Q18" s="54" t="e">
        <f>IF(AND('Mapa final'!#REF!="Alta",'Mapa final'!#REF!="Menor"),CONCATENATE("R3C",'Mapa final'!#REF!),"")</f>
        <v>#REF!</v>
      </c>
      <c r="R18" s="54" t="e">
        <f>IF(AND('Mapa final'!#REF!="Alta",'Mapa final'!#REF!="Menor"),CONCATENATE("R3C",'Mapa final'!#REF!),"")</f>
        <v>#REF!</v>
      </c>
      <c r="S18" s="54" t="e">
        <f>IF(AND('Mapa final'!#REF!="Alta",'Mapa final'!#REF!="Menor"),CONCATENATE("R3C",'Mapa final'!#REF!),"")</f>
        <v>#REF!</v>
      </c>
      <c r="T18" s="54" t="e">
        <f>IF(AND('Mapa final'!#REF!="Alta",'Mapa final'!#REF!="Menor"),CONCATENATE("R3C",'Mapa final'!#REF!),"")</f>
        <v>#REF!</v>
      </c>
      <c r="U18" s="55" t="e">
        <f>IF(AND('Mapa final'!#REF!="Alta",'Mapa final'!#REF!="Menor"),CONCATENATE("R3C",'Mapa final'!#REF!),"")</f>
        <v>#REF!</v>
      </c>
      <c r="V18" s="38" t="e">
        <f>IF(AND('Mapa final'!#REF!="Alta",'Mapa final'!#REF!="Moderado"),CONCATENATE("R3C",'Mapa final'!#REF!),"")</f>
        <v>#REF!</v>
      </c>
      <c r="W18" s="39" t="e">
        <f>IF(AND('Mapa final'!#REF!="Alta",'Mapa final'!#REF!="Moderado"),CONCATENATE("R3C",'Mapa final'!#REF!),"")</f>
        <v>#REF!</v>
      </c>
      <c r="X18" s="39" t="e">
        <f>IF(AND('Mapa final'!#REF!="Alta",'Mapa final'!#REF!="Moderado"),CONCATENATE("R3C",'Mapa final'!#REF!),"")</f>
        <v>#REF!</v>
      </c>
      <c r="Y18" s="39" t="e">
        <f>IF(AND('Mapa final'!#REF!="Alta",'Mapa final'!#REF!="Moderado"),CONCATENATE("R3C",'Mapa final'!#REF!),"")</f>
        <v>#REF!</v>
      </c>
      <c r="Z18" s="39" t="e">
        <f>IF(AND('Mapa final'!#REF!="Alta",'Mapa final'!#REF!="Moderado"),CONCATENATE("R3C",'Mapa final'!#REF!),"")</f>
        <v>#REF!</v>
      </c>
      <c r="AA18" s="40" t="e">
        <f>IF(AND('Mapa final'!#REF!="Alta",'Mapa final'!#REF!="Moderado"),CONCATENATE("R3C",'Mapa final'!#REF!),"")</f>
        <v>#REF!</v>
      </c>
      <c r="AB18" s="38" t="e">
        <f>IF(AND('Mapa final'!#REF!="Alta",'Mapa final'!#REF!="Mayor"),CONCATENATE("R3C",'Mapa final'!#REF!),"")</f>
        <v>#REF!</v>
      </c>
      <c r="AC18" s="39" t="e">
        <f>IF(AND('Mapa final'!#REF!="Alta",'Mapa final'!#REF!="Mayor"),CONCATENATE("R3C",'Mapa final'!#REF!),"")</f>
        <v>#REF!</v>
      </c>
      <c r="AD18" s="39" t="e">
        <f>IF(AND('Mapa final'!#REF!="Alta",'Mapa final'!#REF!="Mayor"),CONCATENATE("R3C",'Mapa final'!#REF!),"")</f>
        <v>#REF!</v>
      </c>
      <c r="AE18" s="39" t="e">
        <f>IF(AND('Mapa final'!#REF!="Alta",'Mapa final'!#REF!="Mayor"),CONCATENATE("R3C",'Mapa final'!#REF!),"")</f>
        <v>#REF!</v>
      </c>
      <c r="AF18" s="39" t="e">
        <f>IF(AND('Mapa final'!#REF!="Alta",'Mapa final'!#REF!="Mayor"),CONCATENATE("R3C",'Mapa final'!#REF!),"")</f>
        <v>#REF!</v>
      </c>
      <c r="AG18" s="40" t="e">
        <f>IF(AND('Mapa final'!#REF!="Alta",'Mapa final'!#REF!="Mayor"),CONCATENATE("R3C",'Mapa final'!#REF!),"")</f>
        <v>#REF!</v>
      </c>
      <c r="AH18" s="41" t="e">
        <f>IF(AND('Mapa final'!#REF!="Alta",'Mapa final'!#REF!="Catastrófico"),CONCATENATE("R3C",'Mapa final'!#REF!),"")</f>
        <v>#REF!</v>
      </c>
      <c r="AI18" s="42" t="e">
        <f>IF(AND('Mapa final'!#REF!="Alta",'Mapa final'!#REF!="Catastrófico"),CONCATENATE("R3C",'Mapa final'!#REF!),"")</f>
        <v>#REF!</v>
      </c>
      <c r="AJ18" s="42" t="e">
        <f>IF(AND('Mapa final'!#REF!="Alta",'Mapa final'!#REF!="Catastrófico"),CONCATENATE("R3C",'Mapa final'!#REF!),"")</f>
        <v>#REF!</v>
      </c>
      <c r="AK18" s="42" t="e">
        <f>IF(AND('Mapa final'!#REF!="Alta",'Mapa final'!#REF!="Catastrófico"),CONCATENATE("R3C",'Mapa final'!#REF!),"")</f>
        <v>#REF!</v>
      </c>
      <c r="AL18" s="42" t="e">
        <f>IF(AND('Mapa final'!#REF!="Alta",'Mapa final'!#REF!="Catastrófico"),CONCATENATE("R3C",'Mapa final'!#REF!),"")</f>
        <v>#REF!</v>
      </c>
      <c r="AM18" s="43" t="e">
        <f>IF(AND('Mapa final'!#REF!="Alta",'Mapa final'!#REF!="Catastrófico"),CONCATENATE("R3C",'Mapa final'!#REF!),"")</f>
        <v>#REF!</v>
      </c>
      <c r="AN18" s="69"/>
      <c r="AO18" s="356"/>
      <c r="AP18" s="357"/>
      <c r="AQ18" s="357"/>
      <c r="AR18" s="357"/>
      <c r="AS18" s="357"/>
      <c r="AT18" s="358"/>
      <c r="AU18" s="69"/>
      <c r="AV18" s="69"/>
      <c r="AW18" s="69"/>
      <c r="AX18" s="69"/>
      <c r="AY18" s="69"/>
      <c r="AZ18" s="69"/>
      <c r="BA18" s="69"/>
      <c r="BB18" s="69"/>
      <c r="BC18" s="69"/>
      <c r="BD18" s="69"/>
      <c r="BE18" s="69"/>
      <c r="BF18" s="69"/>
      <c r="BG18" s="69"/>
      <c r="BH18" s="69"/>
      <c r="BI18" s="69"/>
      <c r="BJ18" s="69"/>
      <c r="BK18" s="69"/>
      <c r="BL18" s="69"/>
      <c r="BM18" s="69"/>
      <c r="BN18" s="69"/>
      <c r="BO18" s="69"/>
      <c r="BP18" s="69"/>
      <c r="BQ18" s="69"/>
      <c r="BR18" s="69"/>
      <c r="BS18" s="69"/>
      <c r="BT18" s="69"/>
      <c r="BU18" s="69"/>
      <c r="BV18" s="69"/>
      <c r="BW18" s="69"/>
      <c r="BX18" s="69"/>
    </row>
    <row r="19" spans="1:76" ht="15" customHeight="1" x14ac:dyDescent="0.25">
      <c r="A19" s="69"/>
      <c r="B19" s="267"/>
      <c r="C19" s="267"/>
      <c r="D19" s="268"/>
      <c r="E19" s="366"/>
      <c r="F19" s="365"/>
      <c r="G19" s="365"/>
      <c r="H19" s="365"/>
      <c r="I19" s="365"/>
      <c r="J19" s="53" t="str">
        <f>IF(AND('Mapa final'!$Y$13="Alta",'Mapa final'!$AA$13="Leve"),CONCATENATE("R4C",'Mapa final'!$O$13),"")</f>
        <v/>
      </c>
      <c r="K19" s="54" t="str">
        <f>IF(AND('Mapa final'!$Y$14="Alta",'Mapa final'!$AA$14="Leve"),CONCATENATE("R4C",'Mapa final'!$O$14),"")</f>
        <v/>
      </c>
      <c r="L19" s="54" t="str">
        <f>IF(AND('Mapa final'!$Y$15="Alta",'Mapa final'!$AA$15="Leve"),CONCATENATE("R4C",'Mapa final'!$O$15),"")</f>
        <v/>
      </c>
      <c r="M19" s="54" t="str">
        <f>IF(AND('Mapa final'!$Y$16="Alta",'Mapa final'!$AA$16="Leve"),CONCATENATE("R4C",'Mapa final'!$O$16),"")</f>
        <v/>
      </c>
      <c r="N19" s="54" t="e">
        <f>IF(AND('Mapa final'!#REF!="Alta",'Mapa final'!#REF!="Leve"),CONCATENATE("R4C",'Mapa final'!#REF!),"")</f>
        <v>#REF!</v>
      </c>
      <c r="O19" s="55" t="e">
        <f>IF(AND('Mapa final'!#REF!="Alta",'Mapa final'!#REF!="Leve"),CONCATENATE("R4C",'Mapa final'!#REF!),"")</f>
        <v>#REF!</v>
      </c>
      <c r="P19" s="53" t="str">
        <f>IF(AND('Mapa final'!$Y$13="Alta",'Mapa final'!$AA$13="Menor"),CONCATENATE("R4C",'Mapa final'!$O$13),"")</f>
        <v/>
      </c>
      <c r="Q19" s="54" t="str">
        <f>IF(AND('Mapa final'!$Y$14="Alta",'Mapa final'!$AA$14="Menor"),CONCATENATE("R4C",'Mapa final'!$O$14),"")</f>
        <v/>
      </c>
      <c r="R19" s="54" t="str">
        <f>IF(AND('Mapa final'!$Y$15="Alta",'Mapa final'!$AA$15="Menor"),CONCATENATE("R4C",'Mapa final'!$O$15),"")</f>
        <v/>
      </c>
      <c r="S19" s="54" t="str">
        <f>IF(AND('Mapa final'!$Y$16="Alta",'Mapa final'!$AA$16="Menor"),CONCATENATE("R4C",'Mapa final'!$O$16),"")</f>
        <v/>
      </c>
      <c r="T19" s="54" t="e">
        <f>IF(AND('Mapa final'!#REF!="Alta",'Mapa final'!#REF!="Menor"),CONCATENATE("R4C",'Mapa final'!#REF!),"")</f>
        <v>#REF!</v>
      </c>
      <c r="U19" s="55" t="e">
        <f>IF(AND('Mapa final'!#REF!="Alta",'Mapa final'!#REF!="Menor"),CONCATENATE("R4C",'Mapa final'!#REF!),"")</f>
        <v>#REF!</v>
      </c>
      <c r="V19" s="38" t="str">
        <f>IF(AND('Mapa final'!$Y$13="Alta",'Mapa final'!$AA$13="Moderado"),CONCATENATE("R4C",'Mapa final'!$O$13),"")</f>
        <v/>
      </c>
      <c r="W19" s="39" t="str">
        <f>IF(AND('Mapa final'!$Y$14="Alta",'Mapa final'!$AA$14="Moderado"),CONCATENATE("R4C",'Mapa final'!$O$14),"")</f>
        <v/>
      </c>
      <c r="X19" s="39" t="str">
        <f>IF(AND('Mapa final'!$Y$15="Alta",'Mapa final'!$AA$15="Moderado"),CONCATENATE("R4C",'Mapa final'!$O$15),"")</f>
        <v/>
      </c>
      <c r="Y19" s="39" t="str">
        <f>IF(AND('Mapa final'!$Y$16="Alta",'Mapa final'!$AA$16="Moderado"),CONCATENATE("R4C",'Mapa final'!$O$16),"")</f>
        <v/>
      </c>
      <c r="Z19" s="39" t="e">
        <f>IF(AND('Mapa final'!#REF!="Alta",'Mapa final'!#REF!="Moderado"),CONCATENATE("R4C",'Mapa final'!#REF!),"")</f>
        <v>#REF!</v>
      </c>
      <c r="AA19" s="40" t="e">
        <f>IF(AND('Mapa final'!#REF!="Alta",'Mapa final'!#REF!="Moderado"),CONCATENATE("R4C",'Mapa final'!#REF!),"")</f>
        <v>#REF!</v>
      </c>
      <c r="AB19" s="38" t="str">
        <f>IF(AND('Mapa final'!$Y$13="Alta",'Mapa final'!$AA$13="Mayor"),CONCATENATE("R4C",'Mapa final'!$O$13),"")</f>
        <v/>
      </c>
      <c r="AC19" s="39" t="str">
        <f>IF(AND('Mapa final'!$Y$14="Alta",'Mapa final'!$AA$14="Mayor"),CONCATENATE("R4C",'Mapa final'!$O$14),"")</f>
        <v/>
      </c>
      <c r="AD19" s="39" t="str">
        <f>IF(AND('Mapa final'!$Y$15="Alta",'Mapa final'!$AA$15="Mayor"),CONCATENATE("R4C",'Mapa final'!$O$15),"")</f>
        <v/>
      </c>
      <c r="AE19" s="39" t="str">
        <f>IF(AND('Mapa final'!$Y$16="Alta",'Mapa final'!$AA$16="Mayor"),CONCATENATE("R4C",'Mapa final'!$O$16),"")</f>
        <v/>
      </c>
      <c r="AF19" s="39" t="e">
        <f>IF(AND('Mapa final'!#REF!="Alta",'Mapa final'!#REF!="Mayor"),CONCATENATE("R4C",'Mapa final'!#REF!),"")</f>
        <v>#REF!</v>
      </c>
      <c r="AG19" s="40" t="e">
        <f>IF(AND('Mapa final'!#REF!="Alta",'Mapa final'!#REF!="Mayor"),CONCATENATE("R4C",'Mapa final'!#REF!),"")</f>
        <v>#REF!</v>
      </c>
      <c r="AH19" s="41" t="str">
        <f>IF(AND('Mapa final'!$Y$13="Alta",'Mapa final'!$AA$13="Catastrófico"),CONCATENATE("R4C",'Mapa final'!$O$13),"")</f>
        <v/>
      </c>
      <c r="AI19" s="42" t="str">
        <f>IF(AND('Mapa final'!$Y$14="Alta",'Mapa final'!$AA$14="Catastrófico"),CONCATENATE("R4C",'Mapa final'!$O$14),"")</f>
        <v/>
      </c>
      <c r="AJ19" s="42" t="str">
        <f>IF(AND('Mapa final'!$Y$15="Alta",'Mapa final'!$AA$15="Catastrófico"),CONCATENATE("R4C",'Mapa final'!$O$15),"")</f>
        <v/>
      </c>
      <c r="AK19" s="42" t="str">
        <f>IF(AND('Mapa final'!$Y$16="Alta",'Mapa final'!$AA$16="Catastrófico"),CONCATENATE("R4C",'Mapa final'!$O$16),"")</f>
        <v/>
      </c>
      <c r="AL19" s="42" t="e">
        <f>IF(AND('Mapa final'!#REF!="Alta",'Mapa final'!#REF!="Catastrófico"),CONCATENATE("R4C",'Mapa final'!#REF!),"")</f>
        <v>#REF!</v>
      </c>
      <c r="AM19" s="43" t="e">
        <f>IF(AND('Mapa final'!#REF!="Alta",'Mapa final'!#REF!="Catastrófico"),CONCATENATE("R4C",'Mapa final'!#REF!),"")</f>
        <v>#REF!</v>
      </c>
      <c r="AN19" s="69"/>
      <c r="AO19" s="356"/>
      <c r="AP19" s="357"/>
      <c r="AQ19" s="357"/>
      <c r="AR19" s="357"/>
      <c r="AS19" s="357"/>
      <c r="AT19" s="358"/>
      <c r="AU19" s="69"/>
      <c r="AV19" s="69"/>
      <c r="AW19" s="69"/>
      <c r="AX19" s="69"/>
      <c r="AY19" s="69"/>
      <c r="AZ19" s="69"/>
      <c r="BA19" s="69"/>
      <c r="BB19" s="69"/>
      <c r="BC19" s="69"/>
      <c r="BD19" s="69"/>
      <c r="BE19" s="69"/>
      <c r="BF19" s="69"/>
      <c r="BG19" s="69"/>
      <c r="BH19" s="69"/>
      <c r="BI19" s="69"/>
      <c r="BJ19" s="69"/>
      <c r="BK19" s="69"/>
      <c r="BL19" s="69"/>
      <c r="BM19" s="69"/>
      <c r="BN19" s="69"/>
      <c r="BO19" s="69"/>
      <c r="BP19" s="69"/>
      <c r="BQ19" s="69"/>
      <c r="BR19" s="69"/>
      <c r="BS19" s="69"/>
      <c r="BT19" s="69"/>
      <c r="BU19" s="69"/>
      <c r="BV19" s="69"/>
      <c r="BW19" s="69"/>
      <c r="BX19" s="69"/>
    </row>
    <row r="20" spans="1:76" ht="15" customHeight="1" x14ac:dyDescent="0.25">
      <c r="A20" s="69"/>
      <c r="B20" s="267"/>
      <c r="C20" s="267"/>
      <c r="D20" s="268"/>
      <c r="E20" s="366"/>
      <c r="F20" s="365"/>
      <c r="G20" s="365"/>
      <c r="H20" s="365"/>
      <c r="I20" s="365"/>
      <c r="J20" s="53" t="str">
        <f>IF(AND('Mapa final'!$Y$17="Alta",'Mapa final'!$AA$17="Leve"),CONCATENATE("R5C",'Mapa final'!$O$17),"")</f>
        <v/>
      </c>
      <c r="K20" s="54" t="str">
        <f>IF(AND('Mapa final'!$Y$18="Alta",'Mapa final'!$AA$18="Leve"),CONCATENATE("R5C",'Mapa final'!$O$18),"")</f>
        <v/>
      </c>
      <c r="L20" s="54" t="str">
        <f>IF(AND('Mapa final'!$Y$19="Alta",'Mapa final'!$AA$19="Leve"),CONCATENATE("R5C",'Mapa final'!$O$19),"")</f>
        <v/>
      </c>
      <c r="M20" s="54" t="str">
        <f>IF(AND('Mapa final'!$Y$20="Alta",'Mapa final'!$AA$20="Leve"),CONCATENATE("R5C",'Mapa final'!$O$20),"")</f>
        <v/>
      </c>
      <c r="N20" s="54" t="str">
        <f>IF(AND('Mapa final'!$Y$21="Alta",'Mapa final'!$AA$21="Leve"),CONCATENATE("R5C",'Mapa final'!$O$21),"")</f>
        <v/>
      </c>
      <c r="O20" s="55" t="str">
        <f>IF(AND('Mapa final'!$Y$22="Alta",'Mapa final'!$AA$22="Leve"),CONCATENATE("R5C",'Mapa final'!$O$22),"")</f>
        <v/>
      </c>
      <c r="P20" s="53" t="str">
        <f>IF(AND('Mapa final'!$Y$17="Alta",'Mapa final'!$AA$17="Menor"),CONCATENATE("R5C",'Mapa final'!$O$17),"")</f>
        <v/>
      </c>
      <c r="Q20" s="54" t="str">
        <f>IF(AND('Mapa final'!$Y$18="Alta",'Mapa final'!$AA$18="Menor"),CONCATENATE("R5C",'Mapa final'!$O$18),"")</f>
        <v/>
      </c>
      <c r="R20" s="54" t="str">
        <f>IF(AND('Mapa final'!$Y$19="Alta",'Mapa final'!$AA$19="Menor"),CONCATENATE("R5C",'Mapa final'!$O$19),"")</f>
        <v/>
      </c>
      <c r="S20" s="54" t="str">
        <f>IF(AND('Mapa final'!$Y$20="Alta",'Mapa final'!$AA$20="Menor"),CONCATENATE("R5C",'Mapa final'!$O$20),"")</f>
        <v/>
      </c>
      <c r="T20" s="54" t="str">
        <f>IF(AND('Mapa final'!$Y$21="Alta",'Mapa final'!$AA$21="Menor"),CONCATENATE("R5C",'Mapa final'!$O$21),"")</f>
        <v/>
      </c>
      <c r="U20" s="55" t="str">
        <f>IF(AND('Mapa final'!$Y$22="Alta",'Mapa final'!$AA$22="Menor"),CONCATENATE("R5C",'Mapa final'!$O$22),"")</f>
        <v/>
      </c>
      <c r="V20" s="38" t="str">
        <f>IF(AND('Mapa final'!$Y$17="Alta",'Mapa final'!$AA$17="Moderado"),CONCATENATE("R5C",'Mapa final'!$O$17),"")</f>
        <v/>
      </c>
      <c r="W20" s="39" t="str">
        <f>IF(AND('Mapa final'!$Y$18="Alta",'Mapa final'!$AA$18="Moderado"),CONCATENATE("R5C",'Mapa final'!$O$18),"")</f>
        <v/>
      </c>
      <c r="X20" s="39" t="str">
        <f>IF(AND('Mapa final'!$Y$19="Alta",'Mapa final'!$AA$19="Moderado"),CONCATENATE("R5C",'Mapa final'!$O$19),"")</f>
        <v/>
      </c>
      <c r="Y20" s="39" t="str">
        <f>IF(AND('Mapa final'!$Y$20="Alta",'Mapa final'!$AA$20="Moderado"),CONCATENATE("R5C",'Mapa final'!$O$20),"")</f>
        <v/>
      </c>
      <c r="Z20" s="39" t="str">
        <f>IF(AND('Mapa final'!$Y$21="Alta",'Mapa final'!$AA$21="Moderado"),CONCATENATE("R5C",'Mapa final'!$O$21),"")</f>
        <v/>
      </c>
      <c r="AA20" s="40" t="str">
        <f>IF(AND('Mapa final'!$Y$22="Alta",'Mapa final'!$AA$22="Moderado"),CONCATENATE("R5C",'Mapa final'!$O$22),"")</f>
        <v/>
      </c>
      <c r="AB20" s="38" t="str">
        <f>IF(AND('Mapa final'!$Y$17="Alta",'Mapa final'!$AA$17="Mayor"),CONCATENATE("R5C",'Mapa final'!$O$17),"")</f>
        <v/>
      </c>
      <c r="AC20" s="39" t="str">
        <f>IF(AND('Mapa final'!$Y$18="Alta",'Mapa final'!$AA$18="Mayor"),CONCATENATE("R5C",'Mapa final'!$O$18),"")</f>
        <v/>
      </c>
      <c r="AD20" s="39" t="str">
        <f>IF(AND('Mapa final'!$Y$19="Alta",'Mapa final'!$AA$19="Mayor"),CONCATENATE("R5C",'Mapa final'!$O$19),"")</f>
        <v/>
      </c>
      <c r="AE20" s="39" t="str">
        <f>IF(AND('Mapa final'!$Y$20="Alta",'Mapa final'!$AA$20="Mayor"),CONCATENATE("R5C",'Mapa final'!$O$20),"")</f>
        <v/>
      </c>
      <c r="AF20" s="39" t="str">
        <f>IF(AND('Mapa final'!$Y$21="Alta",'Mapa final'!$AA$21="Mayor"),CONCATENATE("R5C",'Mapa final'!$O$21),"")</f>
        <v/>
      </c>
      <c r="AG20" s="40" t="str">
        <f>IF(AND('Mapa final'!$Y$22="Alta",'Mapa final'!$AA$22="Mayor"),CONCATENATE("R5C",'Mapa final'!$O$22),"")</f>
        <v/>
      </c>
      <c r="AH20" s="41" t="str">
        <f>IF(AND('Mapa final'!$Y$17="Alta",'Mapa final'!$AA$17="Catastrófico"),CONCATENATE("R5C",'Mapa final'!$O$17),"")</f>
        <v/>
      </c>
      <c r="AI20" s="42" t="str">
        <f>IF(AND('Mapa final'!$Y$18="Alta",'Mapa final'!$AA$18="Catastrófico"),CONCATENATE("R5C",'Mapa final'!$O$18),"")</f>
        <v/>
      </c>
      <c r="AJ20" s="42" t="str">
        <f>IF(AND('Mapa final'!$Y$19="Alta",'Mapa final'!$AA$19="Catastrófico"),CONCATENATE("R5C",'Mapa final'!$O$19),"")</f>
        <v/>
      </c>
      <c r="AK20" s="42" t="str">
        <f>IF(AND('Mapa final'!$Y$20="Alta",'Mapa final'!$AA$20="Catastrófico"),CONCATENATE("R5C",'Mapa final'!$O$20),"")</f>
        <v/>
      </c>
      <c r="AL20" s="42" t="str">
        <f>IF(AND('Mapa final'!$Y$21="Alta",'Mapa final'!$AA$21="Catastrófico"),CONCATENATE("R5C",'Mapa final'!$O$21),"")</f>
        <v/>
      </c>
      <c r="AM20" s="43" t="str">
        <f>IF(AND('Mapa final'!$Y$22="Alta",'Mapa final'!$AA$22="Catastrófico"),CONCATENATE("R5C",'Mapa final'!$O$22),"")</f>
        <v/>
      </c>
      <c r="AN20" s="69"/>
      <c r="AO20" s="356"/>
      <c r="AP20" s="357"/>
      <c r="AQ20" s="357"/>
      <c r="AR20" s="357"/>
      <c r="AS20" s="357"/>
      <c r="AT20" s="358"/>
      <c r="AU20" s="69"/>
      <c r="AV20" s="69"/>
      <c r="AW20" s="69"/>
      <c r="AX20" s="69"/>
      <c r="AY20" s="69"/>
      <c r="AZ20" s="69"/>
      <c r="BA20" s="69"/>
      <c r="BB20" s="69"/>
      <c r="BC20" s="69"/>
      <c r="BD20" s="69"/>
      <c r="BE20" s="69"/>
      <c r="BF20" s="69"/>
      <c r="BG20" s="69"/>
      <c r="BH20" s="69"/>
      <c r="BI20" s="69"/>
      <c r="BJ20" s="69"/>
      <c r="BK20" s="69"/>
      <c r="BL20" s="69"/>
      <c r="BM20" s="69"/>
      <c r="BN20" s="69"/>
      <c r="BO20" s="69"/>
      <c r="BP20" s="69"/>
      <c r="BQ20" s="69"/>
      <c r="BR20" s="69"/>
      <c r="BS20" s="69"/>
      <c r="BT20" s="69"/>
      <c r="BU20" s="69"/>
      <c r="BV20" s="69"/>
      <c r="BW20" s="69"/>
      <c r="BX20" s="69"/>
    </row>
    <row r="21" spans="1:76" ht="15" customHeight="1" x14ac:dyDescent="0.25">
      <c r="A21" s="69"/>
      <c r="B21" s="267"/>
      <c r="C21" s="267"/>
      <c r="D21" s="268"/>
      <c r="E21" s="366"/>
      <c r="F21" s="365"/>
      <c r="G21" s="365"/>
      <c r="H21" s="365"/>
      <c r="I21" s="365"/>
      <c r="J21" s="53" t="e">
        <f>IF(AND('Mapa final'!#REF!="Alta",'Mapa final'!#REF!="Leve"),CONCATENATE("R6C",'Mapa final'!#REF!),"")</f>
        <v>#REF!</v>
      </c>
      <c r="K21" s="54" t="e">
        <f>IF(AND('Mapa final'!#REF!="Alta",'Mapa final'!#REF!="Leve"),CONCATENATE("R6C",'Mapa final'!#REF!),"")</f>
        <v>#REF!</v>
      </c>
      <c r="L21" s="54" t="e">
        <f>IF(AND('Mapa final'!#REF!="Alta",'Mapa final'!#REF!="Leve"),CONCATENATE("R6C",'Mapa final'!#REF!),"")</f>
        <v>#REF!</v>
      </c>
      <c r="M21" s="54" t="e">
        <f>IF(AND('Mapa final'!#REF!="Alta",'Mapa final'!#REF!="Leve"),CONCATENATE("R6C",'Mapa final'!#REF!),"")</f>
        <v>#REF!</v>
      </c>
      <c r="N21" s="54" t="e">
        <f>IF(AND('Mapa final'!#REF!="Alta",'Mapa final'!#REF!="Leve"),CONCATENATE("R6C",'Mapa final'!#REF!),"")</f>
        <v>#REF!</v>
      </c>
      <c r="O21" s="55" t="e">
        <f>IF(AND('Mapa final'!#REF!="Alta",'Mapa final'!#REF!="Leve"),CONCATENATE("R6C",'Mapa final'!#REF!),"")</f>
        <v>#REF!</v>
      </c>
      <c r="P21" s="53" t="e">
        <f>IF(AND('Mapa final'!#REF!="Alta",'Mapa final'!#REF!="Menor"),CONCATENATE("R6C",'Mapa final'!#REF!),"")</f>
        <v>#REF!</v>
      </c>
      <c r="Q21" s="54" t="e">
        <f>IF(AND('Mapa final'!#REF!="Alta",'Mapa final'!#REF!="Menor"),CONCATENATE("R6C",'Mapa final'!#REF!),"")</f>
        <v>#REF!</v>
      </c>
      <c r="R21" s="54" t="e">
        <f>IF(AND('Mapa final'!#REF!="Alta",'Mapa final'!#REF!="Menor"),CONCATENATE("R6C",'Mapa final'!#REF!),"")</f>
        <v>#REF!</v>
      </c>
      <c r="S21" s="54" t="e">
        <f>IF(AND('Mapa final'!#REF!="Alta",'Mapa final'!#REF!="Menor"),CONCATENATE("R6C",'Mapa final'!#REF!),"")</f>
        <v>#REF!</v>
      </c>
      <c r="T21" s="54" t="e">
        <f>IF(AND('Mapa final'!#REF!="Alta",'Mapa final'!#REF!="Menor"),CONCATENATE("R6C",'Mapa final'!#REF!),"")</f>
        <v>#REF!</v>
      </c>
      <c r="U21" s="55" t="e">
        <f>IF(AND('Mapa final'!#REF!="Alta",'Mapa final'!#REF!="Menor"),CONCATENATE("R6C",'Mapa final'!#REF!),"")</f>
        <v>#REF!</v>
      </c>
      <c r="V21" s="38" t="e">
        <f>IF(AND('Mapa final'!#REF!="Alta",'Mapa final'!#REF!="Moderado"),CONCATENATE("R6C",'Mapa final'!#REF!),"")</f>
        <v>#REF!</v>
      </c>
      <c r="W21" s="39" t="e">
        <f>IF(AND('Mapa final'!#REF!="Alta",'Mapa final'!#REF!="Moderado"),CONCATENATE("R6C",'Mapa final'!#REF!),"")</f>
        <v>#REF!</v>
      </c>
      <c r="X21" s="39" t="e">
        <f>IF(AND('Mapa final'!#REF!="Alta",'Mapa final'!#REF!="Moderado"),CONCATENATE("R6C",'Mapa final'!#REF!),"")</f>
        <v>#REF!</v>
      </c>
      <c r="Y21" s="39" t="e">
        <f>IF(AND('Mapa final'!#REF!="Alta",'Mapa final'!#REF!="Moderado"),CONCATENATE("R6C",'Mapa final'!#REF!),"")</f>
        <v>#REF!</v>
      </c>
      <c r="Z21" s="39" t="e">
        <f>IF(AND('Mapa final'!#REF!="Alta",'Mapa final'!#REF!="Moderado"),CONCATENATE("R6C",'Mapa final'!#REF!),"")</f>
        <v>#REF!</v>
      </c>
      <c r="AA21" s="40" t="e">
        <f>IF(AND('Mapa final'!#REF!="Alta",'Mapa final'!#REF!="Moderado"),CONCATENATE("R6C",'Mapa final'!#REF!),"")</f>
        <v>#REF!</v>
      </c>
      <c r="AB21" s="38" t="e">
        <f>IF(AND('Mapa final'!#REF!="Alta",'Mapa final'!#REF!="Mayor"),CONCATENATE("R6C",'Mapa final'!#REF!),"")</f>
        <v>#REF!</v>
      </c>
      <c r="AC21" s="39" t="e">
        <f>IF(AND('Mapa final'!#REF!="Alta",'Mapa final'!#REF!="Mayor"),CONCATENATE("R6C",'Mapa final'!#REF!),"")</f>
        <v>#REF!</v>
      </c>
      <c r="AD21" s="39" t="e">
        <f>IF(AND('Mapa final'!#REF!="Alta",'Mapa final'!#REF!="Mayor"),CONCATENATE("R6C",'Mapa final'!#REF!),"")</f>
        <v>#REF!</v>
      </c>
      <c r="AE21" s="39" t="e">
        <f>IF(AND('Mapa final'!#REF!="Alta",'Mapa final'!#REF!="Mayor"),CONCATENATE("R6C",'Mapa final'!#REF!),"")</f>
        <v>#REF!</v>
      </c>
      <c r="AF21" s="39" t="e">
        <f>IF(AND('Mapa final'!#REF!="Alta",'Mapa final'!#REF!="Mayor"),CONCATENATE("R6C",'Mapa final'!#REF!),"")</f>
        <v>#REF!</v>
      </c>
      <c r="AG21" s="40" t="e">
        <f>IF(AND('Mapa final'!#REF!="Alta",'Mapa final'!#REF!="Mayor"),CONCATENATE("R6C",'Mapa final'!#REF!),"")</f>
        <v>#REF!</v>
      </c>
      <c r="AH21" s="41" t="e">
        <f>IF(AND('Mapa final'!#REF!="Alta",'Mapa final'!#REF!="Catastrófico"),CONCATENATE("R6C",'Mapa final'!#REF!),"")</f>
        <v>#REF!</v>
      </c>
      <c r="AI21" s="42" t="e">
        <f>IF(AND('Mapa final'!#REF!="Alta",'Mapa final'!#REF!="Catastrófico"),CONCATENATE("R6C",'Mapa final'!#REF!),"")</f>
        <v>#REF!</v>
      </c>
      <c r="AJ21" s="42" t="e">
        <f>IF(AND('Mapa final'!#REF!="Alta",'Mapa final'!#REF!="Catastrófico"),CONCATENATE("R6C",'Mapa final'!#REF!),"")</f>
        <v>#REF!</v>
      </c>
      <c r="AK21" s="42" t="e">
        <f>IF(AND('Mapa final'!#REF!="Alta",'Mapa final'!#REF!="Catastrófico"),CONCATENATE("R6C",'Mapa final'!#REF!),"")</f>
        <v>#REF!</v>
      </c>
      <c r="AL21" s="42" t="e">
        <f>IF(AND('Mapa final'!#REF!="Alta",'Mapa final'!#REF!="Catastrófico"),CONCATENATE("R6C",'Mapa final'!#REF!),"")</f>
        <v>#REF!</v>
      </c>
      <c r="AM21" s="43" t="e">
        <f>IF(AND('Mapa final'!#REF!="Alta",'Mapa final'!#REF!="Catastrófico"),CONCATENATE("R6C",'Mapa final'!#REF!),"")</f>
        <v>#REF!</v>
      </c>
      <c r="AN21" s="69"/>
      <c r="AO21" s="356"/>
      <c r="AP21" s="357"/>
      <c r="AQ21" s="357"/>
      <c r="AR21" s="357"/>
      <c r="AS21" s="357"/>
      <c r="AT21" s="358"/>
      <c r="AU21" s="69"/>
      <c r="AV21" s="69"/>
      <c r="AW21" s="69"/>
      <c r="AX21" s="69"/>
      <c r="AY21" s="69"/>
      <c r="AZ21" s="69"/>
      <c r="BA21" s="69"/>
      <c r="BB21" s="69"/>
      <c r="BC21" s="69"/>
      <c r="BD21" s="69"/>
      <c r="BE21" s="69"/>
      <c r="BF21" s="69"/>
      <c r="BG21" s="69"/>
      <c r="BH21" s="69"/>
      <c r="BI21" s="69"/>
      <c r="BJ21" s="69"/>
      <c r="BK21" s="69"/>
      <c r="BL21" s="69"/>
      <c r="BM21" s="69"/>
      <c r="BN21" s="69"/>
      <c r="BO21" s="69"/>
      <c r="BP21" s="69"/>
      <c r="BQ21" s="69"/>
      <c r="BR21" s="69"/>
      <c r="BS21" s="69"/>
      <c r="BT21" s="69"/>
      <c r="BU21" s="69"/>
      <c r="BV21" s="69"/>
      <c r="BW21" s="69"/>
      <c r="BX21" s="69"/>
    </row>
    <row r="22" spans="1:76" ht="15" customHeight="1" x14ac:dyDescent="0.25">
      <c r="A22" s="69"/>
      <c r="B22" s="267"/>
      <c r="C22" s="267"/>
      <c r="D22" s="268"/>
      <c r="E22" s="366"/>
      <c r="F22" s="365"/>
      <c r="G22" s="365"/>
      <c r="H22" s="365"/>
      <c r="I22" s="365"/>
      <c r="J22" s="53" t="e">
        <f>IF(AND('Mapa final'!#REF!="Alta",'Mapa final'!#REF!="Leve"),CONCATENATE("R7C",'Mapa final'!#REF!),"")</f>
        <v>#REF!</v>
      </c>
      <c r="K22" s="54" t="e">
        <f>IF(AND('Mapa final'!#REF!="Alta",'Mapa final'!#REF!="Leve"),CONCATENATE("R7C",'Mapa final'!#REF!),"")</f>
        <v>#REF!</v>
      </c>
      <c r="L22" s="54" t="e">
        <f>IF(AND('Mapa final'!#REF!="Alta",'Mapa final'!#REF!="Leve"),CONCATENATE("R7C",'Mapa final'!#REF!),"")</f>
        <v>#REF!</v>
      </c>
      <c r="M22" s="54" t="e">
        <f>IF(AND('Mapa final'!#REF!="Alta",'Mapa final'!#REF!="Leve"),CONCATENATE("R7C",'Mapa final'!#REF!),"")</f>
        <v>#REF!</v>
      </c>
      <c r="N22" s="54" t="e">
        <f>IF(AND('Mapa final'!#REF!="Alta",'Mapa final'!#REF!="Leve"),CONCATENATE("R7C",'Mapa final'!#REF!),"")</f>
        <v>#REF!</v>
      </c>
      <c r="O22" s="55" t="e">
        <f>IF(AND('Mapa final'!#REF!="Alta",'Mapa final'!#REF!="Leve"),CONCATENATE("R7C",'Mapa final'!#REF!),"")</f>
        <v>#REF!</v>
      </c>
      <c r="P22" s="53" t="e">
        <f>IF(AND('Mapa final'!#REF!="Alta",'Mapa final'!#REF!="Menor"),CONCATENATE("R7C",'Mapa final'!#REF!),"")</f>
        <v>#REF!</v>
      </c>
      <c r="Q22" s="54" t="e">
        <f>IF(AND('Mapa final'!#REF!="Alta",'Mapa final'!#REF!="Menor"),CONCATENATE("R7C",'Mapa final'!#REF!),"")</f>
        <v>#REF!</v>
      </c>
      <c r="R22" s="54" t="e">
        <f>IF(AND('Mapa final'!#REF!="Alta",'Mapa final'!#REF!="Menor"),CONCATENATE("R7C",'Mapa final'!#REF!),"")</f>
        <v>#REF!</v>
      </c>
      <c r="S22" s="54" t="e">
        <f>IF(AND('Mapa final'!#REF!="Alta",'Mapa final'!#REF!="Menor"),CONCATENATE("R7C",'Mapa final'!#REF!),"")</f>
        <v>#REF!</v>
      </c>
      <c r="T22" s="54" t="e">
        <f>IF(AND('Mapa final'!#REF!="Alta",'Mapa final'!#REF!="Menor"),CONCATENATE("R7C",'Mapa final'!#REF!),"")</f>
        <v>#REF!</v>
      </c>
      <c r="U22" s="55" t="e">
        <f>IF(AND('Mapa final'!#REF!="Alta",'Mapa final'!#REF!="Menor"),CONCATENATE("R7C",'Mapa final'!#REF!),"")</f>
        <v>#REF!</v>
      </c>
      <c r="V22" s="38" t="e">
        <f>IF(AND('Mapa final'!#REF!="Alta",'Mapa final'!#REF!="Moderado"),CONCATENATE("R7C",'Mapa final'!#REF!),"")</f>
        <v>#REF!</v>
      </c>
      <c r="W22" s="39" t="e">
        <f>IF(AND('Mapa final'!#REF!="Alta",'Mapa final'!#REF!="Moderado"),CONCATENATE("R7C",'Mapa final'!#REF!),"")</f>
        <v>#REF!</v>
      </c>
      <c r="X22" s="39" t="e">
        <f>IF(AND('Mapa final'!#REF!="Alta",'Mapa final'!#REF!="Moderado"),CONCATENATE("R7C",'Mapa final'!#REF!),"")</f>
        <v>#REF!</v>
      </c>
      <c r="Y22" s="39" t="e">
        <f>IF(AND('Mapa final'!#REF!="Alta",'Mapa final'!#REF!="Moderado"),CONCATENATE("R7C",'Mapa final'!#REF!),"")</f>
        <v>#REF!</v>
      </c>
      <c r="Z22" s="39" t="e">
        <f>IF(AND('Mapa final'!#REF!="Alta",'Mapa final'!#REF!="Moderado"),CONCATENATE("R7C",'Mapa final'!#REF!),"")</f>
        <v>#REF!</v>
      </c>
      <c r="AA22" s="40" t="e">
        <f>IF(AND('Mapa final'!#REF!="Alta",'Mapa final'!#REF!="Moderado"),CONCATENATE("R7C",'Mapa final'!#REF!),"")</f>
        <v>#REF!</v>
      </c>
      <c r="AB22" s="38" t="e">
        <f>IF(AND('Mapa final'!#REF!="Alta",'Mapa final'!#REF!="Mayor"),CONCATENATE("R7C",'Mapa final'!#REF!),"")</f>
        <v>#REF!</v>
      </c>
      <c r="AC22" s="39" t="e">
        <f>IF(AND('Mapa final'!#REF!="Alta",'Mapa final'!#REF!="Mayor"),CONCATENATE("R7C",'Mapa final'!#REF!),"")</f>
        <v>#REF!</v>
      </c>
      <c r="AD22" s="39" t="e">
        <f>IF(AND('Mapa final'!#REF!="Alta",'Mapa final'!#REF!="Mayor"),CONCATENATE("R7C",'Mapa final'!#REF!),"")</f>
        <v>#REF!</v>
      </c>
      <c r="AE22" s="39" t="e">
        <f>IF(AND('Mapa final'!#REF!="Alta",'Mapa final'!#REF!="Mayor"),CONCATENATE("R7C",'Mapa final'!#REF!),"")</f>
        <v>#REF!</v>
      </c>
      <c r="AF22" s="39" t="e">
        <f>IF(AND('Mapa final'!#REF!="Alta",'Mapa final'!#REF!="Mayor"),CONCATENATE("R7C",'Mapa final'!#REF!),"")</f>
        <v>#REF!</v>
      </c>
      <c r="AG22" s="40" t="e">
        <f>IF(AND('Mapa final'!#REF!="Alta",'Mapa final'!#REF!="Mayor"),CONCATENATE("R7C",'Mapa final'!#REF!),"")</f>
        <v>#REF!</v>
      </c>
      <c r="AH22" s="41" t="e">
        <f>IF(AND('Mapa final'!#REF!="Alta",'Mapa final'!#REF!="Catastrófico"),CONCATENATE("R7C",'Mapa final'!#REF!),"")</f>
        <v>#REF!</v>
      </c>
      <c r="AI22" s="42" t="e">
        <f>IF(AND('Mapa final'!#REF!="Alta",'Mapa final'!#REF!="Catastrófico"),CONCATENATE("R7C",'Mapa final'!#REF!),"")</f>
        <v>#REF!</v>
      </c>
      <c r="AJ22" s="42" t="e">
        <f>IF(AND('Mapa final'!#REF!="Alta",'Mapa final'!#REF!="Catastrófico"),CONCATENATE("R7C",'Mapa final'!#REF!),"")</f>
        <v>#REF!</v>
      </c>
      <c r="AK22" s="42" t="e">
        <f>IF(AND('Mapa final'!#REF!="Alta",'Mapa final'!#REF!="Catastrófico"),CONCATENATE("R7C",'Mapa final'!#REF!),"")</f>
        <v>#REF!</v>
      </c>
      <c r="AL22" s="42" t="e">
        <f>IF(AND('Mapa final'!#REF!="Alta",'Mapa final'!#REF!="Catastrófico"),CONCATENATE("R7C",'Mapa final'!#REF!),"")</f>
        <v>#REF!</v>
      </c>
      <c r="AM22" s="43" t="e">
        <f>IF(AND('Mapa final'!#REF!="Alta",'Mapa final'!#REF!="Catastrófico"),CONCATENATE("R7C",'Mapa final'!#REF!),"")</f>
        <v>#REF!</v>
      </c>
      <c r="AN22" s="69"/>
      <c r="AO22" s="356"/>
      <c r="AP22" s="357"/>
      <c r="AQ22" s="357"/>
      <c r="AR22" s="357"/>
      <c r="AS22" s="357"/>
      <c r="AT22" s="358"/>
      <c r="AU22" s="69"/>
      <c r="AV22" s="69"/>
      <c r="AW22" s="69"/>
      <c r="AX22" s="69"/>
      <c r="AY22" s="69"/>
      <c r="AZ22" s="69"/>
      <c r="BA22" s="69"/>
      <c r="BB22" s="69"/>
      <c r="BC22" s="69"/>
      <c r="BD22" s="69"/>
      <c r="BE22" s="69"/>
      <c r="BF22" s="69"/>
      <c r="BG22" s="69"/>
      <c r="BH22" s="69"/>
      <c r="BI22" s="69"/>
      <c r="BJ22" s="69"/>
      <c r="BK22" s="69"/>
      <c r="BL22" s="69"/>
      <c r="BM22" s="69"/>
      <c r="BN22" s="69"/>
      <c r="BO22" s="69"/>
      <c r="BP22" s="69"/>
      <c r="BQ22" s="69"/>
      <c r="BR22" s="69"/>
      <c r="BS22" s="69"/>
      <c r="BT22" s="69"/>
      <c r="BU22" s="69"/>
      <c r="BV22" s="69"/>
      <c r="BW22" s="69"/>
      <c r="BX22" s="69"/>
    </row>
    <row r="23" spans="1:76" ht="15" customHeight="1" x14ac:dyDescent="0.25">
      <c r="A23" s="69"/>
      <c r="B23" s="267"/>
      <c r="C23" s="267"/>
      <c r="D23" s="268"/>
      <c r="E23" s="366"/>
      <c r="F23" s="365"/>
      <c r="G23" s="365"/>
      <c r="H23" s="365"/>
      <c r="I23" s="365"/>
      <c r="J23" s="53" t="e">
        <f>IF(AND('Mapa final'!#REF!="Alta",'Mapa final'!#REF!="Leve"),CONCATENATE("R8C",'Mapa final'!#REF!),"")</f>
        <v>#REF!</v>
      </c>
      <c r="K23" s="54" t="e">
        <f>IF(AND('Mapa final'!#REF!="Alta",'Mapa final'!#REF!="Leve"),CONCATENATE("R8C",'Mapa final'!#REF!),"")</f>
        <v>#REF!</v>
      </c>
      <c r="L23" s="54" t="e">
        <f>IF(AND('Mapa final'!#REF!="Alta",'Mapa final'!#REF!="Leve"),CONCATENATE("R8C",'Mapa final'!#REF!),"")</f>
        <v>#REF!</v>
      </c>
      <c r="M23" s="54" t="e">
        <f>IF(AND('Mapa final'!#REF!="Alta",'Mapa final'!#REF!="Leve"),CONCATENATE("R8C",'Mapa final'!#REF!),"")</f>
        <v>#REF!</v>
      </c>
      <c r="N23" s="54" t="e">
        <f>IF(AND('Mapa final'!#REF!="Alta",'Mapa final'!#REF!="Leve"),CONCATENATE("R8C",'Mapa final'!#REF!),"")</f>
        <v>#REF!</v>
      </c>
      <c r="O23" s="55" t="e">
        <f>IF(AND('Mapa final'!#REF!="Alta",'Mapa final'!#REF!="Leve"),CONCATENATE("R8C",'Mapa final'!#REF!),"")</f>
        <v>#REF!</v>
      </c>
      <c r="P23" s="53" t="e">
        <f>IF(AND('Mapa final'!#REF!="Alta",'Mapa final'!#REF!="Menor"),CONCATENATE("R8C",'Mapa final'!#REF!),"")</f>
        <v>#REF!</v>
      </c>
      <c r="Q23" s="54" t="e">
        <f>IF(AND('Mapa final'!#REF!="Alta",'Mapa final'!#REF!="Menor"),CONCATENATE("R8C",'Mapa final'!#REF!),"")</f>
        <v>#REF!</v>
      </c>
      <c r="R23" s="54" t="e">
        <f>IF(AND('Mapa final'!#REF!="Alta",'Mapa final'!#REF!="Menor"),CONCATENATE("R8C",'Mapa final'!#REF!),"")</f>
        <v>#REF!</v>
      </c>
      <c r="S23" s="54" t="e">
        <f>IF(AND('Mapa final'!#REF!="Alta",'Mapa final'!#REF!="Menor"),CONCATENATE("R8C",'Mapa final'!#REF!),"")</f>
        <v>#REF!</v>
      </c>
      <c r="T23" s="54" t="e">
        <f>IF(AND('Mapa final'!#REF!="Alta",'Mapa final'!#REF!="Menor"),CONCATENATE("R8C",'Mapa final'!#REF!),"")</f>
        <v>#REF!</v>
      </c>
      <c r="U23" s="55" t="e">
        <f>IF(AND('Mapa final'!#REF!="Alta",'Mapa final'!#REF!="Menor"),CONCATENATE("R8C",'Mapa final'!#REF!),"")</f>
        <v>#REF!</v>
      </c>
      <c r="V23" s="38" t="e">
        <f>IF(AND('Mapa final'!#REF!="Alta",'Mapa final'!#REF!="Moderado"),CONCATENATE("R8C",'Mapa final'!#REF!),"")</f>
        <v>#REF!</v>
      </c>
      <c r="W23" s="39" t="e">
        <f>IF(AND('Mapa final'!#REF!="Alta",'Mapa final'!#REF!="Moderado"),CONCATENATE("R8C",'Mapa final'!#REF!),"")</f>
        <v>#REF!</v>
      </c>
      <c r="X23" s="39" t="e">
        <f>IF(AND('Mapa final'!#REF!="Alta",'Mapa final'!#REF!="Moderado"),CONCATENATE("R8C",'Mapa final'!#REF!),"")</f>
        <v>#REF!</v>
      </c>
      <c r="Y23" s="39" t="e">
        <f>IF(AND('Mapa final'!#REF!="Alta",'Mapa final'!#REF!="Moderado"),CONCATENATE("R8C",'Mapa final'!#REF!),"")</f>
        <v>#REF!</v>
      </c>
      <c r="Z23" s="39" t="e">
        <f>IF(AND('Mapa final'!#REF!="Alta",'Mapa final'!#REF!="Moderado"),CONCATENATE("R8C",'Mapa final'!#REF!),"")</f>
        <v>#REF!</v>
      </c>
      <c r="AA23" s="40" t="e">
        <f>IF(AND('Mapa final'!#REF!="Alta",'Mapa final'!#REF!="Moderado"),CONCATENATE("R8C",'Mapa final'!#REF!),"")</f>
        <v>#REF!</v>
      </c>
      <c r="AB23" s="38" t="e">
        <f>IF(AND('Mapa final'!#REF!="Alta",'Mapa final'!#REF!="Mayor"),CONCATENATE("R8C",'Mapa final'!#REF!),"")</f>
        <v>#REF!</v>
      </c>
      <c r="AC23" s="39" t="e">
        <f>IF(AND('Mapa final'!#REF!="Alta",'Mapa final'!#REF!="Mayor"),CONCATENATE("R8C",'Mapa final'!#REF!),"")</f>
        <v>#REF!</v>
      </c>
      <c r="AD23" s="39" t="e">
        <f>IF(AND('Mapa final'!#REF!="Alta",'Mapa final'!#REF!="Mayor"),CONCATENATE("R8C",'Mapa final'!#REF!),"")</f>
        <v>#REF!</v>
      </c>
      <c r="AE23" s="39" t="e">
        <f>IF(AND('Mapa final'!#REF!="Alta",'Mapa final'!#REF!="Mayor"),CONCATENATE("R8C",'Mapa final'!#REF!),"")</f>
        <v>#REF!</v>
      </c>
      <c r="AF23" s="39" t="e">
        <f>IF(AND('Mapa final'!#REF!="Alta",'Mapa final'!#REF!="Mayor"),CONCATENATE("R8C",'Mapa final'!#REF!),"")</f>
        <v>#REF!</v>
      </c>
      <c r="AG23" s="40" t="e">
        <f>IF(AND('Mapa final'!#REF!="Alta",'Mapa final'!#REF!="Mayor"),CONCATENATE("R8C",'Mapa final'!#REF!),"")</f>
        <v>#REF!</v>
      </c>
      <c r="AH23" s="41" t="e">
        <f>IF(AND('Mapa final'!#REF!="Alta",'Mapa final'!#REF!="Catastrófico"),CONCATENATE("R8C",'Mapa final'!#REF!),"")</f>
        <v>#REF!</v>
      </c>
      <c r="AI23" s="42" t="e">
        <f>IF(AND('Mapa final'!#REF!="Alta",'Mapa final'!#REF!="Catastrófico"),CONCATENATE("R8C",'Mapa final'!#REF!),"")</f>
        <v>#REF!</v>
      </c>
      <c r="AJ23" s="42" t="e">
        <f>IF(AND('Mapa final'!#REF!="Alta",'Mapa final'!#REF!="Catastrófico"),CONCATENATE("R8C",'Mapa final'!#REF!),"")</f>
        <v>#REF!</v>
      </c>
      <c r="AK23" s="42" t="e">
        <f>IF(AND('Mapa final'!#REF!="Alta",'Mapa final'!#REF!="Catastrófico"),CONCATENATE("R8C",'Mapa final'!#REF!),"")</f>
        <v>#REF!</v>
      </c>
      <c r="AL23" s="42" t="e">
        <f>IF(AND('Mapa final'!#REF!="Alta",'Mapa final'!#REF!="Catastrófico"),CONCATENATE("R8C",'Mapa final'!#REF!),"")</f>
        <v>#REF!</v>
      </c>
      <c r="AM23" s="43" t="e">
        <f>IF(AND('Mapa final'!#REF!="Alta",'Mapa final'!#REF!="Catastrófico"),CONCATENATE("R8C",'Mapa final'!#REF!),"")</f>
        <v>#REF!</v>
      </c>
      <c r="AN23" s="69"/>
      <c r="AO23" s="356"/>
      <c r="AP23" s="357"/>
      <c r="AQ23" s="357"/>
      <c r="AR23" s="357"/>
      <c r="AS23" s="357"/>
      <c r="AT23" s="358"/>
      <c r="AU23" s="69"/>
      <c r="AV23" s="69"/>
      <c r="AW23" s="69"/>
      <c r="AX23" s="69"/>
      <c r="AY23" s="69"/>
      <c r="AZ23" s="69"/>
      <c r="BA23" s="69"/>
      <c r="BB23" s="69"/>
      <c r="BC23" s="69"/>
      <c r="BD23" s="69"/>
      <c r="BE23" s="69"/>
      <c r="BF23" s="69"/>
      <c r="BG23" s="69"/>
      <c r="BH23" s="69"/>
      <c r="BI23" s="69"/>
      <c r="BJ23" s="69"/>
      <c r="BK23" s="69"/>
      <c r="BL23" s="69"/>
      <c r="BM23" s="69"/>
      <c r="BN23" s="69"/>
      <c r="BO23" s="69"/>
      <c r="BP23" s="69"/>
      <c r="BQ23" s="69"/>
      <c r="BR23" s="69"/>
      <c r="BS23" s="69"/>
      <c r="BT23" s="69"/>
      <c r="BU23" s="69"/>
      <c r="BV23" s="69"/>
      <c r="BW23" s="69"/>
      <c r="BX23" s="69"/>
    </row>
    <row r="24" spans="1:76" ht="15" customHeight="1" x14ac:dyDescent="0.25">
      <c r="A24" s="69"/>
      <c r="B24" s="267"/>
      <c r="C24" s="267"/>
      <c r="D24" s="268"/>
      <c r="E24" s="366"/>
      <c r="F24" s="365"/>
      <c r="G24" s="365"/>
      <c r="H24" s="365"/>
      <c r="I24" s="365"/>
      <c r="J24" s="53" t="e">
        <f>IF(AND('Mapa final'!#REF!="Alta",'Mapa final'!#REF!="Leve"),CONCATENATE("R9C",'Mapa final'!#REF!),"")</f>
        <v>#REF!</v>
      </c>
      <c r="K24" s="54" t="e">
        <f>IF(AND('Mapa final'!#REF!="Alta",'Mapa final'!#REF!="Leve"),CONCATENATE("R9C",'Mapa final'!#REF!),"")</f>
        <v>#REF!</v>
      </c>
      <c r="L24" s="54" t="e">
        <f>IF(AND('Mapa final'!#REF!="Alta",'Mapa final'!#REF!="Leve"),CONCATENATE("R9C",'Mapa final'!#REF!),"")</f>
        <v>#REF!</v>
      </c>
      <c r="M24" s="54" t="e">
        <f>IF(AND('Mapa final'!#REF!="Alta",'Mapa final'!#REF!="Leve"),CONCATENATE("R9C",'Mapa final'!#REF!),"")</f>
        <v>#REF!</v>
      </c>
      <c r="N24" s="54" t="e">
        <f>IF(AND('Mapa final'!#REF!="Alta",'Mapa final'!#REF!="Leve"),CONCATENATE("R9C",'Mapa final'!#REF!),"")</f>
        <v>#REF!</v>
      </c>
      <c r="O24" s="55" t="e">
        <f>IF(AND('Mapa final'!#REF!="Alta",'Mapa final'!#REF!="Leve"),CONCATENATE("R9C",'Mapa final'!#REF!),"")</f>
        <v>#REF!</v>
      </c>
      <c r="P24" s="53" t="e">
        <f>IF(AND('Mapa final'!#REF!="Alta",'Mapa final'!#REF!="Menor"),CONCATENATE("R9C",'Mapa final'!#REF!),"")</f>
        <v>#REF!</v>
      </c>
      <c r="Q24" s="54" t="e">
        <f>IF(AND('Mapa final'!#REF!="Alta",'Mapa final'!#REF!="Menor"),CONCATENATE("R9C",'Mapa final'!#REF!),"")</f>
        <v>#REF!</v>
      </c>
      <c r="R24" s="54" t="e">
        <f>IF(AND('Mapa final'!#REF!="Alta",'Mapa final'!#REF!="Menor"),CONCATENATE("R9C",'Mapa final'!#REF!),"")</f>
        <v>#REF!</v>
      </c>
      <c r="S24" s="54" t="e">
        <f>IF(AND('Mapa final'!#REF!="Alta",'Mapa final'!#REF!="Menor"),CONCATENATE("R9C",'Mapa final'!#REF!),"")</f>
        <v>#REF!</v>
      </c>
      <c r="T24" s="54" t="e">
        <f>IF(AND('Mapa final'!#REF!="Alta",'Mapa final'!#REF!="Menor"),CONCATENATE("R9C",'Mapa final'!#REF!),"")</f>
        <v>#REF!</v>
      </c>
      <c r="U24" s="55" t="e">
        <f>IF(AND('Mapa final'!#REF!="Alta",'Mapa final'!#REF!="Menor"),CONCATENATE("R9C",'Mapa final'!#REF!),"")</f>
        <v>#REF!</v>
      </c>
      <c r="V24" s="38" t="e">
        <f>IF(AND('Mapa final'!#REF!="Alta",'Mapa final'!#REF!="Moderado"),CONCATENATE("R9C",'Mapa final'!#REF!),"")</f>
        <v>#REF!</v>
      </c>
      <c r="W24" s="39" t="e">
        <f>IF(AND('Mapa final'!#REF!="Alta",'Mapa final'!#REF!="Moderado"),CONCATENATE("R9C",'Mapa final'!#REF!),"")</f>
        <v>#REF!</v>
      </c>
      <c r="X24" s="39" t="e">
        <f>IF(AND('Mapa final'!#REF!="Alta",'Mapa final'!#REF!="Moderado"),CONCATENATE("R9C",'Mapa final'!#REF!),"")</f>
        <v>#REF!</v>
      </c>
      <c r="Y24" s="39" t="e">
        <f>IF(AND('Mapa final'!#REF!="Alta",'Mapa final'!#REF!="Moderado"),CONCATENATE("R9C",'Mapa final'!#REF!),"")</f>
        <v>#REF!</v>
      </c>
      <c r="Z24" s="39" t="e">
        <f>IF(AND('Mapa final'!#REF!="Alta",'Mapa final'!#REF!="Moderado"),CONCATENATE("R9C",'Mapa final'!#REF!),"")</f>
        <v>#REF!</v>
      </c>
      <c r="AA24" s="40" t="e">
        <f>IF(AND('Mapa final'!#REF!="Alta",'Mapa final'!#REF!="Moderado"),CONCATENATE("R9C",'Mapa final'!#REF!),"")</f>
        <v>#REF!</v>
      </c>
      <c r="AB24" s="38" t="e">
        <f>IF(AND('Mapa final'!#REF!="Alta",'Mapa final'!#REF!="Mayor"),CONCATENATE("R9C",'Mapa final'!#REF!),"")</f>
        <v>#REF!</v>
      </c>
      <c r="AC24" s="39" t="e">
        <f>IF(AND('Mapa final'!#REF!="Alta",'Mapa final'!#REF!="Mayor"),CONCATENATE("R9C",'Mapa final'!#REF!),"")</f>
        <v>#REF!</v>
      </c>
      <c r="AD24" s="39" t="e">
        <f>IF(AND('Mapa final'!#REF!="Alta",'Mapa final'!#REF!="Mayor"),CONCATENATE("R9C",'Mapa final'!#REF!),"")</f>
        <v>#REF!</v>
      </c>
      <c r="AE24" s="39" t="e">
        <f>IF(AND('Mapa final'!#REF!="Alta",'Mapa final'!#REF!="Mayor"),CONCATENATE("R9C",'Mapa final'!#REF!),"")</f>
        <v>#REF!</v>
      </c>
      <c r="AF24" s="39" t="e">
        <f>IF(AND('Mapa final'!#REF!="Alta",'Mapa final'!#REF!="Mayor"),CONCATENATE("R9C",'Mapa final'!#REF!),"")</f>
        <v>#REF!</v>
      </c>
      <c r="AG24" s="40" t="e">
        <f>IF(AND('Mapa final'!#REF!="Alta",'Mapa final'!#REF!="Mayor"),CONCATENATE("R9C",'Mapa final'!#REF!),"")</f>
        <v>#REF!</v>
      </c>
      <c r="AH24" s="41" t="e">
        <f>IF(AND('Mapa final'!#REF!="Alta",'Mapa final'!#REF!="Catastrófico"),CONCATENATE("R9C",'Mapa final'!#REF!),"")</f>
        <v>#REF!</v>
      </c>
      <c r="AI24" s="42" t="e">
        <f>IF(AND('Mapa final'!#REF!="Alta",'Mapa final'!#REF!="Catastrófico"),CONCATENATE("R9C",'Mapa final'!#REF!),"")</f>
        <v>#REF!</v>
      </c>
      <c r="AJ24" s="42" t="e">
        <f>IF(AND('Mapa final'!#REF!="Alta",'Mapa final'!#REF!="Catastrófico"),CONCATENATE("R9C",'Mapa final'!#REF!),"")</f>
        <v>#REF!</v>
      </c>
      <c r="AK24" s="42" t="e">
        <f>IF(AND('Mapa final'!#REF!="Alta",'Mapa final'!#REF!="Catastrófico"),CONCATENATE("R9C",'Mapa final'!#REF!),"")</f>
        <v>#REF!</v>
      </c>
      <c r="AL24" s="42" t="e">
        <f>IF(AND('Mapa final'!#REF!="Alta",'Mapa final'!#REF!="Catastrófico"),CONCATENATE("R9C",'Mapa final'!#REF!),"")</f>
        <v>#REF!</v>
      </c>
      <c r="AM24" s="43" t="e">
        <f>IF(AND('Mapa final'!#REF!="Alta",'Mapa final'!#REF!="Catastrófico"),CONCATENATE("R9C",'Mapa final'!#REF!),"")</f>
        <v>#REF!</v>
      </c>
      <c r="AN24" s="69"/>
      <c r="AO24" s="356"/>
      <c r="AP24" s="357"/>
      <c r="AQ24" s="357"/>
      <c r="AR24" s="357"/>
      <c r="AS24" s="357"/>
      <c r="AT24" s="358"/>
      <c r="AU24" s="69"/>
      <c r="AV24" s="69"/>
      <c r="AW24" s="69"/>
      <c r="AX24" s="69"/>
      <c r="AY24" s="69"/>
      <c r="AZ24" s="69"/>
      <c r="BA24" s="69"/>
      <c r="BB24" s="69"/>
      <c r="BC24" s="69"/>
      <c r="BD24" s="69"/>
      <c r="BE24" s="69"/>
      <c r="BF24" s="69"/>
      <c r="BG24" s="69"/>
      <c r="BH24" s="69"/>
      <c r="BI24" s="69"/>
      <c r="BJ24" s="69"/>
      <c r="BK24" s="69"/>
      <c r="BL24" s="69"/>
      <c r="BM24" s="69"/>
      <c r="BN24" s="69"/>
      <c r="BO24" s="69"/>
      <c r="BP24" s="69"/>
      <c r="BQ24" s="69"/>
      <c r="BR24" s="69"/>
      <c r="BS24" s="69"/>
      <c r="BT24" s="69"/>
      <c r="BU24" s="69"/>
      <c r="BV24" s="69"/>
      <c r="BW24" s="69"/>
      <c r="BX24" s="69"/>
    </row>
    <row r="25" spans="1:76" ht="15.75" customHeight="1" thickBot="1" x14ac:dyDescent="0.3">
      <c r="A25" s="69"/>
      <c r="B25" s="267"/>
      <c r="C25" s="267"/>
      <c r="D25" s="268"/>
      <c r="E25" s="367"/>
      <c r="F25" s="368"/>
      <c r="G25" s="368"/>
      <c r="H25" s="368"/>
      <c r="I25" s="368"/>
      <c r="J25" s="56" t="e">
        <f>IF(AND('Mapa final'!#REF!="Alta",'Mapa final'!#REF!="Leve"),CONCATENATE("R10C",'Mapa final'!#REF!),"")</f>
        <v>#REF!</v>
      </c>
      <c r="K25" s="57" t="e">
        <f>IF(AND('Mapa final'!#REF!="Alta",'Mapa final'!#REF!="Leve"),CONCATENATE("R10C",'Mapa final'!#REF!),"")</f>
        <v>#REF!</v>
      </c>
      <c r="L25" s="57" t="e">
        <f>IF(AND('Mapa final'!#REF!="Alta",'Mapa final'!#REF!="Leve"),CONCATENATE("R10C",'Mapa final'!#REF!),"")</f>
        <v>#REF!</v>
      </c>
      <c r="M25" s="57" t="e">
        <f>IF(AND('Mapa final'!#REF!="Alta",'Mapa final'!#REF!="Leve"),CONCATENATE("R10C",'Mapa final'!#REF!),"")</f>
        <v>#REF!</v>
      </c>
      <c r="N25" s="57" t="e">
        <f>IF(AND('Mapa final'!#REF!="Alta",'Mapa final'!#REF!="Leve"),CONCATENATE("R10C",'Mapa final'!#REF!),"")</f>
        <v>#REF!</v>
      </c>
      <c r="O25" s="58" t="e">
        <f>IF(AND('Mapa final'!#REF!="Alta",'Mapa final'!#REF!="Leve"),CONCATENATE("R10C",'Mapa final'!#REF!),"")</f>
        <v>#REF!</v>
      </c>
      <c r="P25" s="56" t="e">
        <f>IF(AND('Mapa final'!#REF!="Alta",'Mapa final'!#REF!="Menor"),CONCATENATE("R10C",'Mapa final'!#REF!),"")</f>
        <v>#REF!</v>
      </c>
      <c r="Q25" s="57" t="e">
        <f>IF(AND('Mapa final'!#REF!="Alta",'Mapa final'!#REF!="Menor"),CONCATENATE("R10C",'Mapa final'!#REF!),"")</f>
        <v>#REF!</v>
      </c>
      <c r="R25" s="57" t="e">
        <f>IF(AND('Mapa final'!#REF!="Alta",'Mapa final'!#REF!="Menor"),CONCATENATE("R10C",'Mapa final'!#REF!),"")</f>
        <v>#REF!</v>
      </c>
      <c r="S25" s="57" t="e">
        <f>IF(AND('Mapa final'!#REF!="Alta",'Mapa final'!#REF!="Menor"),CONCATENATE("R10C",'Mapa final'!#REF!),"")</f>
        <v>#REF!</v>
      </c>
      <c r="T25" s="57" t="e">
        <f>IF(AND('Mapa final'!#REF!="Alta",'Mapa final'!#REF!="Menor"),CONCATENATE("R10C",'Mapa final'!#REF!),"")</f>
        <v>#REF!</v>
      </c>
      <c r="U25" s="58" t="e">
        <f>IF(AND('Mapa final'!#REF!="Alta",'Mapa final'!#REF!="Menor"),CONCATENATE("R10C",'Mapa final'!#REF!),"")</f>
        <v>#REF!</v>
      </c>
      <c r="V25" s="44" t="e">
        <f>IF(AND('Mapa final'!#REF!="Alta",'Mapa final'!#REF!="Moderado"),CONCATENATE("R10C",'Mapa final'!#REF!),"")</f>
        <v>#REF!</v>
      </c>
      <c r="W25" s="45" t="e">
        <f>IF(AND('Mapa final'!#REF!="Alta",'Mapa final'!#REF!="Moderado"),CONCATENATE("R10C",'Mapa final'!#REF!),"")</f>
        <v>#REF!</v>
      </c>
      <c r="X25" s="45" t="e">
        <f>IF(AND('Mapa final'!#REF!="Alta",'Mapa final'!#REF!="Moderado"),CONCATENATE("R10C",'Mapa final'!#REF!),"")</f>
        <v>#REF!</v>
      </c>
      <c r="Y25" s="45" t="e">
        <f>IF(AND('Mapa final'!#REF!="Alta",'Mapa final'!#REF!="Moderado"),CONCATENATE("R10C",'Mapa final'!#REF!),"")</f>
        <v>#REF!</v>
      </c>
      <c r="Z25" s="45" t="e">
        <f>IF(AND('Mapa final'!#REF!="Alta",'Mapa final'!#REF!="Moderado"),CONCATENATE("R10C",'Mapa final'!#REF!),"")</f>
        <v>#REF!</v>
      </c>
      <c r="AA25" s="46" t="e">
        <f>IF(AND('Mapa final'!#REF!="Alta",'Mapa final'!#REF!="Moderado"),CONCATENATE("R10C",'Mapa final'!#REF!),"")</f>
        <v>#REF!</v>
      </c>
      <c r="AB25" s="44" t="e">
        <f>IF(AND('Mapa final'!#REF!="Alta",'Mapa final'!#REF!="Mayor"),CONCATENATE("R10C",'Mapa final'!#REF!),"")</f>
        <v>#REF!</v>
      </c>
      <c r="AC25" s="45" t="e">
        <f>IF(AND('Mapa final'!#REF!="Alta",'Mapa final'!#REF!="Mayor"),CONCATENATE("R10C",'Mapa final'!#REF!),"")</f>
        <v>#REF!</v>
      </c>
      <c r="AD25" s="45" t="e">
        <f>IF(AND('Mapa final'!#REF!="Alta",'Mapa final'!#REF!="Mayor"),CONCATENATE("R10C",'Mapa final'!#REF!),"")</f>
        <v>#REF!</v>
      </c>
      <c r="AE25" s="45" t="e">
        <f>IF(AND('Mapa final'!#REF!="Alta",'Mapa final'!#REF!="Mayor"),CONCATENATE("R10C",'Mapa final'!#REF!),"")</f>
        <v>#REF!</v>
      </c>
      <c r="AF25" s="45" t="e">
        <f>IF(AND('Mapa final'!#REF!="Alta",'Mapa final'!#REF!="Mayor"),CONCATENATE("R10C",'Mapa final'!#REF!),"")</f>
        <v>#REF!</v>
      </c>
      <c r="AG25" s="46" t="e">
        <f>IF(AND('Mapa final'!#REF!="Alta",'Mapa final'!#REF!="Mayor"),CONCATENATE("R10C",'Mapa final'!#REF!),"")</f>
        <v>#REF!</v>
      </c>
      <c r="AH25" s="47" t="e">
        <f>IF(AND('Mapa final'!#REF!="Alta",'Mapa final'!#REF!="Catastrófico"),CONCATENATE("R10C",'Mapa final'!#REF!),"")</f>
        <v>#REF!</v>
      </c>
      <c r="AI25" s="48" t="e">
        <f>IF(AND('Mapa final'!#REF!="Alta",'Mapa final'!#REF!="Catastrófico"),CONCATENATE("R10C",'Mapa final'!#REF!),"")</f>
        <v>#REF!</v>
      </c>
      <c r="AJ25" s="48" t="e">
        <f>IF(AND('Mapa final'!#REF!="Alta",'Mapa final'!#REF!="Catastrófico"),CONCATENATE("R10C",'Mapa final'!#REF!),"")</f>
        <v>#REF!</v>
      </c>
      <c r="AK25" s="48" t="e">
        <f>IF(AND('Mapa final'!#REF!="Alta",'Mapa final'!#REF!="Catastrófico"),CONCATENATE("R10C",'Mapa final'!#REF!),"")</f>
        <v>#REF!</v>
      </c>
      <c r="AL25" s="48" t="e">
        <f>IF(AND('Mapa final'!#REF!="Alta",'Mapa final'!#REF!="Catastrófico"),CONCATENATE("R10C",'Mapa final'!#REF!),"")</f>
        <v>#REF!</v>
      </c>
      <c r="AM25" s="49" t="e">
        <f>IF(AND('Mapa final'!#REF!="Alta",'Mapa final'!#REF!="Catastrófico"),CONCATENATE("R10C",'Mapa final'!#REF!),"")</f>
        <v>#REF!</v>
      </c>
      <c r="AN25" s="69"/>
      <c r="AO25" s="359"/>
      <c r="AP25" s="360"/>
      <c r="AQ25" s="360"/>
      <c r="AR25" s="360"/>
      <c r="AS25" s="360"/>
      <c r="AT25" s="361"/>
      <c r="AU25" s="69"/>
      <c r="AV25" s="69"/>
      <c r="AW25" s="69"/>
      <c r="AX25" s="69"/>
      <c r="AY25" s="69"/>
      <c r="AZ25" s="69"/>
      <c r="BA25" s="69"/>
      <c r="BB25" s="69"/>
      <c r="BC25" s="69"/>
      <c r="BD25" s="69"/>
      <c r="BE25" s="69"/>
      <c r="BF25" s="69"/>
      <c r="BG25" s="69"/>
      <c r="BH25" s="69"/>
      <c r="BI25" s="69"/>
      <c r="BJ25" s="69"/>
      <c r="BK25" s="69"/>
      <c r="BL25" s="69"/>
      <c r="BM25" s="69"/>
      <c r="BN25" s="69"/>
      <c r="BO25" s="69"/>
      <c r="BP25" s="69"/>
      <c r="BQ25" s="69"/>
      <c r="BR25" s="69"/>
      <c r="BS25" s="69"/>
      <c r="BT25" s="69"/>
      <c r="BU25" s="69"/>
      <c r="BV25" s="69"/>
      <c r="BW25" s="69"/>
      <c r="BX25" s="69"/>
    </row>
    <row r="26" spans="1:76" ht="15" customHeight="1" x14ac:dyDescent="0.25">
      <c r="A26" s="69"/>
      <c r="B26" s="267"/>
      <c r="C26" s="267"/>
      <c r="D26" s="268"/>
      <c r="E26" s="362" t="s">
        <v>117</v>
      </c>
      <c r="F26" s="363"/>
      <c r="G26" s="363"/>
      <c r="H26" s="363"/>
      <c r="I26" s="380"/>
      <c r="J26" s="50" t="e">
        <f>IF(AND('Mapa final'!#REF!="Media",'Mapa final'!#REF!="Leve"),CONCATENATE("R1C",'Mapa final'!#REF!),"")</f>
        <v>#REF!</v>
      </c>
      <c r="K26" s="51" t="e">
        <f>IF(AND('Mapa final'!#REF!="Media",'Mapa final'!#REF!="Leve"),CONCATENATE("R1C",'Mapa final'!#REF!),"")</f>
        <v>#REF!</v>
      </c>
      <c r="L26" s="51" t="e">
        <f>IF(AND('Mapa final'!#REF!="Media",'Mapa final'!#REF!="Leve"),CONCATENATE("R1C",'Mapa final'!#REF!),"")</f>
        <v>#REF!</v>
      </c>
      <c r="M26" s="51" t="e">
        <f>IF(AND('Mapa final'!#REF!="Media",'Mapa final'!#REF!="Leve"),CONCATENATE("R1C",'Mapa final'!#REF!),"")</f>
        <v>#REF!</v>
      </c>
      <c r="N26" s="51" t="e">
        <f>IF(AND('Mapa final'!#REF!="Media",'Mapa final'!#REF!="Leve"),CONCATENATE("R1C",'Mapa final'!#REF!),"")</f>
        <v>#REF!</v>
      </c>
      <c r="O26" s="52" t="e">
        <f>IF(AND('Mapa final'!#REF!="Media",'Mapa final'!#REF!="Leve"),CONCATENATE("R1C",'Mapa final'!#REF!),"")</f>
        <v>#REF!</v>
      </c>
      <c r="P26" s="50" t="e">
        <f>IF(AND('Mapa final'!#REF!="Media",'Mapa final'!#REF!="Menor"),CONCATENATE("R1C",'Mapa final'!#REF!),"")</f>
        <v>#REF!</v>
      </c>
      <c r="Q26" s="51" t="e">
        <f>IF(AND('Mapa final'!#REF!="Media",'Mapa final'!#REF!="Menor"),CONCATENATE("R1C",'Mapa final'!#REF!),"")</f>
        <v>#REF!</v>
      </c>
      <c r="R26" s="51" t="e">
        <f>IF(AND('Mapa final'!#REF!="Media",'Mapa final'!#REF!="Menor"),CONCATENATE("R1C",'Mapa final'!#REF!),"")</f>
        <v>#REF!</v>
      </c>
      <c r="S26" s="51" t="e">
        <f>IF(AND('Mapa final'!#REF!="Media",'Mapa final'!#REF!="Menor"),CONCATENATE("R1C",'Mapa final'!#REF!),"")</f>
        <v>#REF!</v>
      </c>
      <c r="T26" s="51" t="e">
        <f>IF(AND('Mapa final'!#REF!="Media",'Mapa final'!#REF!="Menor"),CONCATENATE("R1C",'Mapa final'!#REF!),"")</f>
        <v>#REF!</v>
      </c>
      <c r="U26" s="52" t="e">
        <f>IF(AND('Mapa final'!#REF!="Media",'Mapa final'!#REF!="Menor"),CONCATENATE("R1C",'Mapa final'!#REF!),"")</f>
        <v>#REF!</v>
      </c>
      <c r="V26" s="50" t="e">
        <f>IF(AND('Mapa final'!#REF!="Media",'Mapa final'!#REF!="Moderado"),CONCATENATE("R1C",'Mapa final'!#REF!),"")</f>
        <v>#REF!</v>
      </c>
      <c r="W26" s="51" t="e">
        <f>IF(AND('Mapa final'!#REF!="Media",'Mapa final'!#REF!="Moderado"),CONCATENATE("R1C",'Mapa final'!#REF!),"")</f>
        <v>#REF!</v>
      </c>
      <c r="X26" s="51" t="e">
        <f>IF(AND('Mapa final'!#REF!="Media",'Mapa final'!#REF!="Moderado"),CONCATENATE("R1C",'Mapa final'!#REF!),"")</f>
        <v>#REF!</v>
      </c>
      <c r="Y26" s="51" t="e">
        <f>IF(AND('Mapa final'!#REF!="Media",'Mapa final'!#REF!="Moderado"),CONCATENATE("R1C",'Mapa final'!#REF!),"")</f>
        <v>#REF!</v>
      </c>
      <c r="Z26" s="51" t="e">
        <f>IF(AND('Mapa final'!#REF!="Media",'Mapa final'!#REF!="Moderado"),CONCATENATE("R1C",'Mapa final'!#REF!),"")</f>
        <v>#REF!</v>
      </c>
      <c r="AA26" s="52" t="e">
        <f>IF(AND('Mapa final'!#REF!="Media",'Mapa final'!#REF!="Moderado"),CONCATENATE("R1C",'Mapa final'!#REF!),"")</f>
        <v>#REF!</v>
      </c>
      <c r="AB26" s="32" t="e">
        <f>IF(AND('Mapa final'!#REF!="Media",'Mapa final'!#REF!="Mayor"),CONCATENATE("R1C",'Mapa final'!#REF!),"")</f>
        <v>#REF!</v>
      </c>
      <c r="AC26" s="33" t="e">
        <f>IF(AND('Mapa final'!#REF!="Media",'Mapa final'!#REF!="Mayor"),CONCATENATE("R1C",'Mapa final'!#REF!),"")</f>
        <v>#REF!</v>
      </c>
      <c r="AD26" s="33" t="e">
        <f>IF(AND('Mapa final'!#REF!="Media",'Mapa final'!#REF!="Mayor"),CONCATENATE("R1C",'Mapa final'!#REF!),"")</f>
        <v>#REF!</v>
      </c>
      <c r="AE26" s="33" t="e">
        <f>IF(AND('Mapa final'!#REF!="Media",'Mapa final'!#REF!="Mayor"),CONCATENATE("R1C",'Mapa final'!#REF!),"")</f>
        <v>#REF!</v>
      </c>
      <c r="AF26" s="33" t="e">
        <f>IF(AND('Mapa final'!#REF!="Media",'Mapa final'!#REF!="Mayor"),CONCATENATE("R1C",'Mapa final'!#REF!),"")</f>
        <v>#REF!</v>
      </c>
      <c r="AG26" s="34" t="e">
        <f>IF(AND('Mapa final'!#REF!="Media",'Mapa final'!#REF!="Mayor"),CONCATENATE("R1C",'Mapa final'!#REF!),"")</f>
        <v>#REF!</v>
      </c>
      <c r="AH26" s="35" t="e">
        <f>IF(AND('Mapa final'!#REF!="Media",'Mapa final'!#REF!="Catastrófico"),CONCATENATE("R1C",'Mapa final'!#REF!),"")</f>
        <v>#REF!</v>
      </c>
      <c r="AI26" s="36" t="e">
        <f>IF(AND('Mapa final'!#REF!="Media",'Mapa final'!#REF!="Catastrófico"),CONCATENATE("R1C",'Mapa final'!#REF!),"")</f>
        <v>#REF!</v>
      </c>
      <c r="AJ26" s="36" t="e">
        <f>IF(AND('Mapa final'!#REF!="Media",'Mapa final'!#REF!="Catastrófico"),CONCATENATE("R1C",'Mapa final'!#REF!),"")</f>
        <v>#REF!</v>
      </c>
      <c r="AK26" s="36" t="e">
        <f>IF(AND('Mapa final'!#REF!="Media",'Mapa final'!#REF!="Catastrófico"),CONCATENATE("R1C",'Mapa final'!#REF!),"")</f>
        <v>#REF!</v>
      </c>
      <c r="AL26" s="36" t="e">
        <f>IF(AND('Mapa final'!#REF!="Media",'Mapa final'!#REF!="Catastrófico"),CONCATENATE("R1C",'Mapa final'!#REF!),"")</f>
        <v>#REF!</v>
      </c>
      <c r="AM26" s="37" t="e">
        <f>IF(AND('Mapa final'!#REF!="Media",'Mapa final'!#REF!="Catastrófico"),CONCATENATE("R1C",'Mapa final'!#REF!),"")</f>
        <v>#REF!</v>
      </c>
      <c r="AN26" s="69"/>
      <c r="AO26" s="392" t="s">
        <v>81</v>
      </c>
      <c r="AP26" s="393"/>
      <c r="AQ26" s="393"/>
      <c r="AR26" s="393"/>
      <c r="AS26" s="393"/>
      <c r="AT26" s="394"/>
      <c r="AU26" s="69"/>
      <c r="AV26" s="69"/>
      <c r="AW26" s="69"/>
      <c r="AX26" s="69"/>
      <c r="AY26" s="69"/>
      <c r="AZ26" s="69"/>
      <c r="BA26" s="69"/>
      <c r="BB26" s="69"/>
      <c r="BC26" s="69"/>
      <c r="BD26" s="69"/>
      <c r="BE26" s="69"/>
      <c r="BF26" s="69"/>
      <c r="BG26" s="69"/>
      <c r="BH26" s="69"/>
      <c r="BI26" s="69"/>
      <c r="BJ26" s="69"/>
      <c r="BK26" s="69"/>
      <c r="BL26" s="69"/>
      <c r="BM26" s="69"/>
      <c r="BN26" s="69"/>
      <c r="BO26" s="69"/>
      <c r="BP26" s="69"/>
      <c r="BQ26" s="69"/>
      <c r="BR26" s="69"/>
      <c r="BS26" s="69"/>
      <c r="BT26" s="69"/>
      <c r="BU26" s="69"/>
      <c r="BV26" s="69"/>
      <c r="BW26" s="69"/>
      <c r="BX26" s="69"/>
    </row>
    <row r="27" spans="1:76" ht="15" customHeight="1" x14ac:dyDescent="0.25">
      <c r="A27" s="69"/>
      <c r="B27" s="267"/>
      <c r="C27" s="267"/>
      <c r="D27" s="268"/>
      <c r="E27" s="364"/>
      <c r="F27" s="365"/>
      <c r="G27" s="365"/>
      <c r="H27" s="365"/>
      <c r="I27" s="381"/>
      <c r="J27" s="53" t="e">
        <f>IF(AND('Mapa final'!#REF!="Media",'Mapa final'!#REF!="Leve"),CONCATENATE("R2C",'Mapa final'!#REF!),"")</f>
        <v>#REF!</v>
      </c>
      <c r="K27" s="54" t="e">
        <f>IF(AND('Mapa final'!#REF!="Media",'Mapa final'!#REF!="Leve"),CONCATENATE("R2C",'Mapa final'!#REF!),"")</f>
        <v>#REF!</v>
      </c>
      <c r="L27" s="54" t="e">
        <f>IF(AND('Mapa final'!#REF!="Media",'Mapa final'!#REF!="Leve"),CONCATENATE("R2C",'Mapa final'!#REF!),"")</f>
        <v>#REF!</v>
      </c>
      <c r="M27" s="54" t="e">
        <f>IF(AND('Mapa final'!#REF!="Media",'Mapa final'!#REF!="Leve"),CONCATENATE("R2C",'Mapa final'!#REF!),"")</f>
        <v>#REF!</v>
      </c>
      <c r="N27" s="54" t="e">
        <f>IF(AND('Mapa final'!#REF!="Media",'Mapa final'!#REF!="Leve"),CONCATENATE("R2C",'Mapa final'!#REF!),"")</f>
        <v>#REF!</v>
      </c>
      <c r="O27" s="55" t="e">
        <f>IF(AND('Mapa final'!#REF!="Media",'Mapa final'!#REF!="Leve"),CONCATENATE("R2C",'Mapa final'!#REF!),"")</f>
        <v>#REF!</v>
      </c>
      <c r="P27" s="53" t="e">
        <f>IF(AND('Mapa final'!#REF!="Media",'Mapa final'!#REF!="Menor"),CONCATENATE("R2C",'Mapa final'!#REF!),"")</f>
        <v>#REF!</v>
      </c>
      <c r="Q27" s="54" t="e">
        <f>IF(AND('Mapa final'!#REF!="Media",'Mapa final'!#REF!="Menor"),CONCATENATE("R2C",'Mapa final'!#REF!),"")</f>
        <v>#REF!</v>
      </c>
      <c r="R27" s="54" t="e">
        <f>IF(AND('Mapa final'!#REF!="Media",'Mapa final'!#REF!="Menor"),CONCATENATE("R2C",'Mapa final'!#REF!),"")</f>
        <v>#REF!</v>
      </c>
      <c r="S27" s="54" t="e">
        <f>IF(AND('Mapa final'!#REF!="Media",'Mapa final'!#REF!="Menor"),CONCATENATE("R2C",'Mapa final'!#REF!),"")</f>
        <v>#REF!</v>
      </c>
      <c r="T27" s="54" t="e">
        <f>IF(AND('Mapa final'!#REF!="Media",'Mapa final'!#REF!="Menor"),CONCATENATE("R2C",'Mapa final'!#REF!),"")</f>
        <v>#REF!</v>
      </c>
      <c r="U27" s="55" t="e">
        <f>IF(AND('Mapa final'!#REF!="Media",'Mapa final'!#REF!="Menor"),CONCATENATE("R2C",'Mapa final'!#REF!),"")</f>
        <v>#REF!</v>
      </c>
      <c r="V27" s="53" t="e">
        <f>IF(AND('Mapa final'!#REF!="Media",'Mapa final'!#REF!="Moderado"),CONCATENATE("R2C",'Mapa final'!#REF!),"")</f>
        <v>#REF!</v>
      </c>
      <c r="W27" s="54" t="e">
        <f>IF(AND('Mapa final'!#REF!="Media",'Mapa final'!#REF!="Moderado"),CONCATENATE("R2C",'Mapa final'!#REF!),"")</f>
        <v>#REF!</v>
      </c>
      <c r="X27" s="54" t="e">
        <f>IF(AND('Mapa final'!#REF!="Media",'Mapa final'!#REF!="Moderado"),CONCATENATE("R2C",'Mapa final'!#REF!),"")</f>
        <v>#REF!</v>
      </c>
      <c r="Y27" s="54" t="e">
        <f>IF(AND('Mapa final'!#REF!="Media",'Mapa final'!#REF!="Moderado"),CONCATENATE("R2C",'Mapa final'!#REF!),"")</f>
        <v>#REF!</v>
      </c>
      <c r="Z27" s="54" t="e">
        <f>IF(AND('Mapa final'!#REF!="Media",'Mapa final'!#REF!="Moderado"),CONCATENATE("R2C",'Mapa final'!#REF!),"")</f>
        <v>#REF!</v>
      </c>
      <c r="AA27" s="55" t="e">
        <f>IF(AND('Mapa final'!#REF!="Media",'Mapa final'!#REF!="Moderado"),CONCATENATE("R2C",'Mapa final'!#REF!),"")</f>
        <v>#REF!</v>
      </c>
      <c r="AB27" s="38" t="e">
        <f>IF(AND('Mapa final'!#REF!="Media",'Mapa final'!#REF!="Mayor"),CONCATENATE("R2C",'Mapa final'!#REF!),"")</f>
        <v>#REF!</v>
      </c>
      <c r="AC27" s="39" t="e">
        <f>IF(AND('Mapa final'!#REF!="Media",'Mapa final'!#REF!="Mayor"),CONCATENATE("R2C",'Mapa final'!#REF!),"")</f>
        <v>#REF!</v>
      </c>
      <c r="AD27" s="39" t="e">
        <f>IF(AND('Mapa final'!#REF!="Media",'Mapa final'!#REF!="Mayor"),CONCATENATE("R2C",'Mapa final'!#REF!),"")</f>
        <v>#REF!</v>
      </c>
      <c r="AE27" s="39" t="e">
        <f>IF(AND('Mapa final'!#REF!="Media",'Mapa final'!#REF!="Mayor"),CONCATENATE("R2C",'Mapa final'!#REF!),"")</f>
        <v>#REF!</v>
      </c>
      <c r="AF27" s="39" t="e">
        <f>IF(AND('Mapa final'!#REF!="Media",'Mapa final'!#REF!="Mayor"),CONCATENATE("R2C",'Mapa final'!#REF!),"")</f>
        <v>#REF!</v>
      </c>
      <c r="AG27" s="40" t="e">
        <f>IF(AND('Mapa final'!#REF!="Media",'Mapa final'!#REF!="Mayor"),CONCATENATE("R2C",'Mapa final'!#REF!),"")</f>
        <v>#REF!</v>
      </c>
      <c r="AH27" s="41" t="e">
        <f>IF(AND('Mapa final'!#REF!="Media",'Mapa final'!#REF!="Catastrófico"),CONCATENATE("R2C",'Mapa final'!#REF!),"")</f>
        <v>#REF!</v>
      </c>
      <c r="AI27" s="42" t="e">
        <f>IF(AND('Mapa final'!#REF!="Media",'Mapa final'!#REF!="Catastrófico"),CONCATENATE("R2C",'Mapa final'!#REF!),"")</f>
        <v>#REF!</v>
      </c>
      <c r="AJ27" s="42" t="e">
        <f>IF(AND('Mapa final'!#REF!="Media",'Mapa final'!#REF!="Catastrófico"),CONCATENATE("R2C",'Mapa final'!#REF!),"")</f>
        <v>#REF!</v>
      </c>
      <c r="AK27" s="42" t="e">
        <f>IF(AND('Mapa final'!#REF!="Media",'Mapa final'!#REF!="Catastrófico"),CONCATENATE("R2C",'Mapa final'!#REF!),"")</f>
        <v>#REF!</v>
      </c>
      <c r="AL27" s="42" t="e">
        <f>IF(AND('Mapa final'!#REF!="Media",'Mapa final'!#REF!="Catastrófico"),CONCATENATE("R2C",'Mapa final'!#REF!),"")</f>
        <v>#REF!</v>
      </c>
      <c r="AM27" s="43" t="e">
        <f>IF(AND('Mapa final'!#REF!="Media",'Mapa final'!#REF!="Catastrófico"),CONCATENATE("R2C",'Mapa final'!#REF!),"")</f>
        <v>#REF!</v>
      </c>
      <c r="AN27" s="69"/>
      <c r="AO27" s="395"/>
      <c r="AP27" s="396"/>
      <c r="AQ27" s="396"/>
      <c r="AR27" s="396"/>
      <c r="AS27" s="396"/>
      <c r="AT27" s="397"/>
      <c r="AU27" s="69"/>
      <c r="AV27" s="69"/>
      <c r="AW27" s="69"/>
      <c r="AX27" s="69"/>
      <c r="AY27" s="69"/>
      <c r="AZ27" s="69"/>
      <c r="BA27" s="69"/>
      <c r="BB27" s="69"/>
      <c r="BC27" s="69"/>
      <c r="BD27" s="69"/>
      <c r="BE27" s="69"/>
      <c r="BF27" s="69"/>
      <c r="BG27" s="69"/>
      <c r="BH27" s="69"/>
      <c r="BI27" s="69"/>
      <c r="BJ27" s="69"/>
      <c r="BK27" s="69"/>
      <c r="BL27" s="69"/>
      <c r="BM27" s="69"/>
      <c r="BN27" s="69"/>
      <c r="BO27" s="69"/>
      <c r="BP27" s="69"/>
      <c r="BQ27" s="69"/>
      <c r="BR27" s="69"/>
      <c r="BS27" s="69"/>
      <c r="BT27" s="69"/>
      <c r="BU27" s="69"/>
      <c r="BV27" s="69"/>
      <c r="BW27" s="69"/>
      <c r="BX27" s="69"/>
    </row>
    <row r="28" spans="1:76" ht="15" customHeight="1" x14ac:dyDescent="0.25">
      <c r="A28" s="69"/>
      <c r="B28" s="267"/>
      <c r="C28" s="267"/>
      <c r="D28" s="268"/>
      <c r="E28" s="366"/>
      <c r="F28" s="365"/>
      <c r="G28" s="365"/>
      <c r="H28" s="365"/>
      <c r="I28" s="381"/>
      <c r="J28" s="53" t="e">
        <f>IF(AND('Mapa final'!#REF!="Media",'Mapa final'!#REF!="Leve"),CONCATENATE("R3C",'Mapa final'!#REF!),"")</f>
        <v>#REF!</v>
      </c>
      <c r="K28" s="54" t="e">
        <f>IF(AND('Mapa final'!#REF!="Media",'Mapa final'!#REF!="Leve"),CONCATENATE("R3C",'Mapa final'!#REF!),"")</f>
        <v>#REF!</v>
      </c>
      <c r="L28" s="54" t="e">
        <f>IF(AND('Mapa final'!#REF!="Media",'Mapa final'!#REF!="Leve"),CONCATENATE("R3C",'Mapa final'!#REF!),"")</f>
        <v>#REF!</v>
      </c>
      <c r="M28" s="54" t="e">
        <f>IF(AND('Mapa final'!#REF!="Media",'Mapa final'!#REF!="Leve"),CONCATENATE("R3C",'Mapa final'!#REF!),"")</f>
        <v>#REF!</v>
      </c>
      <c r="N28" s="54" t="e">
        <f>IF(AND('Mapa final'!#REF!="Media",'Mapa final'!#REF!="Leve"),CONCATENATE("R3C",'Mapa final'!#REF!),"")</f>
        <v>#REF!</v>
      </c>
      <c r="O28" s="55" t="e">
        <f>IF(AND('Mapa final'!#REF!="Media",'Mapa final'!#REF!="Leve"),CONCATENATE("R3C",'Mapa final'!#REF!),"")</f>
        <v>#REF!</v>
      </c>
      <c r="P28" s="53" t="e">
        <f>IF(AND('Mapa final'!#REF!="Media",'Mapa final'!#REF!="Menor"),CONCATENATE("R3C",'Mapa final'!#REF!),"")</f>
        <v>#REF!</v>
      </c>
      <c r="Q28" s="54" t="e">
        <f>IF(AND('Mapa final'!#REF!="Media",'Mapa final'!#REF!="Menor"),CONCATENATE("R3C",'Mapa final'!#REF!),"")</f>
        <v>#REF!</v>
      </c>
      <c r="R28" s="54" t="e">
        <f>IF(AND('Mapa final'!#REF!="Media",'Mapa final'!#REF!="Menor"),CONCATENATE("R3C",'Mapa final'!#REF!),"")</f>
        <v>#REF!</v>
      </c>
      <c r="S28" s="54" t="e">
        <f>IF(AND('Mapa final'!#REF!="Media",'Mapa final'!#REF!="Menor"),CONCATENATE("R3C",'Mapa final'!#REF!),"")</f>
        <v>#REF!</v>
      </c>
      <c r="T28" s="54" t="e">
        <f>IF(AND('Mapa final'!#REF!="Media",'Mapa final'!#REF!="Menor"),CONCATENATE("R3C",'Mapa final'!#REF!),"")</f>
        <v>#REF!</v>
      </c>
      <c r="U28" s="55" t="e">
        <f>IF(AND('Mapa final'!#REF!="Media",'Mapa final'!#REF!="Menor"),CONCATENATE("R3C",'Mapa final'!#REF!),"")</f>
        <v>#REF!</v>
      </c>
      <c r="V28" s="53" t="e">
        <f>IF(AND('Mapa final'!#REF!="Media",'Mapa final'!#REF!="Moderado"),CONCATENATE("R3C",'Mapa final'!#REF!),"")</f>
        <v>#REF!</v>
      </c>
      <c r="W28" s="54" t="e">
        <f>IF(AND('Mapa final'!#REF!="Media",'Mapa final'!#REF!="Moderado"),CONCATENATE("R3C",'Mapa final'!#REF!),"")</f>
        <v>#REF!</v>
      </c>
      <c r="X28" s="54" t="e">
        <f>IF(AND('Mapa final'!#REF!="Media",'Mapa final'!#REF!="Moderado"),CONCATENATE("R3C",'Mapa final'!#REF!),"")</f>
        <v>#REF!</v>
      </c>
      <c r="Y28" s="54" t="e">
        <f>IF(AND('Mapa final'!#REF!="Media",'Mapa final'!#REF!="Moderado"),CONCATENATE("R3C",'Mapa final'!#REF!),"")</f>
        <v>#REF!</v>
      </c>
      <c r="Z28" s="54" t="e">
        <f>IF(AND('Mapa final'!#REF!="Media",'Mapa final'!#REF!="Moderado"),CONCATENATE("R3C",'Mapa final'!#REF!),"")</f>
        <v>#REF!</v>
      </c>
      <c r="AA28" s="55" t="e">
        <f>IF(AND('Mapa final'!#REF!="Media",'Mapa final'!#REF!="Moderado"),CONCATENATE("R3C",'Mapa final'!#REF!),"")</f>
        <v>#REF!</v>
      </c>
      <c r="AB28" s="38" t="e">
        <f>IF(AND('Mapa final'!#REF!="Media",'Mapa final'!#REF!="Mayor"),CONCATENATE("R3C",'Mapa final'!#REF!),"")</f>
        <v>#REF!</v>
      </c>
      <c r="AC28" s="39" t="e">
        <f>IF(AND('Mapa final'!#REF!="Media",'Mapa final'!#REF!="Mayor"),CONCATENATE("R3C",'Mapa final'!#REF!),"")</f>
        <v>#REF!</v>
      </c>
      <c r="AD28" s="39" t="e">
        <f>IF(AND('Mapa final'!#REF!="Media",'Mapa final'!#REF!="Mayor"),CONCATENATE("R3C",'Mapa final'!#REF!),"")</f>
        <v>#REF!</v>
      </c>
      <c r="AE28" s="39" t="e">
        <f>IF(AND('Mapa final'!#REF!="Media",'Mapa final'!#REF!="Mayor"),CONCATENATE("R3C",'Mapa final'!#REF!),"")</f>
        <v>#REF!</v>
      </c>
      <c r="AF28" s="39" t="e">
        <f>IF(AND('Mapa final'!#REF!="Media",'Mapa final'!#REF!="Mayor"),CONCATENATE("R3C",'Mapa final'!#REF!),"")</f>
        <v>#REF!</v>
      </c>
      <c r="AG28" s="40" t="e">
        <f>IF(AND('Mapa final'!#REF!="Media",'Mapa final'!#REF!="Mayor"),CONCATENATE("R3C",'Mapa final'!#REF!),"")</f>
        <v>#REF!</v>
      </c>
      <c r="AH28" s="41" t="e">
        <f>IF(AND('Mapa final'!#REF!="Media",'Mapa final'!#REF!="Catastrófico"),CONCATENATE("R3C",'Mapa final'!#REF!),"")</f>
        <v>#REF!</v>
      </c>
      <c r="AI28" s="42" t="e">
        <f>IF(AND('Mapa final'!#REF!="Media",'Mapa final'!#REF!="Catastrófico"),CONCATENATE("R3C",'Mapa final'!#REF!),"")</f>
        <v>#REF!</v>
      </c>
      <c r="AJ28" s="42" t="e">
        <f>IF(AND('Mapa final'!#REF!="Media",'Mapa final'!#REF!="Catastrófico"),CONCATENATE("R3C",'Mapa final'!#REF!),"")</f>
        <v>#REF!</v>
      </c>
      <c r="AK28" s="42" t="e">
        <f>IF(AND('Mapa final'!#REF!="Media",'Mapa final'!#REF!="Catastrófico"),CONCATENATE("R3C",'Mapa final'!#REF!),"")</f>
        <v>#REF!</v>
      </c>
      <c r="AL28" s="42" t="e">
        <f>IF(AND('Mapa final'!#REF!="Media",'Mapa final'!#REF!="Catastrófico"),CONCATENATE("R3C",'Mapa final'!#REF!),"")</f>
        <v>#REF!</v>
      </c>
      <c r="AM28" s="43" t="e">
        <f>IF(AND('Mapa final'!#REF!="Media",'Mapa final'!#REF!="Catastrófico"),CONCATENATE("R3C",'Mapa final'!#REF!),"")</f>
        <v>#REF!</v>
      </c>
      <c r="AN28" s="69"/>
      <c r="AO28" s="395"/>
      <c r="AP28" s="396"/>
      <c r="AQ28" s="396"/>
      <c r="AR28" s="396"/>
      <c r="AS28" s="396"/>
      <c r="AT28" s="397"/>
      <c r="AU28" s="69"/>
      <c r="AV28" s="69"/>
      <c r="AW28" s="69"/>
      <c r="AX28" s="69"/>
      <c r="AY28" s="69"/>
      <c r="AZ28" s="69"/>
      <c r="BA28" s="69"/>
      <c r="BB28" s="69"/>
      <c r="BC28" s="69"/>
      <c r="BD28" s="69"/>
      <c r="BE28" s="69"/>
      <c r="BF28" s="69"/>
      <c r="BG28" s="69"/>
      <c r="BH28" s="69"/>
      <c r="BI28" s="69"/>
      <c r="BJ28" s="69"/>
      <c r="BK28" s="69"/>
      <c r="BL28" s="69"/>
      <c r="BM28" s="69"/>
      <c r="BN28" s="69"/>
      <c r="BO28" s="69"/>
      <c r="BP28" s="69"/>
      <c r="BQ28" s="69"/>
      <c r="BR28" s="69"/>
      <c r="BS28" s="69"/>
      <c r="BT28" s="69"/>
      <c r="BU28" s="69"/>
      <c r="BV28" s="69"/>
      <c r="BW28" s="69"/>
      <c r="BX28" s="69"/>
    </row>
    <row r="29" spans="1:76" ht="15" customHeight="1" x14ac:dyDescent="0.25">
      <c r="A29" s="69"/>
      <c r="B29" s="267"/>
      <c r="C29" s="267"/>
      <c r="D29" s="268"/>
      <c r="E29" s="366"/>
      <c r="F29" s="365"/>
      <c r="G29" s="365"/>
      <c r="H29" s="365"/>
      <c r="I29" s="381"/>
      <c r="J29" s="53" t="str">
        <f>IF(AND('Mapa final'!$Y$13="Media",'Mapa final'!$AA$13="Leve"),CONCATENATE("R4C",'Mapa final'!$O$13),"")</f>
        <v/>
      </c>
      <c r="K29" s="54" t="str">
        <f>IF(AND('Mapa final'!$Y$14="Media",'Mapa final'!$AA$14="Leve"),CONCATENATE("R4C",'Mapa final'!$O$14),"")</f>
        <v/>
      </c>
      <c r="L29" s="54" t="str">
        <f>IF(AND('Mapa final'!$Y$15="Media",'Mapa final'!$AA$15="Leve"),CONCATENATE("R4C",'Mapa final'!$O$15),"")</f>
        <v/>
      </c>
      <c r="M29" s="54" t="str">
        <f>IF(AND('Mapa final'!$Y$16="Media",'Mapa final'!$AA$16="Leve"),CONCATENATE("R4C",'Mapa final'!$O$16),"")</f>
        <v/>
      </c>
      <c r="N29" s="54" t="e">
        <f>IF(AND('Mapa final'!#REF!="Media",'Mapa final'!#REF!="Leve"),CONCATENATE("R4C",'Mapa final'!#REF!),"")</f>
        <v>#REF!</v>
      </c>
      <c r="O29" s="55" t="e">
        <f>IF(AND('Mapa final'!#REF!="Media",'Mapa final'!#REF!="Leve"),CONCATENATE("R4C",'Mapa final'!#REF!),"")</f>
        <v>#REF!</v>
      </c>
      <c r="P29" s="53" t="str">
        <f>IF(AND('Mapa final'!$Y$13="Media",'Mapa final'!$AA$13="Menor"),CONCATENATE("R4C",'Mapa final'!$O$13),"")</f>
        <v/>
      </c>
      <c r="Q29" s="54" t="str">
        <f>IF(AND('Mapa final'!$Y$14="Media",'Mapa final'!$AA$14="Menor"),CONCATENATE("R4C",'Mapa final'!$O$14),"")</f>
        <v/>
      </c>
      <c r="R29" s="54" t="str">
        <f>IF(AND('Mapa final'!$Y$15="Media",'Mapa final'!$AA$15="Menor"),CONCATENATE("R4C",'Mapa final'!$O$15),"")</f>
        <v/>
      </c>
      <c r="S29" s="54" t="str">
        <f>IF(AND('Mapa final'!$Y$16="Media",'Mapa final'!$AA$16="Menor"),CONCATENATE("R4C",'Mapa final'!$O$16),"")</f>
        <v/>
      </c>
      <c r="T29" s="54" t="e">
        <f>IF(AND('Mapa final'!#REF!="Media",'Mapa final'!#REF!="Menor"),CONCATENATE("R4C",'Mapa final'!#REF!),"")</f>
        <v>#REF!</v>
      </c>
      <c r="U29" s="55" t="e">
        <f>IF(AND('Mapa final'!#REF!="Media",'Mapa final'!#REF!="Menor"),CONCATENATE("R4C",'Mapa final'!#REF!),"")</f>
        <v>#REF!</v>
      </c>
      <c r="V29" s="53" t="str">
        <f>IF(AND('Mapa final'!$Y$13="Media",'Mapa final'!$AA$13="Moderado"),CONCATENATE("R4C",'Mapa final'!$O$13),"")</f>
        <v/>
      </c>
      <c r="W29" s="54" t="str">
        <f>IF(AND('Mapa final'!$Y$14="Media",'Mapa final'!$AA$14="Moderado"),CONCATENATE("R4C",'Mapa final'!$O$14),"")</f>
        <v/>
      </c>
      <c r="X29" s="54" t="str">
        <f>IF(AND('Mapa final'!$Y$15="Media",'Mapa final'!$AA$15="Moderado"),CONCATENATE("R4C",'Mapa final'!$O$15),"")</f>
        <v/>
      </c>
      <c r="Y29" s="54" t="str">
        <f>IF(AND('Mapa final'!$Y$16="Media",'Mapa final'!$AA$16="Moderado"),CONCATENATE("R4C",'Mapa final'!$O$16),"")</f>
        <v/>
      </c>
      <c r="Z29" s="54" t="e">
        <f>IF(AND('Mapa final'!#REF!="Media",'Mapa final'!#REF!="Moderado"),CONCATENATE("R4C",'Mapa final'!#REF!),"")</f>
        <v>#REF!</v>
      </c>
      <c r="AA29" s="55" t="e">
        <f>IF(AND('Mapa final'!#REF!="Media",'Mapa final'!#REF!="Moderado"),CONCATENATE("R4C",'Mapa final'!#REF!),"")</f>
        <v>#REF!</v>
      </c>
      <c r="AB29" s="38" t="str">
        <f>IF(AND('Mapa final'!$Y$13="Media",'Mapa final'!$AA$13="Mayor"),CONCATENATE("R4C",'Mapa final'!$O$13),"")</f>
        <v/>
      </c>
      <c r="AC29" s="39" t="str">
        <f>IF(AND('Mapa final'!$Y$14="Media",'Mapa final'!$AA$14="Mayor"),CONCATENATE("R4C",'Mapa final'!$O$14),"")</f>
        <v/>
      </c>
      <c r="AD29" s="39" t="str">
        <f>IF(AND('Mapa final'!$Y$15="Media",'Mapa final'!$AA$15="Mayor"),CONCATENATE("R4C",'Mapa final'!$O$15),"")</f>
        <v/>
      </c>
      <c r="AE29" s="39" t="str">
        <f>IF(AND('Mapa final'!$Y$16="Media",'Mapa final'!$AA$16="Mayor"),CONCATENATE("R4C",'Mapa final'!$O$16),"")</f>
        <v/>
      </c>
      <c r="AF29" s="39" t="e">
        <f>IF(AND('Mapa final'!#REF!="Media",'Mapa final'!#REF!="Mayor"),CONCATENATE("R4C",'Mapa final'!#REF!),"")</f>
        <v>#REF!</v>
      </c>
      <c r="AG29" s="40" t="e">
        <f>IF(AND('Mapa final'!#REF!="Media",'Mapa final'!#REF!="Mayor"),CONCATENATE("R4C",'Mapa final'!#REF!),"")</f>
        <v>#REF!</v>
      </c>
      <c r="AH29" s="41" t="str">
        <f>IF(AND('Mapa final'!$Y$13="Media",'Mapa final'!$AA$13="Catastrófico"),CONCATENATE("R4C",'Mapa final'!$O$13),"")</f>
        <v/>
      </c>
      <c r="AI29" s="42" t="str">
        <f>IF(AND('Mapa final'!$Y$14="Media",'Mapa final'!$AA$14="Catastrófico"),CONCATENATE("R4C",'Mapa final'!$O$14),"")</f>
        <v/>
      </c>
      <c r="AJ29" s="42" t="str">
        <f>IF(AND('Mapa final'!$Y$15="Media",'Mapa final'!$AA$15="Catastrófico"),CONCATENATE("R4C",'Mapa final'!$O$15),"")</f>
        <v/>
      </c>
      <c r="AK29" s="42" t="str">
        <f>IF(AND('Mapa final'!$Y$16="Media",'Mapa final'!$AA$16="Catastrófico"),CONCATENATE("R4C",'Mapa final'!$O$16),"")</f>
        <v/>
      </c>
      <c r="AL29" s="42" t="e">
        <f>IF(AND('Mapa final'!#REF!="Media",'Mapa final'!#REF!="Catastrófico"),CONCATENATE("R4C",'Mapa final'!#REF!),"")</f>
        <v>#REF!</v>
      </c>
      <c r="AM29" s="43" t="e">
        <f>IF(AND('Mapa final'!#REF!="Media",'Mapa final'!#REF!="Catastrófico"),CONCATENATE("R4C",'Mapa final'!#REF!),"")</f>
        <v>#REF!</v>
      </c>
      <c r="AN29" s="69"/>
      <c r="AO29" s="395"/>
      <c r="AP29" s="396"/>
      <c r="AQ29" s="396"/>
      <c r="AR29" s="396"/>
      <c r="AS29" s="396"/>
      <c r="AT29" s="397"/>
      <c r="AU29" s="69"/>
      <c r="AV29" s="69"/>
      <c r="AW29" s="69"/>
      <c r="AX29" s="69"/>
      <c r="AY29" s="69"/>
      <c r="AZ29" s="69"/>
      <c r="BA29" s="69"/>
      <c r="BB29" s="69"/>
      <c r="BC29" s="69"/>
      <c r="BD29" s="69"/>
      <c r="BE29" s="69"/>
      <c r="BF29" s="69"/>
      <c r="BG29" s="69"/>
      <c r="BH29" s="69"/>
      <c r="BI29" s="69"/>
      <c r="BJ29" s="69"/>
      <c r="BK29" s="69"/>
      <c r="BL29" s="69"/>
      <c r="BM29" s="69"/>
      <c r="BN29" s="69"/>
      <c r="BO29" s="69"/>
      <c r="BP29" s="69"/>
      <c r="BQ29" s="69"/>
      <c r="BR29" s="69"/>
      <c r="BS29" s="69"/>
      <c r="BT29" s="69"/>
      <c r="BU29" s="69"/>
      <c r="BV29" s="69"/>
      <c r="BW29" s="69"/>
      <c r="BX29" s="69"/>
    </row>
    <row r="30" spans="1:76" ht="15" customHeight="1" x14ac:dyDescent="0.25">
      <c r="A30" s="69"/>
      <c r="B30" s="267"/>
      <c r="C30" s="267"/>
      <c r="D30" s="268"/>
      <c r="E30" s="366"/>
      <c r="F30" s="365"/>
      <c r="G30" s="365"/>
      <c r="H30" s="365"/>
      <c r="I30" s="381"/>
      <c r="J30" s="53" t="str">
        <f>IF(AND('Mapa final'!$Y$17="Media",'Mapa final'!$AA$17="Leve"),CONCATENATE("R5C",'Mapa final'!$O$17),"")</f>
        <v/>
      </c>
      <c r="K30" s="54" t="str">
        <f>IF(AND('Mapa final'!$Y$18="Media",'Mapa final'!$AA$18="Leve"),CONCATENATE("R5C",'Mapa final'!$O$18),"")</f>
        <v/>
      </c>
      <c r="L30" s="54" t="str">
        <f>IF(AND('Mapa final'!$Y$19="Media",'Mapa final'!$AA$19="Leve"),CONCATENATE("R5C",'Mapa final'!$O$19),"")</f>
        <v/>
      </c>
      <c r="M30" s="54" t="str">
        <f>IF(AND('Mapa final'!$Y$20="Media",'Mapa final'!$AA$20="Leve"),CONCATENATE("R5C",'Mapa final'!$O$20),"")</f>
        <v/>
      </c>
      <c r="N30" s="54" t="str">
        <f>IF(AND('Mapa final'!$Y$21="Media",'Mapa final'!$AA$21="Leve"),CONCATENATE("R5C",'Mapa final'!$O$21),"")</f>
        <v/>
      </c>
      <c r="O30" s="55" t="str">
        <f>IF(AND('Mapa final'!$Y$22="Media",'Mapa final'!$AA$22="Leve"),CONCATENATE("R5C",'Mapa final'!$O$22),"")</f>
        <v/>
      </c>
      <c r="P30" s="53" t="str">
        <f>IF(AND('Mapa final'!$Y$17="Media",'Mapa final'!$AA$17="Menor"),CONCATENATE("R5C",'Mapa final'!$O$17),"")</f>
        <v/>
      </c>
      <c r="Q30" s="54" t="str">
        <f>IF(AND('Mapa final'!$Y$18="Media",'Mapa final'!$AA$18="Menor"),CONCATENATE("R5C",'Mapa final'!$O$18),"")</f>
        <v/>
      </c>
      <c r="R30" s="54" t="str">
        <f>IF(AND('Mapa final'!$Y$19="Media",'Mapa final'!$AA$19="Menor"),CONCATENATE("R5C",'Mapa final'!$O$19),"")</f>
        <v/>
      </c>
      <c r="S30" s="54" t="str">
        <f>IF(AND('Mapa final'!$Y$20="Media",'Mapa final'!$AA$20="Menor"),CONCATENATE("R5C",'Mapa final'!$O$20),"")</f>
        <v/>
      </c>
      <c r="T30" s="54" t="str">
        <f>IF(AND('Mapa final'!$Y$21="Media",'Mapa final'!$AA$21="Menor"),CONCATENATE("R5C",'Mapa final'!$O$21),"")</f>
        <v/>
      </c>
      <c r="U30" s="55" t="str">
        <f>IF(AND('Mapa final'!$Y$22="Media",'Mapa final'!$AA$22="Menor"),CONCATENATE("R5C",'Mapa final'!$O$22),"")</f>
        <v/>
      </c>
      <c r="V30" s="53" t="str">
        <f>IF(AND('Mapa final'!$Y$17="Media",'Mapa final'!$AA$17="Moderado"),CONCATENATE("R5C",'Mapa final'!$O$17),"")</f>
        <v/>
      </c>
      <c r="W30" s="54" t="str">
        <f>IF(AND('Mapa final'!$Y$18="Media",'Mapa final'!$AA$18="Moderado"),CONCATENATE("R5C",'Mapa final'!$O$18),"")</f>
        <v/>
      </c>
      <c r="X30" s="54" t="str">
        <f>IF(AND('Mapa final'!$Y$19="Media",'Mapa final'!$AA$19="Moderado"),CONCATENATE("R5C",'Mapa final'!$O$19),"")</f>
        <v/>
      </c>
      <c r="Y30" s="54" t="str">
        <f>IF(AND('Mapa final'!$Y$20="Media",'Mapa final'!$AA$20="Moderado"),CONCATENATE("R5C",'Mapa final'!$O$20),"")</f>
        <v/>
      </c>
      <c r="Z30" s="54" t="str">
        <f>IF(AND('Mapa final'!$Y$21="Media",'Mapa final'!$AA$21="Moderado"),CONCATENATE("R5C",'Mapa final'!$O$21),"")</f>
        <v/>
      </c>
      <c r="AA30" s="55" t="str">
        <f>IF(AND('Mapa final'!$Y$22="Media",'Mapa final'!$AA$22="Moderado"),CONCATENATE("R5C",'Mapa final'!$O$22),"")</f>
        <v/>
      </c>
      <c r="AB30" s="38" t="str">
        <f>IF(AND('Mapa final'!$Y$17="Media",'Mapa final'!$AA$17="Mayor"),CONCATENATE("R5C",'Mapa final'!$O$17),"")</f>
        <v/>
      </c>
      <c r="AC30" s="39" t="str">
        <f>IF(AND('Mapa final'!$Y$18="Media",'Mapa final'!$AA$18="Mayor"),CONCATENATE("R5C",'Mapa final'!$O$18),"")</f>
        <v/>
      </c>
      <c r="AD30" s="39" t="str">
        <f>IF(AND('Mapa final'!$Y$19="Media",'Mapa final'!$AA$19="Mayor"),CONCATENATE("R5C",'Mapa final'!$O$19),"")</f>
        <v/>
      </c>
      <c r="AE30" s="39" t="str">
        <f>IF(AND('Mapa final'!$Y$20="Media",'Mapa final'!$AA$20="Mayor"),CONCATENATE("R5C",'Mapa final'!$O$20),"")</f>
        <v/>
      </c>
      <c r="AF30" s="39" t="str">
        <f>IF(AND('Mapa final'!$Y$21="Media",'Mapa final'!$AA$21="Mayor"),CONCATENATE("R5C",'Mapa final'!$O$21),"")</f>
        <v/>
      </c>
      <c r="AG30" s="40" t="str">
        <f>IF(AND('Mapa final'!$Y$22="Media",'Mapa final'!$AA$22="Mayor"),CONCATENATE("R5C",'Mapa final'!$O$22),"")</f>
        <v/>
      </c>
      <c r="AH30" s="41" t="str">
        <f>IF(AND('Mapa final'!$Y$17="Media",'Mapa final'!$AA$17="Catastrófico"),CONCATENATE("R5C",'Mapa final'!$O$17),"")</f>
        <v/>
      </c>
      <c r="AI30" s="42" t="str">
        <f>IF(AND('Mapa final'!$Y$18="Media",'Mapa final'!$AA$18="Catastrófico"),CONCATENATE("R5C",'Mapa final'!$O$18),"")</f>
        <v/>
      </c>
      <c r="AJ30" s="42" t="str">
        <f>IF(AND('Mapa final'!$Y$19="Media",'Mapa final'!$AA$19="Catastrófico"),CONCATENATE("R5C",'Mapa final'!$O$19),"")</f>
        <v/>
      </c>
      <c r="AK30" s="42" t="str">
        <f>IF(AND('Mapa final'!$Y$20="Media",'Mapa final'!$AA$20="Catastrófico"),CONCATENATE("R5C",'Mapa final'!$O$20),"")</f>
        <v/>
      </c>
      <c r="AL30" s="42" t="str">
        <f>IF(AND('Mapa final'!$Y$21="Media",'Mapa final'!$AA$21="Catastrófico"),CONCATENATE("R5C",'Mapa final'!$O$21),"")</f>
        <v/>
      </c>
      <c r="AM30" s="43" t="str">
        <f>IF(AND('Mapa final'!$Y$22="Media",'Mapa final'!$AA$22="Catastrófico"),CONCATENATE("R5C",'Mapa final'!$O$22),"")</f>
        <v/>
      </c>
      <c r="AN30" s="69"/>
      <c r="AO30" s="395"/>
      <c r="AP30" s="396"/>
      <c r="AQ30" s="396"/>
      <c r="AR30" s="396"/>
      <c r="AS30" s="396"/>
      <c r="AT30" s="397"/>
      <c r="AU30" s="69"/>
      <c r="AV30" s="69"/>
      <c r="AW30" s="69"/>
      <c r="AX30" s="69"/>
      <c r="AY30" s="69"/>
      <c r="AZ30" s="69"/>
      <c r="BA30" s="69"/>
      <c r="BB30" s="69"/>
      <c r="BC30" s="69"/>
      <c r="BD30" s="69"/>
      <c r="BE30" s="69"/>
      <c r="BF30" s="69"/>
      <c r="BG30" s="69"/>
      <c r="BH30" s="69"/>
      <c r="BI30" s="69"/>
      <c r="BJ30" s="69"/>
      <c r="BK30" s="69"/>
      <c r="BL30" s="69"/>
      <c r="BM30" s="69"/>
      <c r="BN30" s="69"/>
      <c r="BO30" s="69"/>
      <c r="BP30" s="69"/>
      <c r="BQ30" s="69"/>
      <c r="BR30" s="69"/>
      <c r="BS30" s="69"/>
      <c r="BT30" s="69"/>
      <c r="BU30" s="69"/>
      <c r="BV30" s="69"/>
      <c r="BW30" s="69"/>
      <c r="BX30" s="69"/>
    </row>
    <row r="31" spans="1:76" ht="15" customHeight="1" x14ac:dyDescent="0.25">
      <c r="A31" s="69"/>
      <c r="B31" s="267"/>
      <c r="C31" s="267"/>
      <c r="D31" s="268"/>
      <c r="E31" s="366"/>
      <c r="F31" s="365"/>
      <c r="G31" s="365"/>
      <c r="H31" s="365"/>
      <c r="I31" s="381"/>
      <c r="J31" s="53" t="e">
        <f>IF(AND('Mapa final'!#REF!="Media",'Mapa final'!#REF!="Leve"),CONCATENATE("R6C",'Mapa final'!#REF!),"")</f>
        <v>#REF!</v>
      </c>
      <c r="K31" s="54" t="e">
        <f>IF(AND('Mapa final'!#REF!="Media",'Mapa final'!#REF!="Leve"),CONCATENATE("R6C",'Mapa final'!#REF!),"")</f>
        <v>#REF!</v>
      </c>
      <c r="L31" s="54" t="e">
        <f>IF(AND('Mapa final'!#REF!="Media",'Mapa final'!#REF!="Leve"),CONCATENATE("R6C",'Mapa final'!#REF!),"")</f>
        <v>#REF!</v>
      </c>
      <c r="M31" s="54" t="e">
        <f>IF(AND('Mapa final'!#REF!="Media",'Mapa final'!#REF!="Leve"),CONCATENATE("R6C",'Mapa final'!#REF!),"")</f>
        <v>#REF!</v>
      </c>
      <c r="N31" s="54" t="e">
        <f>IF(AND('Mapa final'!#REF!="Media",'Mapa final'!#REF!="Leve"),CONCATENATE("R6C",'Mapa final'!#REF!),"")</f>
        <v>#REF!</v>
      </c>
      <c r="O31" s="55" t="e">
        <f>IF(AND('Mapa final'!#REF!="Media",'Mapa final'!#REF!="Leve"),CONCATENATE("R6C",'Mapa final'!#REF!),"")</f>
        <v>#REF!</v>
      </c>
      <c r="P31" s="53" t="e">
        <f>IF(AND('Mapa final'!#REF!="Media",'Mapa final'!#REF!="Menor"),CONCATENATE("R6C",'Mapa final'!#REF!),"")</f>
        <v>#REF!</v>
      </c>
      <c r="Q31" s="54" t="e">
        <f>IF(AND('Mapa final'!#REF!="Media",'Mapa final'!#REF!="Menor"),CONCATENATE("R6C",'Mapa final'!#REF!),"")</f>
        <v>#REF!</v>
      </c>
      <c r="R31" s="54" t="e">
        <f>IF(AND('Mapa final'!#REF!="Media",'Mapa final'!#REF!="Menor"),CONCATENATE("R6C",'Mapa final'!#REF!),"")</f>
        <v>#REF!</v>
      </c>
      <c r="S31" s="54" t="e">
        <f>IF(AND('Mapa final'!#REF!="Media",'Mapa final'!#REF!="Menor"),CONCATENATE("R6C",'Mapa final'!#REF!),"")</f>
        <v>#REF!</v>
      </c>
      <c r="T31" s="54" t="e">
        <f>IF(AND('Mapa final'!#REF!="Media",'Mapa final'!#REF!="Menor"),CONCATENATE("R6C",'Mapa final'!#REF!),"")</f>
        <v>#REF!</v>
      </c>
      <c r="U31" s="55" t="e">
        <f>IF(AND('Mapa final'!#REF!="Media",'Mapa final'!#REF!="Menor"),CONCATENATE("R6C",'Mapa final'!#REF!),"")</f>
        <v>#REF!</v>
      </c>
      <c r="V31" s="53" t="e">
        <f>IF(AND('Mapa final'!#REF!="Media",'Mapa final'!#REF!="Moderado"),CONCATENATE("R6C",'Mapa final'!#REF!),"")</f>
        <v>#REF!</v>
      </c>
      <c r="W31" s="54" t="e">
        <f>IF(AND('Mapa final'!#REF!="Media",'Mapa final'!#REF!="Moderado"),CONCATENATE("R6C",'Mapa final'!#REF!),"")</f>
        <v>#REF!</v>
      </c>
      <c r="X31" s="54" t="e">
        <f>IF(AND('Mapa final'!#REF!="Media",'Mapa final'!#REF!="Moderado"),CONCATENATE("R6C",'Mapa final'!#REF!),"")</f>
        <v>#REF!</v>
      </c>
      <c r="Y31" s="54" t="e">
        <f>IF(AND('Mapa final'!#REF!="Media",'Mapa final'!#REF!="Moderado"),CONCATENATE("R6C",'Mapa final'!#REF!),"")</f>
        <v>#REF!</v>
      </c>
      <c r="Z31" s="54" t="e">
        <f>IF(AND('Mapa final'!#REF!="Media",'Mapa final'!#REF!="Moderado"),CONCATENATE("R6C",'Mapa final'!#REF!),"")</f>
        <v>#REF!</v>
      </c>
      <c r="AA31" s="55" t="e">
        <f>IF(AND('Mapa final'!#REF!="Media",'Mapa final'!#REF!="Moderado"),CONCATENATE("R6C",'Mapa final'!#REF!),"")</f>
        <v>#REF!</v>
      </c>
      <c r="AB31" s="38" t="e">
        <f>IF(AND('Mapa final'!#REF!="Media",'Mapa final'!#REF!="Mayor"),CONCATENATE("R6C",'Mapa final'!#REF!),"")</f>
        <v>#REF!</v>
      </c>
      <c r="AC31" s="39" t="e">
        <f>IF(AND('Mapa final'!#REF!="Media",'Mapa final'!#REF!="Mayor"),CONCATENATE("R6C",'Mapa final'!#REF!),"")</f>
        <v>#REF!</v>
      </c>
      <c r="AD31" s="39" t="e">
        <f>IF(AND('Mapa final'!#REF!="Media",'Mapa final'!#REF!="Mayor"),CONCATENATE("R6C",'Mapa final'!#REF!),"")</f>
        <v>#REF!</v>
      </c>
      <c r="AE31" s="39" t="e">
        <f>IF(AND('Mapa final'!#REF!="Media",'Mapa final'!#REF!="Mayor"),CONCATENATE("R6C",'Mapa final'!#REF!),"")</f>
        <v>#REF!</v>
      </c>
      <c r="AF31" s="39" t="e">
        <f>IF(AND('Mapa final'!#REF!="Media",'Mapa final'!#REF!="Mayor"),CONCATENATE("R6C",'Mapa final'!#REF!),"")</f>
        <v>#REF!</v>
      </c>
      <c r="AG31" s="40" t="e">
        <f>IF(AND('Mapa final'!#REF!="Media",'Mapa final'!#REF!="Mayor"),CONCATENATE("R6C",'Mapa final'!#REF!),"")</f>
        <v>#REF!</v>
      </c>
      <c r="AH31" s="41" t="e">
        <f>IF(AND('Mapa final'!#REF!="Media",'Mapa final'!#REF!="Catastrófico"),CONCATENATE("R6C",'Mapa final'!#REF!),"")</f>
        <v>#REF!</v>
      </c>
      <c r="AI31" s="42" t="e">
        <f>IF(AND('Mapa final'!#REF!="Media",'Mapa final'!#REF!="Catastrófico"),CONCATENATE("R6C",'Mapa final'!#REF!),"")</f>
        <v>#REF!</v>
      </c>
      <c r="AJ31" s="42" t="e">
        <f>IF(AND('Mapa final'!#REF!="Media",'Mapa final'!#REF!="Catastrófico"),CONCATENATE("R6C",'Mapa final'!#REF!),"")</f>
        <v>#REF!</v>
      </c>
      <c r="AK31" s="42" t="e">
        <f>IF(AND('Mapa final'!#REF!="Media",'Mapa final'!#REF!="Catastrófico"),CONCATENATE("R6C",'Mapa final'!#REF!),"")</f>
        <v>#REF!</v>
      </c>
      <c r="AL31" s="42" t="e">
        <f>IF(AND('Mapa final'!#REF!="Media",'Mapa final'!#REF!="Catastrófico"),CONCATENATE("R6C",'Mapa final'!#REF!),"")</f>
        <v>#REF!</v>
      </c>
      <c r="AM31" s="43" t="e">
        <f>IF(AND('Mapa final'!#REF!="Media",'Mapa final'!#REF!="Catastrófico"),CONCATENATE("R6C",'Mapa final'!#REF!),"")</f>
        <v>#REF!</v>
      </c>
      <c r="AN31" s="69"/>
      <c r="AO31" s="395"/>
      <c r="AP31" s="396"/>
      <c r="AQ31" s="396"/>
      <c r="AR31" s="396"/>
      <c r="AS31" s="396"/>
      <c r="AT31" s="397"/>
      <c r="AU31" s="69"/>
      <c r="AV31" s="69"/>
      <c r="AW31" s="69"/>
      <c r="AX31" s="69"/>
      <c r="AY31" s="69"/>
      <c r="AZ31" s="69"/>
      <c r="BA31" s="69"/>
      <c r="BB31" s="69"/>
      <c r="BC31" s="69"/>
      <c r="BD31" s="69"/>
      <c r="BE31" s="69"/>
      <c r="BF31" s="69"/>
      <c r="BG31" s="69"/>
      <c r="BH31" s="69"/>
      <c r="BI31" s="69"/>
      <c r="BJ31" s="69"/>
      <c r="BK31" s="69"/>
      <c r="BL31" s="69"/>
      <c r="BM31" s="69"/>
      <c r="BN31" s="69"/>
      <c r="BO31" s="69"/>
      <c r="BP31" s="69"/>
      <c r="BQ31" s="69"/>
      <c r="BR31" s="69"/>
      <c r="BS31" s="69"/>
      <c r="BT31" s="69"/>
      <c r="BU31" s="69"/>
      <c r="BV31" s="69"/>
      <c r="BW31" s="69"/>
      <c r="BX31" s="69"/>
    </row>
    <row r="32" spans="1:76" ht="15" customHeight="1" x14ac:dyDescent="0.25">
      <c r="A32" s="69"/>
      <c r="B32" s="267"/>
      <c r="C32" s="267"/>
      <c r="D32" s="268"/>
      <c r="E32" s="366"/>
      <c r="F32" s="365"/>
      <c r="G32" s="365"/>
      <c r="H32" s="365"/>
      <c r="I32" s="381"/>
      <c r="J32" s="53" t="e">
        <f>IF(AND('Mapa final'!#REF!="Media",'Mapa final'!#REF!="Leve"),CONCATENATE("R7C",'Mapa final'!#REF!),"")</f>
        <v>#REF!</v>
      </c>
      <c r="K32" s="54" t="e">
        <f>IF(AND('Mapa final'!#REF!="Media",'Mapa final'!#REF!="Leve"),CONCATENATE("R7C",'Mapa final'!#REF!),"")</f>
        <v>#REF!</v>
      </c>
      <c r="L32" s="54" t="e">
        <f>IF(AND('Mapa final'!#REF!="Media",'Mapa final'!#REF!="Leve"),CONCATENATE("R7C",'Mapa final'!#REF!),"")</f>
        <v>#REF!</v>
      </c>
      <c r="M32" s="54" t="e">
        <f>IF(AND('Mapa final'!#REF!="Media",'Mapa final'!#REF!="Leve"),CONCATENATE("R7C",'Mapa final'!#REF!),"")</f>
        <v>#REF!</v>
      </c>
      <c r="N32" s="54" t="e">
        <f>IF(AND('Mapa final'!#REF!="Media",'Mapa final'!#REF!="Leve"),CONCATENATE("R7C",'Mapa final'!#REF!),"")</f>
        <v>#REF!</v>
      </c>
      <c r="O32" s="55" t="e">
        <f>IF(AND('Mapa final'!#REF!="Media",'Mapa final'!#REF!="Leve"),CONCATENATE("R7C",'Mapa final'!#REF!),"")</f>
        <v>#REF!</v>
      </c>
      <c r="P32" s="53" t="e">
        <f>IF(AND('Mapa final'!#REF!="Media",'Mapa final'!#REF!="Menor"),CONCATENATE("R7C",'Mapa final'!#REF!),"")</f>
        <v>#REF!</v>
      </c>
      <c r="Q32" s="54" t="e">
        <f>IF(AND('Mapa final'!#REF!="Media",'Mapa final'!#REF!="Menor"),CONCATENATE("R7C",'Mapa final'!#REF!),"")</f>
        <v>#REF!</v>
      </c>
      <c r="R32" s="54" t="e">
        <f>IF(AND('Mapa final'!#REF!="Media",'Mapa final'!#REF!="Menor"),CONCATENATE("R7C",'Mapa final'!#REF!),"")</f>
        <v>#REF!</v>
      </c>
      <c r="S32" s="54" t="e">
        <f>IF(AND('Mapa final'!#REF!="Media",'Mapa final'!#REF!="Menor"),CONCATENATE("R7C",'Mapa final'!#REF!),"")</f>
        <v>#REF!</v>
      </c>
      <c r="T32" s="54" t="e">
        <f>IF(AND('Mapa final'!#REF!="Media",'Mapa final'!#REF!="Menor"),CONCATENATE("R7C",'Mapa final'!#REF!),"")</f>
        <v>#REF!</v>
      </c>
      <c r="U32" s="55" t="e">
        <f>IF(AND('Mapa final'!#REF!="Media",'Mapa final'!#REF!="Menor"),CONCATENATE("R7C",'Mapa final'!#REF!),"")</f>
        <v>#REF!</v>
      </c>
      <c r="V32" s="53" t="e">
        <f>IF(AND('Mapa final'!#REF!="Media",'Mapa final'!#REF!="Moderado"),CONCATENATE("R7C",'Mapa final'!#REF!),"")</f>
        <v>#REF!</v>
      </c>
      <c r="W32" s="54" t="e">
        <f>IF(AND('Mapa final'!#REF!="Media",'Mapa final'!#REF!="Moderado"),CONCATENATE("R7C",'Mapa final'!#REF!),"")</f>
        <v>#REF!</v>
      </c>
      <c r="X32" s="54" t="e">
        <f>IF(AND('Mapa final'!#REF!="Media",'Mapa final'!#REF!="Moderado"),CONCATENATE("R7C",'Mapa final'!#REF!),"")</f>
        <v>#REF!</v>
      </c>
      <c r="Y32" s="54" t="e">
        <f>IF(AND('Mapa final'!#REF!="Media",'Mapa final'!#REF!="Moderado"),CONCATENATE("R7C",'Mapa final'!#REF!),"")</f>
        <v>#REF!</v>
      </c>
      <c r="Z32" s="54" t="e">
        <f>IF(AND('Mapa final'!#REF!="Media",'Mapa final'!#REF!="Moderado"),CONCATENATE("R7C",'Mapa final'!#REF!),"")</f>
        <v>#REF!</v>
      </c>
      <c r="AA32" s="55" t="e">
        <f>IF(AND('Mapa final'!#REF!="Media",'Mapa final'!#REF!="Moderado"),CONCATENATE("R7C",'Mapa final'!#REF!),"")</f>
        <v>#REF!</v>
      </c>
      <c r="AB32" s="38" t="e">
        <f>IF(AND('Mapa final'!#REF!="Media",'Mapa final'!#REF!="Mayor"),CONCATENATE("R7C",'Mapa final'!#REF!),"")</f>
        <v>#REF!</v>
      </c>
      <c r="AC32" s="39" t="e">
        <f>IF(AND('Mapa final'!#REF!="Media",'Mapa final'!#REF!="Mayor"),CONCATENATE("R7C",'Mapa final'!#REF!),"")</f>
        <v>#REF!</v>
      </c>
      <c r="AD32" s="39" t="e">
        <f>IF(AND('Mapa final'!#REF!="Media",'Mapa final'!#REF!="Mayor"),CONCATENATE("R7C",'Mapa final'!#REF!),"")</f>
        <v>#REF!</v>
      </c>
      <c r="AE32" s="39" t="e">
        <f>IF(AND('Mapa final'!#REF!="Media",'Mapa final'!#REF!="Mayor"),CONCATENATE("R7C",'Mapa final'!#REF!),"")</f>
        <v>#REF!</v>
      </c>
      <c r="AF32" s="39" t="e">
        <f>IF(AND('Mapa final'!#REF!="Media",'Mapa final'!#REF!="Mayor"),CONCATENATE("R7C",'Mapa final'!#REF!),"")</f>
        <v>#REF!</v>
      </c>
      <c r="AG32" s="40" t="e">
        <f>IF(AND('Mapa final'!#REF!="Media",'Mapa final'!#REF!="Mayor"),CONCATENATE("R7C",'Mapa final'!#REF!),"")</f>
        <v>#REF!</v>
      </c>
      <c r="AH32" s="41" t="e">
        <f>IF(AND('Mapa final'!#REF!="Media",'Mapa final'!#REF!="Catastrófico"),CONCATENATE("R7C",'Mapa final'!#REF!),"")</f>
        <v>#REF!</v>
      </c>
      <c r="AI32" s="42" t="e">
        <f>IF(AND('Mapa final'!#REF!="Media",'Mapa final'!#REF!="Catastrófico"),CONCATENATE("R7C",'Mapa final'!#REF!),"")</f>
        <v>#REF!</v>
      </c>
      <c r="AJ32" s="42" t="e">
        <f>IF(AND('Mapa final'!#REF!="Media",'Mapa final'!#REF!="Catastrófico"),CONCATENATE("R7C",'Mapa final'!#REF!),"")</f>
        <v>#REF!</v>
      </c>
      <c r="AK32" s="42" t="e">
        <f>IF(AND('Mapa final'!#REF!="Media",'Mapa final'!#REF!="Catastrófico"),CONCATENATE("R7C",'Mapa final'!#REF!),"")</f>
        <v>#REF!</v>
      </c>
      <c r="AL32" s="42" t="e">
        <f>IF(AND('Mapa final'!#REF!="Media",'Mapa final'!#REF!="Catastrófico"),CONCATENATE("R7C",'Mapa final'!#REF!),"")</f>
        <v>#REF!</v>
      </c>
      <c r="AM32" s="43" t="e">
        <f>IF(AND('Mapa final'!#REF!="Media",'Mapa final'!#REF!="Catastrófico"),CONCATENATE("R7C",'Mapa final'!#REF!),"")</f>
        <v>#REF!</v>
      </c>
      <c r="AN32" s="69"/>
      <c r="AO32" s="395"/>
      <c r="AP32" s="396"/>
      <c r="AQ32" s="396"/>
      <c r="AR32" s="396"/>
      <c r="AS32" s="396"/>
      <c r="AT32" s="397"/>
      <c r="AU32" s="69"/>
      <c r="AV32" s="69"/>
      <c r="AW32" s="69"/>
      <c r="AX32" s="69"/>
      <c r="AY32" s="69"/>
      <c r="AZ32" s="69"/>
      <c r="BA32" s="69"/>
      <c r="BB32" s="69"/>
      <c r="BC32" s="69"/>
      <c r="BD32" s="69"/>
      <c r="BE32" s="69"/>
      <c r="BF32" s="69"/>
      <c r="BG32" s="69"/>
      <c r="BH32" s="69"/>
      <c r="BI32" s="69"/>
      <c r="BJ32" s="69"/>
      <c r="BK32" s="69"/>
      <c r="BL32" s="69"/>
      <c r="BM32" s="69"/>
      <c r="BN32" s="69"/>
      <c r="BO32" s="69"/>
      <c r="BP32" s="69"/>
      <c r="BQ32" s="69"/>
      <c r="BR32" s="69"/>
      <c r="BS32" s="69"/>
      <c r="BT32" s="69"/>
      <c r="BU32" s="69"/>
      <c r="BV32" s="69"/>
      <c r="BW32" s="69"/>
      <c r="BX32" s="69"/>
    </row>
    <row r="33" spans="1:80" ht="15" customHeight="1" x14ac:dyDescent="0.25">
      <c r="A33" s="69"/>
      <c r="B33" s="267"/>
      <c r="C33" s="267"/>
      <c r="D33" s="268"/>
      <c r="E33" s="366"/>
      <c r="F33" s="365"/>
      <c r="G33" s="365"/>
      <c r="H33" s="365"/>
      <c r="I33" s="381"/>
      <c r="J33" s="53" t="e">
        <f>IF(AND('Mapa final'!#REF!="Media",'Mapa final'!#REF!="Leve"),CONCATENATE("R8C",'Mapa final'!#REF!),"")</f>
        <v>#REF!</v>
      </c>
      <c r="K33" s="54" t="e">
        <f>IF(AND('Mapa final'!#REF!="Media",'Mapa final'!#REF!="Leve"),CONCATENATE("R8C",'Mapa final'!#REF!),"")</f>
        <v>#REF!</v>
      </c>
      <c r="L33" s="54" t="e">
        <f>IF(AND('Mapa final'!#REF!="Media",'Mapa final'!#REF!="Leve"),CONCATENATE("R8C",'Mapa final'!#REF!),"")</f>
        <v>#REF!</v>
      </c>
      <c r="M33" s="54" t="e">
        <f>IF(AND('Mapa final'!#REF!="Media",'Mapa final'!#REF!="Leve"),CONCATENATE("R8C",'Mapa final'!#REF!),"")</f>
        <v>#REF!</v>
      </c>
      <c r="N33" s="54" t="e">
        <f>IF(AND('Mapa final'!#REF!="Media",'Mapa final'!#REF!="Leve"),CONCATENATE("R8C",'Mapa final'!#REF!),"")</f>
        <v>#REF!</v>
      </c>
      <c r="O33" s="55" t="e">
        <f>IF(AND('Mapa final'!#REF!="Media",'Mapa final'!#REF!="Leve"),CONCATENATE("R8C",'Mapa final'!#REF!),"")</f>
        <v>#REF!</v>
      </c>
      <c r="P33" s="53" t="e">
        <f>IF(AND('Mapa final'!#REF!="Media",'Mapa final'!#REF!="Menor"),CONCATENATE("R8C",'Mapa final'!#REF!),"")</f>
        <v>#REF!</v>
      </c>
      <c r="Q33" s="54" t="e">
        <f>IF(AND('Mapa final'!#REF!="Media",'Mapa final'!#REF!="Menor"),CONCATENATE("R8C",'Mapa final'!#REF!),"")</f>
        <v>#REF!</v>
      </c>
      <c r="R33" s="54" t="e">
        <f>IF(AND('Mapa final'!#REF!="Media",'Mapa final'!#REF!="Menor"),CONCATENATE("R8C",'Mapa final'!#REF!),"")</f>
        <v>#REF!</v>
      </c>
      <c r="S33" s="54" t="e">
        <f>IF(AND('Mapa final'!#REF!="Media",'Mapa final'!#REF!="Menor"),CONCATENATE("R8C",'Mapa final'!#REF!),"")</f>
        <v>#REF!</v>
      </c>
      <c r="T33" s="54" t="e">
        <f>IF(AND('Mapa final'!#REF!="Media",'Mapa final'!#REF!="Menor"),CONCATENATE("R8C",'Mapa final'!#REF!),"")</f>
        <v>#REF!</v>
      </c>
      <c r="U33" s="55" t="e">
        <f>IF(AND('Mapa final'!#REF!="Media",'Mapa final'!#REF!="Menor"),CONCATENATE("R8C",'Mapa final'!#REF!),"")</f>
        <v>#REF!</v>
      </c>
      <c r="V33" s="53" t="e">
        <f>IF(AND('Mapa final'!#REF!="Media",'Mapa final'!#REF!="Moderado"),CONCATENATE("R8C",'Mapa final'!#REF!),"")</f>
        <v>#REF!</v>
      </c>
      <c r="W33" s="54" t="e">
        <f>IF(AND('Mapa final'!#REF!="Media",'Mapa final'!#REF!="Moderado"),CONCATENATE("R8C",'Mapa final'!#REF!),"")</f>
        <v>#REF!</v>
      </c>
      <c r="X33" s="54" t="e">
        <f>IF(AND('Mapa final'!#REF!="Media",'Mapa final'!#REF!="Moderado"),CONCATENATE("R8C",'Mapa final'!#REF!),"")</f>
        <v>#REF!</v>
      </c>
      <c r="Y33" s="54" t="e">
        <f>IF(AND('Mapa final'!#REF!="Media",'Mapa final'!#REF!="Moderado"),CONCATENATE("R8C",'Mapa final'!#REF!),"")</f>
        <v>#REF!</v>
      </c>
      <c r="Z33" s="54" t="e">
        <f>IF(AND('Mapa final'!#REF!="Media",'Mapa final'!#REF!="Moderado"),CONCATENATE("R8C",'Mapa final'!#REF!),"")</f>
        <v>#REF!</v>
      </c>
      <c r="AA33" s="55" t="e">
        <f>IF(AND('Mapa final'!#REF!="Media",'Mapa final'!#REF!="Moderado"),CONCATENATE("R8C",'Mapa final'!#REF!),"")</f>
        <v>#REF!</v>
      </c>
      <c r="AB33" s="38" t="e">
        <f>IF(AND('Mapa final'!#REF!="Media",'Mapa final'!#REF!="Mayor"),CONCATENATE("R8C",'Mapa final'!#REF!),"")</f>
        <v>#REF!</v>
      </c>
      <c r="AC33" s="39" t="e">
        <f>IF(AND('Mapa final'!#REF!="Media",'Mapa final'!#REF!="Mayor"),CONCATENATE("R8C",'Mapa final'!#REF!),"")</f>
        <v>#REF!</v>
      </c>
      <c r="AD33" s="39" t="e">
        <f>IF(AND('Mapa final'!#REF!="Media",'Mapa final'!#REF!="Mayor"),CONCATENATE("R8C",'Mapa final'!#REF!),"")</f>
        <v>#REF!</v>
      </c>
      <c r="AE33" s="39" t="e">
        <f>IF(AND('Mapa final'!#REF!="Media",'Mapa final'!#REF!="Mayor"),CONCATENATE("R8C",'Mapa final'!#REF!),"")</f>
        <v>#REF!</v>
      </c>
      <c r="AF33" s="39" t="e">
        <f>IF(AND('Mapa final'!#REF!="Media",'Mapa final'!#REF!="Mayor"),CONCATENATE("R8C",'Mapa final'!#REF!),"")</f>
        <v>#REF!</v>
      </c>
      <c r="AG33" s="40" t="e">
        <f>IF(AND('Mapa final'!#REF!="Media",'Mapa final'!#REF!="Mayor"),CONCATENATE("R8C",'Mapa final'!#REF!),"")</f>
        <v>#REF!</v>
      </c>
      <c r="AH33" s="41" t="e">
        <f>IF(AND('Mapa final'!#REF!="Media",'Mapa final'!#REF!="Catastrófico"),CONCATENATE("R8C",'Mapa final'!#REF!),"")</f>
        <v>#REF!</v>
      </c>
      <c r="AI33" s="42" t="e">
        <f>IF(AND('Mapa final'!#REF!="Media",'Mapa final'!#REF!="Catastrófico"),CONCATENATE("R8C",'Mapa final'!#REF!),"")</f>
        <v>#REF!</v>
      </c>
      <c r="AJ33" s="42" t="e">
        <f>IF(AND('Mapa final'!#REF!="Media",'Mapa final'!#REF!="Catastrófico"),CONCATENATE("R8C",'Mapa final'!#REF!),"")</f>
        <v>#REF!</v>
      </c>
      <c r="AK33" s="42" t="e">
        <f>IF(AND('Mapa final'!#REF!="Media",'Mapa final'!#REF!="Catastrófico"),CONCATENATE("R8C",'Mapa final'!#REF!),"")</f>
        <v>#REF!</v>
      </c>
      <c r="AL33" s="42" t="e">
        <f>IF(AND('Mapa final'!#REF!="Media",'Mapa final'!#REF!="Catastrófico"),CONCATENATE("R8C",'Mapa final'!#REF!),"")</f>
        <v>#REF!</v>
      </c>
      <c r="AM33" s="43" t="e">
        <f>IF(AND('Mapa final'!#REF!="Media",'Mapa final'!#REF!="Catastrófico"),CONCATENATE("R8C",'Mapa final'!#REF!),"")</f>
        <v>#REF!</v>
      </c>
      <c r="AN33" s="69"/>
      <c r="AO33" s="395"/>
      <c r="AP33" s="396"/>
      <c r="AQ33" s="396"/>
      <c r="AR33" s="396"/>
      <c r="AS33" s="396"/>
      <c r="AT33" s="397"/>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row>
    <row r="34" spans="1:80" ht="15" customHeight="1" x14ac:dyDescent="0.25">
      <c r="A34" s="69"/>
      <c r="B34" s="267"/>
      <c r="C34" s="267"/>
      <c r="D34" s="268"/>
      <c r="E34" s="366"/>
      <c r="F34" s="365"/>
      <c r="G34" s="365"/>
      <c r="H34" s="365"/>
      <c r="I34" s="381"/>
      <c r="J34" s="53" t="e">
        <f>IF(AND('Mapa final'!#REF!="Media",'Mapa final'!#REF!="Leve"),CONCATENATE("R9C",'Mapa final'!#REF!),"")</f>
        <v>#REF!</v>
      </c>
      <c r="K34" s="54" t="e">
        <f>IF(AND('Mapa final'!#REF!="Media",'Mapa final'!#REF!="Leve"),CONCATENATE("R9C",'Mapa final'!#REF!),"")</f>
        <v>#REF!</v>
      </c>
      <c r="L34" s="54" t="e">
        <f>IF(AND('Mapa final'!#REF!="Media",'Mapa final'!#REF!="Leve"),CONCATENATE("R9C",'Mapa final'!#REF!),"")</f>
        <v>#REF!</v>
      </c>
      <c r="M34" s="54" t="e">
        <f>IF(AND('Mapa final'!#REF!="Media",'Mapa final'!#REF!="Leve"),CONCATENATE("R9C",'Mapa final'!#REF!),"")</f>
        <v>#REF!</v>
      </c>
      <c r="N34" s="54" t="e">
        <f>IF(AND('Mapa final'!#REF!="Media",'Mapa final'!#REF!="Leve"),CONCATENATE("R9C",'Mapa final'!#REF!),"")</f>
        <v>#REF!</v>
      </c>
      <c r="O34" s="55" t="e">
        <f>IF(AND('Mapa final'!#REF!="Media",'Mapa final'!#REF!="Leve"),CONCATENATE("R9C",'Mapa final'!#REF!),"")</f>
        <v>#REF!</v>
      </c>
      <c r="P34" s="53" t="e">
        <f>IF(AND('Mapa final'!#REF!="Media",'Mapa final'!#REF!="Menor"),CONCATENATE("R9C",'Mapa final'!#REF!),"")</f>
        <v>#REF!</v>
      </c>
      <c r="Q34" s="54" t="e">
        <f>IF(AND('Mapa final'!#REF!="Media",'Mapa final'!#REF!="Menor"),CONCATENATE("R9C",'Mapa final'!#REF!),"")</f>
        <v>#REF!</v>
      </c>
      <c r="R34" s="54" t="e">
        <f>IF(AND('Mapa final'!#REF!="Media",'Mapa final'!#REF!="Menor"),CONCATENATE("R9C",'Mapa final'!#REF!),"")</f>
        <v>#REF!</v>
      </c>
      <c r="S34" s="54" t="e">
        <f>IF(AND('Mapa final'!#REF!="Media",'Mapa final'!#REF!="Menor"),CONCATENATE("R9C",'Mapa final'!#REF!),"")</f>
        <v>#REF!</v>
      </c>
      <c r="T34" s="54" t="e">
        <f>IF(AND('Mapa final'!#REF!="Media",'Mapa final'!#REF!="Menor"),CONCATENATE("R9C",'Mapa final'!#REF!),"")</f>
        <v>#REF!</v>
      </c>
      <c r="U34" s="55" t="e">
        <f>IF(AND('Mapa final'!#REF!="Media",'Mapa final'!#REF!="Menor"),CONCATENATE("R9C",'Mapa final'!#REF!),"")</f>
        <v>#REF!</v>
      </c>
      <c r="V34" s="53" t="e">
        <f>IF(AND('Mapa final'!#REF!="Media",'Mapa final'!#REF!="Moderado"),CONCATENATE("R9C",'Mapa final'!#REF!),"")</f>
        <v>#REF!</v>
      </c>
      <c r="W34" s="54" t="e">
        <f>IF(AND('Mapa final'!#REF!="Media",'Mapa final'!#REF!="Moderado"),CONCATENATE("R9C",'Mapa final'!#REF!),"")</f>
        <v>#REF!</v>
      </c>
      <c r="X34" s="54" t="e">
        <f>IF(AND('Mapa final'!#REF!="Media",'Mapa final'!#REF!="Moderado"),CONCATENATE("R9C",'Mapa final'!#REF!),"")</f>
        <v>#REF!</v>
      </c>
      <c r="Y34" s="54" t="e">
        <f>IF(AND('Mapa final'!#REF!="Media",'Mapa final'!#REF!="Moderado"),CONCATENATE("R9C",'Mapa final'!#REF!),"")</f>
        <v>#REF!</v>
      </c>
      <c r="Z34" s="54" t="e">
        <f>IF(AND('Mapa final'!#REF!="Media",'Mapa final'!#REF!="Moderado"),CONCATENATE("R9C",'Mapa final'!#REF!),"")</f>
        <v>#REF!</v>
      </c>
      <c r="AA34" s="55" t="e">
        <f>IF(AND('Mapa final'!#REF!="Media",'Mapa final'!#REF!="Moderado"),CONCATENATE("R9C",'Mapa final'!#REF!),"")</f>
        <v>#REF!</v>
      </c>
      <c r="AB34" s="38" t="e">
        <f>IF(AND('Mapa final'!#REF!="Media",'Mapa final'!#REF!="Mayor"),CONCATENATE("R9C",'Mapa final'!#REF!),"")</f>
        <v>#REF!</v>
      </c>
      <c r="AC34" s="39" t="e">
        <f>IF(AND('Mapa final'!#REF!="Media",'Mapa final'!#REF!="Mayor"),CONCATENATE("R9C",'Mapa final'!#REF!),"")</f>
        <v>#REF!</v>
      </c>
      <c r="AD34" s="39" t="e">
        <f>IF(AND('Mapa final'!#REF!="Media",'Mapa final'!#REF!="Mayor"),CONCATENATE("R9C",'Mapa final'!#REF!),"")</f>
        <v>#REF!</v>
      </c>
      <c r="AE34" s="39" t="e">
        <f>IF(AND('Mapa final'!#REF!="Media",'Mapa final'!#REF!="Mayor"),CONCATENATE("R9C",'Mapa final'!#REF!),"")</f>
        <v>#REF!</v>
      </c>
      <c r="AF34" s="39" t="e">
        <f>IF(AND('Mapa final'!#REF!="Media",'Mapa final'!#REF!="Mayor"),CONCATENATE("R9C",'Mapa final'!#REF!),"")</f>
        <v>#REF!</v>
      </c>
      <c r="AG34" s="40" t="e">
        <f>IF(AND('Mapa final'!#REF!="Media",'Mapa final'!#REF!="Mayor"),CONCATENATE("R9C",'Mapa final'!#REF!),"")</f>
        <v>#REF!</v>
      </c>
      <c r="AH34" s="41" t="e">
        <f>IF(AND('Mapa final'!#REF!="Media",'Mapa final'!#REF!="Catastrófico"),CONCATENATE("R9C",'Mapa final'!#REF!),"")</f>
        <v>#REF!</v>
      </c>
      <c r="AI34" s="42" t="e">
        <f>IF(AND('Mapa final'!#REF!="Media",'Mapa final'!#REF!="Catastrófico"),CONCATENATE("R9C",'Mapa final'!#REF!),"")</f>
        <v>#REF!</v>
      </c>
      <c r="AJ34" s="42" t="e">
        <f>IF(AND('Mapa final'!#REF!="Media",'Mapa final'!#REF!="Catastrófico"),CONCATENATE("R9C",'Mapa final'!#REF!),"")</f>
        <v>#REF!</v>
      </c>
      <c r="AK34" s="42" t="e">
        <f>IF(AND('Mapa final'!#REF!="Media",'Mapa final'!#REF!="Catastrófico"),CONCATENATE("R9C",'Mapa final'!#REF!),"")</f>
        <v>#REF!</v>
      </c>
      <c r="AL34" s="42" t="e">
        <f>IF(AND('Mapa final'!#REF!="Media",'Mapa final'!#REF!="Catastrófico"),CONCATENATE("R9C",'Mapa final'!#REF!),"")</f>
        <v>#REF!</v>
      </c>
      <c r="AM34" s="43" t="e">
        <f>IF(AND('Mapa final'!#REF!="Media",'Mapa final'!#REF!="Catastrófico"),CONCATENATE("R9C",'Mapa final'!#REF!),"")</f>
        <v>#REF!</v>
      </c>
      <c r="AN34" s="69"/>
      <c r="AO34" s="395"/>
      <c r="AP34" s="396"/>
      <c r="AQ34" s="396"/>
      <c r="AR34" s="396"/>
      <c r="AS34" s="396"/>
      <c r="AT34" s="397"/>
      <c r="AU34" s="69"/>
      <c r="AV34" s="69"/>
      <c r="AW34" s="69"/>
      <c r="AX34" s="69"/>
      <c r="AY34" s="69"/>
      <c r="AZ34" s="69"/>
      <c r="BA34" s="69"/>
      <c r="BB34" s="69"/>
      <c r="BC34" s="69"/>
      <c r="BD34" s="69"/>
      <c r="BE34" s="69"/>
      <c r="BF34" s="69"/>
      <c r="BG34" s="69"/>
      <c r="BH34" s="69"/>
      <c r="BI34" s="69"/>
      <c r="BJ34" s="69"/>
      <c r="BK34" s="69"/>
      <c r="BL34" s="69"/>
      <c r="BM34" s="69"/>
      <c r="BN34" s="69"/>
      <c r="BO34" s="69"/>
      <c r="BP34" s="69"/>
      <c r="BQ34" s="69"/>
      <c r="BR34" s="69"/>
      <c r="BS34" s="69"/>
      <c r="BT34" s="69"/>
      <c r="BU34" s="69"/>
      <c r="BV34" s="69"/>
      <c r="BW34" s="69"/>
      <c r="BX34" s="69"/>
    </row>
    <row r="35" spans="1:80" ht="15.75" customHeight="1" thickBot="1" x14ac:dyDescent="0.3">
      <c r="A35" s="69"/>
      <c r="B35" s="267"/>
      <c r="C35" s="267"/>
      <c r="D35" s="268"/>
      <c r="E35" s="367"/>
      <c r="F35" s="368"/>
      <c r="G35" s="368"/>
      <c r="H35" s="368"/>
      <c r="I35" s="382"/>
      <c r="J35" s="53" t="e">
        <f>IF(AND('Mapa final'!#REF!="Media",'Mapa final'!#REF!="Leve"),CONCATENATE("R10C",'Mapa final'!#REF!),"")</f>
        <v>#REF!</v>
      </c>
      <c r="K35" s="54" t="e">
        <f>IF(AND('Mapa final'!#REF!="Media",'Mapa final'!#REF!="Leve"),CONCATENATE("R10C",'Mapa final'!#REF!),"")</f>
        <v>#REF!</v>
      </c>
      <c r="L35" s="54" t="e">
        <f>IF(AND('Mapa final'!#REF!="Media",'Mapa final'!#REF!="Leve"),CONCATENATE("R10C",'Mapa final'!#REF!),"")</f>
        <v>#REF!</v>
      </c>
      <c r="M35" s="54" t="e">
        <f>IF(AND('Mapa final'!#REF!="Media",'Mapa final'!#REF!="Leve"),CONCATENATE("R10C",'Mapa final'!#REF!),"")</f>
        <v>#REF!</v>
      </c>
      <c r="N35" s="54" t="e">
        <f>IF(AND('Mapa final'!#REF!="Media",'Mapa final'!#REF!="Leve"),CONCATENATE("R10C",'Mapa final'!#REF!),"")</f>
        <v>#REF!</v>
      </c>
      <c r="O35" s="55" t="e">
        <f>IF(AND('Mapa final'!#REF!="Media",'Mapa final'!#REF!="Leve"),CONCATENATE("R10C",'Mapa final'!#REF!),"")</f>
        <v>#REF!</v>
      </c>
      <c r="P35" s="53" t="e">
        <f>IF(AND('Mapa final'!#REF!="Media",'Mapa final'!#REF!="Menor"),CONCATENATE("R10C",'Mapa final'!#REF!),"")</f>
        <v>#REF!</v>
      </c>
      <c r="Q35" s="54" t="e">
        <f>IF(AND('Mapa final'!#REF!="Media",'Mapa final'!#REF!="Menor"),CONCATENATE("R10C",'Mapa final'!#REF!),"")</f>
        <v>#REF!</v>
      </c>
      <c r="R35" s="54" t="e">
        <f>IF(AND('Mapa final'!#REF!="Media",'Mapa final'!#REF!="Menor"),CONCATENATE("R10C",'Mapa final'!#REF!),"")</f>
        <v>#REF!</v>
      </c>
      <c r="S35" s="54" t="e">
        <f>IF(AND('Mapa final'!#REF!="Media",'Mapa final'!#REF!="Menor"),CONCATENATE("R10C",'Mapa final'!#REF!),"")</f>
        <v>#REF!</v>
      </c>
      <c r="T35" s="54" t="e">
        <f>IF(AND('Mapa final'!#REF!="Media",'Mapa final'!#REF!="Menor"),CONCATENATE("R10C",'Mapa final'!#REF!),"")</f>
        <v>#REF!</v>
      </c>
      <c r="U35" s="55" t="e">
        <f>IF(AND('Mapa final'!#REF!="Media",'Mapa final'!#REF!="Menor"),CONCATENATE("R10C",'Mapa final'!#REF!),"")</f>
        <v>#REF!</v>
      </c>
      <c r="V35" s="53" t="e">
        <f>IF(AND('Mapa final'!#REF!="Media",'Mapa final'!#REF!="Moderado"),CONCATENATE("R10C",'Mapa final'!#REF!),"")</f>
        <v>#REF!</v>
      </c>
      <c r="W35" s="54" t="e">
        <f>IF(AND('Mapa final'!#REF!="Media",'Mapa final'!#REF!="Moderado"),CONCATENATE("R10C",'Mapa final'!#REF!),"")</f>
        <v>#REF!</v>
      </c>
      <c r="X35" s="54" t="e">
        <f>IF(AND('Mapa final'!#REF!="Media",'Mapa final'!#REF!="Moderado"),CONCATENATE("R10C",'Mapa final'!#REF!),"")</f>
        <v>#REF!</v>
      </c>
      <c r="Y35" s="54" t="e">
        <f>IF(AND('Mapa final'!#REF!="Media",'Mapa final'!#REF!="Moderado"),CONCATENATE("R10C",'Mapa final'!#REF!),"")</f>
        <v>#REF!</v>
      </c>
      <c r="Z35" s="54" t="e">
        <f>IF(AND('Mapa final'!#REF!="Media",'Mapa final'!#REF!="Moderado"),CONCATENATE("R10C",'Mapa final'!#REF!),"")</f>
        <v>#REF!</v>
      </c>
      <c r="AA35" s="55" t="e">
        <f>IF(AND('Mapa final'!#REF!="Media",'Mapa final'!#REF!="Moderado"),CONCATENATE("R10C",'Mapa final'!#REF!),"")</f>
        <v>#REF!</v>
      </c>
      <c r="AB35" s="44" t="e">
        <f>IF(AND('Mapa final'!#REF!="Media",'Mapa final'!#REF!="Mayor"),CONCATENATE("R10C",'Mapa final'!#REF!),"")</f>
        <v>#REF!</v>
      </c>
      <c r="AC35" s="45" t="e">
        <f>IF(AND('Mapa final'!#REF!="Media",'Mapa final'!#REF!="Mayor"),CONCATENATE("R10C",'Mapa final'!#REF!),"")</f>
        <v>#REF!</v>
      </c>
      <c r="AD35" s="45" t="e">
        <f>IF(AND('Mapa final'!#REF!="Media",'Mapa final'!#REF!="Mayor"),CONCATENATE("R10C",'Mapa final'!#REF!),"")</f>
        <v>#REF!</v>
      </c>
      <c r="AE35" s="45" t="e">
        <f>IF(AND('Mapa final'!#REF!="Media",'Mapa final'!#REF!="Mayor"),CONCATENATE("R10C",'Mapa final'!#REF!),"")</f>
        <v>#REF!</v>
      </c>
      <c r="AF35" s="45" t="e">
        <f>IF(AND('Mapa final'!#REF!="Media",'Mapa final'!#REF!="Mayor"),CONCATENATE("R10C",'Mapa final'!#REF!),"")</f>
        <v>#REF!</v>
      </c>
      <c r="AG35" s="46" t="e">
        <f>IF(AND('Mapa final'!#REF!="Media",'Mapa final'!#REF!="Mayor"),CONCATENATE("R10C",'Mapa final'!#REF!),"")</f>
        <v>#REF!</v>
      </c>
      <c r="AH35" s="47" t="e">
        <f>IF(AND('Mapa final'!#REF!="Media",'Mapa final'!#REF!="Catastrófico"),CONCATENATE("R10C",'Mapa final'!#REF!),"")</f>
        <v>#REF!</v>
      </c>
      <c r="AI35" s="48" t="e">
        <f>IF(AND('Mapa final'!#REF!="Media",'Mapa final'!#REF!="Catastrófico"),CONCATENATE("R10C",'Mapa final'!#REF!),"")</f>
        <v>#REF!</v>
      </c>
      <c r="AJ35" s="48" t="e">
        <f>IF(AND('Mapa final'!#REF!="Media",'Mapa final'!#REF!="Catastrófico"),CONCATENATE("R10C",'Mapa final'!#REF!),"")</f>
        <v>#REF!</v>
      </c>
      <c r="AK35" s="48" t="e">
        <f>IF(AND('Mapa final'!#REF!="Media",'Mapa final'!#REF!="Catastrófico"),CONCATENATE("R10C",'Mapa final'!#REF!),"")</f>
        <v>#REF!</v>
      </c>
      <c r="AL35" s="48" t="e">
        <f>IF(AND('Mapa final'!#REF!="Media",'Mapa final'!#REF!="Catastrófico"),CONCATENATE("R10C",'Mapa final'!#REF!),"")</f>
        <v>#REF!</v>
      </c>
      <c r="AM35" s="49" t="e">
        <f>IF(AND('Mapa final'!#REF!="Media",'Mapa final'!#REF!="Catastrófico"),CONCATENATE("R10C",'Mapa final'!#REF!),"")</f>
        <v>#REF!</v>
      </c>
      <c r="AN35" s="69"/>
      <c r="AO35" s="398"/>
      <c r="AP35" s="399"/>
      <c r="AQ35" s="399"/>
      <c r="AR35" s="399"/>
      <c r="AS35" s="399"/>
      <c r="AT35" s="400"/>
      <c r="AU35" s="69"/>
      <c r="AV35" s="69"/>
      <c r="AW35" s="69"/>
      <c r="AX35" s="69"/>
      <c r="AY35" s="69"/>
      <c r="AZ35" s="69"/>
      <c r="BA35" s="69"/>
      <c r="BB35" s="69"/>
      <c r="BC35" s="69"/>
      <c r="BD35" s="69"/>
      <c r="BE35" s="69"/>
      <c r="BF35" s="69"/>
      <c r="BG35" s="69"/>
      <c r="BH35" s="69"/>
      <c r="BI35" s="69"/>
      <c r="BJ35" s="69"/>
      <c r="BK35" s="69"/>
      <c r="BL35" s="69"/>
      <c r="BM35" s="69"/>
      <c r="BN35" s="69"/>
      <c r="BO35" s="69"/>
      <c r="BP35" s="69"/>
      <c r="BQ35" s="69"/>
      <c r="BR35" s="69"/>
      <c r="BS35" s="69"/>
      <c r="BT35" s="69"/>
      <c r="BU35" s="69"/>
      <c r="BV35" s="69"/>
      <c r="BW35" s="69"/>
      <c r="BX35" s="69"/>
    </row>
    <row r="36" spans="1:80" ht="15" customHeight="1" x14ac:dyDescent="0.25">
      <c r="A36" s="69"/>
      <c r="B36" s="267"/>
      <c r="C36" s="267"/>
      <c r="D36" s="268"/>
      <c r="E36" s="362" t="s">
        <v>114</v>
      </c>
      <c r="F36" s="363"/>
      <c r="G36" s="363"/>
      <c r="H36" s="363"/>
      <c r="I36" s="363"/>
      <c r="J36" s="59" t="e">
        <f>IF(AND('Mapa final'!#REF!="Baja",'Mapa final'!#REF!="Leve"),CONCATENATE("R1C",'Mapa final'!#REF!),"")</f>
        <v>#REF!</v>
      </c>
      <c r="K36" s="60" t="e">
        <f>IF(AND('Mapa final'!#REF!="Baja",'Mapa final'!#REF!="Leve"),CONCATENATE("R1C",'Mapa final'!#REF!),"")</f>
        <v>#REF!</v>
      </c>
      <c r="L36" s="60" t="e">
        <f>IF(AND('Mapa final'!#REF!="Baja",'Mapa final'!#REF!="Leve"),CONCATENATE("R1C",'Mapa final'!#REF!),"")</f>
        <v>#REF!</v>
      </c>
      <c r="M36" s="60" t="e">
        <f>IF(AND('Mapa final'!#REF!="Baja",'Mapa final'!#REF!="Leve"),CONCATENATE("R1C",'Mapa final'!#REF!),"")</f>
        <v>#REF!</v>
      </c>
      <c r="N36" s="60" t="e">
        <f>IF(AND('Mapa final'!#REF!="Baja",'Mapa final'!#REF!="Leve"),CONCATENATE("R1C",'Mapa final'!#REF!),"")</f>
        <v>#REF!</v>
      </c>
      <c r="O36" s="61" t="e">
        <f>IF(AND('Mapa final'!#REF!="Baja",'Mapa final'!#REF!="Leve"),CONCATENATE("R1C",'Mapa final'!#REF!),"")</f>
        <v>#REF!</v>
      </c>
      <c r="P36" s="50" t="e">
        <f>IF(AND('Mapa final'!#REF!="Baja",'Mapa final'!#REF!="Menor"),CONCATENATE("R1C",'Mapa final'!#REF!),"")</f>
        <v>#REF!</v>
      </c>
      <c r="Q36" s="51" t="e">
        <f>IF(AND('Mapa final'!#REF!="Baja",'Mapa final'!#REF!="Menor"),CONCATENATE("R1C",'Mapa final'!#REF!),"")</f>
        <v>#REF!</v>
      </c>
      <c r="R36" s="51" t="e">
        <f>IF(AND('Mapa final'!#REF!="Baja",'Mapa final'!#REF!="Menor"),CONCATENATE("R1C",'Mapa final'!#REF!),"")</f>
        <v>#REF!</v>
      </c>
      <c r="S36" s="51" t="e">
        <f>IF(AND('Mapa final'!#REF!="Baja",'Mapa final'!#REF!="Menor"),CONCATENATE("R1C",'Mapa final'!#REF!),"")</f>
        <v>#REF!</v>
      </c>
      <c r="T36" s="51" t="e">
        <f>IF(AND('Mapa final'!#REF!="Baja",'Mapa final'!#REF!="Menor"),CONCATENATE("R1C",'Mapa final'!#REF!),"")</f>
        <v>#REF!</v>
      </c>
      <c r="U36" s="52" t="e">
        <f>IF(AND('Mapa final'!#REF!="Baja",'Mapa final'!#REF!="Menor"),CONCATENATE("R1C",'Mapa final'!#REF!),"")</f>
        <v>#REF!</v>
      </c>
      <c r="V36" s="50" t="e">
        <f>IF(AND('Mapa final'!#REF!="Baja",'Mapa final'!#REF!="Moderado"),CONCATENATE("R1C",'Mapa final'!#REF!),"")</f>
        <v>#REF!</v>
      </c>
      <c r="W36" s="51" t="e">
        <f>IF(AND('Mapa final'!#REF!="Baja",'Mapa final'!#REF!="Moderado"),CONCATENATE("R1C",'Mapa final'!#REF!),"")</f>
        <v>#REF!</v>
      </c>
      <c r="X36" s="51" t="e">
        <f>IF(AND('Mapa final'!#REF!="Baja",'Mapa final'!#REF!="Moderado"),CONCATENATE("R1C",'Mapa final'!#REF!),"")</f>
        <v>#REF!</v>
      </c>
      <c r="Y36" s="51" t="e">
        <f>IF(AND('Mapa final'!#REF!="Baja",'Mapa final'!#REF!="Moderado"),CONCATENATE("R1C",'Mapa final'!#REF!),"")</f>
        <v>#REF!</v>
      </c>
      <c r="Z36" s="51" t="e">
        <f>IF(AND('Mapa final'!#REF!="Baja",'Mapa final'!#REF!="Moderado"),CONCATENATE("R1C",'Mapa final'!#REF!),"")</f>
        <v>#REF!</v>
      </c>
      <c r="AA36" s="52" t="e">
        <f>IF(AND('Mapa final'!#REF!="Baja",'Mapa final'!#REF!="Moderado"),CONCATENATE("R1C",'Mapa final'!#REF!),"")</f>
        <v>#REF!</v>
      </c>
      <c r="AB36" s="32" t="e">
        <f>IF(AND('Mapa final'!#REF!="Baja",'Mapa final'!#REF!="Mayor"),CONCATENATE("R1C",'Mapa final'!#REF!),"")</f>
        <v>#REF!</v>
      </c>
      <c r="AC36" s="33" t="e">
        <f>IF(AND('Mapa final'!#REF!="Baja",'Mapa final'!#REF!="Mayor"),CONCATENATE("R1C",'Mapa final'!#REF!),"")</f>
        <v>#REF!</v>
      </c>
      <c r="AD36" s="33" t="e">
        <f>IF(AND('Mapa final'!#REF!="Baja",'Mapa final'!#REF!="Mayor"),CONCATENATE("R1C",'Mapa final'!#REF!),"")</f>
        <v>#REF!</v>
      </c>
      <c r="AE36" s="33" t="e">
        <f>IF(AND('Mapa final'!#REF!="Baja",'Mapa final'!#REF!="Mayor"),CONCATENATE("R1C",'Mapa final'!#REF!),"")</f>
        <v>#REF!</v>
      </c>
      <c r="AF36" s="33" t="e">
        <f>IF(AND('Mapa final'!#REF!="Baja",'Mapa final'!#REF!="Mayor"),CONCATENATE("R1C",'Mapa final'!#REF!),"")</f>
        <v>#REF!</v>
      </c>
      <c r="AG36" s="34" t="e">
        <f>IF(AND('Mapa final'!#REF!="Baja",'Mapa final'!#REF!="Mayor"),CONCATENATE("R1C",'Mapa final'!#REF!),"")</f>
        <v>#REF!</v>
      </c>
      <c r="AH36" s="35" t="e">
        <f>IF(AND('Mapa final'!#REF!="Baja",'Mapa final'!#REF!="Catastrófico"),CONCATENATE("R1C",'Mapa final'!#REF!),"")</f>
        <v>#REF!</v>
      </c>
      <c r="AI36" s="36" t="e">
        <f>IF(AND('Mapa final'!#REF!="Baja",'Mapa final'!#REF!="Catastrófico"),CONCATENATE("R1C",'Mapa final'!#REF!),"")</f>
        <v>#REF!</v>
      </c>
      <c r="AJ36" s="36" t="e">
        <f>IF(AND('Mapa final'!#REF!="Baja",'Mapa final'!#REF!="Catastrófico"),CONCATENATE("R1C",'Mapa final'!#REF!),"")</f>
        <v>#REF!</v>
      </c>
      <c r="AK36" s="36" t="e">
        <f>IF(AND('Mapa final'!#REF!="Baja",'Mapa final'!#REF!="Catastrófico"),CONCATENATE("R1C",'Mapa final'!#REF!),"")</f>
        <v>#REF!</v>
      </c>
      <c r="AL36" s="36" t="e">
        <f>IF(AND('Mapa final'!#REF!="Baja",'Mapa final'!#REF!="Catastrófico"),CONCATENATE("R1C",'Mapa final'!#REF!),"")</f>
        <v>#REF!</v>
      </c>
      <c r="AM36" s="37" t="e">
        <f>IF(AND('Mapa final'!#REF!="Baja",'Mapa final'!#REF!="Catastrófico"),CONCATENATE("R1C",'Mapa final'!#REF!),"")</f>
        <v>#REF!</v>
      </c>
      <c r="AN36" s="69"/>
      <c r="AO36" s="383" t="s">
        <v>82</v>
      </c>
      <c r="AP36" s="384"/>
      <c r="AQ36" s="384"/>
      <c r="AR36" s="384"/>
      <c r="AS36" s="384"/>
      <c r="AT36" s="385"/>
      <c r="AU36" s="69"/>
      <c r="AV36" s="69"/>
      <c r="AW36" s="69"/>
      <c r="AX36" s="69"/>
      <c r="AY36" s="69"/>
      <c r="AZ36" s="69"/>
      <c r="BA36" s="69"/>
      <c r="BB36" s="69"/>
      <c r="BC36" s="69"/>
      <c r="BD36" s="69"/>
      <c r="BE36" s="69"/>
      <c r="BF36" s="69"/>
      <c r="BG36" s="69"/>
      <c r="BH36" s="69"/>
      <c r="BI36" s="69"/>
      <c r="BJ36" s="69"/>
      <c r="BK36" s="69"/>
      <c r="BL36" s="69"/>
      <c r="BM36" s="69"/>
      <c r="BN36" s="69"/>
      <c r="BO36" s="69"/>
      <c r="BP36" s="69"/>
      <c r="BQ36" s="69"/>
      <c r="BR36" s="69"/>
      <c r="BS36" s="69"/>
      <c r="BT36" s="69"/>
      <c r="BU36" s="69"/>
      <c r="BV36" s="69"/>
      <c r="BW36" s="69"/>
      <c r="BX36" s="69"/>
    </row>
    <row r="37" spans="1:80" ht="15" customHeight="1" x14ac:dyDescent="0.25">
      <c r="A37" s="69"/>
      <c r="B37" s="267"/>
      <c r="C37" s="267"/>
      <c r="D37" s="268"/>
      <c r="E37" s="364"/>
      <c r="F37" s="365"/>
      <c r="G37" s="365"/>
      <c r="H37" s="365"/>
      <c r="I37" s="365"/>
      <c r="J37" s="62" t="e">
        <f>IF(AND('Mapa final'!#REF!="Baja",'Mapa final'!#REF!="Leve"),CONCATENATE("R2C",'Mapa final'!#REF!),"")</f>
        <v>#REF!</v>
      </c>
      <c r="K37" s="63" t="e">
        <f>IF(AND('Mapa final'!#REF!="Baja",'Mapa final'!#REF!="Leve"),CONCATENATE("R2C",'Mapa final'!#REF!),"")</f>
        <v>#REF!</v>
      </c>
      <c r="L37" s="63" t="e">
        <f>IF(AND('Mapa final'!#REF!="Baja",'Mapa final'!#REF!="Leve"),CONCATENATE("R2C",'Mapa final'!#REF!),"")</f>
        <v>#REF!</v>
      </c>
      <c r="M37" s="63" t="e">
        <f>IF(AND('Mapa final'!#REF!="Baja",'Mapa final'!#REF!="Leve"),CONCATENATE("R2C",'Mapa final'!#REF!),"")</f>
        <v>#REF!</v>
      </c>
      <c r="N37" s="63" t="e">
        <f>IF(AND('Mapa final'!#REF!="Baja",'Mapa final'!#REF!="Leve"),CONCATENATE("R2C",'Mapa final'!#REF!),"")</f>
        <v>#REF!</v>
      </c>
      <c r="O37" s="64" t="e">
        <f>IF(AND('Mapa final'!#REF!="Baja",'Mapa final'!#REF!="Leve"),CONCATENATE("R2C",'Mapa final'!#REF!),"")</f>
        <v>#REF!</v>
      </c>
      <c r="P37" s="53" t="e">
        <f>IF(AND('Mapa final'!#REF!="Baja",'Mapa final'!#REF!="Menor"),CONCATENATE("R2C",'Mapa final'!#REF!),"")</f>
        <v>#REF!</v>
      </c>
      <c r="Q37" s="54" t="e">
        <f>IF(AND('Mapa final'!#REF!="Baja",'Mapa final'!#REF!="Menor"),CONCATENATE("R2C",'Mapa final'!#REF!),"")</f>
        <v>#REF!</v>
      </c>
      <c r="R37" s="54" t="e">
        <f>IF(AND('Mapa final'!#REF!="Baja",'Mapa final'!#REF!="Menor"),CONCATENATE("R2C",'Mapa final'!#REF!),"")</f>
        <v>#REF!</v>
      </c>
      <c r="S37" s="54" t="e">
        <f>IF(AND('Mapa final'!#REF!="Baja",'Mapa final'!#REF!="Menor"),CONCATENATE("R2C",'Mapa final'!#REF!),"")</f>
        <v>#REF!</v>
      </c>
      <c r="T37" s="54" t="e">
        <f>IF(AND('Mapa final'!#REF!="Baja",'Mapa final'!#REF!="Menor"),CONCATENATE("R2C",'Mapa final'!#REF!),"")</f>
        <v>#REF!</v>
      </c>
      <c r="U37" s="55" t="e">
        <f>IF(AND('Mapa final'!#REF!="Baja",'Mapa final'!#REF!="Menor"),CONCATENATE("R2C",'Mapa final'!#REF!),"")</f>
        <v>#REF!</v>
      </c>
      <c r="V37" s="53" t="e">
        <f>IF(AND('Mapa final'!#REF!="Baja",'Mapa final'!#REF!="Moderado"),CONCATENATE("R2C",'Mapa final'!#REF!),"")</f>
        <v>#REF!</v>
      </c>
      <c r="W37" s="54" t="e">
        <f>IF(AND('Mapa final'!#REF!="Baja",'Mapa final'!#REF!="Moderado"),CONCATENATE("R2C",'Mapa final'!#REF!),"")</f>
        <v>#REF!</v>
      </c>
      <c r="X37" s="54" t="e">
        <f>IF(AND('Mapa final'!#REF!="Baja",'Mapa final'!#REF!="Moderado"),CONCATENATE("R2C",'Mapa final'!#REF!),"")</f>
        <v>#REF!</v>
      </c>
      <c r="Y37" s="54" t="e">
        <f>IF(AND('Mapa final'!#REF!="Baja",'Mapa final'!#REF!="Moderado"),CONCATENATE("R2C",'Mapa final'!#REF!),"")</f>
        <v>#REF!</v>
      </c>
      <c r="Z37" s="54" t="e">
        <f>IF(AND('Mapa final'!#REF!="Baja",'Mapa final'!#REF!="Moderado"),CONCATENATE("R2C",'Mapa final'!#REF!),"")</f>
        <v>#REF!</v>
      </c>
      <c r="AA37" s="55" t="e">
        <f>IF(AND('Mapa final'!#REF!="Baja",'Mapa final'!#REF!="Moderado"),CONCATENATE("R2C",'Mapa final'!#REF!),"")</f>
        <v>#REF!</v>
      </c>
      <c r="AB37" s="38" t="e">
        <f>IF(AND('Mapa final'!#REF!="Baja",'Mapa final'!#REF!="Mayor"),CONCATENATE("R2C",'Mapa final'!#REF!),"")</f>
        <v>#REF!</v>
      </c>
      <c r="AC37" s="39" t="e">
        <f>IF(AND('Mapa final'!#REF!="Baja",'Mapa final'!#REF!="Mayor"),CONCATENATE("R2C",'Mapa final'!#REF!),"")</f>
        <v>#REF!</v>
      </c>
      <c r="AD37" s="39" t="e">
        <f>IF(AND('Mapa final'!#REF!="Baja",'Mapa final'!#REF!="Mayor"),CONCATENATE("R2C",'Mapa final'!#REF!),"")</f>
        <v>#REF!</v>
      </c>
      <c r="AE37" s="39" t="e">
        <f>IF(AND('Mapa final'!#REF!="Baja",'Mapa final'!#REF!="Mayor"),CONCATENATE("R2C",'Mapa final'!#REF!),"")</f>
        <v>#REF!</v>
      </c>
      <c r="AF37" s="39" t="e">
        <f>IF(AND('Mapa final'!#REF!="Baja",'Mapa final'!#REF!="Mayor"),CONCATENATE("R2C",'Mapa final'!#REF!),"")</f>
        <v>#REF!</v>
      </c>
      <c r="AG37" s="40" t="e">
        <f>IF(AND('Mapa final'!#REF!="Baja",'Mapa final'!#REF!="Mayor"),CONCATENATE("R2C",'Mapa final'!#REF!),"")</f>
        <v>#REF!</v>
      </c>
      <c r="AH37" s="41" t="e">
        <f>IF(AND('Mapa final'!#REF!="Baja",'Mapa final'!#REF!="Catastrófico"),CONCATENATE("R2C",'Mapa final'!#REF!),"")</f>
        <v>#REF!</v>
      </c>
      <c r="AI37" s="42" t="e">
        <f>IF(AND('Mapa final'!#REF!="Baja",'Mapa final'!#REF!="Catastrófico"),CONCATENATE("R2C",'Mapa final'!#REF!),"")</f>
        <v>#REF!</v>
      </c>
      <c r="AJ37" s="42" t="e">
        <f>IF(AND('Mapa final'!#REF!="Baja",'Mapa final'!#REF!="Catastrófico"),CONCATENATE("R2C",'Mapa final'!#REF!),"")</f>
        <v>#REF!</v>
      </c>
      <c r="AK37" s="42" t="e">
        <f>IF(AND('Mapa final'!#REF!="Baja",'Mapa final'!#REF!="Catastrófico"),CONCATENATE("R2C",'Mapa final'!#REF!),"")</f>
        <v>#REF!</v>
      </c>
      <c r="AL37" s="42" t="e">
        <f>IF(AND('Mapa final'!#REF!="Baja",'Mapa final'!#REF!="Catastrófico"),CONCATENATE("R2C",'Mapa final'!#REF!),"")</f>
        <v>#REF!</v>
      </c>
      <c r="AM37" s="43" t="e">
        <f>IF(AND('Mapa final'!#REF!="Baja",'Mapa final'!#REF!="Catastrófico"),CONCATENATE("R2C",'Mapa final'!#REF!),"")</f>
        <v>#REF!</v>
      </c>
      <c r="AN37" s="69"/>
      <c r="AO37" s="386"/>
      <c r="AP37" s="387"/>
      <c r="AQ37" s="387"/>
      <c r="AR37" s="387"/>
      <c r="AS37" s="387"/>
      <c r="AT37" s="388"/>
      <c r="AU37" s="69"/>
      <c r="AV37" s="69"/>
      <c r="AW37" s="69"/>
      <c r="AX37" s="69"/>
      <c r="AY37" s="69"/>
      <c r="AZ37" s="69"/>
      <c r="BA37" s="69"/>
      <c r="BB37" s="69"/>
      <c r="BC37" s="69"/>
      <c r="BD37" s="69"/>
      <c r="BE37" s="69"/>
      <c r="BF37" s="69"/>
      <c r="BG37" s="69"/>
      <c r="BH37" s="69"/>
      <c r="BI37" s="69"/>
      <c r="BJ37" s="69"/>
      <c r="BK37" s="69"/>
      <c r="BL37" s="69"/>
      <c r="BM37" s="69"/>
      <c r="BN37" s="69"/>
      <c r="BO37" s="69"/>
      <c r="BP37" s="69"/>
      <c r="BQ37" s="69"/>
      <c r="BR37" s="69"/>
      <c r="BS37" s="69"/>
      <c r="BT37" s="69"/>
      <c r="BU37" s="69"/>
      <c r="BV37" s="69"/>
      <c r="BW37" s="69"/>
      <c r="BX37" s="69"/>
    </row>
    <row r="38" spans="1:80" ht="15" customHeight="1" x14ac:dyDescent="0.25">
      <c r="A38" s="69"/>
      <c r="B38" s="267"/>
      <c r="C38" s="267"/>
      <c r="D38" s="268"/>
      <c r="E38" s="366"/>
      <c r="F38" s="365"/>
      <c r="G38" s="365"/>
      <c r="H38" s="365"/>
      <c r="I38" s="365"/>
      <c r="J38" s="62" t="e">
        <f>IF(AND('Mapa final'!#REF!="Baja",'Mapa final'!#REF!="Leve"),CONCATENATE("R3C",'Mapa final'!#REF!),"")</f>
        <v>#REF!</v>
      </c>
      <c r="K38" s="63" t="e">
        <f>IF(AND('Mapa final'!#REF!="Baja",'Mapa final'!#REF!="Leve"),CONCATENATE("R3C",'Mapa final'!#REF!),"")</f>
        <v>#REF!</v>
      </c>
      <c r="L38" s="63" t="e">
        <f>IF(AND('Mapa final'!#REF!="Baja",'Mapa final'!#REF!="Leve"),CONCATENATE("R3C",'Mapa final'!#REF!),"")</f>
        <v>#REF!</v>
      </c>
      <c r="M38" s="63" t="e">
        <f>IF(AND('Mapa final'!#REF!="Baja",'Mapa final'!#REF!="Leve"),CONCATENATE("R3C",'Mapa final'!#REF!),"")</f>
        <v>#REF!</v>
      </c>
      <c r="N38" s="63" t="e">
        <f>IF(AND('Mapa final'!#REF!="Baja",'Mapa final'!#REF!="Leve"),CONCATENATE("R3C",'Mapa final'!#REF!),"")</f>
        <v>#REF!</v>
      </c>
      <c r="O38" s="64" t="e">
        <f>IF(AND('Mapa final'!#REF!="Baja",'Mapa final'!#REF!="Leve"),CONCATENATE("R3C",'Mapa final'!#REF!),"")</f>
        <v>#REF!</v>
      </c>
      <c r="P38" s="53" t="e">
        <f>IF(AND('Mapa final'!#REF!="Baja",'Mapa final'!#REF!="Menor"),CONCATENATE("R3C",'Mapa final'!#REF!),"")</f>
        <v>#REF!</v>
      </c>
      <c r="Q38" s="54" t="e">
        <f>IF(AND('Mapa final'!#REF!="Baja",'Mapa final'!#REF!="Menor"),CONCATENATE("R3C",'Mapa final'!#REF!),"")</f>
        <v>#REF!</v>
      </c>
      <c r="R38" s="54" t="e">
        <f>IF(AND('Mapa final'!#REF!="Baja",'Mapa final'!#REF!="Menor"),CONCATENATE("R3C",'Mapa final'!#REF!),"")</f>
        <v>#REF!</v>
      </c>
      <c r="S38" s="54" t="e">
        <f>IF(AND('Mapa final'!#REF!="Baja",'Mapa final'!#REF!="Menor"),CONCATENATE("R3C",'Mapa final'!#REF!),"")</f>
        <v>#REF!</v>
      </c>
      <c r="T38" s="54" t="e">
        <f>IF(AND('Mapa final'!#REF!="Baja",'Mapa final'!#REF!="Menor"),CONCATENATE("R3C",'Mapa final'!#REF!),"")</f>
        <v>#REF!</v>
      </c>
      <c r="U38" s="55" t="e">
        <f>IF(AND('Mapa final'!#REF!="Baja",'Mapa final'!#REF!="Menor"),CONCATENATE("R3C",'Mapa final'!#REF!),"")</f>
        <v>#REF!</v>
      </c>
      <c r="V38" s="53" t="e">
        <f>IF(AND('Mapa final'!#REF!="Baja",'Mapa final'!#REF!="Moderado"),CONCATENATE("R3C",'Mapa final'!#REF!),"")</f>
        <v>#REF!</v>
      </c>
      <c r="W38" s="54" t="e">
        <f>IF(AND('Mapa final'!#REF!="Baja",'Mapa final'!#REF!="Moderado"),CONCATENATE("R3C",'Mapa final'!#REF!),"")</f>
        <v>#REF!</v>
      </c>
      <c r="X38" s="54" t="e">
        <f>IF(AND('Mapa final'!#REF!="Baja",'Mapa final'!#REF!="Moderado"),CONCATENATE("R3C",'Mapa final'!#REF!),"")</f>
        <v>#REF!</v>
      </c>
      <c r="Y38" s="54" t="e">
        <f>IF(AND('Mapa final'!#REF!="Baja",'Mapa final'!#REF!="Moderado"),CONCATENATE("R3C",'Mapa final'!#REF!),"")</f>
        <v>#REF!</v>
      </c>
      <c r="Z38" s="54" t="e">
        <f>IF(AND('Mapa final'!#REF!="Baja",'Mapa final'!#REF!="Moderado"),CONCATENATE("R3C",'Mapa final'!#REF!),"")</f>
        <v>#REF!</v>
      </c>
      <c r="AA38" s="55" t="e">
        <f>IF(AND('Mapa final'!#REF!="Baja",'Mapa final'!#REF!="Moderado"),CONCATENATE("R3C",'Mapa final'!#REF!),"")</f>
        <v>#REF!</v>
      </c>
      <c r="AB38" s="38" t="e">
        <f>IF(AND('Mapa final'!#REF!="Baja",'Mapa final'!#REF!="Mayor"),CONCATENATE("R3C",'Mapa final'!#REF!),"")</f>
        <v>#REF!</v>
      </c>
      <c r="AC38" s="39" t="e">
        <f>IF(AND('Mapa final'!#REF!="Baja",'Mapa final'!#REF!="Mayor"),CONCATENATE("R3C",'Mapa final'!#REF!),"")</f>
        <v>#REF!</v>
      </c>
      <c r="AD38" s="39" t="e">
        <f>IF(AND('Mapa final'!#REF!="Baja",'Mapa final'!#REF!="Mayor"),CONCATENATE("R3C",'Mapa final'!#REF!),"")</f>
        <v>#REF!</v>
      </c>
      <c r="AE38" s="39" t="e">
        <f>IF(AND('Mapa final'!#REF!="Baja",'Mapa final'!#REF!="Mayor"),CONCATENATE("R3C",'Mapa final'!#REF!),"")</f>
        <v>#REF!</v>
      </c>
      <c r="AF38" s="39" t="e">
        <f>IF(AND('Mapa final'!#REF!="Baja",'Mapa final'!#REF!="Mayor"),CONCATENATE("R3C",'Mapa final'!#REF!),"")</f>
        <v>#REF!</v>
      </c>
      <c r="AG38" s="40" t="e">
        <f>IF(AND('Mapa final'!#REF!="Baja",'Mapa final'!#REF!="Mayor"),CONCATENATE("R3C",'Mapa final'!#REF!),"")</f>
        <v>#REF!</v>
      </c>
      <c r="AH38" s="41" t="e">
        <f>IF(AND('Mapa final'!#REF!="Baja",'Mapa final'!#REF!="Catastrófico"),CONCATENATE("R3C",'Mapa final'!#REF!),"")</f>
        <v>#REF!</v>
      </c>
      <c r="AI38" s="42" t="e">
        <f>IF(AND('Mapa final'!#REF!="Baja",'Mapa final'!#REF!="Catastrófico"),CONCATENATE("R3C",'Mapa final'!#REF!),"")</f>
        <v>#REF!</v>
      </c>
      <c r="AJ38" s="42" t="e">
        <f>IF(AND('Mapa final'!#REF!="Baja",'Mapa final'!#REF!="Catastrófico"),CONCATENATE("R3C",'Mapa final'!#REF!),"")</f>
        <v>#REF!</v>
      </c>
      <c r="AK38" s="42" t="e">
        <f>IF(AND('Mapa final'!#REF!="Baja",'Mapa final'!#REF!="Catastrófico"),CONCATENATE("R3C",'Mapa final'!#REF!),"")</f>
        <v>#REF!</v>
      </c>
      <c r="AL38" s="42" t="e">
        <f>IF(AND('Mapa final'!#REF!="Baja",'Mapa final'!#REF!="Catastrófico"),CONCATENATE("R3C",'Mapa final'!#REF!),"")</f>
        <v>#REF!</v>
      </c>
      <c r="AM38" s="43" t="e">
        <f>IF(AND('Mapa final'!#REF!="Baja",'Mapa final'!#REF!="Catastrófico"),CONCATENATE("R3C",'Mapa final'!#REF!),"")</f>
        <v>#REF!</v>
      </c>
      <c r="AN38" s="69"/>
      <c r="AO38" s="386"/>
      <c r="AP38" s="387"/>
      <c r="AQ38" s="387"/>
      <c r="AR38" s="387"/>
      <c r="AS38" s="387"/>
      <c r="AT38" s="388"/>
      <c r="AU38" s="69"/>
      <c r="AV38" s="69"/>
      <c r="AW38" s="69"/>
      <c r="AX38" s="69"/>
      <c r="AY38" s="69"/>
      <c r="AZ38" s="69"/>
      <c r="BA38" s="69"/>
      <c r="BB38" s="69"/>
      <c r="BC38" s="69"/>
      <c r="BD38" s="69"/>
      <c r="BE38" s="69"/>
      <c r="BF38" s="69"/>
      <c r="BG38" s="69"/>
      <c r="BH38" s="69"/>
      <c r="BI38" s="69"/>
      <c r="BJ38" s="69"/>
      <c r="BK38" s="69"/>
      <c r="BL38" s="69"/>
      <c r="BM38" s="69"/>
      <c r="BN38" s="69"/>
      <c r="BO38" s="69"/>
      <c r="BP38" s="69"/>
      <c r="BQ38" s="69"/>
      <c r="BR38" s="69"/>
      <c r="BS38" s="69"/>
      <c r="BT38" s="69"/>
      <c r="BU38" s="69"/>
      <c r="BV38" s="69"/>
      <c r="BW38" s="69"/>
      <c r="BX38" s="69"/>
    </row>
    <row r="39" spans="1:80" ht="15" customHeight="1" x14ac:dyDescent="0.25">
      <c r="A39" s="69"/>
      <c r="B39" s="267"/>
      <c r="C39" s="267"/>
      <c r="D39" s="268"/>
      <c r="E39" s="366"/>
      <c r="F39" s="365"/>
      <c r="G39" s="365"/>
      <c r="H39" s="365"/>
      <c r="I39" s="365"/>
      <c r="J39" s="62" t="str">
        <f>IF(AND('Mapa final'!$Y$13="Baja",'Mapa final'!$AA$13="Leve"),CONCATENATE("R4C",'Mapa final'!$O$13),"")</f>
        <v/>
      </c>
      <c r="K39" s="63" t="str">
        <f>IF(AND('Mapa final'!$Y$14="Baja",'Mapa final'!$AA$14="Leve"),CONCATENATE("R4C",'Mapa final'!$O$14),"")</f>
        <v/>
      </c>
      <c r="L39" s="63" t="str">
        <f>IF(AND('Mapa final'!$Y$15="Baja",'Mapa final'!$AA$15="Leve"),CONCATENATE("R4C",'Mapa final'!$O$15),"")</f>
        <v/>
      </c>
      <c r="M39" s="63" t="str">
        <f>IF(AND('Mapa final'!$Y$16="Baja",'Mapa final'!$AA$16="Leve"),CONCATENATE("R4C",'Mapa final'!$O$16),"")</f>
        <v/>
      </c>
      <c r="N39" s="63" t="e">
        <f>IF(AND('Mapa final'!#REF!="Baja",'Mapa final'!#REF!="Leve"),CONCATENATE("R4C",'Mapa final'!#REF!),"")</f>
        <v>#REF!</v>
      </c>
      <c r="O39" s="64" t="e">
        <f>IF(AND('Mapa final'!#REF!="Baja",'Mapa final'!#REF!="Leve"),CONCATENATE("R4C",'Mapa final'!#REF!),"")</f>
        <v>#REF!</v>
      </c>
      <c r="P39" s="53" t="str">
        <f>IF(AND('Mapa final'!$Y$13="Baja",'Mapa final'!$AA$13="Menor"),CONCATENATE("R4C",'Mapa final'!$O$13),"")</f>
        <v/>
      </c>
      <c r="Q39" s="54" t="str">
        <f>IF(AND('Mapa final'!$Y$14="Baja",'Mapa final'!$AA$14="Menor"),CONCATENATE("R4C",'Mapa final'!$O$14),"")</f>
        <v/>
      </c>
      <c r="R39" s="54" t="str">
        <f>IF(AND('Mapa final'!$Y$15="Baja",'Mapa final'!$AA$15="Menor"),CONCATENATE("R4C",'Mapa final'!$O$15),"")</f>
        <v/>
      </c>
      <c r="S39" s="54" t="str">
        <f>IF(AND('Mapa final'!$Y$16="Baja",'Mapa final'!$AA$16="Menor"),CONCATENATE("R4C",'Mapa final'!$O$16),"")</f>
        <v/>
      </c>
      <c r="T39" s="54" t="e">
        <f>IF(AND('Mapa final'!#REF!="Baja",'Mapa final'!#REF!="Menor"),CONCATENATE("R4C",'Mapa final'!#REF!),"")</f>
        <v>#REF!</v>
      </c>
      <c r="U39" s="55" t="e">
        <f>IF(AND('Mapa final'!#REF!="Baja",'Mapa final'!#REF!="Menor"),CONCATENATE("R4C",'Mapa final'!#REF!),"")</f>
        <v>#REF!</v>
      </c>
      <c r="V39" s="53" t="str">
        <f>IF(AND('Mapa final'!$Y$13="Baja",'Mapa final'!$AA$13="Moderado"),CONCATENATE("R4C",'Mapa final'!$O$13),"")</f>
        <v/>
      </c>
      <c r="W39" s="54" t="str">
        <f>IF(AND('Mapa final'!$Y$14="Baja",'Mapa final'!$AA$14="Moderado"),CONCATENATE("R4C",'Mapa final'!$O$14),"")</f>
        <v/>
      </c>
      <c r="X39" s="54" t="str">
        <f>IF(AND('Mapa final'!$Y$15="Baja",'Mapa final'!$AA$15="Moderado"),CONCATENATE("R4C",'Mapa final'!$O$15),"")</f>
        <v/>
      </c>
      <c r="Y39" s="54" t="str">
        <f>IF(AND('Mapa final'!$Y$16="Baja",'Mapa final'!$AA$16="Moderado"),CONCATENATE("R4C",'Mapa final'!$O$16),"")</f>
        <v/>
      </c>
      <c r="Z39" s="54" t="e">
        <f>IF(AND('Mapa final'!#REF!="Baja",'Mapa final'!#REF!="Moderado"),CONCATENATE("R4C",'Mapa final'!#REF!),"")</f>
        <v>#REF!</v>
      </c>
      <c r="AA39" s="55" t="e">
        <f>IF(AND('Mapa final'!#REF!="Baja",'Mapa final'!#REF!="Moderado"),CONCATENATE("R4C",'Mapa final'!#REF!),"")</f>
        <v>#REF!</v>
      </c>
      <c r="AB39" s="38" t="str">
        <f>IF(AND('Mapa final'!$Y$13="Baja",'Mapa final'!$AA$13="Mayor"),CONCATENATE("R4C",'Mapa final'!$O$13),"")</f>
        <v>R4C1</v>
      </c>
      <c r="AC39" s="39" t="str">
        <f>IF(AND('Mapa final'!$Y$14="Baja",'Mapa final'!$AA$14="Mayor"),CONCATENATE("R4C",'Mapa final'!$O$14),"")</f>
        <v/>
      </c>
      <c r="AD39" s="39" t="str">
        <f>IF(AND('Mapa final'!$Y$15="Baja",'Mapa final'!$AA$15="Mayor"),CONCATENATE("R4C",'Mapa final'!$O$15),"")</f>
        <v/>
      </c>
      <c r="AE39" s="39" t="str">
        <f>IF(AND('Mapa final'!$Y$16="Baja",'Mapa final'!$AA$16="Mayor"),CONCATENATE("R4C",'Mapa final'!$O$16),"")</f>
        <v/>
      </c>
      <c r="AF39" s="39" t="e">
        <f>IF(AND('Mapa final'!#REF!="Baja",'Mapa final'!#REF!="Mayor"),CONCATENATE("R4C",'Mapa final'!#REF!),"")</f>
        <v>#REF!</v>
      </c>
      <c r="AG39" s="40" t="e">
        <f>IF(AND('Mapa final'!#REF!="Baja",'Mapa final'!#REF!="Mayor"),CONCATENATE("R4C",'Mapa final'!#REF!),"")</f>
        <v>#REF!</v>
      </c>
      <c r="AH39" s="41" t="str">
        <f>IF(AND('Mapa final'!$Y$13="Baja",'Mapa final'!$AA$13="Catastrófico"),CONCATENATE("R4C",'Mapa final'!$O$13),"")</f>
        <v/>
      </c>
      <c r="AI39" s="42" t="str">
        <f>IF(AND('Mapa final'!$Y$14="Baja",'Mapa final'!$AA$14="Catastrófico"),CONCATENATE("R4C",'Mapa final'!$O$14),"")</f>
        <v/>
      </c>
      <c r="AJ39" s="42" t="str">
        <f>IF(AND('Mapa final'!$Y$15="Baja",'Mapa final'!$AA$15="Catastrófico"),CONCATENATE("R4C",'Mapa final'!$O$15),"")</f>
        <v/>
      </c>
      <c r="AK39" s="42" t="str">
        <f>IF(AND('Mapa final'!$Y$16="Baja",'Mapa final'!$AA$16="Catastrófico"),CONCATENATE("R4C",'Mapa final'!$O$16),"")</f>
        <v/>
      </c>
      <c r="AL39" s="42" t="e">
        <f>IF(AND('Mapa final'!#REF!="Baja",'Mapa final'!#REF!="Catastrófico"),CONCATENATE("R4C",'Mapa final'!#REF!),"")</f>
        <v>#REF!</v>
      </c>
      <c r="AM39" s="43" t="e">
        <f>IF(AND('Mapa final'!#REF!="Baja",'Mapa final'!#REF!="Catastrófico"),CONCATENATE("R4C",'Mapa final'!#REF!),"")</f>
        <v>#REF!</v>
      </c>
      <c r="AN39" s="69"/>
      <c r="AO39" s="386"/>
      <c r="AP39" s="387"/>
      <c r="AQ39" s="387"/>
      <c r="AR39" s="387"/>
      <c r="AS39" s="387"/>
      <c r="AT39" s="388"/>
      <c r="AU39" s="69"/>
      <c r="AV39" s="69"/>
      <c r="AW39" s="69"/>
      <c r="AX39" s="69"/>
      <c r="AY39" s="69"/>
      <c r="AZ39" s="69"/>
      <c r="BA39" s="69"/>
      <c r="BB39" s="69"/>
      <c r="BC39" s="69"/>
      <c r="BD39" s="69"/>
      <c r="BE39" s="69"/>
      <c r="BF39" s="69"/>
      <c r="BG39" s="69"/>
      <c r="BH39" s="69"/>
      <c r="BI39" s="69"/>
      <c r="BJ39" s="69"/>
      <c r="BK39" s="69"/>
      <c r="BL39" s="69"/>
      <c r="BM39" s="69"/>
      <c r="BN39" s="69"/>
      <c r="BO39" s="69"/>
      <c r="BP39" s="69"/>
      <c r="BQ39" s="69"/>
      <c r="BR39" s="69"/>
      <c r="BS39" s="69"/>
      <c r="BT39" s="69"/>
      <c r="BU39" s="69"/>
      <c r="BV39" s="69"/>
      <c r="BW39" s="69"/>
      <c r="BX39" s="69"/>
    </row>
    <row r="40" spans="1:80" ht="15" customHeight="1" x14ac:dyDescent="0.25">
      <c r="A40" s="69"/>
      <c r="B40" s="267"/>
      <c r="C40" s="267"/>
      <c r="D40" s="268"/>
      <c r="E40" s="366"/>
      <c r="F40" s="365"/>
      <c r="G40" s="365"/>
      <c r="H40" s="365"/>
      <c r="I40" s="365"/>
      <c r="J40" s="62" t="str">
        <f>IF(AND('Mapa final'!$Y$17="Baja",'Mapa final'!$AA$17="Leve"),CONCATENATE("R5C",'Mapa final'!$O$17),"")</f>
        <v/>
      </c>
      <c r="K40" s="63" t="str">
        <f>IF(AND('Mapa final'!$Y$18="Baja",'Mapa final'!$AA$18="Leve"),CONCATENATE("R5C",'Mapa final'!$O$18),"")</f>
        <v/>
      </c>
      <c r="L40" s="63" t="str">
        <f>IF(AND('Mapa final'!$Y$19="Baja",'Mapa final'!$AA$19="Leve"),CONCATENATE("R5C",'Mapa final'!$O$19),"")</f>
        <v/>
      </c>
      <c r="M40" s="63" t="str">
        <f>IF(AND('Mapa final'!$Y$20="Baja",'Mapa final'!$AA$20="Leve"),CONCATENATE("R5C",'Mapa final'!$O$20),"")</f>
        <v/>
      </c>
      <c r="N40" s="63" t="str">
        <f>IF(AND('Mapa final'!$Y$21="Baja",'Mapa final'!$AA$21="Leve"),CONCATENATE("R5C",'Mapa final'!$O$21),"")</f>
        <v/>
      </c>
      <c r="O40" s="64" t="str">
        <f>IF(AND('Mapa final'!$Y$22="Baja",'Mapa final'!$AA$22="Leve"),CONCATENATE("R5C",'Mapa final'!$O$22),"")</f>
        <v/>
      </c>
      <c r="P40" s="53" t="str">
        <f>IF(AND('Mapa final'!$Y$17="Baja",'Mapa final'!$AA$17="Menor"),CONCATENATE("R5C",'Mapa final'!$O$17),"")</f>
        <v/>
      </c>
      <c r="Q40" s="54" t="str">
        <f>IF(AND('Mapa final'!$Y$18="Baja",'Mapa final'!$AA$18="Menor"),CONCATENATE("R5C",'Mapa final'!$O$18),"")</f>
        <v/>
      </c>
      <c r="R40" s="54" t="str">
        <f>IF(AND('Mapa final'!$Y$19="Baja",'Mapa final'!$AA$19="Menor"),CONCATENATE("R5C",'Mapa final'!$O$19),"")</f>
        <v/>
      </c>
      <c r="S40" s="54" t="str">
        <f>IF(AND('Mapa final'!$Y$20="Baja",'Mapa final'!$AA$20="Menor"),CONCATENATE("R5C",'Mapa final'!$O$20),"")</f>
        <v/>
      </c>
      <c r="T40" s="54" t="str">
        <f>IF(AND('Mapa final'!$Y$21="Baja",'Mapa final'!$AA$21="Menor"),CONCATENATE("R5C",'Mapa final'!$O$21),"")</f>
        <v/>
      </c>
      <c r="U40" s="55" t="str">
        <f>IF(AND('Mapa final'!$Y$22="Baja",'Mapa final'!$AA$22="Menor"),CONCATENATE("R5C",'Mapa final'!$O$22),"")</f>
        <v/>
      </c>
      <c r="V40" s="53" t="str">
        <f>IF(AND('Mapa final'!$Y$17="Baja",'Mapa final'!$AA$17="Moderado"),CONCATENATE("R5C",'Mapa final'!$O$17),"")</f>
        <v>R5C1</v>
      </c>
      <c r="W40" s="54" t="str">
        <f>IF(AND('Mapa final'!$Y$18="Baja",'Mapa final'!$AA$18="Moderado"),CONCATENATE("R5C",'Mapa final'!$O$18),"")</f>
        <v/>
      </c>
      <c r="X40" s="54" t="str">
        <f>IF(AND('Mapa final'!$Y$19="Baja",'Mapa final'!$AA$19="Moderado"),CONCATENATE("R5C",'Mapa final'!$O$19),"")</f>
        <v/>
      </c>
      <c r="Y40" s="54" t="str">
        <f>IF(AND('Mapa final'!$Y$20="Baja",'Mapa final'!$AA$20="Moderado"),CONCATENATE("R5C",'Mapa final'!$O$20),"")</f>
        <v/>
      </c>
      <c r="Z40" s="54" t="str">
        <f>IF(AND('Mapa final'!$Y$21="Baja",'Mapa final'!$AA$21="Moderado"),CONCATENATE("R5C",'Mapa final'!$O$21),"")</f>
        <v/>
      </c>
      <c r="AA40" s="55" t="str">
        <f>IF(AND('Mapa final'!$Y$22="Baja",'Mapa final'!$AA$22="Moderado"),CONCATENATE("R5C",'Mapa final'!$O$22),"")</f>
        <v/>
      </c>
      <c r="AB40" s="38" t="str">
        <f>IF(AND('Mapa final'!$Y$17="Baja",'Mapa final'!$AA$17="Mayor"),CONCATENATE("R5C",'Mapa final'!$O$17),"")</f>
        <v/>
      </c>
      <c r="AC40" s="39" t="str">
        <f>IF(AND('Mapa final'!$Y$18="Baja",'Mapa final'!$AA$18="Mayor"),CONCATENATE("R5C",'Mapa final'!$O$18),"")</f>
        <v/>
      </c>
      <c r="AD40" s="39" t="str">
        <f>IF(AND('Mapa final'!$Y$19="Baja",'Mapa final'!$AA$19="Mayor"),CONCATENATE("R5C",'Mapa final'!$O$19),"")</f>
        <v/>
      </c>
      <c r="AE40" s="39" t="str">
        <f>IF(AND('Mapa final'!$Y$20="Baja",'Mapa final'!$AA$20="Mayor"),CONCATENATE("R5C",'Mapa final'!$O$20),"")</f>
        <v/>
      </c>
      <c r="AF40" s="39" t="str">
        <f>IF(AND('Mapa final'!$Y$21="Baja",'Mapa final'!$AA$21="Mayor"),CONCATENATE("R5C",'Mapa final'!$O$21),"")</f>
        <v/>
      </c>
      <c r="AG40" s="40" t="str">
        <f>IF(AND('Mapa final'!$Y$22="Baja",'Mapa final'!$AA$22="Mayor"),CONCATENATE("R5C",'Mapa final'!$O$22),"")</f>
        <v/>
      </c>
      <c r="AH40" s="41" t="str">
        <f>IF(AND('Mapa final'!$Y$17="Baja",'Mapa final'!$AA$17="Catastrófico"),CONCATENATE("R5C",'Mapa final'!$O$17),"")</f>
        <v/>
      </c>
      <c r="AI40" s="42" t="str">
        <f>IF(AND('Mapa final'!$Y$18="Baja",'Mapa final'!$AA$18="Catastrófico"),CONCATENATE("R5C",'Mapa final'!$O$18),"")</f>
        <v/>
      </c>
      <c r="AJ40" s="42" t="str">
        <f>IF(AND('Mapa final'!$Y$19="Baja",'Mapa final'!$AA$19="Catastrófico"),CONCATENATE("R5C",'Mapa final'!$O$19),"")</f>
        <v/>
      </c>
      <c r="AK40" s="42" t="str">
        <f>IF(AND('Mapa final'!$Y$20="Baja",'Mapa final'!$AA$20="Catastrófico"),CONCATENATE("R5C",'Mapa final'!$O$20),"")</f>
        <v/>
      </c>
      <c r="AL40" s="42" t="str">
        <f>IF(AND('Mapa final'!$Y$21="Baja",'Mapa final'!$AA$21="Catastrófico"),CONCATENATE("R5C",'Mapa final'!$O$21),"")</f>
        <v/>
      </c>
      <c r="AM40" s="43" t="str">
        <f>IF(AND('Mapa final'!$Y$22="Baja",'Mapa final'!$AA$22="Catastrófico"),CONCATENATE("R5C",'Mapa final'!$O$22),"")</f>
        <v/>
      </c>
      <c r="AN40" s="69"/>
      <c r="AO40" s="386"/>
      <c r="AP40" s="387"/>
      <c r="AQ40" s="387"/>
      <c r="AR40" s="387"/>
      <c r="AS40" s="387"/>
      <c r="AT40" s="388"/>
      <c r="AU40" s="69"/>
      <c r="AV40" s="69"/>
      <c r="AW40" s="69"/>
      <c r="AX40" s="69"/>
      <c r="AY40" s="69"/>
      <c r="AZ40" s="69"/>
      <c r="BA40" s="69"/>
      <c r="BB40" s="69"/>
      <c r="BC40" s="69"/>
      <c r="BD40" s="69"/>
      <c r="BE40" s="69"/>
      <c r="BF40" s="69"/>
      <c r="BG40" s="69"/>
      <c r="BH40" s="69"/>
      <c r="BI40" s="69"/>
      <c r="BJ40" s="69"/>
      <c r="BK40" s="69"/>
      <c r="BL40" s="69"/>
      <c r="BM40" s="69"/>
      <c r="BN40" s="69"/>
      <c r="BO40" s="69"/>
      <c r="BP40" s="69"/>
      <c r="BQ40" s="69"/>
      <c r="BR40" s="69"/>
      <c r="BS40" s="69"/>
      <c r="BT40" s="69"/>
      <c r="BU40" s="69"/>
      <c r="BV40" s="69"/>
      <c r="BW40" s="69"/>
      <c r="BX40" s="69"/>
    </row>
    <row r="41" spans="1:80" ht="15" customHeight="1" x14ac:dyDescent="0.25">
      <c r="A41" s="69"/>
      <c r="B41" s="267"/>
      <c r="C41" s="267"/>
      <c r="D41" s="268"/>
      <c r="E41" s="366"/>
      <c r="F41" s="365"/>
      <c r="G41" s="365"/>
      <c r="H41" s="365"/>
      <c r="I41" s="365"/>
      <c r="J41" s="62" t="e">
        <f>IF(AND('Mapa final'!#REF!="Baja",'Mapa final'!#REF!="Leve"),CONCATENATE("R6C",'Mapa final'!#REF!),"")</f>
        <v>#REF!</v>
      </c>
      <c r="K41" s="63" t="e">
        <f>IF(AND('Mapa final'!#REF!="Baja",'Mapa final'!#REF!="Leve"),CONCATENATE("R6C",'Mapa final'!#REF!),"")</f>
        <v>#REF!</v>
      </c>
      <c r="L41" s="63" t="e">
        <f>IF(AND('Mapa final'!#REF!="Baja",'Mapa final'!#REF!="Leve"),CONCATENATE("R6C",'Mapa final'!#REF!),"")</f>
        <v>#REF!</v>
      </c>
      <c r="M41" s="63" t="e">
        <f>IF(AND('Mapa final'!#REF!="Baja",'Mapa final'!#REF!="Leve"),CONCATENATE("R6C",'Mapa final'!#REF!),"")</f>
        <v>#REF!</v>
      </c>
      <c r="N41" s="63" t="e">
        <f>IF(AND('Mapa final'!#REF!="Baja",'Mapa final'!#REF!="Leve"),CONCATENATE("R6C",'Mapa final'!#REF!),"")</f>
        <v>#REF!</v>
      </c>
      <c r="O41" s="64" t="e">
        <f>IF(AND('Mapa final'!#REF!="Baja",'Mapa final'!#REF!="Leve"),CONCATENATE("R6C",'Mapa final'!#REF!),"")</f>
        <v>#REF!</v>
      </c>
      <c r="P41" s="53" t="e">
        <f>IF(AND('Mapa final'!#REF!="Baja",'Mapa final'!#REF!="Menor"),CONCATENATE("R6C",'Mapa final'!#REF!),"")</f>
        <v>#REF!</v>
      </c>
      <c r="Q41" s="54" t="e">
        <f>IF(AND('Mapa final'!#REF!="Baja",'Mapa final'!#REF!="Menor"),CONCATENATE("R6C",'Mapa final'!#REF!),"")</f>
        <v>#REF!</v>
      </c>
      <c r="R41" s="54" t="e">
        <f>IF(AND('Mapa final'!#REF!="Baja",'Mapa final'!#REF!="Menor"),CONCATENATE("R6C",'Mapa final'!#REF!),"")</f>
        <v>#REF!</v>
      </c>
      <c r="S41" s="54" t="e">
        <f>IF(AND('Mapa final'!#REF!="Baja",'Mapa final'!#REF!="Menor"),CONCATENATE("R6C",'Mapa final'!#REF!),"")</f>
        <v>#REF!</v>
      </c>
      <c r="T41" s="54" t="e">
        <f>IF(AND('Mapa final'!#REF!="Baja",'Mapa final'!#REF!="Menor"),CONCATENATE("R6C",'Mapa final'!#REF!),"")</f>
        <v>#REF!</v>
      </c>
      <c r="U41" s="55" t="e">
        <f>IF(AND('Mapa final'!#REF!="Baja",'Mapa final'!#REF!="Menor"),CONCATENATE("R6C",'Mapa final'!#REF!),"")</f>
        <v>#REF!</v>
      </c>
      <c r="V41" s="53" t="e">
        <f>IF(AND('Mapa final'!#REF!="Baja",'Mapa final'!#REF!="Moderado"),CONCATENATE("R6C",'Mapa final'!#REF!),"")</f>
        <v>#REF!</v>
      </c>
      <c r="W41" s="54" t="e">
        <f>IF(AND('Mapa final'!#REF!="Baja",'Mapa final'!#REF!="Moderado"),CONCATENATE("R6C",'Mapa final'!#REF!),"")</f>
        <v>#REF!</v>
      </c>
      <c r="X41" s="54" t="e">
        <f>IF(AND('Mapa final'!#REF!="Baja",'Mapa final'!#REF!="Moderado"),CONCATENATE("R6C",'Mapa final'!#REF!),"")</f>
        <v>#REF!</v>
      </c>
      <c r="Y41" s="54" t="e">
        <f>IF(AND('Mapa final'!#REF!="Baja",'Mapa final'!#REF!="Moderado"),CONCATENATE("R6C",'Mapa final'!#REF!),"")</f>
        <v>#REF!</v>
      </c>
      <c r="Z41" s="54" t="e">
        <f>IF(AND('Mapa final'!#REF!="Baja",'Mapa final'!#REF!="Moderado"),CONCATENATE("R6C",'Mapa final'!#REF!),"")</f>
        <v>#REF!</v>
      </c>
      <c r="AA41" s="55" t="e">
        <f>IF(AND('Mapa final'!#REF!="Baja",'Mapa final'!#REF!="Moderado"),CONCATENATE("R6C",'Mapa final'!#REF!),"")</f>
        <v>#REF!</v>
      </c>
      <c r="AB41" s="38" t="e">
        <f>IF(AND('Mapa final'!#REF!="Baja",'Mapa final'!#REF!="Mayor"),CONCATENATE("R6C",'Mapa final'!#REF!),"")</f>
        <v>#REF!</v>
      </c>
      <c r="AC41" s="39" t="e">
        <f>IF(AND('Mapa final'!#REF!="Baja",'Mapa final'!#REF!="Mayor"),CONCATENATE("R6C",'Mapa final'!#REF!),"")</f>
        <v>#REF!</v>
      </c>
      <c r="AD41" s="39" t="e">
        <f>IF(AND('Mapa final'!#REF!="Baja",'Mapa final'!#REF!="Mayor"),CONCATENATE("R6C",'Mapa final'!#REF!),"")</f>
        <v>#REF!</v>
      </c>
      <c r="AE41" s="39" t="e">
        <f>IF(AND('Mapa final'!#REF!="Baja",'Mapa final'!#REF!="Mayor"),CONCATENATE("R6C",'Mapa final'!#REF!),"")</f>
        <v>#REF!</v>
      </c>
      <c r="AF41" s="39" t="e">
        <f>IF(AND('Mapa final'!#REF!="Baja",'Mapa final'!#REF!="Mayor"),CONCATENATE("R6C",'Mapa final'!#REF!),"")</f>
        <v>#REF!</v>
      </c>
      <c r="AG41" s="40" t="e">
        <f>IF(AND('Mapa final'!#REF!="Baja",'Mapa final'!#REF!="Mayor"),CONCATENATE("R6C",'Mapa final'!#REF!),"")</f>
        <v>#REF!</v>
      </c>
      <c r="AH41" s="41" t="e">
        <f>IF(AND('Mapa final'!#REF!="Baja",'Mapa final'!#REF!="Catastrófico"),CONCATENATE("R6C",'Mapa final'!#REF!),"")</f>
        <v>#REF!</v>
      </c>
      <c r="AI41" s="42" t="e">
        <f>IF(AND('Mapa final'!#REF!="Baja",'Mapa final'!#REF!="Catastrófico"),CONCATENATE("R6C",'Mapa final'!#REF!),"")</f>
        <v>#REF!</v>
      </c>
      <c r="AJ41" s="42" t="e">
        <f>IF(AND('Mapa final'!#REF!="Baja",'Mapa final'!#REF!="Catastrófico"),CONCATENATE("R6C",'Mapa final'!#REF!),"")</f>
        <v>#REF!</v>
      </c>
      <c r="AK41" s="42" t="e">
        <f>IF(AND('Mapa final'!#REF!="Baja",'Mapa final'!#REF!="Catastrófico"),CONCATENATE("R6C",'Mapa final'!#REF!),"")</f>
        <v>#REF!</v>
      </c>
      <c r="AL41" s="42" t="e">
        <f>IF(AND('Mapa final'!#REF!="Baja",'Mapa final'!#REF!="Catastrófico"),CONCATENATE("R6C",'Mapa final'!#REF!),"")</f>
        <v>#REF!</v>
      </c>
      <c r="AM41" s="43" t="e">
        <f>IF(AND('Mapa final'!#REF!="Baja",'Mapa final'!#REF!="Catastrófico"),CONCATENATE("R6C",'Mapa final'!#REF!),"")</f>
        <v>#REF!</v>
      </c>
      <c r="AN41" s="69"/>
      <c r="AO41" s="386"/>
      <c r="AP41" s="387"/>
      <c r="AQ41" s="387"/>
      <c r="AR41" s="387"/>
      <c r="AS41" s="387"/>
      <c r="AT41" s="388"/>
      <c r="AU41" s="69"/>
      <c r="AV41" s="69"/>
      <c r="AW41" s="69"/>
      <c r="AX41" s="69"/>
      <c r="AY41" s="69"/>
      <c r="AZ41" s="69"/>
      <c r="BA41" s="69"/>
      <c r="BB41" s="69"/>
      <c r="BC41" s="69"/>
      <c r="BD41" s="69"/>
      <c r="BE41" s="69"/>
      <c r="BF41" s="69"/>
      <c r="BG41" s="69"/>
      <c r="BH41" s="69"/>
      <c r="BI41" s="69"/>
      <c r="BJ41" s="69"/>
      <c r="BK41" s="69"/>
      <c r="BL41" s="69"/>
      <c r="BM41" s="69"/>
      <c r="BN41" s="69"/>
      <c r="BO41" s="69"/>
      <c r="BP41" s="69"/>
      <c r="BQ41" s="69"/>
      <c r="BR41" s="69"/>
      <c r="BS41" s="69"/>
      <c r="BT41" s="69"/>
      <c r="BU41" s="69"/>
      <c r="BV41" s="69"/>
      <c r="BW41" s="69"/>
      <c r="BX41" s="69"/>
    </row>
    <row r="42" spans="1:80" ht="15" customHeight="1" x14ac:dyDescent="0.25">
      <c r="A42" s="69"/>
      <c r="B42" s="267"/>
      <c r="C42" s="267"/>
      <c r="D42" s="268"/>
      <c r="E42" s="366"/>
      <c r="F42" s="365"/>
      <c r="G42" s="365"/>
      <c r="H42" s="365"/>
      <c r="I42" s="365"/>
      <c r="J42" s="62" t="e">
        <f>IF(AND('Mapa final'!#REF!="Baja",'Mapa final'!#REF!="Leve"),CONCATENATE("R7C",'Mapa final'!#REF!),"")</f>
        <v>#REF!</v>
      </c>
      <c r="K42" s="63" t="e">
        <f>IF(AND('Mapa final'!#REF!="Baja",'Mapa final'!#REF!="Leve"),CONCATENATE("R7C",'Mapa final'!#REF!),"")</f>
        <v>#REF!</v>
      </c>
      <c r="L42" s="63" t="e">
        <f>IF(AND('Mapa final'!#REF!="Baja",'Mapa final'!#REF!="Leve"),CONCATENATE("R7C",'Mapa final'!#REF!),"")</f>
        <v>#REF!</v>
      </c>
      <c r="M42" s="63" t="e">
        <f>IF(AND('Mapa final'!#REF!="Baja",'Mapa final'!#REF!="Leve"),CONCATENATE("R7C",'Mapa final'!#REF!),"")</f>
        <v>#REF!</v>
      </c>
      <c r="N42" s="63" t="e">
        <f>IF(AND('Mapa final'!#REF!="Baja",'Mapa final'!#REF!="Leve"),CONCATENATE("R7C",'Mapa final'!#REF!),"")</f>
        <v>#REF!</v>
      </c>
      <c r="O42" s="64" t="e">
        <f>IF(AND('Mapa final'!#REF!="Baja",'Mapa final'!#REF!="Leve"),CONCATENATE("R7C",'Mapa final'!#REF!),"")</f>
        <v>#REF!</v>
      </c>
      <c r="P42" s="53" t="e">
        <f>IF(AND('Mapa final'!#REF!="Baja",'Mapa final'!#REF!="Menor"),CONCATENATE("R7C",'Mapa final'!#REF!),"")</f>
        <v>#REF!</v>
      </c>
      <c r="Q42" s="54" t="e">
        <f>IF(AND('Mapa final'!#REF!="Baja",'Mapa final'!#REF!="Menor"),CONCATENATE("R7C",'Mapa final'!#REF!),"")</f>
        <v>#REF!</v>
      </c>
      <c r="R42" s="54" t="e">
        <f>IF(AND('Mapa final'!#REF!="Baja",'Mapa final'!#REF!="Menor"),CONCATENATE("R7C",'Mapa final'!#REF!),"")</f>
        <v>#REF!</v>
      </c>
      <c r="S42" s="54" t="e">
        <f>IF(AND('Mapa final'!#REF!="Baja",'Mapa final'!#REF!="Menor"),CONCATENATE("R7C",'Mapa final'!#REF!),"")</f>
        <v>#REF!</v>
      </c>
      <c r="T42" s="54" t="e">
        <f>IF(AND('Mapa final'!#REF!="Baja",'Mapa final'!#REF!="Menor"),CONCATENATE("R7C",'Mapa final'!#REF!),"")</f>
        <v>#REF!</v>
      </c>
      <c r="U42" s="55" t="e">
        <f>IF(AND('Mapa final'!#REF!="Baja",'Mapa final'!#REF!="Menor"),CONCATENATE("R7C",'Mapa final'!#REF!),"")</f>
        <v>#REF!</v>
      </c>
      <c r="V42" s="53" t="e">
        <f>IF(AND('Mapa final'!#REF!="Baja",'Mapa final'!#REF!="Moderado"),CONCATENATE("R7C",'Mapa final'!#REF!),"")</f>
        <v>#REF!</v>
      </c>
      <c r="W42" s="54" t="e">
        <f>IF(AND('Mapa final'!#REF!="Baja",'Mapa final'!#REF!="Moderado"),CONCATENATE("R7C",'Mapa final'!#REF!),"")</f>
        <v>#REF!</v>
      </c>
      <c r="X42" s="54" t="e">
        <f>IF(AND('Mapa final'!#REF!="Baja",'Mapa final'!#REF!="Moderado"),CONCATENATE("R7C",'Mapa final'!#REF!),"")</f>
        <v>#REF!</v>
      </c>
      <c r="Y42" s="54" t="e">
        <f>IF(AND('Mapa final'!#REF!="Baja",'Mapa final'!#REF!="Moderado"),CONCATENATE("R7C",'Mapa final'!#REF!),"")</f>
        <v>#REF!</v>
      </c>
      <c r="Z42" s="54" t="e">
        <f>IF(AND('Mapa final'!#REF!="Baja",'Mapa final'!#REF!="Moderado"),CONCATENATE("R7C",'Mapa final'!#REF!),"")</f>
        <v>#REF!</v>
      </c>
      <c r="AA42" s="55" t="e">
        <f>IF(AND('Mapa final'!#REF!="Baja",'Mapa final'!#REF!="Moderado"),CONCATENATE("R7C",'Mapa final'!#REF!),"")</f>
        <v>#REF!</v>
      </c>
      <c r="AB42" s="38" t="e">
        <f>IF(AND('Mapa final'!#REF!="Baja",'Mapa final'!#REF!="Mayor"),CONCATENATE("R7C",'Mapa final'!#REF!),"")</f>
        <v>#REF!</v>
      </c>
      <c r="AC42" s="39" t="e">
        <f>IF(AND('Mapa final'!#REF!="Baja",'Mapa final'!#REF!="Mayor"),CONCATENATE("R7C",'Mapa final'!#REF!),"")</f>
        <v>#REF!</v>
      </c>
      <c r="AD42" s="39" t="e">
        <f>IF(AND('Mapa final'!#REF!="Baja",'Mapa final'!#REF!="Mayor"),CONCATENATE("R7C",'Mapa final'!#REF!),"")</f>
        <v>#REF!</v>
      </c>
      <c r="AE42" s="39" t="e">
        <f>IF(AND('Mapa final'!#REF!="Baja",'Mapa final'!#REF!="Mayor"),CONCATENATE("R7C",'Mapa final'!#REF!),"")</f>
        <v>#REF!</v>
      </c>
      <c r="AF42" s="39" t="e">
        <f>IF(AND('Mapa final'!#REF!="Baja",'Mapa final'!#REF!="Mayor"),CONCATENATE("R7C",'Mapa final'!#REF!),"")</f>
        <v>#REF!</v>
      </c>
      <c r="AG42" s="40" t="e">
        <f>IF(AND('Mapa final'!#REF!="Baja",'Mapa final'!#REF!="Mayor"),CONCATENATE("R7C",'Mapa final'!#REF!),"")</f>
        <v>#REF!</v>
      </c>
      <c r="AH42" s="41" t="e">
        <f>IF(AND('Mapa final'!#REF!="Baja",'Mapa final'!#REF!="Catastrófico"),CONCATENATE("R7C",'Mapa final'!#REF!),"")</f>
        <v>#REF!</v>
      </c>
      <c r="AI42" s="42" t="e">
        <f>IF(AND('Mapa final'!#REF!="Baja",'Mapa final'!#REF!="Catastrófico"),CONCATENATE("R7C",'Mapa final'!#REF!),"")</f>
        <v>#REF!</v>
      </c>
      <c r="AJ42" s="42" t="e">
        <f>IF(AND('Mapa final'!#REF!="Baja",'Mapa final'!#REF!="Catastrófico"),CONCATENATE("R7C",'Mapa final'!#REF!),"")</f>
        <v>#REF!</v>
      </c>
      <c r="AK42" s="42" t="e">
        <f>IF(AND('Mapa final'!#REF!="Baja",'Mapa final'!#REF!="Catastrófico"),CONCATENATE("R7C",'Mapa final'!#REF!),"")</f>
        <v>#REF!</v>
      </c>
      <c r="AL42" s="42" t="e">
        <f>IF(AND('Mapa final'!#REF!="Baja",'Mapa final'!#REF!="Catastrófico"),CONCATENATE("R7C",'Mapa final'!#REF!),"")</f>
        <v>#REF!</v>
      </c>
      <c r="AM42" s="43" t="e">
        <f>IF(AND('Mapa final'!#REF!="Baja",'Mapa final'!#REF!="Catastrófico"),CONCATENATE("R7C",'Mapa final'!#REF!),"")</f>
        <v>#REF!</v>
      </c>
      <c r="AN42" s="69"/>
      <c r="AO42" s="386"/>
      <c r="AP42" s="387"/>
      <c r="AQ42" s="387"/>
      <c r="AR42" s="387"/>
      <c r="AS42" s="387"/>
      <c r="AT42" s="388"/>
      <c r="AU42" s="69"/>
      <c r="AV42" s="69"/>
      <c r="AW42" s="69"/>
      <c r="AX42" s="69"/>
      <c r="AY42" s="69"/>
      <c r="AZ42" s="69"/>
      <c r="BA42" s="69"/>
      <c r="BB42" s="69"/>
      <c r="BC42" s="69"/>
      <c r="BD42" s="69"/>
      <c r="BE42" s="69"/>
      <c r="BF42" s="69"/>
      <c r="BG42" s="69"/>
      <c r="BH42" s="69"/>
      <c r="BI42" s="69"/>
      <c r="BJ42" s="69"/>
      <c r="BK42" s="69"/>
      <c r="BL42" s="69"/>
      <c r="BM42" s="69"/>
      <c r="BN42" s="69"/>
      <c r="BO42" s="69"/>
      <c r="BP42" s="69"/>
      <c r="BQ42" s="69"/>
      <c r="BR42" s="69"/>
      <c r="BS42" s="69"/>
      <c r="BT42" s="69"/>
      <c r="BU42" s="69"/>
      <c r="BV42" s="69"/>
      <c r="BW42" s="69"/>
      <c r="BX42" s="69"/>
    </row>
    <row r="43" spans="1:80" ht="15" customHeight="1" x14ac:dyDescent="0.25">
      <c r="A43" s="69"/>
      <c r="B43" s="267"/>
      <c r="C43" s="267"/>
      <c r="D43" s="268"/>
      <c r="E43" s="366"/>
      <c r="F43" s="365"/>
      <c r="G43" s="365"/>
      <c r="H43" s="365"/>
      <c r="I43" s="365"/>
      <c r="J43" s="62" t="e">
        <f>IF(AND('Mapa final'!#REF!="Baja",'Mapa final'!#REF!="Leve"),CONCATENATE("R8C",'Mapa final'!#REF!),"")</f>
        <v>#REF!</v>
      </c>
      <c r="K43" s="63" t="e">
        <f>IF(AND('Mapa final'!#REF!="Baja",'Mapa final'!#REF!="Leve"),CONCATENATE("R8C",'Mapa final'!#REF!),"")</f>
        <v>#REF!</v>
      </c>
      <c r="L43" s="63" t="e">
        <f>IF(AND('Mapa final'!#REF!="Baja",'Mapa final'!#REF!="Leve"),CONCATENATE("R8C",'Mapa final'!#REF!),"")</f>
        <v>#REF!</v>
      </c>
      <c r="M43" s="63" t="e">
        <f>IF(AND('Mapa final'!#REF!="Baja",'Mapa final'!#REF!="Leve"),CONCATENATE("R8C",'Mapa final'!#REF!),"")</f>
        <v>#REF!</v>
      </c>
      <c r="N43" s="63" t="e">
        <f>IF(AND('Mapa final'!#REF!="Baja",'Mapa final'!#REF!="Leve"),CONCATENATE("R8C",'Mapa final'!#REF!),"")</f>
        <v>#REF!</v>
      </c>
      <c r="O43" s="64" t="e">
        <f>IF(AND('Mapa final'!#REF!="Baja",'Mapa final'!#REF!="Leve"),CONCATENATE("R8C",'Mapa final'!#REF!),"")</f>
        <v>#REF!</v>
      </c>
      <c r="P43" s="53" t="e">
        <f>IF(AND('Mapa final'!#REF!="Baja",'Mapa final'!#REF!="Menor"),CONCATENATE("R8C",'Mapa final'!#REF!),"")</f>
        <v>#REF!</v>
      </c>
      <c r="Q43" s="54" t="e">
        <f>IF(AND('Mapa final'!#REF!="Baja",'Mapa final'!#REF!="Menor"),CONCATENATE("R8C",'Mapa final'!#REF!),"")</f>
        <v>#REF!</v>
      </c>
      <c r="R43" s="54" t="e">
        <f>IF(AND('Mapa final'!#REF!="Baja",'Mapa final'!#REF!="Menor"),CONCATENATE("R8C",'Mapa final'!#REF!),"")</f>
        <v>#REF!</v>
      </c>
      <c r="S43" s="54" t="e">
        <f>IF(AND('Mapa final'!#REF!="Baja",'Mapa final'!#REF!="Menor"),CONCATENATE("R8C",'Mapa final'!#REF!),"")</f>
        <v>#REF!</v>
      </c>
      <c r="T43" s="54" t="e">
        <f>IF(AND('Mapa final'!#REF!="Baja",'Mapa final'!#REF!="Menor"),CONCATENATE("R8C",'Mapa final'!#REF!),"")</f>
        <v>#REF!</v>
      </c>
      <c r="U43" s="55" t="e">
        <f>IF(AND('Mapa final'!#REF!="Baja",'Mapa final'!#REF!="Menor"),CONCATENATE("R8C",'Mapa final'!#REF!),"")</f>
        <v>#REF!</v>
      </c>
      <c r="V43" s="53" t="e">
        <f>IF(AND('Mapa final'!#REF!="Baja",'Mapa final'!#REF!="Moderado"),CONCATENATE("R8C",'Mapa final'!#REF!),"")</f>
        <v>#REF!</v>
      </c>
      <c r="W43" s="54" t="e">
        <f>IF(AND('Mapa final'!#REF!="Baja",'Mapa final'!#REF!="Moderado"),CONCATENATE("R8C",'Mapa final'!#REF!),"")</f>
        <v>#REF!</v>
      </c>
      <c r="X43" s="54" t="e">
        <f>IF(AND('Mapa final'!#REF!="Baja",'Mapa final'!#REF!="Moderado"),CONCATENATE("R8C",'Mapa final'!#REF!),"")</f>
        <v>#REF!</v>
      </c>
      <c r="Y43" s="54" t="e">
        <f>IF(AND('Mapa final'!#REF!="Baja",'Mapa final'!#REF!="Moderado"),CONCATENATE("R8C",'Mapa final'!#REF!),"")</f>
        <v>#REF!</v>
      </c>
      <c r="Z43" s="54" t="e">
        <f>IF(AND('Mapa final'!#REF!="Baja",'Mapa final'!#REF!="Moderado"),CONCATENATE("R8C",'Mapa final'!#REF!),"")</f>
        <v>#REF!</v>
      </c>
      <c r="AA43" s="55" t="e">
        <f>IF(AND('Mapa final'!#REF!="Baja",'Mapa final'!#REF!="Moderado"),CONCATENATE("R8C",'Mapa final'!#REF!),"")</f>
        <v>#REF!</v>
      </c>
      <c r="AB43" s="38" t="e">
        <f>IF(AND('Mapa final'!#REF!="Baja",'Mapa final'!#REF!="Mayor"),CONCATENATE("R8C",'Mapa final'!#REF!),"")</f>
        <v>#REF!</v>
      </c>
      <c r="AC43" s="39" t="e">
        <f>IF(AND('Mapa final'!#REF!="Baja",'Mapa final'!#REF!="Mayor"),CONCATENATE("R8C",'Mapa final'!#REF!),"")</f>
        <v>#REF!</v>
      </c>
      <c r="AD43" s="39" t="e">
        <f>IF(AND('Mapa final'!#REF!="Baja",'Mapa final'!#REF!="Mayor"),CONCATENATE("R8C",'Mapa final'!#REF!),"")</f>
        <v>#REF!</v>
      </c>
      <c r="AE43" s="39" t="e">
        <f>IF(AND('Mapa final'!#REF!="Baja",'Mapa final'!#REF!="Mayor"),CONCATENATE("R8C",'Mapa final'!#REF!),"")</f>
        <v>#REF!</v>
      </c>
      <c r="AF43" s="39" t="e">
        <f>IF(AND('Mapa final'!#REF!="Baja",'Mapa final'!#REF!="Mayor"),CONCATENATE("R8C",'Mapa final'!#REF!),"")</f>
        <v>#REF!</v>
      </c>
      <c r="AG43" s="40" t="e">
        <f>IF(AND('Mapa final'!#REF!="Baja",'Mapa final'!#REF!="Mayor"),CONCATENATE("R8C",'Mapa final'!#REF!),"")</f>
        <v>#REF!</v>
      </c>
      <c r="AH43" s="41" t="e">
        <f>IF(AND('Mapa final'!#REF!="Baja",'Mapa final'!#REF!="Catastrófico"),CONCATENATE("R8C",'Mapa final'!#REF!),"")</f>
        <v>#REF!</v>
      </c>
      <c r="AI43" s="42" t="e">
        <f>IF(AND('Mapa final'!#REF!="Baja",'Mapa final'!#REF!="Catastrófico"),CONCATENATE("R8C",'Mapa final'!#REF!),"")</f>
        <v>#REF!</v>
      </c>
      <c r="AJ43" s="42" t="e">
        <f>IF(AND('Mapa final'!#REF!="Baja",'Mapa final'!#REF!="Catastrófico"),CONCATENATE("R8C",'Mapa final'!#REF!),"")</f>
        <v>#REF!</v>
      </c>
      <c r="AK43" s="42" t="e">
        <f>IF(AND('Mapa final'!#REF!="Baja",'Mapa final'!#REF!="Catastrófico"),CONCATENATE("R8C",'Mapa final'!#REF!),"")</f>
        <v>#REF!</v>
      </c>
      <c r="AL43" s="42" t="e">
        <f>IF(AND('Mapa final'!#REF!="Baja",'Mapa final'!#REF!="Catastrófico"),CONCATENATE("R8C",'Mapa final'!#REF!),"")</f>
        <v>#REF!</v>
      </c>
      <c r="AM43" s="43" t="e">
        <f>IF(AND('Mapa final'!#REF!="Baja",'Mapa final'!#REF!="Catastrófico"),CONCATENATE("R8C",'Mapa final'!#REF!),"")</f>
        <v>#REF!</v>
      </c>
      <c r="AN43" s="69"/>
      <c r="AO43" s="386"/>
      <c r="AP43" s="387"/>
      <c r="AQ43" s="387"/>
      <c r="AR43" s="387"/>
      <c r="AS43" s="387"/>
      <c r="AT43" s="388"/>
      <c r="AU43" s="69"/>
      <c r="AV43" s="69"/>
      <c r="AW43" s="69"/>
      <c r="AX43" s="69"/>
      <c r="AY43" s="69"/>
      <c r="AZ43" s="69"/>
      <c r="BA43" s="69"/>
      <c r="BB43" s="69"/>
      <c r="BC43" s="69"/>
      <c r="BD43" s="69"/>
      <c r="BE43" s="69"/>
      <c r="BF43" s="69"/>
      <c r="BG43" s="69"/>
      <c r="BH43" s="69"/>
      <c r="BI43" s="69"/>
      <c r="BJ43" s="69"/>
      <c r="BK43" s="69"/>
      <c r="BL43" s="69"/>
      <c r="BM43" s="69"/>
      <c r="BN43" s="69"/>
      <c r="BO43" s="69"/>
      <c r="BP43" s="69"/>
      <c r="BQ43" s="69"/>
      <c r="BR43" s="69"/>
      <c r="BS43" s="69"/>
      <c r="BT43" s="69"/>
      <c r="BU43" s="69"/>
      <c r="BV43" s="69"/>
      <c r="BW43" s="69"/>
      <c r="BX43" s="69"/>
    </row>
    <row r="44" spans="1:80" ht="15" customHeight="1" x14ac:dyDescent="0.25">
      <c r="A44" s="69"/>
      <c r="B44" s="267"/>
      <c r="C44" s="267"/>
      <c r="D44" s="268"/>
      <c r="E44" s="366"/>
      <c r="F44" s="365"/>
      <c r="G44" s="365"/>
      <c r="H44" s="365"/>
      <c r="I44" s="365"/>
      <c r="J44" s="62" t="e">
        <f>IF(AND('Mapa final'!#REF!="Baja",'Mapa final'!#REF!="Leve"),CONCATENATE("R9C",'Mapa final'!#REF!),"")</f>
        <v>#REF!</v>
      </c>
      <c r="K44" s="63" t="e">
        <f>IF(AND('Mapa final'!#REF!="Baja",'Mapa final'!#REF!="Leve"),CONCATENATE("R9C",'Mapa final'!#REF!),"")</f>
        <v>#REF!</v>
      </c>
      <c r="L44" s="63" t="e">
        <f>IF(AND('Mapa final'!#REF!="Baja",'Mapa final'!#REF!="Leve"),CONCATENATE("R9C",'Mapa final'!#REF!),"")</f>
        <v>#REF!</v>
      </c>
      <c r="M44" s="63" t="e">
        <f>IF(AND('Mapa final'!#REF!="Baja",'Mapa final'!#REF!="Leve"),CONCATENATE("R9C",'Mapa final'!#REF!),"")</f>
        <v>#REF!</v>
      </c>
      <c r="N44" s="63" t="e">
        <f>IF(AND('Mapa final'!#REF!="Baja",'Mapa final'!#REF!="Leve"),CONCATENATE("R9C",'Mapa final'!#REF!),"")</f>
        <v>#REF!</v>
      </c>
      <c r="O44" s="64" t="e">
        <f>IF(AND('Mapa final'!#REF!="Baja",'Mapa final'!#REF!="Leve"),CONCATENATE("R9C",'Mapa final'!#REF!),"")</f>
        <v>#REF!</v>
      </c>
      <c r="P44" s="53" t="e">
        <f>IF(AND('Mapa final'!#REF!="Baja",'Mapa final'!#REF!="Menor"),CONCATENATE("R9C",'Mapa final'!#REF!),"")</f>
        <v>#REF!</v>
      </c>
      <c r="Q44" s="54" t="e">
        <f>IF(AND('Mapa final'!#REF!="Baja",'Mapa final'!#REF!="Menor"),CONCATENATE("R9C",'Mapa final'!#REF!),"")</f>
        <v>#REF!</v>
      </c>
      <c r="R44" s="54" t="e">
        <f>IF(AND('Mapa final'!#REF!="Baja",'Mapa final'!#REF!="Menor"),CONCATENATE("R9C",'Mapa final'!#REF!),"")</f>
        <v>#REF!</v>
      </c>
      <c r="S44" s="54" t="e">
        <f>IF(AND('Mapa final'!#REF!="Baja",'Mapa final'!#REF!="Menor"),CONCATENATE("R9C",'Mapa final'!#REF!),"")</f>
        <v>#REF!</v>
      </c>
      <c r="T44" s="54" t="e">
        <f>IF(AND('Mapa final'!#REF!="Baja",'Mapa final'!#REF!="Menor"),CONCATENATE("R9C",'Mapa final'!#REF!),"")</f>
        <v>#REF!</v>
      </c>
      <c r="U44" s="55" t="e">
        <f>IF(AND('Mapa final'!#REF!="Baja",'Mapa final'!#REF!="Menor"),CONCATENATE("R9C",'Mapa final'!#REF!),"")</f>
        <v>#REF!</v>
      </c>
      <c r="V44" s="53" t="e">
        <f>IF(AND('Mapa final'!#REF!="Baja",'Mapa final'!#REF!="Moderado"),CONCATENATE("R9C",'Mapa final'!#REF!),"")</f>
        <v>#REF!</v>
      </c>
      <c r="W44" s="54" t="e">
        <f>IF(AND('Mapa final'!#REF!="Baja",'Mapa final'!#REF!="Moderado"),CONCATENATE("R9C",'Mapa final'!#REF!),"")</f>
        <v>#REF!</v>
      </c>
      <c r="X44" s="54" t="e">
        <f>IF(AND('Mapa final'!#REF!="Baja",'Mapa final'!#REF!="Moderado"),CONCATENATE("R9C",'Mapa final'!#REF!),"")</f>
        <v>#REF!</v>
      </c>
      <c r="Y44" s="54" t="e">
        <f>IF(AND('Mapa final'!#REF!="Baja",'Mapa final'!#REF!="Moderado"),CONCATENATE("R9C",'Mapa final'!#REF!),"")</f>
        <v>#REF!</v>
      </c>
      <c r="Z44" s="54" t="e">
        <f>IF(AND('Mapa final'!#REF!="Baja",'Mapa final'!#REF!="Moderado"),CONCATENATE("R9C",'Mapa final'!#REF!),"")</f>
        <v>#REF!</v>
      </c>
      <c r="AA44" s="55" t="e">
        <f>IF(AND('Mapa final'!#REF!="Baja",'Mapa final'!#REF!="Moderado"),CONCATENATE("R9C",'Mapa final'!#REF!),"")</f>
        <v>#REF!</v>
      </c>
      <c r="AB44" s="38" t="e">
        <f>IF(AND('Mapa final'!#REF!="Baja",'Mapa final'!#REF!="Mayor"),CONCATENATE("R9C",'Mapa final'!#REF!),"")</f>
        <v>#REF!</v>
      </c>
      <c r="AC44" s="39" t="e">
        <f>IF(AND('Mapa final'!#REF!="Baja",'Mapa final'!#REF!="Mayor"),CONCATENATE("R9C",'Mapa final'!#REF!),"")</f>
        <v>#REF!</v>
      </c>
      <c r="AD44" s="39" t="e">
        <f>IF(AND('Mapa final'!#REF!="Baja",'Mapa final'!#REF!="Mayor"),CONCATENATE("R9C",'Mapa final'!#REF!),"")</f>
        <v>#REF!</v>
      </c>
      <c r="AE44" s="39" t="e">
        <f>IF(AND('Mapa final'!#REF!="Baja",'Mapa final'!#REF!="Mayor"),CONCATENATE("R9C",'Mapa final'!#REF!),"")</f>
        <v>#REF!</v>
      </c>
      <c r="AF44" s="39" t="e">
        <f>IF(AND('Mapa final'!#REF!="Baja",'Mapa final'!#REF!="Mayor"),CONCATENATE("R9C",'Mapa final'!#REF!),"")</f>
        <v>#REF!</v>
      </c>
      <c r="AG44" s="40" t="e">
        <f>IF(AND('Mapa final'!#REF!="Baja",'Mapa final'!#REF!="Mayor"),CONCATENATE("R9C",'Mapa final'!#REF!),"")</f>
        <v>#REF!</v>
      </c>
      <c r="AH44" s="41" t="e">
        <f>IF(AND('Mapa final'!#REF!="Baja",'Mapa final'!#REF!="Catastrófico"),CONCATENATE("R9C",'Mapa final'!#REF!),"")</f>
        <v>#REF!</v>
      </c>
      <c r="AI44" s="42" t="e">
        <f>IF(AND('Mapa final'!#REF!="Baja",'Mapa final'!#REF!="Catastrófico"),CONCATENATE("R9C",'Mapa final'!#REF!),"")</f>
        <v>#REF!</v>
      </c>
      <c r="AJ44" s="42" t="e">
        <f>IF(AND('Mapa final'!#REF!="Baja",'Mapa final'!#REF!="Catastrófico"),CONCATENATE("R9C",'Mapa final'!#REF!),"")</f>
        <v>#REF!</v>
      </c>
      <c r="AK44" s="42" t="e">
        <f>IF(AND('Mapa final'!#REF!="Baja",'Mapa final'!#REF!="Catastrófico"),CONCATENATE("R9C",'Mapa final'!#REF!),"")</f>
        <v>#REF!</v>
      </c>
      <c r="AL44" s="42" t="e">
        <f>IF(AND('Mapa final'!#REF!="Baja",'Mapa final'!#REF!="Catastrófico"),CONCATENATE("R9C",'Mapa final'!#REF!),"")</f>
        <v>#REF!</v>
      </c>
      <c r="AM44" s="43" t="e">
        <f>IF(AND('Mapa final'!#REF!="Baja",'Mapa final'!#REF!="Catastrófico"),CONCATENATE("R9C",'Mapa final'!#REF!),"")</f>
        <v>#REF!</v>
      </c>
      <c r="AN44" s="69"/>
      <c r="AO44" s="386"/>
      <c r="AP44" s="387"/>
      <c r="AQ44" s="387"/>
      <c r="AR44" s="387"/>
      <c r="AS44" s="387"/>
      <c r="AT44" s="388"/>
      <c r="AU44" s="69"/>
      <c r="AV44" s="69"/>
      <c r="AW44" s="69"/>
      <c r="AX44" s="69"/>
      <c r="AY44" s="69"/>
      <c r="AZ44" s="69"/>
      <c r="BA44" s="69"/>
      <c r="BB44" s="69"/>
      <c r="BC44" s="69"/>
      <c r="BD44" s="69"/>
      <c r="BE44" s="69"/>
      <c r="BF44" s="69"/>
      <c r="BG44" s="69"/>
      <c r="BH44" s="69"/>
      <c r="BI44" s="69"/>
      <c r="BJ44" s="69"/>
      <c r="BK44" s="69"/>
      <c r="BL44" s="69"/>
      <c r="BM44" s="69"/>
      <c r="BN44" s="69"/>
      <c r="BO44" s="69"/>
      <c r="BP44" s="69"/>
      <c r="BQ44" s="69"/>
      <c r="BR44" s="69"/>
      <c r="BS44" s="69"/>
      <c r="BT44" s="69"/>
      <c r="BU44" s="69"/>
      <c r="BV44" s="69"/>
      <c r="BW44" s="69"/>
      <c r="BX44" s="69"/>
    </row>
    <row r="45" spans="1:80" ht="15.75" customHeight="1" thickBot="1" x14ac:dyDescent="0.3">
      <c r="A45" s="69"/>
      <c r="B45" s="267"/>
      <c r="C45" s="267"/>
      <c r="D45" s="268"/>
      <c r="E45" s="367"/>
      <c r="F45" s="368"/>
      <c r="G45" s="368"/>
      <c r="H45" s="368"/>
      <c r="I45" s="368"/>
      <c r="J45" s="65" t="e">
        <f>IF(AND('Mapa final'!#REF!="Baja",'Mapa final'!#REF!="Leve"),CONCATENATE("R10C",'Mapa final'!#REF!),"")</f>
        <v>#REF!</v>
      </c>
      <c r="K45" s="66" t="e">
        <f>IF(AND('Mapa final'!#REF!="Baja",'Mapa final'!#REF!="Leve"),CONCATENATE("R10C",'Mapa final'!#REF!),"")</f>
        <v>#REF!</v>
      </c>
      <c r="L45" s="66" t="e">
        <f>IF(AND('Mapa final'!#REF!="Baja",'Mapa final'!#REF!="Leve"),CONCATENATE("R10C",'Mapa final'!#REF!),"")</f>
        <v>#REF!</v>
      </c>
      <c r="M45" s="66" t="e">
        <f>IF(AND('Mapa final'!#REF!="Baja",'Mapa final'!#REF!="Leve"),CONCATENATE("R10C",'Mapa final'!#REF!),"")</f>
        <v>#REF!</v>
      </c>
      <c r="N45" s="66" t="e">
        <f>IF(AND('Mapa final'!#REF!="Baja",'Mapa final'!#REF!="Leve"),CONCATENATE("R10C",'Mapa final'!#REF!),"")</f>
        <v>#REF!</v>
      </c>
      <c r="O45" s="67" t="e">
        <f>IF(AND('Mapa final'!#REF!="Baja",'Mapa final'!#REF!="Leve"),CONCATENATE("R10C",'Mapa final'!#REF!),"")</f>
        <v>#REF!</v>
      </c>
      <c r="P45" s="53" t="e">
        <f>IF(AND('Mapa final'!#REF!="Baja",'Mapa final'!#REF!="Menor"),CONCATENATE("R10C",'Mapa final'!#REF!),"")</f>
        <v>#REF!</v>
      </c>
      <c r="Q45" s="54" t="e">
        <f>IF(AND('Mapa final'!#REF!="Baja",'Mapa final'!#REF!="Menor"),CONCATENATE("R10C",'Mapa final'!#REF!),"")</f>
        <v>#REF!</v>
      </c>
      <c r="R45" s="54" t="e">
        <f>IF(AND('Mapa final'!#REF!="Baja",'Mapa final'!#REF!="Menor"),CONCATENATE("R10C",'Mapa final'!#REF!),"")</f>
        <v>#REF!</v>
      </c>
      <c r="S45" s="54" t="e">
        <f>IF(AND('Mapa final'!#REF!="Baja",'Mapa final'!#REF!="Menor"),CONCATENATE("R10C",'Mapa final'!#REF!),"")</f>
        <v>#REF!</v>
      </c>
      <c r="T45" s="54" t="e">
        <f>IF(AND('Mapa final'!#REF!="Baja",'Mapa final'!#REF!="Menor"),CONCATENATE("R10C",'Mapa final'!#REF!),"")</f>
        <v>#REF!</v>
      </c>
      <c r="U45" s="55" t="e">
        <f>IF(AND('Mapa final'!#REF!="Baja",'Mapa final'!#REF!="Menor"),CONCATENATE("R10C",'Mapa final'!#REF!),"")</f>
        <v>#REF!</v>
      </c>
      <c r="V45" s="56" t="e">
        <f>IF(AND('Mapa final'!#REF!="Baja",'Mapa final'!#REF!="Moderado"),CONCATENATE("R10C",'Mapa final'!#REF!),"")</f>
        <v>#REF!</v>
      </c>
      <c r="W45" s="57" t="e">
        <f>IF(AND('Mapa final'!#REF!="Baja",'Mapa final'!#REF!="Moderado"),CONCATENATE("R10C",'Mapa final'!#REF!),"")</f>
        <v>#REF!</v>
      </c>
      <c r="X45" s="57" t="e">
        <f>IF(AND('Mapa final'!#REF!="Baja",'Mapa final'!#REF!="Moderado"),CONCATENATE("R10C",'Mapa final'!#REF!),"")</f>
        <v>#REF!</v>
      </c>
      <c r="Y45" s="57" t="e">
        <f>IF(AND('Mapa final'!#REF!="Baja",'Mapa final'!#REF!="Moderado"),CONCATENATE("R10C",'Mapa final'!#REF!),"")</f>
        <v>#REF!</v>
      </c>
      <c r="Z45" s="57" t="e">
        <f>IF(AND('Mapa final'!#REF!="Baja",'Mapa final'!#REF!="Moderado"),CONCATENATE("R10C",'Mapa final'!#REF!),"")</f>
        <v>#REF!</v>
      </c>
      <c r="AA45" s="58" t="e">
        <f>IF(AND('Mapa final'!#REF!="Baja",'Mapa final'!#REF!="Moderado"),CONCATENATE("R10C",'Mapa final'!#REF!),"")</f>
        <v>#REF!</v>
      </c>
      <c r="AB45" s="44" t="e">
        <f>IF(AND('Mapa final'!#REF!="Baja",'Mapa final'!#REF!="Mayor"),CONCATENATE("R10C",'Mapa final'!#REF!),"")</f>
        <v>#REF!</v>
      </c>
      <c r="AC45" s="45" t="e">
        <f>IF(AND('Mapa final'!#REF!="Baja",'Mapa final'!#REF!="Mayor"),CONCATENATE("R10C",'Mapa final'!#REF!),"")</f>
        <v>#REF!</v>
      </c>
      <c r="AD45" s="45" t="e">
        <f>IF(AND('Mapa final'!#REF!="Baja",'Mapa final'!#REF!="Mayor"),CONCATENATE("R10C",'Mapa final'!#REF!),"")</f>
        <v>#REF!</v>
      </c>
      <c r="AE45" s="45" t="e">
        <f>IF(AND('Mapa final'!#REF!="Baja",'Mapa final'!#REF!="Mayor"),CONCATENATE("R10C",'Mapa final'!#REF!),"")</f>
        <v>#REF!</v>
      </c>
      <c r="AF45" s="45" t="e">
        <f>IF(AND('Mapa final'!#REF!="Baja",'Mapa final'!#REF!="Mayor"),CONCATENATE("R10C",'Mapa final'!#REF!),"")</f>
        <v>#REF!</v>
      </c>
      <c r="AG45" s="46" t="e">
        <f>IF(AND('Mapa final'!#REF!="Baja",'Mapa final'!#REF!="Mayor"),CONCATENATE("R10C",'Mapa final'!#REF!),"")</f>
        <v>#REF!</v>
      </c>
      <c r="AH45" s="47" t="e">
        <f>IF(AND('Mapa final'!#REF!="Baja",'Mapa final'!#REF!="Catastrófico"),CONCATENATE("R10C",'Mapa final'!#REF!),"")</f>
        <v>#REF!</v>
      </c>
      <c r="AI45" s="48" t="e">
        <f>IF(AND('Mapa final'!#REF!="Baja",'Mapa final'!#REF!="Catastrófico"),CONCATENATE("R10C",'Mapa final'!#REF!),"")</f>
        <v>#REF!</v>
      </c>
      <c r="AJ45" s="48" t="e">
        <f>IF(AND('Mapa final'!#REF!="Baja",'Mapa final'!#REF!="Catastrófico"),CONCATENATE("R10C",'Mapa final'!#REF!),"")</f>
        <v>#REF!</v>
      </c>
      <c r="AK45" s="48" t="e">
        <f>IF(AND('Mapa final'!#REF!="Baja",'Mapa final'!#REF!="Catastrófico"),CONCATENATE("R10C",'Mapa final'!#REF!),"")</f>
        <v>#REF!</v>
      </c>
      <c r="AL45" s="48" t="e">
        <f>IF(AND('Mapa final'!#REF!="Baja",'Mapa final'!#REF!="Catastrófico"),CONCATENATE("R10C",'Mapa final'!#REF!),"")</f>
        <v>#REF!</v>
      </c>
      <c r="AM45" s="49" t="e">
        <f>IF(AND('Mapa final'!#REF!="Baja",'Mapa final'!#REF!="Catastrófico"),CONCATENATE("R10C",'Mapa final'!#REF!),"")</f>
        <v>#REF!</v>
      </c>
      <c r="AN45" s="69"/>
      <c r="AO45" s="389"/>
      <c r="AP45" s="390"/>
      <c r="AQ45" s="390"/>
      <c r="AR45" s="390"/>
      <c r="AS45" s="390"/>
      <c r="AT45" s="391"/>
    </row>
    <row r="46" spans="1:80" ht="46.5" customHeight="1" x14ac:dyDescent="0.35">
      <c r="A46" s="69"/>
      <c r="B46" s="267"/>
      <c r="C46" s="267"/>
      <c r="D46" s="268"/>
      <c r="E46" s="362" t="s">
        <v>113</v>
      </c>
      <c r="F46" s="363"/>
      <c r="G46" s="363"/>
      <c r="H46" s="363"/>
      <c r="I46" s="380"/>
      <c r="J46" s="59" t="e">
        <f>IF(AND('Mapa final'!#REF!="Muy Baja",'Mapa final'!#REF!="Leve"),CONCATENATE("R1C",'Mapa final'!#REF!),"")</f>
        <v>#REF!</v>
      </c>
      <c r="K46" s="60" t="e">
        <f>IF(AND('Mapa final'!#REF!="Muy Baja",'Mapa final'!#REF!="Leve"),CONCATENATE("R1C",'Mapa final'!#REF!),"")</f>
        <v>#REF!</v>
      </c>
      <c r="L46" s="60" t="e">
        <f>IF(AND('Mapa final'!#REF!="Muy Baja",'Mapa final'!#REF!="Leve"),CONCATENATE("R1C",'Mapa final'!#REF!),"")</f>
        <v>#REF!</v>
      </c>
      <c r="M46" s="60" t="e">
        <f>IF(AND('Mapa final'!#REF!="Muy Baja",'Mapa final'!#REF!="Leve"),CONCATENATE("R1C",'Mapa final'!#REF!),"")</f>
        <v>#REF!</v>
      </c>
      <c r="N46" s="60" t="e">
        <f>IF(AND('Mapa final'!#REF!="Muy Baja",'Mapa final'!#REF!="Leve"),CONCATENATE("R1C",'Mapa final'!#REF!),"")</f>
        <v>#REF!</v>
      </c>
      <c r="O46" s="61" t="e">
        <f>IF(AND('Mapa final'!#REF!="Muy Baja",'Mapa final'!#REF!="Leve"),CONCATENATE("R1C",'Mapa final'!#REF!),"")</f>
        <v>#REF!</v>
      </c>
      <c r="P46" s="59" t="e">
        <f>IF(AND('Mapa final'!#REF!="Muy Baja",'Mapa final'!#REF!="Menor"),CONCATENATE("R1C",'Mapa final'!#REF!),"")</f>
        <v>#REF!</v>
      </c>
      <c r="Q46" s="60" t="e">
        <f>IF(AND('Mapa final'!#REF!="Muy Baja",'Mapa final'!#REF!="Menor"),CONCATENATE("R1C",'Mapa final'!#REF!),"")</f>
        <v>#REF!</v>
      </c>
      <c r="R46" s="60" t="e">
        <f>IF(AND('Mapa final'!#REF!="Muy Baja",'Mapa final'!#REF!="Menor"),CONCATENATE("R1C",'Mapa final'!#REF!),"")</f>
        <v>#REF!</v>
      </c>
      <c r="S46" s="60" t="e">
        <f>IF(AND('Mapa final'!#REF!="Muy Baja",'Mapa final'!#REF!="Menor"),CONCATENATE("R1C",'Mapa final'!#REF!),"")</f>
        <v>#REF!</v>
      </c>
      <c r="T46" s="60" t="e">
        <f>IF(AND('Mapa final'!#REF!="Muy Baja",'Mapa final'!#REF!="Menor"),CONCATENATE("R1C",'Mapa final'!#REF!),"")</f>
        <v>#REF!</v>
      </c>
      <c r="U46" s="61" t="e">
        <f>IF(AND('Mapa final'!#REF!="Muy Baja",'Mapa final'!#REF!="Menor"),CONCATENATE("R1C",'Mapa final'!#REF!),"")</f>
        <v>#REF!</v>
      </c>
      <c r="V46" s="50" t="e">
        <f>IF(AND('Mapa final'!#REF!="Muy Baja",'Mapa final'!#REF!="Moderado"),CONCATENATE("R1C",'Mapa final'!#REF!),"")</f>
        <v>#REF!</v>
      </c>
      <c r="W46" s="68" t="e">
        <f>IF(AND('Mapa final'!#REF!="Muy Baja",'Mapa final'!#REF!="Moderado"),CONCATENATE("R1C",'Mapa final'!#REF!),"")</f>
        <v>#REF!</v>
      </c>
      <c r="X46" s="51" t="e">
        <f>IF(AND('Mapa final'!#REF!="Muy Baja",'Mapa final'!#REF!="Moderado"),CONCATENATE("R1C",'Mapa final'!#REF!),"")</f>
        <v>#REF!</v>
      </c>
      <c r="Y46" s="51" t="e">
        <f>IF(AND('Mapa final'!#REF!="Muy Baja",'Mapa final'!#REF!="Moderado"),CONCATENATE("R1C",'Mapa final'!#REF!),"")</f>
        <v>#REF!</v>
      </c>
      <c r="Z46" s="51" t="e">
        <f>IF(AND('Mapa final'!#REF!="Muy Baja",'Mapa final'!#REF!="Moderado"),CONCATENATE("R1C",'Mapa final'!#REF!),"")</f>
        <v>#REF!</v>
      </c>
      <c r="AA46" s="52" t="e">
        <f>IF(AND('Mapa final'!#REF!="Muy Baja",'Mapa final'!#REF!="Moderado"),CONCATENATE("R1C",'Mapa final'!#REF!),"")</f>
        <v>#REF!</v>
      </c>
      <c r="AB46" s="32" t="e">
        <f>IF(AND('Mapa final'!#REF!="Muy Baja",'Mapa final'!#REF!="Mayor"),CONCATENATE("R1C",'Mapa final'!#REF!),"")</f>
        <v>#REF!</v>
      </c>
      <c r="AC46" s="33" t="e">
        <f>IF(AND('Mapa final'!#REF!="Muy Baja",'Mapa final'!#REF!="Mayor"),CONCATENATE("R1C",'Mapa final'!#REF!),"")</f>
        <v>#REF!</v>
      </c>
      <c r="AD46" s="33" t="e">
        <f>IF(AND('Mapa final'!#REF!="Muy Baja",'Mapa final'!#REF!="Mayor"),CONCATENATE("R1C",'Mapa final'!#REF!),"")</f>
        <v>#REF!</v>
      </c>
      <c r="AE46" s="33" t="e">
        <f>IF(AND('Mapa final'!#REF!="Muy Baja",'Mapa final'!#REF!="Mayor"),CONCATENATE("R1C",'Mapa final'!#REF!),"")</f>
        <v>#REF!</v>
      </c>
      <c r="AF46" s="33" t="e">
        <f>IF(AND('Mapa final'!#REF!="Muy Baja",'Mapa final'!#REF!="Mayor"),CONCATENATE("R1C",'Mapa final'!#REF!),"")</f>
        <v>#REF!</v>
      </c>
      <c r="AG46" s="34" t="e">
        <f>IF(AND('Mapa final'!#REF!="Muy Baja",'Mapa final'!#REF!="Mayor"),CONCATENATE("R1C",'Mapa final'!#REF!),"")</f>
        <v>#REF!</v>
      </c>
      <c r="AH46" s="35" t="e">
        <f>IF(AND('Mapa final'!#REF!="Muy Baja",'Mapa final'!#REF!="Catastrófico"),CONCATENATE("R1C",'Mapa final'!#REF!),"")</f>
        <v>#REF!</v>
      </c>
      <c r="AI46" s="36" t="e">
        <f>IF(AND('Mapa final'!#REF!="Muy Baja",'Mapa final'!#REF!="Catastrófico"),CONCATENATE("R1C",'Mapa final'!#REF!),"")</f>
        <v>#REF!</v>
      </c>
      <c r="AJ46" s="36" t="e">
        <f>IF(AND('Mapa final'!#REF!="Muy Baja",'Mapa final'!#REF!="Catastrófico"),CONCATENATE("R1C",'Mapa final'!#REF!),"")</f>
        <v>#REF!</v>
      </c>
      <c r="AK46" s="36" t="e">
        <f>IF(AND('Mapa final'!#REF!="Muy Baja",'Mapa final'!#REF!="Catastrófico"),CONCATENATE("R1C",'Mapa final'!#REF!),"")</f>
        <v>#REF!</v>
      </c>
      <c r="AL46" s="36" t="e">
        <f>IF(AND('Mapa final'!#REF!="Muy Baja",'Mapa final'!#REF!="Catastrófico"),CONCATENATE("R1C",'Mapa final'!#REF!),"")</f>
        <v>#REF!</v>
      </c>
      <c r="AM46" s="37" t="e">
        <f>IF(AND('Mapa final'!#REF!="Muy Baja",'Mapa final'!#REF!="Catastrófico"),CONCATENATE("R1C",'Mapa final'!#REF!),"")</f>
        <v>#REF!</v>
      </c>
      <c r="AN46" s="69"/>
      <c r="AO46" s="69"/>
      <c r="AP46" s="69"/>
      <c r="AQ46" s="69"/>
      <c r="AR46" s="69"/>
      <c r="AS46" s="69"/>
      <c r="AT46" s="69"/>
      <c r="AU46" s="69"/>
      <c r="AV46" s="69"/>
      <c r="AW46" s="69"/>
      <c r="AX46" s="69"/>
      <c r="AY46" s="69"/>
      <c r="AZ46" s="69"/>
      <c r="BA46" s="69"/>
      <c r="BB46" s="69"/>
      <c r="BC46" s="69"/>
      <c r="BD46" s="69"/>
      <c r="BE46" s="69"/>
      <c r="BF46" s="69"/>
      <c r="BG46" s="69"/>
      <c r="BH46" s="69"/>
      <c r="BI46" s="69"/>
      <c r="BJ46" s="69"/>
      <c r="BK46" s="69"/>
      <c r="BL46" s="69"/>
      <c r="BM46" s="69"/>
      <c r="BN46" s="69"/>
      <c r="BO46" s="69"/>
      <c r="BP46" s="69"/>
      <c r="BQ46" s="69"/>
      <c r="BR46" s="69"/>
      <c r="BS46" s="69"/>
      <c r="BT46" s="69"/>
      <c r="BU46" s="69"/>
      <c r="BV46" s="69"/>
      <c r="BW46" s="69"/>
      <c r="BX46" s="69"/>
      <c r="BY46" s="69"/>
      <c r="BZ46" s="69"/>
      <c r="CA46" s="69"/>
      <c r="CB46" s="69"/>
    </row>
    <row r="47" spans="1:80" ht="46.5" customHeight="1" x14ac:dyDescent="0.25">
      <c r="A47" s="69"/>
      <c r="B47" s="267"/>
      <c r="C47" s="267"/>
      <c r="D47" s="268"/>
      <c r="E47" s="364"/>
      <c r="F47" s="365"/>
      <c r="G47" s="365"/>
      <c r="H47" s="365"/>
      <c r="I47" s="381"/>
      <c r="J47" s="62" t="e">
        <f>IF(AND('Mapa final'!#REF!="Muy Baja",'Mapa final'!#REF!="Leve"),CONCATENATE("R2C",'Mapa final'!#REF!),"")</f>
        <v>#REF!</v>
      </c>
      <c r="K47" s="63" t="e">
        <f>IF(AND('Mapa final'!#REF!="Muy Baja",'Mapa final'!#REF!="Leve"),CONCATENATE("R2C",'Mapa final'!#REF!),"")</f>
        <v>#REF!</v>
      </c>
      <c r="L47" s="63" t="e">
        <f>IF(AND('Mapa final'!#REF!="Muy Baja",'Mapa final'!#REF!="Leve"),CONCATENATE("R2C",'Mapa final'!#REF!),"")</f>
        <v>#REF!</v>
      </c>
      <c r="M47" s="63" t="e">
        <f>IF(AND('Mapa final'!#REF!="Muy Baja",'Mapa final'!#REF!="Leve"),CONCATENATE("R2C",'Mapa final'!#REF!),"")</f>
        <v>#REF!</v>
      </c>
      <c r="N47" s="63" t="e">
        <f>IF(AND('Mapa final'!#REF!="Muy Baja",'Mapa final'!#REF!="Leve"),CONCATENATE("R2C",'Mapa final'!#REF!),"")</f>
        <v>#REF!</v>
      </c>
      <c r="O47" s="64" t="e">
        <f>IF(AND('Mapa final'!#REF!="Muy Baja",'Mapa final'!#REF!="Leve"),CONCATENATE("R2C",'Mapa final'!#REF!),"")</f>
        <v>#REF!</v>
      </c>
      <c r="P47" s="62" t="e">
        <f>IF(AND('Mapa final'!#REF!="Muy Baja",'Mapa final'!#REF!="Menor"),CONCATENATE("R2C",'Mapa final'!#REF!),"")</f>
        <v>#REF!</v>
      </c>
      <c r="Q47" s="63" t="e">
        <f>IF(AND('Mapa final'!#REF!="Muy Baja",'Mapa final'!#REF!="Menor"),CONCATENATE("R2C",'Mapa final'!#REF!),"")</f>
        <v>#REF!</v>
      </c>
      <c r="R47" s="63" t="e">
        <f>IF(AND('Mapa final'!#REF!="Muy Baja",'Mapa final'!#REF!="Menor"),CONCATENATE("R2C",'Mapa final'!#REF!),"")</f>
        <v>#REF!</v>
      </c>
      <c r="S47" s="63" t="e">
        <f>IF(AND('Mapa final'!#REF!="Muy Baja",'Mapa final'!#REF!="Menor"),CONCATENATE("R2C",'Mapa final'!#REF!),"")</f>
        <v>#REF!</v>
      </c>
      <c r="T47" s="63" t="e">
        <f>IF(AND('Mapa final'!#REF!="Muy Baja",'Mapa final'!#REF!="Menor"),CONCATENATE("R2C",'Mapa final'!#REF!),"")</f>
        <v>#REF!</v>
      </c>
      <c r="U47" s="64" t="e">
        <f>IF(AND('Mapa final'!#REF!="Muy Baja",'Mapa final'!#REF!="Menor"),CONCATENATE("R2C",'Mapa final'!#REF!),"")</f>
        <v>#REF!</v>
      </c>
      <c r="V47" s="53" t="e">
        <f>IF(AND('Mapa final'!#REF!="Muy Baja",'Mapa final'!#REF!="Moderado"),CONCATENATE("R2C",'Mapa final'!#REF!),"")</f>
        <v>#REF!</v>
      </c>
      <c r="W47" s="54" t="e">
        <f>IF(AND('Mapa final'!#REF!="Muy Baja",'Mapa final'!#REF!="Moderado"),CONCATENATE("R2C",'Mapa final'!#REF!),"")</f>
        <v>#REF!</v>
      </c>
      <c r="X47" s="54" t="e">
        <f>IF(AND('Mapa final'!#REF!="Muy Baja",'Mapa final'!#REF!="Moderado"),CONCATENATE("R2C",'Mapa final'!#REF!),"")</f>
        <v>#REF!</v>
      </c>
      <c r="Y47" s="54" t="e">
        <f>IF(AND('Mapa final'!#REF!="Muy Baja",'Mapa final'!#REF!="Moderado"),CONCATENATE("R2C",'Mapa final'!#REF!),"")</f>
        <v>#REF!</v>
      </c>
      <c r="Z47" s="54" t="e">
        <f>IF(AND('Mapa final'!#REF!="Muy Baja",'Mapa final'!#REF!="Moderado"),CONCATENATE("R2C",'Mapa final'!#REF!),"")</f>
        <v>#REF!</v>
      </c>
      <c r="AA47" s="55" t="e">
        <f>IF(AND('Mapa final'!#REF!="Muy Baja",'Mapa final'!#REF!="Moderado"),CONCATENATE("R2C",'Mapa final'!#REF!),"")</f>
        <v>#REF!</v>
      </c>
      <c r="AB47" s="38" t="e">
        <f>IF(AND('Mapa final'!#REF!="Muy Baja",'Mapa final'!#REF!="Mayor"),CONCATENATE("R2C",'Mapa final'!#REF!),"")</f>
        <v>#REF!</v>
      </c>
      <c r="AC47" s="39" t="e">
        <f>IF(AND('Mapa final'!#REF!="Muy Baja",'Mapa final'!#REF!="Mayor"),CONCATENATE("R2C",'Mapa final'!#REF!),"")</f>
        <v>#REF!</v>
      </c>
      <c r="AD47" s="39" t="e">
        <f>IF(AND('Mapa final'!#REF!="Muy Baja",'Mapa final'!#REF!="Mayor"),CONCATENATE("R2C",'Mapa final'!#REF!),"")</f>
        <v>#REF!</v>
      </c>
      <c r="AE47" s="39" t="e">
        <f>IF(AND('Mapa final'!#REF!="Muy Baja",'Mapa final'!#REF!="Mayor"),CONCATENATE("R2C",'Mapa final'!#REF!),"")</f>
        <v>#REF!</v>
      </c>
      <c r="AF47" s="39" t="e">
        <f>IF(AND('Mapa final'!#REF!="Muy Baja",'Mapa final'!#REF!="Mayor"),CONCATENATE("R2C",'Mapa final'!#REF!),"")</f>
        <v>#REF!</v>
      </c>
      <c r="AG47" s="40" t="e">
        <f>IF(AND('Mapa final'!#REF!="Muy Baja",'Mapa final'!#REF!="Mayor"),CONCATENATE("R2C",'Mapa final'!#REF!),"")</f>
        <v>#REF!</v>
      </c>
      <c r="AH47" s="41" t="e">
        <f>IF(AND('Mapa final'!#REF!="Muy Baja",'Mapa final'!#REF!="Catastrófico"),CONCATENATE("R2C",'Mapa final'!#REF!),"")</f>
        <v>#REF!</v>
      </c>
      <c r="AI47" s="42" t="e">
        <f>IF(AND('Mapa final'!#REF!="Muy Baja",'Mapa final'!#REF!="Catastrófico"),CONCATENATE("R2C",'Mapa final'!#REF!),"")</f>
        <v>#REF!</v>
      </c>
      <c r="AJ47" s="42" t="e">
        <f>IF(AND('Mapa final'!#REF!="Muy Baja",'Mapa final'!#REF!="Catastrófico"),CONCATENATE("R2C",'Mapa final'!#REF!),"")</f>
        <v>#REF!</v>
      </c>
      <c r="AK47" s="42" t="e">
        <f>IF(AND('Mapa final'!#REF!="Muy Baja",'Mapa final'!#REF!="Catastrófico"),CONCATENATE("R2C",'Mapa final'!#REF!),"")</f>
        <v>#REF!</v>
      </c>
      <c r="AL47" s="42" t="e">
        <f>IF(AND('Mapa final'!#REF!="Muy Baja",'Mapa final'!#REF!="Catastrófico"),CONCATENATE("R2C",'Mapa final'!#REF!),"")</f>
        <v>#REF!</v>
      </c>
      <c r="AM47" s="43" t="e">
        <f>IF(AND('Mapa final'!#REF!="Muy Baja",'Mapa final'!#REF!="Catastrófico"),CONCATENATE("R2C",'Mapa final'!#REF!),"")</f>
        <v>#REF!</v>
      </c>
      <c r="AN47" s="69"/>
      <c r="AO47" s="69"/>
      <c r="AP47" s="69"/>
      <c r="AQ47" s="69"/>
      <c r="AR47" s="69"/>
      <c r="AS47" s="69"/>
      <c r="AT47" s="69"/>
      <c r="AU47" s="69"/>
      <c r="AV47" s="69"/>
      <c r="AW47" s="69"/>
      <c r="AX47" s="69"/>
      <c r="AY47" s="69"/>
      <c r="AZ47" s="69"/>
      <c r="BA47" s="69"/>
      <c r="BB47" s="69"/>
      <c r="BC47" s="69"/>
      <c r="BD47" s="69"/>
      <c r="BE47" s="69"/>
      <c r="BF47" s="69"/>
      <c r="BG47" s="69"/>
      <c r="BH47" s="69"/>
      <c r="BI47" s="69"/>
      <c r="BJ47" s="69"/>
      <c r="BK47" s="69"/>
      <c r="BL47" s="69"/>
      <c r="BM47" s="69"/>
      <c r="BN47" s="69"/>
      <c r="BO47" s="69"/>
      <c r="BP47" s="69"/>
      <c r="BQ47" s="69"/>
      <c r="BR47" s="69"/>
      <c r="BS47" s="69"/>
      <c r="BT47" s="69"/>
      <c r="BU47" s="69"/>
      <c r="BV47" s="69"/>
      <c r="BW47" s="69"/>
      <c r="BX47" s="69"/>
      <c r="BY47" s="69"/>
      <c r="BZ47" s="69"/>
      <c r="CA47" s="69"/>
      <c r="CB47" s="69"/>
    </row>
    <row r="48" spans="1:80" ht="15" customHeight="1" x14ac:dyDescent="0.25">
      <c r="A48" s="69"/>
      <c r="B48" s="267"/>
      <c r="C48" s="267"/>
      <c r="D48" s="268"/>
      <c r="E48" s="364"/>
      <c r="F48" s="365"/>
      <c r="G48" s="365"/>
      <c r="H48" s="365"/>
      <c r="I48" s="381"/>
      <c r="J48" s="62" t="e">
        <f>IF(AND('Mapa final'!#REF!="Muy Baja",'Mapa final'!#REF!="Leve"),CONCATENATE("R3C",'Mapa final'!#REF!),"")</f>
        <v>#REF!</v>
      </c>
      <c r="K48" s="63" t="e">
        <f>IF(AND('Mapa final'!#REF!="Muy Baja",'Mapa final'!#REF!="Leve"),CONCATENATE("R3C",'Mapa final'!#REF!),"")</f>
        <v>#REF!</v>
      </c>
      <c r="L48" s="63" t="e">
        <f>IF(AND('Mapa final'!#REF!="Muy Baja",'Mapa final'!#REF!="Leve"),CONCATENATE("R3C",'Mapa final'!#REF!),"")</f>
        <v>#REF!</v>
      </c>
      <c r="M48" s="63" t="e">
        <f>IF(AND('Mapa final'!#REF!="Muy Baja",'Mapa final'!#REF!="Leve"),CONCATENATE("R3C",'Mapa final'!#REF!),"")</f>
        <v>#REF!</v>
      </c>
      <c r="N48" s="63" t="e">
        <f>IF(AND('Mapa final'!#REF!="Muy Baja",'Mapa final'!#REF!="Leve"),CONCATENATE("R3C",'Mapa final'!#REF!),"")</f>
        <v>#REF!</v>
      </c>
      <c r="O48" s="64" t="e">
        <f>IF(AND('Mapa final'!#REF!="Muy Baja",'Mapa final'!#REF!="Leve"),CONCATENATE("R3C",'Mapa final'!#REF!),"")</f>
        <v>#REF!</v>
      </c>
      <c r="P48" s="62" t="e">
        <f>IF(AND('Mapa final'!#REF!="Muy Baja",'Mapa final'!#REF!="Menor"),CONCATENATE("R3C",'Mapa final'!#REF!),"")</f>
        <v>#REF!</v>
      </c>
      <c r="Q48" s="63" t="e">
        <f>IF(AND('Mapa final'!#REF!="Muy Baja",'Mapa final'!#REF!="Menor"),CONCATENATE("R3C",'Mapa final'!#REF!),"")</f>
        <v>#REF!</v>
      </c>
      <c r="R48" s="63" t="e">
        <f>IF(AND('Mapa final'!#REF!="Muy Baja",'Mapa final'!#REF!="Menor"),CONCATENATE("R3C",'Mapa final'!#REF!),"")</f>
        <v>#REF!</v>
      </c>
      <c r="S48" s="63" t="e">
        <f>IF(AND('Mapa final'!#REF!="Muy Baja",'Mapa final'!#REF!="Menor"),CONCATENATE("R3C",'Mapa final'!#REF!),"")</f>
        <v>#REF!</v>
      </c>
      <c r="T48" s="63" t="e">
        <f>IF(AND('Mapa final'!#REF!="Muy Baja",'Mapa final'!#REF!="Menor"),CONCATENATE("R3C",'Mapa final'!#REF!),"")</f>
        <v>#REF!</v>
      </c>
      <c r="U48" s="64" t="e">
        <f>IF(AND('Mapa final'!#REF!="Muy Baja",'Mapa final'!#REF!="Menor"),CONCATENATE("R3C",'Mapa final'!#REF!),"")</f>
        <v>#REF!</v>
      </c>
      <c r="V48" s="53" t="e">
        <f>IF(AND('Mapa final'!#REF!="Muy Baja",'Mapa final'!#REF!="Moderado"),CONCATENATE("R3C",'Mapa final'!#REF!),"")</f>
        <v>#REF!</v>
      </c>
      <c r="W48" s="54" t="e">
        <f>IF(AND('Mapa final'!#REF!="Muy Baja",'Mapa final'!#REF!="Moderado"),CONCATENATE("R3C",'Mapa final'!#REF!),"")</f>
        <v>#REF!</v>
      </c>
      <c r="X48" s="54" t="e">
        <f>IF(AND('Mapa final'!#REF!="Muy Baja",'Mapa final'!#REF!="Moderado"),CONCATENATE("R3C",'Mapa final'!#REF!),"")</f>
        <v>#REF!</v>
      </c>
      <c r="Y48" s="54" t="e">
        <f>IF(AND('Mapa final'!#REF!="Muy Baja",'Mapa final'!#REF!="Moderado"),CONCATENATE("R3C",'Mapa final'!#REF!),"")</f>
        <v>#REF!</v>
      </c>
      <c r="Z48" s="54" t="e">
        <f>IF(AND('Mapa final'!#REF!="Muy Baja",'Mapa final'!#REF!="Moderado"),CONCATENATE("R3C",'Mapa final'!#REF!),"")</f>
        <v>#REF!</v>
      </c>
      <c r="AA48" s="55" t="e">
        <f>IF(AND('Mapa final'!#REF!="Muy Baja",'Mapa final'!#REF!="Moderado"),CONCATENATE("R3C",'Mapa final'!#REF!),"")</f>
        <v>#REF!</v>
      </c>
      <c r="AB48" s="38" t="e">
        <f>IF(AND('Mapa final'!#REF!="Muy Baja",'Mapa final'!#REF!="Mayor"),CONCATENATE("R3C",'Mapa final'!#REF!),"")</f>
        <v>#REF!</v>
      </c>
      <c r="AC48" s="39" t="e">
        <f>IF(AND('Mapa final'!#REF!="Muy Baja",'Mapa final'!#REF!="Mayor"),CONCATENATE("R3C",'Mapa final'!#REF!),"")</f>
        <v>#REF!</v>
      </c>
      <c r="AD48" s="39" t="e">
        <f>IF(AND('Mapa final'!#REF!="Muy Baja",'Mapa final'!#REF!="Mayor"),CONCATENATE("R3C",'Mapa final'!#REF!),"")</f>
        <v>#REF!</v>
      </c>
      <c r="AE48" s="39" t="e">
        <f>IF(AND('Mapa final'!#REF!="Muy Baja",'Mapa final'!#REF!="Mayor"),CONCATENATE("R3C",'Mapa final'!#REF!),"")</f>
        <v>#REF!</v>
      </c>
      <c r="AF48" s="39" t="e">
        <f>IF(AND('Mapa final'!#REF!="Muy Baja",'Mapa final'!#REF!="Mayor"),CONCATENATE("R3C",'Mapa final'!#REF!),"")</f>
        <v>#REF!</v>
      </c>
      <c r="AG48" s="40" t="e">
        <f>IF(AND('Mapa final'!#REF!="Muy Baja",'Mapa final'!#REF!="Mayor"),CONCATENATE("R3C",'Mapa final'!#REF!),"")</f>
        <v>#REF!</v>
      </c>
      <c r="AH48" s="41" t="e">
        <f>IF(AND('Mapa final'!#REF!="Muy Baja",'Mapa final'!#REF!="Catastrófico"),CONCATENATE("R3C",'Mapa final'!#REF!),"")</f>
        <v>#REF!</v>
      </c>
      <c r="AI48" s="42" t="e">
        <f>IF(AND('Mapa final'!#REF!="Muy Baja",'Mapa final'!#REF!="Catastrófico"),CONCATENATE("R3C",'Mapa final'!#REF!),"")</f>
        <v>#REF!</v>
      </c>
      <c r="AJ48" s="42" t="e">
        <f>IF(AND('Mapa final'!#REF!="Muy Baja",'Mapa final'!#REF!="Catastrófico"),CONCATENATE("R3C",'Mapa final'!#REF!),"")</f>
        <v>#REF!</v>
      </c>
      <c r="AK48" s="42" t="e">
        <f>IF(AND('Mapa final'!#REF!="Muy Baja",'Mapa final'!#REF!="Catastrófico"),CONCATENATE("R3C",'Mapa final'!#REF!),"")</f>
        <v>#REF!</v>
      </c>
      <c r="AL48" s="42" t="e">
        <f>IF(AND('Mapa final'!#REF!="Muy Baja",'Mapa final'!#REF!="Catastrófico"),CONCATENATE("R3C",'Mapa final'!#REF!),"")</f>
        <v>#REF!</v>
      </c>
      <c r="AM48" s="43" t="e">
        <f>IF(AND('Mapa final'!#REF!="Muy Baja",'Mapa final'!#REF!="Catastrófico"),CONCATENATE("R3C",'Mapa final'!#REF!),"")</f>
        <v>#REF!</v>
      </c>
      <c r="AN48" s="69"/>
      <c r="AO48" s="69"/>
      <c r="AP48" s="69"/>
      <c r="AQ48" s="69"/>
      <c r="AR48" s="69"/>
      <c r="AS48" s="69"/>
      <c r="AT48" s="69"/>
      <c r="AU48" s="69"/>
      <c r="AV48" s="69"/>
      <c r="AW48" s="69"/>
      <c r="AX48" s="69"/>
      <c r="AY48" s="69"/>
      <c r="AZ48" s="69"/>
      <c r="BA48" s="69"/>
      <c r="BB48" s="69"/>
      <c r="BC48" s="69"/>
      <c r="BD48" s="69"/>
      <c r="BE48" s="69"/>
      <c r="BF48" s="69"/>
      <c r="BG48" s="69"/>
      <c r="BH48" s="69"/>
      <c r="BI48" s="69"/>
      <c r="BJ48" s="69"/>
      <c r="BK48" s="69"/>
      <c r="BL48" s="69"/>
      <c r="BM48" s="69"/>
      <c r="BN48" s="69"/>
      <c r="BO48" s="69"/>
      <c r="BP48" s="69"/>
      <c r="BQ48" s="69"/>
      <c r="BR48" s="69"/>
      <c r="BS48" s="69"/>
      <c r="BT48" s="69"/>
      <c r="BU48" s="69"/>
      <c r="BV48" s="69"/>
      <c r="BW48" s="69"/>
      <c r="BX48" s="69"/>
      <c r="BY48" s="69"/>
      <c r="BZ48" s="69"/>
      <c r="CA48" s="69"/>
      <c r="CB48" s="69"/>
    </row>
    <row r="49" spans="1:80" ht="15" customHeight="1" x14ac:dyDescent="0.25">
      <c r="A49" s="69"/>
      <c r="B49" s="267"/>
      <c r="C49" s="267"/>
      <c r="D49" s="268"/>
      <c r="E49" s="366"/>
      <c r="F49" s="365"/>
      <c r="G49" s="365"/>
      <c r="H49" s="365"/>
      <c r="I49" s="381"/>
      <c r="J49" s="62" t="str">
        <f>IF(AND('Mapa final'!$Y$13="Muy Baja",'Mapa final'!$AA$13="Leve"),CONCATENATE("R4C",'Mapa final'!$O$13),"")</f>
        <v/>
      </c>
      <c r="K49" s="63" t="str">
        <f>IF(AND('Mapa final'!$Y$14="Muy Baja",'Mapa final'!$AA$14="Leve"),CONCATENATE("R4C",'Mapa final'!$O$14),"")</f>
        <v>R4C2</v>
      </c>
      <c r="L49" s="63" t="str">
        <f>IF(AND('Mapa final'!$Y$15="Muy Baja",'Mapa final'!$AA$15="Leve"),CONCATENATE("R4C",'Mapa final'!$O$15),"")</f>
        <v>R4C3</v>
      </c>
      <c r="M49" s="63" t="str">
        <f>IF(AND('Mapa final'!$Y$16="Muy Baja",'Mapa final'!$AA$16="Leve"),CONCATENATE("R4C",'Mapa final'!$O$16),"")</f>
        <v>R4C4</v>
      </c>
      <c r="N49" s="63" t="e">
        <f>IF(AND('Mapa final'!#REF!="Muy Baja",'Mapa final'!#REF!="Leve"),CONCATENATE("R4C",'Mapa final'!#REF!),"")</f>
        <v>#REF!</v>
      </c>
      <c r="O49" s="64" t="e">
        <f>IF(AND('Mapa final'!#REF!="Muy Baja",'Mapa final'!#REF!="Leve"),CONCATENATE("R4C",'Mapa final'!#REF!),"")</f>
        <v>#REF!</v>
      </c>
      <c r="P49" s="62" t="str">
        <f>IF(AND('Mapa final'!$Y$13="Muy Baja",'Mapa final'!$AA$13="Menor"),CONCATENATE("R4C",'Mapa final'!$O$13),"")</f>
        <v/>
      </c>
      <c r="Q49" s="63" t="str">
        <f>IF(AND('Mapa final'!$Y$14="Muy Baja",'Mapa final'!$AA$14="Menor"),CONCATENATE("R4C",'Mapa final'!$O$14),"")</f>
        <v/>
      </c>
      <c r="R49" s="63" t="str">
        <f>IF(AND('Mapa final'!$Y$15="Muy Baja",'Mapa final'!$AA$15="Menor"),CONCATENATE("R4C",'Mapa final'!$O$15),"")</f>
        <v/>
      </c>
      <c r="S49" s="63" t="str">
        <f>IF(AND('Mapa final'!$Y$16="Muy Baja",'Mapa final'!$AA$16="Menor"),CONCATENATE("R4C",'Mapa final'!$O$16),"")</f>
        <v/>
      </c>
      <c r="T49" s="63" t="e">
        <f>IF(AND('Mapa final'!#REF!="Muy Baja",'Mapa final'!#REF!="Menor"),CONCATENATE("R4C",'Mapa final'!#REF!),"")</f>
        <v>#REF!</v>
      </c>
      <c r="U49" s="64" t="e">
        <f>IF(AND('Mapa final'!#REF!="Muy Baja",'Mapa final'!#REF!="Menor"),CONCATENATE("R4C",'Mapa final'!#REF!),"")</f>
        <v>#REF!</v>
      </c>
      <c r="V49" s="53" t="str">
        <f>IF(AND('Mapa final'!$Y$13="Muy Baja",'Mapa final'!$AA$13="Moderado"),CONCATENATE("R4C",'Mapa final'!$O$13),"")</f>
        <v/>
      </c>
      <c r="W49" s="54" t="str">
        <f>IF(AND('Mapa final'!$Y$14="Muy Baja",'Mapa final'!$AA$14="Moderado"),CONCATENATE("R4C",'Mapa final'!$O$14),"")</f>
        <v/>
      </c>
      <c r="X49" s="54" t="str">
        <f>IF(AND('Mapa final'!$Y$15="Muy Baja",'Mapa final'!$AA$15="Moderado"),CONCATENATE("R4C",'Mapa final'!$O$15),"")</f>
        <v/>
      </c>
      <c r="Y49" s="54" t="str">
        <f>IF(AND('Mapa final'!$Y$16="Muy Baja",'Mapa final'!$AA$16="Moderado"),CONCATENATE("R4C",'Mapa final'!$O$16),"")</f>
        <v/>
      </c>
      <c r="Z49" s="54" t="e">
        <f>IF(AND('Mapa final'!#REF!="Muy Baja",'Mapa final'!#REF!="Moderado"),CONCATENATE("R4C",'Mapa final'!#REF!),"")</f>
        <v>#REF!</v>
      </c>
      <c r="AA49" s="55" t="e">
        <f>IF(AND('Mapa final'!#REF!="Muy Baja",'Mapa final'!#REF!="Moderado"),CONCATENATE("R4C",'Mapa final'!#REF!),"")</f>
        <v>#REF!</v>
      </c>
      <c r="AB49" s="38" t="str">
        <f>IF(AND('Mapa final'!$Y$13="Muy Baja",'Mapa final'!$AA$13="Mayor"),CONCATENATE("R4C",'Mapa final'!$O$13),"")</f>
        <v/>
      </c>
      <c r="AC49" s="39" t="str">
        <f>IF(AND('Mapa final'!$Y$14="Muy Baja",'Mapa final'!$AA$14="Mayor"),CONCATENATE("R4C",'Mapa final'!$O$14),"")</f>
        <v/>
      </c>
      <c r="AD49" s="39" t="str">
        <f>IF(AND('Mapa final'!$Y$15="Muy Baja",'Mapa final'!$AA$15="Mayor"),CONCATENATE("R4C",'Mapa final'!$O$15),"")</f>
        <v/>
      </c>
      <c r="AE49" s="39" t="str">
        <f>IF(AND('Mapa final'!$Y$16="Muy Baja",'Mapa final'!$AA$16="Mayor"),CONCATENATE("R4C",'Mapa final'!$O$16),"")</f>
        <v/>
      </c>
      <c r="AF49" s="39" t="e">
        <f>IF(AND('Mapa final'!#REF!="Muy Baja",'Mapa final'!#REF!="Mayor"),CONCATENATE("R4C",'Mapa final'!#REF!),"")</f>
        <v>#REF!</v>
      </c>
      <c r="AG49" s="40" t="e">
        <f>IF(AND('Mapa final'!#REF!="Muy Baja",'Mapa final'!#REF!="Mayor"),CONCATENATE("R4C",'Mapa final'!#REF!),"")</f>
        <v>#REF!</v>
      </c>
      <c r="AH49" s="41" t="str">
        <f>IF(AND('Mapa final'!$Y$13="Muy Baja",'Mapa final'!$AA$13="Catastrófico"),CONCATENATE("R4C",'Mapa final'!$O$13),"")</f>
        <v/>
      </c>
      <c r="AI49" s="42" t="str">
        <f>IF(AND('Mapa final'!$Y$14="Muy Baja",'Mapa final'!$AA$14="Catastrófico"),CONCATENATE("R4C",'Mapa final'!$O$14),"")</f>
        <v/>
      </c>
      <c r="AJ49" s="42" t="str">
        <f>IF(AND('Mapa final'!$Y$15="Muy Baja",'Mapa final'!$AA$15="Catastrófico"),CONCATENATE("R4C",'Mapa final'!$O$15),"")</f>
        <v/>
      </c>
      <c r="AK49" s="42" t="str">
        <f>IF(AND('Mapa final'!$Y$16="Muy Baja",'Mapa final'!$AA$16="Catastrófico"),CONCATENATE("R4C",'Mapa final'!$O$16),"")</f>
        <v/>
      </c>
      <c r="AL49" s="42" t="e">
        <f>IF(AND('Mapa final'!#REF!="Muy Baja",'Mapa final'!#REF!="Catastrófico"),CONCATENATE("R4C",'Mapa final'!#REF!),"")</f>
        <v>#REF!</v>
      </c>
      <c r="AM49" s="43" t="e">
        <f>IF(AND('Mapa final'!#REF!="Muy Baja",'Mapa final'!#REF!="Catastrófico"),CONCATENATE("R4C",'Mapa final'!#REF!),"")</f>
        <v>#REF!</v>
      </c>
      <c r="AN49" s="69"/>
      <c r="AO49" s="69"/>
      <c r="AP49" s="69"/>
      <c r="AQ49" s="69"/>
      <c r="AR49" s="69"/>
      <c r="AS49" s="69"/>
      <c r="AT49" s="69"/>
      <c r="AU49" s="69"/>
      <c r="AV49" s="69"/>
      <c r="AW49" s="69"/>
      <c r="AX49" s="69"/>
      <c r="AY49" s="69"/>
      <c r="AZ49" s="69"/>
      <c r="BA49" s="69"/>
      <c r="BB49" s="69"/>
      <c r="BC49" s="69"/>
      <c r="BD49" s="69"/>
      <c r="BE49" s="69"/>
      <c r="BF49" s="69"/>
      <c r="BG49" s="69"/>
      <c r="BH49" s="69"/>
      <c r="BI49" s="69"/>
      <c r="BJ49" s="69"/>
      <c r="BK49" s="69"/>
      <c r="BL49" s="69"/>
      <c r="BM49" s="69"/>
      <c r="BN49" s="69"/>
      <c r="BO49" s="69"/>
      <c r="BP49" s="69"/>
      <c r="BQ49" s="69"/>
      <c r="BR49" s="69"/>
      <c r="BS49" s="69"/>
      <c r="BT49" s="69"/>
      <c r="BU49" s="69"/>
      <c r="BV49" s="69"/>
      <c r="BW49" s="69"/>
      <c r="BX49" s="69"/>
      <c r="BY49" s="69"/>
      <c r="BZ49" s="69"/>
      <c r="CA49" s="69"/>
      <c r="CB49" s="69"/>
    </row>
    <row r="50" spans="1:80" ht="15" customHeight="1" x14ac:dyDescent="0.25">
      <c r="A50" s="69"/>
      <c r="B50" s="267"/>
      <c r="C50" s="267"/>
      <c r="D50" s="268"/>
      <c r="E50" s="366"/>
      <c r="F50" s="365"/>
      <c r="G50" s="365"/>
      <c r="H50" s="365"/>
      <c r="I50" s="381"/>
      <c r="J50" s="62" t="str">
        <f>IF(AND('Mapa final'!$Y$17="Muy Baja",'Mapa final'!$AA$17="Leve"),CONCATENATE("R5C",'Mapa final'!$O$17),"")</f>
        <v/>
      </c>
      <c r="K50" s="63" t="str">
        <f>IF(AND('Mapa final'!$Y$18="Muy Baja",'Mapa final'!$AA$18="Leve"),CONCATENATE("R5C",'Mapa final'!$O$18),"")</f>
        <v/>
      </c>
      <c r="L50" s="63" t="str">
        <f>IF(AND('Mapa final'!$Y$19="Muy Baja",'Mapa final'!$AA$19="Leve"),CONCATENATE("R5C",'Mapa final'!$O$19),"")</f>
        <v/>
      </c>
      <c r="M50" s="63" t="str">
        <f>IF(AND('Mapa final'!$Y$20="Muy Baja",'Mapa final'!$AA$20="Leve"),CONCATENATE("R5C",'Mapa final'!$O$20),"")</f>
        <v/>
      </c>
      <c r="N50" s="63" t="str">
        <f>IF(AND('Mapa final'!$Y$21="Muy Baja",'Mapa final'!$AA$21="Leve"),CONCATENATE("R5C",'Mapa final'!$O$21),"")</f>
        <v/>
      </c>
      <c r="O50" s="64" t="str">
        <f>IF(AND('Mapa final'!$Y$22="Muy Baja",'Mapa final'!$AA$22="Leve"),CONCATENATE("R5C",'Mapa final'!$O$22),"")</f>
        <v/>
      </c>
      <c r="P50" s="62" t="str">
        <f>IF(AND('Mapa final'!$Y$17="Muy Baja",'Mapa final'!$AA$17="Menor"),CONCATENATE("R5C",'Mapa final'!$O$17),"")</f>
        <v/>
      </c>
      <c r="Q50" s="63" t="str">
        <f>IF(AND('Mapa final'!$Y$18="Muy Baja",'Mapa final'!$AA$18="Menor"),CONCATENATE("R5C",'Mapa final'!$O$18),"")</f>
        <v/>
      </c>
      <c r="R50" s="63" t="str">
        <f>IF(AND('Mapa final'!$Y$19="Muy Baja",'Mapa final'!$AA$19="Menor"),CONCATENATE("R5C",'Mapa final'!$O$19),"")</f>
        <v/>
      </c>
      <c r="S50" s="63" t="str">
        <f>IF(AND('Mapa final'!$Y$20="Muy Baja",'Mapa final'!$AA$20="Menor"),CONCATENATE("R5C",'Mapa final'!$O$20),"")</f>
        <v/>
      </c>
      <c r="T50" s="63" t="str">
        <f>IF(AND('Mapa final'!$Y$21="Muy Baja",'Mapa final'!$AA$21="Menor"),CONCATENATE("R5C",'Mapa final'!$O$21),"")</f>
        <v/>
      </c>
      <c r="U50" s="64" t="str">
        <f>IF(AND('Mapa final'!$Y$22="Muy Baja",'Mapa final'!$AA$22="Menor"),CONCATENATE("R5C",'Mapa final'!$O$22),"")</f>
        <v/>
      </c>
      <c r="V50" s="53" t="str">
        <f>IF(AND('Mapa final'!$Y$17="Muy Baja",'Mapa final'!$AA$17="Moderado"),CONCATENATE("R5C",'Mapa final'!$O$17),"")</f>
        <v/>
      </c>
      <c r="W50" s="54" t="str">
        <f>IF(AND('Mapa final'!$Y$18="Muy Baja",'Mapa final'!$AA$18="Moderado"),CONCATENATE("R5C",'Mapa final'!$O$18),"")</f>
        <v/>
      </c>
      <c r="X50" s="54" t="str">
        <f>IF(AND('Mapa final'!$Y$19="Muy Baja",'Mapa final'!$AA$19="Moderado"),CONCATENATE("R5C",'Mapa final'!$O$19),"")</f>
        <v/>
      </c>
      <c r="Y50" s="54" t="str">
        <f>IF(AND('Mapa final'!$Y$20="Muy Baja",'Mapa final'!$AA$20="Moderado"),CONCATENATE("R5C",'Mapa final'!$O$20),"")</f>
        <v/>
      </c>
      <c r="Z50" s="54" t="str">
        <f>IF(AND('Mapa final'!$Y$21="Muy Baja",'Mapa final'!$AA$21="Moderado"),CONCATENATE("R5C",'Mapa final'!$O$21),"")</f>
        <v/>
      </c>
      <c r="AA50" s="55" t="str">
        <f>IF(AND('Mapa final'!$Y$22="Muy Baja",'Mapa final'!$AA$22="Moderado"),CONCATENATE("R5C",'Mapa final'!$O$22),"")</f>
        <v/>
      </c>
      <c r="AB50" s="38" t="str">
        <f>IF(AND('Mapa final'!$Y$17="Muy Baja",'Mapa final'!$AA$17="Mayor"),CONCATENATE("R5C",'Mapa final'!$O$17),"")</f>
        <v/>
      </c>
      <c r="AC50" s="39" t="str">
        <f>IF(AND('Mapa final'!$Y$18="Muy Baja",'Mapa final'!$AA$18="Mayor"),CONCATENATE("R5C",'Mapa final'!$O$18),"")</f>
        <v/>
      </c>
      <c r="AD50" s="39" t="str">
        <f>IF(AND('Mapa final'!$Y$19="Muy Baja",'Mapa final'!$AA$19="Mayor"),CONCATENATE("R5C",'Mapa final'!$O$19),"")</f>
        <v/>
      </c>
      <c r="AE50" s="39" t="str">
        <f>IF(AND('Mapa final'!$Y$20="Muy Baja",'Mapa final'!$AA$20="Mayor"),CONCATENATE("R5C",'Mapa final'!$O$20),"")</f>
        <v/>
      </c>
      <c r="AF50" s="39" t="str">
        <f>IF(AND('Mapa final'!$Y$21="Muy Baja",'Mapa final'!$AA$21="Mayor"),CONCATENATE("R5C",'Mapa final'!$O$21),"")</f>
        <v/>
      </c>
      <c r="AG50" s="40" t="str">
        <f>IF(AND('Mapa final'!$Y$22="Muy Baja",'Mapa final'!$AA$22="Mayor"),CONCATENATE("R5C",'Mapa final'!$O$22),"")</f>
        <v/>
      </c>
      <c r="AH50" s="41" t="str">
        <f>IF(AND('Mapa final'!$Y$17="Muy Baja",'Mapa final'!$AA$17="Catastrófico"),CONCATENATE("R5C",'Mapa final'!$O$17),"")</f>
        <v/>
      </c>
      <c r="AI50" s="42" t="str">
        <f>IF(AND('Mapa final'!$Y$18="Muy Baja",'Mapa final'!$AA$18="Catastrófico"),CONCATENATE("R5C",'Mapa final'!$O$18),"")</f>
        <v/>
      </c>
      <c r="AJ50" s="42" t="str">
        <f>IF(AND('Mapa final'!$Y$19="Muy Baja",'Mapa final'!$AA$19="Catastrófico"),CONCATENATE("R5C",'Mapa final'!$O$19),"")</f>
        <v/>
      </c>
      <c r="AK50" s="42" t="str">
        <f>IF(AND('Mapa final'!$Y$20="Muy Baja",'Mapa final'!$AA$20="Catastrófico"),CONCATENATE("R5C",'Mapa final'!$O$20),"")</f>
        <v/>
      </c>
      <c r="AL50" s="42" t="str">
        <f>IF(AND('Mapa final'!$Y$21="Muy Baja",'Mapa final'!$AA$21="Catastrófico"),CONCATENATE("R5C",'Mapa final'!$O$21),"")</f>
        <v/>
      </c>
      <c r="AM50" s="43" t="str">
        <f>IF(AND('Mapa final'!$Y$22="Muy Baja",'Mapa final'!$AA$22="Catastrófico"),CONCATENATE("R5C",'Mapa final'!$O$22),"")</f>
        <v/>
      </c>
      <c r="AN50" s="69"/>
      <c r="AO50" s="69"/>
      <c r="AP50" s="69"/>
      <c r="AQ50" s="69"/>
      <c r="AR50" s="69"/>
      <c r="AS50" s="69"/>
      <c r="AT50" s="69"/>
      <c r="AU50" s="69"/>
      <c r="AV50" s="69"/>
      <c r="AW50" s="69"/>
      <c r="AX50" s="69"/>
      <c r="AY50" s="69"/>
      <c r="AZ50" s="69"/>
      <c r="BA50" s="69"/>
      <c r="BB50" s="69"/>
      <c r="BC50" s="69"/>
      <c r="BD50" s="69"/>
      <c r="BE50" s="69"/>
      <c r="BF50" s="69"/>
      <c r="BG50" s="69"/>
      <c r="BH50" s="69"/>
      <c r="BI50" s="69"/>
      <c r="BJ50" s="69"/>
      <c r="BK50" s="69"/>
      <c r="BL50" s="69"/>
      <c r="BM50" s="69"/>
      <c r="BN50" s="69"/>
      <c r="BO50" s="69"/>
      <c r="BP50" s="69"/>
      <c r="BQ50" s="69"/>
      <c r="BR50" s="69"/>
      <c r="BS50" s="69"/>
      <c r="BT50" s="69"/>
      <c r="BU50" s="69"/>
      <c r="BV50" s="69"/>
      <c r="BW50" s="69"/>
      <c r="BX50" s="69"/>
      <c r="BY50" s="69"/>
      <c r="BZ50" s="69"/>
      <c r="CA50" s="69"/>
      <c r="CB50" s="69"/>
    </row>
    <row r="51" spans="1:80" ht="15" customHeight="1" x14ac:dyDescent="0.25">
      <c r="A51" s="69"/>
      <c r="B51" s="267"/>
      <c r="C51" s="267"/>
      <c r="D51" s="268"/>
      <c r="E51" s="366"/>
      <c r="F51" s="365"/>
      <c r="G51" s="365"/>
      <c r="H51" s="365"/>
      <c r="I51" s="381"/>
      <c r="J51" s="62" t="e">
        <f>IF(AND('Mapa final'!#REF!="Muy Baja",'Mapa final'!#REF!="Leve"),CONCATENATE("R6C",'Mapa final'!#REF!),"")</f>
        <v>#REF!</v>
      </c>
      <c r="K51" s="63" t="e">
        <f>IF(AND('Mapa final'!#REF!="Muy Baja",'Mapa final'!#REF!="Leve"),CONCATENATE("R6C",'Mapa final'!#REF!),"")</f>
        <v>#REF!</v>
      </c>
      <c r="L51" s="63" t="e">
        <f>IF(AND('Mapa final'!#REF!="Muy Baja",'Mapa final'!#REF!="Leve"),CONCATENATE("R6C",'Mapa final'!#REF!),"")</f>
        <v>#REF!</v>
      </c>
      <c r="M51" s="63" t="e">
        <f>IF(AND('Mapa final'!#REF!="Muy Baja",'Mapa final'!#REF!="Leve"),CONCATENATE("R6C",'Mapa final'!#REF!),"")</f>
        <v>#REF!</v>
      </c>
      <c r="N51" s="63" t="e">
        <f>IF(AND('Mapa final'!#REF!="Muy Baja",'Mapa final'!#REF!="Leve"),CONCATENATE("R6C",'Mapa final'!#REF!),"")</f>
        <v>#REF!</v>
      </c>
      <c r="O51" s="64" t="e">
        <f>IF(AND('Mapa final'!#REF!="Muy Baja",'Mapa final'!#REF!="Leve"),CONCATENATE("R6C",'Mapa final'!#REF!),"")</f>
        <v>#REF!</v>
      </c>
      <c r="P51" s="62" t="e">
        <f>IF(AND('Mapa final'!#REF!="Muy Baja",'Mapa final'!#REF!="Menor"),CONCATENATE("R6C",'Mapa final'!#REF!),"")</f>
        <v>#REF!</v>
      </c>
      <c r="Q51" s="63" t="e">
        <f>IF(AND('Mapa final'!#REF!="Muy Baja",'Mapa final'!#REF!="Menor"),CONCATENATE("R6C",'Mapa final'!#REF!),"")</f>
        <v>#REF!</v>
      </c>
      <c r="R51" s="63" t="e">
        <f>IF(AND('Mapa final'!#REF!="Muy Baja",'Mapa final'!#REF!="Menor"),CONCATENATE("R6C",'Mapa final'!#REF!),"")</f>
        <v>#REF!</v>
      </c>
      <c r="S51" s="63" t="e">
        <f>IF(AND('Mapa final'!#REF!="Muy Baja",'Mapa final'!#REF!="Menor"),CONCATENATE("R6C",'Mapa final'!#REF!),"")</f>
        <v>#REF!</v>
      </c>
      <c r="T51" s="63" t="e">
        <f>IF(AND('Mapa final'!#REF!="Muy Baja",'Mapa final'!#REF!="Menor"),CONCATENATE("R6C",'Mapa final'!#REF!),"")</f>
        <v>#REF!</v>
      </c>
      <c r="U51" s="64" t="e">
        <f>IF(AND('Mapa final'!#REF!="Muy Baja",'Mapa final'!#REF!="Menor"),CONCATENATE("R6C",'Mapa final'!#REF!),"")</f>
        <v>#REF!</v>
      </c>
      <c r="V51" s="53" t="e">
        <f>IF(AND('Mapa final'!#REF!="Muy Baja",'Mapa final'!#REF!="Moderado"),CONCATENATE("R6C",'Mapa final'!#REF!),"")</f>
        <v>#REF!</v>
      </c>
      <c r="W51" s="54" t="e">
        <f>IF(AND('Mapa final'!#REF!="Muy Baja",'Mapa final'!#REF!="Moderado"),CONCATENATE("R6C",'Mapa final'!#REF!),"")</f>
        <v>#REF!</v>
      </c>
      <c r="X51" s="54" t="e">
        <f>IF(AND('Mapa final'!#REF!="Muy Baja",'Mapa final'!#REF!="Moderado"),CONCATENATE("R6C",'Mapa final'!#REF!),"")</f>
        <v>#REF!</v>
      </c>
      <c r="Y51" s="54" t="e">
        <f>IF(AND('Mapa final'!#REF!="Muy Baja",'Mapa final'!#REF!="Moderado"),CONCATENATE("R6C",'Mapa final'!#REF!),"")</f>
        <v>#REF!</v>
      </c>
      <c r="Z51" s="54" t="e">
        <f>IF(AND('Mapa final'!#REF!="Muy Baja",'Mapa final'!#REF!="Moderado"),CONCATENATE("R6C",'Mapa final'!#REF!),"")</f>
        <v>#REF!</v>
      </c>
      <c r="AA51" s="55" t="e">
        <f>IF(AND('Mapa final'!#REF!="Muy Baja",'Mapa final'!#REF!="Moderado"),CONCATENATE("R6C",'Mapa final'!#REF!),"")</f>
        <v>#REF!</v>
      </c>
      <c r="AB51" s="38" t="e">
        <f>IF(AND('Mapa final'!#REF!="Muy Baja",'Mapa final'!#REF!="Mayor"),CONCATENATE("R6C",'Mapa final'!#REF!),"")</f>
        <v>#REF!</v>
      </c>
      <c r="AC51" s="39" t="e">
        <f>IF(AND('Mapa final'!#REF!="Muy Baja",'Mapa final'!#REF!="Mayor"),CONCATENATE("R6C",'Mapa final'!#REF!),"")</f>
        <v>#REF!</v>
      </c>
      <c r="AD51" s="39" t="e">
        <f>IF(AND('Mapa final'!#REF!="Muy Baja",'Mapa final'!#REF!="Mayor"),CONCATENATE("R6C",'Mapa final'!#REF!),"")</f>
        <v>#REF!</v>
      </c>
      <c r="AE51" s="39" t="e">
        <f>IF(AND('Mapa final'!#REF!="Muy Baja",'Mapa final'!#REF!="Mayor"),CONCATENATE("R6C",'Mapa final'!#REF!),"")</f>
        <v>#REF!</v>
      </c>
      <c r="AF51" s="39" t="e">
        <f>IF(AND('Mapa final'!#REF!="Muy Baja",'Mapa final'!#REF!="Mayor"),CONCATENATE("R6C",'Mapa final'!#REF!),"")</f>
        <v>#REF!</v>
      </c>
      <c r="AG51" s="40" t="e">
        <f>IF(AND('Mapa final'!#REF!="Muy Baja",'Mapa final'!#REF!="Mayor"),CONCATENATE("R6C",'Mapa final'!#REF!),"")</f>
        <v>#REF!</v>
      </c>
      <c r="AH51" s="41" t="e">
        <f>IF(AND('Mapa final'!#REF!="Muy Baja",'Mapa final'!#REF!="Catastrófico"),CONCATENATE("R6C",'Mapa final'!#REF!),"")</f>
        <v>#REF!</v>
      </c>
      <c r="AI51" s="42" t="e">
        <f>IF(AND('Mapa final'!#REF!="Muy Baja",'Mapa final'!#REF!="Catastrófico"),CONCATENATE("R6C",'Mapa final'!#REF!),"")</f>
        <v>#REF!</v>
      </c>
      <c r="AJ51" s="42" t="e">
        <f>IF(AND('Mapa final'!#REF!="Muy Baja",'Mapa final'!#REF!="Catastrófico"),CONCATENATE("R6C",'Mapa final'!#REF!),"")</f>
        <v>#REF!</v>
      </c>
      <c r="AK51" s="42" t="e">
        <f>IF(AND('Mapa final'!#REF!="Muy Baja",'Mapa final'!#REF!="Catastrófico"),CONCATENATE("R6C",'Mapa final'!#REF!),"")</f>
        <v>#REF!</v>
      </c>
      <c r="AL51" s="42" t="e">
        <f>IF(AND('Mapa final'!#REF!="Muy Baja",'Mapa final'!#REF!="Catastrófico"),CONCATENATE("R6C",'Mapa final'!#REF!),"")</f>
        <v>#REF!</v>
      </c>
      <c r="AM51" s="43" t="e">
        <f>IF(AND('Mapa final'!#REF!="Muy Baja",'Mapa final'!#REF!="Catastrófico"),CONCATENATE("R6C",'Mapa final'!#REF!),"")</f>
        <v>#REF!</v>
      </c>
      <c r="AN51" s="69"/>
      <c r="AO51" s="69"/>
      <c r="AP51" s="69"/>
      <c r="AQ51" s="69"/>
      <c r="AR51" s="69"/>
      <c r="AS51" s="69"/>
      <c r="AT51" s="69"/>
      <c r="AU51" s="69"/>
      <c r="AV51" s="69"/>
      <c r="AW51" s="69"/>
      <c r="AX51" s="69"/>
      <c r="AY51" s="69"/>
      <c r="AZ51" s="69"/>
      <c r="BA51" s="69"/>
      <c r="BB51" s="69"/>
      <c r="BC51" s="69"/>
      <c r="BD51" s="69"/>
      <c r="BE51" s="69"/>
      <c r="BF51" s="69"/>
      <c r="BG51" s="69"/>
      <c r="BH51" s="69"/>
      <c r="BI51" s="69"/>
      <c r="BJ51" s="69"/>
      <c r="BK51" s="69"/>
      <c r="BL51" s="69"/>
      <c r="BM51" s="69"/>
      <c r="BN51" s="69"/>
      <c r="BO51" s="69"/>
      <c r="BP51" s="69"/>
      <c r="BQ51" s="69"/>
      <c r="BR51" s="69"/>
      <c r="BS51" s="69"/>
      <c r="BT51" s="69"/>
      <c r="BU51" s="69"/>
      <c r="BV51" s="69"/>
      <c r="BW51" s="69"/>
      <c r="BX51" s="69"/>
      <c r="BY51" s="69"/>
      <c r="BZ51" s="69"/>
      <c r="CA51" s="69"/>
      <c r="CB51" s="69"/>
    </row>
    <row r="52" spans="1:80" ht="15" customHeight="1" x14ac:dyDescent="0.25">
      <c r="A52" s="69"/>
      <c r="B52" s="267"/>
      <c r="C52" s="267"/>
      <c r="D52" s="268"/>
      <c r="E52" s="366"/>
      <c r="F52" s="365"/>
      <c r="G52" s="365"/>
      <c r="H52" s="365"/>
      <c r="I52" s="381"/>
      <c r="J52" s="62" t="e">
        <f>IF(AND('Mapa final'!#REF!="Muy Baja",'Mapa final'!#REF!="Leve"),CONCATENATE("R7C",'Mapa final'!#REF!),"")</f>
        <v>#REF!</v>
      </c>
      <c r="K52" s="63" t="e">
        <f>IF(AND('Mapa final'!#REF!="Muy Baja",'Mapa final'!#REF!="Leve"),CONCATENATE("R7C",'Mapa final'!#REF!),"")</f>
        <v>#REF!</v>
      </c>
      <c r="L52" s="63" t="e">
        <f>IF(AND('Mapa final'!#REF!="Muy Baja",'Mapa final'!#REF!="Leve"),CONCATENATE("R7C",'Mapa final'!#REF!),"")</f>
        <v>#REF!</v>
      </c>
      <c r="M52" s="63" t="e">
        <f>IF(AND('Mapa final'!#REF!="Muy Baja",'Mapa final'!#REF!="Leve"),CONCATENATE("R7C",'Mapa final'!#REF!),"")</f>
        <v>#REF!</v>
      </c>
      <c r="N52" s="63" t="e">
        <f>IF(AND('Mapa final'!#REF!="Muy Baja",'Mapa final'!#REF!="Leve"),CONCATENATE("R7C",'Mapa final'!#REF!),"")</f>
        <v>#REF!</v>
      </c>
      <c r="O52" s="64" t="e">
        <f>IF(AND('Mapa final'!#REF!="Muy Baja",'Mapa final'!#REF!="Leve"),CONCATENATE("R7C",'Mapa final'!#REF!),"")</f>
        <v>#REF!</v>
      </c>
      <c r="P52" s="62" t="e">
        <f>IF(AND('Mapa final'!#REF!="Muy Baja",'Mapa final'!#REF!="Menor"),CONCATENATE("R7C",'Mapa final'!#REF!),"")</f>
        <v>#REF!</v>
      </c>
      <c r="Q52" s="63" t="e">
        <f>IF(AND('Mapa final'!#REF!="Muy Baja",'Mapa final'!#REF!="Menor"),CONCATENATE("R7C",'Mapa final'!#REF!),"")</f>
        <v>#REF!</v>
      </c>
      <c r="R52" s="63" t="e">
        <f>IF(AND('Mapa final'!#REF!="Muy Baja",'Mapa final'!#REF!="Menor"),CONCATENATE("R7C",'Mapa final'!#REF!),"")</f>
        <v>#REF!</v>
      </c>
      <c r="S52" s="63" t="e">
        <f>IF(AND('Mapa final'!#REF!="Muy Baja",'Mapa final'!#REF!="Menor"),CONCATENATE("R7C",'Mapa final'!#REF!),"")</f>
        <v>#REF!</v>
      </c>
      <c r="T52" s="63" t="e">
        <f>IF(AND('Mapa final'!#REF!="Muy Baja",'Mapa final'!#REF!="Menor"),CONCATENATE("R7C",'Mapa final'!#REF!),"")</f>
        <v>#REF!</v>
      </c>
      <c r="U52" s="64" t="e">
        <f>IF(AND('Mapa final'!#REF!="Muy Baja",'Mapa final'!#REF!="Menor"),CONCATENATE("R7C",'Mapa final'!#REF!),"")</f>
        <v>#REF!</v>
      </c>
      <c r="V52" s="53" t="e">
        <f>IF(AND('Mapa final'!#REF!="Muy Baja",'Mapa final'!#REF!="Moderado"),CONCATENATE("R7C",'Mapa final'!#REF!),"")</f>
        <v>#REF!</v>
      </c>
      <c r="W52" s="54" t="e">
        <f>IF(AND('Mapa final'!#REF!="Muy Baja",'Mapa final'!#REF!="Moderado"),CONCATENATE("R7C",'Mapa final'!#REF!),"")</f>
        <v>#REF!</v>
      </c>
      <c r="X52" s="54" t="e">
        <f>IF(AND('Mapa final'!#REF!="Muy Baja",'Mapa final'!#REF!="Moderado"),CONCATENATE("R7C",'Mapa final'!#REF!),"")</f>
        <v>#REF!</v>
      </c>
      <c r="Y52" s="54" t="e">
        <f>IF(AND('Mapa final'!#REF!="Muy Baja",'Mapa final'!#REF!="Moderado"),CONCATENATE("R7C",'Mapa final'!#REF!),"")</f>
        <v>#REF!</v>
      </c>
      <c r="Z52" s="54" t="e">
        <f>IF(AND('Mapa final'!#REF!="Muy Baja",'Mapa final'!#REF!="Moderado"),CONCATENATE("R7C",'Mapa final'!#REF!),"")</f>
        <v>#REF!</v>
      </c>
      <c r="AA52" s="55" t="e">
        <f>IF(AND('Mapa final'!#REF!="Muy Baja",'Mapa final'!#REF!="Moderado"),CONCATENATE("R7C",'Mapa final'!#REF!),"")</f>
        <v>#REF!</v>
      </c>
      <c r="AB52" s="38" t="e">
        <f>IF(AND('Mapa final'!#REF!="Muy Baja",'Mapa final'!#REF!="Mayor"),CONCATENATE("R7C",'Mapa final'!#REF!),"")</f>
        <v>#REF!</v>
      </c>
      <c r="AC52" s="39" t="e">
        <f>IF(AND('Mapa final'!#REF!="Muy Baja",'Mapa final'!#REF!="Mayor"),CONCATENATE("R7C",'Mapa final'!#REF!),"")</f>
        <v>#REF!</v>
      </c>
      <c r="AD52" s="39" t="e">
        <f>IF(AND('Mapa final'!#REF!="Muy Baja",'Mapa final'!#REF!="Mayor"),CONCATENATE("R7C",'Mapa final'!#REF!),"")</f>
        <v>#REF!</v>
      </c>
      <c r="AE52" s="39" t="e">
        <f>IF(AND('Mapa final'!#REF!="Muy Baja",'Mapa final'!#REF!="Mayor"),CONCATENATE("R7C",'Mapa final'!#REF!),"")</f>
        <v>#REF!</v>
      </c>
      <c r="AF52" s="39" t="e">
        <f>IF(AND('Mapa final'!#REF!="Muy Baja",'Mapa final'!#REF!="Mayor"),CONCATENATE("R7C",'Mapa final'!#REF!),"")</f>
        <v>#REF!</v>
      </c>
      <c r="AG52" s="40" t="e">
        <f>IF(AND('Mapa final'!#REF!="Muy Baja",'Mapa final'!#REF!="Mayor"),CONCATENATE("R7C",'Mapa final'!#REF!),"")</f>
        <v>#REF!</v>
      </c>
      <c r="AH52" s="41" t="e">
        <f>IF(AND('Mapa final'!#REF!="Muy Baja",'Mapa final'!#REF!="Catastrófico"),CONCATENATE("R7C",'Mapa final'!#REF!),"")</f>
        <v>#REF!</v>
      </c>
      <c r="AI52" s="42" t="e">
        <f>IF(AND('Mapa final'!#REF!="Muy Baja",'Mapa final'!#REF!="Catastrófico"),CONCATENATE("R7C",'Mapa final'!#REF!),"")</f>
        <v>#REF!</v>
      </c>
      <c r="AJ52" s="42" t="e">
        <f>IF(AND('Mapa final'!#REF!="Muy Baja",'Mapa final'!#REF!="Catastrófico"),CONCATENATE("R7C",'Mapa final'!#REF!),"")</f>
        <v>#REF!</v>
      </c>
      <c r="AK52" s="42" t="e">
        <f>IF(AND('Mapa final'!#REF!="Muy Baja",'Mapa final'!#REF!="Catastrófico"),CONCATENATE("R7C",'Mapa final'!#REF!),"")</f>
        <v>#REF!</v>
      </c>
      <c r="AL52" s="42" t="e">
        <f>IF(AND('Mapa final'!#REF!="Muy Baja",'Mapa final'!#REF!="Catastrófico"),CONCATENATE("R7C",'Mapa final'!#REF!),"")</f>
        <v>#REF!</v>
      </c>
      <c r="AM52" s="43" t="e">
        <f>IF(AND('Mapa final'!#REF!="Muy Baja",'Mapa final'!#REF!="Catastrófico"),CONCATENATE("R7C",'Mapa final'!#REF!),"")</f>
        <v>#REF!</v>
      </c>
      <c r="AN52" s="69"/>
      <c r="AO52" s="69"/>
      <c r="AP52" s="69"/>
      <c r="AQ52" s="69"/>
      <c r="AR52" s="69"/>
      <c r="AS52" s="69"/>
      <c r="AT52" s="69"/>
      <c r="AU52" s="69"/>
      <c r="AV52" s="69"/>
      <c r="AW52" s="69"/>
      <c r="AX52" s="69"/>
      <c r="AY52" s="69"/>
      <c r="AZ52" s="69"/>
      <c r="BA52" s="69"/>
      <c r="BB52" s="69"/>
      <c r="BC52" s="69"/>
      <c r="BD52" s="69"/>
      <c r="BE52" s="69"/>
      <c r="BF52" s="69"/>
      <c r="BG52" s="69"/>
      <c r="BH52" s="69"/>
      <c r="BI52" s="69"/>
      <c r="BJ52" s="69"/>
      <c r="BK52" s="69"/>
      <c r="BL52" s="69"/>
      <c r="BM52" s="69"/>
      <c r="BN52" s="69"/>
      <c r="BO52" s="69"/>
      <c r="BP52" s="69"/>
      <c r="BQ52" s="69"/>
      <c r="BR52" s="69"/>
      <c r="BS52" s="69"/>
      <c r="BT52" s="69"/>
      <c r="BU52" s="69"/>
      <c r="BV52" s="69"/>
      <c r="BW52" s="69"/>
      <c r="BX52" s="69"/>
      <c r="BY52" s="69"/>
      <c r="BZ52" s="69"/>
      <c r="CA52" s="69"/>
      <c r="CB52" s="69"/>
    </row>
    <row r="53" spans="1:80" ht="15" customHeight="1" x14ac:dyDescent="0.25">
      <c r="A53" s="69"/>
      <c r="B53" s="267"/>
      <c r="C53" s="267"/>
      <c r="D53" s="268"/>
      <c r="E53" s="366"/>
      <c r="F53" s="365"/>
      <c r="G53" s="365"/>
      <c r="H53" s="365"/>
      <c r="I53" s="381"/>
      <c r="J53" s="62" t="e">
        <f>IF(AND('Mapa final'!#REF!="Muy Baja",'Mapa final'!#REF!="Leve"),CONCATENATE("R8C",'Mapa final'!#REF!),"")</f>
        <v>#REF!</v>
      </c>
      <c r="K53" s="63" t="e">
        <f>IF(AND('Mapa final'!#REF!="Muy Baja",'Mapa final'!#REF!="Leve"),CONCATENATE("R8C",'Mapa final'!#REF!),"")</f>
        <v>#REF!</v>
      </c>
      <c r="L53" s="63" t="e">
        <f>IF(AND('Mapa final'!#REF!="Muy Baja",'Mapa final'!#REF!="Leve"),CONCATENATE("R8C",'Mapa final'!#REF!),"")</f>
        <v>#REF!</v>
      </c>
      <c r="M53" s="63" t="e">
        <f>IF(AND('Mapa final'!#REF!="Muy Baja",'Mapa final'!#REF!="Leve"),CONCATENATE("R8C",'Mapa final'!#REF!),"")</f>
        <v>#REF!</v>
      </c>
      <c r="N53" s="63" t="e">
        <f>IF(AND('Mapa final'!#REF!="Muy Baja",'Mapa final'!#REF!="Leve"),CONCATENATE("R8C",'Mapa final'!#REF!),"")</f>
        <v>#REF!</v>
      </c>
      <c r="O53" s="64" t="e">
        <f>IF(AND('Mapa final'!#REF!="Muy Baja",'Mapa final'!#REF!="Leve"),CONCATENATE("R8C",'Mapa final'!#REF!),"")</f>
        <v>#REF!</v>
      </c>
      <c r="P53" s="62" t="e">
        <f>IF(AND('Mapa final'!#REF!="Muy Baja",'Mapa final'!#REF!="Menor"),CONCATENATE("R8C",'Mapa final'!#REF!),"")</f>
        <v>#REF!</v>
      </c>
      <c r="Q53" s="63" t="e">
        <f>IF(AND('Mapa final'!#REF!="Muy Baja",'Mapa final'!#REF!="Menor"),CONCATENATE("R8C",'Mapa final'!#REF!),"")</f>
        <v>#REF!</v>
      </c>
      <c r="R53" s="63" t="e">
        <f>IF(AND('Mapa final'!#REF!="Muy Baja",'Mapa final'!#REF!="Menor"),CONCATENATE("R8C",'Mapa final'!#REF!),"")</f>
        <v>#REF!</v>
      </c>
      <c r="S53" s="63" t="e">
        <f>IF(AND('Mapa final'!#REF!="Muy Baja",'Mapa final'!#REF!="Menor"),CONCATENATE("R8C",'Mapa final'!#REF!),"")</f>
        <v>#REF!</v>
      </c>
      <c r="T53" s="63" t="e">
        <f>IF(AND('Mapa final'!#REF!="Muy Baja",'Mapa final'!#REF!="Menor"),CONCATENATE("R8C",'Mapa final'!#REF!),"")</f>
        <v>#REF!</v>
      </c>
      <c r="U53" s="64" t="e">
        <f>IF(AND('Mapa final'!#REF!="Muy Baja",'Mapa final'!#REF!="Menor"),CONCATENATE("R8C",'Mapa final'!#REF!),"")</f>
        <v>#REF!</v>
      </c>
      <c r="V53" s="53" t="e">
        <f>IF(AND('Mapa final'!#REF!="Muy Baja",'Mapa final'!#REF!="Moderado"),CONCATENATE("R8C",'Mapa final'!#REF!),"")</f>
        <v>#REF!</v>
      </c>
      <c r="W53" s="54" t="e">
        <f>IF(AND('Mapa final'!#REF!="Muy Baja",'Mapa final'!#REF!="Moderado"),CONCATENATE("R8C",'Mapa final'!#REF!),"")</f>
        <v>#REF!</v>
      </c>
      <c r="X53" s="54" t="e">
        <f>IF(AND('Mapa final'!#REF!="Muy Baja",'Mapa final'!#REF!="Moderado"),CONCATENATE("R8C",'Mapa final'!#REF!),"")</f>
        <v>#REF!</v>
      </c>
      <c r="Y53" s="54" t="e">
        <f>IF(AND('Mapa final'!#REF!="Muy Baja",'Mapa final'!#REF!="Moderado"),CONCATENATE("R8C",'Mapa final'!#REF!),"")</f>
        <v>#REF!</v>
      </c>
      <c r="Z53" s="54" t="e">
        <f>IF(AND('Mapa final'!#REF!="Muy Baja",'Mapa final'!#REF!="Moderado"),CONCATENATE("R8C",'Mapa final'!#REF!),"")</f>
        <v>#REF!</v>
      </c>
      <c r="AA53" s="55" t="e">
        <f>IF(AND('Mapa final'!#REF!="Muy Baja",'Mapa final'!#REF!="Moderado"),CONCATENATE("R8C",'Mapa final'!#REF!),"")</f>
        <v>#REF!</v>
      </c>
      <c r="AB53" s="38" t="e">
        <f>IF(AND('Mapa final'!#REF!="Muy Baja",'Mapa final'!#REF!="Mayor"),CONCATENATE("R8C",'Mapa final'!#REF!),"")</f>
        <v>#REF!</v>
      </c>
      <c r="AC53" s="39" t="e">
        <f>IF(AND('Mapa final'!#REF!="Muy Baja",'Mapa final'!#REF!="Mayor"),CONCATENATE("R8C",'Mapa final'!#REF!),"")</f>
        <v>#REF!</v>
      </c>
      <c r="AD53" s="39" t="e">
        <f>IF(AND('Mapa final'!#REF!="Muy Baja",'Mapa final'!#REF!="Mayor"),CONCATENATE("R8C",'Mapa final'!#REF!),"")</f>
        <v>#REF!</v>
      </c>
      <c r="AE53" s="39" t="e">
        <f>IF(AND('Mapa final'!#REF!="Muy Baja",'Mapa final'!#REF!="Mayor"),CONCATENATE("R8C",'Mapa final'!#REF!),"")</f>
        <v>#REF!</v>
      </c>
      <c r="AF53" s="39" t="e">
        <f>IF(AND('Mapa final'!#REF!="Muy Baja",'Mapa final'!#REF!="Mayor"),CONCATENATE("R8C",'Mapa final'!#REF!),"")</f>
        <v>#REF!</v>
      </c>
      <c r="AG53" s="40" t="e">
        <f>IF(AND('Mapa final'!#REF!="Muy Baja",'Mapa final'!#REF!="Mayor"),CONCATENATE("R8C",'Mapa final'!#REF!),"")</f>
        <v>#REF!</v>
      </c>
      <c r="AH53" s="41" t="e">
        <f>IF(AND('Mapa final'!#REF!="Muy Baja",'Mapa final'!#REF!="Catastrófico"),CONCATENATE("R8C",'Mapa final'!#REF!),"")</f>
        <v>#REF!</v>
      </c>
      <c r="AI53" s="42" t="e">
        <f>IF(AND('Mapa final'!#REF!="Muy Baja",'Mapa final'!#REF!="Catastrófico"),CONCATENATE("R8C",'Mapa final'!#REF!),"")</f>
        <v>#REF!</v>
      </c>
      <c r="AJ53" s="42" t="e">
        <f>IF(AND('Mapa final'!#REF!="Muy Baja",'Mapa final'!#REF!="Catastrófico"),CONCATENATE("R8C",'Mapa final'!#REF!),"")</f>
        <v>#REF!</v>
      </c>
      <c r="AK53" s="42" t="e">
        <f>IF(AND('Mapa final'!#REF!="Muy Baja",'Mapa final'!#REF!="Catastrófico"),CONCATENATE("R8C",'Mapa final'!#REF!),"")</f>
        <v>#REF!</v>
      </c>
      <c r="AL53" s="42" t="e">
        <f>IF(AND('Mapa final'!#REF!="Muy Baja",'Mapa final'!#REF!="Catastrófico"),CONCATENATE("R8C",'Mapa final'!#REF!),"")</f>
        <v>#REF!</v>
      </c>
      <c r="AM53" s="43" t="e">
        <f>IF(AND('Mapa final'!#REF!="Muy Baja",'Mapa final'!#REF!="Catastrófico"),CONCATENATE("R8C",'Mapa final'!#REF!),"")</f>
        <v>#REF!</v>
      </c>
      <c r="AN53" s="69"/>
      <c r="AO53" s="69"/>
      <c r="AP53" s="69"/>
      <c r="AQ53" s="69"/>
      <c r="AR53" s="69"/>
      <c r="AS53" s="69"/>
      <c r="AT53" s="69"/>
      <c r="AU53" s="69"/>
      <c r="AV53" s="69"/>
      <c r="AW53" s="69"/>
      <c r="AX53" s="69"/>
      <c r="AY53" s="69"/>
      <c r="AZ53" s="69"/>
      <c r="BA53" s="69"/>
      <c r="BB53" s="69"/>
      <c r="BC53" s="69"/>
      <c r="BD53" s="69"/>
      <c r="BE53" s="69"/>
      <c r="BF53" s="69"/>
      <c r="BG53" s="69"/>
      <c r="BH53" s="69"/>
      <c r="BI53" s="69"/>
      <c r="BJ53" s="69"/>
      <c r="BK53" s="69"/>
      <c r="BL53" s="69"/>
      <c r="BM53" s="69"/>
      <c r="BN53" s="69"/>
      <c r="BO53" s="69"/>
      <c r="BP53" s="69"/>
      <c r="BQ53" s="69"/>
      <c r="BR53" s="69"/>
      <c r="BS53" s="69"/>
      <c r="BT53" s="69"/>
      <c r="BU53" s="69"/>
      <c r="BV53" s="69"/>
      <c r="BW53" s="69"/>
      <c r="BX53" s="69"/>
      <c r="BY53" s="69"/>
      <c r="BZ53" s="69"/>
      <c r="CA53" s="69"/>
      <c r="CB53" s="69"/>
    </row>
    <row r="54" spans="1:80" ht="15" customHeight="1" x14ac:dyDescent="0.25">
      <c r="A54" s="69"/>
      <c r="B54" s="267"/>
      <c r="C54" s="267"/>
      <c r="D54" s="268"/>
      <c r="E54" s="366"/>
      <c r="F54" s="365"/>
      <c r="G54" s="365"/>
      <c r="H54" s="365"/>
      <c r="I54" s="381"/>
      <c r="J54" s="62" t="e">
        <f>IF(AND('Mapa final'!#REF!="Muy Baja",'Mapa final'!#REF!="Leve"),CONCATENATE("R9C",'Mapa final'!#REF!),"")</f>
        <v>#REF!</v>
      </c>
      <c r="K54" s="63" t="e">
        <f>IF(AND('Mapa final'!#REF!="Muy Baja",'Mapa final'!#REF!="Leve"),CONCATENATE("R9C",'Mapa final'!#REF!),"")</f>
        <v>#REF!</v>
      </c>
      <c r="L54" s="63" t="e">
        <f>IF(AND('Mapa final'!#REF!="Muy Baja",'Mapa final'!#REF!="Leve"),CONCATENATE("R9C",'Mapa final'!#REF!),"")</f>
        <v>#REF!</v>
      </c>
      <c r="M54" s="63" t="e">
        <f>IF(AND('Mapa final'!#REF!="Muy Baja",'Mapa final'!#REF!="Leve"),CONCATENATE("R9C",'Mapa final'!#REF!),"")</f>
        <v>#REF!</v>
      </c>
      <c r="N54" s="63" t="e">
        <f>IF(AND('Mapa final'!#REF!="Muy Baja",'Mapa final'!#REF!="Leve"),CONCATENATE("R9C",'Mapa final'!#REF!),"")</f>
        <v>#REF!</v>
      </c>
      <c r="O54" s="64" t="e">
        <f>IF(AND('Mapa final'!#REF!="Muy Baja",'Mapa final'!#REF!="Leve"),CONCATENATE("R9C",'Mapa final'!#REF!),"")</f>
        <v>#REF!</v>
      </c>
      <c r="P54" s="62" t="e">
        <f>IF(AND('Mapa final'!#REF!="Muy Baja",'Mapa final'!#REF!="Menor"),CONCATENATE("R9C",'Mapa final'!#REF!),"")</f>
        <v>#REF!</v>
      </c>
      <c r="Q54" s="63" t="e">
        <f>IF(AND('Mapa final'!#REF!="Muy Baja",'Mapa final'!#REF!="Menor"),CONCATENATE("R9C",'Mapa final'!#REF!),"")</f>
        <v>#REF!</v>
      </c>
      <c r="R54" s="63" t="e">
        <f>IF(AND('Mapa final'!#REF!="Muy Baja",'Mapa final'!#REF!="Menor"),CONCATENATE("R9C",'Mapa final'!#REF!),"")</f>
        <v>#REF!</v>
      </c>
      <c r="S54" s="63" t="e">
        <f>IF(AND('Mapa final'!#REF!="Muy Baja",'Mapa final'!#REF!="Menor"),CONCATENATE("R9C",'Mapa final'!#REF!),"")</f>
        <v>#REF!</v>
      </c>
      <c r="T54" s="63" t="e">
        <f>IF(AND('Mapa final'!#REF!="Muy Baja",'Mapa final'!#REF!="Menor"),CONCATENATE("R9C",'Mapa final'!#REF!),"")</f>
        <v>#REF!</v>
      </c>
      <c r="U54" s="64" t="e">
        <f>IF(AND('Mapa final'!#REF!="Muy Baja",'Mapa final'!#REF!="Menor"),CONCATENATE("R9C",'Mapa final'!#REF!),"")</f>
        <v>#REF!</v>
      </c>
      <c r="V54" s="53" t="e">
        <f>IF(AND('Mapa final'!#REF!="Muy Baja",'Mapa final'!#REF!="Moderado"),CONCATENATE("R9C",'Mapa final'!#REF!),"")</f>
        <v>#REF!</v>
      </c>
      <c r="W54" s="54" t="e">
        <f>IF(AND('Mapa final'!#REF!="Muy Baja",'Mapa final'!#REF!="Moderado"),CONCATENATE("R9C",'Mapa final'!#REF!),"")</f>
        <v>#REF!</v>
      </c>
      <c r="X54" s="54" t="e">
        <f>IF(AND('Mapa final'!#REF!="Muy Baja",'Mapa final'!#REF!="Moderado"),CONCATENATE("R9C",'Mapa final'!#REF!),"")</f>
        <v>#REF!</v>
      </c>
      <c r="Y54" s="54" t="e">
        <f>IF(AND('Mapa final'!#REF!="Muy Baja",'Mapa final'!#REF!="Moderado"),CONCATENATE("R9C",'Mapa final'!#REF!),"")</f>
        <v>#REF!</v>
      </c>
      <c r="Z54" s="54" t="e">
        <f>IF(AND('Mapa final'!#REF!="Muy Baja",'Mapa final'!#REF!="Moderado"),CONCATENATE("R9C",'Mapa final'!#REF!),"")</f>
        <v>#REF!</v>
      </c>
      <c r="AA54" s="55" t="e">
        <f>IF(AND('Mapa final'!#REF!="Muy Baja",'Mapa final'!#REF!="Moderado"),CONCATENATE("R9C",'Mapa final'!#REF!),"")</f>
        <v>#REF!</v>
      </c>
      <c r="AB54" s="38" t="e">
        <f>IF(AND('Mapa final'!#REF!="Muy Baja",'Mapa final'!#REF!="Mayor"),CONCATENATE("R9C",'Mapa final'!#REF!),"")</f>
        <v>#REF!</v>
      </c>
      <c r="AC54" s="39" t="e">
        <f>IF(AND('Mapa final'!#REF!="Muy Baja",'Mapa final'!#REF!="Mayor"),CONCATENATE("R9C",'Mapa final'!#REF!),"")</f>
        <v>#REF!</v>
      </c>
      <c r="AD54" s="39" t="e">
        <f>IF(AND('Mapa final'!#REF!="Muy Baja",'Mapa final'!#REF!="Mayor"),CONCATENATE("R9C",'Mapa final'!#REF!),"")</f>
        <v>#REF!</v>
      </c>
      <c r="AE54" s="39" t="e">
        <f>IF(AND('Mapa final'!#REF!="Muy Baja",'Mapa final'!#REF!="Mayor"),CONCATENATE("R9C",'Mapa final'!#REF!),"")</f>
        <v>#REF!</v>
      </c>
      <c r="AF54" s="39" t="e">
        <f>IF(AND('Mapa final'!#REF!="Muy Baja",'Mapa final'!#REF!="Mayor"),CONCATENATE("R9C",'Mapa final'!#REF!),"")</f>
        <v>#REF!</v>
      </c>
      <c r="AG54" s="40" t="e">
        <f>IF(AND('Mapa final'!#REF!="Muy Baja",'Mapa final'!#REF!="Mayor"),CONCATENATE("R9C",'Mapa final'!#REF!),"")</f>
        <v>#REF!</v>
      </c>
      <c r="AH54" s="41" t="e">
        <f>IF(AND('Mapa final'!#REF!="Muy Baja",'Mapa final'!#REF!="Catastrófico"),CONCATENATE("R9C",'Mapa final'!#REF!),"")</f>
        <v>#REF!</v>
      </c>
      <c r="AI54" s="42" t="e">
        <f>IF(AND('Mapa final'!#REF!="Muy Baja",'Mapa final'!#REF!="Catastrófico"),CONCATENATE("R9C",'Mapa final'!#REF!),"")</f>
        <v>#REF!</v>
      </c>
      <c r="AJ54" s="42" t="e">
        <f>IF(AND('Mapa final'!#REF!="Muy Baja",'Mapa final'!#REF!="Catastrófico"),CONCATENATE("R9C",'Mapa final'!#REF!),"")</f>
        <v>#REF!</v>
      </c>
      <c r="AK54" s="42" t="e">
        <f>IF(AND('Mapa final'!#REF!="Muy Baja",'Mapa final'!#REF!="Catastrófico"),CONCATENATE("R9C",'Mapa final'!#REF!),"")</f>
        <v>#REF!</v>
      </c>
      <c r="AL54" s="42" t="e">
        <f>IF(AND('Mapa final'!#REF!="Muy Baja",'Mapa final'!#REF!="Catastrófico"),CONCATENATE("R9C",'Mapa final'!#REF!),"")</f>
        <v>#REF!</v>
      </c>
      <c r="AM54" s="43" t="e">
        <f>IF(AND('Mapa final'!#REF!="Muy Baja",'Mapa final'!#REF!="Catastrófico"),CONCATENATE("R9C",'Mapa final'!#REF!),"")</f>
        <v>#REF!</v>
      </c>
      <c r="AN54" s="69"/>
      <c r="AO54" s="69"/>
      <c r="AP54" s="69"/>
      <c r="AQ54" s="69"/>
      <c r="AR54" s="69"/>
      <c r="AS54" s="69"/>
      <c r="AT54" s="69"/>
      <c r="AU54" s="69"/>
      <c r="AV54" s="69"/>
      <c r="AW54" s="69"/>
      <c r="AX54" s="69"/>
      <c r="AY54" s="69"/>
      <c r="AZ54" s="69"/>
      <c r="BA54" s="69"/>
      <c r="BB54" s="69"/>
      <c r="BC54" s="69"/>
      <c r="BD54" s="69"/>
      <c r="BE54" s="69"/>
      <c r="BF54" s="69"/>
      <c r="BG54" s="69"/>
      <c r="BH54" s="69"/>
      <c r="BI54" s="69"/>
      <c r="BJ54" s="69"/>
      <c r="BK54" s="69"/>
      <c r="BL54" s="69"/>
      <c r="BM54" s="69"/>
      <c r="BN54" s="69"/>
      <c r="BO54" s="69"/>
      <c r="BP54" s="69"/>
      <c r="BQ54" s="69"/>
      <c r="BR54" s="69"/>
      <c r="BS54" s="69"/>
      <c r="BT54" s="69"/>
      <c r="BU54" s="69"/>
      <c r="BV54" s="69"/>
      <c r="BW54" s="69"/>
      <c r="BX54" s="69"/>
      <c r="BY54" s="69"/>
      <c r="BZ54" s="69"/>
      <c r="CA54" s="69"/>
      <c r="CB54" s="69"/>
    </row>
    <row r="55" spans="1:80" ht="15.75" customHeight="1" thickBot="1" x14ac:dyDescent="0.3">
      <c r="A55" s="69"/>
      <c r="B55" s="267"/>
      <c r="C55" s="267"/>
      <c r="D55" s="268"/>
      <c r="E55" s="367"/>
      <c r="F55" s="368"/>
      <c r="G55" s="368"/>
      <c r="H55" s="368"/>
      <c r="I55" s="382"/>
      <c r="J55" s="65" t="e">
        <f>IF(AND('Mapa final'!#REF!="Muy Baja",'Mapa final'!#REF!="Leve"),CONCATENATE("R10C",'Mapa final'!#REF!),"")</f>
        <v>#REF!</v>
      </c>
      <c r="K55" s="66" t="e">
        <f>IF(AND('Mapa final'!#REF!="Muy Baja",'Mapa final'!#REF!="Leve"),CONCATENATE("R10C",'Mapa final'!#REF!),"")</f>
        <v>#REF!</v>
      </c>
      <c r="L55" s="66" t="e">
        <f>IF(AND('Mapa final'!#REF!="Muy Baja",'Mapa final'!#REF!="Leve"),CONCATENATE("R10C",'Mapa final'!#REF!),"")</f>
        <v>#REF!</v>
      </c>
      <c r="M55" s="66" t="e">
        <f>IF(AND('Mapa final'!#REF!="Muy Baja",'Mapa final'!#REF!="Leve"),CONCATENATE("R10C",'Mapa final'!#REF!),"")</f>
        <v>#REF!</v>
      </c>
      <c r="N55" s="66" t="e">
        <f>IF(AND('Mapa final'!#REF!="Muy Baja",'Mapa final'!#REF!="Leve"),CONCATENATE("R10C",'Mapa final'!#REF!),"")</f>
        <v>#REF!</v>
      </c>
      <c r="O55" s="67" t="e">
        <f>IF(AND('Mapa final'!#REF!="Muy Baja",'Mapa final'!#REF!="Leve"),CONCATENATE("R10C",'Mapa final'!#REF!),"")</f>
        <v>#REF!</v>
      </c>
      <c r="P55" s="65" t="e">
        <f>IF(AND('Mapa final'!#REF!="Muy Baja",'Mapa final'!#REF!="Menor"),CONCATENATE("R10C",'Mapa final'!#REF!),"")</f>
        <v>#REF!</v>
      </c>
      <c r="Q55" s="66" t="e">
        <f>IF(AND('Mapa final'!#REF!="Muy Baja",'Mapa final'!#REF!="Menor"),CONCATENATE("R10C",'Mapa final'!#REF!),"")</f>
        <v>#REF!</v>
      </c>
      <c r="R55" s="66" t="e">
        <f>IF(AND('Mapa final'!#REF!="Muy Baja",'Mapa final'!#REF!="Menor"),CONCATENATE("R10C",'Mapa final'!#REF!),"")</f>
        <v>#REF!</v>
      </c>
      <c r="S55" s="66" t="e">
        <f>IF(AND('Mapa final'!#REF!="Muy Baja",'Mapa final'!#REF!="Menor"),CONCATENATE("R10C",'Mapa final'!#REF!),"")</f>
        <v>#REF!</v>
      </c>
      <c r="T55" s="66" t="e">
        <f>IF(AND('Mapa final'!#REF!="Muy Baja",'Mapa final'!#REF!="Menor"),CONCATENATE("R10C",'Mapa final'!#REF!),"")</f>
        <v>#REF!</v>
      </c>
      <c r="U55" s="67" t="e">
        <f>IF(AND('Mapa final'!#REF!="Muy Baja",'Mapa final'!#REF!="Menor"),CONCATENATE("R10C",'Mapa final'!#REF!),"")</f>
        <v>#REF!</v>
      </c>
      <c r="V55" s="56" t="e">
        <f>IF(AND('Mapa final'!#REF!="Muy Baja",'Mapa final'!#REF!="Moderado"),CONCATENATE("R10C",'Mapa final'!#REF!),"")</f>
        <v>#REF!</v>
      </c>
      <c r="W55" s="57" t="e">
        <f>IF(AND('Mapa final'!#REF!="Muy Baja",'Mapa final'!#REF!="Moderado"),CONCATENATE("R10C",'Mapa final'!#REF!),"")</f>
        <v>#REF!</v>
      </c>
      <c r="X55" s="57" t="e">
        <f>IF(AND('Mapa final'!#REF!="Muy Baja",'Mapa final'!#REF!="Moderado"),CONCATENATE("R10C",'Mapa final'!#REF!),"")</f>
        <v>#REF!</v>
      </c>
      <c r="Y55" s="57" t="e">
        <f>IF(AND('Mapa final'!#REF!="Muy Baja",'Mapa final'!#REF!="Moderado"),CONCATENATE("R10C",'Mapa final'!#REF!),"")</f>
        <v>#REF!</v>
      </c>
      <c r="Z55" s="57" t="e">
        <f>IF(AND('Mapa final'!#REF!="Muy Baja",'Mapa final'!#REF!="Moderado"),CONCATENATE("R10C",'Mapa final'!#REF!),"")</f>
        <v>#REF!</v>
      </c>
      <c r="AA55" s="58" t="e">
        <f>IF(AND('Mapa final'!#REF!="Muy Baja",'Mapa final'!#REF!="Moderado"),CONCATENATE("R10C",'Mapa final'!#REF!),"")</f>
        <v>#REF!</v>
      </c>
      <c r="AB55" s="44" t="e">
        <f>IF(AND('Mapa final'!#REF!="Muy Baja",'Mapa final'!#REF!="Mayor"),CONCATENATE("R10C",'Mapa final'!#REF!),"")</f>
        <v>#REF!</v>
      </c>
      <c r="AC55" s="45" t="e">
        <f>IF(AND('Mapa final'!#REF!="Muy Baja",'Mapa final'!#REF!="Mayor"),CONCATENATE("R10C",'Mapa final'!#REF!),"")</f>
        <v>#REF!</v>
      </c>
      <c r="AD55" s="45" t="e">
        <f>IF(AND('Mapa final'!#REF!="Muy Baja",'Mapa final'!#REF!="Mayor"),CONCATENATE("R10C",'Mapa final'!#REF!),"")</f>
        <v>#REF!</v>
      </c>
      <c r="AE55" s="45" t="e">
        <f>IF(AND('Mapa final'!#REF!="Muy Baja",'Mapa final'!#REF!="Mayor"),CONCATENATE("R10C",'Mapa final'!#REF!),"")</f>
        <v>#REF!</v>
      </c>
      <c r="AF55" s="45" t="e">
        <f>IF(AND('Mapa final'!#REF!="Muy Baja",'Mapa final'!#REF!="Mayor"),CONCATENATE("R10C",'Mapa final'!#REF!),"")</f>
        <v>#REF!</v>
      </c>
      <c r="AG55" s="46" t="e">
        <f>IF(AND('Mapa final'!#REF!="Muy Baja",'Mapa final'!#REF!="Mayor"),CONCATENATE("R10C",'Mapa final'!#REF!),"")</f>
        <v>#REF!</v>
      </c>
      <c r="AH55" s="47" t="e">
        <f>IF(AND('Mapa final'!#REF!="Muy Baja",'Mapa final'!#REF!="Catastrófico"),CONCATENATE("R10C",'Mapa final'!#REF!),"")</f>
        <v>#REF!</v>
      </c>
      <c r="AI55" s="48" t="e">
        <f>IF(AND('Mapa final'!#REF!="Muy Baja",'Mapa final'!#REF!="Catastrófico"),CONCATENATE("R10C",'Mapa final'!#REF!),"")</f>
        <v>#REF!</v>
      </c>
      <c r="AJ55" s="48" t="e">
        <f>IF(AND('Mapa final'!#REF!="Muy Baja",'Mapa final'!#REF!="Catastrófico"),CONCATENATE("R10C",'Mapa final'!#REF!),"")</f>
        <v>#REF!</v>
      </c>
      <c r="AK55" s="48" t="e">
        <f>IF(AND('Mapa final'!#REF!="Muy Baja",'Mapa final'!#REF!="Catastrófico"),CONCATENATE("R10C",'Mapa final'!#REF!),"")</f>
        <v>#REF!</v>
      </c>
      <c r="AL55" s="48" t="e">
        <f>IF(AND('Mapa final'!#REF!="Muy Baja",'Mapa final'!#REF!="Catastrófico"),CONCATENATE("R10C",'Mapa final'!#REF!),"")</f>
        <v>#REF!</v>
      </c>
      <c r="AM55" s="49" t="e">
        <f>IF(AND('Mapa final'!#REF!="Muy Baja",'Mapa final'!#REF!="Catastrófico"),CONCATENATE("R10C",'Mapa final'!#REF!),"")</f>
        <v>#REF!</v>
      </c>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row>
    <row r="56" spans="1:80" x14ac:dyDescent="0.25">
      <c r="A56" s="69"/>
      <c r="B56" s="69"/>
      <c r="C56" s="69"/>
      <c r="D56" s="69"/>
      <c r="E56" s="69"/>
      <c r="F56" s="69"/>
      <c r="G56" s="69"/>
      <c r="H56" s="69"/>
      <c r="I56" s="69"/>
      <c r="J56" s="362" t="s">
        <v>112</v>
      </c>
      <c r="K56" s="363"/>
      <c r="L56" s="363"/>
      <c r="M56" s="363"/>
      <c r="N56" s="363"/>
      <c r="O56" s="380"/>
      <c r="P56" s="362" t="s">
        <v>111</v>
      </c>
      <c r="Q56" s="363"/>
      <c r="R56" s="363"/>
      <c r="S56" s="363"/>
      <c r="T56" s="363"/>
      <c r="U56" s="380"/>
      <c r="V56" s="362" t="s">
        <v>110</v>
      </c>
      <c r="W56" s="363"/>
      <c r="X56" s="363"/>
      <c r="Y56" s="363"/>
      <c r="Z56" s="363"/>
      <c r="AA56" s="380"/>
      <c r="AB56" s="362" t="s">
        <v>109</v>
      </c>
      <c r="AC56" s="401"/>
      <c r="AD56" s="363"/>
      <c r="AE56" s="363"/>
      <c r="AF56" s="363"/>
      <c r="AG56" s="380"/>
      <c r="AH56" s="362" t="s">
        <v>108</v>
      </c>
      <c r="AI56" s="363"/>
      <c r="AJ56" s="363"/>
      <c r="AK56" s="363"/>
      <c r="AL56" s="363"/>
      <c r="AM56" s="380"/>
      <c r="AN56" s="69"/>
      <c r="AO56" s="69"/>
      <c r="AP56" s="69"/>
      <c r="AQ56" s="69"/>
      <c r="AR56" s="69"/>
      <c r="AS56" s="69"/>
      <c r="AT56" s="69"/>
      <c r="AU56" s="69"/>
      <c r="AV56" s="69"/>
      <c r="AW56" s="69"/>
      <c r="AX56" s="69"/>
      <c r="AY56" s="69"/>
      <c r="AZ56" s="69"/>
      <c r="BA56" s="69"/>
      <c r="BB56" s="69"/>
      <c r="BC56" s="69"/>
      <c r="BD56" s="69"/>
      <c r="BE56" s="69"/>
      <c r="BF56" s="69"/>
      <c r="BG56" s="69"/>
      <c r="BH56" s="69"/>
      <c r="BI56" s="69"/>
      <c r="BJ56" s="69"/>
      <c r="BK56" s="69"/>
      <c r="BL56" s="69"/>
      <c r="BM56" s="69"/>
      <c r="BN56" s="69"/>
      <c r="BO56" s="69"/>
      <c r="BP56" s="69"/>
      <c r="BQ56" s="69"/>
      <c r="BR56" s="69"/>
      <c r="BS56" s="69"/>
      <c r="BT56" s="69"/>
      <c r="BU56" s="69"/>
      <c r="BV56" s="69"/>
      <c r="BW56" s="69"/>
      <c r="BX56" s="69"/>
      <c r="BY56" s="69"/>
      <c r="BZ56" s="69"/>
      <c r="CA56" s="69"/>
      <c r="CB56" s="69"/>
    </row>
    <row r="57" spans="1:80" x14ac:dyDescent="0.25">
      <c r="A57" s="69"/>
      <c r="B57" s="69"/>
      <c r="C57" s="69"/>
      <c r="D57" s="69"/>
      <c r="E57" s="69"/>
      <c r="F57" s="69"/>
      <c r="G57" s="69"/>
      <c r="H57" s="69"/>
      <c r="I57" s="69"/>
      <c r="J57" s="366"/>
      <c r="K57" s="365"/>
      <c r="L57" s="365"/>
      <c r="M57" s="365"/>
      <c r="N57" s="365"/>
      <c r="O57" s="381"/>
      <c r="P57" s="366"/>
      <c r="Q57" s="365"/>
      <c r="R57" s="365"/>
      <c r="S57" s="365"/>
      <c r="T57" s="365"/>
      <c r="U57" s="381"/>
      <c r="V57" s="366"/>
      <c r="W57" s="365"/>
      <c r="X57" s="365"/>
      <c r="Y57" s="365"/>
      <c r="Z57" s="365"/>
      <c r="AA57" s="381"/>
      <c r="AB57" s="366"/>
      <c r="AC57" s="365"/>
      <c r="AD57" s="365"/>
      <c r="AE57" s="365"/>
      <c r="AF57" s="365"/>
      <c r="AG57" s="381"/>
      <c r="AH57" s="366"/>
      <c r="AI57" s="365"/>
      <c r="AJ57" s="365"/>
      <c r="AK57" s="365"/>
      <c r="AL57" s="365"/>
      <c r="AM57" s="381"/>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row>
    <row r="58" spans="1:80" x14ac:dyDescent="0.25">
      <c r="A58" s="69"/>
      <c r="B58" s="69"/>
      <c r="C58" s="69"/>
      <c r="D58" s="69"/>
      <c r="E58" s="69"/>
      <c r="F58" s="69"/>
      <c r="G58" s="69"/>
      <c r="H58" s="69"/>
      <c r="I58" s="69"/>
      <c r="J58" s="366"/>
      <c r="K58" s="365"/>
      <c r="L58" s="365"/>
      <c r="M58" s="365"/>
      <c r="N58" s="365"/>
      <c r="O58" s="381"/>
      <c r="P58" s="366"/>
      <c r="Q58" s="365"/>
      <c r="R58" s="365"/>
      <c r="S58" s="365"/>
      <c r="T58" s="365"/>
      <c r="U58" s="381"/>
      <c r="V58" s="366"/>
      <c r="W58" s="365"/>
      <c r="X58" s="365"/>
      <c r="Y58" s="365"/>
      <c r="Z58" s="365"/>
      <c r="AA58" s="381"/>
      <c r="AB58" s="366"/>
      <c r="AC58" s="365"/>
      <c r="AD58" s="365"/>
      <c r="AE58" s="365"/>
      <c r="AF58" s="365"/>
      <c r="AG58" s="381"/>
      <c r="AH58" s="366"/>
      <c r="AI58" s="365"/>
      <c r="AJ58" s="365"/>
      <c r="AK58" s="365"/>
      <c r="AL58" s="365"/>
      <c r="AM58" s="381"/>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row>
    <row r="59" spans="1:80" x14ac:dyDescent="0.25">
      <c r="A59" s="69"/>
      <c r="B59" s="69"/>
      <c r="C59" s="69"/>
      <c r="D59" s="69"/>
      <c r="E59" s="69"/>
      <c r="F59" s="69"/>
      <c r="G59" s="69"/>
      <c r="H59" s="69"/>
      <c r="I59" s="69"/>
      <c r="J59" s="366"/>
      <c r="K59" s="365"/>
      <c r="L59" s="365"/>
      <c r="M59" s="365"/>
      <c r="N59" s="365"/>
      <c r="O59" s="381"/>
      <c r="P59" s="366"/>
      <c r="Q59" s="365"/>
      <c r="R59" s="365"/>
      <c r="S59" s="365"/>
      <c r="T59" s="365"/>
      <c r="U59" s="381"/>
      <c r="V59" s="366"/>
      <c r="W59" s="365"/>
      <c r="X59" s="365"/>
      <c r="Y59" s="365"/>
      <c r="Z59" s="365"/>
      <c r="AA59" s="381"/>
      <c r="AB59" s="366"/>
      <c r="AC59" s="365"/>
      <c r="AD59" s="365"/>
      <c r="AE59" s="365"/>
      <c r="AF59" s="365"/>
      <c r="AG59" s="381"/>
      <c r="AH59" s="366"/>
      <c r="AI59" s="365"/>
      <c r="AJ59" s="365"/>
      <c r="AK59" s="365"/>
      <c r="AL59" s="365"/>
      <c r="AM59" s="381"/>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row>
    <row r="60" spans="1:80" x14ac:dyDescent="0.25">
      <c r="A60" s="69"/>
      <c r="B60" s="69"/>
      <c r="C60" s="69"/>
      <c r="D60" s="69"/>
      <c r="E60" s="69"/>
      <c r="F60" s="69"/>
      <c r="G60" s="69"/>
      <c r="H60" s="69"/>
      <c r="I60" s="69"/>
      <c r="J60" s="366"/>
      <c r="K60" s="365"/>
      <c r="L60" s="365"/>
      <c r="M60" s="365"/>
      <c r="N60" s="365"/>
      <c r="O60" s="381"/>
      <c r="P60" s="366"/>
      <c r="Q60" s="365"/>
      <c r="R60" s="365"/>
      <c r="S60" s="365"/>
      <c r="T60" s="365"/>
      <c r="U60" s="381"/>
      <c r="V60" s="366"/>
      <c r="W60" s="365"/>
      <c r="X60" s="365"/>
      <c r="Y60" s="365"/>
      <c r="Z60" s="365"/>
      <c r="AA60" s="381"/>
      <c r="AB60" s="366"/>
      <c r="AC60" s="365"/>
      <c r="AD60" s="365"/>
      <c r="AE60" s="365"/>
      <c r="AF60" s="365"/>
      <c r="AG60" s="381"/>
      <c r="AH60" s="366"/>
      <c r="AI60" s="365"/>
      <c r="AJ60" s="365"/>
      <c r="AK60" s="365"/>
      <c r="AL60" s="365"/>
      <c r="AM60" s="381"/>
      <c r="AN60" s="69"/>
      <c r="AO60" s="69"/>
      <c r="AP60" s="69"/>
      <c r="AQ60" s="69"/>
      <c r="AR60" s="69"/>
      <c r="AS60" s="69"/>
      <c r="AT60" s="69"/>
      <c r="AU60" s="69"/>
      <c r="AV60" s="69"/>
      <c r="AW60" s="69"/>
      <c r="AX60" s="69"/>
      <c r="AY60" s="69"/>
      <c r="AZ60" s="69"/>
      <c r="BA60" s="69"/>
      <c r="BB60" s="69"/>
      <c r="BC60" s="69"/>
      <c r="BD60" s="69"/>
      <c r="BE60" s="69"/>
      <c r="BF60" s="69"/>
      <c r="BG60" s="69"/>
      <c r="BH60" s="69"/>
      <c r="BI60" s="69"/>
      <c r="BJ60" s="69"/>
      <c r="BK60" s="69"/>
      <c r="BL60" s="69"/>
      <c r="BM60" s="69"/>
      <c r="BN60" s="69"/>
      <c r="BO60" s="69"/>
      <c r="BP60" s="69"/>
      <c r="BQ60" s="69"/>
      <c r="BR60" s="69"/>
      <c r="BS60" s="69"/>
      <c r="BT60" s="69"/>
      <c r="BU60" s="69"/>
      <c r="BV60" s="69"/>
      <c r="BW60" s="69"/>
      <c r="BX60" s="69"/>
      <c r="BY60" s="69"/>
      <c r="BZ60" s="69"/>
      <c r="CA60" s="69"/>
      <c r="CB60" s="69"/>
    </row>
    <row r="61" spans="1:80" ht="15.75" thickBot="1" x14ac:dyDescent="0.3">
      <c r="A61" s="69"/>
      <c r="B61" s="69"/>
      <c r="C61" s="69"/>
      <c r="D61" s="69"/>
      <c r="E61" s="69"/>
      <c r="F61" s="69"/>
      <c r="G61" s="69"/>
      <c r="H61" s="69"/>
      <c r="I61" s="69"/>
      <c r="J61" s="367"/>
      <c r="K61" s="368"/>
      <c r="L61" s="368"/>
      <c r="M61" s="368"/>
      <c r="N61" s="368"/>
      <c r="O61" s="382"/>
      <c r="P61" s="367"/>
      <c r="Q61" s="368"/>
      <c r="R61" s="368"/>
      <c r="S61" s="368"/>
      <c r="T61" s="368"/>
      <c r="U61" s="382"/>
      <c r="V61" s="367"/>
      <c r="W61" s="368"/>
      <c r="X61" s="368"/>
      <c r="Y61" s="368"/>
      <c r="Z61" s="368"/>
      <c r="AA61" s="382"/>
      <c r="AB61" s="367"/>
      <c r="AC61" s="368"/>
      <c r="AD61" s="368"/>
      <c r="AE61" s="368"/>
      <c r="AF61" s="368"/>
      <c r="AG61" s="382"/>
      <c r="AH61" s="367"/>
      <c r="AI61" s="368"/>
      <c r="AJ61" s="368"/>
      <c r="AK61" s="368"/>
      <c r="AL61" s="368"/>
      <c r="AM61" s="382"/>
      <c r="AN61" s="69"/>
      <c r="AO61" s="69"/>
      <c r="AP61" s="69"/>
      <c r="AQ61" s="69"/>
      <c r="AR61" s="69"/>
      <c r="AS61" s="69"/>
      <c r="AT61" s="69"/>
      <c r="AU61" s="69"/>
      <c r="AV61" s="69"/>
      <c r="AW61" s="69"/>
      <c r="AX61" s="69"/>
      <c r="AY61" s="69"/>
      <c r="AZ61" s="69"/>
      <c r="BA61" s="69"/>
      <c r="BB61" s="69"/>
      <c r="BC61" s="69"/>
      <c r="BD61" s="69"/>
      <c r="BE61" s="69"/>
      <c r="BF61" s="69"/>
      <c r="BG61" s="69"/>
      <c r="BH61" s="69"/>
      <c r="BI61" s="69"/>
      <c r="BJ61" s="69"/>
      <c r="BK61" s="69"/>
      <c r="BL61" s="69"/>
      <c r="BM61" s="69"/>
      <c r="BN61" s="69"/>
      <c r="BO61" s="69"/>
      <c r="BP61" s="69"/>
      <c r="BQ61" s="69"/>
      <c r="BR61" s="69"/>
      <c r="BS61" s="69"/>
      <c r="BT61" s="69"/>
      <c r="BU61" s="69"/>
      <c r="BV61" s="69"/>
      <c r="BW61" s="69"/>
      <c r="BX61" s="69"/>
      <c r="BY61" s="69"/>
      <c r="BZ61" s="69"/>
      <c r="CA61" s="69"/>
      <c r="CB61" s="69"/>
    </row>
    <row r="62" spans="1:80" x14ac:dyDescent="0.25">
      <c r="A62" s="69"/>
      <c r="B62" s="69"/>
      <c r="C62" s="69"/>
      <c r="D62" s="69"/>
      <c r="E62" s="69"/>
      <c r="F62" s="69"/>
      <c r="G62" s="69"/>
      <c r="H62" s="69"/>
      <c r="I62" s="69"/>
      <c r="J62" s="69"/>
      <c r="K62" s="69"/>
      <c r="L62" s="69"/>
      <c r="M62" s="69"/>
      <c r="N62" s="69"/>
      <c r="O62" s="69"/>
      <c r="P62" s="69"/>
      <c r="Q62" s="69"/>
      <c r="R62" s="69"/>
      <c r="S62" s="69"/>
      <c r="T62" s="69"/>
      <c r="U62" s="69"/>
      <c r="V62" s="69"/>
      <c r="W62" s="69"/>
      <c r="X62" s="69"/>
      <c r="Y62" s="69"/>
      <c r="Z62" s="69"/>
      <c r="AA62" s="69"/>
      <c r="AB62" s="69"/>
      <c r="AC62" s="69"/>
      <c r="AD62" s="69"/>
      <c r="AE62" s="69"/>
      <c r="AF62" s="69"/>
      <c r="AG62" s="69"/>
      <c r="AH62" s="69"/>
      <c r="AI62" s="69"/>
      <c r="AJ62" s="69"/>
      <c r="AK62" s="69"/>
      <c r="AL62" s="69"/>
      <c r="AM62" s="69"/>
      <c r="AN62" s="69"/>
      <c r="AO62" s="69"/>
      <c r="AP62" s="69"/>
      <c r="AQ62" s="69"/>
      <c r="AR62" s="69"/>
      <c r="AS62" s="69"/>
      <c r="AT62" s="69"/>
      <c r="AU62" s="69"/>
      <c r="AV62" s="69"/>
      <c r="AW62" s="69"/>
      <c r="AX62" s="69"/>
      <c r="AY62" s="69"/>
      <c r="AZ62" s="69"/>
      <c r="BA62" s="69"/>
      <c r="BB62" s="69"/>
      <c r="BC62" s="69"/>
      <c r="BD62" s="69"/>
      <c r="BE62" s="69"/>
      <c r="BF62" s="69"/>
      <c r="BG62" s="69"/>
      <c r="BH62" s="69"/>
    </row>
    <row r="63" spans="1:80" ht="15" customHeight="1" x14ac:dyDescent="0.25">
      <c r="A63" s="69"/>
      <c r="B63" s="73"/>
      <c r="C63" s="73"/>
      <c r="D63" s="73"/>
      <c r="E63" s="73"/>
      <c r="F63" s="73"/>
      <c r="G63" s="73"/>
      <c r="H63" s="73"/>
      <c r="I63" s="73"/>
      <c r="J63" s="73"/>
      <c r="K63" s="73"/>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69"/>
      <c r="AV63" s="69"/>
      <c r="AW63" s="69"/>
      <c r="AX63" s="69"/>
      <c r="AY63" s="69"/>
      <c r="AZ63" s="69"/>
      <c r="BA63" s="69"/>
      <c r="BB63" s="69"/>
      <c r="BC63" s="69"/>
      <c r="BD63" s="69"/>
      <c r="BE63" s="69"/>
      <c r="BF63" s="69"/>
      <c r="BG63" s="69"/>
      <c r="BH63" s="69"/>
    </row>
    <row r="64" spans="1:80" ht="15" customHeight="1" x14ac:dyDescent="0.25">
      <c r="A64" s="69"/>
      <c r="B64" s="73"/>
      <c r="C64" s="73"/>
      <c r="D64" s="73"/>
      <c r="E64" s="73"/>
      <c r="F64" s="73"/>
      <c r="G64" s="73"/>
      <c r="H64" s="73"/>
      <c r="I64" s="73"/>
      <c r="J64" s="73"/>
      <c r="K64" s="73"/>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69"/>
      <c r="AV64" s="69"/>
      <c r="AW64" s="69"/>
      <c r="AX64" s="69"/>
      <c r="AY64" s="69"/>
      <c r="AZ64" s="69"/>
      <c r="BA64" s="69"/>
      <c r="BB64" s="69"/>
      <c r="BC64" s="69"/>
      <c r="BD64" s="69"/>
      <c r="BE64" s="69"/>
      <c r="BF64" s="69"/>
      <c r="BG64" s="69"/>
      <c r="BH64" s="69"/>
    </row>
    <row r="65" spans="1:60" x14ac:dyDescent="0.25">
      <c r="A65" s="69"/>
      <c r="B65" s="69"/>
      <c r="C65" s="69"/>
      <c r="D65" s="69"/>
      <c r="E65" s="6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row>
    <row r="66" spans="1:60" x14ac:dyDescent="0.25">
      <c r="A66" s="69"/>
      <c r="B66" s="69"/>
      <c r="C66" s="69"/>
      <c r="D66" s="69"/>
      <c r="E66" s="69"/>
      <c r="F66" s="69"/>
      <c r="G66" s="69"/>
      <c r="H66" s="69"/>
      <c r="I66" s="69"/>
      <c r="J66" s="69"/>
      <c r="K66" s="69"/>
      <c r="L66" s="69"/>
      <c r="M66" s="69"/>
      <c r="N66" s="69"/>
      <c r="O66" s="69"/>
      <c r="P66" s="69"/>
      <c r="Q66" s="69"/>
      <c r="R66" s="69"/>
      <c r="S66" s="69"/>
      <c r="T66" s="69"/>
      <c r="U66" s="69"/>
      <c r="V66" s="69"/>
      <c r="W66" s="69"/>
      <c r="X66" s="69"/>
      <c r="Y66" s="69"/>
      <c r="Z66" s="69"/>
      <c r="AA66" s="69"/>
      <c r="AB66" s="69"/>
      <c r="AC66" s="69"/>
      <c r="AD66" s="69"/>
      <c r="AE66" s="69"/>
      <c r="AF66" s="69"/>
      <c r="AG66" s="69"/>
      <c r="AH66" s="69"/>
      <c r="AI66" s="69"/>
      <c r="AJ66" s="69"/>
      <c r="AK66" s="69"/>
      <c r="AL66" s="69"/>
      <c r="AM66" s="69"/>
      <c r="AN66" s="69"/>
      <c r="AO66" s="69"/>
      <c r="AP66" s="69"/>
      <c r="AQ66" s="69"/>
      <c r="AR66" s="69"/>
      <c r="AS66" s="69"/>
      <c r="AT66" s="69"/>
      <c r="AU66" s="69"/>
      <c r="AV66" s="69"/>
      <c r="AW66" s="69"/>
      <c r="AX66" s="69"/>
      <c r="AY66" s="69"/>
      <c r="AZ66" s="69"/>
      <c r="BA66" s="69"/>
      <c r="BB66" s="69"/>
      <c r="BC66" s="69"/>
      <c r="BD66" s="69"/>
      <c r="BE66" s="69"/>
      <c r="BF66" s="69"/>
      <c r="BG66" s="69"/>
      <c r="BH66" s="69"/>
    </row>
    <row r="67" spans="1:60" x14ac:dyDescent="0.25">
      <c r="A67" s="69"/>
      <c r="B67" s="69"/>
      <c r="C67" s="69"/>
      <c r="D67" s="69"/>
      <c r="E67" s="69"/>
      <c r="F67" s="69"/>
      <c r="G67" s="69"/>
      <c r="H67" s="69"/>
      <c r="I67" s="69"/>
      <c r="J67" s="69"/>
      <c r="K67" s="69"/>
      <c r="L67" s="69"/>
      <c r="M67" s="69"/>
      <c r="N67" s="69"/>
      <c r="O67" s="69"/>
      <c r="P67" s="69"/>
      <c r="Q67" s="69"/>
      <c r="R67" s="69"/>
      <c r="S67" s="69"/>
      <c r="T67" s="69"/>
      <c r="U67" s="69"/>
      <c r="V67" s="69"/>
      <c r="W67" s="69"/>
      <c r="X67" s="69"/>
      <c r="Y67" s="69"/>
      <c r="Z67" s="69"/>
      <c r="AA67" s="69"/>
      <c r="AB67" s="69"/>
      <c r="AC67" s="69"/>
      <c r="AD67" s="69"/>
      <c r="AE67" s="69"/>
      <c r="AF67" s="69"/>
      <c r="AG67" s="69"/>
      <c r="AH67" s="69"/>
      <c r="AI67" s="69"/>
      <c r="AJ67" s="69"/>
      <c r="AK67" s="69"/>
      <c r="AL67" s="69"/>
      <c r="AM67" s="69"/>
      <c r="AN67" s="69"/>
      <c r="AO67" s="69"/>
      <c r="AP67" s="69"/>
      <c r="AQ67" s="69"/>
      <c r="AR67" s="69"/>
      <c r="AS67" s="69"/>
      <c r="AT67" s="69"/>
      <c r="AU67" s="69"/>
      <c r="AV67" s="69"/>
      <c r="AW67" s="69"/>
      <c r="AX67" s="69"/>
      <c r="AY67" s="69"/>
      <c r="AZ67" s="69"/>
      <c r="BA67" s="69"/>
      <c r="BB67" s="69"/>
      <c r="BC67" s="69"/>
      <c r="BD67" s="69"/>
      <c r="BE67" s="69"/>
      <c r="BF67" s="69"/>
      <c r="BG67" s="69"/>
      <c r="BH67" s="69"/>
    </row>
    <row r="68" spans="1:60" x14ac:dyDescent="0.25">
      <c r="A68" s="69"/>
      <c r="B68" s="69"/>
      <c r="C68" s="69"/>
      <c r="D68" s="69"/>
      <c r="E68" s="69"/>
      <c r="F68" s="69"/>
      <c r="G68" s="69"/>
      <c r="H68" s="69"/>
      <c r="I68" s="69"/>
      <c r="J68" s="69"/>
      <c r="K68" s="69"/>
      <c r="L68" s="69"/>
      <c r="M68" s="69"/>
      <c r="N68" s="69"/>
      <c r="O68" s="69"/>
      <c r="P68" s="69"/>
      <c r="Q68" s="69"/>
      <c r="R68" s="69"/>
      <c r="S68" s="69"/>
      <c r="T68" s="69"/>
      <c r="U68" s="69"/>
      <c r="V68" s="69"/>
      <c r="W68" s="69"/>
      <c r="X68" s="69"/>
      <c r="Y68" s="69"/>
      <c r="Z68" s="69"/>
      <c r="AA68" s="69"/>
      <c r="AB68" s="69"/>
      <c r="AC68" s="69"/>
      <c r="AD68" s="69"/>
      <c r="AE68" s="69"/>
      <c r="AF68" s="69"/>
      <c r="AG68" s="69"/>
      <c r="AH68" s="69"/>
      <c r="AI68" s="69"/>
      <c r="AJ68" s="69"/>
      <c r="AK68" s="69"/>
      <c r="AL68" s="69"/>
      <c r="AM68" s="69"/>
      <c r="AN68" s="69"/>
      <c r="AO68" s="69"/>
      <c r="AP68" s="69"/>
      <c r="AQ68" s="69"/>
      <c r="AR68" s="69"/>
      <c r="AS68" s="69"/>
      <c r="AT68" s="69"/>
      <c r="AU68" s="69"/>
      <c r="AV68" s="69"/>
      <c r="AW68" s="69"/>
      <c r="AX68" s="69"/>
      <c r="AY68" s="69"/>
      <c r="AZ68" s="69"/>
      <c r="BA68" s="69"/>
      <c r="BB68" s="69"/>
      <c r="BC68" s="69"/>
      <c r="BD68" s="69"/>
      <c r="BE68" s="69"/>
      <c r="BF68" s="69"/>
      <c r="BG68" s="69"/>
      <c r="BH68" s="69"/>
    </row>
    <row r="69" spans="1:60" x14ac:dyDescent="0.25">
      <c r="A69" s="69"/>
      <c r="B69" s="69"/>
      <c r="C69" s="69"/>
      <c r="D69" s="69"/>
      <c r="E69" s="69"/>
      <c r="F69" s="69"/>
      <c r="G69" s="69"/>
      <c r="H69" s="69"/>
      <c r="I69" s="69"/>
      <c r="J69" s="69"/>
      <c r="K69" s="69"/>
      <c r="L69" s="69"/>
      <c r="M69" s="69"/>
      <c r="N69" s="69"/>
      <c r="O69" s="69"/>
      <c r="P69" s="69"/>
      <c r="Q69" s="69"/>
      <c r="R69" s="69"/>
      <c r="S69" s="69"/>
      <c r="T69" s="69"/>
      <c r="U69" s="69"/>
      <c r="V69" s="69"/>
      <c r="W69" s="69"/>
      <c r="X69" s="69"/>
      <c r="Y69" s="69"/>
      <c r="Z69" s="69"/>
      <c r="AA69" s="69"/>
      <c r="AB69" s="69"/>
      <c r="AC69" s="69"/>
      <c r="AD69" s="69"/>
      <c r="AE69" s="69"/>
      <c r="AF69" s="69"/>
      <c r="AG69" s="69"/>
      <c r="AH69" s="69"/>
      <c r="AI69" s="69"/>
      <c r="AJ69" s="69"/>
      <c r="AK69" s="69"/>
      <c r="AL69" s="69"/>
      <c r="AM69" s="69"/>
      <c r="AN69" s="69"/>
      <c r="AO69" s="69"/>
      <c r="AP69" s="69"/>
      <c r="AQ69" s="69"/>
      <c r="AR69" s="69"/>
      <c r="AS69" s="69"/>
      <c r="AT69" s="69"/>
      <c r="AU69" s="69"/>
      <c r="AV69" s="69"/>
      <c r="AW69" s="69"/>
      <c r="AX69" s="69"/>
      <c r="AY69" s="69"/>
      <c r="AZ69" s="69"/>
      <c r="BA69" s="69"/>
      <c r="BB69" s="69"/>
      <c r="BC69" s="69"/>
      <c r="BD69" s="69"/>
      <c r="BE69" s="69"/>
      <c r="BF69" s="69"/>
      <c r="BG69" s="69"/>
      <c r="BH69" s="69"/>
    </row>
    <row r="70" spans="1:60" x14ac:dyDescent="0.25">
      <c r="A70" s="69"/>
      <c r="B70" s="69"/>
      <c r="C70" s="69"/>
      <c r="D70" s="69"/>
      <c r="E70" s="69"/>
      <c r="F70" s="69"/>
      <c r="G70" s="69"/>
      <c r="H70" s="69"/>
      <c r="I70" s="69"/>
      <c r="J70" s="69"/>
      <c r="K70" s="69"/>
      <c r="L70" s="69"/>
      <c r="M70" s="69"/>
      <c r="N70" s="69"/>
      <c r="O70" s="69"/>
      <c r="P70" s="69"/>
      <c r="Q70" s="69"/>
      <c r="R70" s="69"/>
      <c r="S70" s="69"/>
      <c r="T70" s="69"/>
      <c r="U70" s="69"/>
      <c r="V70" s="69"/>
      <c r="W70" s="69"/>
      <c r="X70" s="69"/>
      <c r="Y70" s="69"/>
      <c r="Z70" s="69"/>
      <c r="AA70" s="69"/>
      <c r="AB70" s="69"/>
      <c r="AC70" s="69"/>
      <c r="AD70" s="69"/>
      <c r="AE70" s="69"/>
      <c r="AF70" s="69"/>
      <c r="AG70" s="69"/>
      <c r="AH70" s="69"/>
      <c r="AI70" s="69"/>
      <c r="AJ70" s="69"/>
      <c r="AK70" s="69"/>
      <c r="AL70" s="69"/>
      <c r="AM70" s="69"/>
      <c r="AN70" s="69"/>
      <c r="AO70" s="69"/>
      <c r="AP70" s="69"/>
      <c r="AQ70" s="69"/>
      <c r="AR70" s="69"/>
      <c r="AS70" s="69"/>
      <c r="AT70" s="69"/>
      <c r="AU70" s="69"/>
      <c r="AV70" s="69"/>
      <c r="AW70" s="69"/>
      <c r="AX70" s="69"/>
      <c r="AY70" s="69"/>
      <c r="AZ70" s="69"/>
      <c r="BA70" s="69"/>
      <c r="BB70" s="69"/>
      <c r="BC70" s="69"/>
      <c r="BD70" s="69"/>
      <c r="BE70" s="69"/>
      <c r="BF70" s="69"/>
      <c r="BG70" s="69"/>
      <c r="BH70" s="69"/>
    </row>
    <row r="71" spans="1:60" x14ac:dyDescent="0.25">
      <c r="A71" s="69"/>
      <c r="B71" s="69"/>
      <c r="C71" s="69"/>
      <c r="D71" s="69"/>
      <c r="E71" s="69"/>
      <c r="F71" s="69"/>
      <c r="G71" s="69"/>
      <c r="H71" s="69"/>
      <c r="I71" s="69"/>
      <c r="J71" s="69"/>
      <c r="K71" s="69"/>
      <c r="L71" s="69"/>
      <c r="M71" s="69"/>
      <c r="N71" s="69"/>
      <c r="O71" s="69"/>
      <c r="P71" s="69"/>
      <c r="Q71" s="69"/>
      <c r="R71" s="69"/>
      <c r="S71" s="69"/>
      <c r="T71" s="69"/>
      <c r="U71" s="69"/>
      <c r="V71" s="69"/>
      <c r="W71" s="69"/>
      <c r="X71" s="69"/>
      <c r="Y71" s="69"/>
      <c r="Z71" s="69"/>
      <c r="AA71" s="69"/>
      <c r="AB71" s="69"/>
      <c r="AC71" s="69"/>
      <c r="AD71" s="69"/>
      <c r="AE71" s="69"/>
      <c r="AF71" s="69"/>
      <c r="AG71" s="69"/>
      <c r="AH71" s="69"/>
      <c r="AI71" s="69"/>
      <c r="AJ71" s="69"/>
      <c r="AK71" s="69"/>
      <c r="AL71" s="69"/>
      <c r="AM71" s="69"/>
      <c r="AN71" s="69"/>
      <c r="AO71" s="69"/>
      <c r="AP71" s="69"/>
      <c r="AQ71" s="69"/>
      <c r="AR71" s="69"/>
      <c r="AS71" s="69"/>
      <c r="AT71" s="69"/>
      <c r="AU71" s="69"/>
      <c r="AV71" s="69"/>
      <c r="AW71" s="69"/>
      <c r="AX71" s="69"/>
      <c r="AY71" s="69"/>
      <c r="AZ71" s="69"/>
      <c r="BA71" s="69"/>
      <c r="BB71" s="69"/>
      <c r="BC71" s="69"/>
      <c r="BD71" s="69"/>
      <c r="BE71" s="69"/>
      <c r="BF71" s="69"/>
      <c r="BG71" s="69"/>
      <c r="BH71" s="69"/>
    </row>
    <row r="72" spans="1:60" x14ac:dyDescent="0.25">
      <c r="A72" s="69"/>
      <c r="B72" s="69"/>
      <c r="C72" s="69"/>
      <c r="D72" s="69"/>
      <c r="E72" s="69"/>
      <c r="F72" s="69"/>
      <c r="G72" s="69"/>
      <c r="H72" s="69"/>
      <c r="I72" s="69"/>
      <c r="J72" s="69"/>
      <c r="K72" s="69"/>
      <c r="L72" s="69"/>
      <c r="M72" s="69"/>
      <c r="N72" s="69"/>
      <c r="O72" s="69"/>
      <c r="P72" s="69"/>
      <c r="Q72" s="69"/>
      <c r="R72" s="69"/>
      <c r="S72" s="69"/>
      <c r="T72" s="69"/>
      <c r="U72" s="69"/>
      <c r="V72" s="69"/>
      <c r="W72" s="69"/>
      <c r="X72" s="69"/>
      <c r="Y72" s="69"/>
      <c r="Z72" s="69"/>
      <c r="AA72" s="69"/>
      <c r="AB72" s="69"/>
      <c r="AC72" s="69"/>
      <c r="AD72" s="69"/>
      <c r="AE72" s="69"/>
      <c r="AF72" s="69"/>
      <c r="AG72" s="69"/>
      <c r="AH72" s="69"/>
      <c r="AI72" s="69"/>
      <c r="AJ72" s="69"/>
      <c r="AK72" s="69"/>
      <c r="AL72" s="69"/>
      <c r="AM72" s="69"/>
      <c r="AN72" s="69"/>
      <c r="AO72" s="69"/>
      <c r="AP72" s="69"/>
      <c r="AQ72" s="69"/>
      <c r="AR72" s="69"/>
      <c r="AS72" s="69"/>
      <c r="AT72" s="69"/>
      <c r="AU72" s="69"/>
      <c r="AV72" s="69"/>
      <c r="AW72" s="69"/>
      <c r="AX72" s="69"/>
      <c r="AY72" s="69"/>
      <c r="AZ72" s="69"/>
      <c r="BA72" s="69"/>
      <c r="BB72" s="69"/>
      <c r="BC72" s="69"/>
      <c r="BD72" s="69"/>
      <c r="BE72" s="69"/>
      <c r="BF72" s="69"/>
      <c r="BG72" s="69"/>
      <c r="BH72" s="69"/>
    </row>
    <row r="73" spans="1:60" x14ac:dyDescent="0.25">
      <c r="A73" s="69"/>
      <c r="B73" s="69"/>
      <c r="C73" s="69"/>
      <c r="D73" s="69"/>
      <c r="E73" s="69"/>
      <c r="F73" s="69"/>
      <c r="G73" s="69"/>
      <c r="H73" s="69"/>
      <c r="I73" s="69"/>
      <c r="J73" s="69"/>
      <c r="K73" s="69"/>
      <c r="L73" s="69"/>
      <c r="M73" s="69"/>
      <c r="N73" s="69"/>
      <c r="O73" s="69"/>
      <c r="P73" s="69"/>
      <c r="Q73" s="69"/>
      <c r="R73" s="69"/>
      <c r="S73" s="69"/>
      <c r="T73" s="69"/>
      <c r="U73" s="69"/>
      <c r="V73" s="69"/>
      <c r="W73" s="69"/>
      <c r="X73" s="69"/>
      <c r="Y73" s="69"/>
      <c r="Z73" s="69"/>
      <c r="AA73" s="69"/>
      <c r="AB73" s="69"/>
      <c r="AC73" s="69"/>
      <c r="AD73" s="69"/>
      <c r="AE73" s="69"/>
      <c r="AF73" s="69"/>
      <c r="AG73" s="69"/>
      <c r="AH73" s="69"/>
      <c r="AI73" s="69"/>
      <c r="AJ73" s="69"/>
      <c r="AK73" s="69"/>
      <c r="AL73" s="69"/>
      <c r="AM73" s="69"/>
      <c r="AN73" s="69"/>
      <c r="AO73" s="69"/>
      <c r="AP73" s="69"/>
      <c r="AQ73" s="69"/>
      <c r="AR73" s="69"/>
      <c r="AS73" s="69"/>
      <c r="AT73" s="69"/>
      <c r="AU73" s="69"/>
      <c r="AV73" s="69"/>
      <c r="AW73" s="69"/>
      <c r="AX73" s="69"/>
      <c r="AY73" s="69"/>
      <c r="AZ73" s="69"/>
      <c r="BA73" s="69"/>
      <c r="BB73" s="69"/>
      <c r="BC73" s="69"/>
      <c r="BD73" s="69"/>
      <c r="BE73" s="69"/>
      <c r="BF73" s="69"/>
      <c r="BG73" s="69"/>
      <c r="BH73" s="69"/>
    </row>
    <row r="74" spans="1:60" x14ac:dyDescent="0.25">
      <c r="A74" s="69"/>
      <c r="B74" s="69"/>
      <c r="C74" s="69"/>
      <c r="D74" s="69"/>
      <c r="E74" s="69"/>
      <c r="F74" s="69"/>
      <c r="G74" s="69"/>
      <c r="H74" s="69"/>
      <c r="I74" s="69"/>
      <c r="J74" s="69"/>
      <c r="K74" s="69"/>
      <c r="L74" s="69"/>
      <c r="M74" s="69"/>
      <c r="N74" s="69"/>
      <c r="O74" s="69"/>
      <c r="P74" s="69"/>
      <c r="Q74" s="69"/>
      <c r="R74" s="69"/>
      <c r="S74" s="69"/>
      <c r="T74" s="69"/>
      <c r="U74" s="69"/>
      <c r="V74" s="69"/>
      <c r="W74" s="69"/>
      <c r="X74" s="69"/>
      <c r="Y74" s="69"/>
      <c r="Z74" s="69"/>
      <c r="AA74" s="69"/>
      <c r="AB74" s="69"/>
      <c r="AC74" s="69"/>
      <c r="AD74" s="69"/>
      <c r="AE74" s="69"/>
      <c r="AF74" s="69"/>
      <c r="AG74" s="69"/>
      <c r="AH74" s="69"/>
      <c r="AI74" s="69"/>
      <c r="AJ74" s="69"/>
      <c r="AK74" s="69"/>
      <c r="AL74" s="69"/>
      <c r="AM74" s="69"/>
      <c r="AN74" s="69"/>
      <c r="AO74" s="69"/>
      <c r="AP74" s="69"/>
      <c r="AQ74" s="69"/>
      <c r="AR74" s="69"/>
      <c r="AS74" s="69"/>
      <c r="AT74" s="69"/>
      <c r="AU74" s="69"/>
      <c r="AV74" s="69"/>
      <c r="AW74" s="69"/>
      <c r="AX74" s="69"/>
      <c r="AY74" s="69"/>
      <c r="AZ74" s="69"/>
      <c r="BA74" s="69"/>
      <c r="BB74" s="69"/>
      <c r="BC74" s="69"/>
      <c r="BD74" s="69"/>
      <c r="BE74" s="69"/>
      <c r="BF74" s="69"/>
      <c r="BG74" s="69"/>
      <c r="BH74" s="69"/>
    </row>
    <row r="75" spans="1:60" x14ac:dyDescent="0.25">
      <c r="A75" s="69"/>
      <c r="B75" s="69"/>
      <c r="C75" s="69"/>
      <c r="D75" s="69"/>
      <c r="E75" s="69"/>
      <c r="F75" s="69"/>
      <c r="G75" s="69"/>
      <c r="H75" s="69"/>
      <c r="I75" s="69"/>
      <c r="J75" s="69"/>
      <c r="K75" s="69"/>
      <c r="L75" s="69"/>
      <c r="M75" s="69"/>
      <c r="N75" s="69"/>
      <c r="O75" s="69"/>
      <c r="P75" s="69"/>
      <c r="Q75" s="69"/>
      <c r="R75" s="69"/>
      <c r="S75" s="69"/>
      <c r="T75" s="69"/>
      <c r="U75" s="69"/>
      <c r="V75" s="69"/>
      <c r="W75" s="69"/>
      <c r="X75" s="69"/>
      <c r="Y75" s="69"/>
      <c r="Z75" s="69"/>
      <c r="AA75" s="69"/>
      <c r="AB75" s="69"/>
      <c r="AC75" s="69"/>
      <c r="AD75" s="69"/>
      <c r="AE75" s="69"/>
      <c r="AF75" s="69"/>
      <c r="AG75" s="69"/>
      <c r="AH75" s="69"/>
      <c r="AI75" s="69"/>
      <c r="AJ75" s="69"/>
      <c r="AK75" s="69"/>
      <c r="AL75" s="69"/>
      <c r="AM75" s="69"/>
      <c r="AN75" s="69"/>
      <c r="AO75" s="69"/>
      <c r="AP75" s="69"/>
      <c r="AQ75" s="69"/>
      <c r="AR75" s="69"/>
      <c r="AS75" s="69"/>
      <c r="AT75" s="69"/>
      <c r="AU75" s="69"/>
      <c r="AV75" s="69"/>
      <c r="AW75" s="69"/>
      <c r="AX75" s="69"/>
      <c r="AY75" s="69"/>
      <c r="AZ75" s="69"/>
      <c r="BA75" s="69"/>
      <c r="BB75" s="69"/>
      <c r="BC75" s="69"/>
      <c r="BD75" s="69"/>
      <c r="BE75" s="69"/>
      <c r="BF75" s="69"/>
      <c r="BG75" s="69"/>
      <c r="BH75" s="69"/>
    </row>
    <row r="76" spans="1:60" x14ac:dyDescent="0.25">
      <c r="A76" s="69"/>
      <c r="B76" s="69"/>
      <c r="C76" s="69"/>
      <c r="D76" s="69"/>
      <c r="E76" s="69"/>
      <c r="F76" s="69"/>
      <c r="G76" s="69"/>
      <c r="H76" s="69"/>
      <c r="I76" s="69"/>
      <c r="J76" s="69"/>
      <c r="K76" s="69"/>
      <c r="L76" s="69"/>
      <c r="M76" s="69"/>
      <c r="N76" s="69"/>
      <c r="O76" s="69"/>
      <c r="P76" s="69"/>
      <c r="Q76" s="69"/>
      <c r="R76" s="69"/>
      <c r="S76" s="69"/>
      <c r="T76" s="69"/>
      <c r="U76" s="69"/>
      <c r="V76" s="69"/>
      <c r="W76" s="69"/>
      <c r="X76" s="69"/>
      <c r="Y76" s="69"/>
      <c r="Z76" s="69"/>
      <c r="AA76" s="69"/>
      <c r="AB76" s="69"/>
      <c r="AC76" s="69"/>
      <c r="AD76" s="69"/>
      <c r="AE76" s="69"/>
      <c r="AF76" s="69"/>
      <c r="AG76" s="69"/>
      <c r="AH76" s="69"/>
      <c r="AI76" s="69"/>
      <c r="AJ76" s="69"/>
      <c r="AK76" s="69"/>
      <c r="AL76" s="69"/>
      <c r="AM76" s="69"/>
      <c r="AN76" s="69"/>
      <c r="AO76" s="69"/>
      <c r="AP76" s="69"/>
      <c r="AQ76" s="69"/>
      <c r="AR76" s="69"/>
      <c r="AS76" s="69"/>
      <c r="AT76" s="69"/>
      <c r="AU76" s="69"/>
      <c r="AV76" s="69"/>
      <c r="AW76" s="69"/>
      <c r="AX76" s="69"/>
      <c r="AY76" s="69"/>
      <c r="AZ76" s="69"/>
      <c r="BA76" s="69"/>
      <c r="BB76" s="69"/>
      <c r="BC76" s="69"/>
      <c r="BD76" s="69"/>
      <c r="BE76" s="69"/>
      <c r="BF76" s="69"/>
      <c r="BG76" s="69"/>
      <c r="BH76" s="69"/>
    </row>
    <row r="77" spans="1:60" x14ac:dyDescent="0.25">
      <c r="A77" s="69"/>
      <c r="B77" s="69"/>
      <c r="C77" s="69"/>
      <c r="D77" s="69"/>
      <c r="E77" s="69"/>
      <c r="F77" s="69"/>
      <c r="G77" s="69"/>
      <c r="H77" s="69"/>
      <c r="I77" s="69"/>
      <c r="J77" s="69"/>
      <c r="K77" s="69"/>
      <c r="L77" s="69"/>
      <c r="M77" s="69"/>
      <c r="N77" s="69"/>
      <c r="O77" s="69"/>
      <c r="P77" s="69"/>
      <c r="Q77" s="69"/>
      <c r="R77" s="69"/>
      <c r="S77" s="69"/>
      <c r="T77" s="69"/>
      <c r="U77" s="69"/>
      <c r="V77" s="69"/>
      <c r="W77" s="69"/>
      <c r="X77" s="69"/>
      <c r="Y77" s="69"/>
      <c r="Z77" s="69"/>
      <c r="AA77" s="69"/>
      <c r="AB77" s="69"/>
      <c r="AC77" s="69"/>
      <c r="AD77" s="69"/>
      <c r="AE77" s="69"/>
      <c r="AF77" s="69"/>
      <c r="AG77" s="69"/>
      <c r="AH77" s="69"/>
      <c r="AI77" s="69"/>
      <c r="AJ77" s="69"/>
      <c r="AK77" s="69"/>
      <c r="AL77" s="69"/>
      <c r="AM77" s="69"/>
      <c r="AN77" s="69"/>
      <c r="AO77" s="69"/>
      <c r="AP77" s="69"/>
      <c r="AQ77" s="69"/>
      <c r="AR77" s="69"/>
      <c r="AS77" s="69"/>
      <c r="AT77" s="69"/>
      <c r="AU77" s="69"/>
      <c r="AV77" s="69"/>
      <c r="AW77" s="69"/>
      <c r="AX77" s="69"/>
      <c r="AY77" s="69"/>
      <c r="AZ77" s="69"/>
      <c r="BA77" s="69"/>
      <c r="BB77" s="69"/>
      <c r="BC77" s="69"/>
      <c r="BD77" s="69"/>
      <c r="BE77" s="69"/>
      <c r="BF77" s="69"/>
      <c r="BG77" s="69"/>
      <c r="BH77" s="69"/>
    </row>
    <row r="78" spans="1:60" x14ac:dyDescent="0.25">
      <c r="A78" s="69"/>
      <c r="B78" s="69"/>
      <c r="C78" s="69"/>
      <c r="D78" s="69"/>
      <c r="E78" s="69"/>
      <c r="F78" s="69"/>
      <c r="G78" s="69"/>
      <c r="H78" s="69"/>
      <c r="I78" s="69"/>
      <c r="J78" s="69"/>
      <c r="K78" s="69"/>
      <c r="L78" s="69"/>
      <c r="M78" s="69"/>
      <c r="N78" s="69"/>
      <c r="O78" s="69"/>
      <c r="P78" s="69"/>
      <c r="Q78" s="69"/>
      <c r="R78" s="69"/>
      <c r="S78" s="69"/>
      <c r="T78" s="69"/>
      <c r="U78" s="69"/>
      <c r="V78" s="69"/>
      <c r="W78" s="69"/>
      <c r="X78" s="69"/>
      <c r="Y78" s="69"/>
      <c r="Z78" s="69"/>
      <c r="AA78" s="69"/>
      <c r="AB78" s="69"/>
      <c r="AC78" s="69"/>
      <c r="AD78" s="69"/>
      <c r="AE78" s="69"/>
      <c r="AF78" s="69"/>
      <c r="AG78" s="69"/>
      <c r="AH78" s="69"/>
      <c r="AI78" s="69"/>
      <c r="AJ78" s="69"/>
      <c r="AK78" s="69"/>
      <c r="AL78" s="69"/>
      <c r="AM78" s="69"/>
      <c r="AN78" s="69"/>
      <c r="AO78" s="69"/>
      <c r="AP78" s="69"/>
      <c r="AQ78" s="69"/>
      <c r="AR78" s="69"/>
      <c r="AS78" s="69"/>
      <c r="AT78" s="69"/>
      <c r="AU78" s="69"/>
      <c r="AV78" s="69"/>
      <c r="AW78" s="69"/>
      <c r="AX78" s="69"/>
      <c r="AY78" s="69"/>
      <c r="AZ78" s="69"/>
      <c r="BA78" s="69"/>
      <c r="BB78" s="69"/>
      <c r="BC78" s="69"/>
      <c r="BD78" s="69"/>
      <c r="BE78" s="69"/>
      <c r="BF78" s="69"/>
      <c r="BG78" s="69"/>
      <c r="BH78" s="69"/>
    </row>
    <row r="79" spans="1:60" x14ac:dyDescent="0.25">
      <c r="A79" s="69"/>
      <c r="B79" s="69"/>
      <c r="C79" s="69"/>
      <c r="D79" s="69"/>
      <c r="E79" s="69"/>
      <c r="F79" s="69"/>
      <c r="G79" s="69"/>
      <c r="H79" s="69"/>
      <c r="I79" s="69"/>
      <c r="J79" s="69"/>
      <c r="K79" s="69"/>
      <c r="L79" s="69"/>
      <c r="M79" s="69"/>
      <c r="N79" s="69"/>
      <c r="O79" s="69"/>
      <c r="P79" s="69"/>
      <c r="Q79" s="69"/>
      <c r="R79" s="69"/>
      <c r="S79" s="69"/>
      <c r="T79" s="69"/>
      <c r="U79" s="69"/>
      <c r="V79" s="69"/>
      <c r="W79" s="69"/>
      <c r="X79" s="69"/>
      <c r="Y79" s="69"/>
      <c r="Z79" s="69"/>
      <c r="AA79" s="69"/>
      <c r="AB79" s="69"/>
      <c r="AC79" s="69"/>
      <c r="AD79" s="69"/>
      <c r="AE79" s="69"/>
      <c r="AF79" s="69"/>
      <c r="AG79" s="69"/>
      <c r="AH79" s="69"/>
      <c r="AI79" s="69"/>
      <c r="AJ79" s="69"/>
      <c r="AK79" s="69"/>
      <c r="AL79" s="69"/>
      <c r="AM79" s="69"/>
      <c r="AN79" s="69"/>
      <c r="AO79" s="69"/>
      <c r="AP79" s="69"/>
      <c r="AQ79" s="69"/>
      <c r="AR79" s="69"/>
      <c r="AS79" s="69"/>
      <c r="AT79" s="69"/>
      <c r="AU79" s="69"/>
      <c r="AV79" s="69"/>
      <c r="AW79" s="69"/>
      <c r="AX79" s="69"/>
      <c r="AY79" s="69"/>
      <c r="AZ79" s="69"/>
      <c r="BA79" s="69"/>
      <c r="BB79" s="69"/>
      <c r="BC79" s="69"/>
      <c r="BD79" s="69"/>
      <c r="BE79" s="69"/>
      <c r="BF79" s="69"/>
      <c r="BG79" s="69"/>
      <c r="BH79" s="69"/>
    </row>
    <row r="80" spans="1:60" x14ac:dyDescent="0.25">
      <c r="A80" s="69"/>
      <c r="B80" s="69"/>
      <c r="C80" s="69"/>
      <c r="D80" s="69"/>
      <c r="E80" s="69"/>
      <c r="F80" s="69"/>
      <c r="G80" s="69"/>
      <c r="H80" s="69"/>
      <c r="I80" s="69"/>
      <c r="J80" s="69"/>
      <c r="K80" s="69"/>
      <c r="L80" s="69"/>
      <c r="M80" s="69"/>
      <c r="N80" s="69"/>
      <c r="O80" s="69"/>
      <c r="P80" s="69"/>
      <c r="Q80" s="69"/>
      <c r="R80" s="69"/>
      <c r="S80" s="69"/>
      <c r="T80" s="69"/>
      <c r="U80" s="69"/>
      <c r="V80" s="69"/>
      <c r="W80" s="69"/>
      <c r="X80" s="69"/>
      <c r="Y80" s="69"/>
      <c r="Z80" s="69"/>
      <c r="AA80" s="69"/>
      <c r="AB80" s="69"/>
      <c r="AC80" s="69"/>
      <c r="AD80" s="69"/>
      <c r="AE80" s="69"/>
      <c r="AF80" s="69"/>
      <c r="AG80" s="69"/>
      <c r="AH80" s="69"/>
      <c r="AI80" s="69"/>
      <c r="AJ80" s="69"/>
      <c r="AK80" s="69"/>
      <c r="AL80" s="69"/>
      <c r="AM80" s="69"/>
      <c r="AN80" s="69"/>
      <c r="AO80" s="69"/>
      <c r="AP80" s="69"/>
      <c r="AQ80" s="69"/>
      <c r="AR80" s="69"/>
      <c r="AS80" s="69"/>
      <c r="AT80" s="69"/>
      <c r="AU80" s="69"/>
      <c r="AV80" s="69"/>
      <c r="AW80" s="69"/>
      <c r="AX80" s="69"/>
      <c r="AY80" s="69"/>
      <c r="AZ80" s="69"/>
      <c r="BA80" s="69"/>
      <c r="BB80" s="69"/>
      <c r="BC80" s="69"/>
      <c r="BD80" s="69"/>
      <c r="BE80" s="69"/>
      <c r="BF80" s="69"/>
      <c r="BG80" s="69"/>
      <c r="BH80" s="69"/>
    </row>
    <row r="81" spans="1:60" x14ac:dyDescent="0.25">
      <c r="A81" s="69"/>
      <c r="B81" s="69"/>
      <c r="C81" s="69"/>
      <c r="D81" s="69"/>
      <c r="E81" s="69"/>
      <c r="F81" s="69"/>
      <c r="G81" s="69"/>
      <c r="H81" s="69"/>
      <c r="I81" s="69"/>
      <c r="J81" s="69"/>
      <c r="K81" s="69"/>
      <c r="L81" s="69"/>
      <c r="M81" s="69"/>
      <c r="N81" s="69"/>
      <c r="O81" s="69"/>
      <c r="P81" s="69"/>
      <c r="Q81" s="69"/>
      <c r="R81" s="69"/>
      <c r="S81" s="69"/>
      <c r="T81" s="69"/>
      <c r="U81" s="69"/>
      <c r="V81" s="69"/>
      <c r="W81" s="69"/>
      <c r="X81" s="69"/>
      <c r="Y81" s="69"/>
      <c r="Z81" s="69"/>
      <c r="AA81" s="69"/>
      <c r="AB81" s="69"/>
      <c r="AC81" s="69"/>
      <c r="AD81" s="69"/>
      <c r="AE81" s="69"/>
      <c r="AF81" s="69"/>
      <c r="AG81" s="69"/>
      <c r="AH81" s="69"/>
      <c r="AI81" s="69"/>
      <c r="AJ81" s="69"/>
      <c r="AK81" s="69"/>
      <c r="AL81" s="69"/>
      <c r="AM81" s="69"/>
      <c r="AN81" s="69"/>
      <c r="AO81" s="69"/>
      <c r="AP81" s="69"/>
      <c r="AQ81" s="69"/>
      <c r="AR81" s="69"/>
      <c r="AS81" s="69"/>
      <c r="AT81" s="69"/>
      <c r="AU81" s="69"/>
      <c r="AV81" s="69"/>
      <c r="AW81" s="69"/>
      <c r="AX81" s="69"/>
      <c r="AY81" s="69"/>
      <c r="AZ81" s="69"/>
      <c r="BA81" s="69"/>
      <c r="BB81" s="69"/>
      <c r="BC81" s="69"/>
      <c r="BD81" s="69"/>
      <c r="BE81" s="69"/>
      <c r="BF81" s="69"/>
      <c r="BG81" s="69"/>
      <c r="BH81" s="69"/>
    </row>
    <row r="82" spans="1:60" x14ac:dyDescent="0.25">
      <c r="A82" s="69"/>
      <c r="B82" s="69"/>
      <c r="C82" s="69"/>
      <c r="D82" s="69"/>
      <c r="E82" s="69"/>
      <c r="F82" s="69"/>
      <c r="G82" s="69"/>
      <c r="H82" s="69"/>
      <c r="I82" s="69"/>
      <c r="J82" s="69"/>
      <c r="K82" s="69"/>
      <c r="L82" s="69"/>
      <c r="M82" s="69"/>
      <c r="N82" s="69"/>
      <c r="O82" s="69"/>
      <c r="P82" s="69"/>
      <c r="Q82" s="69"/>
      <c r="R82" s="69"/>
      <c r="S82" s="69"/>
      <c r="T82" s="69"/>
      <c r="U82" s="69"/>
      <c r="V82" s="69"/>
      <c r="W82" s="69"/>
      <c r="X82" s="69"/>
      <c r="Y82" s="69"/>
      <c r="Z82" s="69"/>
      <c r="AA82" s="69"/>
      <c r="AB82" s="69"/>
      <c r="AC82" s="69"/>
      <c r="AD82" s="69"/>
      <c r="AE82" s="69"/>
      <c r="AF82" s="69"/>
      <c r="AG82" s="69"/>
      <c r="AH82" s="69"/>
      <c r="AI82" s="69"/>
      <c r="AJ82" s="69"/>
      <c r="AK82" s="69"/>
      <c r="AL82" s="69"/>
      <c r="AM82" s="69"/>
      <c r="AN82" s="69"/>
      <c r="AO82" s="69"/>
      <c r="AP82" s="69"/>
      <c r="AQ82" s="69"/>
      <c r="AR82" s="69"/>
      <c r="AS82" s="69"/>
      <c r="AT82" s="69"/>
      <c r="AU82" s="69"/>
      <c r="AV82" s="69"/>
      <c r="AW82" s="69"/>
      <c r="AX82" s="69"/>
      <c r="AY82" s="69"/>
      <c r="AZ82" s="69"/>
      <c r="BA82" s="69"/>
      <c r="BB82" s="69"/>
      <c r="BC82" s="69"/>
      <c r="BD82" s="69"/>
      <c r="BE82" s="69"/>
      <c r="BF82" s="69"/>
      <c r="BG82" s="69"/>
      <c r="BH82" s="69"/>
    </row>
    <row r="83" spans="1:60" x14ac:dyDescent="0.25">
      <c r="A83" s="69"/>
      <c r="B83" s="69"/>
      <c r="C83" s="69"/>
      <c r="D83" s="69"/>
      <c r="E83" s="69"/>
      <c r="F83" s="69"/>
      <c r="G83" s="69"/>
      <c r="H83" s="69"/>
      <c r="I83" s="69"/>
      <c r="J83" s="69"/>
      <c r="K83" s="69"/>
      <c r="L83" s="69"/>
      <c r="M83" s="69"/>
      <c r="N83" s="69"/>
      <c r="O83" s="69"/>
      <c r="P83" s="69"/>
      <c r="Q83" s="69"/>
      <c r="R83" s="69"/>
      <c r="S83" s="69"/>
      <c r="T83" s="69"/>
      <c r="U83" s="69"/>
      <c r="V83" s="69"/>
      <c r="W83" s="69"/>
      <c r="X83" s="69"/>
      <c r="Y83" s="69"/>
      <c r="Z83" s="69"/>
      <c r="AA83" s="69"/>
      <c r="AB83" s="69"/>
      <c r="AC83" s="69"/>
      <c r="AD83" s="69"/>
      <c r="AE83" s="69"/>
      <c r="AF83" s="69"/>
      <c r="AG83" s="69"/>
      <c r="AH83" s="69"/>
      <c r="AI83" s="69"/>
      <c r="AJ83" s="69"/>
      <c r="AK83" s="69"/>
      <c r="AL83" s="69"/>
      <c r="AM83" s="69"/>
      <c r="AN83" s="69"/>
      <c r="AO83" s="69"/>
      <c r="AP83" s="69"/>
      <c r="AQ83" s="69"/>
      <c r="AR83" s="69"/>
      <c r="AS83" s="69"/>
      <c r="AT83" s="69"/>
      <c r="AU83" s="69"/>
      <c r="AV83" s="69"/>
      <c r="AW83" s="69"/>
      <c r="AX83" s="69"/>
      <c r="AY83" s="69"/>
      <c r="AZ83" s="69"/>
      <c r="BA83" s="69"/>
      <c r="BB83" s="69"/>
      <c r="BC83" s="69"/>
      <c r="BD83" s="69"/>
      <c r="BE83" s="69"/>
      <c r="BF83" s="69"/>
      <c r="BG83" s="69"/>
      <c r="BH83" s="69"/>
    </row>
    <row r="84" spans="1:60" x14ac:dyDescent="0.25">
      <c r="A84" s="69"/>
      <c r="B84" s="69"/>
      <c r="C84" s="69"/>
      <c r="D84" s="69"/>
      <c r="E84" s="69"/>
      <c r="F84" s="69"/>
      <c r="G84" s="69"/>
      <c r="H84" s="69"/>
      <c r="I84" s="69"/>
      <c r="J84" s="69"/>
      <c r="K84" s="69"/>
      <c r="L84" s="69"/>
      <c r="M84" s="69"/>
      <c r="N84" s="69"/>
      <c r="O84" s="69"/>
      <c r="P84" s="69"/>
      <c r="Q84" s="69"/>
      <c r="R84" s="69"/>
      <c r="S84" s="69"/>
      <c r="T84" s="69"/>
      <c r="U84" s="69"/>
      <c r="V84" s="69"/>
      <c r="W84" s="69"/>
      <c r="X84" s="69"/>
      <c r="Y84" s="69"/>
      <c r="Z84" s="69"/>
      <c r="AA84" s="69"/>
      <c r="AB84" s="69"/>
      <c r="AC84" s="69"/>
      <c r="AD84" s="69"/>
      <c r="AE84" s="69"/>
      <c r="AF84" s="69"/>
      <c r="AG84" s="69"/>
      <c r="AH84" s="69"/>
      <c r="AI84" s="69"/>
      <c r="AJ84" s="69"/>
      <c r="AK84" s="69"/>
      <c r="AL84" s="69"/>
      <c r="AM84" s="69"/>
      <c r="AN84" s="69"/>
      <c r="AO84" s="69"/>
      <c r="AP84" s="69"/>
      <c r="AQ84" s="69"/>
      <c r="AR84" s="69"/>
      <c r="AS84" s="69"/>
      <c r="AT84" s="69"/>
      <c r="AU84" s="69"/>
      <c r="AV84" s="69"/>
      <c r="AW84" s="69"/>
      <c r="AX84" s="69"/>
      <c r="AY84" s="69"/>
      <c r="AZ84" s="69"/>
      <c r="BA84" s="69"/>
      <c r="BB84" s="69"/>
      <c r="BC84" s="69"/>
      <c r="BD84" s="69"/>
      <c r="BE84" s="69"/>
      <c r="BF84" s="69"/>
      <c r="BG84" s="69"/>
      <c r="BH84" s="69"/>
    </row>
    <row r="85" spans="1:60" x14ac:dyDescent="0.25">
      <c r="A85" s="69"/>
      <c r="B85" s="69"/>
      <c r="C85" s="69"/>
      <c r="D85" s="69"/>
      <c r="E85" s="69"/>
      <c r="F85" s="69"/>
      <c r="G85" s="69"/>
      <c r="H85" s="69"/>
      <c r="I85" s="69"/>
      <c r="J85" s="69"/>
      <c r="K85" s="69"/>
      <c r="L85" s="69"/>
      <c r="M85" s="69"/>
      <c r="N85" s="69"/>
      <c r="O85" s="69"/>
      <c r="P85" s="69"/>
      <c r="Q85" s="69"/>
      <c r="R85" s="69"/>
      <c r="S85" s="69"/>
      <c r="T85" s="69"/>
      <c r="U85" s="69"/>
      <c r="V85" s="69"/>
      <c r="W85" s="69"/>
      <c r="X85" s="69"/>
      <c r="Y85" s="69"/>
      <c r="Z85" s="69"/>
      <c r="AA85" s="69"/>
      <c r="AB85" s="69"/>
      <c r="AC85" s="69"/>
      <c r="AD85" s="69"/>
      <c r="AE85" s="69"/>
      <c r="AF85" s="69"/>
      <c r="AG85" s="69"/>
      <c r="AH85" s="69"/>
      <c r="AI85" s="69"/>
      <c r="AJ85" s="69"/>
      <c r="AK85" s="69"/>
      <c r="AL85" s="69"/>
      <c r="AM85" s="69"/>
      <c r="AN85" s="69"/>
      <c r="AO85" s="69"/>
      <c r="AP85" s="69"/>
      <c r="AQ85" s="69"/>
      <c r="AR85" s="69"/>
      <c r="AS85" s="69"/>
      <c r="AT85" s="69"/>
      <c r="AU85" s="69"/>
      <c r="AV85" s="69"/>
      <c r="AW85" s="69"/>
      <c r="AX85" s="69"/>
      <c r="AY85" s="69"/>
      <c r="AZ85" s="69"/>
      <c r="BA85" s="69"/>
      <c r="BB85" s="69"/>
      <c r="BC85" s="69"/>
      <c r="BD85" s="69"/>
      <c r="BE85" s="69"/>
      <c r="BF85" s="69"/>
      <c r="BG85" s="69"/>
      <c r="BH85" s="69"/>
    </row>
    <row r="86" spans="1:60" x14ac:dyDescent="0.25">
      <c r="A86" s="69"/>
      <c r="B86" s="69"/>
      <c r="C86" s="69"/>
      <c r="D86" s="69"/>
      <c r="E86" s="69"/>
      <c r="F86" s="69"/>
      <c r="G86" s="69"/>
      <c r="H86" s="69"/>
      <c r="I86" s="69"/>
      <c r="J86" s="69"/>
      <c r="K86" s="69"/>
      <c r="L86" s="69"/>
      <c r="M86" s="69"/>
      <c r="N86" s="69"/>
      <c r="O86" s="69"/>
      <c r="P86" s="69"/>
      <c r="Q86" s="69"/>
      <c r="R86" s="69"/>
      <c r="S86" s="69"/>
      <c r="T86" s="69"/>
      <c r="U86" s="69"/>
      <c r="V86" s="69"/>
      <c r="W86" s="69"/>
      <c r="X86" s="69"/>
      <c r="Y86" s="69"/>
      <c r="Z86" s="69"/>
      <c r="AA86" s="69"/>
      <c r="AB86" s="69"/>
      <c r="AC86" s="69"/>
      <c r="AD86" s="69"/>
      <c r="AE86" s="69"/>
      <c r="AF86" s="69"/>
      <c r="AG86" s="69"/>
      <c r="AH86" s="69"/>
      <c r="AI86" s="69"/>
      <c r="AJ86" s="69"/>
      <c r="AK86" s="69"/>
      <c r="AL86" s="69"/>
      <c r="AM86" s="69"/>
      <c r="AN86" s="69"/>
      <c r="AO86" s="69"/>
      <c r="AP86" s="69"/>
      <c r="AQ86" s="69"/>
      <c r="AR86" s="69"/>
      <c r="AS86" s="69"/>
      <c r="AT86" s="69"/>
      <c r="AU86" s="69"/>
      <c r="AV86" s="69"/>
      <c r="AW86" s="69"/>
      <c r="AX86" s="69"/>
      <c r="AY86" s="69"/>
      <c r="AZ86" s="69"/>
      <c r="BA86" s="69"/>
      <c r="BB86" s="69"/>
      <c r="BC86" s="69"/>
      <c r="BD86" s="69"/>
      <c r="BE86" s="69"/>
      <c r="BF86" s="69"/>
      <c r="BG86" s="69"/>
      <c r="BH86" s="69"/>
    </row>
    <row r="87" spans="1:60" x14ac:dyDescent="0.25">
      <c r="A87" s="69"/>
      <c r="B87" s="69"/>
      <c r="C87" s="69"/>
      <c r="D87" s="69"/>
      <c r="E87" s="69"/>
      <c r="F87" s="69"/>
      <c r="G87" s="69"/>
      <c r="H87" s="69"/>
      <c r="I87" s="69"/>
      <c r="J87" s="69"/>
      <c r="K87" s="69"/>
      <c r="L87" s="69"/>
      <c r="M87" s="69"/>
      <c r="N87" s="69"/>
      <c r="O87" s="69"/>
      <c r="P87" s="69"/>
      <c r="Q87" s="69"/>
      <c r="R87" s="69"/>
      <c r="S87" s="69"/>
      <c r="T87" s="69"/>
      <c r="U87" s="69"/>
      <c r="V87" s="69"/>
      <c r="W87" s="69"/>
      <c r="X87" s="69"/>
      <c r="Y87" s="69"/>
      <c r="Z87" s="69"/>
      <c r="AA87" s="69"/>
      <c r="AB87" s="69"/>
      <c r="AC87" s="69"/>
      <c r="AD87" s="69"/>
      <c r="AE87" s="69"/>
      <c r="AF87" s="69"/>
      <c r="AG87" s="69"/>
      <c r="AH87" s="69"/>
      <c r="AI87" s="69"/>
      <c r="AJ87" s="69"/>
      <c r="AK87" s="69"/>
      <c r="AL87" s="69"/>
      <c r="AM87" s="69"/>
      <c r="AN87" s="69"/>
      <c r="AO87" s="69"/>
      <c r="AP87" s="69"/>
      <c r="AQ87" s="69"/>
      <c r="AR87" s="69"/>
      <c r="AS87" s="69"/>
      <c r="AT87" s="69"/>
      <c r="AU87" s="69"/>
      <c r="AV87" s="69"/>
      <c r="AW87" s="69"/>
      <c r="AX87" s="69"/>
      <c r="AY87" s="69"/>
      <c r="AZ87" s="69"/>
      <c r="BA87" s="69"/>
      <c r="BB87" s="69"/>
      <c r="BC87" s="69"/>
      <c r="BD87" s="69"/>
      <c r="BE87" s="69"/>
      <c r="BF87" s="69"/>
      <c r="BG87" s="69"/>
      <c r="BH87" s="69"/>
    </row>
    <row r="88" spans="1:60" x14ac:dyDescent="0.25">
      <c r="A88" s="69"/>
      <c r="B88" s="69"/>
      <c r="C88" s="69"/>
      <c r="D88" s="69"/>
      <c r="E88" s="69"/>
      <c r="F88" s="69"/>
      <c r="G88" s="69"/>
      <c r="H88" s="69"/>
      <c r="I88" s="69"/>
      <c r="J88" s="69"/>
      <c r="K88" s="69"/>
      <c r="L88" s="69"/>
      <c r="M88" s="69"/>
      <c r="N88" s="69"/>
      <c r="O88" s="69"/>
      <c r="P88" s="69"/>
      <c r="Q88" s="69"/>
      <c r="R88" s="69"/>
      <c r="S88" s="69"/>
      <c r="T88" s="69"/>
      <c r="U88" s="69"/>
      <c r="V88" s="69"/>
      <c r="W88" s="69"/>
      <c r="X88" s="69"/>
      <c r="Y88" s="69"/>
      <c r="Z88" s="69"/>
      <c r="AA88" s="69"/>
      <c r="AB88" s="69"/>
      <c r="AC88" s="69"/>
      <c r="AD88" s="69"/>
      <c r="AE88" s="69"/>
      <c r="AF88" s="69"/>
      <c r="AG88" s="69"/>
      <c r="AH88" s="69"/>
      <c r="AI88" s="69"/>
      <c r="AJ88" s="69"/>
      <c r="AK88" s="69"/>
      <c r="AL88" s="69"/>
      <c r="AM88" s="69"/>
      <c r="AN88" s="69"/>
      <c r="AO88" s="69"/>
      <c r="AP88" s="69"/>
      <c r="AQ88" s="69"/>
      <c r="AR88" s="69"/>
      <c r="AS88" s="69"/>
      <c r="AT88" s="69"/>
      <c r="AU88" s="69"/>
      <c r="AV88" s="69"/>
      <c r="AW88" s="69"/>
      <c r="AX88" s="69"/>
      <c r="AY88" s="69"/>
      <c r="AZ88" s="69"/>
      <c r="BA88" s="69"/>
      <c r="BB88" s="69"/>
      <c r="BC88" s="69"/>
      <c r="BD88" s="69"/>
      <c r="BE88" s="69"/>
      <c r="BF88" s="69"/>
      <c r="BG88" s="69"/>
      <c r="BH88" s="69"/>
    </row>
    <row r="89" spans="1:60" x14ac:dyDescent="0.25">
      <c r="A89" s="69"/>
      <c r="B89" s="69"/>
      <c r="C89" s="69"/>
      <c r="D89" s="69"/>
      <c r="E89" s="69"/>
      <c r="F89" s="69"/>
      <c r="G89" s="69"/>
      <c r="H89" s="69"/>
      <c r="I89" s="69"/>
      <c r="J89" s="69"/>
      <c r="K89" s="69"/>
      <c r="L89" s="69"/>
      <c r="M89" s="69"/>
      <c r="N89" s="69"/>
      <c r="O89" s="69"/>
      <c r="P89" s="69"/>
      <c r="Q89" s="69"/>
      <c r="R89" s="69"/>
      <c r="S89" s="69"/>
      <c r="T89" s="69"/>
      <c r="U89" s="69"/>
      <c r="V89" s="69"/>
      <c r="W89" s="69"/>
      <c r="X89" s="69"/>
      <c r="Y89" s="69"/>
      <c r="Z89" s="69"/>
      <c r="AA89" s="69"/>
      <c r="AB89" s="69"/>
      <c r="AC89" s="69"/>
      <c r="AD89" s="69"/>
      <c r="AE89" s="69"/>
      <c r="AF89" s="69"/>
      <c r="AG89" s="69"/>
      <c r="AH89" s="69"/>
      <c r="AI89" s="69"/>
      <c r="AJ89" s="69"/>
      <c r="AK89" s="69"/>
      <c r="AL89" s="69"/>
      <c r="AM89" s="69"/>
      <c r="AN89" s="69"/>
      <c r="AO89" s="69"/>
      <c r="AP89" s="69"/>
      <c r="AQ89" s="69"/>
      <c r="AR89" s="69"/>
      <c r="AS89" s="69"/>
      <c r="AT89" s="69"/>
      <c r="AU89" s="69"/>
      <c r="AV89" s="69"/>
      <c r="AW89" s="69"/>
      <c r="AX89" s="69"/>
      <c r="AY89" s="69"/>
      <c r="AZ89" s="69"/>
      <c r="BA89" s="69"/>
      <c r="BB89" s="69"/>
      <c r="BC89" s="69"/>
      <c r="BD89" s="69"/>
      <c r="BE89" s="69"/>
      <c r="BF89" s="69"/>
      <c r="BG89" s="69"/>
      <c r="BH89" s="69"/>
    </row>
    <row r="90" spans="1:60" x14ac:dyDescent="0.25">
      <c r="A90" s="69"/>
      <c r="B90" s="69"/>
      <c r="C90" s="69"/>
      <c r="D90" s="69"/>
      <c r="E90" s="69"/>
      <c r="F90" s="69"/>
      <c r="G90" s="69"/>
      <c r="H90" s="69"/>
      <c r="I90" s="69"/>
      <c r="J90" s="69"/>
      <c r="K90" s="69"/>
      <c r="L90" s="69"/>
      <c r="M90" s="69"/>
      <c r="N90" s="69"/>
      <c r="O90" s="69"/>
      <c r="P90" s="69"/>
      <c r="Q90" s="69"/>
      <c r="R90" s="69"/>
      <c r="S90" s="69"/>
      <c r="T90" s="69"/>
      <c r="U90" s="69"/>
      <c r="V90" s="69"/>
      <c r="W90" s="69"/>
      <c r="X90" s="69"/>
      <c r="Y90" s="69"/>
      <c r="Z90" s="69"/>
      <c r="AA90" s="69"/>
      <c r="AB90" s="69"/>
      <c r="AC90" s="69"/>
      <c r="AD90" s="69"/>
      <c r="AE90" s="69"/>
      <c r="AF90" s="69"/>
      <c r="AG90" s="69"/>
      <c r="AH90" s="69"/>
      <c r="AI90" s="69"/>
      <c r="AJ90" s="69"/>
      <c r="AK90" s="69"/>
      <c r="AL90" s="69"/>
      <c r="AM90" s="69"/>
      <c r="AN90" s="69"/>
      <c r="AO90" s="69"/>
      <c r="AP90" s="69"/>
      <c r="AQ90" s="69"/>
      <c r="AR90" s="69"/>
      <c r="AS90" s="69"/>
      <c r="AT90" s="69"/>
      <c r="AU90" s="69"/>
      <c r="AV90" s="69"/>
      <c r="AW90" s="69"/>
      <c r="AX90" s="69"/>
      <c r="AY90" s="69"/>
      <c r="AZ90" s="69"/>
      <c r="BA90" s="69"/>
      <c r="BB90" s="69"/>
      <c r="BC90" s="69"/>
      <c r="BD90" s="69"/>
      <c r="BE90" s="69"/>
      <c r="BF90" s="69"/>
      <c r="BG90" s="69"/>
      <c r="BH90" s="69"/>
    </row>
    <row r="91" spans="1:60" x14ac:dyDescent="0.25">
      <c r="A91" s="69"/>
      <c r="B91" s="69"/>
      <c r="C91" s="69"/>
      <c r="D91" s="69"/>
      <c r="E91" s="69"/>
      <c r="F91" s="69"/>
      <c r="G91" s="69"/>
      <c r="H91" s="69"/>
      <c r="I91" s="69"/>
      <c r="J91" s="69"/>
      <c r="K91" s="69"/>
      <c r="L91" s="69"/>
      <c r="M91" s="69"/>
      <c r="N91" s="69"/>
      <c r="O91" s="69"/>
      <c r="P91" s="69"/>
      <c r="Q91" s="69"/>
      <c r="R91" s="69"/>
      <c r="S91" s="69"/>
      <c r="T91" s="69"/>
      <c r="U91" s="69"/>
      <c r="V91" s="69"/>
      <c r="W91" s="69"/>
      <c r="X91" s="69"/>
      <c r="Y91" s="69"/>
      <c r="Z91" s="69"/>
      <c r="AA91" s="69"/>
      <c r="AB91" s="69"/>
      <c r="AC91" s="69"/>
      <c r="AD91" s="69"/>
      <c r="AE91" s="69"/>
      <c r="AF91" s="69"/>
      <c r="AG91" s="69"/>
      <c r="AH91" s="69"/>
      <c r="AI91" s="69"/>
      <c r="AJ91" s="69"/>
      <c r="AK91" s="69"/>
      <c r="AL91" s="69"/>
      <c r="AM91" s="69"/>
      <c r="AN91" s="69"/>
      <c r="AO91" s="69"/>
      <c r="AP91" s="69"/>
      <c r="AQ91" s="69"/>
      <c r="AR91" s="69"/>
      <c r="AS91" s="69"/>
      <c r="AT91" s="69"/>
      <c r="AU91" s="69"/>
      <c r="AV91" s="69"/>
      <c r="AW91" s="69"/>
      <c r="AX91" s="69"/>
      <c r="AY91" s="69"/>
      <c r="AZ91" s="69"/>
      <c r="BA91" s="69"/>
      <c r="BB91" s="69"/>
      <c r="BC91" s="69"/>
      <c r="BD91" s="69"/>
      <c r="BE91" s="69"/>
      <c r="BF91" s="69"/>
      <c r="BG91" s="69"/>
      <c r="BH91" s="69"/>
    </row>
    <row r="92" spans="1:60" x14ac:dyDescent="0.25">
      <c r="A92" s="69"/>
      <c r="B92" s="69"/>
      <c r="C92" s="69"/>
      <c r="D92" s="69"/>
      <c r="E92" s="69"/>
      <c r="F92" s="69"/>
      <c r="G92" s="69"/>
      <c r="H92" s="69"/>
      <c r="I92" s="69"/>
      <c r="J92" s="69"/>
      <c r="K92" s="69"/>
      <c r="L92" s="69"/>
      <c r="M92" s="69"/>
      <c r="N92" s="69"/>
      <c r="O92" s="69"/>
      <c r="P92" s="69"/>
      <c r="Q92" s="69"/>
      <c r="R92" s="69"/>
      <c r="S92" s="69"/>
      <c r="T92" s="69"/>
      <c r="U92" s="69"/>
      <c r="V92" s="69"/>
      <c r="W92" s="69"/>
      <c r="X92" s="69"/>
      <c r="Y92" s="69"/>
      <c r="Z92" s="69"/>
      <c r="AA92" s="69"/>
      <c r="AB92" s="69"/>
      <c r="AC92" s="69"/>
      <c r="AD92" s="69"/>
      <c r="AE92" s="69"/>
      <c r="AF92" s="69"/>
      <c r="AG92" s="69"/>
      <c r="AH92" s="69"/>
      <c r="AI92" s="69"/>
      <c r="AJ92" s="69"/>
      <c r="AK92" s="69"/>
      <c r="AL92" s="69"/>
      <c r="AM92" s="69"/>
      <c r="AN92" s="69"/>
      <c r="AO92" s="69"/>
      <c r="AP92" s="69"/>
      <c r="AQ92" s="69"/>
      <c r="AR92" s="69"/>
      <c r="AS92" s="69"/>
      <c r="AT92" s="69"/>
      <c r="AU92" s="69"/>
      <c r="AV92" s="69"/>
      <c r="AW92" s="69"/>
      <c r="AX92" s="69"/>
      <c r="AY92" s="69"/>
      <c r="AZ92" s="69"/>
      <c r="BA92" s="69"/>
      <c r="BB92" s="69"/>
      <c r="BC92" s="69"/>
      <c r="BD92" s="69"/>
      <c r="BE92" s="69"/>
      <c r="BF92" s="69"/>
      <c r="BG92" s="69"/>
      <c r="BH92" s="69"/>
    </row>
    <row r="93" spans="1:60" x14ac:dyDescent="0.25">
      <c r="A93" s="69"/>
      <c r="B93" s="69"/>
      <c r="C93" s="69"/>
      <c r="D93" s="69"/>
      <c r="E93" s="69"/>
      <c r="F93" s="69"/>
      <c r="G93" s="69"/>
      <c r="H93" s="69"/>
      <c r="I93" s="69"/>
      <c r="J93" s="69"/>
      <c r="K93" s="69"/>
      <c r="L93" s="69"/>
      <c r="M93" s="69"/>
      <c r="N93" s="69"/>
      <c r="O93" s="69"/>
      <c r="P93" s="69"/>
      <c r="Q93" s="69"/>
      <c r="R93" s="69"/>
      <c r="S93" s="69"/>
      <c r="T93" s="69"/>
      <c r="U93" s="69"/>
      <c r="V93" s="69"/>
      <c r="W93" s="69"/>
      <c r="X93" s="69"/>
      <c r="Y93" s="69"/>
      <c r="Z93" s="69"/>
      <c r="AA93" s="69"/>
      <c r="AB93" s="69"/>
      <c r="AC93" s="69"/>
      <c r="AD93" s="69"/>
      <c r="AE93" s="69"/>
      <c r="AF93" s="69"/>
      <c r="AG93" s="69"/>
      <c r="AH93" s="69"/>
      <c r="AI93" s="69"/>
      <c r="AJ93" s="69"/>
      <c r="AK93" s="69"/>
      <c r="AL93" s="69"/>
      <c r="AM93" s="69"/>
      <c r="AN93" s="69"/>
      <c r="AO93" s="69"/>
      <c r="AP93" s="69"/>
      <c r="AQ93" s="69"/>
      <c r="AR93" s="69"/>
      <c r="AS93" s="69"/>
      <c r="AT93" s="69"/>
      <c r="AU93" s="69"/>
      <c r="AV93" s="69"/>
      <c r="AW93" s="69"/>
      <c r="AX93" s="69"/>
      <c r="AY93" s="69"/>
      <c r="AZ93" s="69"/>
      <c r="BA93" s="69"/>
      <c r="BB93" s="69"/>
      <c r="BC93" s="69"/>
      <c r="BD93" s="69"/>
      <c r="BE93" s="69"/>
      <c r="BF93" s="69"/>
      <c r="BG93" s="69"/>
      <c r="BH93" s="69"/>
    </row>
    <row r="94" spans="1:60" x14ac:dyDescent="0.25">
      <c r="A94" s="69"/>
      <c r="B94" s="69"/>
      <c r="C94" s="69"/>
      <c r="D94" s="69"/>
      <c r="E94" s="69"/>
      <c r="F94" s="69"/>
      <c r="G94" s="69"/>
      <c r="H94" s="69"/>
      <c r="I94" s="69"/>
      <c r="J94" s="69"/>
      <c r="K94" s="69"/>
      <c r="L94" s="69"/>
      <c r="M94" s="69"/>
      <c r="N94" s="69"/>
      <c r="O94" s="69"/>
      <c r="P94" s="69"/>
      <c r="Q94" s="69"/>
      <c r="R94" s="69"/>
      <c r="S94" s="69"/>
      <c r="T94" s="69"/>
      <c r="U94" s="69"/>
      <c r="V94" s="69"/>
      <c r="W94" s="69"/>
      <c r="X94" s="69"/>
      <c r="Y94" s="69"/>
      <c r="Z94" s="69"/>
      <c r="AA94" s="69"/>
      <c r="AB94" s="69"/>
      <c r="AC94" s="69"/>
      <c r="AD94" s="69"/>
      <c r="AE94" s="69"/>
      <c r="AF94" s="69"/>
      <c r="AG94" s="69"/>
      <c r="AH94" s="69"/>
      <c r="AI94" s="69"/>
      <c r="AJ94" s="69"/>
      <c r="AK94" s="69"/>
      <c r="AL94" s="69"/>
      <c r="AM94" s="69"/>
      <c r="AN94" s="69"/>
      <c r="AO94" s="69"/>
      <c r="AP94" s="69"/>
      <c r="AQ94" s="69"/>
      <c r="AR94" s="69"/>
      <c r="AS94" s="69"/>
      <c r="AT94" s="69"/>
      <c r="AU94" s="69"/>
      <c r="AV94" s="69"/>
      <c r="AW94" s="69"/>
      <c r="AX94" s="69"/>
      <c r="AY94" s="69"/>
      <c r="AZ94" s="69"/>
      <c r="BA94" s="69"/>
      <c r="BB94" s="69"/>
      <c r="BC94" s="69"/>
      <c r="BD94" s="69"/>
      <c r="BE94" s="69"/>
      <c r="BF94" s="69"/>
      <c r="BG94" s="69"/>
      <c r="BH94" s="69"/>
    </row>
    <row r="95" spans="1:60" x14ac:dyDescent="0.25">
      <c r="A95" s="69"/>
      <c r="B95" s="69"/>
      <c r="C95" s="69"/>
      <c r="D95" s="69"/>
      <c r="E95" s="69"/>
      <c r="F95" s="69"/>
      <c r="G95" s="69"/>
      <c r="H95" s="69"/>
      <c r="I95" s="69"/>
      <c r="J95" s="69"/>
      <c r="K95" s="69"/>
      <c r="L95" s="69"/>
      <c r="M95" s="69"/>
      <c r="N95" s="69"/>
      <c r="O95" s="69"/>
      <c r="P95" s="69"/>
      <c r="Q95" s="69"/>
      <c r="R95" s="69"/>
      <c r="S95" s="69"/>
      <c r="T95" s="69"/>
      <c r="U95" s="69"/>
      <c r="V95" s="69"/>
      <c r="W95" s="69"/>
      <c r="X95" s="69"/>
      <c r="Y95" s="69"/>
      <c r="Z95" s="69"/>
      <c r="AA95" s="69"/>
      <c r="AB95" s="69"/>
      <c r="AC95" s="69"/>
      <c r="AD95" s="69"/>
      <c r="AE95" s="69"/>
      <c r="AF95" s="69"/>
      <c r="AG95" s="69"/>
      <c r="AH95" s="69"/>
      <c r="AI95" s="69"/>
      <c r="AJ95" s="69"/>
      <c r="AK95" s="69"/>
      <c r="AL95" s="69"/>
      <c r="AM95" s="69"/>
      <c r="AN95" s="69"/>
      <c r="AO95" s="69"/>
      <c r="AP95" s="69"/>
      <c r="AQ95" s="69"/>
      <c r="AR95" s="69"/>
      <c r="AS95" s="69"/>
      <c r="AT95" s="69"/>
      <c r="AU95" s="69"/>
      <c r="AV95" s="69"/>
      <c r="AW95" s="69"/>
      <c r="AX95" s="69"/>
      <c r="AY95" s="69"/>
      <c r="AZ95" s="69"/>
      <c r="BA95" s="69"/>
      <c r="BB95" s="69"/>
      <c r="BC95" s="69"/>
      <c r="BD95" s="69"/>
      <c r="BE95" s="69"/>
      <c r="BF95" s="69"/>
      <c r="BG95" s="69"/>
      <c r="BH95" s="69"/>
    </row>
    <row r="96" spans="1:60" x14ac:dyDescent="0.25">
      <c r="A96" s="69"/>
      <c r="B96" s="69"/>
      <c r="C96" s="69"/>
      <c r="D96" s="69"/>
      <c r="E96" s="69"/>
      <c r="F96" s="69"/>
      <c r="G96" s="69"/>
      <c r="H96" s="69"/>
      <c r="I96" s="69"/>
      <c r="J96" s="69"/>
      <c r="K96" s="69"/>
      <c r="L96" s="69"/>
      <c r="M96" s="69"/>
      <c r="N96" s="69"/>
      <c r="O96" s="69"/>
      <c r="P96" s="69"/>
      <c r="Q96" s="69"/>
      <c r="R96" s="69"/>
      <c r="S96" s="69"/>
      <c r="T96" s="69"/>
      <c r="U96" s="69"/>
      <c r="V96" s="69"/>
      <c r="W96" s="69"/>
      <c r="X96" s="69"/>
      <c r="Y96" s="69"/>
      <c r="Z96" s="69"/>
      <c r="AA96" s="69"/>
      <c r="AB96" s="69"/>
      <c r="AC96" s="69"/>
      <c r="AD96" s="69"/>
      <c r="AE96" s="69"/>
      <c r="AF96" s="69"/>
      <c r="AG96" s="69"/>
      <c r="AH96" s="69"/>
      <c r="AI96" s="69"/>
      <c r="AJ96" s="69"/>
      <c r="AK96" s="69"/>
      <c r="AL96" s="69"/>
      <c r="AM96" s="69"/>
      <c r="AN96" s="69"/>
      <c r="AO96" s="69"/>
      <c r="AP96" s="69"/>
      <c r="AQ96" s="69"/>
      <c r="AR96" s="69"/>
      <c r="AS96" s="69"/>
      <c r="AT96" s="69"/>
      <c r="AU96" s="69"/>
      <c r="AV96" s="69"/>
      <c r="AW96" s="69"/>
      <c r="AX96" s="69"/>
      <c r="AY96" s="69"/>
      <c r="AZ96" s="69"/>
      <c r="BA96" s="69"/>
      <c r="BB96" s="69"/>
      <c r="BC96" s="69"/>
      <c r="BD96" s="69"/>
      <c r="BE96" s="69"/>
      <c r="BF96" s="69"/>
      <c r="BG96" s="69"/>
      <c r="BH96" s="69"/>
    </row>
    <row r="97" spans="1:60" x14ac:dyDescent="0.25">
      <c r="A97" s="69"/>
      <c r="B97" s="69"/>
      <c r="C97" s="69"/>
      <c r="D97" s="69"/>
      <c r="E97" s="69"/>
      <c r="F97" s="69"/>
      <c r="G97" s="69"/>
      <c r="H97" s="69"/>
      <c r="I97" s="69"/>
      <c r="J97" s="69"/>
      <c r="K97" s="69"/>
      <c r="L97" s="69"/>
      <c r="M97" s="69"/>
      <c r="N97" s="69"/>
      <c r="O97" s="69"/>
      <c r="P97" s="69"/>
      <c r="Q97" s="69"/>
      <c r="R97" s="69"/>
      <c r="S97" s="69"/>
      <c r="T97" s="69"/>
      <c r="U97" s="69"/>
      <c r="V97" s="69"/>
      <c r="W97" s="69"/>
      <c r="X97" s="69"/>
      <c r="Y97" s="69"/>
      <c r="Z97" s="69"/>
      <c r="AA97" s="69"/>
      <c r="AB97" s="69"/>
      <c r="AC97" s="69"/>
      <c r="AD97" s="69"/>
      <c r="AE97" s="69"/>
      <c r="AF97" s="69"/>
      <c r="AG97" s="69"/>
      <c r="AH97" s="69"/>
      <c r="AI97" s="69"/>
      <c r="AJ97" s="69"/>
      <c r="AK97" s="69"/>
      <c r="AL97" s="69"/>
      <c r="AM97" s="69"/>
      <c r="AN97" s="69"/>
      <c r="AO97" s="69"/>
      <c r="AP97" s="69"/>
      <c r="AQ97" s="69"/>
      <c r="AR97" s="69"/>
      <c r="AS97" s="69"/>
      <c r="AT97" s="69"/>
      <c r="AU97" s="69"/>
      <c r="AV97" s="69"/>
      <c r="AW97" s="69"/>
      <c r="AX97" s="69"/>
      <c r="AY97" s="69"/>
      <c r="AZ97" s="69"/>
      <c r="BA97" s="69"/>
      <c r="BB97" s="69"/>
      <c r="BC97" s="69"/>
      <c r="BD97" s="69"/>
      <c r="BE97" s="69"/>
      <c r="BF97" s="69"/>
      <c r="BG97" s="69"/>
      <c r="BH97" s="69"/>
    </row>
    <row r="98" spans="1:60" x14ac:dyDescent="0.25">
      <c r="A98" s="69"/>
      <c r="B98" s="69"/>
      <c r="C98" s="69"/>
      <c r="D98" s="69"/>
      <c r="E98" s="69"/>
      <c r="F98" s="69"/>
      <c r="G98" s="69"/>
      <c r="H98" s="69"/>
      <c r="I98" s="69"/>
      <c r="J98" s="69"/>
      <c r="K98" s="69"/>
      <c r="L98" s="69"/>
      <c r="M98" s="69"/>
      <c r="N98" s="69"/>
      <c r="O98" s="69"/>
      <c r="P98" s="69"/>
      <c r="Q98" s="69"/>
      <c r="R98" s="69"/>
      <c r="S98" s="69"/>
      <c r="T98" s="69"/>
      <c r="U98" s="69"/>
      <c r="V98" s="69"/>
      <c r="W98" s="69"/>
      <c r="X98" s="69"/>
      <c r="Y98" s="69"/>
      <c r="Z98" s="69"/>
      <c r="AA98" s="69"/>
      <c r="AB98" s="69"/>
      <c r="AC98" s="69"/>
      <c r="AD98" s="69"/>
      <c r="AE98" s="69"/>
      <c r="AF98" s="69"/>
      <c r="AG98" s="69"/>
      <c r="AH98" s="69"/>
      <c r="AI98" s="69"/>
      <c r="AJ98" s="69"/>
      <c r="AK98" s="69"/>
      <c r="AL98" s="69"/>
      <c r="AM98" s="69"/>
      <c r="AN98" s="69"/>
      <c r="AO98" s="69"/>
      <c r="AP98" s="69"/>
      <c r="AQ98" s="69"/>
      <c r="AR98" s="69"/>
      <c r="AS98" s="69"/>
      <c r="AT98" s="69"/>
      <c r="AU98" s="69"/>
      <c r="AV98" s="69"/>
      <c r="AW98" s="69"/>
      <c r="AX98" s="69"/>
      <c r="AY98" s="69"/>
      <c r="AZ98" s="69"/>
      <c r="BA98" s="69"/>
      <c r="BB98" s="69"/>
      <c r="BC98" s="69"/>
      <c r="BD98" s="69"/>
      <c r="BE98" s="69"/>
      <c r="BF98" s="69"/>
      <c r="BG98" s="69"/>
      <c r="BH98" s="69"/>
    </row>
    <row r="99" spans="1:60" x14ac:dyDescent="0.25">
      <c r="A99" s="69"/>
      <c r="B99" s="69"/>
      <c r="C99" s="69"/>
      <c r="D99" s="69"/>
      <c r="E99" s="69"/>
      <c r="F99" s="69"/>
      <c r="G99" s="69"/>
      <c r="H99" s="69"/>
      <c r="I99" s="69"/>
      <c r="J99" s="69"/>
      <c r="K99" s="69"/>
      <c r="L99" s="69"/>
      <c r="M99" s="69"/>
      <c r="N99" s="69"/>
      <c r="O99" s="69"/>
      <c r="P99" s="69"/>
      <c r="Q99" s="69"/>
      <c r="R99" s="69"/>
      <c r="S99" s="69"/>
      <c r="T99" s="69"/>
      <c r="U99" s="69"/>
      <c r="V99" s="69"/>
      <c r="W99" s="69"/>
      <c r="X99" s="69"/>
      <c r="Y99" s="69"/>
      <c r="Z99" s="69"/>
      <c r="AA99" s="69"/>
      <c r="AB99" s="69"/>
      <c r="AC99" s="69"/>
      <c r="AD99" s="69"/>
      <c r="AE99" s="69"/>
      <c r="AF99" s="69"/>
      <c r="AG99" s="69"/>
      <c r="AH99" s="69"/>
      <c r="AI99" s="69"/>
      <c r="AJ99" s="69"/>
      <c r="AK99" s="69"/>
      <c r="AL99" s="69"/>
      <c r="AM99" s="69"/>
      <c r="AN99" s="69"/>
      <c r="AO99" s="69"/>
      <c r="AP99" s="69"/>
      <c r="AQ99" s="69"/>
      <c r="AR99" s="69"/>
      <c r="AS99" s="69"/>
      <c r="AT99" s="69"/>
      <c r="AU99" s="69"/>
      <c r="AV99" s="69"/>
      <c r="AW99" s="69"/>
      <c r="AX99" s="69"/>
      <c r="AY99" s="69"/>
      <c r="AZ99" s="69"/>
      <c r="BA99" s="69"/>
      <c r="BB99" s="69"/>
      <c r="BC99" s="69"/>
      <c r="BD99" s="69"/>
      <c r="BE99" s="69"/>
      <c r="BF99" s="69"/>
      <c r="BG99" s="69"/>
      <c r="BH99" s="69"/>
    </row>
    <row r="100" spans="1:60" x14ac:dyDescent="0.25">
      <c r="A100" s="69"/>
      <c r="B100" s="69"/>
      <c r="C100" s="69"/>
      <c r="D100" s="69"/>
      <c r="E100" s="69"/>
      <c r="F100" s="69"/>
      <c r="G100" s="69"/>
      <c r="H100" s="69"/>
      <c r="I100" s="69"/>
      <c r="J100" s="69"/>
      <c r="K100" s="69"/>
      <c r="L100" s="69"/>
      <c r="M100" s="69"/>
      <c r="N100" s="69"/>
      <c r="O100" s="69"/>
      <c r="P100" s="69"/>
      <c r="Q100" s="69"/>
      <c r="R100" s="69"/>
      <c r="S100" s="69"/>
      <c r="T100" s="69"/>
      <c r="U100" s="69"/>
      <c r="V100" s="69"/>
      <c r="W100" s="69"/>
      <c r="X100" s="69"/>
      <c r="Y100" s="69"/>
      <c r="Z100" s="69"/>
      <c r="AA100" s="69"/>
      <c r="AB100" s="69"/>
      <c r="AC100" s="69"/>
      <c r="AD100" s="69"/>
      <c r="AE100" s="69"/>
      <c r="AF100" s="69"/>
      <c r="AG100" s="69"/>
      <c r="AH100" s="69"/>
      <c r="AI100" s="69"/>
      <c r="AJ100" s="69"/>
      <c r="AK100" s="69"/>
      <c r="AL100" s="69"/>
      <c r="AM100" s="69"/>
      <c r="AN100" s="69"/>
      <c r="AO100" s="69"/>
      <c r="AP100" s="69"/>
      <c r="AQ100" s="69"/>
      <c r="AR100" s="69"/>
      <c r="AS100" s="69"/>
      <c r="AT100" s="69"/>
      <c r="AU100" s="69"/>
      <c r="AV100" s="69"/>
      <c r="AW100" s="69"/>
      <c r="AX100" s="69"/>
      <c r="AY100" s="69"/>
      <c r="AZ100" s="69"/>
      <c r="BA100" s="69"/>
      <c r="BB100" s="69"/>
      <c r="BC100" s="69"/>
      <c r="BD100" s="69"/>
      <c r="BE100" s="69"/>
      <c r="BF100" s="69"/>
      <c r="BG100" s="69"/>
      <c r="BH100" s="69"/>
    </row>
    <row r="101" spans="1:60" x14ac:dyDescent="0.25">
      <c r="A101" s="69"/>
      <c r="B101" s="69"/>
      <c r="C101" s="69"/>
      <c r="D101" s="69"/>
      <c r="E101" s="69"/>
      <c r="F101" s="69"/>
      <c r="G101" s="69"/>
      <c r="H101" s="69"/>
      <c r="I101" s="69"/>
      <c r="J101" s="69"/>
      <c r="K101" s="69"/>
      <c r="L101" s="69"/>
      <c r="M101" s="69"/>
      <c r="N101" s="69"/>
      <c r="O101" s="69"/>
      <c r="P101" s="69"/>
      <c r="Q101" s="69"/>
      <c r="R101" s="69"/>
      <c r="S101" s="69"/>
      <c r="T101" s="69"/>
      <c r="U101" s="69"/>
      <c r="V101" s="69"/>
      <c r="W101" s="69"/>
      <c r="X101" s="69"/>
      <c r="Y101" s="69"/>
      <c r="Z101" s="69"/>
      <c r="AA101" s="69"/>
      <c r="AB101" s="69"/>
      <c r="AC101" s="69"/>
      <c r="AD101" s="69"/>
      <c r="AE101" s="69"/>
      <c r="AF101" s="69"/>
      <c r="AG101" s="69"/>
      <c r="AH101" s="69"/>
      <c r="AI101" s="69"/>
      <c r="AJ101" s="69"/>
      <c r="AK101" s="69"/>
      <c r="AL101" s="69"/>
      <c r="AM101" s="69"/>
      <c r="AN101" s="69"/>
      <c r="AO101" s="69"/>
      <c r="AP101" s="69"/>
      <c r="AQ101" s="69"/>
      <c r="AR101" s="69"/>
      <c r="AS101" s="69"/>
      <c r="AT101" s="69"/>
      <c r="AU101" s="69"/>
      <c r="AV101" s="69"/>
      <c r="AW101" s="69"/>
      <c r="AX101" s="69"/>
      <c r="AY101" s="69"/>
      <c r="AZ101" s="69"/>
      <c r="BA101" s="69"/>
      <c r="BB101" s="69"/>
      <c r="BC101" s="69"/>
      <c r="BD101" s="69"/>
      <c r="BE101" s="69"/>
      <c r="BF101" s="69"/>
      <c r="BG101" s="69"/>
      <c r="BH101" s="69"/>
    </row>
    <row r="102" spans="1:60" x14ac:dyDescent="0.25">
      <c r="A102" s="69"/>
      <c r="B102" s="69"/>
      <c r="C102" s="69"/>
      <c r="D102" s="69"/>
      <c r="E102" s="69"/>
      <c r="F102" s="69"/>
      <c r="G102" s="69"/>
      <c r="H102" s="69"/>
      <c r="I102" s="69"/>
      <c r="J102" s="69"/>
      <c r="K102" s="69"/>
      <c r="L102" s="69"/>
      <c r="M102" s="69"/>
      <c r="N102" s="69"/>
      <c r="O102" s="69"/>
      <c r="P102" s="69"/>
      <c r="Q102" s="69"/>
      <c r="R102" s="69"/>
      <c r="S102" s="69"/>
      <c r="T102" s="69"/>
      <c r="U102" s="69"/>
      <c r="V102" s="69"/>
      <c r="W102" s="69"/>
      <c r="X102" s="69"/>
      <c r="Y102" s="69"/>
      <c r="Z102" s="69"/>
      <c r="AA102" s="69"/>
      <c r="AB102" s="69"/>
      <c r="AC102" s="69"/>
      <c r="AD102" s="69"/>
      <c r="AE102" s="69"/>
      <c r="AF102" s="69"/>
      <c r="AG102" s="69"/>
      <c r="AH102" s="69"/>
      <c r="AI102" s="69"/>
      <c r="AJ102" s="69"/>
      <c r="AK102" s="69"/>
      <c r="AL102" s="69"/>
      <c r="AM102" s="69"/>
      <c r="AN102" s="69"/>
      <c r="AO102" s="69"/>
      <c r="AP102" s="69"/>
      <c r="AQ102" s="69"/>
      <c r="AR102" s="69"/>
      <c r="AS102" s="69"/>
      <c r="AT102" s="69"/>
      <c r="AU102" s="69"/>
      <c r="AV102" s="69"/>
      <c r="AW102" s="69"/>
      <c r="AX102" s="69"/>
      <c r="AY102" s="69"/>
      <c r="AZ102" s="69"/>
      <c r="BA102" s="69"/>
      <c r="BB102" s="69"/>
      <c r="BC102" s="69"/>
      <c r="BD102" s="69"/>
      <c r="BE102" s="69"/>
      <c r="BF102" s="69"/>
      <c r="BG102" s="69"/>
      <c r="BH102" s="69"/>
    </row>
    <row r="103" spans="1:60" x14ac:dyDescent="0.25">
      <c r="A103" s="69"/>
      <c r="B103" s="69"/>
      <c r="C103" s="69"/>
      <c r="D103" s="69"/>
      <c r="E103" s="6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row>
    <row r="104" spans="1:60" x14ac:dyDescent="0.25">
      <c r="A104" s="69"/>
      <c r="B104" s="69"/>
      <c r="C104" s="69"/>
      <c r="D104" s="69"/>
      <c r="E104" s="69"/>
      <c r="F104" s="69"/>
      <c r="G104" s="69"/>
      <c r="H104" s="69"/>
      <c r="I104" s="69"/>
      <c r="J104" s="69"/>
      <c r="K104" s="69"/>
      <c r="L104" s="69"/>
      <c r="M104" s="69"/>
      <c r="N104" s="69"/>
      <c r="O104" s="69"/>
      <c r="P104" s="69"/>
      <c r="Q104" s="69"/>
      <c r="R104" s="69"/>
      <c r="S104" s="69"/>
      <c r="T104" s="69"/>
      <c r="U104" s="69"/>
      <c r="V104" s="69"/>
      <c r="W104" s="69"/>
      <c r="X104" s="69"/>
      <c r="Y104" s="69"/>
      <c r="Z104" s="69"/>
      <c r="AA104" s="69"/>
      <c r="AB104" s="69"/>
      <c r="AC104" s="69"/>
      <c r="AD104" s="69"/>
      <c r="AE104" s="69"/>
      <c r="AF104" s="69"/>
      <c r="AG104" s="69"/>
      <c r="AH104" s="69"/>
      <c r="AI104" s="69"/>
      <c r="AJ104" s="69"/>
      <c r="AK104" s="69"/>
      <c r="AL104" s="69"/>
      <c r="AM104" s="69"/>
      <c r="AN104" s="69"/>
      <c r="AO104" s="69"/>
      <c r="AP104" s="69"/>
      <c r="AQ104" s="69"/>
      <c r="AR104" s="69"/>
      <c r="AS104" s="69"/>
      <c r="AT104" s="69"/>
      <c r="AU104" s="69"/>
      <c r="AV104" s="69"/>
      <c r="AW104" s="69"/>
      <c r="AX104" s="69"/>
      <c r="AY104" s="69"/>
      <c r="AZ104" s="69"/>
      <c r="BA104" s="69"/>
      <c r="BB104" s="69"/>
      <c r="BC104" s="69"/>
      <c r="BD104" s="69"/>
      <c r="BE104" s="69"/>
      <c r="BF104" s="69"/>
      <c r="BG104" s="69"/>
      <c r="BH104" s="69"/>
    </row>
    <row r="105" spans="1:60" x14ac:dyDescent="0.25">
      <c r="A105" s="69"/>
      <c r="B105" s="69"/>
      <c r="C105" s="69"/>
      <c r="D105" s="69"/>
      <c r="E105" s="6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row>
    <row r="106" spans="1:60" x14ac:dyDescent="0.25">
      <c r="A106" s="69"/>
      <c r="B106" s="69"/>
      <c r="C106" s="69"/>
      <c r="D106" s="69"/>
      <c r="E106" s="69"/>
      <c r="F106" s="69"/>
      <c r="G106" s="69"/>
      <c r="H106" s="69"/>
      <c r="I106" s="69"/>
      <c r="J106" s="69"/>
      <c r="K106" s="69"/>
      <c r="L106" s="69"/>
      <c r="M106" s="69"/>
      <c r="N106" s="69"/>
      <c r="O106" s="69"/>
      <c r="P106" s="69"/>
      <c r="Q106" s="69"/>
      <c r="R106" s="69"/>
      <c r="S106" s="69"/>
      <c r="T106" s="69"/>
      <c r="U106" s="69"/>
      <c r="V106" s="69"/>
      <c r="W106" s="69"/>
      <c r="X106" s="69"/>
      <c r="Y106" s="69"/>
      <c r="Z106" s="69"/>
      <c r="AA106" s="69"/>
      <c r="AB106" s="69"/>
      <c r="AC106" s="69"/>
      <c r="AD106" s="69"/>
      <c r="AE106" s="69"/>
      <c r="AF106" s="69"/>
      <c r="AG106" s="69"/>
      <c r="AH106" s="69"/>
      <c r="AI106" s="69"/>
      <c r="AJ106" s="69"/>
      <c r="AK106" s="69"/>
      <c r="AL106" s="69"/>
      <c r="AM106" s="69"/>
      <c r="AN106" s="69"/>
      <c r="AO106" s="69"/>
      <c r="AP106" s="69"/>
      <c r="AQ106" s="69"/>
      <c r="AR106" s="69"/>
      <c r="AS106" s="69"/>
      <c r="AT106" s="69"/>
      <c r="AU106" s="69"/>
      <c r="AV106" s="69"/>
      <c r="AW106" s="69"/>
      <c r="AX106" s="69"/>
      <c r="AY106" s="69"/>
      <c r="AZ106" s="69"/>
      <c r="BA106" s="69"/>
      <c r="BB106" s="69"/>
      <c r="BC106" s="69"/>
      <c r="BD106" s="69"/>
      <c r="BE106" s="69"/>
      <c r="BF106" s="69"/>
      <c r="BG106" s="69"/>
      <c r="BH106" s="69"/>
    </row>
    <row r="107" spans="1:60" x14ac:dyDescent="0.25">
      <c r="A107" s="69"/>
      <c r="B107" s="69"/>
      <c r="C107" s="69"/>
      <c r="D107" s="69"/>
      <c r="E107" s="69"/>
      <c r="F107" s="69"/>
      <c r="G107" s="69"/>
      <c r="H107" s="69"/>
      <c r="I107" s="69"/>
      <c r="J107" s="69"/>
      <c r="K107" s="69"/>
      <c r="L107" s="69"/>
      <c r="M107" s="69"/>
      <c r="N107" s="69"/>
      <c r="O107" s="69"/>
      <c r="P107" s="69"/>
      <c r="Q107" s="69"/>
      <c r="R107" s="69"/>
      <c r="S107" s="69"/>
      <c r="T107" s="69"/>
      <c r="U107" s="69"/>
      <c r="V107" s="69"/>
      <c r="W107" s="69"/>
      <c r="X107" s="69"/>
      <c r="Y107" s="69"/>
      <c r="Z107" s="69"/>
      <c r="AA107" s="69"/>
      <c r="AB107" s="69"/>
      <c r="AC107" s="69"/>
      <c r="AD107" s="69"/>
      <c r="AE107" s="69"/>
      <c r="AF107" s="69"/>
      <c r="AG107" s="69"/>
      <c r="AH107" s="69"/>
      <c r="AI107" s="69"/>
      <c r="AJ107" s="69"/>
      <c r="AK107" s="69"/>
      <c r="AL107" s="69"/>
      <c r="AM107" s="69"/>
      <c r="AN107" s="69"/>
      <c r="AO107" s="69"/>
      <c r="AP107" s="69"/>
      <c r="AQ107" s="69"/>
      <c r="AR107" s="69"/>
      <c r="AS107" s="69"/>
      <c r="AT107" s="69"/>
      <c r="AU107" s="69"/>
      <c r="AV107" s="69"/>
      <c r="AW107" s="69"/>
      <c r="AX107" s="69"/>
      <c r="AY107" s="69"/>
      <c r="AZ107" s="69"/>
      <c r="BA107" s="69"/>
      <c r="BB107" s="69"/>
      <c r="BC107" s="69"/>
      <c r="BD107" s="69"/>
      <c r="BE107" s="69"/>
      <c r="BF107" s="69"/>
      <c r="BG107" s="69"/>
      <c r="BH107" s="69"/>
    </row>
    <row r="108" spans="1:60" x14ac:dyDescent="0.25">
      <c r="A108" s="69"/>
      <c r="B108" s="69"/>
      <c r="C108" s="69"/>
      <c r="D108" s="69"/>
      <c r="E108" s="69"/>
      <c r="F108" s="69"/>
      <c r="G108" s="69"/>
      <c r="H108" s="69"/>
      <c r="I108" s="69"/>
      <c r="J108" s="69"/>
      <c r="K108" s="69"/>
      <c r="L108" s="69"/>
      <c r="M108" s="69"/>
      <c r="N108" s="69"/>
      <c r="O108" s="69"/>
      <c r="P108" s="69"/>
      <c r="Q108" s="69"/>
      <c r="R108" s="69"/>
      <c r="S108" s="69"/>
      <c r="T108" s="69"/>
      <c r="U108" s="69"/>
      <c r="V108" s="69"/>
      <c r="W108" s="69"/>
      <c r="X108" s="69"/>
      <c r="Y108" s="69"/>
      <c r="Z108" s="69"/>
      <c r="AA108" s="69"/>
      <c r="AB108" s="69"/>
      <c r="AC108" s="69"/>
      <c r="AD108" s="69"/>
      <c r="AE108" s="69"/>
      <c r="AF108" s="69"/>
      <c r="AG108" s="69"/>
      <c r="AH108" s="69"/>
      <c r="AI108" s="69"/>
      <c r="AJ108" s="69"/>
      <c r="AK108" s="69"/>
      <c r="AL108" s="69"/>
      <c r="AM108" s="69"/>
      <c r="AN108" s="69"/>
      <c r="AO108" s="69"/>
      <c r="AP108" s="69"/>
      <c r="AQ108" s="69"/>
      <c r="AR108" s="69"/>
      <c r="AS108" s="69"/>
      <c r="AT108" s="69"/>
      <c r="AU108" s="69"/>
      <c r="AV108" s="69"/>
      <c r="AW108" s="69"/>
      <c r="AX108" s="69"/>
      <c r="AY108" s="69"/>
      <c r="AZ108" s="69"/>
      <c r="BA108" s="69"/>
      <c r="BB108" s="69"/>
      <c r="BC108" s="69"/>
      <c r="BD108" s="69"/>
      <c r="BE108" s="69"/>
      <c r="BF108" s="69"/>
      <c r="BG108" s="69"/>
      <c r="BH108" s="69"/>
    </row>
    <row r="109" spans="1:60" x14ac:dyDescent="0.25">
      <c r="A109" s="69"/>
      <c r="B109" s="69"/>
      <c r="C109" s="69"/>
      <c r="D109" s="69"/>
      <c r="E109" s="69"/>
      <c r="F109" s="69"/>
      <c r="G109" s="69"/>
      <c r="H109" s="69"/>
      <c r="I109" s="69"/>
      <c r="J109" s="69"/>
      <c r="K109" s="69"/>
      <c r="L109" s="69"/>
      <c r="M109" s="69"/>
      <c r="N109" s="69"/>
      <c r="O109" s="69"/>
      <c r="P109" s="69"/>
      <c r="Q109" s="69"/>
      <c r="R109" s="69"/>
      <c r="S109" s="69"/>
      <c r="T109" s="69"/>
      <c r="U109" s="69"/>
      <c r="V109" s="69"/>
      <c r="W109" s="69"/>
      <c r="X109" s="69"/>
      <c r="Y109" s="69"/>
      <c r="Z109" s="69"/>
      <c r="AA109" s="69"/>
      <c r="AB109" s="69"/>
      <c r="AC109" s="69"/>
      <c r="AD109" s="69"/>
      <c r="AE109" s="69"/>
      <c r="AF109" s="69"/>
      <c r="AG109" s="69"/>
      <c r="AH109" s="69"/>
      <c r="AI109" s="69"/>
      <c r="AJ109" s="69"/>
      <c r="AK109" s="69"/>
      <c r="AL109" s="69"/>
      <c r="AM109" s="69"/>
      <c r="AN109" s="69"/>
      <c r="AO109" s="69"/>
      <c r="AP109" s="69"/>
      <c r="AQ109" s="69"/>
      <c r="AR109" s="69"/>
      <c r="AS109" s="69"/>
      <c r="AT109" s="69"/>
      <c r="AU109" s="69"/>
      <c r="AV109" s="69"/>
      <c r="AW109" s="69"/>
      <c r="AX109" s="69"/>
      <c r="AY109" s="69"/>
      <c r="AZ109" s="69"/>
      <c r="BA109" s="69"/>
      <c r="BB109" s="69"/>
      <c r="BC109" s="69"/>
      <c r="BD109" s="69"/>
      <c r="BE109" s="69"/>
      <c r="BF109" s="69"/>
      <c r="BG109" s="69"/>
      <c r="BH109" s="69"/>
    </row>
    <row r="110" spans="1:60" x14ac:dyDescent="0.25">
      <c r="A110" s="69"/>
      <c r="B110" s="69"/>
      <c r="C110" s="69"/>
      <c r="D110" s="69"/>
      <c r="E110" s="6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row>
    <row r="111" spans="1:60" x14ac:dyDescent="0.25">
      <c r="A111" s="69"/>
      <c r="B111" s="69"/>
      <c r="C111" s="69"/>
      <c r="D111" s="69"/>
      <c r="E111" s="6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row>
    <row r="112" spans="1:60" x14ac:dyDescent="0.25">
      <c r="A112" s="69"/>
      <c r="B112" s="69"/>
      <c r="C112" s="69"/>
      <c r="D112" s="69"/>
      <c r="E112" s="69"/>
      <c r="F112" s="69"/>
      <c r="G112" s="69"/>
      <c r="H112" s="69"/>
      <c r="I112" s="69"/>
      <c r="J112" s="69"/>
      <c r="K112" s="69"/>
      <c r="L112" s="69"/>
      <c r="M112" s="69"/>
      <c r="N112" s="69"/>
      <c r="O112" s="69"/>
      <c r="P112" s="69"/>
      <c r="Q112" s="69"/>
      <c r="R112" s="69"/>
      <c r="S112" s="69"/>
      <c r="T112" s="69"/>
      <c r="U112" s="69"/>
      <c r="V112" s="69"/>
      <c r="W112" s="69"/>
      <c r="X112" s="69"/>
      <c r="Y112" s="69"/>
      <c r="Z112" s="69"/>
      <c r="AA112" s="69"/>
      <c r="AB112" s="69"/>
      <c r="AC112" s="69"/>
      <c r="AD112" s="69"/>
      <c r="AE112" s="69"/>
      <c r="AF112" s="69"/>
      <c r="AG112" s="69"/>
      <c r="AH112" s="69"/>
      <c r="AI112" s="69"/>
      <c r="AJ112" s="69"/>
      <c r="AK112" s="69"/>
      <c r="AL112" s="69"/>
      <c r="AM112" s="69"/>
      <c r="AN112" s="69"/>
      <c r="AO112" s="69"/>
      <c r="AP112" s="69"/>
      <c r="AQ112" s="69"/>
      <c r="AR112" s="69"/>
      <c r="AS112" s="69"/>
      <c r="AT112" s="69"/>
      <c r="AU112" s="69"/>
      <c r="AV112" s="69"/>
      <c r="AW112" s="69"/>
      <c r="AX112" s="69"/>
      <c r="AY112" s="69"/>
      <c r="AZ112" s="69"/>
      <c r="BA112" s="69"/>
      <c r="BB112" s="69"/>
      <c r="BC112" s="69"/>
      <c r="BD112" s="69"/>
      <c r="BE112" s="69"/>
      <c r="BF112" s="69"/>
      <c r="BG112" s="69"/>
      <c r="BH112" s="69"/>
    </row>
    <row r="113" spans="1:60" x14ac:dyDescent="0.25">
      <c r="A113" s="69"/>
      <c r="B113" s="69"/>
      <c r="C113" s="69"/>
      <c r="D113" s="69"/>
      <c r="E113" s="69"/>
      <c r="F113" s="69"/>
      <c r="G113" s="69"/>
      <c r="H113" s="69"/>
      <c r="I113" s="69"/>
      <c r="J113" s="69"/>
      <c r="K113" s="69"/>
      <c r="L113" s="69"/>
      <c r="M113" s="69"/>
      <c r="N113" s="69"/>
      <c r="O113" s="69"/>
      <c r="P113" s="69"/>
      <c r="Q113" s="69"/>
      <c r="R113" s="69"/>
      <c r="S113" s="69"/>
      <c r="T113" s="69"/>
      <c r="U113" s="69"/>
      <c r="V113" s="69"/>
      <c r="W113" s="69"/>
      <c r="X113" s="69"/>
      <c r="Y113" s="69"/>
      <c r="Z113" s="69"/>
      <c r="AA113" s="69"/>
      <c r="AB113" s="69"/>
      <c r="AC113" s="69"/>
      <c r="AD113" s="69"/>
      <c r="AE113" s="69"/>
      <c r="AF113" s="69"/>
      <c r="AG113" s="69"/>
      <c r="AH113" s="69"/>
      <c r="AI113" s="69"/>
      <c r="AJ113" s="69"/>
      <c r="AK113" s="69"/>
      <c r="AL113" s="69"/>
      <c r="AM113" s="69"/>
      <c r="AN113" s="69"/>
      <c r="AO113" s="69"/>
      <c r="AP113" s="69"/>
      <c r="AQ113" s="69"/>
      <c r="AR113" s="69"/>
      <c r="AS113" s="69"/>
      <c r="AT113" s="69"/>
      <c r="AU113" s="69"/>
      <c r="AV113" s="69"/>
      <c r="AW113" s="69"/>
      <c r="AX113" s="69"/>
      <c r="AY113" s="69"/>
      <c r="AZ113" s="69"/>
      <c r="BA113" s="69"/>
      <c r="BB113" s="69"/>
      <c r="BC113" s="69"/>
      <c r="BD113" s="69"/>
      <c r="BE113" s="69"/>
      <c r="BF113" s="69"/>
      <c r="BG113" s="69"/>
      <c r="BH113" s="69"/>
    </row>
    <row r="114" spans="1:60" x14ac:dyDescent="0.25">
      <c r="A114" s="69"/>
      <c r="B114" s="69"/>
      <c r="C114" s="69"/>
      <c r="D114" s="69"/>
      <c r="E114" s="69"/>
      <c r="F114" s="69"/>
      <c r="G114" s="69"/>
      <c r="H114" s="69"/>
      <c r="I114" s="69"/>
      <c r="J114" s="69"/>
      <c r="K114" s="69"/>
      <c r="L114" s="69"/>
      <c r="M114" s="69"/>
      <c r="N114" s="69"/>
      <c r="O114" s="69"/>
      <c r="P114" s="69"/>
      <c r="Q114" s="69"/>
      <c r="R114" s="69"/>
      <c r="S114" s="69"/>
      <c r="T114" s="69"/>
      <c r="U114" s="69"/>
      <c r="V114" s="69"/>
      <c r="W114" s="69"/>
      <c r="X114" s="69"/>
      <c r="Y114" s="69"/>
      <c r="Z114" s="69"/>
      <c r="AA114" s="69"/>
      <c r="AB114" s="69"/>
      <c r="AC114" s="69"/>
      <c r="AD114" s="69"/>
      <c r="AE114" s="69"/>
      <c r="AF114" s="69"/>
      <c r="AG114" s="69"/>
      <c r="AH114" s="69"/>
      <c r="AI114" s="69"/>
      <c r="AJ114" s="69"/>
      <c r="AK114" s="69"/>
      <c r="AL114" s="69"/>
      <c r="AM114" s="69"/>
      <c r="AN114" s="69"/>
      <c r="AO114" s="69"/>
      <c r="AP114" s="69"/>
      <c r="AQ114" s="69"/>
      <c r="AR114" s="69"/>
      <c r="AS114" s="69"/>
      <c r="AT114" s="69"/>
      <c r="AU114" s="69"/>
      <c r="AV114" s="69"/>
      <c r="AW114" s="69"/>
      <c r="AX114" s="69"/>
      <c r="AY114" s="69"/>
      <c r="AZ114" s="69"/>
      <c r="BA114" s="69"/>
      <c r="BB114" s="69"/>
      <c r="BC114" s="69"/>
      <c r="BD114" s="69"/>
      <c r="BE114" s="69"/>
      <c r="BF114" s="69"/>
      <c r="BG114" s="69"/>
      <c r="BH114" s="69"/>
    </row>
    <row r="115" spans="1:60" x14ac:dyDescent="0.25">
      <c r="A115" s="69"/>
      <c r="B115" s="69"/>
      <c r="C115" s="69"/>
      <c r="D115" s="69"/>
      <c r="E115" s="69"/>
      <c r="F115" s="69"/>
      <c r="G115" s="69"/>
      <c r="H115" s="69"/>
      <c r="I115" s="69"/>
      <c r="J115" s="69"/>
      <c r="K115" s="69"/>
      <c r="L115" s="69"/>
      <c r="M115" s="69"/>
      <c r="N115" s="69"/>
      <c r="O115" s="69"/>
      <c r="P115" s="69"/>
      <c r="Q115" s="69"/>
      <c r="R115" s="69"/>
      <c r="S115" s="69"/>
      <c r="T115" s="69"/>
      <c r="U115" s="69"/>
      <c r="V115" s="69"/>
      <c r="W115" s="69"/>
      <c r="X115" s="69"/>
      <c r="Y115" s="69"/>
      <c r="Z115" s="69"/>
      <c r="AA115" s="69"/>
      <c r="AB115" s="69"/>
      <c r="AC115" s="69"/>
      <c r="AD115" s="69"/>
      <c r="AE115" s="69"/>
      <c r="AF115" s="69"/>
      <c r="AG115" s="69"/>
      <c r="AH115" s="69"/>
      <c r="AI115" s="69"/>
      <c r="AJ115" s="69"/>
      <c r="AK115" s="69"/>
      <c r="AL115" s="69"/>
      <c r="AM115" s="69"/>
      <c r="AN115" s="69"/>
      <c r="AO115" s="69"/>
      <c r="AP115" s="69"/>
      <c r="AQ115" s="69"/>
      <c r="AR115" s="69"/>
      <c r="AS115" s="69"/>
      <c r="AT115" s="69"/>
      <c r="AU115" s="69"/>
      <c r="AV115" s="69"/>
      <c r="AW115" s="69"/>
      <c r="AX115" s="69"/>
      <c r="AY115" s="69"/>
      <c r="AZ115" s="69"/>
      <c r="BA115" s="69"/>
      <c r="BB115" s="69"/>
      <c r="BC115" s="69"/>
      <c r="BD115" s="69"/>
      <c r="BE115" s="69"/>
      <c r="BF115" s="69"/>
      <c r="BG115" s="69"/>
      <c r="BH115" s="69"/>
    </row>
    <row r="116" spans="1:60" x14ac:dyDescent="0.25">
      <c r="A116" s="69"/>
      <c r="B116" s="69"/>
      <c r="C116" s="69"/>
      <c r="D116" s="69"/>
      <c r="E116" s="6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row>
    <row r="117" spans="1:60" x14ac:dyDescent="0.25">
      <c r="A117" s="69"/>
      <c r="B117" s="69"/>
      <c r="C117" s="69"/>
      <c r="D117" s="69"/>
      <c r="E117" s="6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row>
    <row r="118" spans="1:60" x14ac:dyDescent="0.25">
      <c r="A118" s="69"/>
      <c r="B118" s="69"/>
      <c r="C118" s="69"/>
      <c r="D118" s="69"/>
      <c r="E118" s="69"/>
      <c r="F118" s="69"/>
      <c r="G118" s="69"/>
      <c r="H118" s="69"/>
      <c r="I118" s="69"/>
      <c r="J118" s="69"/>
      <c r="K118" s="69"/>
      <c r="L118" s="69"/>
      <c r="M118" s="69"/>
      <c r="N118" s="69"/>
      <c r="O118" s="69"/>
      <c r="P118" s="69"/>
      <c r="Q118" s="69"/>
      <c r="R118" s="69"/>
      <c r="S118" s="69"/>
      <c r="T118" s="69"/>
      <c r="U118" s="69"/>
      <c r="V118" s="69"/>
      <c r="W118" s="69"/>
      <c r="X118" s="69"/>
      <c r="Y118" s="69"/>
      <c r="Z118" s="69"/>
      <c r="AA118" s="69"/>
      <c r="AB118" s="69"/>
      <c r="AC118" s="69"/>
      <c r="AD118" s="69"/>
      <c r="AE118" s="69"/>
      <c r="AF118" s="69"/>
      <c r="AG118" s="69"/>
      <c r="AH118" s="69"/>
      <c r="AI118" s="69"/>
      <c r="AJ118" s="69"/>
      <c r="AK118" s="69"/>
      <c r="AL118" s="69"/>
      <c r="AM118" s="69"/>
      <c r="AN118" s="69"/>
      <c r="AO118" s="69"/>
      <c r="AP118" s="69"/>
      <c r="AQ118" s="69"/>
      <c r="AR118" s="69"/>
      <c r="AS118" s="69"/>
      <c r="AT118" s="69"/>
      <c r="AU118" s="69"/>
      <c r="AV118" s="69"/>
      <c r="AW118" s="69"/>
      <c r="AX118" s="69"/>
      <c r="AY118" s="69"/>
      <c r="AZ118" s="69"/>
      <c r="BA118" s="69"/>
      <c r="BB118" s="69"/>
      <c r="BC118" s="69"/>
      <c r="BD118" s="69"/>
      <c r="BE118" s="69"/>
      <c r="BF118" s="69"/>
      <c r="BG118" s="69"/>
      <c r="BH118" s="69"/>
    </row>
    <row r="119" spans="1:60" x14ac:dyDescent="0.25">
      <c r="A119" s="69"/>
      <c r="B119" s="69"/>
      <c r="C119" s="69"/>
      <c r="D119" s="69"/>
      <c r="E119" s="6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row>
    <row r="120" spans="1:60" x14ac:dyDescent="0.25">
      <c r="A120" s="69"/>
      <c r="B120" s="69"/>
      <c r="C120" s="69"/>
      <c r="D120" s="69"/>
      <c r="E120" s="6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row>
    <row r="121" spans="1:60" x14ac:dyDescent="0.25">
      <c r="A121" s="69"/>
      <c r="B121" s="69"/>
      <c r="C121" s="69"/>
      <c r="D121" s="69"/>
      <c r="E121" s="69"/>
      <c r="F121" s="69"/>
      <c r="G121" s="69"/>
      <c r="H121" s="69"/>
      <c r="I121" s="69"/>
      <c r="J121" s="69"/>
      <c r="K121" s="69"/>
      <c r="L121" s="69"/>
      <c r="M121" s="69"/>
      <c r="N121" s="69"/>
      <c r="O121" s="69"/>
      <c r="P121" s="69"/>
      <c r="Q121" s="69"/>
      <c r="R121" s="69"/>
      <c r="S121" s="69"/>
      <c r="T121" s="69"/>
      <c r="U121" s="69"/>
      <c r="V121" s="69"/>
      <c r="W121" s="69"/>
      <c r="X121" s="69"/>
      <c r="Y121" s="69"/>
      <c r="Z121" s="69"/>
      <c r="AA121" s="69"/>
      <c r="AB121" s="69"/>
      <c r="AC121" s="69"/>
      <c r="AD121" s="69"/>
      <c r="AE121" s="69"/>
      <c r="AF121" s="69"/>
      <c r="AG121" s="69"/>
      <c r="AH121" s="69"/>
      <c r="AI121" s="69"/>
      <c r="AJ121" s="69"/>
      <c r="AK121" s="69"/>
      <c r="AL121" s="69"/>
      <c r="AM121" s="69"/>
      <c r="AN121" s="69"/>
      <c r="AO121" s="69"/>
      <c r="AP121" s="69"/>
      <c r="AQ121" s="69"/>
      <c r="AR121" s="69"/>
      <c r="AS121" s="69"/>
      <c r="AT121" s="69"/>
      <c r="AU121" s="69"/>
      <c r="AV121" s="69"/>
      <c r="AW121" s="69"/>
      <c r="AX121" s="69"/>
      <c r="AY121" s="69"/>
      <c r="AZ121" s="69"/>
      <c r="BA121" s="69"/>
      <c r="BB121" s="69"/>
      <c r="BC121" s="69"/>
      <c r="BD121" s="69"/>
      <c r="BE121" s="69"/>
      <c r="BF121" s="69"/>
      <c r="BG121" s="69"/>
      <c r="BH121" s="69"/>
    </row>
    <row r="122" spans="1:60" x14ac:dyDescent="0.25">
      <c r="A122" s="69"/>
      <c r="B122" s="69"/>
      <c r="C122" s="69"/>
      <c r="D122" s="69"/>
      <c r="E122" s="69"/>
      <c r="F122" s="69"/>
      <c r="G122" s="69"/>
      <c r="H122" s="69"/>
      <c r="I122" s="69"/>
      <c r="J122" s="69"/>
      <c r="K122" s="69"/>
      <c r="L122" s="69"/>
      <c r="M122" s="69"/>
      <c r="N122" s="69"/>
      <c r="O122" s="69"/>
      <c r="P122" s="69"/>
      <c r="Q122" s="69"/>
      <c r="R122" s="69"/>
      <c r="S122" s="69"/>
      <c r="T122" s="69"/>
      <c r="U122" s="69"/>
      <c r="V122" s="69"/>
      <c r="W122" s="69"/>
      <c r="X122" s="69"/>
      <c r="Y122" s="69"/>
      <c r="Z122" s="69"/>
      <c r="AA122" s="69"/>
      <c r="AB122" s="69"/>
      <c r="AC122" s="69"/>
      <c r="AD122" s="69"/>
      <c r="AE122" s="69"/>
      <c r="AF122" s="69"/>
      <c r="AG122" s="69"/>
      <c r="AH122" s="69"/>
      <c r="AI122" s="69"/>
      <c r="AJ122" s="69"/>
      <c r="AK122" s="69"/>
      <c r="AL122" s="69"/>
      <c r="AM122" s="69"/>
      <c r="AN122" s="69"/>
      <c r="AO122" s="69"/>
      <c r="AP122" s="69"/>
      <c r="AQ122" s="69"/>
      <c r="AR122" s="69"/>
      <c r="AS122" s="69"/>
      <c r="AT122" s="69"/>
      <c r="AU122" s="69"/>
      <c r="AV122" s="69"/>
      <c r="AW122" s="69"/>
      <c r="AX122" s="69"/>
      <c r="AY122" s="69"/>
      <c r="AZ122" s="69"/>
      <c r="BA122" s="69"/>
      <c r="BB122" s="69"/>
      <c r="BC122" s="69"/>
      <c r="BD122" s="69"/>
      <c r="BE122" s="69"/>
      <c r="BF122" s="69"/>
      <c r="BG122" s="69"/>
      <c r="BH122" s="69"/>
    </row>
    <row r="123" spans="1:60" x14ac:dyDescent="0.25">
      <c r="A123" s="69"/>
      <c r="B123" s="69"/>
      <c r="C123" s="69"/>
      <c r="D123" s="69"/>
      <c r="E123" s="69"/>
      <c r="F123" s="69"/>
      <c r="G123" s="69"/>
      <c r="H123" s="69"/>
      <c r="I123" s="69"/>
      <c r="J123" s="69"/>
      <c r="K123" s="69"/>
      <c r="L123" s="69"/>
      <c r="M123" s="69"/>
      <c r="N123" s="69"/>
      <c r="O123" s="69"/>
      <c r="P123" s="69"/>
      <c r="Q123" s="69"/>
      <c r="R123" s="69"/>
      <c r="S123" s="69"/>
      <c r="T123" s="69"/>
      <c r="U123" s="69"/>
      <c r="V123" s="69"/>
      <c r="W123" s="69"/>
      <c r="X123" s="69"/>
      <c r="Y123" s="69"/>
      <c r="Z123" s="69"/>
      <c r="AA123" s="69"/>
      <c r="AB123" s="69"/>
      <c r="AC123" s="69"/>
      <c r="AD123" s="69"/>
      <c r="AE123" s="69"/>
      <c r="AF123" s="69"/>
      <c r="AG123" s="69"/>
      <c r="AH123" s="69"/>
      <c r="AI123" s="69"/>
      <c r="AJ123" s="69"/>
      <c r="AK123" s="69"/>
      <c r="AL123" s="69"/>
      <c r="AM123" s="69"/>
      <c r="AN123" s="69"/>
      <c r="AO123" s="69"/>
      <c r="AP123" s="69"/>
      <c r="AQ123" s="69"/>
      <c r="AR123" s="69"/>
      <c r="AS123" s="69"/>
      <c r="AT123" s="69"/>
      <c r="AU123" s="69"/>
      <c r="AV123" s="69"/>
      <c r="AW123" s="69"/>
      <c r="AX123" s="69"/>
      <c r="AY123" s="69"/>
      <c r="AZ123" s="69"/>
      <c r="BA123" s="69"/>
      <c r="BB123" s="69"/>
      <c r="BC123" s="69"/>
      <c r="BD123" s="69"/>
      <c r="BE123" s="69"/>
      <c r="BF123" s="69"/>
      <c r="BG123" s="69"/>
      <c r="BH123" s="69"/>
    </row>
    <row r="124" spans="1:60" x14ac:dyDescent="0.25">
      <c r="A124" s="69"/>
      <c r="B124" s="69"/>
      <c r="C124" s="69"/>
      <c r="D124" s="69"/>
      <c r="E124" s="69"/>
      <c r="F124" s="69"/>
      <c r="G124" s="69"/>
      <c r="H124" s="69"/>
      <c r="I124" s="69"/>
      <c r="J124" s="69"/>
      <c r="K124" s="69"/>
      <c r="L124" s="69"/>
      <c r="M124" s="69"/>
      <c r="N124" s="69"/>
      <c r="O124" s="69"/>
      <c r="P124" s="69"/>
      <c r="Q124" s="69"/>
      <c r="R124" s="69"/>
      <c r="S124" s="69"/>
      <c r="T124" s="69"/>
      <c r="U124" s="69"/>
      <c r="V124" s="69"/>
      <c r="W124" s="69"/>
      <c r="X124" s="69"/>
      <c r="Y124" s="69"/>
      <c r="Z124" s="69"/>
      <c r="AA124" s="69"/>
      <c r="AB124" s="69"/>
      <c r="AC124" s="69"/>
      <c r="AD124" s="69"/>
      <c r="AE124" s="69"/>
      <c r="AF124" s="69"/>
      <c r="AG124" s="69"/>
      <c r="AH124" s="69"/>
      <c r="AI124" s="69"/>
      <c r="AJ124" s="69"/>
      <c r="AK124" s="69"/>
      <c r="AL124" s="69"/>
      <c r="AM124" s="69"/>
      <c r="AN124" s="69"/>
      <c r="AO124" s="69"/>
      <c r="AP124" s="69"/>
      <c r="AQ124" s="69"/>
      <c r="AR124" s="69"/>
      <c r="AS124" s="69"/>
      <c r="AT124" s="69"/>
      <c r="AU124" s="69"/>
      <c r="AV124" s="69"/>
      <c r="AW124" s="69"/>
      <c r="AX124" s="69"/>
      <c r="AY124" s="69"/>
      <c r="AZ124" s="69"/>
      <c r="BA124" s="69"/>
      <c r="BB124" s="69"/>
      <c r="BC124" s="69"/>
      <c r="BD124" s="69"/>
      <c r="BE124" s="69"/>
      <c r="BF124" s="69"/>
      <c r="BG124" s="69"/>
      <c r="BH124" s="69"/>
    </row>
    <row r="125" spans="1:60" x14ac:dyDescent="0.25">
      <c r="A125" s="69"/>
      <c r="B125" s="69"/>
      <c r="C125" s="69"/>
      <c r="D125" s="69"/>
      <c r="E125" s="69"/>
      <c r="F125" s="69"/>
      <c r="G125" s="69"/>
      <c r="H125" s="69"/>
      <c r="I125" s="69"/>
      <c r="J125" s="69"/>
      <c r="K125" s="69"/>
      <c r="L125" s="69"/>
      <c r="M125" s="69"/>
      <c r="N125" s="69"/>
      <c r="O125" s="69"/>
      <c r="P125" s="69"/>
      <c r="Q125" s="69"/>
      <c r="R125" s="69"/>
      <c r="S125" s="69"/>
      <c r="T125" s="69"/>
      <c r="U125" s="69"/>
      <c r="V125" s="69"/>
      <c r="W125" s="69"/>
      <c r="X125" s="69"/>
      <c r="Y125" s="69"/>
      <c r="Z125" s="69"/>
      <c r="AA125" s="69"/>
      <c r="AB125" s="69"/>
      <c r="AC125" s="69"/>
      <c r="AD125" s="69"/>
      <c r="AE125" s="69"/>
      <c r="AF125" s="69"/>
      <c r="AG125" s="69"/>
      <c r="AH125" s="69"/>
      <c r="AI125" s="69"/>
      <c r="AJ125" s="69"/>
      <c r="AK125" s="69"/>
      <c r="AL125" s="69"/>
      <c r="AM125" s="69"/>
      <c r="AN125" s="69"/>
      <c r="AO125" s="69"/>
      <c r="AP125" s="69"/>
      <c r="AQ125" s="69"/>
      <c r="AR125" s="69"/>
      <c r="AS125" s="69"/>
      <c r="AT125" s="69"/>
      <c r="AU125" s="69"/>
      <c r="AV125" s="69"/>
      <c r="AW125" s="69"/>
      <c r="AX125" s="69"/>
      <c r="AY125" s="69"/>
      <c r="AZ125" s="69"/>
      <c r="BA125" s="69"/>
      <c r="BB125" s="69"/>
      <c r="BC125" s="69"/>
      <c r="BD125" s="69"/>
      <c r="BE125" s="69"/>
      <c r="BF125" s="69"/>
      <c r="BG125" s="69"/>
      <c r="BH125" s="69"/>
    </row>
    <row r="126" spans="1:60" x14ac:dyDescent="0.25">
      <c r="A126" s="69"/>
      <c r="B126" s="69"/>
      <c r="C126" s="69"/>
      <c r="D126" s="69"/>
      <c r="E126" s="69"/>
      <c r="F126" s="69"/>
      <c r="G126" s="69"/>
      <c r="H126" s="69"/>
      <c r="I126" s="69"/>
      <c r="J126" s="69"/>
      <c r="K126" s="69"/>
      <c r="L126" s="69"/>
      <c r="M126" s="69"/>
      <c r="N126" s="69"/>
      <c r="O126" s="69"/>
      <c r="P126" s="69"/>
      <c r="Q126" s="69"/>
      <c r="R126" s="69"/>
      <c r="S126" s="69"/>
      <c r="T126" s="69"/>
      <c r="U126" s="69"/>
      <c r="V126" s="69"/>
      <c r="W126" s="69"/>
      <c r="X126" s="69"/>
      <c r="Y126" s="69"/>
      <c r="Z126" s="69"/>
      <c r="AA126" s="69"/>
      <c r="AB126" s="69"/>
      <c r="AC126" s="69"/>
      <c r="AD126" s="69"/>
      <c r="AE126" s="69"/>
      <c r="AF126" s="69"/>
      <c r="AG126" s="69"/>
      <c r="AH126" s="69"/>
      <c r="AI126" s="69"/>
      <c r="AJ126" s="69"/>
      <c r="AK126" s="69"/>
      <c r="AL126" s="69"/>
      <c r="AM126" s="69"/>
      <c r="AN126" s="69"/>
      <c r="AO126" s="69"/>
      <c r="AP126" s="69"/>
      <c r="AQ126" s="69"/>
      <c r="AR126" s="69"/>
      <c r="AS126" s="69"/>
      <c r="AT126" s="69"/>
      <c r="AU126" s="69"/>
      <c r="AV126" s="69"/>
      <c r="AW126" s="69"/>
      <c r="AX126" s="69"/>
      <c r="AY126" s="69"/>
      <c r="AZ126" s="69"/>
      <c r="BA126" s="69"/>
      <c r="BB126" s="69"/>
      <c r="BC126" s="69"/>
      <c r="BD126" s="69"/>
      <c r="BE126" s="69"/>
      <c r="BF126" s="69"/>
      <c r="BG126" s="69"/>
      <c r="BH126" s="69"/>
    </row>
    <row r="127" spans="1:60" x14ac:dyDescent="0.25">
      <c r="A127" s="69"/>
      <c r="B127" s="69"/>
      <c r="C127" s="69"/>
      <c r="D127" s="69"/>
      <c r="E127" s="69"/>
      <c r="F127" s="69"/>
      <c r="G127" s="69"/>
      <c r="H127" s="69"/>
      <c r="I127" s="69"/>
      <c r="J127" s="69"/>
      <c r="K127" s="69"/>
      <c r="L127" s="69"/>
      <c r="M127" s="69"/>
      <c r="N127" s="69"/>
      <c r="O127" s="69"/>
      <c r="P127" s="69"/>
      <c r="Q127" s="69"/>
      <c r="R127" s="69"/>
      <c r="S127" s="69"/>
      <c r="T127" s="69"/>
      <c r="U127" s="69"/>
      <c r="V127" s="69"/>
      <c r="W127" s="69"/>
      <c r="X127" s="69"/>
      <c r="Y127" s="69"/>
      <c r="Z127" s="69"/>
      <c r="AA127" s="69"/>
      <c r="AB127" s="69"/>
      <c r="AC127" s="69"/>
      <c r="AD127" s="69"/>
      <c r="AE127" s="69"/>
      <c r="AF127" s="69"/>
      <c r="AG127" s="69"/>
      <c r="AH127" s="69"/>
      <c r="AI127" s="69"/>
      <c r="AJ127" s="69"/>
      <c r="AK127" s="69"/>
      <c r="AL127" s="69"/>
      <c r="AM127" s="69"/>
      <c r="AN127" s="69"/>
      <c r="AO127" s="69"/>
      <c r="AP127" s="69"/>
      <c r="AQ127" s="69"/>
      <c r="AR127" s="69"/>
      <c r="AS127" s="69"/>
      <c r="AT127" s="69"/>
      <c r="AU127" s="69"/>
      <c r="AV127" s="69"/>
      <c r="AW127" s="69"/>
      <c r="AX127" s="69"/>
      <c r="AY127" s="69"/>
      <c r="AZ127" s="69"/>
      <c r="BA127" s="69"/>
      <c r="BB127" s="69"/>
      <c r="BC127" s="69"/>
      <c r="BD127" s="69"/>
      <c r="BE127" s="69"/>
      <c r="BF127" s="69"/>
      <c r="BG127" s="69"/>
      <c r="BH127" s="69"/>
    </row>
    <row r="128" spans="1:60" x14ac:dyDescent="0.25">
      <c r="A128" s="69"/>
      <c r="B128" s="69"/>
      <c r="C128" s="69"/>
      <c r="D128" s="69"/>
      <c r="E128" s="69"/>
      <c r="F128" s="69"/>
      <c r="G128" s="69"/>
      <c r="H128" s="69"/>
      <c r="I128" s="69"/>
      <c r="J128" s="69"/>
      <c r="K128" s="69"/>
      <c r="L128" s="69"/>
      <c r="M128" s="69"/>
      <c r="N128" s="69"/>
      <c r="O128" s="69"/>
      <c r="P128" s="69"/>
      <c r="Q128" s="69"/>
      <c r="R128" s="69"/>
      <c r="S128" s="69"/>
      <c r="T128" s="69"/>
      <c r="U128" s="69"/>
      <c r="V128" s="69"/>
      <c r="W128" s="69"/>
      <c r="X128" s="69"/>
      <c r="Y128" s="69"/>
      <c r="Z128" s="69"/>
      <c r="AA128" s="69"/>
      <c r="AB128" s="69"/>
      <c r="AC128" s="69"/>
      <c r="AD128" s="69"/>
      <c r="AE128" s="69"/>
      <c r="AF128" s="69"/>
      <c r="AG128" s="69"/>
      <c r="AH128" s="69"/>
      <c r="AI128" s="69"/>
      <c r="AJ128" s="69"/>
      <c r="AK128" s="69"/>
      <c r="AL128" s="69"/>
      <c r="AM128" s="69"/>
      <c r="AN128" s="69"/>
      <c r="AO128" s="69"/>
      <c r="AP128" s="69"/>
      <c r="AQ128" s="69"/>
      <c r="AR128" s="69"/>
      <c r="AS128" s="69"/>
      <c r="AT128" s="69"/>
      <c r="AU128" s="69"/>
      <c r="AV128" s="69"/>
      <c r="AW128" s="69"/>
      <c r="AX128" s="69"/>
      <c r="AY128" s="69"/>
      <c r="AZ128" s="69"/>
      <c r="BA128" s="69"/>
      <c r="BB128" s="69"/>
      <c r="BC128" s="69"/>
      <c r="BD128" s="69"/>
      <c r="BE128" s="69"/>
      <c r="BF128" s="69"/>
      <c r="BG128" s="69"/>
      <c r="BH128" s="69"/>
    </row>
    <row r="129" spans="1:60" x14ac:dyDescent="0.25">
      <c r="A129" s="69"/>
      <c r="B129" s="69"/>
      <c r="C129" s="69"/>
      <c r="D129" s="69"/>
      <c r="E129" s="69"/>
      <c r="F129" s="69"/>
      <c r="G129" s="69"/>
      <c r="H129" s="69"/>
      <c r="I129" s="69"/>
      <c r="J129" s="69"/>
      <c r="K129" s="69"/>
      <c r="L129" s="69"/>
      <c r="M129" s="69"/>
      <c r="N129" s="69"/>
      <c r="O129" s="69"/>
      <c r="P129" s="69"/>
      <c r="Q129" s="69"/>
      <c r="R129" s="69"/>
      <c r="S129" s="69"/>
      <c r="T129" s="69"/>
      <c r="U129" s="69"/>
      <c r="V129" s="69"/>
      <c r="W129" s="69"/>
      <c r="X129" s="69"/>
      <c r="Y129" s="69"/>
      <c r="Z129" s="69"/>
      <c r="AA129" s="69"/>
      <c r="AB129" s="69"/>
      <c r="AC129" s="69"/>
      <c r="AD129" s="69"/>
      <c r="AE129" s="69"/>
      <c r="AF129" s="69"/>
      <c r="AG129" s="69"/>
      <c r="AH129" s="69"/>
      <c r="AI129" s="69"/>
      <c r="AJ129" s="69"/>
      <c r="AK129" s="69"/>
      <c r="AL129" s="69"/>
      <c r="AM129" s="69"/>
      <c r="AN129" s="69"/>
      <c r="AO129" s="69"/>
      <c r="AP129" s="69"/>
      <c r="AQ129" s="69"/>
      <c r="AR129" s="69"/>
      <c r="AS129" s="69"/>
      <c r="AT129" s="69"/>
      <c r="AU129" s="69"/>
      <c r="AV129" s="69"/>
      <c r="AW129" s="69"/>
      <c r="AX129" s="69"/>
      <c r="AY129" s="69"/>
      <c r="AZ129" s="69"/>
      <c r="BA129" s="69"/>
      <c r="BB129" s="69"/>
      <c r="BC129" s="69"/>
      <c r="BD129" s="69"/>
      <c r="BE129" s="69"/>
      <c r="BF129" s="69"/>
      <c r="BG129" s="69"/>
      <c r="BH129" s="69"/>
    </row>
    <row r="130" spans="1:60" x14ac:dyDescent="0.25">
      <c r="A130" s="69"/>
      <c r="B130" s="69"/>
      <c r="C130" s="69"/>
      <c r="D130" s="69"/>
      <c r="E130" s="69"/>
      <c r="F130" s="69"/>
      <c r="G130" s="69"/>
      <c r="H130" s="69"/>
      <c r="I130" s="69"/>
      <c r="J130" s="69"/>
      <c r="K130" s="69"/>
      <c r="L130" s="69"/>
      <c r="M130" s="69"/>
      <c r="N130" s="69"/>
      <c r="O130" s="69"/>
      <c r="P130" s="69"/>
      <c r="Q130" s="69"/>
      <c r="R130" s="69"/>
      <c r="S130" s="69"/>
      <c r="T130" s="69"/>
      <c r="U130" s="69"/>
      <c r="V130" s="69"/>
      <c r="W130" s="69"/>
      <c r="X130" s="69"/>
      <c r="Y130" s="69"/>
      <c r="Z130" s="69"/>
      <c r="AA130" s="69"/>
      <c r="AB130" s="69"/>
      <c r="AC130" s="69"/>
      <c r="AD130" s="69"/>
      <c r="AE130" s="69"/>
      <c r="AF130" s="69"/>
      <c r="AG130" s="69"/>
      <c r="AH130" s="69"/>
      <c r="AI130" s="69"/>
      <c r="AJ130" s="69"/>
      <c r="AK130" s="69"/>
      <c r="AL130" s="69"/>
      <c r="AM130" s="69"/>
      <c r="AN130" s="69"/>
      <c r="AO130" s="69"/>
      <c r="AP130" s="69"/>
      <c r="AQ130" s="69"/>
      <c r="AR130" s="69"/>
      <c r="AS130" s="69"/>
      <c r="AT130" s="69"/>
      <c r="AU130" s="69"/>
      <c r="AV130" s="69"/>
      <c r="AW130" s="69"/>
      <c r="AX130" s="69"/>
      <c r="AY130" s="69"/>
      <c r="AZ130" s="69"/>
      <c r="BA130" s="69"/>
      <c r="BB130" s="69"/>
      <c r="BC130" s="69"/>
      <c r="BD130" s="69"/>
      <c r="BE130" s="69"/>
      <c r="BF130" s="69"/>
      <c r="BG130" s="69"/>
      <c r="BH130" s="69"/>
    </row>
    <row r="131" spans="1:60" x14ac:dyDescent="0.25">
      <c r="A131" s="69"/>
      <c r="B131" s="69"/>
      <c r="C131" s="69"/>
      <c r="D131" s="69"/>
      <c r="E131" s="69"/>
      <c r="F131" s="69"/>
      <c r="G131" s="69"/>
      <c r="H131" s="69"/>
      <c r="I131" s="69"/>
      <c r="J131" s="69"/>
      <c r="K131" s="69"/>
      <c r="L131" s="69"/>
      <c r="M131" s="69"/>
      <c r="N131" s="69"/>
      <c r="O131" s="69"/>
      <c r="P131" s="69"/>
      <c r="Q131" s="69"/>
      <c r="R131" s="69"/>
      <c r="S131" s="69"/>
      <c r="T131" s="69"/>
      <c r="U131" s="69"/>
      <c r="V131" s="69"/>
      <c r="W131" s="69"/>
      <c r="X131" s="69"/>
      <c r="Y131" s="69"/>
      <c r="Z131" s="69"/>
      <c r="AA131" s="69"/>
      <c r="AB131" s="69"/>
      <c r="AC131" s="69"/>
      <c r="AD131" s="69"/>
      <c r="AE131" s="69"/>
      <c r="AF131" s="69"/>
      <c r="AG131" s="69"/>
      <c r="AH131" s="69"/>
      <c r="AI131" s="69"/>
      <c r="AJ131" s="69"/>
      <c r="AK131" s="69"/>
      <c r="AL131" s="69"/>
      <c r="AM131" s="69"/>
      <c r="AN131" s="69"/>
      <c r="AO131" s="69"/>
      <c r="AP131" s="69"/>
      <c r="AQ131" s="69"/>
      <c r="AR131" s="69"/>
      <c r="AS131" s="69"/>
      <c r="AT131" s="69"/>
      <c r="AU131" s="69"/>
      <c r="AV131" s="69"/>
      <c r="AW131" s="69"/>
      <c r="AX131" s="69"/>
      <c r="AY131" s="69"/>
      <c r="AZ131" s="69"/>
      <c r="BA131" s="69"/>
      <c r="BB131" s="69"/>
      <c r="BC131" s="69"/>
      <c r="BD131" s="69"/>
      <c r="BE131" s="69"/>
      <c r="BF131" s="69"/>
      <c r="BG131" s="69"/>
      <c r="BH131" s="69"/>
    </row>
    <row r="132" spans="1:60" x14ac:dyDescent="0.25">
      <c r="A132" s="69"/>
      <c r="B132" s="69"/>
      <c r="C132" s="69"/>
      <c r="D132" s="69"/>
      <c r="E132" s="69"/>
      <c r="F132" s="69"/>
      <c r="G132" s="69"/>
      <c r="H132" s="69"/>
      <c r="I132" s="69"/>
      <c r="J132" s="69"/>
      <c r="K132" s="69"/>
      <c r="L132" s="69"/>
      <c r="M132" s="69"/>
      <c r="N132" s="69"/>
      <c r="O132" s="69"/>
      <c r="P132" s="69"/>
      <c r="Q132" s="69"/>
      <c r="R132" s="69"/>
      <c r="S132" s="69"/>
      <c r="T132" s="69"/>
      <c r="U132" s="69"/>
      <c r="V132" s="69"/>
      <c r="W132" s="69"/>
      <c r="X132" s="69"/>
      <c r="Y132" s="69"/>
      <c r="Z132" s="69"/>
      <c r="AA132" s="69"/>
      <c r="AB132" s="69"/>
      <c r="AC132" s="69"/>
      <c r="AD132" s="69"/>
      <c r="AE132" s="69"/>
      <c r="AF132" s="69"/>
      <c r="AG132" s="69"/>
      <c r="AH132" s="69"/>
      <c r="AI132" s="69"/>
      <c r="AJ132" s="69"/>
      <c r="AK132" s="69"/>
      <c r="AL132" s="69"/>
      <c r="AM132" s="69"/>
      <c r="AN132" s="69"/>
      <c r="AO132" s="69"/>
      <c r="AP132" s="69"/>
      <c r="AQ132" s="69"/>
      <c r="AR132" s="69"/>
      <c r="AS132" s="69"/>
      <c r="AT132" s="69"/>
      <c r="AU132" s="69"/>
      <c r="AV132" s="69"/>
      <c r="AW132" s="69"/>
      <c r="AX132" s="69"/>
      <c r="AY132" s="69"/>
      <c r="AZ132" s="69"/>
      <c r="BA132" s="69"/>
      <c r="BB132" s="69"/>
      <c r="BC132" s="69"/>
      <c r="BD132" s="69"/>
      <c r="BE132" s="69"/>
      <c r="BF132" s="69"/>
      <c r="BG132" s="69"/>
      <c r="BH132" s="69"/>
    </row>
    <row r="133" spans="1:60" x14ac:dyDescent="0.25">
      <c r="A133" s="69"/>
      <c r="B133" s="69"/>
      <c r="C133" s="69"/>
      <c r="D133" s="69"/>
      <c r="E133" s="69"/>
      <c r="F133" s="69"/>
      <c r="G133" s="69"/>
      <c r="H133" s="69"/>
      <c r="I133" s="69"/>
      <c r="J133" s="69"/>
      <c r="K133" s="69"/>
      <c r="L133" s="69"/>
      <c r="M133" s="69"/>
      <c r="N133" s="69"/>
      <c r="O133" s="69"/>
      <c r="P133" s="69"/>
      <c r="Q133" s="69"/>
      <c r="R133" s="69"/>
      <c r="S133" s="69"/>
      <c r="T133" s="69"/>
      <c r="U133" s="69"/>
      <c r="V133" s="69"/>
      <c r="W133" s="69"/>
      <c r="X133" s="69"/>
      <c r="Y133" s="69"/>
      <c r="Z133" s="69"/>
      <c r="AA133" s="69"/>
      <c r="AB133" s="69"/>
      <c r="AC133" s="69"/>
      <c r="AD133" s="69"/>
      <c r="AE133" s="69"/>
      <c r="AF133" s="69"/>
      <c r="AG133" s="69"/>
      <c r="AH133" s="69"/>
      <c r="AI133" s="69"/>
      <c r="AJ133" s="69"/>
      <c r="AK133" s="69"/>
      <c r="AL133" s="69"/>
      <c r="AM133" s="69"/>
      <c r="AN133" s="69"/>
      <c r="AO133" s="69"/>
      <c r="AP133" s="69"/>
      <c r="AQ133" s="69"/>
      <c r="AR133" s="69"/>
      <c r="AS133" s="69"/>
      <c r="AT133" s="69"/>
      <c r="AU133" s="69"/>
      <c r="AV133" s="69"/>
      <c r="AW133" s="69"/>
      <c r="AX133" s="69"/>
      <c r="AY133" s="69"/>
      <c r="AZ133" s="69"/>
      <c r="BA133" s="69"/>
      <c r="BB133" s="69"/>
      <c r="BC133" s="69"/>
      <c r="BD133" s="69"/>
      <c r="BE133" s="69"/>
      <c r="BF133" s="69"/>
      <c r="BG133" s="69"/>
      <c r="BH133" s="69"/>
    </row>
    <row r="134" spans="1:60" x14ac:dyDescent="0.25">
      <c r="A134" s="69"/>
      <c r="B134" s="69"/>
      <c r="C134" s="69"/>
      <c r="D134" s="69"/>
      <c r="E134" s="69"/>
      <c r="F134" s="69"/>
      <c r="G134" s="69"/>
      <c r="H134" s="69"/>
      <c r="I134" s="69"/>
      <c r="J134" s="69"/>
      <c r="K134" s="69"/>
      <c r="L134" s="69"/>
      <c r="M134" s="69"/>
      <c r="N134" s="69"/>
      <c r="O134" s="69"/>
      <c r="P134" s="69"/>
      <c r="Q134" s="69"/>
      <c r="R134" s="69"/>
      <c r="S134" s="69"/>
      <c r="T134" s="69"/>
      <c r="U134" s="69"/>
      <c r="V134" s="69"/>
      <c r="W134" s="69"/>
      <c r="X134" s="69"/>
      <c r="Y134" s="69"/>
      <c r="Z134" s="69"/>
      <c r="AA134" s="69"/>
      <c r="AB134" s="69"/>
      <c r="AC134" s="69"/>
      <c r="AD134" s="69"/>
      <c r="AE134" s="69"/>
      <c r="AF134" s="69"/>
      <c r="AG134" s="69"/>
      <c r="AH134" s="69"/>
      <c r="AI134" s="69"/>
      <c r="AJ134" s="69"/>
      <c r="AK134" s="69"/>
      <c r="AL134" s="69"/>
      <c r="AM134" s="69"/>
      <c r="AN134" s="69"/>
      <c r="AO134" s="69"/>
      <c r="AP134" s="69"/>
      <c r="AQ134" s="69"/>
      <c r="AR134" s="69"/>
      <c r="AS134" s="69"/>
      <c r="AT134" s="69"/>
      <c r="AU134" s="69"/>
      <c r="AV134" s="69"/>
      <c r="AW134" s="69"/>
      <c r="AX134" s="69"/>
      <c r="AY134" s="69"/>
      <c r="AZ134" s="69"/>
      <c r="BA134" s="69"/>
      <c r="BB134" s="69"/>
      <c r="BC134" s="69"/>
      <c r="BD134" s="69"/>
      <c r="BE134" s="69"/>
      <c r="BF134" s="69"/>
      <c r="BG134" s="69"/>
      <c r="BH134" s="69"/>
    </row>
    <row r="135" spans="1:60" x14ac:dyDescent="0.25">
      <c r="A135" s="69"/>
      <c r="B135" s="69"/>
      <c r="C135" s="69"/>
      <c r="D135" s="69"/>
      <c r="E135" s="69"/>
      <c r="F135" s="69"/>
      <c r="G135" s="69"/>
      <c r="H135" s="69"/>
      <c r="I135" s="69"/>
      <c r="J135" s="69"/>
      <c r="K135" s="69"/>
      <c r="L135" s="69"/>
      <c r="M135" s="69"/>
      <c r="N135" s="69"/>
      <c r="O135" s="69"/>
      <c r="P135" s="69"/>
      <c r="Q135" s="69"/>
      <c r="R135" s="69"/>
      <c r="S135" s="69"/>
      <c r="T135" s="69"/>
      <c r="U135" s="69"/>
      <c r="V135" s="69"/>
      <c r="W135" s="69"/>
      <c r="X135" s="69"/>
      <c r="Y135" s="69"/>
      <c r="Z135" s="69"/>
      <c r="AA135" s="69"/>
      <c r="AB135" s="69"/>
      <c r="AC135" s="69"/>
      <c r="AD135" s="69"/>
      <c r="AE135" s="69"/>
      <c r="AF135" s="69"/>
      <c r="AG135" s="69"/>
      <c r="AH135" s="69"/>
      <c r="AI135" s="69"/>
      <c r="AJ135" s="69"/>
      <c r="AK135" s="69"/>
      <c r="AL135" s="69"/>
      <c r="AM135" s="69"/>
      <c r="AN135" s="69"/>
      <c r="AO135" s="69"/>
      <c r="AP135" s="69"/>
      <c r="AQ135" s="69"/>
      <c r="AR135" s="69"/>
      <c r="AS135" s="69"/>
      <c r="AT135" s="69"/>
      <c r="AU135" s="69"/>
      <c r="AV135" s="69"/>
      <c r="AW135" s="69"/>
      <c r="AX135" s="69"/>
      <c r="AY135" s="69"/>
      <c r="AZ135" s="69"/>
      <c r="BA135" s="69"/>
      <c r="BB135" s="69"/>
      <c r="BC135" s="69"/>
      <c r="BD135" s="69"/>
      <c r="BE135" s="69"/>
      <c r="BF135" s="69"/>
      <c r="BG135" s="69"/>
      <c r="BH135" s="69"/>
    </row>
    <row r="136" spans="1:60" x14ac:dyDescent="0.25">
      <c r="A136" s="69"/>
      <c r="B136" s="69"/>
      <c r="C136" s="69"/>
      <c r="D136" s="69"/>
      <c r="E136" s="69"/>
      <c r="F136" s="69"/>
      <c r="G136" s="69"/>
      <c r="H136" s="69"/>
      <c r="I136" s="69"/>
      <c r="J136" s="69"/>
      <c r="K136" s="69"/>
      <c r="L136" s="69"/>
      <c r="M136" s="69"/>
      <c r="N136" s="69"/>
      <c r="O136" s="69"/>
      <c r="P136" s="69"/>
      <c r="Q136" s="69"/>
      <c r="R136" s="69"/>
      <c r="S136" s="69"/>
      <c r="T136" s="69"/>
      <c r="U136" s="69"/>
      <c r="V136" s="69"/>
      <c r="W136" s="69"/>
      <c r="X136" s="69"/>
      <c r="Y136" s="69"/>
      <c r="Z136" s="69"/>
      <c r="AA136" s="69"/>
      <c r="AB136" s="69"/>
      <c r="AC136" s="69"/>
      <c r="AD136" s="69"/>
      <c r="AE136" s="69"/>
      <c r="AF136" s="69"/>
      <c r="AG136" s="69"/>
      <c r="AH136" s="69"/>
      <c r="AI136" s="69"/>
      <c r="AJ136" s="69"/>
      <c r="AK136" s="69"/>
      <c r="AL136" s="69"/>
      <c r="AM136" s="69"/>
      <c r="AN136" s="69"/>
      <c r="AO136" s="69"/>
      <c r="AP136" s="69"/>
      <c r="AQ136" s="69"/>
      <c r="AR136" s="69"/>
      <c r="AS136" s="69"/>
      <c r="AT136" s="69"/>
      <c r="AU136" s="69"/>
      <c r="AV136" s="69"/>
      <c r="AW136" s="69"/>
      <c r="AX136" s="69"/>
      <c r="AY136" s="69"/>
      <c r="AZ136" s="69"/>
      <c r="BA136" s="69"/>
      <c r="BB136" s="69"/>
      <c r="BC136" s="69"/>
      <c r="BD136" s="69"/>
      <c r="BE136" s="69"/>
      <c r="BF136" s="69"/>
      <c r="BG136" s="69"/>
      <c r="BH136" s="69"/>
    </row>
    <row r="137" spans="1:60" x14ac:dyDescent="0.25">
      <c r="A137" s="69"/>
      <c r="B137" s="69"/>
      <c r="C137" s="69"/>
      <c r="D137" s="69"/>
      <c r="E137" s="69"/>
      <c r="F137" s="69"/>
      <c r="G137" s="69"/>
      <c r="H137" s="69"/>
      <c r="I137" s="69"/>
      <c r="J137" s="69"/>
      <c r="K137" s="69"/>
      <c r="L137" s="69"/>
      <c r="M137" s="69"/>
      <c r="N137" s="69"/>
      <c r="O137" s="69"/>
      <c r="P137" s="69"/>
      <c r="Q137" s="69"/>
      <c r="R137" s="69"/>
      <c r="S137" s="69"/>
      <c r="T137" s="69"/>
      <c r="U137" s="69"/>
      <c r="V137" s="69"/>
      <c r="W137" s="69"/>
      <c r="X137" s="69"/>
      <c r="Y137" s="69"/>
      <c r="Z137" s="69"/>
      <c r="AA137" s="69"/>
      <c r="AB137" s="69"/>
      <c r="AC137" s="69"/>
      <c r="AD137" s="69"/>
      <c r="AE137" s="69"/>
      <c r="AF137" s="69"/>
      <c r="AG137" s="69"/>
      <c r="AH137" s="69"/>
      <c r="AI137" s="69"/>
      <c r="AJ137" s="69"/>
      <c r="AK137" s="69"/>
      <c r="AL137" s="69"/>
      <c r="AM137" s="69"/>
      <c r="AN137" s="69"/>
      <c r="AO137" s="69"/>
      <c r="AP137" s="69"/>
      <c r="AQ137" s="69"/>
      <c r="AR137" s="69"/>
      <c r="AS137" s="69"/>
      <c r="AT137" s="69"/>
      <c r="AU137" s="69"/>
      <c r="AV137" s="69"/>
      <c r="AW137" s="69"/>
      <c r="AX137" s="69"/>
      <c r="AY137" s="69"/>
      <c r="AZ137" s="69"/>
      <c r="BA137" s="69"/>
      <c r="BB137" s="69"/>
      <c r="BC137" s="69"/>
      <c r="BD137" s="69"/>
      <c r="BE137" s="69"/>
      <c r="BF137" s="69"/>
      <c r="BG137" s="69"/>
      <c r="BH137" s="69"/>
    </row>
    <row r="138" spans="1:60" x14ac:dyDescent="0.25">
      <c r="A138" s="69"/>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69"/>
      <c r="Z138" s="69"/>
      <c r="AA138" s="69"/>
      <c r="AB138" s="69"/>
      <c r="AC138" s="69"/>
      <c r="AD138" s="69"/>
      <c r="AE138" s="69"/>
      <c r="AF138" s="69"/>
      <c r="AG138" s="69"/>
      <c r="AH138" s="69"/>
      <c r="AI138" s="69"/>
      <c r="AJ138" s="69"/>
      <c r="AK138" s="69"/>
      <c r="AL138" s="69"/>
      <c r="AM138" s="69"/>
      <c r="AN138" s="69"/>
      <c r="AO138" s="69"/>
      <c r="AP138" s="69"/>
      <c r="AQ138" s="69"/>
      <c r="AR138" s="69"/>
      <c r="AS138" s="69"/>
      <c r="AT138" s="69"/>
      <c r="AU138" s="69"/>
      <c r="AV138" s="69"/>
      <c r="AW138" s="69"/>
      <c r="AX138" s="69"/>
      <c r="AY138" s="69"/>
      <c r="AZ138" s="69"/>
      <c r="BA138" s="69"/>
      <c r="BB138" s="69"/>
      <c r="BC138" s="69"/>
      <c r="BD138" s="69"/>
      <c r="BE138" s="69"/>
      <c r="BF138" s="69"/>
      <c r="BG138" s="69"/>
      <c r="BH138" s="69"/>
    </row>
    <row r="139" spans="1:60" x14ac:dyDescent="0.25">
      <c r="A139" s="69"/>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69"/>
      <c r="Z139" s="69"/>
      <c r="AA139" s="69"/>
      <c r="AB139" s="69"/>
      <c r="AC139" s="69"/>
      <c r="AD139" s="69"/>
      <c r="AE139" s="69"/>
      <c r="AF139" s="69"/>
      <c r="AG139" s="69"/>
      <c r="AH139" s="69"/>
      <c r="AI139" s="69"/>
      <c r="AJ139" s="69"/>
      <c r="AK139" s="69"/>
      <c r="AL139" s="69"/>
      <c r="AM139" s="69"/>
      <c r="AN139" s="69"/>
      <c r="AO139" s="69"/>
      <c r="AP139" s="69"/>
      <c r="AQ139" s="69"/>
      <c r="AR139" s="69"/>
      <c r="AS139" s="69"/>
      <c r="AT139" s="69"/>
      <c r="AU139" s="69"/>
      <c r="AV139" s="69"/>
      <c r="AW139" s="69"/>
      <c r="AX139" s="69"/>
      <c r="AY139" s="69"/>
      <c r="AZ139" s="69"/>
      <c r="BA139" s="69"/>
      <c r="BB139" s="69"/>
      <c r="BC139" s="69"/>
      <c r="BD139" s="69"/>
      <c r="BE139" s="69"/>
      <c r="BF139" s="69"/>
      <c r="BG139" s="69"/>
      <c r="BH139" s="69"/>
    </row>
    <row r="140" spans="1:60" x14ac:dyDescent="0.25">
      <c r="A140" s="69"/>
      <c r="B140" s="69"/>
      <c r="C140" s="69"/>
      <c r="D140" s="69"/>
      <c r="E140" s="69"/>
      <c r="F140" s="69"/>
      <c r="G140" s="69"/>
      <c r="H140" s="69"/>
      <c r="I140" s="69"/>
      <c r="J140" s="69"/>
      <c r="K140" s="69"/>
      <c r="L140" s="69"/>
      <c r="M140" s="69"/>
      <c r="N140" s="69"/>
      <c r="O140" s="69"/>
      <c r="P140" s="69"/>
      <c r="Q140" s="69"/>
      <c r="R140" s="69"/>
      <c r="S140" s="69"/>
      <c r="T140" s="69"/>
      <c r="U140" s="69"/>
      <c r="V140" s="69"/>
      <c r="W140" s="69"/>
      <c r="X140" s="69"/>
      <c r="Y140" s="69"/>
      <c r="Z140" s="69"/>
      <c r="AA140" s="69"/>
      <c r="AB140" s="69"/>
      <c r="AC140" s="69"/>
      <c r="AD140" s="69"/>
      <c r="AE140" s="69"/>
      <c r="AF140" s="69"/>
      <c r="AG140" s="69"/>
      <c r="AH140" s="69"/>
      <c r="AI140" s="69"/>
      <c r="AJ140" s="69"/>
      <c r="AK140" s="69"/>
      <c r="AL140" s="69"/>
      <c r="AM140" s="69"/>
      <c r="AN140" s="69"/>
      <c r="AO140" s="69"/>
      <c r="AP140" s="69"/>
      <c r="AQ140" s="69"/>
      <c r="AR140" s="69"/>
      <c r="AS140" s="69"/>
      <c r="AT140" s="69"/>
      <c r="AU140" s="69"/>
      <c r="AV140" s="69"/>
      <c r="AW140" s="69"/>
      <c r="AX140" s="69"/>
      <c r="AY140" s="69"/>
      <c r="AZ140" s="69"/>
      <c r="BA140" s="69"/>
      <c r="BB140" s="69"/>
      <c r="BC140" s="69"/>
      <c r="BD140" s="69"/>
      <c r="BE140" s="69"/>
      <c r="BF140" s="69"/>
      <c r="BG140" s="69"/>
      <c r="BH140" s="69"/>
    </row>
    <row r="141" spans="1:60" x14ac:dyDescent="0.25">
      <c r="A141" s="69"/>
      <c r="B141" s="69"/>
      <c r="C141" s="69"/>
      <c r="D141" s="69"/>
      <c r="E141" s="69"/>
      <c r="F141" s="69"/>
      <c r="G141" s="69"/>
      <c r="H141" s="69"/>
      <c r="I141" s="69"/>
      <c r="J141" s="69"/>
      <c r="K141" s="69"/>
      <c r="L141" s="69"/>
      <c r="M141" s="69"/>
      <c r="N141" s="69"/>
      <c r="O141" s="69"/>
      <c r="P141" s="69"/>
      <c r="Q141" s="69"/>
      <c r="R141" s="69"/>
      <c r="S141" s="69"/>
      <c r="T141" s="69"/>
      <c r="U141" s="69"/>
      <c r="V141" s="69"/>
      <c r="W141" s="69"/>
      <c r="X141" s="69"/>
      <c r="Y141" s="69"/>
      <c r="Z141" s="69"/>
      <c r="AA141" s="69"/>
      <c r="AB141" s="69"/>
      <c r="AC141" s="69"/>
      <c r="AD141" s="69"/>
      <c r="AE141" s="69"/>
      <c r="AF141" s="69"/>
      <c r="AG141" s="69"/>
      <c r="AH141" s="69"/>
      <c r="AI141" s="69"/>
      <c r="AJ141" s="69"/>
      <c r="AK141" s="69"/>
      <c r="AL141" s="69"/>
      <c r="AM141" s="69"/>
      <c r="AN141" s="69"/>
      <c r="AO141" s="69"/>
      <c r="AP141" s="69"/>
      <c r="AQ141" s="69"/>
      <c r="AR141" s="69"/>
      <c r="AS141" s="69"/>
      <c r="AT141" s="69"/>
      <c r="AU141" s="69"/>
      <c r="AV141" s="69"/>
      <c r="AW141" s="69"/>
      <c r="AX141" s="69"/>
      <c r="AY141" s="69"/>
      <c r="AZ141" s="69"/>
      <c r="BA141" s="69"/>
      <c r="BB141" s="69"/>
      <c r="BC141" s="69"/>
      <c r="BD141" s="69"/>
      <c r="BE141" s="69"/>
      <c r="BF141" s="69"/>
      <c r="BG141" s="69"/>
      <c r="BH141" s="69"/>
    </row>
    <row r="142" spans="1:60" x14ac:dyDescent="0.25">
      <c r="A142" s="69"/>
      <c r="B142" s="69"/>
      <c r="C142" s="69"/>
      <c r="D142" s="69"/>
      <c r="E142" s="69"/>
      <c r="F142" s="69"/>
      <c r="G142" s="69"/>
      <c r="H142" s="69"/>
      <c r="I142" s="69"/>
      <c r="J142" s="69"/>
      <c r="K142" s="69"/>
      <c r="L142" s="69"/>
      <c r="M142" s="69"/>
      <c r="N142" s="69"/>
      <c r="O142" s="69"/>
      <c r="P142" s="69"/>
      <c r="Q142" s="69"/>
      <c r="R142" s="69"/>
      <c r="S142" s="69"/>
      <c r="T142" s="69"/>
      <c r="U142" s="69"/>
      <c r="V142" s="69"/>
      <c r="W142" s="69"/>
      <c r="X142" s="69"/>
      <c r="Y142" s="69"/>
      <c r="Z142" s="69"/>
      <c r="AA142" s="69"/>
      <c r="AB142" s="69"/>
      <c r="AC142" s="69"/>
      <c r="AD142" s="69"/>
      <c r="AE142" s="69"/>
      <c r="AF142" s="69"/>
      <c r="AG142" s="69"/>
      <c r="AH142" s="69"/>
      <c r="AI142" s="69"/>
      <c r="AJ142" s="69"/>
      <c r="AK142" s="69"/>
      <c r="AL142" s="69"/>
      <c r="AM142" s="69"/>
      <c r="AN142" s="69"/>
      <c r="AO142" s="69"/>
      <c r="AP142" s="69"/>
      <c r="AQ142" s="69"/>
      <c r="AR142" s="69"/>
      <c r="AS142" s="69"/>
      <c r="AT142" s="69"/>
      <c r="AU142" s="69"/>
      <c r="AV142" s="69"/>
      <c r="AW142" s="69"/>
      <c r="AX142" s="69"/>
      <c r="AY142" s="69"/>
      <c r="AZ142" s="69"/>
      <c r="BA142" s="69"/>
      <c r="BB142" s="69"/>
      <c r="BC142" s="69"/>
      <c r="BD142" s="69"/>
      <c r="BE142" s="69"/>
      <c r="BF142" s="69"/>
      <c r="BG142" s="69"/>
      <c r="BH142" s="69"/>
    </row>
    <row r="143" spans="1:60" x14ac:dyDescent="0.25">
      <c r="A143" s="69"/>
      <c r="B143" s="69"/>
      <c r="C143" s="69"/>
      <c r="D143" s="69"/>
      <c r="E143" s="69"/>
      <c r="F143" s="69"/>
      <c r="G143" s="69"/>
      <c r="H143" s="69"/>
      <c r="I143" s="69"/>
      <c r="J143" s="69"/>
      <c r="K143" s="69"/>
      <c r="L143" s="69"/>
      <c r="M143" s="69"/>
      <c r="N143" s="69"/>
      <c r="O143" s="69"/>
      <c r="P143" s="69"/>
      <c r="Q143" s="69"/>
      <c r="R143" s="69"/>
      <c r="S143" s="69"/>
      <c r="T143" s="69"/>
      <c r="U143" s="69"/>
      <c r="V143" s="69"/>
      <c r="W143" s="69"/>
      <c r="X143" s="69"/>
      <c r="Y143" s="69"/>
      <c r="Z143" s="69"/>
      <c r="AA143" s="69"/>
      <c r="AB143" s="69"/>
      <c r="AC143" s="69"/>
      <c r="AD143" s="69"/>
      <c r="AE143" s="69"/>
      <c r="AF143" s="69"/>
      <c r="AG143" s="69"/>
      <c r="AH143" s="69"/>
      <c r="AI143" s="69"/>
      <c r="AJ143" s="69"/>
      <c r="AK143" s="69"/>
      <c r="AL143" s="69"/>
      <c r="AM143" s="69"/>
      <c r="AN143" s="69"/>
      <c r="AO143" s="69"/>
      <c r="AP143" s="69"/>
      <c r="AQ143" s="69"/>
      <c r="AR143" s="69"/>
      <c r="AS143" s="69"/>
      <c r="AT143" s="69"/>
      <c r="AU143" s="69"/>
      <c r="AV143" s="69"/>
      <c r="AW143" s="69"/>
      <c r="AX143" s="69"/>
      <c r="AY143" s="69"/>
      <c r="AZ143" s="69"/>
      <c r="BA143" s="69"/>
      <c r="BB143" s="69"/>
      <c r="BC143" s="69"/>
      <c r="BD143" s="69"/>
      <c r="BE143" s="69"/>
      <c r="BF143" s="69"/>
      <c r="BG143" s="69"/>
      <c r="BH143" s="69"/>
    </row>
    <row r="144" spans="1:60" x14ac:dyDescent="0.25">
      <c r="A144" s="69"/>
      <c r="B144" s="69"/>
      <c r="C144" s="69"/>
      <c r="D144" s="69"/>
      <c r="E144" s="69"/>
      <c r="F144" s="69"/>
      <c r="G144" s="69"/>
      <c r="H144" s="69"/>
      <c r="I144" s="69"/>
      <c r="J144" s="69"/>
      <c r="K144" s="69"/>
      <c r="L144" s="69"/>
      <c r="M144" s="69"/>
      <c r="N144" s="69"/>
      <c r="O144" s="69"/>
      <c r="P144" s="69"/>
      <c r="Q144" s="69"/>
      <c r="R144" s="69"/>
      <c r="S144" s="69"/>
      <c r="T144" s="69"/>
      <c r="U144" s="69"/>
      <c r="V144" s="69"/>
      <c r="W144" s="69"/>
      <c r="X144" s="69"/>
      <c r="Y144" s="69"/>
      <c r="Z144" s="69"/>
      <c r="AA144" s="69"/>
      <c r="AB144" s="69"/>
      <c r="AC144" s="69"/>
      <c r="AD144" s="69"/>
      <c r="AE144" s="69"/>
      <c r="AF144" s="69"/>
      <c r="AG144" s="69"/>
      <c r="AH144" s="69"/>
      <c r="AI144" s="69"/>
      <c r="AJ144" s="69"/>
      <c r="AK144" s="69"/>
      <c r="AL144" s="69"/>
      <c r="AM144" s="69"/>
      <c r="AN144" s="69"/>
      <c r="AO144" s="69"/>
      <c r="AP144" s="69"/>
      <c r="AQ144" s="69"/>
      <c r="AR144" s="69"/>
      <c r="AS144" s="69"/>
      <c r="AT144" s="69"/>
      <c r="AU144" s="69"/>
      <c r="AV144" s="69"/>
      <c r="AW144" s="69"/>
      <c r="AX144" s="69"/>
      <c r="AY144" s="69"/>
      <c r="AZ144" s="69"/>
      <c r="BA144" s="69"/>
      <c r="BB144" s="69"/>
      <c r="BC144" s="69"/>
      <c r="BD144" s="69"/>
      <c r="BE144" s="69"/>
      <c r="BF144" s="69"/>
      <c r="BG144" s="69"/>
      <c r="BH144" s="69"/>
    </row>
    <row r="145" spans="1:60" x14ac:dyDescent="0.25">
      <c r="A145" s="69"/>
      <c r="B145" s="69"/>
      <c r="C145" s="69"/>
      <c r="D145" s="69"/>
      <c r="E145" s="69"/>
      <c r="F145" s="69"/>
      <c r="G145" s="69"/>
      <c r="H145" s="69"/>
      <c r="I145" s="69"/>
      <c r="J145" s="69"/>
      <c r="K145" s="69"/>
      <c r="L145" s="69"/>
      <c r="M145" s="69"/>
      <c r="N145" s="69"/>
      <c r="O145" s="69"/>
      <c r="P145" s="69"/>
      <c r="Q145" s="69"/>
      <c r="R145" s="69"/>
      <c r="S145" s="69"/>
      <c r="T145" s="69"/>
      <c r="U145" s="69"/>
      <c r="V145" s="69"/>
      <c r="W145" s="69"/>
      <c r="X145" s="69"/>
      <c r="Y145" s="69"/>
      <c r="Z145" s="69"/>
      <c r="AA145" s="69"/>
      <c r="AB145" s="69"/>
      <c r="AC145" s="69"/>
      <c r="AD145" s="69"/>
      <c r="AE145" s="69"/>
      <c r="AF145" s="69"/>
      <c r="AG145" s="69"/>
      <c r="AH145" s="69"/>
      <c r="AI145" s="69"/>
      <c r="AJ145" s="69"/>
      <c r="AK145" s="69"/>
      <c r="AL145" s="69"/>
      <c r="AM145" s="69"/>
      <c r="AN145" s="69"/>
      <c r="AO145" s="69"/>
      <c r="AP145" s="69"/>
      <c r="AQ145" s="69"/>
      <c r="AR145" s="69"/>
      <c r="AS145" s="69"/>
      <c r="AT145" s="69"/>
      <c r="AU145" s="69"/>
      <c r="AV145" s="69"/>
      <c r="AW145" s="69"/>
      <c r="AX145" s="69"/>
      <c r="AY145" s="69"/>
      <c r="AZ145" s="69"/>
      <c r="BA145" s="69"/>
      <c r="BB145" s="69"/>
      <c r="BC145" s="69"/>
      <c r="BD145" s="69"/>
      <c r="BE145" s="69"/>
      <c r="BF145" s="69"/>
      <c r="BG145" s="69"/>
      <c r="BH145" s="69"/>
    </row>
    <row r="146" spans="1:60" x14ac:dyDescent="0.25">
      <c r="A146" s="69"/>
      <c r="B146" s="69"/>
      <c r="C146" s="69"/>
      <c r="D146" s="69"/>
      <c r="E146" s="69"/>
      <c r="F146" s="69"/>
      <c r="G146" s="69"/>
      <c r="H146" s="69"/>
      <c r="I146" s="69"/>
      <c r="J146" s="69"/>
      <c r="K146" s="69"/>
      <c r="L146" s="69"/>
      <c r="M146" s="69"/>
      <c r="N146" s="69"/>
      <c r="O146" s="69"/>
      <c r="P146" s="69"/>
      <c r="Q146" s="69"/>
      <c r="R146" s="69"/>
      <c r="S146" s="69"/>
      <c r="T146" s="69"/>
      <c r="U146" s="69"/>
      <c r="V146" s="69"/>
      <c r="W146" s="69"/>
      <c r="X146" s="69"/>
      <c r="Y146" s="69"/>
      <c r="Z146" s="69"/>
      <c r="AA146" s="69"/>
      <c r="AB146" s="69"/>
      <c r="AC146" s="69"/>
      <c r="AD146" s="69"/>
      <c r="AE146" s="69"/>
      <c r="AF146" s="69"/>
      <c r="AG146" s="69"/>
      <c r="AH146" s="69"/>
      <c r="AI146" s="69"/>
      <c r="AJ146" s="69"/>
      <c r="AK146" s="69"/>
      <c r="AL146" s="69"/>
      <c r="AM146" s="69"/>
      <c r="AN146" s="69"/>
      <c r="AO146" s="69"/>
      <c r="AP146" s="69"/>
      <c r="AQ146" s="69"/>
      <c r="AR146" s="69"/>
      <c r="AS146" s="69"/>
      <c r="AT146" s="69"/>
      <c r="AU146" s="69"/>
      <c r="AV146" s="69"/>
      <c r="AW146" s="69"/>
      <c r="AX146" s="69"/>
      <c r="AY146" s="69"/>
      <c r="AZ146" s="69"/>
      <c r="BA146" s="69"/>
      <c r="BB146" s="69"/>
      <c r="BC146" s="69"/>
      <c r="BD146" s="69"/>
      <c r="BE146" s="69"/>
      <c r="BF146" s="69"/>
      <c r="BG146" s="69"/>
      <c r="BH146" s="69"/>
    </row>
    <row r="147" spans="1:60" x14ac:dyDescent="0.25">
      <c r="A147" s="69"/>
      <c r="B147" s="69"/>
      <c r="C147" s="69"/>
      <c r="D147" s="69"/>
      <c r="E147" s="69"/>
      <c r="F147" s="69"/>
      <c r="G147" s="69"/>
      <c r="H147" s="69"/>
      <c r="I147" s="69"/>
      <c r="J147" s="69"/>
      <c r="K147" s="69"/>
      <c r="L147" s="69"/>
      <c r="M147" s="69"/>
      <c r="N147" s="69"/>
      <c r="O147" s="69"/>
      <c r="P147" s="69"/>
      <c r="Q147" s="69"/>
      <c r="R147" s="69"/>
      <c r="S147" s="69"/>
      <c r="T147" s="69"/>
      <c r="U147" s="69"/>
      <c r="V147" s="69"/>
      <c r="W147" s="69"/>
      <c r="X147" s="69"/>
      <c r="Y147" s="69"/>
      <c r="Z147" s="69"/>
      <c r="AA147" s="69"/>
      <c r="AB147" s="69"/>
      <c r="AC147" s="69"/>
      <c r="AD147" s="69"/>
      <c r="AE147" s="69"/>
      <c r="AF147" s="69"/>
      <c r="AG147" s="69"/>
      <c r="AH147" s="69"/>
      <c r="AI147" s="69"/>
      <c r="AJ147" s="69"/>
      <c r="AK147" s="69"/>
      <c r="AL147" s="69"/>
      <c r="AM147" s="69"/>
      <c r="AN147" s="69"/>
      <c r="AO147" s="69"/>
      <c r="AP147" s="69"/>
      <c r="AQ147" s="69"/>
      <c r="AR147" s="69"/>
      <c r="AS147" s="69"/>
      <c r="AT147" s="69"/>
      <c r="AU147" s="69"/>
      <c r="AV147" s="69"/>
      <c r="AW147" s="69"/>
      <c r="AX147" s="69"/>
      <c r="AY147" s="69"/>
      <c r="AZ147" s="69"/>
      <c r="BA147" s="69"/>
      <c r="BB147" s="69"/>
      <c r="BC147" s="69"/>
      <c r="BD147" s="69"/>
      <c r="BE147" s="69"/>
      <c r="BF147" s="69"/>
      <c r="BG147" s="69"/>
      <c r="BH147" s="69"/>
    </row>
    <row r="148" spans="1:60" x14ac:dyDescent="0.25">
      <c r="A148" s="69"/>
      <c r="B148" s="69"/>
      <c r="C148" s="69"/>
      <c r="D148" s="69"/>
      <c r="E148" s="69"/>
      <c r="F148" s="69"/>
      <c r="G148" s="69"/>
      <c r="H148" s="69"/>
      <c r="I148" s="69"/>
      <c r="J148" s="69"/>
      <c r="K148" s="69"/>
      <c r="L148" s="69"/>
      <c r="M148" s="69"/>
      <c r="N148" s="69"/>
      <c r="O148" s="69"/>
      <c r="P148" s="69"/>
      <c r="Q148" s="69"/>
      <c r="R148" s="69"/>
      <c r="S148" s="69"/>
      <c r="T148" s="69"/>
      <c r="U148" s="69"/>
      <c r="V148" s="69"/>
      <c r="W148" s="69"/>
      <c r="X148" s="69"/>
      <c r="Y148" s="69"/>
      <c r="Z148" s="69"/>
      <c r="AA148" s="69"/>
      <c r="AB148" s="69"/>
      <c r="AC148" s="69"/>
      <c r="AD148" s="69"/>
      <c r="AE148" s="69"/>
      <c r="AF148" s="69"/>
      <c r="AG148" s="69"/>
      <c r="AH148" s="69"/>
      <c r="AI148" s="69"/>
      <c r="AJ148" s="69"/>
      <c r="AK148" s="69"/>
      <c r="AL148" s="69"/>
      <c r="AM148" s="69"/>
      <c r="AN148" s="69"/>
      <c r="AO148" s="69"/>
      <c r="AP148" s="69"/>
      <c r="AQ148" s="69"/>
      <c r="AR148" s="69"/>
      <c r="AS148" s="69"/>
      <c r="AT148" s="69"/>
      <c r="AU148" s="69"/>
      <c r="AV148" s="69"/>
      <c r="AW148" s="69"/>
      <c r="AX148" s="69"/>
      <c r="AY148" s="69"/>
      <c r="AZ148" s="69"/>
      <c r="BA148" s="69"/>
      <c r="BB148" s="69"/>
      <c r="BC148" s="69"/>
      <c r="BD148" s="69"/>
      <c r="BE148" s="69"/>
      <c r="BF148" s="69"/>
      <c r="BG148" s="69"/>
      <c r="BH148" s="69"/>
    </row>
    <row r="149" spans="1:60" x14ac:dyDescent="0.25">
      <c r="A149" s="69"/>
      <c r="B149" s="69"/>
      <c r="C149" s="69"/>
      <c r="D149" s="69"/>
      <c r="E149" s="69"/>
      <c r="F149" s="69"/>
      <c r="G149" s="69"/>
      <c r="H149" s="69"/>
      <c r="I149" s="69"/>
      <c r="J149" s="69"/>
      <c r="K149" s="69"/>
      <c r="L149" s="69"/>
      <c r="M149" s="69"/>
      <c r="N149" s="69"/>
      <c r="O149" s="69"/>
      <c r="P149" s="69"/>
      <c r="Q149" s="69"/>
      <c r="R149" s="69"/>
      <c r="S149" s="69"/>
      <c r="T149" s="69"/>
      <c r="U149" s="69"/>
      <c r="V149" s="69"/>
      <c r="W149" s="69"/>
      <c r="X149" s="69"/>
      <c r="Y149" s="69"/>
      <c r="Z149" s="69"/>
      <c r="AA149" s="69"/>
      <c r="AB149" s="69"/>
      <c r="AC149" s="69"/>
      <c r="AD149" s="69"/>
      <c r="AE149" s="69"/>
      <c r="AF149" s="69"/>
      <c r="AG149" s="69"/>
      <c r="AH149" s="69"/>
      <c r="AI149" s="69"/>
      <c r="AJ149" s="69"/>
      <c r="AK149" s="69"/>
      <c r="AL149" s="69"/>
      <c r="AM149" s="69"/>
      <c r="AN149" s="69"/>
      <c r="AO149" s="69"/>
      <c r="AP149" s="69"/>
      <c r="AQ149" s="69"/>
      <c r="AR149" s="69"/>
      <c r="AS149" s="69"/>
      <c r="AT149" s="69"/>
      <c r="AU149" s="69"/>
      <c r="AV149" s="69"/>
      <c r="AW149" s="69"/>
      <c r="AX149" s="69"/>
      <c r="AY149" s="69"/>
      <c r="AZ149" s="69"/>
      <c r="BA149" s="69"/>
      <c r="BB149" s="69"/>
      <c r="BC149" s="69"/>
      <c r="BD149" s="69"/>
      <c r="BE149" s="69"/>
      <c r="BF149" s="69"/>
      <c r="BG149" s="69"/>
      <c r="BH149" s="69"/>
    </row>
    <row r="150" spans="1:60" x14ac:dyDescent="0.25">
      <c r="A150" s="69"/>
      <c r="B150" s="69"/>
      <c r="C150" s="69"/>
      <c r="D150" s="69"/>
      <c r="E150" s="69"/>
      <c r="F150" s="69"/>
      <c r="G150" s="69"/>
      <c r="H150" s="69"/>
      <c r="I150" s="69"/>
      <c r="J150" s="69"/>
      <c r="K150" s="69"/>
      <c r="L150" s="69"/>
      <c r="M150" s="69"/>
      <c r="N150" s="69"/>
      <c r="O150" s="69"/>
      <c r="P150" s="69"/>
      <c r="Q150" s="69"/>
      <c r="R150" s="69"/>
      <c r="S150" s="69"/>
      <c r="T150" s="69"/>
      <c r="U150" s="69"/>
      <c r="V150" s="69"/>
      <c r="W150" s="69"/>
      <c r="X150" s="69"/>
      <c r="Y150" s="69"/>
      <c r="Z150" s="69"/>
      <c r="AA150" s="69"/>
      <c r="AB150" s="69"/>
      <c r="AC150" s="69"/>
      <c r="AD150" s="69"/>
      <c r="AE150" s="69"/>
      <c r="AF150" s="69"/>
      <c r="AG150" s="69"/>
      <c r="AH150" s="69"/>
      <c r="AI150" s="69"/>
      <c r="AJ150" s="69"/>
      <c r="AK150" s="69"/>
      <c r="AL150" s="69"/>
      <c r="AM150" s="69"/>
      <c r="AN150" s="69"/>
      <c r="AO150" s="69"/>
      <c r="AP150" s="69"/>
      <c r="AQ150" s="69"/>
      <c r="AR150" s="69"/>
      <c r="AS150" s="69"/>
      <c r="AT150" s="69"/>
      <c r="AU150" s="69"/>
      <c r="AV150" s="69"/>
      <c r="AW150" s="69"/>
      <c r="AX150" s="69"/>
      <c r="AY150" s="69"/>
      <c r="AZ150" s="69"/>
      <c r="BA150" s="69"/>
      <c r="BB150" s="69"/>
      <c r="BC150" s="69"/>
      <c r="BD150" s="69"/>
      <c r="BE150" s="69"/>
      <c r="BF150" s="69"/>
      <c r="BG150" s="69"/>
      <c r="BH150" s="69"/>
    </row>
    <row r="151" spans="1:60" x14ac:dyDescent="0.25">
      <c r="A151" s="69"/>
      <c r="B151" s="69"/>
      <c r="C151" s="69"/>
      <c r="D151" s="69"/>
      <c r="E151" s="69"/>
      <c r="F151" s="69"/>
      <c r="G151" s="69"/>
      <c r="H151" s="69"/>
      <c r="I151" s="69"/>
      <c r="J151" s="69"/>
      <c r="K151" s="69"/>
      <c r="L151" s="69"/>
      <c r="M151" s="69"/>
      <c r="N151" s="69"/>
      <c r="O151" s="69"/>
      <c r="P151" s="69"/>
      <c r="Q151" s="69"/>
      <c r="R151" s="69"/>
      <c r="S151" s="69"/>
      <c r="T151" s="69"/>
      <c r="U151" s="69"/>
      <c r="V151" s="69"/>
      <c r="W151" s="69"/>
      <c r="X151" s="69"/>
      <c r="Y151" s="69"/>
      <c r="Z151" s="69"/>
      <c r="AA151" s="69"/>
      <c r="AB151" s="69"/>
      <c r="AC151" s="69"/>
      <c r="AD151" s="69"/>
      <c r="AE151" s="69"/>
      <c r="AF151" s="69"/>
      <c r="AG151" s="69"/>
      <c r="AH151" s="69"/>
      <c r="AI151" s="69"/>
      <c r="AJ151" s="69"/>
      <c r="AK151" s="69"/>
      <c r="AL151" s="69"/>
      <c r="AM151" s="69"/>
      <c r="AN151" s="69"/>
      <c r="AO151" s="69"/>
      <c r="AP151" s="69"/>
      <c r="AQ151" s="69"/>
      <c r="AR151" s="69"/>
      <c r="AS151" s="69"/>
      <c r="AT151" s="69"/>
      <c r="AU151" s="69"/>
      <c r="AV151" s="69"/>
      <c r="AW151" s="69"/>
      <c r="AX151" s="69"/>
      <c r="AY151" s="69"/>
      <c r="AZ151" s="69"/>
      <c r="BA151" s="69"/>
      <c r="BB151" s="69"/>
      <c r="BC151" s="69"/>
      <c r="BD151" s="69"/>
      <c r="BE151" s="69"/>
      <c r="BF151" s="69"/>
      <c r="BG151" s="69"/>
      <c r="BH151" s="69"/>
    </row>
    <row r="152" spans="1:60" x14ac:dyDescent="0.25">
      <c r="A152" s="69"/>
      <c r="B152" s="69"/>
      <c r="C152" s="69"/>
      <c r="D152" s="69"/>
      <c r="E152" s="69"/>
      <c r="F152" s="69"/>
      <c r="G152" s="69"/>
      <c r="H152" s="69"/>
      <c r="I152" s="69"/>
      <c r="J152" s="69"/>
      <c r="K152" s="69"/>
      <c r="L152" s="69"/>
      <c r="M152" s="69"/>
      <c r="N152" s="69"/>
      <c r="O152" s="69"/>
      <c r="P152" s="69"/>
      <c r="Q152" s="69"/>
      <c r="R152" s="69"/>
      <c r="S152" s="69"/>
      <c r="T152" s="69"/>
      <c r="U152" s="69"/>
      <c r="V152" s="69"/>
      <c r="W152" s="69"/>
      <c r="X152" s="69"/>
      <c r="Y152" s="69"/>
      <c r="Z152" s="69"/>
      <c r="AA152" s="69"/>
      <c r="AB152" s="69"/>
      <c r="AC152" s="69"/>
      <c r="AD152" s="69"/>
      <c r="AE152" s="69"/>
      <c r="AF152" s="69"/>
      <c r="AG152" s="69"/>
      <c r="AH152" s="69"/>
      <c r="AI152" s="69"/>
      <c r="AJ152" s="69"/>
      <c r="AK152" s="69"/>
      <c r="AL152" s="69"/>
      <c r="AM152" s="69"/>
      <c r="AN152" s="69"/>
      <c r="AO152" s="69"/>
      <c r="AP152" s="69"/>
      <c r="AQ152" s="69"/>
      <c r="AR152" s="69"/>
      <c r="AS152" s="69"/>
      <c r="AT152" s="69"/>
      <c r="AU152" s="69"/>
      <c r="AV152" s="69"/>
      <c r="AW152" s="69"/>
      <c r="AX152" s="69"/>
      <c r="AY152" s="69"/>
      <c r="AZ152" s="69"/>
      <c r="BA152" s="69"/>
      <c r="BB152" s="69"/>
      <c r="BC152" s="69"/>
      <c r="BD152" s="69"/>
      <c r="BE152" s="69"/>
      <c r="BF152" s="69"/>
      <c r="BG152" s="69"/>
      <c r="BH152" s="69"/>
    </row>
    <row r="153" spans="1:60" x14ac:dyDescent="0.25">
      <c r="A153" s="69"/>
      <c r="B153" s="69"/>
      <c r="C153" s="69"/>
      <c r="D153" s="69"/>
      <c r="E153" s="69"/>
      <c r="F153" s="69"/>
      <c r="G153" s="69"/>
      <c r="H153" s="69"/>
      <c r="I153" s="69"/>
      <c r="J153" s="69"/>
      <c r="K153" s="69"/>
      <c r="L153" s="69"/>
      <c r="M153" s="69"/>
      <c r="N153" s="69"/>
      <c r="O153" s="69"/>
      <c r="P153" s="69"/>
      <c r="Q153" s="69"/>
      <c r="R153" s="69"/>
      <c r="S153" s="69"/>
      <c r="T153" s="69"/>
      <c r="U153" s="69"/>
      <c r="V153" s="69"/>
      <c r="W153" s="69"/>
      <c r="X153" s="69"/>
      <c r="Y153" s="69"/>
      <c r="Z153" s="69"/>
      <c r="AA153" s="69"/>
      <c r="AB153" s="69"/>
      <c r="AC153" s="69"/>
      <c r="AD153" s="69"/>
      <c r="AE153" s="69"/>
      <c r="AF153" s="69"/>
      <c r="AG153" s="69"/>
      <c r="AH153" s="69"/>
      <c r="AI153" s="69"/>
      <c r="AJ153" s="69"/>
      <c r="AK153" s="69"/>
      <c r="AL153" s="69"/>
      <c r="AM153" s="69"/>
      <c r="AN153" s="69"/>
      <c r="AO153" s="69"/>
      <c r="AP153" s="69"/>
      <c r="AQ153" s="69"/>
      <c r="AR153" s="69"/>
      <c r="AS153" s="69"/>
      <c r="AT153" s="69"/>
      <c r="AU153" s="69"/>
      <c r="AV153" s="69"/>
      <c r="AW153" s="69"/>
      <c r="AX153" s="69"/>
      <c r="AY153" s="69"/>
      <c r="AZ153" s="69"/>
      <c r="BA153" s="69"/>
      <c r="BB153" s="69"/>
      <c r="BC153" s="69"/>
      <c r="BD153" s="69"/>
      <c r="BE153" s="69"/>
      <c r="BF153" s="69"/>
      <c r="BG153" s="69"/>
      <c r="BH153" s="69"/>
    </row>
    <row r="154" spans="1:60" x14ac:dyDescent="0.25">
      <c r="A154" s="69"/>
      <c r="B154" s="69"/>
      <c r="C154" s="69"/>
      <c r="D154" s="69"/>
      <c r="E154" s="69"/>
      <c r="F154" s="69"/>
      <c r="G154" s="69"/>
      <c r="H154" s="69"/>
      <c r="I154" s="69"/>
      <c r="J154" s="69"/>
      <c r="K154" s="69"/>
      <c r="L154" s="69"/>
      <c r="M154" s="69"/>
      <c r="N154" s="69"/>
      <c r="O154" s="69"/>
      <c r="P154" s="69"/>
      <c r="Q154" s="69"/>
      <c r="R154" s="69"/>
      <c r="S154" s="69"/>
      <c r="T154" s="69"/>
      <c r="U154" s="69"/>
      <c r="V154" s="69"/>
      <c r="W154" s="69"/>
      <c r="X154" s="69"/>
      <c r="Y154" s="69"/>
      <c r="Z154" s="69"/>
      <c r="AA154" s="69"/>
      <c r="AB154" s="69"/>
      <c r="AC154" s="69"/>
      <c r="AD154" s="69"/>
      <c r="AE154" s="69"/>
      <c r="AF154" s="69"/>
      <c r="AG154" s="69"/>
      <c r="AH154" s="69"/>
      <c r="AI154" s="69"/>
      <c r="AJ154" s="69"/>
      <c r="AK154" s="69"/>
      <c r="AL154" s="69"/>
      <c r="AM154" s="69"/>
      <c r="AN154" s="69"/>
      <c r="AO154" s="69"/>
      <c r="AP154" s="69"/>
      <c r="AQ154" s="69"/>
      <c r="AR154" s="69"/>
      <c r="AS154" s="69"/>
      <c r="AT154" s="69"/>
      <c r="AU154" s="69"/>
      <c r="AV154" s="69"/>
      <c r="AW154" s="69"/>
      <c r="AX154" s="69"/>
      <c r="AY154" s="69"/>
      <c r="AZ154" s="69"/>
      <c r="BA154" s="69"/>
      <c r="BB154" s="69"/>
      <c r="BC154" s="69"/>
      <c r="BD154" s="69"/>
      <c r="BE154" s="69"/>
      <c r="BF154" s="69"/>
      <c r="BG154" s="69"/>
      <c r="BH154" s="69"/>
    </row>
    <row r="155" spans="1:60" x14ac:dyDescent="0.25">
      <c r="A155" s="69"/>
      <c r="B155" s="69"/>
      <c r="C155" s="69"/>
      <c r="D155" s="69"/>
      <c r="E155" s="6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row>
    <row r="156" spans="1:60" x14ac:dyDescent="0.25">
      <c r="A156" s="69"/>
      <c r="B156" s="69"/>
      <c r="C156" s="69"/>
      <c r="D156" s="69"/>
      <c r="E156" s="69"/>
      <c r="F156" s="69"/>
      <c r="G156" s="69"/>
      <c r="H156" s="69"/>
      <c r="I156" s="69"/>
      <c r="J156" s="69"/>
      <c r="K156" s="69"/>
      <c r="L156" s="69"/>
      <c r="M156" s="69"/>
      <c r="N156" s="69"/>
      <c r="O156" s="69"/>
      <c r="P156" s="69"/>
      <c r="Q156" s="69"/>
      <c r="R156" s="69"/>
      <c r="S156" s="69"/>
      <c r="T156" s="69"/>
      <c r="U156" s="69"/>
      <c r="V156" s="69"/>
      <c r="W156" s="69"/>
      <c r="X156" s="69"/>
      <c r="Y156" s="69"/>
      <c r="Z156" s="69"/>
      <c r="AA156" s="69"/>
      <c r="AB156" s="69"/>
      <c r="AC156" s="69"/>
      <c r="AD156" s="69"/>
      <c r="AE156" s="69"/>
      <c r="AF156" s="69"/>
      <c r="AG156" s="69"/>
      <c r="AH156" s="69"/>
      <c r="AI156" s="69"/>
      <c r="AJ156" s="69"/>
      <c r="AK156" s="69"/>
      <c r="AL156" s="69"/>
      <c r="AM156" s="69"/>
      <c r="AN156" s="69"/>
      <c r="AO156" s="69"/>
      <c r="AP156" s="69"/>
      <c r="AQ156" s="69"/>
      <c r="AR156" s="69"/>
      <c r="AS156" s="69"/>
      <c r="AT156" s="69"/>
      <c r="AU156" s="69"/>
      <c r="AV156" s="69"/>
      <c r="AW156" s="69"/>
      <c r="AX156" s="69"/>
      <c r="AY156" s="69"/>
      <c r="AZ156" s="69"/>
      <c r="BA156" s="69"/>
      <c r="BB156" s="69"/>
      <c r="BC156" s="69"/>
      <c r="BD156" s="69"/>
      <c r="BE156" s="69"/>
      <c r="BF156" s="69"/>
      <c r="BG156" s="69"/>
      <c r="BH156" s="69"/>
    </row>
    <row r="157" spans="1:60" x14ac:dyDescent="0.25">
      <c r="A157" s="69"/>
      <c r="B157" s="69"/>
      <c r="C157" s="69"/>
      <c r="D157" s="69"/>
      <c r="E157" s="69"/>
      <c r="F157" s="69"/>
      <c r="G157" s="69"/>
      <c r="H157" s="69"/>
      <c r="I157" s="69"/>
      <c r="J157" s="69"/>
      <c r="K157" s="69"/>
      <c r="L157" s="69"/>
      <c r="M157" s="69"/>
      <c r="N157" s="69"/>
      <c r="O157" s="69"/>
      <c r="P157" s="69"/>
      <c r="Q157" s="69"/>
      <c r="R157" s="69"/>
      <c r="S157" s="69"/>
      <c r="T157" s="69"/>
      <c r="U157" s="69"/>
      <c r="V157" s="69"/>
      <c r="W157" s="69"/>
      <c r="X157" s="69"/>
      <c r="Y157" s="69"/>
      <c r="Z157" s="69"/>
      <c r="AA157" s="69"/>
      <c r="AB157" s="69"/>
      <c r="AC157" s="69"/>
      <c r="AD157" s="69"/>
      <c r="AE157" s="69"/>
      <c r="AF157" s="69"/>
      <c r="AG157" s="69"/>
      <c r="AH157" s="69"/>
      <c r="AI157" s="69"/>
      <c r="AJ157" s="69"/>
      <c r="AK157" s="69"/>
      <c r="AL157" s="69"/>
      <c r="AM157" s="69"/>
      <c r="AN157" s="69"/>
      <c r="AO157" s="69"/>
      <c r="AP157" s="69"/>
      <c r="AQ157" s="69"/>
      <c r="AR157" s="69"/>
      <c r="AS157" s="69"/>
      <c r="AT157" s="69"/>
      <c r="AU157" s="69"/>
      <c r="AV157" s="69"/>
      <c r="AW157" s="69"/>
      <c r="AX157" s="69"/>
      <c r="AY157" s="69"/>
      <c r="AZ157" s="69"/>
      <c r="BA157" s="69"/>
      <c r="BB157" s="69"/>
      <c r="BC157" s="69"/>
      <c r="BD157" s="69"/>
      <c r="BE157" s="69"/>
      <c r="BF157" s="69"/>
      <c r="BG157" s="69"/>
      <c r="BH157" s="69"/>
    </row>
    <row r="158" spans="1:60" x14ac:dyDescent="0.25">
      <c r="A158" s="69"/>
      <c r="B158" s="69"/>
      <c r="C158" s="69"/>
      <c r="D158" s="69"/>
      <c r="E158" s="69"/>
      <c r="F158" s="69"/>
      <c r="G158" s="69"/>
      <c r="H158" s="69"/>
      <c r="I158" s="69"/>
      <c r="J158" s="69"/>
      <c r="K158" s="69"/>
      <c r="L158" s="69"/>
      <c r="M158" s="69"/>
      <c r="N158" s="69"/>
      <c r="O158" s="69"/>
      <c r="P158" s="69"/>
      <c r="Q158" s="69"/>
      <c r="R158" s="69"/>
      <c r="S158" s="69"/>
      <c r="T158" s="69"/>
      <c r="U158" s="69"/>
      <c r="V158" s="69"/>
      <c r="W158" s="69"/>
      <c r="X158" s="69"/>
      <c r="Y158" s="69"/>
      <c r="Z158" s="69"/>
      <c r="AA158" s="69"/>
      <c r="AB158" s="69"/>
      <c r="AC158" s="69"/>
      <c r="AD158" s="69"/>
      <c r="AE158" s="69"/>
      <c r="AF158" s="69"/>
      <c r="AG158" s="69"/>
      <c r="AH158" s="69"/>
      <c r="AI158" s="69"/>
      <c r="AJ158" s="69"/>
      <c r="AK158" s="69"/>
      <c r="AL158" s="69"/>
      <c r="AM158" s="69"/>
      <c r="AN158" s="69"/>
      <c r="AO158" s="69"/>
      <c r="AP158" s="69"/>
      <c r="AQ158" s="69"/>
      <c r="AR158" s="69"/>
      <c r="AS158" s="69"/>
      <c r="AT158" s="69"/>
      <c r="AU158" s="69"/>
      <c r="AV158" s="69"/>
      <c r="AW158" s="69"/>
      <c r="AX158" s="69"/>
      <c r="AY158" s="69"/>
      <c r="AZ158" s="69"/>
      <c r="BA158" s="69"/>
      <c r="BB158" s="69"/>
      <c r="BC158" s="69"/>
      <c r="BD158" s="69"/>
      <c r="BE158" s="69"/>
      <c r="BF158" s="69"/>
      <c r="BG158" s="69"/>
      <c r="BH158" s="69"/>
    </row>
    <row r="159" spans="1:60" x14ac:dyDescent="0.25">
      <c r="A159" s="69"/>
      <c r="B159" s="69"/>
      <c r="C159" s="69"/>
      <c r="D159" s="69"/>
      <c r="E159" s="69"/>
      <c r="F159" s="69"/>
      <c r="G159" s="69"/>
      <c r="H159" s="69"/>
      <c r="I159" s="69"/>
      <c r="J159" s="69"/>
      <c r="K159" s="69"/>
      <c r="L159" s="69"/>
      <c r="M159" s="69"/>
      <c r="N159" s="69"/>
      <c r="O159" s="69"/>
      <c r="P159" s="69"/>
      <c r="Q159" s="69"/>
      <c r="R159" s="69"/>
      <c r="S159" s="69"/>
      <c r="T159" s="69"/>
      <c r="U159" s="69"/>
      <c r="V159" s="69"/>
      <c r="W159" s="69"/>
      <c r="X159" s="69"/>
      <c r="Y159" s="69"/>
      <c r="Z159" s="69"/>
      <c r="AA159" s="69"/>
      <c r="AB159" s="69"/>
      <c r="AC159" s="69"/>
      <c r="AD159" s="69"/>
      <c r="AE159" s="69"/>
      <c r="AF159" s="69"/>
      <c r="AG159" s="69"/>
      <c r="AH159" s="69"/>
      <c r="AI159" s="69"/>
      <c r="AJ159" s="69"/>
      <c r="AK159" s="69"/>
      <c r="AL159" s="69"/>
      <c r="AM159" s="69"/>
      <c r="AN159" s="69"/>
      <c r="AO159" s="69"/>
      <c r="AP159" s="69"/>
      <c r="AQ159" s="69"/>
      <c r="AR159" s="69"/>
      <c r="AS159" s="69"/>
      <c r="AT159" s="69"/>
      <c r="AU159" s="69"/>
      <c r="AV159" s="69"/>
      <c r="AW159" s="69"/>
      <c r="AX159" s="69"/>
      <c r="AY159" s="69"/>
      <c r="AZ159" s="69"/>
      <c r="BA159" s="69"/>
      <c r="BB159" s="69"/>
      <c r="BC159" s="69"/>
      <c r="BD159" s="69"/>
      <c r="BE159" s="69"/>
      <c r="BF159" s="69"/>
      <c r="BG159" s="69"/>
      <c r="BH159" s="69"/>
    </row>
    <row r="160" spans="1:60" x14ac:dyDescent="0.25">
      <c r="A160" s="69"/>
      <c r="B160" s="69"/>
      <c r="C160" s="69"/>
      <c r="D160" s="69"/>
      <c r="E160" s="6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row>
    <row r="161" spans="1:60" x14ac:dyDescent="0.25">
      <c r="A161" s="69"/>
      <c r="B161" s="69"/>
      <c r="C161" s="69"/>
      <c r="D161" s="69"/>
      <c r="E161" s="6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row>
    <row r="162" spans="1:60" x14ac:dyDescent="0.25">
      <c r="A162" s="69"/>
      <c r="B162" s="69"/>
      <c r="C162" s="69"/>
      <c r="D162" s="69"/>
      <c r="E162" s="6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row>
    <row r="163" spans="1:60" x14ac:dyDescent="0.25">
      <c r="A163" s="69"/>
      <c r="B163" s="69"/>
      <c r="C163" s="69"/>
      <c r="D163" s="69"/>
      <c r="E163" s="6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row>
    <row r="164" spans="1:60" x14ac:dyDescent="0.25">
      <c r="A164" s="69"/>
      <c r="B164" s="69"/>
      <c r="C164" s="69"/>
      <c r="D164" s="69"/>
      <c r="E164" s="6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row>
    <row r="165" spans="1:60" x14ac:dyDescent="0.25">
      <c r="A165" s="69"/>
      <c r="B165" s="69"/>
      <c r="C165" s="69"/>
      <c r="D165" s="69"/>
      <c r="E165" s="6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row>
    <row r="166" spans="1:60" x14ac:dyDescent="0.25">
      <c r="A166" s="69"/>
      <c r="B166" s="69"/>
      <c r="C166" s="69"/>
      <c r="D166" s="69"/>
      <c r="E166" s="6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row>
    <row r="167" spans="1:60" x14ac:dyDescent="0.25">
      <c r="A167" s="69"/>
      <c r="B167" s="69"/>
      <c r="C167" s="69"/>
      <c r="D167" s="69"/>
      <c r="E167" s="69"/>
      <c r="F167" s="69"/>
      <c r="G167" s="69"/>
      <c r="H167" s="69"/>
      <c r="I167" s="69"/>
      <c r="J167" s="69"/>
      <c r="K167" s="69"/>
      <c r="L167" s="69"/>
      <c r="M167" s="69"/>
      <c r="N167" s="69"/>
      <c r="O167" s="69"/>
      <c r="P167" s="69"/>
      <c r="Q167" s="69"/>
      <c r="R167" s="69"/>
      <c r="S167" s="69"/>
      <c r="T167" s="69"/>
      <c r="U167" s="69"/>
      <c r="V167" s="69"/>
      <c r="W167" s="69"/>
      <c r="X167" s="69"/>
      <c r="Y167" s="69"/>
      <c r="Z167" s="69"/>
      <c r="AA167" s="69"/>
      <c r="AB167" s="69"/>
      <c r="AC167" s="69"/>
      <c r="AD167" s="69"/>
      <c r="AE167" s="69"/>
      <c r="AF167" s="69"/>
      <c r="AG167" s="69"/>
      <c r="AH167" s="69"/>
      <c r="AI167" s="69"/>
      <c r="AJ167" s="69"/>
      <c r="AK167" s="69"/>
      <c r="AL167" s="69"/>
      <c r="AM167" s="69"/>
      <c r="AN167" s="69"/>
      <c r="AO167" s="69"/>
      <c r="AP167" s="69"/>
      <c r="AQ167" s="69"/>
      <c r="AR167" s="69"/>
      <c r="AS167" s="69"/>
      <c r="AT167" s="69"/>
      <c r="AU167" s="69"/>
      <c r="AV167" s="69"/>
      <c r="AW167" s="69"/>
      <c r="AX167" s="69"/>
      <c r="AY167" s="69"/>
      <c r="AZ167" s="69"/>
      <c r="BA167" s="69"/>
      <c r="BB167" s="69"/>
      <c r="BC167" s="69"/>
      <c r="BD167" s="69"/>
      <c r="BE167" s="69"/>
      <c r="BF167" s="69"/>
      <c r="BG167" s="69"/>
      <c r="BH167" s="69"/>
    </row>
    <row r="168" spans="1:60" x14ac:dyDescent="0.25">
      <c r="A168" s="69"/>
      <c r="B168" s="69"/>
      <c r="C168" s="69"/>
      <c r="D168" s="69"/>
      <c r="E168" s="69"/>
      <c r="F168" s="69"/>
      <c r="G168" s="69"/>
      <c r="H168" s="69"/>
      <c r="I168" s="69"/>
      <c r="J168" s="69"/>
      <c r="K168" s="69"/>
      <c r="L168" s="69"/>
      <c r="M168" s="69"/>
      <c r="N168" s="69"/>
      <c r="O168" s="69"/>
      <c r="P168" s="69"/>
      <c r="Q168" s="69"/>
      <c r="R168" s="69"/>
      <c r="S168" s="69"/>
      <c r="T168" s="69"/>
      <c r="U168" s="69"/>
      <c r="V168" s="69"/>
      <c r="W168" s="69"/>
      <c r="X168" s="69"/>
      <c r="Y168" s="69"/>
      <c r="Z168" s="69"/>
      <c r="AA168" s="69"/>
      <c r="AB168" s="69"/>
      <c r="AC168" s="69"/>
      <c r="AD168" s="69"/>
      <c r="AE168" s="69"/>
      <c r="AF168" s="69"/>
      <c r="AG168" s="69"/>
      <c r="AH168" s="69"/>
      <c r="AI168" s="69"/>
      <c r="AJ168" s="69"/>
      <c r="AK168" s="69"/>
      <c r="AL168" s="69"/>
      <c r="AM168" s="69"/>
      <c r="AN168" s="69"/>
      <c r="AO168" s="69"/>
      <c r="AP168" s="69"/>
      <c r="AQ168" s="69"/>
      <c r="AR168" s="69"/>
      <c r="AS168" s="69"/>
      <c r="AT168" s="69"/>
      <c r="AU168" s="69"/>
      <c r="AV168" s="69"/>
      <c r="AW168" s="69"/>
      <c r="AX168" s="69"/>
      <c r="AY168" s="69"/>
      <c r="AZ168" s="69"/>
      <c r="BA168" s="69"/>
      <c r="BB168" s="69"/>
      <c r="BC168" s="69"/>
      <c r="BD168" s="69"/>
      <c r="BE168" s="69"/>
      <c r="BF168" s="69"/>
      <c r="BG168" s="69"/>
      <c r="BH168" s="69"/>
    </row>
    <row r="169" spans="1:60" x14ac:dyDescent="0.25">
      <c r="A169" s="69"/>
      <c r="B169" s="69"/>
      <c r="C169" s="69"/>
      <c r="D169" s="69"/>
      <c r="E169" s="69"/>
      <c r="F169" s="69"/>
      <c r="G169" s="69"/>
      <c r="H169" s="69"/>
      <c r="I169" s="69"/>
      <c r="J169" s="69"/>
      <c r="K169" s="69"/>
      <c r="L169" s="69"/>
      <c r="M169" s="69"/>
      <c r="N169" s="69"/>
      <c r="O169" s="69"/>
      <c r="P169" s="69"/>
      <c r="Q169" s="69"/>
      <c r="R169" s="69"/>
      <c r="S169" s="69"/>
      <c r="T169" s="69"/>
      <c r="U169" s="69"/>
      <c r="V169" s="69"/>
      <c r="W169" s="69"/>
      <c r="X169" s="69"/>
      <c r="Y169" s="69"/>
      <c r="Z169" s="69"/>
      <c r="AA169" s="69"/>
      <c r="AB169" s="69"/>
      <c r="AC169" s="69"/>
      <c r="AD169" s="69"/>
      <c r="AE169" s="69"/>
      <c r="AF169" s="69"/>
      <c r="AG169" s="69"/>
      <c r="AH169" s="69"/>
      <c r="AI169" s="69"/>
      <c r="AJ169" s="69"/>
      <c r="AK169" s="69"/>
      <c r="AL169" s="69"/>
      <c r="AM169" s="69"/>
      <c r="AN169" s="69"/>
      <c r="AO169" s="69"/>
      <c r="AP169" s="69"/>
      <c r="AQ169" s="69"/>
      <c r="AR169" s="69"/>
      <c r="AS169" s="69"/>
      <c r="AT169" s="69"/>
      <c r="AU169" s="69"/>
      <c r="AV169" s="69"/>
      <c r="AW169" s="69"/>
      <c r="AX169" s="69"/>
      <c r="AY169" s="69"/>
      <c r="AZ169" s="69"/>
      <c r="BA169" s="69"/>
      <c r="BB169" s="69"/>
      <c r="BC169" s="69"/>
      <c r="BD169" s="69"/>
      <c r="BE169" s="69"/>
      <c r="BF169" s="69"/>
      <c r="BG169" s="69"/>
      <c r="BH169" s="69"/>
    </row>
    <row r="170" spans="1:60" x14ac:dyDescent="0.25">
      <c r="A170" s="69"/>
      <c r="B170" s="69"/>
      <c r="C170" s="69"/>
      <c r="D170" s="69"/>
      <c r="E170" s="69"/>
      <c r="F170" s="69"/>
      <c r="G170" s="69"/>
      <c r="H170" s="69"/>
      <c r="I170" s="69"/>
      <c r="J170" s="69"/>
      <c r="K170" s="69"/>
      <c r="L170" s="69"/>
      <c r="M170" s="69"/>
      <c r="N170" s="69"/>
      <c r="O170" s="69"/>
      <c r="P170" s="69"/>
      <c r="Q170" s="69"/>
      <c r="R170" s="69"/>
      <c r="S170" s="69"/>
      <c r="T170" s="69"/>
      <c r="U170" s="69"/>
      <c r="V170" s="69"/>
      <c r="W170" s="69"/>
      <c r="X170" s="69"/>
      <c r="Y170" s="69"/>
      <c r="Z170" s="69"/>
      <c r="AA170" s="69"/>
      <c r="AB170" s="69"/>
      <c r="AC170" s="69"/>
      <c r="AD170" s="69"/>
      <c r="AE170" s="69"/>
      <c r="AF170" s="69"/>
      <c r="AG170" s="69"/>
      <c r="AH170" s="69"/>
      <c r="AI170" s="69"/>
      <c r="AJ170" s="69"/>
      <c r="AK170" s="69"/>
      <c r="AL170" s="69"/>
      <c r="AM170" s="69"/>
      <c r="AN170" s="69"/>
      <c r="AO170" s="69"/>
      <c r="AP170" s="69"/>
      <c r="AQ170" s="69"/>
      <c r="AR170" s="69"/>
      <c r="AS170" s="69"/>
      <c r="AT170" s="69"/>
      <c r="AU170" s="69"/>
      <c r="AV170" s="69"/>
      <c r="AW170" s="69"/>
      <c r="AX170" s="69"/>
      <c r="AY170" s="69"/>
      <c r="AZ170" s="69"/>
      <c r="BA170" s="69"/>
      <c r="BB170" s="69"/>
      <c r="BC170" s="69"/>
      <c r="BD170" s="69"/>
      <c r="BE170" s="69"/>
      <c r="BF170" s="69"/>
      <c r="BG170" s="69"/>
      <c r="BH170" s="69"/>
    </row>
    <row r="171" spans="1:60" x14ac:dyDescent="0.25">
      <c r="A171" s="69"/>
      <c r="B171" s="69"/>
      <c r="C171" s="69"/>
      <c r="D171" s="69"/>
      <c r="E171" s="6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row>
    <row r="172" spans="1:60" x14ac:dyDescent="0.25">
      <c r="A172" s="69"/>
      <c r="B172" s="69"/>
      <c r="C172" s="69"/>
      <c r="D172" s="69"/>
      <c r="E172" s="6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row>
    <row r="173" spans="1:60" x14ac:dyDescent="0.25">
      <c r="A173" s="69"/>
      <c r="B173" s="69"/>
      <c r="C173" s="69"/>
      <c r="D173" s="69"/>
      <c r="E173" s="6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row>
    <row r="174" spans="1:60" x14ac:dyDescent="0.25">
      <c r="A174" s="69"/>
      <c r="B174" s="69"/>
      <c r="C174" s="69"/>
      <c r="D174" s="69"/>
      <c r="E174" s="6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row>
    <row r="175" spans="1:60" x14ac:dyDescent="0.25">
      <c r="A175" s="69"/>
      <c r="B175" s="69"/>
      <c r="C175" s="69"/>
      <c r="D175" s="69"/>
      <c r="E175" s="6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row>
    <row r="176" spans="1:60" x14ac:dyDescent="0.25">
      <c r="A176" s="69"/>
      <c r="B176" s="69"/>
      <c r="C176" s="69"/>
      <c r="D176" s="69"/>
      <c r="E176" s="69"/>
      <c r="F176" s="69"/>
      <c r="G176" s="69"/>
      <c r="H176" s="69"/>
      <c r="I176" s="69"/>
      <c r="J176" s="69"/>
      <c r="K176" s="69"/>
      <c r="L176" s="69"/>
      <c r="M176" s="69"/>
      <c r="N176" s="69"/>
      <c r="O176" s="69"/>
      <c r="P176" s="69"/>
      <c r="Q176" s="69"/>
      <c r="R176" s="69"/>
      <c r="S176" s="69"/>
      <c r="T176" s="69"/>
      <c r="U176" s="69"/>
      <c r="V176" s="69"/>
      <c r="W176" s="69"/>
      <c r="X176" s="69"/>
      <c r="Y176" s="69"/>
      <c r="Z176" s="69"/>
      <c r="AA176" s="69"/>
      <c r="AB176" s="69"/>
      <c r="AC176" s="69"/>
      <c r="AD176" s="69"/>
      <c r="AE176" s="69"/>
      <c r="AF176" s="69"/>
      <c r="AG176" s="69"/>
      <c r="AH176" s="69"/>
      <c r="AI176" s="69"/>
      <c r="AJ176" s="69"/>
      <c r="AK176" s="69"/>
      <c r="AL176" s="69"/>
      <c r="AM176" s="69"/>
      <c r="AN176" s="69"/>
      <c r="AO176" s="69"/>
      <c r="AP176" s="69"/>
      <c r="AQ176" s="69"/>
      <c r="AR176" s="69"/>
      <c r="AS176" s="69"/>
      <c r="AT176" s="69"/>
      <c r="AU176" s="69"/>
      <c r="AV176" s="69"/>
      <c r="AW176" s="69"/>
      <c r="AX176" s="69"/>
      <c r="AY176" s="69"/>
      <c r="AZ176" s="69"/>
      <c r="BA176" s="69"/>
      <c r="BB176" s="69"/>
      <c r="BC176" s="69"/>
      <c r="BD176" s="69"/>
      <c r="BE176" s="69"/>
      <c r="BF176" s="69"/>
      <c r="BG176" s="69"/>
      <c r="BH176" s="69"/>
    </row>
    <row r="177" spans="1:60" x14ac:dyDescent="0.25">
      <c r="A177" s="69"/>
      <c r="B177" s="69"/>
      <c r="C177" s="69"/>
      <c r="D177" s="69"/>
      <c r="E177" s="69"/>
      <c r="F177" s="69"/>
      <c r="G177" s="69"/>
      <c r="H177" s="69"/>
      <c r="I177" s="69"/>
      <c r="J177" s="69"/>
      <c r="K177" s="69"/>
      <c r="L177" s="69"/>
      <c r="M177" s="69"/>
      <c r="N177" s="69"/>
      <c r="O177" s="69"/>
      <c r="P177" s="69"/>
      <c r="Q177" s="69"/>
      <c r="R177" s="69"/>
      <c r="S177" s="69"/>
      <c r="T177" s="69"/>
      <c r="U177" s="69"/>
      <c r="V177" s="69"/>
      <c r="W177" s="69"/>
      <c r="X177" s="69"/>
      <c r="Y177" s="69"/>
      <c r="Z177" s="69"/>
      <c r="AA177" s="69"/>
      <c r="AB177" s="69"/>
      <c r="AC177" s="69"/>
      <c r="AD177" s="69"/>
      <c r="AE177" s="69"/>
      <c r="AF177" s="69"/>
      <c r="AG177" s="69"/>
      <c r="AH177" s="69"/>
      <c r="AI177" s="69"/>
      <c r="AJ177" s="69"/>
      <c r="AK177" s="69"/>
      <c r="AL177" s="69"/>
      <c r="AM177" s="69"/>
      <c r="AN177" s="69"/>
      <c r="AO177" s="69"/>
      <c r="AP177" s="69"/>
      <c r="AQ177" s="69"/>
      <c r="AR177" s="69"/>
      <c r="AS177" s="69"/>
      <c r="AT177" s="69"/>
      <c r="AU177" s="69"/>
      <c r="AV177" s="69"/>
      <c r="AW177" s="69"/>
      <c r="AX177" s="69"/>
      <c r="AY177" s="69"/>
      <c r="AZ177" s="69"/>
      <c r="BA177" s="69"/>
      <c r="BB177" s="69"/>
      <c r="BC177" s="69"/>
      <c r="BD177" s="69"/>
      <c r="BE177" s="69"/>
      <c r="BF177" s="69"/>
      <c r="BG177" s="69"/>
      <c r="BH177" s="69"/>
    </row>
    <row r="178" spans="1:60" x14ac:dyDescent="0.25">
      <c r="A178" s="69"/>
      <c r="B178" s="69"/>
      <c r="C178" s="69"/>
      <c r="D178" s="69"/>
      <c r="E178" s="69"/>
      <c r="F178" s="69"/>
      <c r="G178" s="69"/>
      <c r="H178" s="69"/>
      <c r="I178" s="69"/>
      <c r="J178" s="69"/>
      <c r="K178" s="69"/>
      <c r="L178" s="69"/>
      <c r="M178" s="69"/>
      <c r="N178" s="69"/>
      <c r="O178" s="69"/>
      <c r="P178" s="69"/>
      <c r="Q178" s="69"/>
      <c r="R178" s="69"/>
      <c r="S178" s="69"/>
      <c r="T178" s="69"/>
      <c r="U178" s="69"/>
      <c r="V178" s="69"/>
      <c r="W178" s="69"/>
      <c r="X178" s="69"/>
      <c r="Y178" s="69"/>
      <c r="Z178" s="69"/>
      <c r="AA178" s="69"/>
      <c r="AB178" s="69"/>
      <c r="AC178" s="69"/>
      <c r="AD178" s="69"/>
      <c r="AE178" s="69"/>
      <c r="AF178" s="69"/>
      <c r="AG178" s="69"/>
      <c r="AH178" s="69"/>
      <c r="AI178" s="69"/>
      <c r="AJ178" s="69"/>
      <c r="AK178" s="69"/>
      <c r="AL178" s="69"/>
      <c r="AM178" s="69"/>
      <c r="AN178" s="69"/>
      <c r="AO178" s="69"/>
      <c r="AP178" s="69"/>
      <c r="AQ178" s="69"/>
      <c r="AR178" s="69"/>
      <c r="AS178" s="69"/>
      <c r="AT178" s="69"/>
      <c r="AU178" s="69"/>
      <c r="AV178" s="69"/>
      <c r="AW178" s="69"/>
      <c r="AX178" s="69"/>
      <c r="AY178" s="69"/>
      <c r="AZ178" s="69"/>
      <c r="BA178" s="69"/>
      <c r="BB178" s="69"/>
      <c r="BC178" s="69"/>
      <c r="BD178" s="69"/>
      <c r="BE178" s="69"/>
      <c r="BF178" s="69"/>
      <c r="BG178" s="69"/>
      <c r="BH178" s="69"/>
    </row>
    <row r="179" spans="1:60" x14ac:dyDescent="0.25">
      <c r="A179" s="69"/>
      <c r="B179" s="69"/>
      <c r="C179" s="69"/>
      <c r="D179" s="69"/>
      <c r="E179" s="69"/>
      <c r="F179" s="69"/>
      <c r="G179" s="69"/>
      <c r="H179" s="69"/>
      <c r="I179" s="69"/>
      <c r="J179" s="69"/>
      <c r="K179" s="69"/>
      <c r="L179" s="69"/>
      <c r="M179" s="69"/>
      <c r="N179" s="69"/>
      <c r="O179" s="69"/>
      <c r="P179" s="69"/>
      <c r="Q179" s="69"/>
      <c r="R179" s="69"/>
      <c r="S179" s="69"/>
      <c r="T179" s="69"/>
      <c r="U179" s="69"/>
      <c r="V179" s="69"/>
      <c r="W179" s="69"/>
      <c r="X179" s="69"/>
      <c r="Y179" s="69"/>
      <c r="Z179" s="69"/>
      <c r="AA179" s="69"/>
      <c r="AB179" s="69"/>
      <c r="AC179" s="69"/>
      <c r="AD179" s="69"/>
      <c r="AE179" s="69"/>
      <c r="AF179" s="69"/>
      <c r="AG179" s="69"/>
      <c r="AH179" s="69"/>
      <c r="AI179" s="69"/>
      <c r="AJ179" s="69"/>
      <c r="AK179" s="69"/>
      <c r="AL179" s="69"/>
      <c r="AM179" s="69"/>
      <c r="AN179" s="69"/>
      <c r="AO179" s="69"/>
      <c r="AP179" s="69"/>
      <c r="AQ179" s="69"/>
      <c r="AR179" s="69"/>
      <c r="AS179" s="69"/>
      <c r="AT179" s="69"/>
      <c r="AU179" s="69"/>
      <c r="AV179" s="69"/>
      <c r="AW179" s="69"/>
      <c r="AX179" s="69"/>
      <c r="AY179" s="69"/>
      <c r="AZ179" s="69"/>
      <c r="BA179" s="69"/>
      <c r="BB179" s="69"/>
      <c r="BC179" s="69"/>
      <c r="BD179" s="69"/>
      <c r="BE179" s="69"/>
      <c r="BF179" s="69"/>
      <c r="BG179" s="69"/>
      <c r="BH179" s="69"/>
    </row>
    <row r="180" spans="1:60" x14ac:dyDescent="0.25">
      <c r="A180" s="69"/>
      <c r="B180" s="69"/>
      <c r="C180" s="69"/>
      <c r="D180" s="69"/>
      <c r="E180" s="69"/>
      <c r="F180" s="69"/>
      <c r="G180" s="69"/>
      <c r="H180" s="69"/>
      <c r="I180" s="69"/>
      <c r="J180" s="69"/>
      <c r="K180" s="69"/>
      <c r="L180" s="69"/>
      <c r="M180" s="69"/>
      <c r="N180" s="69"/>
      <c r="O180" s="69"/>
      <c r="P180" s="69"/>
      <c r="Q180" s="69"/>
      <c r="R180" s="69"/>
      <c r="S180" s="69"/>
      <c r="T180" s="69"/>
      <c r="U180" s="69"/>
      <c r="V180" s="69"/>
      <c r="W180" s="69"/>
      <c r="X180" s="69"/>
      <c r="Y180" s="69"/>
      <c r="Z180" s="69"/>
      <c r="AA180" s="69"/>
      <c r="AB180" s="69"/>
      <c r="AC180" s="69"/>
      <c r="AD180" s="69"/>
      <c r="AE180" s="69"/>
      <c r="AF180" s="69"/>
      <c r="AG180" s="69"/>
      <c r="AH180" s="69"/>
      <c r="AI180" s="69"/>
      <c r="AJ180" s="69"/>
      <c r="AK180" s="69"/>
      <c r="AL180" s="69"/>
      <c r="AM180" s="69"/>
      <c r="AN180" s="69"/>
      <c r="AO180" s="69"/>
      <c r="AP180" s="69"/>
      <c r="AQ180" s="69"/>
      <c r="AR180" s="69"/>
      <c r="AS180" s="69"/>
      <c r="AT180" s="69"/>
      <c r="AU180" s="69"/>
      <c r="AV180" s="69"/>
      <c r="AW180" s="69"/>
      <c r="AX180" s="69"/>
      <c r="AY180" s="69"/>
      <c r="AZ180" s="69"/>
      <c r="BA180" s="69"/>
      <c r="BB180" s="69"/>
      <c r="BC180" s="69"/>
      <c r="BD180" s="69"/>
      <c r="BE180" s="69"/>
      <c r="BF180" s="69"/>
      <c r="BG180" s="69"/>
      <c r="BH180" s="69"/>
    </row>
    <row r="181" spans="1:60" x14ac:dyDescent="0.25">
      <c r="A181" s="69"/>
      <c r="B181" s="69"/>
      <c r="C181" s="69"/>
      <c r="D181" s="69"/>
      <c r="E181" s="69"/>
      <c r="F181" s="69"/>
      <c r="G181" s="69"/>
      <c r="H181" s="69"/>
      <c r="I181" s="69"/>
      <c r="J181" s="69"/>
      <c r="K181" s="69"/>
      <c r="L181" s="69"/>
      <c r="M181" s="69"/>
      <c r="N181" s="69"/>
      <c r="O181" s="69"/>
      <c r="P181" s="69"/>
      <c r="Q181" s="69"/>
      <c r="R181" s="69"/>
      <c r="S181" s="69"/>
      <c r="T181" s="69"/>
      <c r="U181" s="69"/>
      <c r="V181" s="69"/>
      <c r="W181" s="69"/>
      <c r="X181" s="69"/>
      <c r="Y181" s="69"/>
      <c r="Z181" s="69"/>
      <c r="AA181" s="69"/>
      <c r="AB181" s="69"/>
      <c r="AC181" s="69"/>
      <c r="AD181" s="69"/>
      <c r="AE181" s="69"/>
      <c r="AF181" s="69"/>
      <c r="AG181" s="69"/>
      <c r="AH181" s="69"/>
      <c r="AI181" s="69"/>
      <c r="AJ181" s="69"/>
      <c r="AK181" s="69"/>
      <c r="AL181" s="69"/>
      <c r="AM181" s="69"/>
      <c r="AN181" s="69"/>
      <c r="AO181" s="69"/>
      <c r="AP181" s="69"/>
      <c r="AQ181" s="69"/>
      <c r="AR181" s="69"/>
      <c r="AS181" s="69"/>
      <c r="AT181" s="69"/>
      <c r="AU181" s="69"/>
      <c r="AV181" s="69"/>
      <c r="AW181" s="69"/>
      <c r="AX181" s="69"/>
      <c r="AY181" s="69"/>
      <c r="AZ181" s="69"/>
      <c r="BA181" s="69"/>
      <c r="BB181" s="69"/>
      <c r="BC181" s="69"/>
      <c r="BD181" s="69"/>
      <c r="BE181" s="69"/>
      <c r="BF181" s="69"/>
      <c r="BG181" s="69"/>
      <c r="BH181" s="69"/>
    </row>
    <row r="182" spans="1:60" x14ac:dyDescent="0.25">
      <c r="A182" s="69"/>
      <c r="B182" s="69"/>
      <c r="C182" s="69"/>
      <c r="D182" s="69"/>
      <c r="E182" s="69"/>
      <c r="F182" s="69"/>
      <c r="G182" s="69"/>
      <c r="H182" s="69"/>
      <c r="I182" s="69"/>
      <c r="J182" s="69"/>
      <c r="K182" s="69"/>
      <c r="L182" s="69"/>
      <c r="M182" s="69"/>
      <c r="N182" s="69"/>
      <c r="O182" s="69"/>
      <c r="P182" s="69"/>
      <c r="Q182" s="69"/>
      <c r="R182" s="69"/>
      <c r="S182" s="69"/>
      <c r="T182" s="69"/>
      <c r="U182" s="69"/>
      <c r="V182" s="69"/>
      <c r="W182" s="69"/>
      <c r="X182" s="69"/>
      <c r="Y182" s="69"/>
      <c r="Z182" s="69"/>
      <c r="AA182" s="69"/>
      <c r="AB182" s="69"/>
      <c r="AC182" s="69"/>
      <c r="AD182" s="69"/>
      <c r="AE182" s="69"/>
      <c r="AF182" s="69"/>
      <c r="AG182" s="69"/>
      <c r="AH182" s="69"/>
      <c r="AI182" s="69"/>
      <c r="AJ182" s="69"/>
      <c r="AK182" s="69"/>
      <c r="AL182" s="69"/>
      <c r="AM182" s="69"/>
      <c r="AN182" s="69"/>
      <c r="AO182" s="69"/>
      <c r="AP182" s="69"/>
      <c r="AQ182" s="69"/>
      <c r="AR182" s="69"/>
      <c r="AS182" s="69"/>
      <c r="AT182" s="69"/>
      <c r="AU182" s="69"/>
      <c r="AV182" s="69"/>
      <c r="AW182" s="69"/>
      <c r="AX182" s="69"/>
      <c r="AY182" s="69"/>
      <c r="AZ182" s="69"/>
      <c r="BA182" s="69"/>
      <c r="BB182" s="69"/>
      <c r="BC182" s="69"/>
      <c r="BD182" s="69"/>
      <c r="BE182" s="69"/>
      <c r="BF182" s="69"/>
      <c r="BG182" s="69"/>
      <c r="BH182" s="69"/>
    </row>
    <row r="183" spans="1:60" x14ac:dyDescent="0.25">
      <c r="A183" s="69"/>
      <c r="B183" s="69"/>
      <c r="C183" s="69"/>
      <c r="D183" s="69"/>
      <c r="E183" s="69"/>
      <c r="F183" s="69"/>
      <c r="G183" s="69"/>
      <c r="H183" s="69"/>
      <c r="I183" s="69"/>
      <c r="J183" s="69"/>
      <c r="K183" s="69"/>
      <c r="L183" s="69"/>
      <c r="M183" s="69"/>
      <c r="N183" s="69"/>
      <c r="O183" s="69"/>
      <c r="P183" s="69"/>
      <c r="Q183" s="69"/>
      <c r="R183" s="69"/>
      <c r="S183" s="69"/>
      <c r="T183" s="69"/>
      <c r="U183" s="69"/>
      <c r="V183" s="69"/>
      <c r="W183" s="69"/>
      <c r="X183" s="69"/>
      <c r="Y183" s="69"/>
      <c r="Z183" s="69"/>
      <c r="AA183" s="69"/>
      <c r="AB183" s="69"/>
      <c r="AC183" s="69"/>
      <c r="AD183" s="69"/>
      <c r="AE183" s="69"/>
      <c r="AF183" s="69"/>
      <c r="AG183" s="69"/>
      <c r="AH183" s="69"/>
      <c r="AI183" s="69"/>
      <c r="AJ183" s="69"/>
      <c r="AK183" s="69"/>
      <c r="AL183" s="69"/>
      <c r="AM183" s="69"/>
      <c r="AN183" s="69"/>
      <c r="AO183" s="69"/>
      <c r="AP183" s="69"/>
      <c r="AQ183" s="69"/>
      <c r="AR183" s="69"/>
      <c r="AS183" s="69"/>
      <c r="AT183" s="69"/>
      <c r="AU183" s="69"/>
      <c r="AV183" s="69"/>
      <c r="AW183" s="69"/>
      <c r="AX183" s="69"/>
      <c r="AY183" s="69"/>
      <c r="AZ183" s="69"/>
      <c r="BA183" s="69"/>
      <c r="BB183" s="69"/>
      <c r="BC183" s="69"/>
      <c r="BD183" s="69"/>
      <c r="BE183" s="69"/>
      <c r="BF183" s="69"/>
      <c r="BG183" s="69"/>
      <c r="BH183" s="69"/>
    </row>
    <row r="184" spans="1:60" x14ac:dyDescent="0.25">
      <c r="A184" s="69"/>
      <c r="B184" s="69"/>
      <c r="C184" s="69"/>
      <c r="D184" s="69"/>
      <c r="E184" s="69"/>
      <c r="F184" s="69"/>
      <c r="G184" s="69"/>
      <c r="H184" s="69"/>
      <c r="I184" s="69"/>
      <c r="J184" s="69"/>
      <c r="K184" s="69"/>
      <c r="L184" s="69"/>
      <c r="M184" s="69"/>
      <c r="N184" s="69"/>
      <c r="O184" s="69"/>
      <c r="P184" s="69"/>
      <c r="Q184" s="69"/>
      <c r="R184" s="69"/>
      <c r="S184" s="69"/>
      <c r="T184" s="69"/>
      <c r="U184" s="69"/>
      <c r="V184" s="69"/>
      <c r="W184" s="69"/>
      <c r="X184" s="69"/>
      <c r="Y184" s="69"/>
      <c r="Z184" s="69"/>
      <c r="AA184" s="69"/>
      <c r="AB184" s="69"/>
      <c r="AC184" s="69"/>
      <c r="AD184" s="69"/>
      <c r="AE184" s="69"/>
      <c r="AF184" s="69"/>
      <c r="AG184" s="69"/>
      <c r="AH184" s="69"/>
      <c r="AI184" s="69"/>
      <c r="AJ184" s="69"/>
      <c r="AK184" s="69"/>
      <c r="AL184" s="69"/>
      <c r="AM184" s="69"/>
      <c r="AN184" s="69"/>
      <c r="AO184" s="69"/>
      <c r="AP184" s="69"/>
      <c r="AQ184" s="69"/>
      <c r="AR184" s="69"/>
      <c r="AS184" s="69"/>
      <c r="AT184" s="69"/>
      <c r="AU184" s="69"/>
      <c r="AV184" s="69"/>
      <c r="AW184" s="69"/>
      <c r="AX184" s="69"/>
      <c r="AY184" s="69"/>
      <c r="AZ184" s="69"/>
      <c r="BA184" s="69"/>
      <c r="BB184" s="69"/>
      <c r="BC184" s="69"/>
      <c r="BD184" s="69"/>
      <c r="BE184" s="69"/>
      <c r="BF184" s="69"/>
      <c r="BG184" s="69"/>
      <c r="BH184" s="69"/>
    </row>
    <row r="185" spans="1:60" x14ac:dyDescent="0.25">
      <c r="A185" s="69"/>
      <c r="B185" s="69"/>
      <c r="C185" s="69"/>
      <c r="D185" s="69"/>
      <c r="E185" s="69"/>
      <c r="F185" s="69"/>
      <c r="G185" s="69"/>
      <c r="H185" s="69"/>
      <c r="I185" s="69"/>
      <c r="J185" s="69"/>
      <c r="K185" s="69"/>
      <c r="L185" s="69"/>
      <c r="M185" s="69"/>
      <c r="N185" s="69"/>
      <c r="O185" s="69"/>
      <c r="P185" s="69"/>
      <c r="Q185" s="69"/>
      <c r="R185" s="69"/>
      <c r="S185" s="69"/>
      <c r="T185" s="69"/>
      <c r="U185" s="69"/>
      <c r="V185" s="69"/>
      <c r="W185" s="69"/>
      <c r="X185" s="69"/>
      <c r="Y185" s="69"/>
      <c r="Z185" s="69"/>
      <c r="AA185" s="69"/>
      <c r="AB185" s="69"/>
      <c r="AC185" s="69"/>
      <c r="AD185" s="69"/>
      <c r="AE185" s="69"/>
      <c r="AF185" s="69"/>
      <c r="AG185" s="69"/>
      <c r="AH185" s="69"/>
      <c r="AI185" s="69"/>
      <c r="AJ185" s="69"/>
      <c r="AK185" s="69"/>
      <c r="AL185" s="69"/>
      <c r="AM185" s="69"/>
      <c r="AN185" s="69"/>
      <c r="AO185" s="69"/>
      <c r="AP185" s="69"/>
      <c r="AQ185" s="69"/>
      <c r="AR185" s="69"/>
      <c r="AS185" s="69"/>
      <c r="AT185" s="69"/>
      <c r="AU185" s="69"/>
      <c r="AV185" s="69"/>
      <c r="AW185" s="69"/>
      <c r="AX185" s="69"/>
      <c r="AY185" s="69"/>
      <c r="AZ185" s="69"/>
      <c r="BA185" s="69"/>
      <c r="BB185" s="69"/>
      <c r="BC185" s="69"/>
      <c r="BD185" s="69"/>
      <c r="BE185" s="69"/>
      <c r="BF185" s="69"/>
      <c r="BG185" s="69"/>
      <c r="BH185" s="69"/>
    </row>
    <row r="186" spans="1:60" x14ac:dyDescent="0.25">
      <c r="A186" s="69"/>
      <c r="B186" s="69"/>
      <c r="C186" s="69"/>
      <c r="D186" s="69"/>
      <c r="E186" s="69"/>
      <c r="F186" s="69"/>
      <c r="G186" s="69"/>
      <c r="H186" s="69"/>
      <c r="I186" s="69"/>
      <c r="J186" s="69"/>
      <c r="K186" s="69"/>
      <c r="L186" s="69"/>
      <c r="M186" s="69"/>
      <c r="N186" s="69"/>
      <c r="O186" s="69"/>
      <c r="P186" s="69"/>
      <c r="Q186" s="69"/>
      <c r="R186" s="69"/>
      <c r="S186" s="69"/>
      <c r="T186" s="69"/>
      <c r="U186" s="69"/>
      <c r="V186" s="69"/>
      <c r="W186" s="69"/>
      <c r="X186" s="69"/>
      <c r="Y186" s="69"/>
      <c r="Z186" s="69"/>
      <c r="AA186" s="69"/>
      <c r="AB186" s="69"/>
      <c r="AC186" s="69"/>
      <c r="AD186" s="69"/>
      <c r="AE186" s="69"/>
      <c r="AF186" s="69"/>
      <c r="AG186" s="69"/>
      <c r="AH186" s="69"/>
      <c r="AI186" s="69"/>
      <c r="AJ186" s="69"/>
      <c r="AK186" s="69"/>
      <c r="AL186" s="69"/>
      <c r="AM186" s="69"/>
      <c r="AN186" s="69"/>
      <c r="AO186" s="69"/>
      <c r="AP186" s="69"/>
      <c r="AQ186" s="69"/>
      <c r="AR186" s="69"/>
      <c r="AS186" s="69"/>
      <c r="AT186" s="69"/>
      <c r="AU186" s="69"/>
      <c r="AV186" s="69"/>
      <c r="AW186" s="69"/>
      <c r="AX186" s="69"/>
      <c r="AY186" s="69"/>
      <c r="AZ186" s="69"/>
      <c r="BA186" s="69"/>
      <c r="BB186" s="69"/>
      <c r="BC186" s="69"/>
      <c r="BD186" s="69"/>
      <c r="BE186" s="69"/>
      <c r="BF186" s="69"/>
      <c r="BG186" s="69"/>
      <c r="BH186" s="69"/>
    </row>
    <row r="187" spans="1:60" x14ac:dyDescent="0.25">
      <c r="A187" s="69"/>
      <c r="B187" s="69"/>
      <c r="C187" s="69"/>
      <c r="D187" s="69"/>
      <c r="E187" s="69"/>
      <c r="F187" s="69"/>
      <c r="G187" s="69"/>
      <c r="H187" s="69"/>
      <c r="I187" s="69"/>
      <c r="J187" s="69"/>
      <c r="K187" s="69"/>
      <c r="L187" s="69"/>
      <c r="M187" s="69"/>
      <c r="N187" s="69"/>
      <c r="O187" s="69"/>
      <c r="P187" s="69"/>
      <c r="Q187" s="69"/>
      <c r="R187" s="69"/>
      <c r="S187" s="69"/>
      <c r="T187" s="69"/>
      <c r="U187" s="69"/>
      <c r="V187" s="69"/>
      <c r="W187" s="69"/>
      <c r="X187" s="69"/>
      <c r="Y187" s="69"/>
      <c r="Z187" s="69"/>
      <c r="AA187" s="69"/>
      <c r="AB187" s="69"/>
      <c r="AC187" s="69"/>
      <c r="AD187" s="69"/>
      <c r="AE187" s="69"/>
      <c r="AF187" s="69"/>
      <c r="AG187" s="69"/>
      <c r="AH187" s="69"/>
      <c r="AI187" s="69"/>
      <c r="AJ187" s="69"/>
      <c r="AK187" s="69"/>
      <c r="AL187" s="69"/>
      <c r="AM187" s="69"/>
      <c r="AN187" s="69"/>
      <c r="AO187" s="69"/>
      <c r="AP187" s="69"/>
      <c r="AQ187" s="69"/>
      <c r="AR187" s="69"/>
      <c r="AS187" s="69"/>
      <c r="AT187" s="69"/>
      <c r="AU187" s="69"/>
      <c r="AV187" s="69"/>
      <c r="AW187" s="69"/>
      <c r="AX187" s="69"/>
      <c r="AY187" s="69"/>
      <c r="AZ187" s="69"/>
      <c r="BA187" s="69"/>
      <c r="BB187" s="69"/>
      <c r="BC187" s="69"/>
      <c r="BD187" s="69"/>
      <c r="BE187" s="69"/>
      <c r="BF187" s="69"/>
      <c r="BG187" s="69"/>
      <c r="BH187" s="69"/>
    </row>
    <row r="188" spans="1:60" x14ac:dyDescent="0.25">
      <c r="A188" s="69"/>
      <c r="B188" s="69"/>
      <c r="C188" s="69"/>
      <c r="D188" s="69"/>
      <c r="E188" s="69"/>
      <c r="F188" s="69"/>
      <c r="G188" s="69"/>
      <c r="H188" s="69"/>
      <c r="I188" s="69"/>
      <c r="J188" s="69"/>
      <c r="K188" s="69"/>
      <c r="L188" s="69"/>
      <c r="M188" s="69"/>
      <c r="N188" s="69"/>
      <c r="O188" s="69"/>
      <c r="P188" s="69"/>
      <c r="Q188" s="69"/>
      <c r="R188" s="69"/>
      <c r="S188" s="69"/>
      <c r="T188" s="69"/>
      <c r="U188" s="69"/>
      <c r="V188" s="69"/>
      <c r="W188" s="69"/>
      <c r="X188" s="69"/>
      <c r="Y188" s="69"/>
      <c r="Z188" s="69"/>
      <c r="AA188" s="69"/>
      <c r="AB188" s="69"/>
      <c r="AC188" s="69"/>
      <c r="AD188" s="69"/>
      <c r="AE188" s="69"/>
      <c r="AF188" s="69"/>
      <c r="AG188" s="69"/>
      <c r="AH188" s="69"/>
      <c r="AI188" s="69"/>
      <c r="AJ188" s="69"/>
      <c r="AK188" s="69"/>
      <c r="AL188" s="69"/>
      <c r="AM188" s="69"/>
      <c r="AN188" s="69"/>
      <c r="AO188" s="69"/>
      <c r="AP188" s="69"/>
      <c r="AQ188" s="69"/>
      <c r="AR188" s="69"/>
      <c r="AS188" s="69"/>
      <c r="AT188" s="69"/>
      <c r="AU188" s="69"/>
      <c r="AV188" s="69"/>
      <c r="AW188" s="69"/>
      <c r="AX188" s="69"/>
      <c r="AY188" s="69"/>
      <c r="AZ188" s="69"/>
      <c r="BA188" s="69"/>
      <c r="BB188" s="69"/>
      <c r="BC188" s="69"/>
      <c r="BD188" s="69"/>
      <c r="BE188" s="69"/>
      <c r="BF188" s="69"/>
      <c r="BG188" s="69"/>
      <c r="BH188" s="69"/>
    </row>
    <row r="189" spans="1:60" x14ac:dyDescent="0.25">
      <c r="A189" s="69"/>
      <c r="B189" s="69"/>
      <c r="C189" s="69"/>
      <c r="D189" s="69"/>
      <c r="E189" s="69"/>
      <c r="F189" s="69"/>
      <c r="G189" s="69"/>
      <c r="H189" s="69"/>
      <c r="I189" s="69"/>
      <c r="J189" s="69"/>
      <c r="K189" s="69"/>
      <c r="L189" s="69"/>
      <c r="M189" s="69"/>
      <c r="N189" s="69"/>
      <c r="O189" s="69"/>
      <c r="P189" s="69"/>
      <c r="Q189" s="69"/>
      <c r="R189" s="69"/>
      <c r="S189" s="69"/>
      <c r="T189" s="69"/>
      <c r="U189" s="69"/>
      <c r="V189" s="69"/>
      <c r="W189" s="69"/>
      <c r="X189" s="69"/>
      <c r="Y189" s="69"/>
      <c r="Z189" s="69"/>
      <c r="AA189" s="69"/>
      <c r="AB189" s="69"/>
      <c r="AC189" s="69"/>
      <c r="AD189" s="69"/>
      <c r="AE189" s="69"/>
      <c r="AF189" s="69"/>
      <c r="AG189" s="69"/>
      <c r="AH189" s="69"/>
      <c r="AI189" s="69"/>
      <c r="AJ189" s="69"/>
      <c r="AK189" s="69"/>
      <c r="AL189" s="69"/>
      <c r="AM189" s="69"/>
      <c r="AN189" s="69"/>
      <c r="AO189" s="69"/>
      <c r="AP189" s="69"/>
      <c r="AQ189" s="69"/>
      <c r="AR189" s="69"/>
      <c r="AS189" s="69"/>
      <c r="AT189" s="69"/>
      <c r="AU189" s="69"/>
      <c r="AV189" s="69"/>
      <c r="AW189" s="69"/>
      <c r="AX189" s="69"/>
      <c r="AY189" s="69"/>
      <c r="AZ189" s="69"/>
      <c r="BA189" s="69"/>
      <c r="BB189" s="69"/>
      <c r="BC189" s="69"/>
      <c r="BD189" s="69"/>
      <c r="BE189" s="69"/>
      <c r="BF189" s="69"/>
      <c r="BG189" s="69"/>
      <c r="BH189" s="69"/>
    </row>
    <row r="190" spans="1:60" x14ac:dyDescent="0.25">
      <c r="A190" s="69"/>
      <c r="B190" s="69"/>
      <c r="C190" s="69"/>
      <c r="D190" s="69"/>
      <c r="E190" s="69"/>
      <c r="F190" s="69"/>
      <c r="G190" s="69"/>
      <c r="H190" s="69"/>
      <c r="I190" s="69"/>
      <c r="J190" s="69"/>
      <c r="K190" s="69"/>
      <c r="L190" s="69"/>
      <c r="M190" s="69"/>
      <c r="N190" s="69"/>
      <c r="O190" s="69"/>
      <c r="P190" s="69"/>
      <c r="Q190" s="69"/>
      <c r="R190" s="69"/>
      <c r="S190" s="69"/>
      <c r="T190" s="69"/>
      <c r="U190" s="69"/>
      <c r="V190" s="69"/>
      <c r="W190" s="69"/>
      <c r="X190" s="69"/>
      <c r="Y190" s="69"/>
      <c r="Z190" s="69"/>
      <c r="AA190" s="69"/>
      <c r="AB190" s="69"/>
      <c r="AC190" s="69"/>
      <c r="AD190" s="69"/>
      <c r="AE190" s="69"/>
      <c r="AF190" s="69"/>
      <c r="AG190" s="69"/>
      <c r="AH190" s="69"/>
      <c r="AI190" s="69"/>
      <c r="AJ190" s="69"/>
      <c r="AK190" s="69"/>
      <c r="AL190" s="69"/>
      <c r="AM190" s="69"/>
      <c r="AN190" s="69"/>
      <c r="AO190" s="69"/>
      <c r="AP190" s="69"/>
      <c r="AQ190" s="69"/>
      <c r="AR190" s="69"/>
      <c r="AS190" s="69"/>
      <c r="AT190" s="69"/>
      <c r="AU190" s="69"/>
      <c r="AV190" s="69"/>
      <c r="AW190" s="69"/>
      <c r="AX190" s="69"/>
      <c r="AY190" s="69"/>
      <c r="AZ190" s="69"/>
      <c r="BA190" s="69"/>
      <c r="BB190" s="69"/>
      <c r="BC190" s="69"/>
      <c r="BD190" s="69"/>
      <c r="BE190" s="69"/>
      <c r="BF190" s="69"/>
      <c r="BG190" s="69"/>
      <c r="BH190" s="69"/>
    </row>
    <row r="191" spans="1:60" x14ac:dyDescent="0.25">
      <c r="A191" s="69"/>
      <c r="J191" s="69"/>
      <c r="K191" s="69"/>
      <c r="L191" s="69"/>
      <c r="M191" s="69"/>
      <c r="N191" s="69"/>
      <c r="O191" s="69"/>
      <c r="P191" s="69"/>
      <c r="Q191" s="69"/>
      <c r="R191" s="69"/>
      <c r="S191" s="69"/>
      <c r="T191" s="69"/>
      <c r="U191" s="69"/>
      <c r="V191" s="69"/>
      <c r="W191" s="69"/>
      <c r="X191" s="69"/>
      <c r="Y191" s="69"/>
      <c r="Z191" s="69"/>
      <c r="AA191" s="69"/>
      <c r="AB191" s="69"/>
      <c r="AC191" s="69"/>
      <c r="AD191" s="69"/>
      <c r="AE191" s="69"/>
      <c r="AF191" s="69"/>
      <c r="AG191" s="69"/>
      <c r="AH191" s="69"/>
      <c r="AI191" s="69"/>
      <c r="AJ191" s="69"/>
      <c r="AK191" s="69"/>
      <c r="AL191" s="69"/>
      <c r="AM191" s="69"/>
      <c r="AN191" s="69"/>
      <c r="AO191" s="69"/>
      <c r="AP191" s="69"/>
      <c r="AQ191" s="69"/>
      <c r="AR191" s="69"/>
      <c r="AS191" s="69"/>
      <c r="AT191" s="69"/>
      <c r="AU191" s="69"/>
      <c r="AV191" s="69"/>
      <c r="AW191" s="69"/>
      <c r="AX191" s="69"/>
      <c r="AY191" s="69"/>
      <c r="AZ191" s="69"/>
      <c r="BA191" s="69"/>
      <c r="BB191" s="69"/>
      <c r="BC191" s="69"/>
      <c r="BD191" s="69"/>
      <c r="BE191" s="69"/>
      <c r="BF191" s="69"/>
      <c r="BG191" s="69"/>
      <c r="BH191" s="69"/>
    </row>
    <row r="192" spans="1:60" x14ac:dyDescent="0.25">
      <c r="A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row>
    <row r="193" spans="1:60" x14ac:dyDescent="0.25">
      <c r="A193" s="69"/>
      <c r="J193" s="69"/>
      <c r="K193" s="69"/>
      <c r="L193" s="69"/>
      <c r="M193" s="69"/>
      <c r="N193" s="69"/>
      <c r="O193" s="69"/>
      <c r="P193" s="69"/>
      <c r="Q193" s="69"/>
      <c r="R193" s="69"/>
      <c r="S193" s="69"/>
      <c r="T193" s="69"/>
      <c r="U193" s="69"/>
      <c r="V193" s="69"/>
      <c r="W193" s="69"/>
      <c r="X193" s="69"/>
      <c r="Y193" s="69"/>
      <c r="Z193" s="69"/>
      <c r="AA193" s="69"/>
      <c r="AB193" s="69"/>
      <c r="AC193" s="69"/>
      <c r="AD193" s="69"/>
      <c r="AE193" s="69"/>
      <c r="AF193" s="69"/>
      <c r="AG193" s="69"/>
      <c r="AH193" s="69"/>
      <c r="AI193" s="69"/>
      <c r="AJ193" s="69"/>
      <c r="AK193" s="69"/>
      <c r="AL193" s="69"/>
      <c r="AM193" s="69"/>
      <c r="AN193" s="69"/>
      <c r="AO193" s="69"/>
      <c r="AP193" s="69"/>
      <c r="AQ193" s="69"/>
      <c r="AR193" s="69"/>
      <c r="AS193" s="69"/>
      <c r="AT193" s="69"/>
      <c r="AU193" s="69"/>
      <c r="AV193" s="69"/>
      <c r="AW193" s="69"/>
      <c r="AX193" s="69"/>
      <c r="AY193" s="69"/>
      <c r="AZ193" s="69"/>
      <c r="BA193" s="69"/>
      <c r="BB193" s="69"/>
      <c r="BC193" s="69"/>
      <c r="BD193" s="69"/>
      <c r="BE193" s="69"/>
      <c r="BF193" s="69"/>
      <c r="BG193" s="69"/>
      <c r="BH193" s="69"/>
    </row>
    <row r="194" spans="1:60" x14ac:dyDescent="0.25">
      <c r="A194" s="69"/>
      <c r="J194" s="69"/>
      <c r="K194" s="69"/>
      <c r="L194" s="69"/>
      <c r="M194" s="69"/>
      <c r="N194" s="69"/>
      <c r="O194" s="69"/>
      <c r="P194" s="69"/>
      <c r="Q194" s="69"/>
      <c r="R194" s="69"/>
      <c r="S194" s="69"/>
      <c r="T194" s="69"/>
      <c r="U194" s="69"/>
      <c r="V194" s="69"/>
      <c r="W194" s="69"/>
      <c r="X194" s="69"/>
      <c r="Y194" s="69"/>
      <c r="Z194" s="69"/>
      <c r="AA194" s="69"/>
      <c r="AB194" s="69"/>
      <c r="AC194" s="69"/>
      <c r="AD194" s="69"/>
      <c r="AE194" s="69"/>
      <c r="AF194" s="69"/>
      <c r="AG194" s="69"/>
      <c r="AH194" s="69"/>
      <c r="AI194" s="69"/>
      <c r="AJ194" s="69"/>
      <c r="AK194" s="69"/>
      <c r="AL194" s="69"/>
      <c r="AM194" s="69"/>
      <c r="AN194" s="69"/>
      <c r="AO194" s="69"/>
      <c r="AP194" s="69"/>
      <c r="AQ194" s="69"/>
      <c r="AR194" s="69"/>
      <c r="AS194" s="69"/>
      <c r="AT194" s="69"/>
      <c r="AU194" s="69"/>
      <c r="AV194" s="69"/>
      <c r="AW194" s="69"/>
      <c r="AX194" s="69"/>
      <c r="AY194" s="69"/>
      <c r="AZ194" s="69"/>
      <c r="BA194" s="69"/>
      <c r="BB194" s="69"/>
      <c r="BC194" s="69"/>
      <c r="BD194" s="69"/>
      <c r="BE194" s="69"/>
      <c r="BF194" s="69"/>
      <c r="BG194" s="69"/>
      <c r="BH194" s="69"/>
    </row>
    <row r="195" spans="1:60" x14ac:dyDescent="0.25">
      <c r="A195" s="69"/>
      <c r="J195" s="69"/>
      <c r="K195" s="69"/>
      <c r="L195" s="69"/>
      <c r="M195" s="69"/>
      <c r="N195" s="69"/>
      <c r="O195" s="69"/>
      <c r="P195" s="69"/>
      <c r="Q195" s="69"/>
      <c r="R195" s="69"/>
      <c r="S195" s="69"/>
      <c r="T195" s="69"/>
      <c r="U195" s="69"/>
      <c r="V195" s="69"/>
      <c r="W195" s="69"/>
      <c r="X195" s="69"/>
      <c r="Y195" s="69"/>
      <c r="Z195" s="69"/>
      <c r="AA195" s="69"/>
      <c r="AB195" s="69"/>
      <c r="AC195" s="69"/>
      <c r="AD195" s="69"/>
      <c r="AE195" s="69"/>
      <c r="AF195" s="69"/>
      <c r="AG195" s="69"/>
      <c r="AH195" s="69"/>
      <c r="AI195" s="69"/>
      <c r="AJ195" s="69"/>
      <c r="AK195" s="69"/>
      <c r="AL195" s="69"/>
      <c r="AM195" s="69"/>
      <c r="AN195" s="69"/>
      <c r="AO195" s="69"/>
      <c r="AP195" s="69"/>
      <c r="AQ195" s="69"/>
      <c r="AR195" s="69"/>
      <c r="AS195" s="69"/>
      <c r="AT195" s="69"/>
      <c r="AU195" s="69"/>
      <c r="AV195" s="69"/>
      <c r="AW195" s="69"/>
      <c r="AX195" s="69"/>
      <c r="AY195" s="69"/>
      <c r="AZ195" s="69"/>
      <c r="BA195" s="69"/>
      <c r="BB195" s="69"/>
      <c r="BC195" s="69"/>
      <c r="BD195" s="69"/>
      <c r="BE195" s="69"/>
      <c r="BF195" s="69"/>
      <c r="BG195" s="69"/>
      <c r="BH195" s="69"/>
    </row>
    <row r="196" spans="1:60" x14ac:dyDescent="0.25">
      <c r="A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row>
    <row r="197" spans="1:60" x14ac:dyDescent="0.25">
      <c r="A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row>
    <row r="198" spans="1:60" x14ac:dyDescent="0.25">
      <c r="A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row>
    <row r="199" spans="1:60" x14ac:dyDescent="0.25">
      <c r="A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row>
    <row r="200" spans="1:60" x14ac:dyDescent="0.25">
      <c r="A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row>
    <row r="201" spans="1:60" x14ac:dyDescent="0.25">
      <c r="A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row>
    <row r="202" spans="1:60" x14ac:dyDescent="0.25">
      <c r="A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row>
    <row r="203" spans="1:60" x14ac:dyDescent="0.25">
      <c r="A203" s="69"/>
      <c r="J203" s="69"/>
      <c r="K203" s="69"/>
      <c r="L203" s="69"/>
      <c r="M203" s="69"/>
      <c r="N203" s="69"/>
      <c r="O203" s="69"/>
      <c r="P203" s="69"/>
      <c r="Q203" s="69"/>
      <c r="R203" s="69"/>
      <c r="S203" s="69"/>
      <c r="T203" s="69"/>
      <c r="U203" s="69"/>
      <c r="V203" s="69"/>
      <c r="W203" s="69"/>
      <c r="X203" s="69"/>
      <c r="Y203" s="69"/>
      <c r="Z203" s="69"/>
      <c r="AA203" s="69"/>
      <c r="AB203" s="69"/>
      <c r="AC203" s="69"/>
      <c r="AD203" s="69"/>
      <c r="AE203" s="69"/>
      <c r="AF203" s="69"/>
      <c r="AG203" s="69"/>
      <c r="AH203" s="69"/>
      <c r="AI203" s="69"/>
      <c r="AJ203" s="69"/>
      <c r="AK203" s="69"/>
      <c r="AL203" s="69"/>
      <c r="AM203" s="69"/>
      <c r="AN203" s="69"/>
      <c r="AO203" s="69"/>
      <c r="AP203" s="69"/>
      <c r="AQ203" s="69"/>
      <c r="AR203" s="69"/>
      <c r="AS203" s="69"/>
      <c r="AT203" s="69"/>
      <c r="AU203" s="69"/>
      <c r="AV203" s="69"/>
      <c r="AW203" s="69"/>
      <c r="AX203" s="69"/>
      <c r="AY203" s="69"/>
      <c r="AZ203" s="69"/>
      <c r="BA203" s="69"/>
      <c r="BB203" s="69"/>
      <c r="BC203" s="69"/>
      <c r="BD203" s="69"/>
      <c r="BE203" s="69"/>
      <c r="BF203" s="69"/>
      <c r="BG203" s="69"/>
      <c r="BH203" s="69"/>
    </row>
    <row r="204" spans="1:60" x14ac:dyDescent="0.25">
      <c r="A204" s="69"/>
      <c r="J204" s="69"/>
      <c r="K204" s="69"/>
      <c r="L204" s="69"/>
      <c r="M204" s="69"/>
      <c r="N204" s="69"/>
      <c r="O204" s="69"/>
      <c r="P204" s="69"/>
      <c r="Q204" s="69"/>
      <c r="R204" s="69"/>
      <c r="S204" s="69"/>
      <c r="T204" s="69"/>
      <c r="U204" s="69"/>
      <c r="V204" s="69"/>
      <c r="W204" s="69"/>
      <c r="X204" s="69"/>
      <c r="Y204" s="69"/>
      <c r="Z204" s="69"/>
      <c r="AA204" s="69"/>
      <c r="AB204" s="69"/>
      <c r="AC204" s="69"/>
      <c r="AD204" s="69"/>
      <c r="AE204" s="69"/>
      <c r="AF204" s="69"/>
      <c r="AG204" s="69"/>
      <c r="AH204" s="69"/>
      <c r="AI204" s="69"/>
      <c r="AJ204" s="69"/>
      <c r="AK204" s="69"/>
      <c r="AL204" s="69"/>
      <c r="AM204" s="69"/>
      <c r="AN204" s="69"/>
      <c r="AO204" s="69"/>
      <c r="AP204" s="69"/>
      <c r="AQ204" s="69"/>
      <c r="AR204" s="69"/>
      <c r="AS204" s="69"/>
      <c r="AT204" s="69"/>
      <c r="AU204" s="69"/>
      <c r="AV204" s="69"/>
      <c r="AW204" s="69"/>
      <c r="AX204" s="69"/>
      <c r="AY204" s="69"/>
      <c r="AZ204" s="69"/>
      <c r="BA204" s="69"/>
      <c r="BB204" s="69"/>
      <c r="BC204" s="69"/>
      <c r="BD204" s="69"/>
      <c r="BE204" s="69"/>
      <c r="BF204" s="69"/>
      <c r="BG204" s="69"/>
      <c r="BH204" s="69"/>
    </row>
    <row r="205" spans="1:60" x14ac:dyDescent="0.25">
      <c r="A205" s="69"/>
      <c r="J205" s="69"/>
      <c r="K205" s="69"/>
      <c r="L205" s="69"/>
      <c r="M205" s="69"/>
      <c r="N205" s="69"/>
      <c r="O205" s="69"/>
      <c r="P205" s="69"/>
      <c r="Q205" s="69"/>
      <c r="R205" s="69"/>
      <c r="S205" s="69"/>
      <c r="T205" s="69"/>
      <c r="U205" s="69"/>
      <c r="V205" s="69"/>
      <c r="W205" s="69"/>
      <c r="X205" s="69"/>
      <c r="Y205" s="69"/>
      <c r="Z205" s="69"/>
      <c r="AA205" s="69"/>
      <c r="AB205" s="69"/>
      <c r="AC205" s="69"/>
      <c r="AD205" s="69"/>
      <c r="AE205" s="69"/>
      <c r="AF205" s="69"/>
      <c r="AG205" s="69"/>
      <c r="AH205" s="69"/>
      <c r="AI205" s="69"/>
      <c r="AJ205" s="69"/>
      <c r="AK205" s="69"/>
      <c r="AL205" s="69"/>
      <c r="AM205" s="69"/>
      <c r="AN205" s="69"/>
      <c r="AO205" s="69"/>
      <c r="AP205" s="69"/>
      <c r="AQ205" s="69"/>
      <c r="AR205" s="69"/>
      <c r="AS205" s="69"/>
      <c r="AT205" s="69"/>
      <c r="AU205" s="69"/>
      <c r="AV205" s="69"/>
      <c r="AW205" s="69"/>
      <c r="AX205" s="69"/>
      <c r="AY205" s="69"/>
      <c r="AZ205" s="69"/>
      <c r="BA205" s="69"/>
      <c r="BB205" s="69"/>
      <c r="BC205" s="69"/>
      <c r="BD205" s="69"/>
      <c r="BE205" s="69"/>
      <c r="BF205" s="69"/>
      <c r="BG205" s="69"/>
      <c r="BH205" s="69"/>
    </row>
    <row r="206" spans="1:60" x14ac:dyDescent="0.25">
      <c r="A206" s="69"/>
      <c r="J206" s="69"/>
      <c r="K206" s="69"/>
      <c r="L206" s="69"/>
      <c r="M206" s="69"/>
      <c r="N206" s="69"/>
      <c r="O206" s="69"/>
      <c r="P206" s="69"/>
      <c r="Q206" s="69"/>
      <c r="R206" s="69"/>
      <c r="S206" s="69"/>
      <c r="T206" s="69"/>
      <c r="U206" s="69"/>
      <c r="V206" s="69"/>
      <c r="W206" s="69"/>
      <c r="X206" s="69"/>
      <c r="Y206" s="69"/>
      <c r="Z206" s="69"/>
      <c r="AA206" s="69"/>
      <c r="AB206" s="69"/>
      <c r="AC206" s="69"/>
      <c r="AD206" s="69"/>
      <c r="AE206" s="69"/>
      <c r="AF206" s="69"/>
      <c r="AG206" s="69"/>
      <c r="AH206" s="69"/>
      <c r="AI206" s="69"/>
      <c r="AJ206" s="69"/>
      <c r="AK206" s="69"/>
      <c r="AL206" s="69"/>
      <c r="AM206" s="69"/>
      <c r="AN206" s="69"/>
      <c r="AO206" s="69"/>
      <c r="AP206" s="69"/>
      <c r="AQ206" s="69"/>
      <c r="AR206" s="69"/>
      <c r="AS206" s="69"/>
      <c r="AT206" s="69"/>
      <c r="AU206" s="69"/>
      <c r="AV206" s="69"/>
      <c r="AW206" s="69"/>
      <c r="AX206" s="69"/>
      <c r="AY206" s="69"/>
      <c r="AZ206" s="69"/>
      <c r="BA206" s="69"/>
      <c r="BB206" s="69"/>
      <c r="BC206" s="69"/>
      <c r="BD206" s="69"/>
      <c r="BE206" s="69"/>
      <c r="BF206" s="69"/>
      <c r="BG206" s="69"/>
      <c r="BH206" s="69"/>
    </row>
    <row r="207" spans="1:60" x14ac:dyDescent="0.25">
      <c r="A207" s="69"/>
      <c r="J207" s="69"/>
      <c r="K207" s="69"/>
      <c r="L207" s="69"/>
      <c r="M207" s="69"/>
      <c r="N207" s="69"/>
      <c r="O207" s="69"/>
      <c r="P207" s="69"/>
      <c r="Q207" s="69"/>
      <c r="R207" s="69"/>
      <c r="S207" s="69"/>
      <c r="T207" s="69"/>
      <c r="U207" s="69"/>
      <c r="V207" s="69"/>
      <c r="W207" s="69"/>
      <c r="X207" s="69"/>
      <c r="Y207" s="69"/>
      <c r="Z207" s="69"/>
      <c r="AA207" s="69"/>
      <c r="AB207" s="69"/>
      <c r="AC207" s="69"/>
      <c r="AD207" s="69"/>
      <c r="AE207" s="69"/>
      <c r="AF207" s="69"/>
      <c r="AG207" s="69"/>
      <c r="AH207" s="69"/>
      <c r="AI207" s="69"/>
      <c r="AJ207" s="69"/>
      <c r="AK207" s="69"/>
      <c r="AL207" s="69"/>
      <c r="AM207" s="69"/>
      <c r="AN207" s="69"/>
      <c r="AO207" s="69"/>
      <c r="AP207" s="69"/>
      <c r="AQ207" s="69"/>
      <c r="AR207" s="69"/>
      <c r="AS207" s="69"/>
      <c r="AT207" s="69"/>
      <c r="AU207" s="69"/>
      <c r="AV207" s="69"/>
      <c r="AW207" s="69"/>
      <c r="AX207" s="69"/>
      <c r="AY207" s="69"/>
      <c r="AZ207" s="69"/>
      <c r="BA207" s="69"/>
      <c r="BB207" s="69"/>
      <c r="BC207" s="69"/>
      <c r="BD207" s="69"/>
      <c r="BE207" s="69"/>
      <c r="BF207" s="69"/>
      <c r="BG207" s="69"/>
      <c r="BH207" s="69"/>
    </row>
    <row r="208" spans="1:60" x14ac:dyDescent="0.25">
      <c r="A208" s="69"/>
      <c r="J208" s="69"/>
      <c r="K208" s="69"/>
      <c r="L208" s="69"/>
      <c r="M208" s="69"/>
      <c r="N208" s="69"/>
      <c r="O208" s="69"/>
      <c r="P208" s="69"/>
      <c r="Q208" s="69"/>
      <c r="R208" s="69"/>
      <c r="S208" s="69"/>
      <c r="T208" s="69"/>
      <c r="U208" s="69"/>
      <c r="V208" s="69"/>
      <c r="W208" s="69"/>
      <c r="X208" s="69"/>
      <c r="Y208" s="69"/>
      <c r="Z208" s="69"/>
      <c r="AA208" s="69"/>
      <c r="AB208" s="69"/>
      <c r="AC208" s="69"/>
      <c r="AD208" s="69"/>
      <c r="AE208" s="69"/>
      <c r="AF208" s="69"/>
      <c r="AG208" s="69"/>
      <c r="AH208" s="69"/>
      <c r="AI208" s="69"/>
      <c r="AJ208" s="69"/>
      <c r="AK208" s="69"/>
      <c r="AL208" s="69"/>
      <c r="AM208" s="69"/>
      <c r="AN208" s="69"/>
      <c r="AO208" s="69"/>
      <c r="AP208" s="69"/>
      <c r="AQ208" s="69"/>
      <c r="AR208" s="69"/>
      <c r="AS208" s="69"/>
      <c r="AT208" s="69"/>
      <c r="AU208" s="69"/>
      <c r="AV208" s="69"/>
      <c r="AW208" s="69"/>
      <c r="AX208" s="69"/>
      <c r="AY208" s="69"/>
      <c r="AZ208" s="69"/>
      <c r="BA208" s="69"/>
      <c r="BB208" s="69"/>
      <c r="BC208" s="69"/>
      <c r="BD208" s="69"/>
      <c r="BE208" s="69"/>
      <c r="BF208" s="69"/>
      <c r="BG208" s="69"/>
      <c r="BH208" s="69"/>
    </row>
    <row r="209" spans="1:60" x14ac:dyDescent="0.25">
      <c r="A209" s="69"/>
      <c r="J209" s="69"/>
      <c r="K209" s="69"/>
      <c r="L209" s="69"/>
      <c r="M209" s="69"/>
      <c r="N209" s="69"/>
      <c r="O209" s="69"/>
      <c r="P209" s="69"/>
      <c r="Q209" s="69"/>
      <c r="R209" s="69"/>
      <c r="S209" s="69"/>
      <c r="T209" s="69"/>
      <c r="U209" s="69"/>
      <c r="V209" s="69"/>
      <c r="W209" s="69"/>
      <c r="X209" s="69"/>
      <c r="Y209" s="69"/>
      <c r="Z209" s="69"/>
      <c r="AA209" s="69"/>
      <c r="AB209" s="69"/>
      <c r="AC209" s="69"/>
      <c r="AD209" s="69"/>
      <c r="AE209" s="69"/>
      <c r="AF209" s="69"/>
      <c r="AG209" s="69"/>
      <c r="AH209" s="69"/>
      <c r="AI209" s="69"/>
      <c r="AJ209" s="69"/>
      <c r="AK209" s="69"/>
      <c r="AL209" s="69"/>
      <c r="AM209" s="69"/>
      <c r="AN209" s="69"/>
      <c r="AO209" s="69"/>
      <c r="AP209" s="69"/>
      <c r="AQ209" s="69"/>
      <c r="AR209" s="69"/>
      <c r="AS209" s="69"/>
      <c r="AT209" s="69"/>
      <c r="AU209" s="69"/>
      <c r="AV209" s="69"/>
      <c r="AW209" s="69"/>
      <c r="AX209" s="69"/>
      <c r="AY209" s="69"/>
      <c r="AZ209" s="69"/>
      <c r="BA209" s="69"/>
      <c r="BB209" s="69"/>
      <c r="BC209" s="69"/>
      <c r="BD209" s="69"/>
      <c r="BE209" s="69"/>
      <c r="BF209" s="69"/>
      <c r="BG209" s="69"/>
      <c r="BH209" s="69"/>
    </row>
    <row r="210" spans="1:60" x14ac:dyDescent="0.25">
      <c r="A210" s="69"/>
      <c r="J210" s="69"/>
      <c r="K210" s="69"/>
      <c r="L210" s="69"/>
      <c r="M210" s="69"/>
      <c r="N210" s="69"/>
      <c r="O210" s="69"/>
      <c r="P210" s="69"/>
      <c r="Q210" s="69"/>
      <c r="R210" s="69"/>
      <c r="S210" s="69"/>
      <c r="T210" s="69"/>
      <c r="U210" s="69"/>
      <c r="V210" s="69"/>
      <c r="W210" s="69"/>
      <c r="X210" s="69"/>
      <c r="Y210" s="69"/>
      <c r="Z210" s="69"/>
      <c r="AA210" s="69"/>
      <c r="AB210" s="69"/>
      <c r="AC210" s="69"/>
      <c r="AD210" s="69"/>
      <c r="AE210" s="69"/>
      <c r="AF210" s="69"/>
      <c r="AG210" s="69"/>
      <c r="AH210" s="69"/>
      <c r="AI210" s="69"/>
      <c r="AJ210" s="69"/>
      <c r="AK210" s="69"/>
      <c r="AL210" s="69"/>
      <c r="AM210" s="69"/>
      <c r="AN210" s="69"/>
      <c r="AO210" s="69"/>
      <c r="AP210" s="69"/>
      <c r="AQ210" s="69"/>
      <c r="AR210" s="69"/>
      <c r="AS210" s="69"/>
      <c r="AT210" s="69"/>
      <c r="AU210" s="69"/>
      <c r="AV210" s="69"/>
      <c r="AW210" s="69"/>
      <c r="AX210" s="69"/>
      <c r="AY210" s="69"/>
      <c r="AZ210" s="69"/>
      <c r="BA210" s="69"/>
      <c r="BB210" s="69"/>
      <c r="BC210" s="69"/>
      <c r="BD210" s="69"/>
      <c r="BE210" s="69"/>
      <c r="BF210" s="69"/>
      <c r="BG210" s="69"/>
      <c r="BH210" s="69"/>
    </row>
    <row r="211" spans="1:60" x14ac:dyDescent="0.25">
      <c r="A211" s="69"/>
      <c r="J211" s="69"/>
      <c r="K211" s="69"/>
      <c r="L211" s="69"/>
      <c r="M211" s="69"/>
      <c r="N211" s="69"/>
      <c r="O211" s="69"/>
      <c r="P211" s="69"/>
      <c r="Q211" s="69"/>
      <c r="R211" s="69"/>
      <c r="S211" s="69"/>
      <c r="T211" s="69"/>
      <c r="U211" s="69"/>
      <c r="V211" s="69"/>
      <c r="W211" s="69"/>
      <c r="X211" s="69"/>
      <c r="Y211" s="69"/>
      <c r="Z211" s="69"/>
      <c r="AA211" s="69"/>
      <c r="AB211" s="69"/>
      <c r="AC211" s="69"/>
      <c r="AD211" s="69"/>
      <c r="AE211" s="69"/>
      <c r="AF211" s="69"/>
      <c r="AG211" s="69"/>
      <c r="AH211" s="69"/>
      <c r="AI211" s="69"/>
      <c r="AJ211" s="69"/>
      <c r="AK211" s="69"/>
      <c r="AL211" s="69"/>
      <c r="AM211" s="69"/>
      <c r="AN211" s="69"/>
      <c r="AO211" s="69"/>
      <c r="AP211" s="69"/>
      <c r="AQ211" s="69"/>
      <c r="AR211" s="69"/>
      <c r="AS211" s="69"/>
      <c r="AT211" s="69"/>
      <c r="AU211" s="69"/>
      <c r="AV211" s="69"/>
      <c r="AW211" s="69"/>
      <c r="AX211" s="69"/>
      <c r="AY211" s="69"/>
      <c r="AZ211" s="69"/>
      <c r="BA211" s="69"/>
      <c r="BB211" s="69"/>
      <c r="BC211" s="69"/>
      <c r="BD211" s="69"/>
      <c r="BE211" s="69"/>
      <c r="BF211" s="69"/>
      <c r="BG211" s="69"/>
      <c r="BH211" s="69"/>
    </row>
    <row r="212" spans="1:60" x14ac:dyDescent="0.25">
      <c r="A212" s="69"/>
      <c r="J212" s="69"/>
      <c r="K212" s="69"/>
      <c r="L212" s="69"/>
      <c r="M212" s="69"/>
      <c r="N212" s="69"/>
      <c r="O212" s="69"/>
      <c r="P212" s="69"/>
      <c r="Q212" s="69"/>
      <c r="R212" s="69"/>
      <c r="S212" s="69"/>
      <c r="T212" s="69"/>
      <c r="U212" s="69"/>
      <c r="V212" s="69"/>
      <c r="W212" s="69"/>
      <c r="X212" s="69"/>
      <c r="Y212" s="69"/>
      <c r="Z212" s="69"/>
      <c r="AA212" s="69"/>
      <c r="AB212" s="69"/>
      <c r="AC212" s="69"/>
      <c r="AD212" s="69"/>
      <c r="AE212" s="69"/>
      <c r="AF212" s="69"/>
      <c r="AG212" s="69"/>
      <c r="AH212" s="69"/>
      <c r="AI212" s="69"/>
      <c r="AJ212" s="69"/>
      <c r="AK212" s="69"/>
      <c r="AL212" s="69"/>
      <c r="AM212" s="69"/>
      <c r="AN212" s="69"/>
      <c r="AO212" s="69"/>
      <c r="AP212" s="69"/>
      <c r="AQ212" s="69"/>
      <c r="AR212" s="69"/>
      <c r="AS212" s="69"/>
      <c r="AT212" s="69"/>
      <c r="AU212" s="69"/>
      <c r="AV212" s="69"/>
      <c r="AW212" s="69"/>
      <c r="AX212" s="69"/>
      <c r="AY212" s="69"/>
      <c r="AZ212" s="69"/>
      <c r="BA212" s="69"/>
      <c r="BB212" s="69"/>
      <c r="BC212" s="69"/>
      <c r="BD212" s="69"/>
      <c r="BE212" s="69"/>
      <c r="BF212" s="69"/>
      <c r="BG212" s="69"/>
      <c r="BH212" s="69"/>
    </row>
    <row r="213" spans="1:60" x14ac:dyDescent="0.25">
      <c r="A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row>
    <row r="214" spans="1:60" x14ac:dyDescent="0.25">
      <c r="A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row>
    <row r="215" spans="1:60" x14ac:dyDescent="0.25">
      <c r="A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row>
    <row r="216" spans="1:60" x14ac:dyDescent="0.25">
      <c r="A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row>
    <row r="217" spans="1:60" x14ac:dyDescent="0.25">
      <c r="A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row>
    <row r="218" spans="1:60" x14ac:dyDescent="0.25">
      <c r="A218" s="69"/>
      <c r="J218" s="69"/>
      <c r="K218" s="69"/>
      <c r="L218" s="69"/>
      <c r="M218" s="69"/>
      <c r="N218" s="69"/>
      <c r="O218" s="69"/>
      <c r="P218" s="69"/>
      <c r="Q218" s="69"/>
      <c r="R218" s="69"/>
      <c r="S218" s="69"/>
      <c r="T218" s="69"/>
      <c r="U218" s="69"/>
      <c r="V218" s="69"/>
      <c r="W218" s="69"/>
      <c r="X218" s="69"/>
      <c r="Y218" s="69"/>
      <c r="Z218" s="69"/>
      <c r="AA218" s="69"/>
      <c r="AB218" s="69"/>
      <c r="AC218" s="69"/>
      <c r="AD218" s="69"/>
      <c r="AE218" s="69"/>
      <c r="AF218" s="69"/>
      <c r="AG218" s="69"/>
      <c r="AH218" s="69"/>
      <c r="AI218" s="69"/>
      <c r="AJ218" s="69"/>
      <c r="AK218" s="69"/>
      <c r="AL218" s="69"/>
      <c r="AM218" s="69"/>
      <c r="AN218" s="69"/>
      <c r="AO218" s="69"/>
      <c r="AP218" s="69"/>
      <c r="AQ218" s="69"/>
      <c r="AR218" s="69"/>
      <c r="AS218" s="69"/>
      <c r="AT218" s="69"/>
      <c r="AU218" s="69"/>
      <c r="AV218" s="69"/>
      <c r="AW218" s="69"/>
      <c r="AX218" s="69"/>
      <c r="AY218" s="69"/>
      <c r="AZ218" s="69"/>
      <c r="BA218" s="69"/>
      <c r="BB218" s="69"/>
      <c r="BC218" s="69"/>
      <c r="BD218" s="69"/>
      <c r="BE218" s="69"/>
      <c r="BF218" s="69"/>
      <c r="BG218" s="69"/>
      <c r="BH218" s="69"/>
    </row>
    <row r="219" spans="1:60" x14ac:dyDescent="0.25">
      <c r="A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row>
    <row r="220" spans="1:60" x14ac:dyDescent="0.25">
      <c r="A220" s="69"/>
      <c r="J220" s="69"/>
      <c r="K220" s="69"/>
      <c r="L220" s="69"/>
      <c r="M220" s="69"/>
      <c r="N220" s="69"/>
      <c r="O220" s="69"/>
      <c r="P220" s="69"/>
      <c r="Q220" s="69"/>
      <c r="R220" s="69"/>
      <c r="S220" s="69"/>
      <c r="T220" s="69"/>
      <c r="U220" s="69"/>
      <c r="V220" s="69"/>
      <c r="W220" s="69"/>
      <c r="X220" s="69"/>
      <c r="Y220" s="69"/>
      <c r="Z220" s="69"/>
      <c r="AA220" s="69"/>
      <c r="AB220" s="69"/>
      <c r="AC220" s="69"/>
      <c r="AD220" s="69"/>
      <c r="AE220" s="69"/>
      <c r="AF220" s="69"/>
      <c r="AG220" s="69"/>
      <c r="AH220" s="69"/>
      <c r="AI220" s="69"/>
      <c r="AJ220" s="69"/>
      <c r="AK220" s="69"/>
      <c r="AL220" s="69"/>
      <c r="AM220" s="69"/>
      <c r="AN220" s="69"/>
      <c r="AO220" s="69"/>
      <c r="AP220" s="69"/>
      <c r="AQ220" s="69"/>
      <c r="AR220" s="69"/>
      <c r="AS220" s="69"/>
      <c r="AT220" s="69"/>
      <c r="AU220" s="69"/>
      <c r="AV220" s="69"/>
      <c r="AW220" s="69"/>
      <c r="AX220" s="69"/>
      <c r="AY220" s="69"/>
      <c r="AZ220" s="69"/>
      <c r="BA220" s="69"/>
      <c r="BB220" s="69"/>
      <c r="BC220" s="69"/>
      <c r="BD220" s="69"/>
      <c r="BE220" s="69"/>
      <c r="BF220" s="69"/>
      <c r="BG220" s="69"/>
      <c r="BH220" s="69"/>
    </row>
    <row r="221" spans="1:60" x14ac:dyDescent="0.25">
      <c r="A221" s="69"/>
      <c r="J221" s="69"/>
      <c r="K221" s="69"/>
      <c r="L221" s="69"/>
      <c r="M221" s="69"/>
      <c r="N221" s="69"/>
      <c r="O221" s="69"/>
      <c r="P221" s="69"/>
      <c r="Q221" s="69"/>
      <c r="R221" s="69"/>
      <c r="S221" s="69"/>
      <c r="T221" s="69"/>
      <c r="U221" s="69"/>
      <c r="V221" s="69"/>
      <c r="W221" s="69"/>
      <c r="X221" s="69"/>
      <c r="Y221" s="69"/>
      <c r="Z221" s="69"/>
      <c r="AA221" s="69"/>
      <c r="AB221" s="69"/>
      <c r="AC221" s="69"/>
      <c r="AD221" s="69"/>
      <c r="AE221" s="69"/>
      <c r="AF221" s="69"/>
      <c r="AG221" s="69"/>
      <c r="AH221" s="69"/>
      <c r="AI221" s="69"/>
      <c r="AJ221" s="69"/>
      <c r="AK221" s="69"/>
      <c r="AL221" s="69"/>
      <c r="AM221" s="69"/>
      <c r="AN221" s="69"/>
      <c r="AO221" s="69"/>
      <c r="AP221" s="69"/>
      <c r="AQ221" s="69"/>
      <c r="AR221" s="69"/>
      <c r="AS221" s="69"/>
      <c r="AT221" s="69"/>
      <c r="AU221" s="69"/>
      <c r="AV221" s="69"/>
      <c r="AW221" s="69"/>
      <c r="AX221" s="69"/>
      <c r="AY221" s="69"/>
      <c r="AZ221" s="69"/>
      <c r="BA221" s="69"/>
      <c r="BB221" s="69"/>
      <c r="BC221" s="69"/>
      <c r="BD221" s="69"/>
      <c r="BE221" s="69"/>
      <c r="BF221" s="69"/>
      <c r="BG221" s="69"/>
      <c r="BH221" s="69"/>
    </row>
    <row r="222" spans="1:60" x14ac:dyDescent="0.25">
      <c r="A222" s="69"/>
      <c r="J222" s="69"/>
      <c r="K222" s="69"/>
      <c r="L222" s="69"/>
      <c r="M222" s="69"/>
      <c r="N222" s="69"/>
      <c r="O222" s="69"/>
      <c r="P222" s="69"/>
      <c r="Q222" s="69"/>
      <c r="R222" s="69"/>
      <c r="S222" s="69"/>
      <c r="T222" s="69"/>
      <c r="U222" s="69"/>
      <c r="V222" s="69"/>
      <c r="W222" s="69"/>
      <c r="X222" s="69"/>
      <c r="Y222" s="69"/>
      <c r="Z222" s="69"/>
      <c r="AA222" s="69"/>
      <c r="AB222" s="69"/>
      <c r="AC222" s="69"/>
      <c r="AD222" s="69"/>
      <c r="AE222" s="69"/>
      <c r="AF222" s="69"/>
      <c r="AG222" s="69"/>
      <c r="AH222" s="69"/>
      <c r="AI222" s="69"/>
      <c r="AJ222" s="69"/>
      <c r="AK222" s="69"/>
      <c r="AL222" s="69"/>
      <c r="AM222" s="69"/>
      <c r="AN222" s="69"/>
      <c r="AO222" s="69"/>
      <c r="AP222" s="69"/>
      <c r="AQ222" s="69"/>
      <c r="AR222" s="69"/>
      <c r="AS222" s="69"/>
      <c r="AT222" s="69"/>
      <c r="AU222" s="69"/>
      <c r="AV222" s="69"/>
      <c r="AW222" s="69"/>
      <c r="AX222" s="69"/>
      <c r="AY222" s="69"/>
      <c r="AZ222" s="69"/>
      <c r="BA222" s="69"/>
      <c r="BB222" s="69"/>
      <c r="BC222" s="69"/>
      <c r="BD222" s="69"/>
      <c r="BE222" s="69"/>
      <c r="BF222" s="69"/>
      <c r="BG222" s="69"/>
      <c r="BH222" s="69"/>
    </row>
    <row r="223" spans="1:60" x14ac:dyDescent="0.25">
      <c r="A223" s="69"/>
      <c r="J223" s="69"/>
      <c r="K223" s="69"/>
      <c r="L223" s="69"/>
      <c r="M223" s="69"/>
      <c r="N223" s="69"/>
      <c r="O223" s="69"/>
      <c r="P223" s="69"/>
      <c r="Q223" s="69"/>
      <c r="R223" s="69"/>
      <c r="S223" s="69"/>
      <c r="T223" s="69"/>
      <c r="U223" s="69"/>
      <c r="V223" s="69"/>
      <c r="W223" s="69"/>
      <c r="X223" s="69"/>
      <c r="Y223" s="69"/>
      <c r="Z223" s="69"/>
      <c r="AA223" s="69"/>
      <c r="AB223" s="69"/>
      <c r="AC223" s="69"/>
      <c r="AD223" s="69"/>
      <c r="AE223" s="69"/>
      <c r="AF223" s="69"/>
      <c r="AG223" s="69"/>
      <c r="AH223" s="69"/>
      <c r="AI223" s="69"/>
      <c r="AJ223" s="69"/>
      <c r="AK223" s="69"/>
      <c r="AL223" s="69"/>
      <c r="AM223" s="69"/>
      <c r="AN223" s="69"/>
      <c r="AO223" s="69"/>
      <c r="AP223" s="69"/>
      <c r="AQ223" s="69"/>
      <c r="AR223" s="69"/>
      <c r="AS223" s="69"/>
      <c r="AT223" s="69"/>
      <c r="AU223" s="69"/>
      <c r="AV223" s="69"/>
      <c r="AW223" s="69"/>
      <c r="AX223" s="69"/>
      <c r="AY223" s="69"/>
      <c r="AZ223" s="69"/>
      <c r="BA223" s="69"/>
      <c r="BB223" s="69"/>
      <c r="BC223" s="69"/>
      <c r="BD223" s="69"/>
      <c r="BE223" s="69"/>
      <c r="BF223" s="69"/>
      <c r="BG223" s="69"/>
      <c r="BH223" s="69"/>
    </row>
    <row r="224" spans="1:60" x14ac:dyDescent="0.25">
      <c r="A224" s="69"/>
      <c r="J224" s="69"/>
      <c r="K224" s="69"/>
      <c r="L224" s="69"/>
      <c r="M224" s="69"/>
      <c r="N224" s="69"/>
      <c r="O224" s="69"/>
      <c r="P224" s="69"/>
      <c r="Q224" s="69"/>
      <c r="R224" s="69"/>
      <c r="S224" s="69"/>
      <c r="T224" s="69"/>
      <c r="U224" s="69"/>
      <c r="V224" s="69"/>
      <c r="W224" s="69"/>
      <c r="X224" s="69"/>
      <c r="Y224" s="69"/>
      <c r="Z224" s="69"/>
      <c r="AA224" s="69"/>
      <c r="AB224" s="69"/>
      <c r="AC224" s="69"/>
      <c r="AD224" s="69"/>
      <c r="AE224" s="69"/>
      <c r="AF224" s="69"/>
      <c r="AG224" s="69"/>
      <c r="AH224" s="69"/>
      <c r="AI224" s="69"/>
      <c r="AJ224" s="69"/>
      <c r="AK224" s="69"/>
      <c r="AL224" s="69"/>
      <c r="AM224" s="69"/>
      <c r="AN224" s="69"/>
      <c r="AO224" s="69"/>
      <c r="AP224" s="69"/>
      <c r="AQ224" s="69"/>
      <c r="AR224" s="69"/>
      <c r="AS224" s="69"/>
      <c r="AT224" s="69"/>
      <c r="AU224" s="69"/>
      <c r="AV224" s="69"/>
      <c r="AW224" s="69"/>
      <c r="AX224" s="69"/>
      <c r="AY224" s="69"/>
      <c r="AZ224" s="69"/>
      <c r="BA224" s="69"/>
      <c r="BB224" s="69"/>
      <c r="BC224" s="69"/>
      <c r="BD224" s="69"/>
      <c r="BE224" s="69"/>
      <c r="BF224" s="69"/>
      <c r="BG224" s="69"/>
      <c r="BH224" s="69"/>
    </row>
    <row r="225" spans="1:60" x14ac:dyDescent="0.25">
      <c r="A225" s="69"/>
      <c r="J225" s="69"/>
      <c r="K225" s="69"/>
      <c r="L225" s="69"/>
      <c r="M225" s="69"/>
      <c r="N225" s="69"/>
      <c r="O225" s="69"/>
      <c r="P225" s="69"/>
      <c r="Q225" s="69"/>
      <c r="R225" s="69"/>
      <c r="S225" s="69"/>
      <c r="T225" s="69"/>
      <c r="U225" s="69"/>
      <c r="V225" s="69"/>
      <c r="W225" s="69"/>
      <c r="X225" s="69"/>
      <c r="Y225" s="69"/>
      <c r="Z225" s="69"/>
      <c r="AA225" s="69"/>
      <c r="AB225" s="69"/>
      <c r="AC225" s="69"/>
      <c r="AD225" s="69"/>
      <c r="AE225" s="69"/>
      <c r="AF225" s="69"/>
      <c r="AG225" s="69"/>
      <c r="AH225" s="69"/>
      <c r="AI225" s="69"/>
      <c r="AJ225" s="69"/>
      <c r="AK225" s="69"/>
      <c r="AL225" s="69"/>
      <c r="AM225" s="69"/>
      <c r="AN225" s="69"/>
      <c r="AO225" s="69"/>
      <c r="AP225" s="69"/>
      <c r="AQ225" s="69"/>
      <c r="AR225" s="69"/>
      <c r="AS225" s="69"/>
      <c r="AT225" s="69"/>
      <c r="AU225" s="69"/>
      <c r="AV225" s="69"/>
      <c r="AW225" s="69"/>
      <c r="AX225" s="69"/>
      <c r="AY225" s="69"/>
      <c r="AZ225" s="69"/>
      <c r="BA225" s="69"/>
      <c r="BB225" s="69"/>
      <c r="BC225" s="69"/>
      <c r="BD225" s="69"/>
      <c r="BE225" s="69"/>
      <c r="BF225" s="69"/>
      <c r="BG225" s="69"/>
      <c r="BH225" s="69"/>
    </row>
    <row r="226" spans="1:60" x14ac:dyDescent="0.25">
      <c r="A226" s="69"/>
      <c r="J226" s="69"/>
      <c r="K226" s="69"/>
      <c r="L226" s="69"/>
      <c r="M226" s="69"/>
      <c r="N226" s="69"/>
      <c r="O226" s="69"/>
      <c r="P226" s="69"/>
      <c r="Q226" s="69"/>
      <c r="R226" s="69"/>
      <c r="S226" s="69"/>
      <c r="T226" s="69"/>
      <c r="U226" s="69"/>
      <c r="V226" s="69"/>
      <c r="W226" s="69"/>
      <c r="X226" s="69"/>
      <c r="Y226" s="69"/>
      <c r="Z226" s="69"/>
      <c r="AA226" s="69"/>
      <c r="AB226" s="69"/>
      <c r="AC226" s="69"/>
      <c r="AD226" s="69"/>
      <c r="AE226" s="69"/>
      <c r="AF226" s="69"/>
      <c r="AG226" s="69"/>
      <c r="AH226" s="69"/>
      <c r="AI226" s="69"/>
      <c r="AJ226" s="69"/>
      <c r="AK226" s="69"/>
      <c r="AL226" s="69"/>
      <c r="AM226" s="69"/>
      <c r="AN226" s="69"/>
      <c r="AO226" s="69"/>
      <c r="AP226" s="69"/>
      <c r="AQ226" s="69"/>
      <c r="AR226" s="69"/>
      <c r="AS226" s="69"/>
      <c r="AT226" s="69"/>
      <c r="AU226" s="69"/>
      <c r="AV226" s="69"/>
      <c r="AW226" s="69"/>
      <c r="AX226" s="69"/>
      <c r="AY226" s="69"/>
      <c r="AZ226" s="69"/>
      <c r="BA226" s="69"/>
      <c r="BB226" s="69"/>
      <c r="BC226" s="69"/>
      <c r="BD226" s="69"/>
      <c r="BE226" s="69"/>
      <c r="BF226" s="69"/>
      <c r="BG226" s="69"/>
      <c r="BH226" s="69"/>
    </row>
    <row r="227" spans="1:60" x14ac:dyDescent="0.25">
      <c r="A227" s="69"/>
      <c r="J227" s="69"/>
      <c r="K227" s="69"/>
      <c r="L227" s="69"/>
      <c r="M227" s="69"/>
      <c r="N227" s="69"/>
      <c r="O227" s="69"/>
      <c r="P227" s="69"/>
      <c r="Q227" s="69"/>
      <c r="R227" s="69"/>
      <c r="S227" s="69"/>
      <c r="T227" s="69"/>
      <c r="U227" s="69"/>
      <c r="V227" s="69"/>
      <c r="W227" s="69"/>
      <c r="X227" s="69"/>
      <c r="Y227" s="69"/>
      <c r="Z227" s="69"/>
      <c r="AA227" s="69"/>
      <c r="AB227" s="69"/>
      <c r="AC227" s="69"/>
      <c r="AD227" s="69"/>
      <c r="AE227" s="69"/>
      <c r="AF227" s="69"/>
      <c r="AG227" s="69"/>
      <c r="AH227" s="69"/>
      <c r="AI227" s="69"/>
      <c r="AJ227" s="69"/>
      <c r="AK227" s="69"/>
      <c r="AL227" s="69"/>
      <c r="AM227" s="69"/>
      <c r="AN227" s="69"/>
      <c r="AO227" s="69"/>
      <c r="AP227" s="69"/>
      <c r="AQ227" s="69"/>
      <c r="AR227" s="69"/>
      <c r="AS227" s="69"/>
      <c r="AT227" s="69"/>
      <c r="AU227" s="69"/>
      <c r="AV227" s="69"/>
      <c r="AW227" s="69"/>
      <c r="AX227" s="69"/>
      <c r="AY227" s="69"/>
      <c r="AZ227" s="69"/>
      <c r="BA227" s="69"/>
      <c r="BB227" s="69"/>
      <c r="BC227" s="69"/>
      <c r="BD227" s="69"/>
      <c r="BE227" s="69"/>
      <c r="BF227" s="69"/>
      <c r="BG227" s="69"/>
      <c r="BH227" s="69"/>
    </row>
    <row r="228" spans="1:60" x14ac:dyDescent="0.25">
      <c r="A228" s="69"/>
      <c r="J228" s="69"/>
      <c r="K228" s="69"/>
      <c r="L228" s="69"/>
      <c r="M228" s="69"/>
      <c r="N228" s="69"/>
      <c r="O228" s="69"/>
      <c r="P228" s="69"/>
      <c r="Q228" s="69"/>
      <c r="R228" s="69"/>
      <c r="S228" s="69"/>
      <c r="T228" s="69"/>
      <c r="U228" s="69"/>
      <c r="V228" s="69"/>
      <c r="W228" s="69"/>
      <c r="X228" s="69"/>
      <c r="Y228" s="69"/>
      <c r="Z228" s="69"/>
      <c r="AA228" s="69"/>
      <c r="AB228" s="69"/>
      <c r="AC228" s="69"/>
      <c r="AD228" s="69"/>
      <c r="AE228" s="69"/>
      <c r="AF228" s="69"/>
      <c r="AG228" s="69"/>
      <c r="AH228" s="69"/>
      <c r="AI228" s="69"/>
      <c r="AJ228" s="69"/>
      <c r="AK228" s="69"/>
      <c r="AL228" s="69"/>
      <c r="AM228" s="69"/>
      <c r="AN228" s="69"/>
      <c r="AO228" s="69"/>
      <c r="AP228" s="69"/>
      <c r="AQ228" s="69"/>
      <c r="AR228" s="69"/>
      <c r="AS228" s="69"/>
      <c r="AT228" s="69"/>
      <c r="AU228" s="69"/>
      <c r="AV228" s="69"/>
      <c r="AW228" s="69"/>
      <c r="AX228" s="69"/>
      <c r="AY228" s="69"/>
      <c r="AZ228" s="69"/>
      <c r="BA228" s="69"/>
      <c r="BB228" s="69"/>
      <c r="BC228" s="69"/>
      <c r="BD228" s="69"/>
      <c r="BE228" s="69"/>
      <c r="BF228" s="69"/>
      <c r="BG228" s="69"/>
      <c r="BH228" s="69"/>
    </row>
    <row r="229" spans="1:60" x14ac:dyDescent="0.25">
      <c r="A229" s="69"/>
      <c r="J229" s="69"/>
      <c r="K229" s="69"/>
      <c r="L229" s="69"/>
      <c r="M229" s="69"/>
      <c r="N229" s="69"/>
      <c r="O229" s="69"/>
      <c r="P229" s="69"/>
      <c r="Q229" s="69"/>
      <c r="R229" s="69"/>
      <c r="S229" s="69"/>
      <c r="T229" s="69"/>
      <c r="U229" s="69"/>
      <c r="V229" s="69"/>
      <c r="W229" s="69"/>
      <c r="X229" s="69"/>
      <c r="Y229" s="69"/>
      <c r="Z229" s="69"/>
      <c r="AA229" s="69"/>
      <c r="AB229" s="69"/>
      <c r="AC229" s="69"/>
      <c r="AD229" s="69"/>
      <c r="AE229" s="69"/>
      <c r="AF229" s="69"/>
      <c r="AG229" s="69"/>
      <c r="AH229" s="69"/>
      <c r="AI229" s="69"/>
      <c r="AJ229" s="69"/>
      <c r="AK229" s="69"/>
      <c r="AL229" s="69"/>
      <c r="AM229" s="69"/>
      <c r="AN229" s="69"/>
      <c r="AO229" s="69"/>
      <c r="AP229" s="69"/>
      <c r="AQ229" s="69"/>
      <c r="AR229" s="69"/>
      <c r="AS229" s="69"/>
      <c r="AT229" s="69"/>
      <c r="AU229" s="69"/>
      <c r="AV229" s="69"/>
      <c r="AW229" s="69"/>
      <c r="AX229" s="69"/>
      <c r="AY229" s="69"/>
      <c r="AZ229" s="69"/>
      <c r="BA229" s="69"/>
      <c r="BB229" s="69"/>
      <c r="BC229" s="69"/>
      <c r="BD229" s="69"/>
      <c r="BE229" s="69"/>
      <c r="BF229" s="69"/>
      <c r="BG229" s="69"/>
      <c r="BH229" s="69"/>
    </row>
    <row r="230" spans="1:60" x14ac:dyDescent="0.25">
      <c r="A230" s="69"/>
      <c r="J230" s="69"/>
      <c r="K230" s="69"/>
      <c r="L230" s="69"/>
      <c r="M230" s="69"/>
      <c r="N230" s="69"/>
      <c r="O230" s="69"/>
      <c r="P230" s="69"/>
      <c r="Q230" s="69"/>
      <c r="R230" s="69"/>
      <c r="S230" s="69"/>
      <c r="T230" s="69"/>
      <c r="U230" s="69"/>
      <c r="V230" s="69"/>
      <c r="W230" s="69"/>
      <c r="X230" s="69"/>
      <c r="Y230" s="69"/>
      <c r="Z230" s="69"/>
      <c r="AA230" s="69"/>
      <c r="AB230" s="69"/>
      <c r="AC230" s="69"/>
      <c r="AD230" s="69"/>
      <c r="AE230" s="69"/>
      <c r="AF230" s="69"/>
      <c r="AG230" s="69"/>
      <c r="AH230" s="69"/>
      <c r="AI230" s="69"/>
      <c r="AJ230" s="69"/>
      <c r="AK230" s="69"/>
      <c r="AL230" s="69"/>
      <c r="AM230" s="69"/>
      <c r="AN230" s="69"/>
      <c r="AO230" s="69"/>
      <c r="AP230" s="69"/>
      <c r="AQ230" s="69"/>
      <c r="AR230" s="69"/>
      <c r="AS230" s="69"/>
      <c r="AT230" s="69"/>
      <c r="AU230" s="69"/>
      <c r="AV230" s="69"/>
      <c r="AW230" s="69"/>
      <c r="AX230" s="69"/>
      <c r="AY230" s="69"/>
      <c r="AZ230" s="69"/>
      <c r="BA230" s="69"/>
      <c r="BB230" s="69"/>
      <c r="BC230" s="69"/>
      <c r="BD230" s="69"/>
      <c r="BE230" s="69"/>
      <c r="BF230" s="69"/>
      <c r="BG230" s="69"/>
      <c r="BH230" s="69"/>
    </row>
    <row r="231" spans="1:60" x14ac:dyDescent="0.25">
      <c r="A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row>
    <row r="232" spans="1:60" x14ac:dyDescent="0.25">
      <c r="A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row>
    <row r="233" spans="1:60" x14ac:dyDescent="0.25">
      <c r="A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row>
    <row r="234" spans="1:60" x14ac:dyDescent="0.25">
      <c r="A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row>
    <row r="235" spans="1:60" x14ac:dyDescent="0.25">
      <c r="A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row>
    <row r="236" spans="1:60" x14ac:dyDescent="0.25">
      <c r="A236" s="69"/>
      <c r="J236" s="69"/>
      <c r="K236" s="69"/>
      <c r="L236" s="69"/>
      <c r="M236" s="69"/>
      <c r="N236" s="69"/>
      <c r="O236" s="69"/>
      <c r="P236" s="69"/>
      <c r="Q236" s="69"/>
      <c r="R236" s="69"/>
      <c r="S236" s="69"/>
      <c r="T236" s="69"/>
      <c r="U236" s="69"/>
      <c r="V236" s="69"/>
      <c r="W236" s="69"/>
      <c r="X236" s="69"/>
      <c r="Y236" s="69"/>
      <c r="Z236" s="69"/>
      <c r="AA236" s="69"/>
      <c r="AB236" s="69"/>
      <c r="AC236" s="69"/>
      <c r="AD236" s="69"/>
      <c r="AE236" s="69"/>
      <c r="AF236" s="69"/>
      <c r="AG236" s="69"/>
      <c r="AH236" s="69"/>
      <c r="AI236" s="69"/>
      <c r="AJ236" s="69"/>
      <c r="AK236" s="69"/>
      <c r="AL236" s="69"/>
      <c r="AM236" s="69"/>
      <c r="AN236" s="69"/>
      <c r="AO236" s="69"/>
      <c r="AP236" s="69"/>
      <c r="AQ236" s="69"/>
      <c r="AR236" s="69"/>
      <c r="AS236" s="69"/>
      <c r="AT236" s="69"/>
      <c r="AU236" s="69"/>
      <c r="AV236" s="69"/>
      <c r="AW236" s="69"/>
      <c r="AX236" s="69"/>
      <c r="AY236" s="69"/>
      <c r="AZ236" s="69"/>
      <c r="BA236" s="69"/>
      <c r="BB236" s="69"/>
      <c r="BC236" s="69"/>
      <c r="BD236" s="69"/>
      <c r="BE236" s="69"/>
      <c r="BF236" s="69"/>
      <c r="BG236" s="69"/>
      <c r="BH236" s="69"/>
    </row>
    <row r="237" spans="1:60" x14ac:dyDescent="0.25">
      <c r="A237" s="69"/>
      <c r="J237" s="69"/>
      <c r="K237" s="69"/>
      <c r="L237" s="69"/>
      <c r="M237" s="69"/>
      <c r="N237" s="69"/>
      <c r="O237" s="69"/>
      <c r="P237" s="69"/>
      <c r="Q237" s="69"/>
      <c r="R237" s="69"/>
      <c r="S237" s="69"/>
      <c r="T237" s="69"/>
      <c r="U237" s="69"/>
      <c r="V237" s="69"/>
      <c r="W237" s="69"/>
      <c r="X237" s="69"/>
      <c r="Y237" s="69"/>
      <c r="Z237" s="69"/>
      <c r="AA237" s="69"/>
      <c r="AB237" s="69"/>
      <c r="AC237" s="69"/>
      <c r="AD237" s="69"/>
      <c r="AE237" s="69"/>
      <c r="AF237" s="69"/>
      <c r="AG237" s="69"/>
      <c r="AH237" s="69"/>
      <c r="AI237" s="69"/>
      <c r="AJ237" s="69"/>
      <c r="AK237" s="69"/>
      <c r="AL237" s="69"/>
      <c r="AM237" s="69"/>
      <c r="AN237" s="69"/>
      <c r="AO237" s="69"/>
      <c r="AP237" s="69"/>
      <c r="AQ237" s="69"/>
      <c r="AR237" s="69"/>
      <c r="AS237" s="69"/>
      <c r="AT237" s="69"/>
      <c r="AU237" s="69"/>
      <c r="AV237" s="69"/>
      <c r="AW237" s="69"/>
      <c r="AX237" s="69"/>
      <c r="AY237" s="69"/>
      <c r="AZ237" s="69"/>
      <c r="BA237" s="69"/>
      <c r="BB237" s="69"/>
      <c r="BC237" s="69"/>
      <c r="BD237" s="69"/>
      <c r="BE237" s="69"/>
      <c r="BF237" s="69"/>
      <c r="BG237" s="69"/>
      <c r="BH237" s="69"/>
    </row>
    <row r="238" spans="1:60" x14ac:dyDescent="0.25">
      <c r="A238" s="69"/>
      <c r="J238" s="69"/>
      <c r="K238" s="69"/>
      <c r="L238" s="69"/>
      <c r="M238" s="69"/>
      <c r="N238" s="69"/>
      <c r="O238" s="69"/>
      <c r="P238" s="69"/>
      <c r="Q238" s="69"/>
      <c r="R238" s="69"/>
      <c r="S238" s="69"/>
      <c r="T238" s="69"/>
      <c r="U238" s="69"/>
      <c r="V238" s="69"/>
      <c r="W238" s="69"/>
      <c r="X238" s="69"/>
      <c r="Y238" s="69"/>
      <c r="Z238" s="69"/>
      <c r="AA238" s="69"/>
      <c r="AB238" s="69"/>
      <c r="AC238" s="69"/>
      <c r="AD238" s="69"/>
      <c r="AE238" s="69"/>
      <c r="AF238" s="69"/>
      <c r="AG238" s="69"/>
      <c r="AH238" s="69"/>
      <c r="AI238" s="69"/>
      <c r="AJ238" s="69"/>
      <c r="AK238" s="69"/>
      <c r="AL238" s="69"/>
      <c r="AM238" s="69"/>
      <c r="AN238" s="69"/>
      <c r="AO238" s="69"/>
      <c r="AP238" s="69"/>
      <c r="AQ238" s="69"/>
      <c r="AR238" s="69"/>
      <c r="AS238" s="69"/>
      <c r="AT238" s="69"/>
      <c r="AU238" s="69"/>
      <c r="AV238" s="69"/>
      <c r="AW238" s="69"/>
      <c r="AX238" s="69"/>
      <c r="AY238" s="69"/>
      <c r="AZ238" s="69"/>
      <c r="BA238" s="69"/>
      <c r="BB238" s="69"/>
      <c r="BC238" s="69"/>
      <c r="BD238" s="69"/>
      <c r="BE238" s="69"/>
      <c r="BF238" s="69"/>
      <c r="BG238" s="69"/>
      <c r="BH238" s="69"/>
    </row>
    <row r="239" spans="1:60" x14ac:dyDescent="0.25">
      <c r="A239" s="69"/>
      <c r="J239" s="69"/>
      <c r="K239" s="69"/>
      <c r="L239" s="69"/>
      <c r="M239" s="69"/>
      <c r="N239" s="69"/>
      <c r="O239" s="69"/>
      <c r="P239" s="69"/>
      <c r="Q239" s="69"/>
      <c r="R239" s="69"/>
      <c r="S239" s="69"/>
      <c r="T239" s="69"/>
      <c r="U239" s="69"/>
      <c r="V239" s="69"/>
      <c r="W239" s="69"/>
      <c r="X239" s="69"/>
      <c r="Y239" s="69"/>
      <c r="Z239" s="69"/>
      <c r="AA239" s="69"/>
      <c r="AB239" s="69"/>
      <c r="AC239" s="69"/>
      <c r="AD239" s="69"/>
      <c r="AE239" s="69"/>
      <c r="AF239" s="69"/>
      <c r="AG239" s="69"/>
      <c r="AH239" s="69"/>
      <c r="AI239" s="69"/>
      <c r="AJ239" s="69"/>
      <c r="AK239" s="69"/>
      <c r="AL239" s="69"/>
      <c r="AM239" s="69"/>
      <c r="AN239" s="69"/>
      <c r="AO239" s="69"/>
      <c r="AP239" s="69"/>
      <c r="AQ239" s="69"/>
      <c r="AR239" s="69"/>
      <c r="AS239" s="69"/>
      <c r="AT239" s="69"/>
      <c r="AU239" s="69"/>
      <c r="AV239" s="69"/>
      <c r="AW239" s="69"/>
      <c r="AX239" s="69"/>
      <c r="AY239" s="69"/>
      <c r="AZ239" s="69"/>
      <c r="BA239" s="69"/>
      <c r="BB239" s="69"/>
      <c r="BC239" s="69"/>
      <c r="BD239" s="69"/>
      <c r="BE239" s="69"/>
      <c r="BF239" s="69"/>
      <c r="BG239" s="69"/>
      <c r="BH239" s="69"/>
    </row>
    <row r="240" spans="1:60" x14ac:dyDescent="0.25">
      <c r="A240" s="69"/>
      <c r="J240" s="69"/>
      <c r="K240" s="69"/>
      <c r="L240" s="69"/>
      <c r="M240" s="69"/>
      <c r="N240" s="69"/>
      <c r="O240" s="69"/>
      <c r="P240" s="69"/>
      <c r="Q240" s="69"/>
      <c r="R240" s="69"/>
      <c r="S240" s="69"/>
      <c r="T240" s="69"/>
      <c r="U240" s="69"/>
      <c r="V240" s="69"/>
      <c r="W240" s="69"/>
      <c r="X240" s="69"/>
      <c r="Y240" s="69"/>
      <c r="Z240" s="69"/>
      <c r="AA240" s="69"/>
      <c r="AB240" s="69"/>
      <c r="AC240" s="69"/>
      <c r="AD240" s="69"/>
      <c r="AE240" s="69"/>
      <c r="AF240" s="69"/>
      <c r="AG240" s="69"/>
      <c r="AH240" s="69"/>
      <c r="AI240" s="69"/>
      <c r="AJ240" s="69"/>
      <c r="AK240" s="69"/>
      <c r="AL240" s="69"/>
      <c r="AM240" s="69"/>
      <c r="AN240" s="69"/>
      <c r="AO240" s="69"/>
      <c r="AP240" s="69"/>
      <c r="AQ240" s="69"/>
      <c r="AR240" s="69"/>
      <c r="AS240" s="69"/>
      <c r="AT240" s="69"/>
      <c r="AU240" s="69"/>
      <c r="AV240" s="69"/>
      <c r="AW240" s="69"/>
      <c r="AX240" s="69"/>
      <c r="AY240" s="69"/>
      <c r="AZ240" s="69"/>
      <c r="BA240" s="69"/>
      <c r="BB240" s="69"/>
      <c r="BC240" s="69"/>
      <c r="BD240" s="69"/>
      <c r="BE240" s="69"/>
      <c r="BF240" s="69"/>
      <c r="BG240" s="69"/>
      <c r="BH240" s="69"/>
    </row>
    <row r="241" spans="1:60" x14ac:dyDescent="0.25">
      <c r="A241" s="69"/>
      <c r="J241" s="69"/>
      <c r="K241" s="69"/>
      <c r="L241" s="69"/>
      <c r="M241" s="69"/>
      <c r="N241" s="69"/>
      <c r="O241" s="69"/>
      <c r="P241" s="69"/>
      <c r="Q241" s="69"/>
      <c r="R241" s="69"/>
      <c r="S241" s="69"/>
      <c r="T241" s="69"/>
      <c r="U241" s="69"/>
      <c r="V241" s="69"/>
      <c r="W241" s="69"/>
      <c r="X241" s="69"/>
      <c r="Y241" s="69"/>
      <c r="Z241" s="69"/>
      <c r="AA241" s="69"/>
      <c r="AB241" s="69"/>
      <c r="AC241" s="69"/>
      <c r="AD241" s="69"/>
      <c r="AE241" s="69"/>
      <c r="AF241" s="69"/>
      <c r="AG241" s="69"/>
      <c r="AH241" s="69"/>
      <c r="AI241" s="69"/>
      <c r="AJ241" s="69"/>
      <c r="AK241" s="69"/>
      <c r="AL241" s="69"/>
      <c r="AM241" s="69"/>
      <c r="AN241" s="69"/>
      <c r="AO241" s="69"/>
      <c r="AP241" s="69"/>
      <c r="AQ241" s="69"/>
      <c r="AR241" s="69"/>
      <c r="AS241" s="69"/>
      <c r="AT241" s="69"/>
      <c r="AU241" s="69"/>
      <c r="AV241" s="69"/>
      <c r="AW241" s="69"/>
      <c r="AX241" s="69"/>
      <c r="AY241" s="69"/>
      <c r="AZ241" s="69"/>
      <c r="BA241" s="69"/>
      <c r="BB241" s="69"/>
      <c r="BC241" s="69"/>
      <c r="BD241" s="69"/>
      <c r="BE241" s="69"/>
      <c r="BF241" s="69"/>
      <c r="BG241" s="69"/>
      <c r="BH241" s="69"/>
    </row>
    <row r="242" spans="1:60" x14ac:dyDescent="0.25">
      <c r="A242" s="69"/>
      <c r="J242" s="69"/>
      <c r="K242" s="69"/>
      <c r="L242" s="69"/>
      <c r="M242" s="69"/>
      <c r="N242" s="69"/>
      <c r="O242" s="69"/>
      <c r="P242" s="69"/>
      <c r="Q242" s="69"/>
      <c r="R242" s="69"/>
      <c r="S242" s="69"/>
      <c r="T242" s="69"/>
      <c r="U242" s="69"/>
      <c r="V242" s="69"/>
      <c r="W242" s="69"/>
      <c r="X242" s="69"/>
      <c r="Y242" s="69"/>
      <c r="Z242" s="69"/>
      <c r="AA242" s="69"/>
      <c r="AB242" s="69"/>
      <c r="AC242" s="69"/>
      <c r="AD242" s="69"/>
      <c r="AE242" s="69"/>
      <c r="AF242" s="69"/>
      <c r="AG242" s="69"/>
      <c r="AH242" s="69"/>
      <c r="AI242" s="69"/>
      <c r="AJ242" s="69"/>
      <c r="AK242" s="69"/>
      <c r="AL242" s="69"/>
      <c r="AM242" s="69"/>
      <c r="AN242" s="69"/>
      <c r="AO242" s="69"/>
      <c r="AP242" s="69"/>
      <c r="AQ242" s="69"/>
      <c r="AR242" s="69"/>
      <c r="AS242" s="69"/>
      <c r="AT242" s="69"/>
      <c r="AU242" s="69"/>
      <c r="AV242" s="69"/>
      <c r="AW242" s="69"/>
      <c r="AX242" s="69"/>
      <c r="AY242" s="69"/>
      <c r="AZ242" s="69"/>
      <c r="BA242" s="69"/>
      <c r="BB242" s="69"/>
      <c r="BC242" s="69"/>
      <c r="BD242" s="69"/>
      <c r="BE242" s="69"/>
      <c r="BF242" s="69"/>
      <c r="BG242" s="69"/>
      <c r="BH242" s="69"/>
    </row>
    <row r="243" spans="1:60" x14ac:dyDescent="0.25">
      <c r="A243" s="69"/>
      <c r="J243" s="69"/>
      <c r="K243" s="69"/>
      <c r="L243" s="69"/>
      <c r="M243" s="69"/>
      <c r="N243" s="69"/>
      <c r="O243" s="69"/>
      <c r="P243" s="69"/>
      <c r="Q243" s="69"/>
      <c r="R243" s="69"/>
      <c r="S243" s="69"/>
      <c r="T243" s="69"/>
      <c r="U243" s="69"/>
      <c r="V243" s="69"/>
      <c r="W243" s="69"/>
      <c r="X243" s="69"/>
      <c r="Y243" s="69"/>
      <c r="Z243" s="69"/>
      <c r="AA243" s="69"/>
      <c r="AB243" s="69"/>
      <c r="AC243" s="69"/>
      <c r="AD243" s="69"/>
      <c r="AE243" s="69"/>
      <c r="AF243" s="69"/>
      <c r="AG243" s="69"/>
      <c r="AH243" s="69"/>
      <c r="AI243" s="69"/>
      <c r="AJ243" s="69"/>
      <c r="AK243" s="69"/>
      <c r="AL243" s="69"/>
      <c r="AM243" s="69"/>
      <c r="AN243" s="69"/>
      <c r="AO243" s="69"/>
      <c r="AP243" s="69"/>
      <c r="AQ243" s="69"/>
      <c r="AR243" s="69"/>
      <c r="AS243" s="69"/>
      <c r="AT243" s="69"/>
      <c r="AU243" s="69"/>
      <c r="AV243" s="69"/>
      <c r="AW243" s="69"/>
      <c r="AX243" s="69"/>
      <c r="AY243" s="69"/>
      <c r="AZ243" s="69"/>
      <c r="BA243" s="69"/>
      <c r="BB243" s="69"/>
      <c r="BC243" s="69"/>
      <c r="BD243" s="69"/>
      <c r="BE243" s="69"/>
      <c r="BF243" s="69"/>
      <c r="BG243" s="69"/>
      <c r="BH243" s="69"/>
    </row>
    <row r="244" spans="1:60" x14ac:dyDescent="0.25">
      <c r="A244" s="69"/>
      <c r="J244" s="69"/>
      <c r="K244" s="69"/>
      <c r="L244" s="69"/>
      <c r="M244" s="69"/>
      <c r="N244" s="69"/>
      <c r="O244" s="69"/>
      <c r="P244" s="69"/>
      <c r="Q244" s="69"/>
      <c r="R244" s="69"/>
      <c r="S244" s="69"/>
      <c r="T244" s="69"/>
      <c r="U244" s="69"/>
      <c r="V244" s="69"/>
      <c r="W244" s="69"/>
      <c r="X244" s="69"/>
      <c r="Y244" s="69"/>
      <c r="Z244" s="69"/>
      <c r="AA244" s="69"/>
      <c r="AB244" s="69"/>
      <c r="AC244" s="69"/>
      <c r="AD244" s="69"/>
      <c r="AE244" s="69"/>
      <c r="AF244" s="69"/>
      <c r="AG244" s="69"/>
      <c r="AH244" s="69"/>
      <c r="AI244" s="69"/>
      <c r="AJ244" s="69"/>
      <c r="AK244" s="69"/>
      <c r="AL244" s="69"/>
      <c r="AM244" s="69"/>
      <c r="AN244" s="69"/>
      <c r="AO244" s="69"/>
      <c r="AP244" s="69"/>
      <c r="AQ244" s="69"/>
      <c r="AR244" s="69"/>
      <c r="AS244" s="69"/>
      <c r="AT244" s="69"/>
      <c r="AU244" s="69"/>
      <c r="AV244" s="69"/>
      <c r="AW244" s="69"/>
      <c r="AX244" s="69"/>
      <c r="AY244" s="69"/>
      <c r="AZ244" s="69"/>
      <c r="BA244" s="69"/>
      <c r="BB244" s="69"/>
      <c r="BC244" s="69"/>
      <c r="BD244" s="69"/>
      <c r="BE244" s="69"/>
      <c r="BF244" s="69"/>
      <c r="BG244" s="69"/>
      <c r="BH244" s="69"/>
    </row>
    <row r="245" spans="1:60" x14ac:dyDescent="0.25">
      <c r="A245" s="69"/>
    </row>
    <row r="246" spans="1:60" x14ac:dyDescent="0.25">
      <c r="A246" s="69"/>
    </row>
    <row r="247" spans="1:60" x14ac:dyDescent="0.25">
      <c r="A247" s="69"/>
    </row>
    <row r="248" spans="1:60" x14ac:dyDescent="0.25">
      <c r="A248" s="69"/>
    </row>
  </sheetData>
  <mergeCells count="17">
    <mergeCell ref="J56:O61"/>
    <mergeCell ref="P56:U61"/>
    <mergeCell ref="V56:AA61"/>
    <mergeCell ref="AB56:AG61"/>
    <mergeCell ref="AH56:AM61"/>
    <mergeCell ref="AO16:AT25"/>
    <mergeCell ref="E16:I25"/>
    <mergeCell ref="AO6:AT15"/>
    <mergeCell ref="B2:I4"/>
    <mergeCell ref="J2:AM4"/>
    <mergeCell ref="B6:D55"/>
    <mergeCell ref="E6:I15"/>
    <mergeCell ref="E46:I55"/>
    <mergeCell ref="AO36:AT45"/>
    <mergeCell ref="E36:I45"/>
    <mergeCell ref="AO26:AT35"/>
    <mergeCell ref="E26:I3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K55"/>
  <sheetViews>
    <sheetView zoomScale="90" zoomScaleNormal="90" workbookViewId="0">
      <selection activeCell="D6" sqref="D6"/>
    </sheetView>
  </sheetViews>
  <sheetFormatPr baseColWidth="10" defaultRowHeight="15" x14ac:dyDescent="0.25"/>
  <cols>
    <col min="2" max="2" width="24.140625" customWidth="1" collapsed="1"/>
    <col min="3" max="3" width="70.140625" customWidth="1" collapsed="1"/>
    <col min="4" max="4" width="29.85546875" customWidth="1" collapsed="1"/>
  </cols>
  <sheetData>
    <row r="1" spans="1:37" ht="23.25" x14ac:dyDescent="0.25">
      <c r="A1" s="69"/>
      <c r="B1" s="402" t="s">
        <v>55</v>
      </c>
      <c r="C1" s="402"/>
      <c r="D1" s="402"/>
      <c r="E1" s="69"/>
      <c r="F1" s="69"/>
      <c r="G1" s="69"/>
      <c r="H1" s="69"/>
      <c r="I1" s="69"/>
      <c r="J1" s="69"/>
      <c r="K1" s="69"/>
      <c r="L1" s="69"/>
      <c r="M1" s="69"/>
      <c r="N1" s="69"/>
      <c r="O1" s="69"/>
      <c r="P1" s="69"/>
      <c r="Q1" s="69"/>
      <c r="R1" s="69"/>
      <c r="S1" s="69"/>
      <c r="T1" s="69"/>
      <c r="U1" s="69"/>
      <c r="V1" s="69"/>
      <c r="W1" s="69"/>
      <c r="X1" s="69"/>
      <c r="Y1" s="69"/>
      <c r="Z1" s="69"/>
      <c r="AA1" s="69"/>
      <c r="AB1" s="69"/>
      <c r="AC1" s="69"/>
      <c r="AD1" s="69"/>
      <c r="AE1" s="69"/>
    </row>
    <row r="2" spans="1:37" x14ac:dyDescent="0.25">
      <c r="A2" s="69"/>
      <c r="B2" s="69"/>
      <c r="C2" s="69"/>
      <c r="D2" s="69"/>
      <c r="E2" s="69"/>
      <c r="F2" s="69"/>
      <c r="G2" s="69"/>
      <c r="H2" s="69"/>
      <c r="I2" s="69"/>
      <c r="J2" s="69"/>
      <c r="K2" s="69"/>
      <c r="L2" s="69"/>
      <c r="M2" s="69"/>
      <c r="N2" s="69"/>
      <c r="O2" s="69"/>
      <c r="P2" s="69"/>
      <c r="Q2" s="69"/>
      <c r="R2" s="69"/>
      <c r="S2" s="69"/>
      <c r="T2" s="69"/>
      <c r="U2" s="69"/>
      <c r="V2" s="69"/>
      <c r="W2" s="69"/>
      <c r="X2" s="69"/>
      <c r="Y2" s="69"/>
      <c r="Z2" s="69"/>
      <c r="AA2" s="69"/>
      <c r="AB2" s="69"/>
      <c r="AC2" s="69"/>
      <c r="AD2" s="69"/>
      <c r="AE2" s="69"/>
    </row>
    <row r="3" spans="1:37" ht="25.5" x14ac:dyDescent="0.25">
      <c r="A3" s="69"/>
      <c r="B3" s="3"/>
      <c r="C3" s="4" t="s">
        <v>52</v>
      </c>
      <c r="D3" s="4" t="s">
        <v>4</v>
      </c>
      <c r="E3" s="69"/>
      <c r="F3" s="69"/>
      <c r="G3" s="69"/>
      <c r="H3" s="69"/>
      <c r="I3" s="69"/>
      <c r="J3" s="69"/>
      <c r="K3" s="69"/>
      <c r="L3" s="69"/>
      <c r="M3" s="69"/>
      <c r="N3" s="69"/>
      <c r="O3" s="69"/>
      <c r="P3" s="69"/>
      <c r="Q3" s="69"/>
      <c r="R3" s="69"/>
      <c r="S3" s="69"/>
      <c r="T3" s="69"/>
      <c r="U3" s="69"/>
      <c r="V3" s="69"/>
      <c r="W3" s="69"/>
      <c r="X3" s="69"/>
      <c r="Y3" s="69"/>
      <c r="Z3" s="69"/>
      <c r="AA3" s="69"/>
      <c r="AB3" s="69"/>
      <c r="AC3" s="69"/>
      <c r="AD3" s="69"/>
      <c r="AE3" s="69"/>
    </row>
    <row r="4" spans="1:37" ht="51" x14ac:dyDescent="0.25">
      <c r="A4" s="69"/>
      <c r="B4" s="5" t="s">
        <v>51</v>
      </c>
      <c r="C4" s="6" t="s">
        <v>102</v>
      </c>
      <c r="D4" s="7">
        <v>0.2</v>
      </c>
      <c r="E4" s="69"/>
      <c r="F4" s="69"/>
      <c r="G4" s="69"/>
      <c r="H4" s="69"/>
      <c r="I4" s="69"/>
      <c r="J4" s="69"/>
      <c r="K4" s="69"/>
      <c r="L4" s="69"/>
      <c r="M4" s="69"/>
      <c r="N4" s="69"/>
      <c r="O4" s="69"/>
      <c r="P4" s="69"/>
      <c r="Q4" s="69"/>
      <c r="R4" s="69"/>
      <c r="S4" s="69"/>
      <c r="T4" s="69"/>
      <c r="U4" s="69"/>
      <c r="V4" s="69"/>
      <c r="W4" s="69"/>
      <c r="X4" s="69"/>
      <c r="Y4" s="69"/>
      <c r="Z4" s="69"/>
      <c r="AA4" s="69"/>
      <c r="AB4" s="69"/>
      <c r="AC4" s="69"/>
      <c r="AD4" s="69"/>
      <c r="AE4" s="69"/>
    </row>
    <row r="5" spans="1:37" ht="51" x14ac:dyDescent="0.25">
      <c r="A5" s="69"/>
      <c r="B5" s="8" t="s">
        <v>53</v>
      </c>
      <c r="C5" s="9" t="s">
        <v>103</v>
      </c>
      <c r="D5" s="10">
        <v>0.4</v>
      </c>
      <c r="E5" s="69"/>
      <c r="F5" s="69"/>
      <c r="G5" s="69"/>
      <c r="H5" s="69"/>
      <c r="I5" s="69"/>
      <c r="J5" s="69"/>
      <c r="K5" s="69"/>
      <c r="L5" s="69"/>
      <c r="M5" s="69"/>
      <c r="N5" s="69"/>
      <c r="O5" s="69"/>
      <c r="P5" s="69"/>
      <c r="Q5" s="69"/>
      <c r="R5" s="69"/>
      <c r="S5" s="69"/>
      <c r="T5" s="69"/>
      <c r="U5" s="69"/>
      <c r="V5" s="69"/>
      <c r="W5" s="69"/>
      <c r="X5" s="69"/>
      <c r="Y5" s="69"/>
      <c r="Z5" s="69"/>
      <c r="AA5" s="69"/>
      <c r="AB5" s="69"/>
      <c r="AC5" s="69"/>
      <c r="AD5" s="69"/>
      <c r="AE5" s="69"/>
    </row>
    <row r="6" spans="1:37" ht="51" x14ac:dyDescent="0.25">
      <c r="A6" s="69"/>
      <c r="B6" s="11" t="s">
        <v>107</v>
      </c>
      <c r="C6" s="9" t="s">
        <v>104</v>
      </c>
      <c r="D6" s="10">
        <v>0.6</v>
      </c>
      <c r="E6" s="69"/>
      <c r="F6" s="69"/>
      <c r="G6" s="69"/>
      <c r="H6" s="69"/>
      <c r="I6" s="69"/>
      <c r="J6" s="69"/>
      <c r="K6" s="69"/>
      <c r="L6" s="69"/>
      <c r="M6" s="69"/>
      <c r="N6" s="69"/>
      <c r="O6" s="69"/>
      <c r="P6" s="69"/>
      <c r="Q6" s="69"/>
      <c r="R6" s="69"/>
      <c r="S6" s="69"/>
      <c r="T6" s="69"/>
      <c r="U6" s="69"/>
      <c r="V6" s="69"/>
      <c r="W6" s="69"/>
      <c r="X6" s="69"/>
      <c r="Y6" s="69"/>
      <c r="Z6" s="69"/>
      <c r="AA6" s="69"/>
      <c r="AB6" s="69"/>
      <c r="AC6" s="69"/>
      <c r="AD6" s="69"/>
      <c r="AE6" s="69"/>
    </row>
    <row r="7" spans="1:37" ht="76.5" x14ac:dyDescent="0.25">
      <c r="A7" s="69"/>
      <c r="B7" s="12" t="s">
        <v>6</v>
      </c>
      <c r="C7" s="9" t="s">
        <v>105</v>
      </c>
      <c r="D7" s="10">
        <v>0.8</v>
      </c>
      <c r="E7" s="69"/>
      <c r="F7" s="69"/>
      <c r="G7" s="69"/>
      <c r="H7" s="69"/>
      <c r="I7" s="69"/>
      <c r="J7" s="69"/>
      <c r="K7" s="69"/>
      <c r="L7" s="69"/>
      <c r="M7" s="69"/>
      <c r="N7" s="69"/>
      <c r="O7" s="69"/>
      <c r="P7" s="69"/>
      <c r="Q7" s="69"/>
      <c r="R7" s="69"/>
      <c r="S7" s="69"/>
      <c r="T7" s="69"/>
      <c r="U7" s="69"/>
      <c r="V7" s="69"/>
      <c r="W7" s="69"/>
      <c r="X7" s="69"/>
      <c r="Y7" s="69"/>
      <c r="Z7" s="69"/>
      <c r="AA7" s="69"/>
      <c r="AB7" s="69"/>
      <c r="AC7" s="69"/>
      <c r="AD7" s="69"/>
      <c r="AE7" s="69"/>
    </row>
    <row r="8" spans="1:37" ht="51" x14ac:dyDescent="0.25">
      <c r="A8" s="69"/>
      <c r="B8" s="13" t="s">
        <v>54</v>
      </c>
      <c r="C8" s="9" t="s">
        <v>106</v>
      </c>
      <c r="D8" s="10">
        <v>1</v>
      </c>
      <c r="E8" s="69"/>
      <c r="F8" s="69"/>
      <c r="G8" s="69"/>
      <c r="H8" s="69"/>
      <c r="I8" s="69"/>
      <c r="J8" s="69"/>
      <c r="K8" s="69"/>
      <c r="L8" s="69"/>
      <c r="M8" s="69"/>
      <c r="N8" s="69"/>
      <c r="O8" s="69"/>
      <c r="P8" s="69"/>
      <c r="Q8" s="69"/>
      <c r="R8" s="69"/>
      <c r="S8" s="69"/>
      <c r="T8" s="69"/>
      <c r="U8" s="69"/>
      <c r="V8" s="69"/>
      <c r="W8" s="69"/>
      <c r="X8" s="69"/>
      <c r="Y8" s="69"/>
      <c r="Z8" s="69"/>
      <c r="AA8" s="69"/>
      <c r="AB8" s="69"/>
      <c r="AC8" s="69"/>
      <c r="AD8" s="69"/>
      <c r="AE8" s="69"/>
    </row>
    <row r="9" spans="1:37" x14ac:dyDescent="0.25">
      <c r="A9" s="69"/>
      <c r="B9" s="93"/>
      <c r="C9" s="93"/>
      <c r="D9" s="93"/>
      <c r="E9" s="69"/>
      <c r="F9" s="69"/>
      <c r="G9" s="69"/>
      <c r="H9" s="69"/>
      <c r="I9" s="69"/>
      <c r="J9" s="69"/>
      <c r="K9" s="69"/>
      <c r="L9" s="69"/>
      <c r="M9" s="69"/>
      <c r="N9" s="69"/>
      <c r="O9" s="69"/>
      <c r="P9" s="69"/>
      <c r="Q9" s="69"/>
      <c r="R9" s="69"/>
      <c r="S9" s="69"/>
      <c r="T9" s="69"/>
      <c r="U9" s="69"/>
      <c r="V9" s="69"/>
      <c r="W9" s="69"/>
      <c r="X9" s="69"/>
      <c r="Y9" s="69"/>
      <c r="Z9" s="69"/>
      <c r="AA9" s="69"/>
      <c r="AB9" s="69"/>
      <c r="AC9" s="69"/>
      <c r="AD9" s="69"/>
      <c r="AE9" s="69"/>
      <c r="AF9" s="69"/>
      <c r="AG9" s="69"/>
      <c r="AH9" s="69"/>
      <c r="AI9" s="69"/>
      <c r="AJ9" s="69"/>
      <c r="AK9" s="69"/>
    </row>
    <row r="10" spans="1:37" ht="16.5" x14ac:dyDescent="0.25">
      <c r="A10" s="69"/>
      <c r="B10" s="94"/>
      <c r="C10" s="93"/>
      <c r="D10" s="93"/>
      <c r="E10" s="69"/>
      <c r="F10" s="69"/>
      <c r="G10" s="69"/>
      <c r="H10" s="69"/>
      <c r="I10" s="69"/>
      <c r="J10" s="69"/>
      <c r="K10" s="69"/>
      <c r="L10" s="69"/>
      <c r="M10" s="69"/>
      <c r="N10" s="69"/>
      <c r="O10" s="69"/>
      <c r="P10" s="69"/>
      <c r="Q10" s="69"/>
      <c r="R10" s="69"/>
      <c r="S10" s="69"/>
      <c r="T10" s="69"/>
      <c r="U10" s="69"/>
      <c r="V10" s="69"/>
      <c r="W10" s="69"/>
      <c r="X10" s="69"/>
      <c r="Y10" s="69"/>
      <c r="Z10" s="69"/>
      <c r="AA10" s="69"/>
      <c r="AB10" s="69"/>
      <c r="AC10" s="69"/>
      <c r="AD10" s="69"/>
      <c r="AE10" s="69"/>
      <c r="AF10" s="69"/>
      <c r="AG10" s="69"/>
      <c r="AH10" s="69"/>
      <c r="AI10" s="69"/>
      <c r="AJ10" s="69"/>
      <c r="AK10" s="69"/>
    </row>
    <row r="11" spans="1:37" x14ac:dyDescent="0.25">
      <c r="A11" s="69"/>
      <c r="B11" s="93"/>
      <c r="C11" s="93"/>
      <c r="D11" s="93"/>
      <c r="E11" s="69"/>
      <c r="F11" s="69"/>
      <c r="G11" s="69"/>
      <c r="H11" s="69"/>
      <c r="I11" s="69"/>
      <c r="J11" s="69"/>
      <c r="K11" s="69"/>
      <c r="L11" s="69"/>
      <c r="M11" s="69"/>
      <c r="N11" s="69"/>
      <c r="O11" s="69"/>
      <c r="P11" s="69"/>
      <c r="Q11" s="69"/>
      <c r="R11" s="69"/>
      <c r="S11" s="69"/>
      <c r="T11" s="69"/>
      <c r="U11" s="69"/>
      <c r="V11" s="69"/>
      <c r="W11" s="69"/>
      <c r="X11" s="69"/>
      <c r="Y11" s="69"/>
      <c r="Z11" s="69"/>
      <c r="AA11" s="69"/>
      <c r="AB11" s="69"/>
      <c r="AC11" s="69"/>
      <c r="AD11" s="69"/>
      <c r="AE11" s="69"/>
      <c r="AF11" s="69"/>
      <c r="AG11" s="69"/>
      <c r="AH11" s="69"/>
      <c r="AI11" s="69"/>
      <c r="AJ11" s="69"/>
      <c r="AK11" s="69"/>
    </row>
    <row r="12" spans="1:37" x14ac:dyDescent="0.25">
      <c r="A12" s="69"/>
      <c r="B12" s="93"/>
      <c r="C12" s="93"/>
      <c r="D12" s="93"/>
      <c r="E12" s="69"/>
      <c r="F12" s="69"/>
      <c r="G12" s="69"/>
      <c r="H12" s="69"/>
      <c r="I12" s="69"/>
      <c r="J12" s="69"/>
      <c r="K12" s="69"/>
      <c r="L12" s="69"/>
      <c r="M12" s="69"/>
      <c r="N12" s="69"/>
      <c r="O12" s="69"/>
      <c r="P12" s="69"/>
      <c r="Q12" s="69"/>
      <c r="R12" s="69"/>
      <c r="S12" s="69"/>
      <c r="T12" s="69"/>
      <c r="U12" s="69"/>
      <c r="V12" s="69"/>
      <c r="W12" s="69"/>
      <c r="X12" s="69"/>
      <c r="Y12" s="69"/>
      <c r="Z12" s="69"/>
      <c r="AA12" s="69"/>
      <c r="AB12" s="69"/>
      <c r="AC12" s="69"/>
      <c r="AD12" s="69"/>
      <c r="AE12" s="69"/>
      <c r="AF12" s="69"/>
      <c r="AG12" s="69"/>
      <c r="AH12" s="69"/>
      <c r="AI12" s="69"/>
      <c r="AJ12" s="69"/>
      <c r="AK12" s="69"/>
    </row>
    <row r="13" spans="1:37" x14ac:dyDescent="0.25">
      <c r="A13" s="69"/>
      <c r="B13" s="93"/>
      <c r="C13" s="93"/>
      <c r="D13" s="93"/>
      <c r="E13" s="69"/>
      <c r="F13" s="69"/>
      <c r="G13" s="69"/>
      <c r="H13" s="69"/>
      <c r="I13" s="69"/>
      <c r="J13" s="69"/>
      <c r="K13" s="69"/>
      <c r="L13" s="69"/>
      <c r="M13" s="69"/>
      <c r="N13" s="69"/>
      <c r="O13" s="69"/>
      <c r="P13" s="69"/>
      <c r="Q13" s="69"/>
      <c r="R13" s="69"/>
      <c r="S13" s="69"/>
      <c r="T13" s="69"/>
      <c r="U13" s="69"/>
      <c r="V13" s="69"/>
      <c r="W13" s="69"/>
      <c r="X13" s="69"/>
      <c r="Y13" s="69"/>
      <c r="Z13" s="69"/>
      <c r="AA13" s="69"/>
      <c r="AB13" s="69"/>
      <c r="AC13" s="69"/>
      <c r="AD13" s="69"/>
      <c r="AE13" s="69"/>
      <c r="AF13" s="69"/>
      <c r="AG13" s="69"/>
      <c r="AH13" s="69"/>
      <c r="AI13" s="69"/>
      <c r="AJ13" s="69"/>
      <c r="AK13" s="69"/>
    </row>
    <row r="14" spans="1:37" x14ac:dyDescent="0.25">
      <c r="A14" s="69"/>
      <c r="B14" s="93"/>
      <c r="C14" s="93"/>
      <c r="D14" s="93"/>
      <c r="E14" s="69"/>
      <c r="F14" s="69"/>
      <c r="G14" s="69"/>
      <c r="H14" s="69"/>
      <c r="I14" s="69"/>
      <c r="J14" s="69"/>
      <c r="K14" s="69"/>
      <c r="L14" s="69"/>
      <c r="M14" s="69"/>
      <c r="N14" s="69"/>
      <c r="O14" s="69"/>
      <c r="P14" s="69"/>
      <c r="Q14" s="69"/>
      <c r="R14" s="69"/>
      <c r="S14" s="69"/>
      <c r="T14" s="69"/>
      <c r="U14" s="69"/>
      <c r="V14" s="69"/>
      <c r="W14" s="69"/>
      <c r="X14" s="69"/>
      <c r="Y14" s="69"/>
      <c r="Z14" s="69"/>
      <c r="AA14" s="69"/>
      <c r="AB14" s="69"/>
      <c r="AC14" s="69"/>
      <c r="AD14" s="69"/>
      <c r="AE14" s="69"/>
      <c r="AF14" s="69"/>
      <c r="AG14" s="69"/>
      <c r="AH14" s="69"/>
      <c r="AI14" s="69"/>
      <c r="AJ14" s="69"/>
      <c r="AK14" s="69"/>
    </row>
    <row r="15" spans="1:37" x14ac:dyDescent="0.25">
      <c r="A15" s="69"/>
      <c r="B15" s="93"/>
      <c r="C15" s="93"/>
      <c r="D15" s="93"/>
      <c r="E15" s="69"/>
      <c r="F15" s="69"/>
      <c r="G15" s="69"/>
      <c r="H15" s="69"/>
      <c r="I15" s="69"/>
      <c r="J15" s="69"/>
      <c r="K15" s="69"/>
      <c r="L15" s="69"/>
      <c r="M15" s="69"/>
      <c r="N15" s="69"/>
      <c r="O15" s="69"/>
      <c r="P15" s="69"/>
      <c r="Q15" s="69"/>
      <c r="R15" s="69"/>
      <c r="S15" s="69"/>
      <c r="T15" s="69"/>
      <c r="U15" s="69"/>
      <c r="V15" s="69"/>
      <c r="W15" s="69"/>
      <c r="X15" s="69"/>
      <c r="Y15" s="69"/>
      <c r="Z15" s="69"/>
      <c r="AA15" s="69"/>
      <c r="AB15" s="69"/>
      <c r="AC15" s="69"/>
      <c r="AD15" s="69"/>
      <c r="AE15" s="69"/>
      <c r="AF15" s="69"/>
      <c r="AG15" s="69"/>
      <c r="AH15" s="69"/>
      <c r="AI15" s="69"/>
      <c r="AJ15" s="69"/>
      <c r="AK15" s="69"/>
    </row>
    <row r="16" spans="1:37" x14ac:dyDescent="0.25">
      <c r="A16" s="69"/>
      <c r="B16" s="93"/>
      <c r="C16" s="93"/>
      <c r="D16" s="93"/>
      <c r="E16" s="69"/>
      <c r="F16" s="69"/>
      <c r="G16" s="69"/>
      <c r="H16" s="69"/>
      <c r="I16" s="69"/>
      <c r="J16" s="69"/>
      <c r="K16" s="69"/>
      <c r="L16" s="69"/>
      <c r="M16" s="69"/>
      <c r="N16" s="69"/>
      <c r="O16" s="69"/>
      <c r="P16" s="69"/>
      <c r="Q16" s="69"/>
      <c r="R16" s="69"/>
      <c r="S16" s="69"/>
      <c r="T16" s="69"/>
      <c r="U16" s="69"/>
      <c r="V16" s="69"/>
      <c r="W16" s="69"/>
      <c r="X16" s="69"/>
      <c r="Y16" s="69"/>
      <c r="Z16" s="69"/>
      <c r="AA16" s="69"/>
      <c r="AB16" s="69"/>
      <c r="AC16" s="69"/>
      <c r="AD16" s="69"/>
      <c r="AE16" s="69"/>
      <c r="AF16" s="69"/>
      <c r="AG16" s="69"/>
      <c r="AH16" s="69"/>
      <c r="AI16" s="69"/>
      <c r="AJ16" s="69"/>
      <c r="AK16" s="69"/>
    </row>
    <row r="17" spans="1:37" x14ac:dyDescent="0.25">
      <c r="A17" s="69"/>
      <c r="B17" s="93"/>
      <c r="C17" s="93"/>
      <c r="D17" s="93"/>
      <c r="E17" s="69"/>
      <c r="F17" s="69"/>
      <c r="G17" s="69"/>
      <c r="H17" s="69"/>
      <c r="I17" s="69"/>
      <c r="J17" s="69"/>
      <c r="K17" s="69"/>
      <c r="L17" s="69"/>
      <c r="M17" s="69"/>
      <c r="N17" s="69"/>
      <c r="O17" s="69"/>
      <c r="P17" s="69"/>
      <c r="Q17" s="69"/>
      <c r="R17" s="69"/>
      <c r="S17" s="69"/>
      <c r="T17" s="69"/>
      <c r="U17" s="69"/>
      <c r="V17" s="69"/>
      <c r="W17" s="69"/>
      <c r="X17" s="69"/>
      <c r="Y17" s="69"/>
      <c r="Z17" s="69"/>
      <c r="AA17" s="69"/>
      <c r="AB17" s="69"/>
      <c r="AC17" s="69"/>
      <c r="AD17" s="69"/>
      <c r="AE17" s="69"/>
      <c r="AF17" s="69"/>
      <c r="AG17" s="69"/>
      <c r="AH17" s="69"/>
      <c r="AI17" s="69"/>
      <c r="AJ17" s="69"/>
      <c r="AK17" s="69"/>
    </row>
    <row r="18" spans="1:37" x14ac:dyDescent="0.25">
      <c r="A18" s="69"/>
      <c r="B18" s="93"/>
      <c r="C18" s="93"/>
      <c r="D18" s="93"/>
      <c r="E18" s="69"/>
      <c r="F18" s="69"/>
      <c r="G18" s="69"/>
      <c r="H18" s="69"/>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row>
    <row r="19" spans="1:37" x14ac:dyDescent="0.25">
      <c r="A19" s="69"/>
      <c r="B19" s="69"/>
      <c r="C19" s="69"/>
      <c r="D19" s="69"/>
      <c r="E19" s="69"/>
      <c r="F19" s="69"/>
      <c r="G19" s="69"/>
      <c r="H19" s="69"/>
      <c r="I19" s="69"/>
      <c r="J19" s="69"/>
      <c r="K19" s="69"/>
      <c r="L19" s="69"/>
      <c r="M19" s="69"/>
      <c r="N19" s="69"/>
      <c r="O19" s="69"/>
      <c r="P19" s="69"/>
      <c r="Q19" s="69"/>
      <c r="R19" s="69"/>
      <c r="S19" s="69"/>
      <c r="T19" s="69"/>
      <c r="U19" s="69"/>
      <c r="V19" s="69"/>
      <c r="W19" s="69"/>
      <c r="X19" s="69"/>
      <c r="Y19" s="69"/>
      <c r="Z19" s="69"/>
      <c r="AA19" s="69"/>
      <c r="AB19" s="69"/>
      <c r="AC19" s="69"/>
      <c r="AD19" s="69"/>
      <c r="AE19" s="69"/>
      <c r="AF19" s="69"/>
      <c r="AG19" s="69"/>
      <c r="AH19" s="69"/>
      <c r="AI19" s="69"/>
      <c r="AJ19" s="69"/>
      <c r="AK19" s="69"/>
    </row>
    <row r="20" spans="1:37" x14ac:dyDescent="0.25">
      <c r="A20" s="69"/>
      <c r="B20" s="69"/>
      <c r="C20" s="69"/>
      <c r="D20" s="69"/>
      <c r="E20" s="69"/>
      <c r="F20" s="69"/>
      <c r="G20" s="69"/>
      <c r="H20" s="69"/>
      <c r="I20" s="69"/>
      <c r="J20" s="69"/>
      <c r="K20" s="69"/>
      <c r="L20" s="69"/>
      <c r="M20" s="69"/>
      <c r="N20" s="69"/>
      <c r="O20" s="69"/>
      <c r="P20" s="69"/>
      <c r="Q20" s="69"/>
      <c r="R20" s="69"/>
      <c r="S20" s="69"/>
      <c r="T20" s="69"/>
      <c r="U20" s="69"/>
      <c r="V20" s="69"/>
      <c r="W20" s="69"/>
      <c r="X20" s="69"/>
      <c r="Y20" s="69"/>
      <c r="Z20" s="69"/>
      <c r="AA20" s="69"/>
      <c r="AB20" s="69"/>
      <c r="AC20" s="69"/>
      <c r="AD20" s="69"/>
      <c r="AE20" s="69"/>
      <c r="AF20" s="69"/>
      <c r="AG20" s="69"/>
      <c r="AH20" s="69"/>
      <c r="AI20" s="69"/>
      <c r="AJ20" s="69"/>
      <c r="AK20" s="69"/>
    </row>
    <row r="21" spans="1:37" x14ac:dyDescent="0.25">
      <c r="A21" s="69"/>
      <c r="B21" s="69"/>
      <c r="C21" s="69"/>
      <c r="D21" s="69"/>
      <c r="E21" s="69"/>
      <c r="F21" s="69"/>
      <c r="G21" s="69"/>
      <c r="H21" s="69"/>
      <c r="I21" s="69"/>
      <c r="J21" s="69"/>
      <c r="K21" s="69"/>
      <c r="L21" s="69"/>
      <c r="M21" s="69"/>
      <c r="N21" s="69"/>
      <c r="O21" s="69"/>
      <c r="P21" s="69"/>
      <c r="Q21" s="69"/>
      <c r="R21" s="69"/>
      <c r="S21" s="69"/>
      <c r="T21" s="69"/>
      <c r="U21" s="69"/>
      <c r="V21" s="69"/>
      <c r="W21" s="69"/>
      <c r="X21" s="69"/>
      <c r="Y21" s="69"/>
      <c r="Z21" s="69"/>
      <c r="AA21" s="69"/>
      <c r="AB21" s="69"/>
      <c r="AC21" s="69"/>
      <c r="AD21" s="69"/>
      <c r="AE21" s="69"/>
      <c r="AF21" s="69"/>
      <c r="AG21" s="69"/>
      <c r="AH21" s="69"/>
      <c r="AI21" s="69"/>
      <c r="AJ21" s="69"/>
      <c r="AK21" s="69"/>
    </row>
    <row r="22" spans="1:37" x14ac:dyDescent="0.25">
      <c r="A22" s="69"/>
      <c r="B22" s="69"/>
      <c r="C22" s="69"/>
      <c r="D22" s="69"/>
      <c r="E22" s="69"/>
      <c r="F22" s="69"/>
      <c r="G22" s="69"/>
      <c r="H22" s="69"/>
      <c r="I22" s="69"/>
      <c r="J22" s="69"/>
      <c r="K22" s="69"/>
      <c r="L22" s="69"/>
      <c r="M22" s="69"/>
      <c r="N22" s="69"/>
      <c r="O22" s="69"/>
      <c r="P22" s="69"/>
      <c r="Q22" s="69"/>
      <c r="R22" s="69"/>
      <c r="S22" s="69"/>
      <c r="T22" s="69"/>
      <c r="U22" s="69"/>
      <c r="V22" s="69"/>
      <c r="W22" s="69"/>
      <c r="X22" s="69"/>
      <c r="Y22" s="69"/>
      <c r="Z22" s="69"/>
      <c r="AA22" s="69"/>
      <c r="AB22" s="69"/>
      <c r="AC22" s="69"/>
      <c r="AD22" s="69"/>
      <c r="AE22" s="69"/>
      <c r="AF22" s="69"/>
      <c r="AG22" s="69"/>
      <c r="AH22" s="69"/>
      <c r="AI22" s="69"/>
      <c r="AJ22" s="69"/>
      <c r="AK22" s="69"/>
    </row>
    <row r="23" spans="1:37" x14ac:dyDescent="0.25">
      <c r="A23" s="69"/>
      <c r="B23" s="69"/>
      <c r="C23" s="69"/>
      <c r="D23" s="69"/>
      <c r="E23" s="69"/>
      <c r="F23" s="69"/>
      <c r="G23" s="69"/>
      <c r="H23" s="69"/>
      <c r="I23" s="69"/>
      <c r="J23" s="69"/>
      <c r="K23" s="69"/>
      <c r="L23" s="69"/>
      <c r="M23" s="69"/>
      <c r="N23" s="69"/>
      <c r="O23" s="69"/>
      <c r="P23" s="69"/>
      <c r="Q23" s="69"/>
      <c r="R23" s="69"/>
      <c r="S23" s="69"/>
      <c r="T23" s="69"/>
      <c r="U23" s="69"/>
      <c r="V23" s="69"/>
      <c r="W23" s="69"/>
      <c r="X23" s="69"/>
      <c r="Y23" s="69"/>
      <c r="Z23" s="69"/>
      <c r="AA23" s="69"/>
      <c r="AB23" s="69"/>
      <c r="AC23" s="69"/>
      <c r="AD23" s="69"/>
      <c r="AE23" s="69"/>
      <c r="AF23" s="69"/>
      <c r="AG23" s="69"/>
      <c r="AH23" s="69"/>
      <c r="AI23" s="69"/>
      <c r="AJ23" s="69"/>
      <c r="AK23" s="69"/>
    </row>
    <row r="24" spans="1:37" x14ac:dyDescent="0.25">
      <c r="A24" s="69"/>
      <c r="B24" s="69"/>
      <c r="C24" s="69"/>
      <c r="D24" s="69"/>
      <c r="E24" s="69"/>
      <c r="F24" s="69"/>
      <c r="G24" s="69"/>
      <c r="H24" s="69"/>
      <c r="I24" s="69"/>
      <c r="J24" s="69"/>
      <c r="K24" s="69"/>
      <c r="L24" s="69"/>
      <c r="M24" s="69"/>
      <c r="N24" s="69"/>
      <c r="O24" s="69"/>
      <c r="P24" s="69"/>
      <c r="Q24" s="69"/>
      <c r="R24" s="69"/>
      <c r="S24" s="69"/>
      <c r="T24" s="69"/>
      <c r="U24" s="69"/>
      <c r="V24" s="69"/>
      <c r="W24" s="69"/>
      <c r="X24" s="69"/>
      <c r="Y24" s="69"/>
      <c r="Z24" s="69"/>
      <c r="AA24" s="69"/>
      <c r="AB24" s="69"/>
      <c r="AC24" s="69"/>
      <c r="AD24" s="69"/>
      <c r="AE24" s="69"/>
      <c r="AF24" s="69"/>
      <c r="AG24" s="69"/>
      <c r="AH24" s="69"/>
      <c r="AI24" s="69"/>
      <c r="AJ24" s="69"/>
      <c r="AK24" s="69"/>
    </row>
    <row r="25" spans="1:37" x14ac:dyDescent="0.25">
      <c r="A25" s="69"/>
      <c r="B25" s="69"/>
      <c r="C25" s="69"/>
      <c r="D25" s="69"/>
      <c r="E25" s="69"/>
      <c r="F25" s="69"/>
      <c r="G25" s="69"/>
      <c r="H25" s="69"/>
      <c r="I25" s="69"/>
      <c r="J25" s="69"/>
      <c r="K25" s="69"/>
      <c r="L25" s="69"/>
      <c r="M25" s="69"/>
      <c r="N25" s="69"/>
      <c r="O25" s="69"/>
      <c r="P25" s="69"/>
      <c r="Q25" s="69"/>
      <c r="R25" s="69"/>
      <c r="S25" s="69"/>
      <c r="T25" s="69"/>
      <c r="U25" s="69"/>
      <c r="V25" s="69"/>
      <c r="W25" s="69"/>
      <c r="X25" s="69"/>
      <c r="Y25" s="69"/>
      <c r="Z25" s="69"/>
      <c r="AA25" s="69"/>
      <c r="AB25" s="69"/>
      <c r="AC25" s="69"/>
      <c r="AD25" s="69"/>
      <c r="AE25" s="69"/>
      <c r="AF25" s="69"/>
      <c r="AG25" s="69"/>
      <c r="AH25" s="69"/>
      <c r="AI25" s="69"/>
      <c r="AJ25" s="69"/>
      <c r="AK25" s="69"/>
    </row>
    <row r="26" spans="1:37" x14ac:dyDescent="0.25">
      <c r="A26" s="69"/>
      <c r="B26" s="69"/>
      <c r="C26" s="69"/>
      <c r="D26" s="69"/>
      <c r="E26" s="69"/>
      <c r="F26" s="69"/>
      <c r="G26" s="69"/>
      <c r="H26" s="69"/>
      <c r="I26" s="69"/>
      <c r="J26" s="69"/>
      <c r="K26" s="69"/>
      <c r="L26" s="69"/>
      <c r="M26" s="69"/>
      <c r="N26" s="69"/>
      <c r="O26" s="69"/>
      <c r="P26" s="69"/>
      <c r="Q26" s="69"/>
      <c r="R26" s="69"/>
      <c r="S26" s="69"/>
      <c r="T26" s="69"/>
      <c r="U26" s="69"/>
      <c r="V26" s="69"/>
      <c r="W26" s="69"/>
      <c r="X26" s="69"/>
      <c r="Y26" s="69"/>
      <c r="Z26" s="69"/>
      <c r="AA26" s="69"/>
      <c r="AB26" s="69"/>
      <c r="AC26" s="69"/>
      <c r="AD26" s="69"/>
      <c r="AE26" s="69"/>
      <c r="AF26" s="69"/>
      <c r="AG26" s="69"/>
      <c r="AH26" s="69"/>
      <c r="AI26" s="69"/>
      <c r="AJ26" s="69"/>
      <c r="AK26" s="69"/>
    </row>
    <row r="27" spans="1:37" x14ac:dyDescent="0.25">
      <c r="A27" s="69"/>
      <c r="B27" s="69"/>
      <c r="C27" s="69"/>
      <c r="D27" s="69"/>
      <c r="E27" s="69"/>
      <c r="F27" s="69"/>
      <c r="G27" s="69"/>
      <c r="H27" s="69"/>
      <c r="I27" s="69"/>
      <c r="J27" s="69"/>
      <c r="K27" s="69"/>
      <c r="L27" s="69"/>
      <c r="M27" s="69"/>
      <c r="N27" s="69"/>
      <c r="O27" s="69"/>
      <c r="P27" s="69"/>
      <c r="Q27" s="69"/>
      <c r="R27" s="69"/>
      <c r="S27" s="69"/>
      <c r="T27" s="69"/>
      <c r="U27" s="69"/>
      <c r="V27" s="69"/>
      <c r="W27" s="69"/>
      <c r="X27" s="69"/>
      <c r="Y27" s="69"/>
      <c r="Z27" s="69"/>
      <c r="AA27" s="69"/>
      <c r="AB27" s="69"/>
      <c r="AC27" s="69"/>
      <c r="AD27" s="69"/>
      <c r="AE27" s="69"/>
      <c r="AF27" s="69"/>
      <c r="AG27" s="69"/>
      <c r="AH27" s="69"/>
      <c r="AI27" s="69"/>
      <c r="AJ27" s="69"/>
      <c r="AK27" s="69"/>
    </row>
    <row r="28" spans="1:37" x14ac:dyDescent="0.25">
      <c r="A28" s="69"/>
      <c r="B28" s="69"/>
      <c r="C28" s="69"/>
      <c r="D28" s="69"/>
      <c r="E28" s="69"/>
      <c r="F28" s="69"/>
      <c r="G28" s="69"/>
      <c r="H28" s="69"/>
      <c r="I28" s="69"/>
      <c r="J28" s="69"/>
      <c r="K28" s="69"/>
      <c r="L28" s="69"/>
      <c r="M28" s="69"/>
      <c r="N28" s="69"/>
      <c r="O28" s="69"/>
      <c r="P28" s="69"/>
      <c r="Q28" s="69"/>
      <c r="R28" s="69"/>
      <c r="S28" s="69"/>
      <c r="T28" s="69"/>
      <c r="U28" s="69"/>
      <c r="V28" s="69"/>
      <c r="W28" s="69"/>
      <c r="X28" s="69"/>
      <c r="Y28" s="69"/>
      <c r="Z28" s="69"/>
      <c r="AA28" s="69"/>
      <c r="AB28" s="69"/>
      <c r="AC28" s="69"/>
      <c r="AD28" s="69"/>
      <c r="AE28" s="69"/>
      <c r="AF28" s="69"/>
      <c r="AG28" s="69"/>
      <c r="AH28" s="69"/>
      <c r="AI28" s="69"/>
      <c r="AJ28" s="69"/>
      <c r="AK28" s="69"/>
    </row>
    <row r="29" spans="1:37" x14ac:dyDescent="0.25">
      <c r="A29" s="69"/>
      <c r="B29" s="69"/>
      <c r="C29" s="69"/>
      <c r="D29" s="69"/>
      <c r="E29" s="69"/>
      <c r="F29" s="69"/>
      <c r="G29" s="69"/>
      <c r="H29" s="69"/>
      <c r="I29" s="69"/>
      <c r="J29" s="69"/>
      <c r="K29" s="69"/>
      <c r="L29" s="69"/>
      <c r="M29" s="69"/>
      <c r="N29" s="69"/>
      <c r="O29" s="69"/>
      <c r="P29" s="69"/>
      <c r="Q29" s="69"/>
      <c r="R29" s="69"/>
      <c r="S29" s="69"/>
      <c r="T29" s="69"/>
      <c r="U29" s="69"/>
      <c r="V29" s="69"/>
      <c r="W29" s="69"/>
      <c r="X29" s="69"/>
      <c r="Y29" s="69"/>
      <c r="Z29" s="69"/>
      <c r="AA29" s="69"/>
      <c r="AB29" s="69"/>
      <c r="AC29" s="69"/>
      <c r="AD29" s="69"/>
      <c r="AE29" s="69"/>
      <c r="AF29" s="69"/>
      <c r="AG29" s="69"/>
      <c r="AH29" s="69"/>
      <c r="AI29" s="69"/>
      <c r="AJ29" s="69"/>
      <c r="AK29" s="69"/>
    </row>
    <row r="30" spans="1:37" x14ac:dyDescent="0.25">
      <c r="A30" s="69"/>
      <c r="B30" s="69"/>
      <c r="C30" s="69"/>
      <c r="D30" s="69"/>
      <c r="E30" s="69"/>
      <c r="F30" s="69"/>
      <c r="G30" s="69"/>
      <c r="H30" s="69"/>
      <c r="I30" s="69"/>
      <c r="J30" s="69"/>
      <c r="K30" s="69"/>
      <c r="L30" s="69"/>
      <c r="M30" s="69"/>
      <c r="N30" s="69"/>
      <c r="O30" s="69"/>
      <c r="P30" s="69"/>
      <c r="Q30" s="69"/>
      <c r="R30" s="69"/>
      <c r="S30" s="69"/>
      <c r="T30" s="69"/>
      <c r="U30" s="69"/>
      <c r="V30" s="69"/>
      <c r="W30" s="69"/>
      <c r="X30" s="69"/>
      <c r="Y30" s="69"/>
      <c r="Z30" s="69"/>
      <c r="AA30" s="69"/>
      <c r="AB30" s="69"/>
      <c r="AC30" s="69"/>
      <c r="AD30" s="69"/>
      <c r="AE30" s="69"/>
      <c r="AF30" s="69"/>
      <c r="AG30" s="69"/>
      <c r="AH30" s="69"/>
      <c r="AI30" s="69"/>
      <c r="AJ30" s="69"/>
      <c r="AK30" s="69"/>
    </row>
    <row r="31" spans="1:37" x14ac:dyDescent="0.25">
      <c r="A31" s="69"/>
      <c r="B31" s="69"/>
      <c r="C31" s="69"/>
      <c r="D31" s="69"/>
      <c r="E31" s="69"/>
      <c r="F31" s="69"/>
      <c r="G31" s="69"/>
      <c r="H31" s="69"/>
      <c r="I31" s="69"/>
      <c r="J31" s="69"/>
      <c r="K31" s="69"/>
      <c r="L31" s="69"/>
      <c r="M31" s="69"/>
      <c r="N31" s="69"/>
      <c r="O31" s="69"/>
      <c r="P31" s="69"/>
      <c r="Q31" s="69"/>
      <c r="R31" s="69"/>
      <c r="S31" s="69"/>
      <c r="T31" s="69"/>
      <c r="U31" s="69"/>
      <c r="V31" s="69"/>
      <c r="W31" s="69"/>
      <c r="X31" s="69"/>
      <c r="Y31" s="69"/>
      <c r="Z31" s="69"/>
      <c r="AA31" s="69"/>
      <c r="AB31" s="69"/>
      <c r="AC31" s="69"/>
      <c r="AD31" s="69"/>
      <c r="AE31" s="69"/>
      <c r="AF31" s="69"/>
      <c r="AG31" s="69"/>
      <c r="AH31" s="69"/>
      <c r="AI31" s="69"/>
      <c r="AJ31" s="69"/>
      <c r="AK31" s="69"/>
    </row>
    <row r="32" spans="1:37" x14ac:dyDescent="0.25">
      <c r="A32" s="69"/>
      <c r="B32" s="69"/>
      <c r="C32" s="69"/>
      <c r="D32" s="69"/>
      <c r="E32" s="69"/>
      <c r="F32" s="69"/>
      <c r="G32" s="69"/>
      <c r="H32" s="69"/>
      <c r="I32" s="69"/>
      <c r="J32" s="69"/>
      <c r="K32" s="69"/>
      <c r="L32" s="69"/>
      <c r="M32" s="69"/>
      <c r="N32" s="69"/>
      <c r="O32" s="69"/>
      <c r="P32" s="69"/>
      <c r="Q32" s="69"/>
      <c r="R32" s="69"/>
      <c r="S32" s="69"/>
      <c r="T32" s="69"/>
      <c r="U32" s="69"/>
      <c r="V32" s="69"/>
      <c r="W32" s="69"/>
      <c r="X32" s="69"/>
      <c r="Y32" s="69"/>
      <c r="Z32" s="69"/>
      <c r="AA32" s="69"/>
      <c r="AB32" s="69"/>
      <c r="AC32" s="69"/>
      <c r="AD32" s="69"/>
      <c r="AE32" s="69"/>
      <c r="AF32" s="69"/>
      <c r="AG32" s="69"/>
      <c r="AH32" s="69"/>
      <c r="AI32" s="69"/>
      <c r="AJ32" s="69"/>
      <c r="AK32" s="69"/>
    </row>
    <row r="33" spans="1:31" x14ac:dyDescent="0.25">
      <c r="A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row>
    <row r="34" spans="1:31" x14ac:dyDescent="0.25">
      <c r="A34" s="69"/>
      <c r="E34" s="69"/>
      <c r="F34" s="69"/>
      <c r="G34" s="69"/>
      <c r="H34" s="69"/>
      <c r="I34" s="69"/>
      <c r="J34" s="69"/>
      <c r="K34" s="69"/>
      <c r="L34" s="69"/>
      <c r="M34" s="69"/>
      <c r="N34" s="69"/>
      <c r="O34" s="69"/>
      <c r="P34" s="69"/>
      <c r="Q34" s="69"/>
      <c r="R34" s="69"/>
      <c r="S34" s="69"/>
      <c r="T34" s="69"/>
      <c r="U34" s="69"/>
      <c r="V34" s="69"/>
      <c r="W34" s="69"/>
      <c r="X34" s="69"/>
      <c r="Y34" s="69"/>
      <c r="Z34" s="69"/>
      <c r="AA34" s="69"/>
      <c r="AB34" s="69"/>
      <c r="AC34" s="69"/>
      <c r="AD34" s="69"/>
      <c r="AE34" s="69"/>
    </row>
    <row r="35" spans="1:31" x14ac:dyDescent="0.25">
      <c r="A35" s="69"/>
    </row>
    <row r="36" spans="1:31" x14ac:dyDescent="0.25">
      <c r="A36" s="69"/>
    </row>
    <row r="37" spans="1:31" x14ac:dyDescent="0.25">
      <c r="A37" s="69"/>
    </row>
    <row r="38" spans="1:31" x14ac:dyDescent="0.25">
      <c r="A38" s="69"/>
    </row>
    <row r="39" spans="1:31" x14ac:dyDescent="0.25">
      <c r="A39" s="69"/>
    </row>
    <row r="40" spans="1:31" x14ac:dyDescent="0.25">
      <c r="A40" s="69"/>
    </row>
    <row r="41" spans="1:31" x14ac:dyDescent="0.25">
      <c r="A41" s="69"/>
    </row>
    <row r="42" spans="1:31" x14ac:dyDescent="0.25">
      <c r="A42" s="69"/>
    </row>
    <row r="43" spans="1:31" x14ac:dyDescent="0.25">
      <c r="A43" s="69"/>
    </row>
    <row r="44" spans="1:31" x14ac:dyDescent="0.25">
      <c r="A44" s="69"/>
    </row>
    <row r="45" spans="1:31" x14ac:dyDescent="0.25">
      <c r="A45" s="69"/>
    </row>
    <row r="46" spans="1:31" x14ac:dyDescent="0.25">
      <c r="A46" s="69"/>
    </row>
    <row r="47" spans="1:31" x14ac:dyDescent="0.25">
      <c r="A47" s="69"/>
    </row>
    <row r="48" spans="1:31" x14ac:dyDescent="0.25">
      <c r="A48" s="69"/>
    </row>
    <row r="49" spans="1:1" x14ac:dyDescent="0.25">
      <c r="A49" s="69"/>
    </row>
    <row r="50" spans="1:1" x14ac:dyDescent="0.25">
      <c r="A50" s="69"/>
    </row>
    <row r="51" spans="1:1" x14ac:dyDescent="0.25">
      <c r="A51" s="69"/>
    </row>
    <row r="52" spans="1:1" x14ac:dyDescent="0.25">
      <c r="A52" s="69"/>
    </row>
    <row r="53" spans="1:1" x14ac:dyDescent="0.25">
      <c r="A53" s="69"/>
    </row>
    <row r="54" spans="1:1" x14ac:dyDescent="0.25">
      <c r="A54" s="69"/>
    </row>
    <row r="55" spans="1:1" x14ac:dyDescent="0.25">
      <c r="A55" s="69"/>
    </row>
  </sheetData>
  <mergeCells count="1">
    <mergeCell ref="B1:D1"/>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tint="-0.249977111117893"/>
  </sheetPr>
  <dimension ref="A1:U232"/>
  <sheetViews>
    <sheetView topLeftCell="E202" zoomScale="60" zoomScaleNormal="60" workbookViewId="0">
      <selection activeCell="E219" sqref="E219"/>
    </sheetView>
  </sheetViews>
  <sheetFormatPr baseColWidth="10" defaultRowHeight="15" x14ac:dyDescent="0.25"/>
  <cols>
    <col min="2" max="2" width="40.42578125" customWidth="1" collapsed="1"/>
    <col min="3" max="3" width="74.85546875" customWidth="1" collapsed="1"/>
    <col min="4" max="4" width="135" bestFit="1" customWidth="1" collapsed="1"/>
    <col min="5" max="5" width="144.7109375" bestFit="1" customWidth="1" collapsed="1"/>
  </cols>
  <sheetData>
    <row r="1" spans="1:21" ht="33.75" x14ac:dyDescent="0.25">
      <c r="A1" s="69"/>
      <c r="B1" s="403" t="s">
        <v>63</v>
      </c>
      <c r="C1" s="403"/>
      <c r="D1" s="403"/>
      <c r="E1" s="69"/>
      <c r="F1" s="69"/>
      <c r="G1" s="69"/>
      <c r="H1" s="69"/>
      <c r="I1" s="69"/>
      <c r="J1" s="69"/>
      <c r="K1" s="69"/>
      <c r="L1" s="69"/>
      <c r="M1" s="69"/>
      <c r="N1" s="69"/>
      <c r="O1" s="69"/>
      <c r="P1" s="69"/>
      <c r="Q1" s="69"/>
      <c r="R1" s="69"/>
      <c r="S1" s="69"/>
      <c r="T1" s="69"/>
      <c r="U1" s="69"/>
    </row>
    <row r="2" spans="1:21" x14ac:dyDescent="0.25">
      <c r="A2" s="69"/>
      <c r="B2" s="69"/>
      <c r="C2" s="69"/>
      <c r="D2" s="69"/>
      <c r="E2" s="69"/>
      <c r="F2" s="69"/>
      <c r="G2" s="69"/>
      <c r="H2" s="69"/>
      <c r="I2" s="69"/>
      <c r="J2" s="69"/>
      <c r="K2" s="69"/>
      <c r="L2" s="69"/>
      <c r="M2" s="69"/>
      <c r="N2" s="69"/>
      <c r="O2" s="69"/>
      <c r="P2" s="69"/>
      <c r="Q2" s="69"/>
      <c r="R2" s="69"/>
      <c r="S2" s="69"/>
      <c r="T2" s="69"/>
      <c r="U2" s="69"/>
    </row>
    <row r="3" spans="1:21" ht="60" x14ac:dyDescent="0.25">
      <c r="A3" s="69"/>
      <c r="B3" s="90"/>
      <c r="C3" s="22" t="s">
        <v>56</v>
      </c>
      <c r="D3" s="22" t="s">
        <v>57</v>
      </c>
      <c r="E3" s="69"/>
      <c r="F3" s="69"/>
      <c r="G3" s="69"/>
      <c r="H3" s="69"/>
      <c r="I3" s="69"/>
      <c r="J3" s="69"/>
      <c r="K3" s="69"/>
      <c r="L3" s="69"/>
      <c r="M3" s="69"/>
      <c r="N3" s="69"/>
      <c r="O3" s="69"/>
      <c r="P3" s="69"/>
      <c r="Q3" s="69"/>
      <c r="R3" s="69"/>
      <c r="S3" s="69"/>
      <c r="T3" s="69"/>
      <c r="U3" s="69"/>
    </row>
    <row r="4" spans="1:21" ht="33.75" x14ac:dyDescent="0.25">
      <c r="A4" s="89" t="s">
        <v>83</v>
      </c>
      <c r="B4" s="25" t="s">
        <v>101</v>
      </c>
      <c r="C4" s="30" t="s">
        <v>156</v>
      </c>
      <c r="D4" s="23" t="s">
        <v>97</v>
      </c>
      <c r="E4" s="69"/>
      <c r="F4" s="69"/>
      <c r="G4" s="69"/>
      <c r="H4" s="69"/>
      <c r="I4" s="69"/>
      <c r="J4" s="69"/>
      <c r="K4" s="69"/>
      <c r="L4" s="69"/>
      <c r="M4" s="69"/>
      <c r="N4" s="69"/>
      <c r="O4" s="69"/>
      <c r="P4" s="69"/>
      <c r="Q4" s="69"/>
      <c r="R4" s="69"/>
      <c r="S4" s="69"/>
      <c r="T4" s="69"/>
      <c r="U4" s="69"/>
    </row>
    <row r="5" spans="1:21" ht="101.25" x14ac:dyDescent="0.25">
      <c r="A5" s="89" t="s">
        <v>84</v>
      </c>
      <c r="B5" s="26" t="s">
        <v>59</v>
      </c>
      <c r="C5" s="31" t="s">
        <v>93</v>
      </c>
      <c r="D5" s="24" t="s">
        <v>219</v>
      </c>
      <c r="E5" s="69"/>
      <c r="F5" s="69"/>
      <c r="G5" s="69"/>
      <c r="H5" s="69"/>
      <c r="I5" s="69"/>
      <c r="J5" s="69"/>
      <c r="K5" s="69"/>
      <c r="L5" s="69"/>
      <c r="M5" s="69"/>
      <c r="N5" s="69"/>
      <c r="O5" s="69"/>
      <c r="P5" s="69"/>
      <c r="Q5" s="69"/>
      <c r="R5" s="69"/>
      <c r="S5" s="69"/>
      <c r="T5" s="69"/>
      <c r="U5" s="69"/>
    </row>
    <row r="6" spans="1:21" ht="67.5" x14ac:dyDescent="0.25">
      <c r="A6" s="89" t="s">
        <v>81</v>
      </c>
      <c r="B6" s="27" t="s">
        <v>60</v>
      </c>
      <c r="C6" s="31" t="s">
        <v>94</v>
      </c>
      <c r="D6" s="24" t="s">
        <v>100</v>
      </c>
      <c r="E6" s="69"/>
      <c r="F6" s="69"/>
      <c r="G6" s="69"/>
      <c r="H6" s="69"/>
      <c r="I6" s="69"/>
      <c r="J6" s="69"/>
      <c r="K6" s="69"/>
      <c r="L6" s="69"/>
      <c r="M6" s="69"/>
      <c r="N6" s="69"/>
      <c r="O6" s="69"/>
      <c r="P6" s="69"/>
      <c r="Q6" s="69"/>
      <c r="R6" s="69"/>
      <c r="S6" s="69"/>
      <c r="T6" s="69"/>
      <c r="U6" s="69"/>
    </row>
    <row r="7" spans="1:21" ht="101.25" x14ac:dyDescent="0.25">
      <c r="A7" s="89" t="s">
        <v>7</v>
      </c>
      <c r="B7" s="28" t="s">
        <v>61</v>
      </c>
      <c r="C7" s="31" t="s">
        <v>95</v>
      </c>
      <c r="D7" s="24" t="s">
        <v>99</v>
      </c>
      <c r="E7" s="69"/>
      <c r="F7" s="69"/>
      <c r="G7" s="69"/>
      <c r="H7" s="69"/>
      <c r="I7" s="69"/>
      <c r="J7" s="69"/>
      <c r="K7" s="69"/>
      <c r="L7" s="69"/>
      <c r="M7" s="69"/>
      <c r="N7" s="69"/>
      <c r="O7" s="69"/>
      <c r="P7" s="69"/>
      <c r="Q7" s="69"/>
      <c r="R7" s="69"/>
      <c r="S7" s="69"/>
      <c r="T7" s="69"/>
      <c r="U7" s="69"/>
    </row>
    <row r="8" spans="1:21" ht="67.5" x14ac:dyDescent="0.25">
      <c r="A8" s="89" t="s">
        <v>85</v>
      </c>
      <c r="B8" s="29" t="s">
        <v>62</v>
      </c>
      <c r="C8" s="31" t="s">
        <v>96</v>
      </c>
      <c r="D8" s="24" t="s">
        <v>118</v>
      </c>
      <c r="E8" s="69"/>
      <c r="F8" s="69"/>
      <c r="G8" s="69"/>
      <c r="H8" s="69"/>
      <c r="I8" s="69"/>
      <c r="J8" s="69"/>
      <c r="K8" s="69"/>
      <c r="L8" s="69"/>
      <c r="M8" s="69"/>
      <c r="N8" s="69"/>
      <c r="O8" s="69"/>
      <c r="P8" s="69"/>
      <c r="Q8" s="69"/>
      <c r="R8" s="69"/>
      <c r="S8" s="69"/>
      <c r="T8" s="69"/>
      <c r="U8" s="69"/>
    </row>
    <row r="9" spans="1:21" ht="20.25" x14ac:dyDescent="0.25">
      <c r="A9" s="89"/>
      <c r="B9" s="89"/>
      <c r="C9" s="91"/>
      <c r="D9" s="91"/>
      <c r="E9" s="69"/>
      <c r="F9" s="69"/>
      <c r="G9" s="69"/>
      <c r="H9" s="69"/>
      <c r="I9" s="69"/>
      <c r="J9" s="69"/>
      <c r="K9" s="69"/>
      <c r="L9" s="69"/>
      <c r="M9" s="69"/>
      <c r="N9" s="69"/>
      <c r="O9" s="69"/>
      <c r="P9" s="69"/>
      <c r="Q9" s="69"/>
      <c r="R9" s="69"/>
      <c r="S9" s="69"/>
      <c r="T9" s="69"/>
      <c r="U9" s="69"/>
    </row>
    <row r="10" spans="1:21" ht="16.5" x14ac:dyDescent="0.25">
      <c r="A10" s="89"/>
      <c r="B10" s="92"/>
      <c r="C10" s="92"/>
      <c r="D10" s="92"/>
      <c r="E10" s="69"/>
      <c r="F10" s="69"/>
      <c r="G10" s="69"/>
      <c r="H10" s="69"/>
      <c r="I10" s="69"/>
      <c r="J10" s="69"/>
      <c r="K10" s="69"/>
      <c r="L10" s="69"/>
      <c r="M10" s="69"/>
      <c r="N10" s="69"/>
      <c r="O10" s="69"/>
      <c r="P10" s="69"/>
      <c r="Q10" s="69"/>
      <c r="R10" s="69"/>
      <c r="S10" s="69"/>
      <c r="T10" s="69"/>
      <c r="U10" s="69"/>
    </row>
    <row r="11" spans="1:21" x14ac:dyDescent="0.25">
      <c r="A11" s="89"/>
      <c r="B11" s="89" t="s">
        <v>91</v>
      </c>
      <c r="C11" s="89" t="s">
        <v>144</v>
      </c>
      <c r="D11" s="89" t="s">
        <v>151</v>
      </c>
      <c r="E11" s="69"/>
      <c r="F11" s="69"/>
      <c r="G11" s="69"/>
      <c r="H11" s="69"/>
      <c r="I11" s="69"/>
      <c r="J11" s="69"/>
      <c r="K11" s="69"/>
      <c r="L11" s="69"/>
      <c r="M11" s="69"/>
      <c r="N11" s="69"/>
      <c r="O11" s="69"/>
      <c r="P11" s="69"/>
      <c r="Q11" s="69"/>
      <c r="R11" s="69"/>
      <c r="S11" s="69"/>
      <c r="T11" s="69"/>
      <c r="U11" s="69"/>
    </row>
    <row r="12" spans="1:21" x14ac:dyDescent="0.25">
      <c r="A12" s="89"/>
      <c r="B12" s="89" t="s">
        <v>89</v>
      </c>
      <c r="C12" s="89" t="s">
        <v>148</v>
      </c>
      <c r="D12" s="89" t="s">
        <v>152</v>
      </c>
      <c r="E12" s="69"/>
      <c r="F12" s="69"/>
      <c r="G12" s="69"/>
      <c r="H12" s="69"/>
      <c r="I12" s="69"/>
      <c r="J12" s="69"/>
      <c r="K12" s="69"/>
      <c r="L12" s="69"/>
      <c r="M12" s="69"/>
      <c r="N12" s="69"/>
      <c r="O12" s="69"/>
      <c r="P12" s="69"/>
      <c r="Q12" s="69"/>
      <c r="R12" s="69"/>
      <c r="S12" s="69"/>
      <c r="T12" s="69"/>
      <c r="U12" s="69"/>
    </row>
    <row r="13" spans="1:21" x14ac:dyDescent="0.25">
      <c r="A13" s="89"/>
      <c r="B13" s="89"/>
      <c r="C13" s="89" t="s">
        <v>147</v>
      </c>
      <c r="D13" s="89" t="s">
        <v>153</v>
      </c>
      <c r="E13" s="69"/>
      <c r="F13" s="69"/>
      <c r="G13" s="69"/>
      <c r="H13" s="69"/>
      <c r="I13" s="69"/>
      <c r="J13" s="69"/>
      <c r="K13" s="69"/>
      <c r="L13" s="69"/>
      <c r="M13" s="69"/>
      <c r="N13" s="69"/>
      <c r="O13" s="69"/>
      <c r="P13" s="69"/>
      <c r="Q13" s="69"/>
      <c r="R13" s="69"/>
      <c r="S13" s="69"/>
      <c r="T13" s="69"/>
      <c r="U13" s="69"/>
    </row>
    <row r="14" spans="1:21" x14ac:dyDescent="0.25">
      <c r="A14" s="89"/>
      <c r="B14" s="89"/>
      <c r="C14" s="89" t="s">
        <v>149</v>
      </c>
      <c r="D14" s="89" t="s">
        <v>154</v>
      </c>
      <c r="E14" s="69"/>
      <c r="F14" s="69"/>
      <c r="G14" s="69"/>
      <c r="H14" s="69"/>
      <c r="I14" s="69"/>
      <c r="J14" s="69"/>
      <c r="K14" s="69"/>
      <c r="L14" s="69"/>
      <c r="M14" s="69"/>
      <c r="N14" s="69"/>
      <c r="O14" s="69"/>
      <c r="P14" s="69"/>
      <c r="Q14" s="69"/>
      <c r="R14" s="69"/>
      <c r="S14" s="69"/>
      <c r="T14" s="69"/>
      <c r="U14" s="69"/>
    </row>
    <row r="15" spans="1:21" x14ac:dyDescent="0.25">
      <c r="A15" s="89"/>
      <c r="B15" s="89"/>
      <c r="C15" s="89" t="s">
        <v>150</v>
      </c>
      <c r="D15" s="89" t="s">
        <v>155</v>
      </c>
      <c r="E15" s="69"/>
      <c r="F15" s="69"/>
      <c r="G15" s="69"/>
      <c r="H15" s="69"/>
      <c r="I15" s="69"/>
      <c r="J15" s="69"/>
      <c r="K15" s="69"/>
      <c r="L15" s="69"/>
      <c r="M15" s="69"/>
      <c r="N15" s="69"/>
      <c r="O15" s="69"/>
      <c r="P15" s="69"/>
      <c r="Q15" s="69"/>
      <c r="R15" s="69"/>
      <c r="S15" s="69"/>
      <c r="T15" s="69"/>
      <c r="U15" s="69"/>
    </row>
    <row r="16" spans="1:21" x14ac:dyDescent="0.25">
      <c r="A16" s="89"/>
      <c r="B16" s="89"/>
      <c r="C16" s="89"/>
      <c r="D16" s="89"/>
      <c r="E16" s="69"/>
      <c r="F16" s="69"/>
      <c r="G16" s="69"/>
      <c r="H16" s="69"/>
      <c r="I16" s="69"/>
      <c r="J16" s="69"/>
      <c r="K16" s="69"/>
      <c r="L16" s="69"/>
      <c r="M16" s="69"/>
      <c r="N16" s="69"/>
      <c r="O16" s="69"/>
    </row>
    <row r="17" spans="1:15" x14ac:dyDescent="0.25">
      <c r="A17" s="89"/>
      <c r="B17" s="89"/>
      <c r="C17" s="89"/>
      <c r="D17" s="89"/>
      <c r="E17" s="69"/>
      <c r="F17" s="69"/>
      <c r="G17" s="69"/>
      <c r="H17" s="69"/>
      <c r="I17" s="69"/>
      <c r="J17" s="69"/>
      <c r="K17" s="69"/>
      <c r="L17" s="69"/>
      <c r="M17" s="69"/>
      <c r="N17" s="69"/>
      <c r="O17" s="69"/>
    </row>
    <row r="18" spans="1:15" x14ac:dyDescent="0.25">
      <c r="A18" s="89"/>
      <c r="B18" s="93"/>
      <c r="C18" s="93"/>
      <c r="D18" s="93"/>
      <c r="E18" s="69"/>
      <c r="F18" s="69"/>
      <c r="G18" s="69"/>
      <c r="H18" s="69"/>
      <c r="I18" s="69"/>
      <c r="J18" s="69"/>
      <c r="K18" s="69"/>
      <c r="L18" s="69"/>
      <c r="M18" s="69"/>
      <c r="N18" s="69"/>
      <c r="O18" s="69"/>
    </row>
    <row r="19" spans="1:15" x14ac:dyDescent="0.25">
      <c r="A19" s="89"/>
      <c r="B19" s="93"/>
      <c r="C19" s="93"/>
      <c r="D19" s="93"/>
      <c r="E19" s="69"/>
      <c r="F19" s="69"/>
      <c r="G19" s="69"/>
      <c r="H19" s="69"/>
      <c r="I19" s="69"/>
      <c r="J19" s="69"/>
      <c r="K19" s="69"/>
      <c r="L19" s="69"/>
      <c r="M19" s="69"/>
      <c r="N19" s="69"/>
      <c r="O19" s="69"/>
    </row>
    <row r="20" spans="1:15" x14ac:dyDescent="0.25">
      <c r="A20" s="89"/>
      <c r="B20" s="93"/>
      <c r="C20" s="93"/>
      <c r="D20" s="93"/>
      <c r="E20" s="69"/>
      <c r="F20" s="69"/>
      <c r="G20" s="69"/>
      <c r="H20" s="69"/>
      <c r="I20" s="69"/>
      <c r="J20" s="69"/>
      <c r="K20" s="69"/>
      <c r="L20" s="69"/>
      <c r="M20" s="69"/>
      <c r="N20" s="69"/>
      <c r="O20" s="69"/>
    </row>
    <row r="21" spans="1:15" x14ac:dyDescent="0.25">
      <c r="A21" s="89"/>
      <c r="B21" s="93"/>
      <c r="C21" s="93"/>
      <c r="D21" s="93"/>
      <c r="E21" s="69"/>
      <c r="F21" s="69"/>
      <c r="G21" s="69"/>
      <c r="H21" s="69"/>
      <c r="I21" s="69"/>
      <c r="J21" s="69"/>
      <c r="K21" s="69"/>
      <c r="L21" s="69"/>
      <c r="M21" s="69"/>
      <c r="N21" s="69"/>
      <c r="O21" s="69"/>
    </row>
    <row r="22" spans="1:15" ht="20.25" x14ac:dyDescent="0.25">
      <c r="A22" s="89"/>
      <c r="B22" s="89"/>
      <c r="C22" s="91"/>
      <c r="D22" s="91"/>
      <c r="E22" s="69"/>
      <c r="F22" s="69"/>
      <c r="G22" s="69"/>
      <c r="H22" s="69"/>
      <c r="I22" s="69"/>
      <c r="J22" s="69"/>
      <c r="K22" s="69"/>
      <c r="L22" s="69"/>
      <c r="M22" s="69"/>
      <c r="N22" s="69"/>
      <c r="O22" s="69"/>
    </row>
    <row r="23" spans="1:15" ht="20.25" x14ac:dyDescent="0.25">
      <c r="A23" s="89"/>
      <c r="B23" s="89"/>
      <c r="C23" s="91"/>
      <c r="D23" s="91"/>
      <c r="E23" s="69"/>
      <c r="F23" s="69"/>
      <c r="G23" s="69"/>
      <c r="H23" s="69"/>
      <c r="I23" s="69"/>
      <c r="J23" s="69"/>
      <c r="K23" s="69"/>
      <c r="L23" s="69"/>
      <c r="M23" s="69"/>
      <c r="N23" s="69"/>
      <c r="O23" s="69"/>
    </row>
    <row r="24" spans="1:15" ht="20.25" x14ac:dyDescent="0.25">
      <c r="A24" s="89"/>
      <c r="B24" s="89"/>
      <c r="C24" s="91"/>
      <c r="D24" s="91"/>
      <c r="E24" s="69"/>
      <c r="F24" s="69"/>
      <c r="G24" s="69"/>
      <c r="H24" s="69"/>
      <c r="I24" s="69"/>
      <c r="J24" s="69"/>
      <c r="K24" s="69"/>
      <c r="L24" s="69"/>
      <c r="M24" s="69"/>
      <c r="N24" s="69"/>
      <c r="O24" s="69"/>
    </row>
    <row r="25" spans="1:15" ht="20.25" x14ac:dyDescent="0.25">
      <c r="A25" s="89"/>
      <c r="B25" s="89"/>
      <c r="C25" s="91"/>
      <c r="D25" s="91"/>
      <c r="E25" s="69"/>
      <c r="F25" s="69"/>
      <c r="G25" s="69"/>
      <c r="H25" s="69"/>
      <c r="I25" s="69"/>
      <c r="J25" s="69"/>
      <c r="K25" s="69"/>
      <c r="L25" s="69"/>
      <c r="M25" s="69"/>
      <c r="N25" s="69"/>
      <c r="O25" s="69"/>
    </row>
    <row r="26" spans="1:15" ht="20.25" x14ac:dyDescent="0.25">
      <c r="A26" s="89"/>
      <c r="B26" s="89"/>
      <c r="C26" s="91"/>
      <c r="D26" s="91"/>
      <c r="E26" s="69"/>
      <c r="F26" s="69"/>
      <c r="G26" s="69"/>
      <c r="H26" s="69"/>
      <c r="I26" s="69"/>
      <c r="J26" s="69"/>
      <c r="K26" s="69"/>
      <c r="L26" s="69"/>
      <c r="M26" s="69"/>
      <c r="N26" s="69"/>
      <c r="O26" s="69"/>
    </row>
    <row r="27" spans="1:15" ht="20.25" x14ac:dyDescent="0.25">
      <c r="A27" s="89"/>
      <c r="B27" s="89"/>
      <c r="C27" s="91"/>
      <c r="D27" s="91"/>
      <c r="E27" s="69"/>
      <c r="F27" s="69"/>
      <c r="G27" s="69"/>
      <c r="H27" s="69"/>
      <c r="I27" s="69"/>
      <c r="J27" s="69"/>
      <c r="K27" s="69"/>
      <c r="L27" s="69"/>
      <c r="M27" s="69"/>
      <c r="N27" s="69"/>
      <c r="O27" s="69"/>
    </row>
    <row r="28" spans="1:15" ht="20.25" x14ac:dyDescent="0.25">
      <c r="A28" s="89"/>
      <c r="B28" s="89"/>
      <c r="C28" s="91"/>
      <c r="D28" s="91"/>
      <c r="E28" s="69"/>
      <c r="F28" s="69"/>
      <c r="G28" s="69"/>
      <c r="H28" s="69"/>
      <c r="I28" s="69"/>
      <c r="J28" s="69"/>
      <c r="K28" s="69"/>
      <c r="L28" s="69"/>
      <c r="M28" s="69"/>
      <c r="N28" s="69"/>
      <c r="O28" s="69"/>
    </row>
    <row r="29" spans="1:15" ht="20.25" x14ac:dyDescent="0.25">
      <c r="A29" s="89"/>
      <c r="B29" s="89"/>
      <c r="C29" s="91"/>
      <c r="D29" s="91"/>
      <c r="E29" s="69"/>
      <c r="F29" s="69"/>
      <c r="G29" s="69"/>
      <c r="H29" s="69"/>
      <c r="I29" s="69"/>
      <c r="J29" s="69"/>
      <c r="K29" s="69"/>
      <c r="L29" s="69"/>
      <c r="M29" s="69"/>
      <c r="N29" s="69"/>
      <c r="O29" s="69"/>
    </row>
    <row r="30" spans="1:15" ht="20.25" x14ac:dyDescent="0.25">
      <c r="A30" s="89"/>
      <c r="B30" s="89"/>
      <c r="C30" s="91"/>
      <c r="D30" s="91"/>
      <c r="E30" s="69"/>
      <c r="F30" s="69"/>
      <c r="G30" s="69"/>
      <c r="H30" s="69"/>
      <c r="I30" s="69"/>
      <c r="J30" s="69"/>
      <c r="K30" s="69"/>
      <c r="L30" s="69"/>
      <c r="M30" s="69"/>
      <c r="N30" s="69"/>
      <c r="O30" s="69"/>
    </row>
    <row r="31" spans="1:15" ht="20.25" x14ac:dyDescent="0.25">
      <c r="A31" s="89"/>
      <c r="B31" s="89"/>
      <c r="C31" s="91"/>
      <c r="D31" s="91"/>
      <c r="E31" s="69"/>
      <c r="F31" s="69"/>
      <c r="G31" s="69"/>
      <c r="H31" s="69"/>
      <c r="I31" s="69"/>
      <c r="J31" s="69"/>
      <c r="K31" s="69"/>
      <c r="L31" s="69"/>
      <c r="M31" s="69"/>
      <c r="N31" s="69"/>
      <c r="O31" s="69"/>
    </row>
    <row r="32" spans="1:15" ht="20.25" x14ac:dyDescent="0.25">
      <c r="A32" s="89"/>
      <c r="B32" s="89"/>
      <c r="C32" s="91"/>
      <c r="D32" s="91"/>
      <c r="E32" s="69"/>
      <c r="F32" s="69"/>
      <c r="G32" s="69"/>
      <c r="H32" s="69"/>
      <c r="I32" s="69"/>
      <c r="J32" s="69"/>
      <c r="K32" s="69"/>
      <c r="L32" s="69"/>
      <c r="M32" s="69"/>
      <c r="N32" s="69"/>
      <c r="O32" s="69"/>
    </row>
    <row r="33" spans="1:15" ht="20.25" x14ac:dyDescent="0.25">
      <c r="A33" s="89"/>
      <c r="B33" s="89"/>
      <c r="C33" s="91"/>
      <c r="D33" s="91"/>
      <c r="E33" s="69"/>
      <c r="F33" s="69"/>
      <c r="G33" s="69"/>
      <c r="H33" s="69"/>
      <c r="I33" s="69"/>
      <c r="J33" s="69"/>
      <c r="K33" s="69"/>
      <c r="L33" s="69"/>
      <c r="M33" s="69"/>
      <c r="N33" s="69"/>
      <c r="O33" s="69"/>
    </row>
    <row r="34" spans="1:15" ht="20.25" x14ac:dyDescent="0.25">
      <c r="A34" s="89"/>
      <c r="B34" s="89"/>
      <c r="C34" s="91"/>
      <c r="D34" s="91"/>
      <c r="E34" s="69"/>
      <c r="F34" s="69"/>
      <c r="G34" s="69"/>
      <c r="H34" s="69"/>
      <c r="I34" s="69"/>
      <c r="J34" s="69"/>
      <c r="K34" s="69"/>
      <c r="L34" s="69"/>
      <c r="M34" s="69"/>
      <c r="N34" s="69"/>
      <c r="O34" s="69"/>
    </row>
    <row r="35" spans="1:15" ht="20.25" x14ac:dyDescent="0.25">
      <c r="A35" s="89"/>
      <c r="B35" s="89"/>
      <c r="C35" s="91"/>
      <c r="D35" s="91"/>
      <c r="E35" s="69"/>
      <c r="F35" s="69"/>
      <c r="G35" s="69"/>
      <c r="H35" s="69"/>
      <c r="I35" s="69"/>
      <c r="J35" s="69"/>
      <c r="K35" s="69"/>
      <c r="L35" s="69"/>
      <c r="M35" s="69"/>
      <c r="N35" s="69"/>
      <c r="O35" s="69"/>
    </row>
    <row r="36" spans="1:15" ht="20.25" x14ac:dyDescent="0.25">
      <c r="A36" s="89"/>
      <c r="B36" s="89"/>
      <c r="C36" s="91"/>
      <c r="D36" s="91"/>
      <c r="E36" s="69"/>
      <c r="F36" s="69"/>
      <c r="G36" s="69"/>
      <c r="H36" s="69"/>
      <c r="I36" s="69"/>
      <c r="J36" s="69"/>
      <c r="K36" s="69"/>
      <c r="L36" s="69"/>
      <c r="M36" s="69"/>
      <c r="N36" s="69"/>
      <c r="O36" s="69"/>
    </row>
    <row r="37" spans="1:15" ht="20.25" x14ac:dyDescent="0.25">
      <c r="A37" s="89"/>
      <c r="B37" s="89"/>
      <c r="C37" s="91"/>
      <c r="D37" s="91"/>
      <c r="E37" s="69"/>
      <c r="F37" s="69"/>
      <c r="G37" s="69"/>
      <c r="H37" s="69"/>
      <c r="I37" s="69"/>
      <c r="J37" s="69"/>
      <c r="K37" s="69"/>
      <c r="L37" s="69"/>
      <c r="M37" s="69"/>
      <c r="N37" s="69"/>
      <c r="O37" s="69"/>
    </row>
    <row r="38" spans="1:15" ht="20.25" x14ac:dyDescent="0.25">
      <c r="A38" s="89"/>
      <c r="B38" s="89"/>
      <c r="C38" s="91"/>
      <c r="D38" s="91"/>
      <c r="E38" s="69"/>
      <c r="F38" s="69"/>
      <c r="G38" s="69"/>
      <c r="H38" s="69"/>
      <c r="I38" s="69"/>
      <c r="J38" s="69"/>
      <c r="K38" s="69"/>
      <c r="L38" s="69"/>
      <c r="M38" s="69"/>
      <c r="N38" s="69"/>
      <c r="O38" s="69"/>
    </row>
    <row r="39" spans="1:15" ht="20.25" x14ac:dyDescent="0.25">
      <c r="A39" s="89"/>
      <c r="B39" s="89"/>
      <c r="C39" s="91"/>
      <c r="D39" s="91"/>
      <c r="E39" s="69"/>
      <c r="F39" s="69"/>
      <c r="G39" s="69"/>
      <c r="H39" s="69"/>
      <c r="I39" s="69"/>
      <c r="J39" s="69"/>
      <c r="K39" s="69"/>
      <c r="L39" s="69"/>
      <c r="M39" s="69"/>
      <c r="N39" s="69"/>
      <c r="O39" s="69"/>
    </row>
    <row r="40" spans="1:15" ht="20.25" x14ac:dyDescent="0.25">
      <c r="A40" s="89"/>
      <c r="B40" s="89"/>
      <c r="C40" s="91"/>
      <c r="D40" s="91"/>
      <c r="E40" s="69"/>
      <c r="F40" s="69"/>
      <c r="G40" s="69"/>
      <c r="H40" s="69"/>
      <c r="I40" s="69"/>
      <c r="J40" s="69"/>
      <c r="K40" s="69"/>
      <c r="L40" s="69"/>
      <c r="M40" s="69"/>
      <c r="N40" s="69"/>
      <c r="O40" s="69"/>
    </row>
    <row r="41" spans="1:15" ht="20.25" x14ac:dyDescent="0.25">
      <c r="A41" s="89"/>
      <c r="B41" s="89"/>
      <c r="C41" s="91"/>
      <c r="D41" s="91"/>
      <c r="E41" s="69"/>
      <c r="F41" s="69"/>
      <c r="G41" s="69"/>
      <c r="H41" s="69"/>
      <c r="I41" s="69"/>
      <c r="J41" s="69"/>
      <c r="K41" s="69"/>
      <c r="L41" s="69"/>
      <c r="M41" s="69"/>
      <c r="N41" s="69"/>
      <c r="O41" s="69"/>
    </row>
    <row r="42" spans="1:15" ht="20.25" x14ac:dyDescent="0.25">
      <c r="A42" s="89"/>
      <c r="B42" s="89"/>
      <c r="C42" s="91"/>
      <c r="D42" s="91"/>
      <c r="E42" s="69"/>
      <c r="F42" s="69"/>
      <c r="G42" s="69"/>
      <c r="H42" s="69"/>
      <c r="I42" s="69"/>
      <c r="J42" s="69"/>
      <c r="K42" s="69"/>
      <c r="L42" s="69"/>
      <c r="M42" s="69"/>
      <c r="N42" s="69"/>
      <c r="O42" s="69"/>
    </row>
    <row r="43" spans="1:15" ht="20.25" x14ac:dyDescent="0.25">
      <c r="A43" s="89"/>
      <c r="B43" s="89"/>
      <c r="C43" s="91"/>
      <c r="D43" s="91"/>
      <c r="E43" s="69"/>
      <c r="F43" s="69"/>
      <c r="G43" s="69"/>
      <c r="H43" s="69"/>
      <c r="I43" s="69"/>
      <c r="J43" s="69"/>
      <c r="K43" s="69"/>
      <c r="L43" s="69"/>
      <c r="M43" s="69"/>
      <c r="N43" s="69"/>
      <c r="O43" s="69"/>
    </row>
    <row r="44" spans="1:15" ht="20.25" x14ac:dyDescent="0.25">
      <c r="A44" s="89"/>
      <c r="B44" s="89"/>
      <c r="C44" s="91"/>
      <c r="D44" s="91"/>
      <c r="E44" s="69"/>
      <c r="F44" s="69"/>
      <c r="G44" s="69"/>
      <c r="H44" s="69"/>
      <c r="I44" s="69"/>
      <c r="J44" s="69"/>
      <c r="K44" s="69"/>
      <c r="L44" s="69"/>
      <c r="M44" s="69"/>
      <c r="N44" s="69"/>
      <c r="O44" s="69"/>
    </row>
    <row r="45" spans="1:15" ht="20.25" x14ac:dyDescent="0.25">
      <c r="A45" s="89"/>
      <c r="B45" s="89"/>
      <c r="C45" s="91"/>
      <c r="D45" s="91"/>
      <c r="E45" s="69"/>
      <c r="F45" s="69"/>
      <c r="G45" s="69"/>
      <c r="H45" s="69"/>
      <c r="I45" s="69"/>
      <c r="J45" s="69"/>
      <c r="K45" s="69"/>
      <c r="L45" s="69"/>
      <c r="M45" s="69"/>
      <c r="N45" s="69"/>
      <c r="O45" s="69"/>
    </row>
    <row r="46" spans="1:15" ht="20.25" x14ac:dyDescent="0.25">
      <c r="A46" s="89"/>
      <c r="B46" s="89"/>
      <c r="C46" s="91"/>
      <c r="D46" s="91"/>
      <c r="E46" s="69"/>
      <c r="F46" s="69"/>
      <c r="G46" s="69"/>
      <c r="H46" s="69"/>
      <c r="I46" s="69"/>
      <c r="J46" s="69"/>
      <c r="K46" s="69"/>
      <c r="L46" s="69"/>
      <c r="M46" s="69"/>
      <c r="N46" s="69"/>
      <c r="O46" s="69"/>
    </row>
    <row r="47" spans="1:15" ht="20.25" x14ac:dyDescent="0.25">
      <c r="A47" s="89"/>
      <c r="B47" s="89"/>
      <c r="C47" s="91"/>
      <c r="D47" s="91"/>
      <c r="E47" s="69"/>
      <c r="F47" s="69"/>
      <c r="G47" s="69"/>
      <c r="H47" s="69"/>
      <c r="I47" s="69"/>
      <c r="J47" s="69"/>
      <c r="K47" s="69"/>
      <c r="L47" s="69"/>
      <c r="M47" s="69"/>
      <c r="N47" s="69"/>
      <c r="O47" s="69"/>
    </row>
    <row r="48" spans="1:15" ht="20.25" x14ac:dyDescent="0.25">
      <c r="A48" s="89"/>
      <c r="B48" s="89"/>
      <c r="C48" s="91"/>
      <c r="D48" s="91"/>
      <c r="E48" s="69"/>
      <c r="F48" s="69"/>
      <c r="G48" s="69"/>
      <c r="H48" s="69"/>
      <c r="I48" s="69"/>
      <c r="J48" s="69"/>
      <c r="K48" s="69"/>
      <c r="L48" s="69"/>
      <c r="M48" s="69"/>
      <c r="N48" s="69"/>
      <c r="O48" s="69"/>
    </row>
    <row r="49" spans="1:15" ht="20.25" x14ac:dyDescent="0.25">
      <c r="A49" s="89"/>
      <c r="B49" s="89"/>
      <c r="C49" s="91"/>
      <c r="D49" s="91"/>
      <c r="E49" s="69"/>
      <c r="F49" s="69"/>
      <c r="G49" s="69"/>
      <c r="H49" s="69"/>
      <c r="I49" s="69"/>
      <c r="J49" s="69"/>
      <c r="K49" s="69"/>
      <c r="L49" s="69"/>
      <c r="M49" s="69"/>
      <c r="N49" s="69"/>
      <c r="O49" s="69"/>
    </row>
    <row r="50" spans="1:15" ht="20.25" x14ac:dyDescent="0.25">
      <c r="A50" s="89"/>
      <c r="B50" s="89"/>
      <c r="C50" s="91"/>
      <c r="D50" s="91"/>
      <c r="E50" s="69"/>
      <c r="F50" s="69"/>
      <c r="G50" s="69"/>
      <c r="H50" s="69"/>
      <c r="I50" s="69"/>
      <c r="J50" s="69"/>
      <c r="K50" s="69"/>
      <c r="L50" s="69"/>
      <c r="M50" s="69"/>
      <c r="N50" s="69"/>
      <c r="O50" s="69"/>
    </row>
    <row r="51" spans="1:15" ht="20.25" x14ac:dyDescent="0.25">
      <c r="A51" s="89"/>
      <c r="B51" s="89"/>
      <c r="C51" s="91"/>
      <c r="D51" s="91"/>
      <c r="E51" s="69"/>
      <c r="F51" s="69"/>
      <c r="G51" s="69"/>
      <c r="H51" s="69"/>
      <c r="I51" s="69"/>
      <c r="J51" s="69"/>
      <c r="K51" s="69"/>
      <c r="L51" s="69"/>
      <c r="M51" s="69"/>
      <c r="N51" s="69"/>
      <c r="O51" s="69"/>
    </row>
    <row r="52" spans="1:15" ht="20.25" x14ac:dyDescent="0.25">
      <c r="A52" s="89"/>
      <c r="B52" s="15"/>
      <c r="C52" s="20"/>
      <c r="D52" s="20"/>
    </row>
    <row r="53" spans="1:15" ht="20.25" x14ac:dyDescent="0.25">
      <c r="A53" s="89"/>
      <c r="B53" s="15"/>
      <c r="C53" s="20"/>
      <c r="D53" s="20"/>
    </row>
    <row r="54" spans="1:15" ht="20.25" x14ac:dyDescent="0.25">
      <c r="A54" s="89"/>
      <c r="B54" s="15"/>
      <c r="C54" s="20"/>
      <c r="D54" s="20"/>
    </row>
    <row r="55" spans="1:15" ht="20.25" x14ac:dyDescent="0.25">
      <c r="A55" s="89"/>
      <c r="B55" s="15"/>
      <c r="C55" s="20"/>
      <c r="D55" s="20"/>
    </row>
    <row r="56" spans="1:15" ht="20.25" x14ac:dyDescent="0.25">
      <c r="A56" s="89"/>
      <c r="B56" s="15"/>
      <c r="C56" s="20"/>
      <c r="D56" s="20"/>
    </row>
    <row r="57" spans="1:15" ht="20.25" x14ac:dyDescent="0.25">
      <c r="A57" s="89"/>
      <c r="B57" s="15"/>
      <c r="C57" s="20"/>
      <c r="D57" s="20"/>
    </row>
    <row r="58" spans="1:15" ht="20.25" x14ac:dyDescent="0.25">
      <c r="A58" s="89"/>
      <c r="B58" s="15"/>
      <c r="C58" s="20"/>
      <c r="D58" s="20"/>
    </row>
    <row r="59" spans="1:15" ht="20.25" x14ac:dyDescent="0.25">
      <c r="A59" s="89"/>
      <c r="B59" s="15"/>
      <c r="C59" s="20"/>
      <c r="D59" s="20"/>
    </row>
    <row r="60" spans="1:15" ht="20.25" x14ac:dyDescent="0.25">
      <c r="A60" s="89"/>
      <c r="B60" s="15"/>
      <c r="C60" s="20"/>
      <c r="D60" s="20"/>
    </row>
    <row r="61" spans="1:15" ht="20.25" x14ac:dyDescent="0.25">
      <c r="A61" s="89"/>
      <c r="B61" s="15"/>
      <c r="C61" s="20"/>
      <c r="D61" s="20"/>
    </row>
    <row r="62" spans="1:15" ht="20.25" x14ac:dyDescent="0.25">
      <c r="A62" s="89"/>
      <c r="B62" s="15"/>
      <c r="C62" s="20"/>
      <c r="D62" s="20"/>
    </row>
    <row r="63" spans="1:15" ht="20.25" x14ac:dyDescent="0.25">
      <c r="A63" s="89"/>
      <c r="B63" s="15"/>
      <c r="C63" s="20"/>
      <c r="D63" s="20"/>
    </row>
    <row r="64" spans="1:15" ht="20.25" x14ac:dyDescent="0.25">
      <c r="A64" s="89"/>
      <c r="B64" s="15"/>
      <c r="C64" s="20"/>
      <c r="D64" s="20"/>
    </row>
    <row r="65" spans="1:4" ht="20.25" x14ac:dyDescent="0.25">
      <c r="A65" s="89"/>
      <c r="B65" s="15"/>
      <c r="C65" s="20"/>
      <c r="D65" s="20"/>
    </row>
    <row r="66" spans="1:4" ht="20.25" x14ac:dyDescent="0.25">
      <c r="A66" s="89"/>
      <c r="B66" s="15"/>
      <c r="C66" s="20"/>
      <c r="D66" s="20"/>
    </row>
    <row r="67" spans="1:4" ht="20.25" x14ac:dyDescent="0.25">
      <c r="A67" s="89"/>
      <c r="B67" s="15"/>
      <c r="C67" s="20"/>
      <c r="D67" s="20"/>
    </row>
    <row r="68" spans="1:4" ht="20.25" x14ac:dyDescent="0.25">
      <c r="A68" s="89"/>
      <c r="B68" s="15"/>
      <c r="C68" s="20"/>
      <c r="D68" s="20"/>
    </row>
    <row r="69" spans="1:4" ht="20.25" x14ac:dyDescent="0.25">
      <c r="A69" s="89"/>
      <c r="B69" s="15"/>
      <c r="C69" s="20"/>
      <c r="D69" s="20"/>
    </row>
    <row r="70" spans="1:4" ht="20.25" x14ac:dyDescent="0.25">
      <c r="A70" s="89"/>
      <c r="B70" s="15"/>
      <c r="C70" s="20"/>
      <c r="D70" s="20"/>
    </row>
    <row r="71" spans="1:4" ht="20.25" x14ac:dyDescent="0.25">
      <c r="A71" s="89"/>
      <c r="B71" s="15"/>
      <c r="C71" s="20"/>
      <c r="D71" s="20"/>
    </row>
    <row r="72" spans="1:4" ht="20.25" x14ac:dyDescent="0.25">
      <c r="A72" s="89"/>
      <c r="B72" s="15"/>
      <c r="C72" s="20"/>
      <c r="D72" s="20"/>
    </row>
    <row r="73" spans="1:4" ht="20.25" x14ac:dyDescent="0.25">
      <c r="A73" s="89"/>
      <c r="B73" s="15"/>
      <c r="C73" s="20"/>
      <c r="D73" s="20"/>
    </row>
    <row r="74" spans="1:4" ht="20.25" x14ac:dyDescent="0.25">
      <c r="A74" s="89"/>
      <c r="B74" s="15"/>
      <c r="C74" s="20"/>
      <c r="D74" s="20"/>
    </row>
    <row r="75" spans="1:4" ht="20.25" x14ac:dyDescent="0.25">
      <c r="A75" s="89"/>
      <c r="B75" s="15"/>
      <c r="C75" s="20"/>
      <c r="D75" s="20"/>
    </row>
    <row r="76" spans="1:4" ht="20.25" x14ac:dyDescent="0.25">
      <c r="A76" s="89"/>
      <c r="B76" s="15"/>
      <c r="C76" s="20"/>
      <c r="D76" s="20"/>
    </row>
    <row r="77" spans="1:4" ht="20.25" x14ac:dyDescent="0.25">
      <c r="A77" s="89"/>
      <c r="B77" s="15"/>
      <c r="C77" s="20"/>
      <c r="D77" s="20"/>
    </row>
    <row r="78" spans="1:4" ht="20.25" x14ac:dyDescent="0.25">
      <c r="A78" s="89"/>
      <c r="B78" s="15"/>
      <c r="C78" s="20"/>
      <c r="D78" s="20"/>
    </row>
    <row r="79" spans="1:4" ht="20.25" x14ac:dyDescent="0.25">
      <c r="A79" s="89"/>
      <c r="B79" s="15"/>
      <c r="C79" s="20"/>
      <c r="D79" s="20"/>
    </row>
    <row r="80" spans="1:4" ht="20.25" x14ac:dyDescent="0.25">
      <c r="A80" s="89"/>
      <c r="B80" s="15"/>
      <c r="C80" s="20"/>
      <c r="D80" s="20"/>
    </row>
    <row r="81" spans="1:4" ht="20.25" x14ac:dyDescent="0.25">
      <c r="A81" s="89"/>
      <c r="B81" s="15"/>
      <c r="C81" s="20"/>
      <c r="D81" s="20"/>
    </row>
    <row r="82" spans="1:4" ht="20.25" x14ac:dyDescent="0.25">
      <c r="A82" s="89"/>
      <c r="B82" s="15"/>
      <c r="C82" s="20"/>
      <c r="D82" s="20"/>
    </row>
    <row r="83" spans="1:4" ht="20.25" x14ac:dyDescent="0.25">
      <c r="A83" s="89"/>
      <c r="B83" s="15"/>
      <c r="C83" s="20"/>
      <c r="D83" s="20"/>
    </row>
    <row r="84" spans="1:4" ht="20.25" x14ac:dyDescent="0.25">
      <c r="A84" s="89"/>
      <c r="B84" s="15"/>
      <c r="C84" s="20"/>
      <c r="D84" s="20"/>
    </row>
    <row r="85" spans="1:4" ht="20.25" x14ac:dyDescent="0.25">
      <c r="A85" s="89"/>
      <c r="B85" s="15"/>
      <c r="C85" s="20"/>
      <c r="D85" s="20"/>
    </row>
    <row r="86" spans="1:4" ht="20.25" x14ac:dyDescent="0.25">
      <c r="A86" s="89"/>
      <c r="B86" s="15"/>
      <c r="C86" s="20"/>
      <c r="D86" s="20"/>
    </row>
    <row r="87" spans="1:4" ht="20.25" x14ac:dyDescent="0.25">
      <c r="A87" s="89"/>
      <c r="B87" s="15"/>
      <c r="C87" s="20"/>
      <c r="D87" s="20"/>
    </row>
    <row r="88" spans="1:4" ht="20.25" x14ac:dyDescent="0.25">
      <c r="A88" s="89"/>
      <c r="B88" s="15"/>
      <c r="C88" s="20"/>
      <c r="D88" s="20"/>
    </row>
    <row r="89" spans="1:4" ht="20.25" x14ac:dyDescent="0.25">
      <c r="A89" s="89"/>
      <c r="B89" s="15"/>
      <c r="C89" s="20"/>
      <c r="D89" s="20"/>
    </row>
    <row r="90" spans="1:4" ht="20.25" x14ac:dyDescent="0.25">
      <c r="A90" s="89"/>
      <c r="B90" s="15"/>
      <c r="C90" s="20"/>
      <c r="D90" s="20"/>
    </row>
    <row r="91" spans="1:4" ht="20.25" x14ac:dyDescent="0.25">
      <c r="A91" s="89"/>
      <c r="B91" s="15"/>
      <c r="C91" s="20"/>
      <c r="D91" s="20"/>
    </row>
    <row r="92" spans="1:4" ht="20.25" x14ac:dyDescent="0.25">
      <c r="A92" s="89"/>
      <c r="B92" s="15"/>
      <c r="C92" s="20"/>
      <c r="D92" s="20"/>
    </row>
    <row r="93" spans="1:4" ht="20.25" x14ac:dyDescent="0.25">
      <c r="A93" s="89"/>
      <c r="B93" s="15"/>
      <c r="C93" s="20"/>
      <c r="D93" s="20"/>
    </row>
    <row r="94" spans="1:4" ht="20.25" x14ac:dyDescent="0.25">
      <c r="A94" s="89"/>
      <c r="B94" s="15"/>
      <c r="C94" s="20"/>
      <c r="D94" s="20"/>
    </row>
    <row r="95" spans="1:4" ht="20.25" x14ac:dyDescent="0.25">
      <c r="A95" s="89"/>
      <c r="B95" s="15"/>
      <c r="C95" s="20"/>
      <c r="D95" s="20"/>
    </row>
    <row r="96" spans="1:4" ht="20.25" x14ac:dyDescent="0.25">
      <c r="A96" s="89"/>
      <c r="B96" s="15"/>
      <c r="C96" s="20"/>
      <c r="D96" s="20"/>
    </row>
    <row r="97" spans="1:4" ht="20.25" x14ac:dyDescent="0.25">
      <c r="A97" s="89"/>
      <c r="B97" s="15"/>
      <c r="C97" s="20"/>
      <c r="D97" s="20"/>
    </row>
    <row r="98" spans="1:4" ht="20.25" x14ac:dyDescent="0.25">
      <c r="A98" s="89"/>
      <c r="B98" s="15"/>
      <c r="C98" s="20"/>
      <c r="D98" s="20"/>
    </row>
    <row r="99" spans="1:4" ht="20.25" x14ac:dyDescent="0.25">
      <c r="A99" s="89"/>
      <c r="B99" s="15"/>
      <c r="C99" s="20"/>
      <c r="D99" s="20"/>
    </row>
    <row r="100" spans="1:4" ht="20.25" x14ac:dyDescent="0.25">
      <c r="A100" s="89"/>
      <c r="B100" s="15"/>
      <c r="C100" s="20"/>
      <c r="D100" s="20"/>
    </row>
    <row r="101" spans="1:4" ht="20.25" x14ac:dyDescent="0.25">
      <c r="A101" s="89"/>
      <c r="B101" s="15"/>
      <c r="C101" s="20"/>
      <c r="D101" s="20"/>
    </row>
    <row r="102" spans="1:4" ht="20.25" x14ac:dyDescent="0.25">
      <c r="A102" s="89"/>
      <c r="B102" s="15"/>
      <c r="C102" s="20"/>
      <c r="D102" s="20"/>
    </row>
    <row r="103" spans="1:4" ht="20.25" x14ac:dyDescent="0.25">
      <c r="A103" s="89"/>
      <c r="B103" s="15"/>
      <c r="C103" s="20"/>
      <c r="D103" s="20"/>
    </row>
    <row r="104" spans="1:4" ht="20.25" x14ac:dyDescent="0.25">
      <c r="A104" s="89"/>
      <c r="B104" s="15"/>
      <c r="C104" s="20"/>
      <c r="D104" s="20"/>
    </row>
    <row r="105" spans="1:4" ht="20.25" x14ac:dyDescent="0.25">
      <c r="A105" s="89"/>
      <c r="B105" s="15"/>
      <c r="C105" s="20"/>
      <c r="D105" s="20"/>
    </row>
    <row r="106" spans="1:4" ht="20.25" x14ac:dyDescent="0.25">
      <c r="A106" s="89"/>
      <c r="B106" s="15"/>
      <c r="C106" s="20"/>
      <c r="D106" s="20"/>
    </row>
    <row r="107" spans="1:4" ht="20.25" x14ac:dyDescent="0.25">
      <c r="A107" s="89"/>
      <c r="B107" s="15"/>
      <c r="C107" s="20"/>
      <c r="D107" s="20"/>
    </row>
    <row r="108" spans="1:4" ht="20.25" x14ac:dyDescent="0.25">
      <c r="A108" s="89"/>
      <c r="B108" s="15"/>
      <c r="C108" s="20"/>
      <c r="D108" s="20"/>
    </row>
    <row r="109" spans="1:4" ht="20.25" x14ac:dyDescent="0.25">
      <c r="A109" s="89"/>
      <c r="B109" s="15"/>
      <c r="C109" s="20"/>
      <c r="D109" s="20"/>
    </row>
    <row r="110" spans="1:4" ht="20.25" x14ac:dyDescent="0.25">
      <c r="A110" s="89"/>
      <c r="B110" s="15"/>
      <c r="C110" s="20"/>
      <c r="D110" s="20"/>
    </row>
    <row r="111" spans="1:4" ht="20.25" x14ac:dyDescent="0.25">
      <c r="A111" s="89"/>
      <c r="B111" s="15"/>
      <c r="C111" s="20"/>
      <c r="D111" s="20"/>
    </row>
    <row r="112" spans="1:4" ht="20.25" x14ac:dyDescent="0.25">
      <c r="A112" s="89"/>
      <c r="B112" s="15"/>
      <c r="C112" s="20"/>
      <c r="D112" s="20"/>
    </row>
    <row r="113" spans="1:4" ht="20.25" x14ac:dyDescent="0.25">
      <c r="A113" s="89"/>
      <c r="B113" s="15"/>
      <c r="C113" s="20"/>
      <c r="D113" s="20"/>
    </row>
    <row r="114" spans="1:4" ht="20.25" x14ac:dyDescent="0.25">
      <c r="A114" s="89"/>
      <c r="B114" s="15"/>
      <c r="C114" s="20"/>
      <c r="D114" s="20"/>
    </row>
    <row r="115" spans="1:4" ht="20.25" x14ac:dyDescent="0.25">
      <c r="A115" s="89"/>
      <c r="B115" s="15"/>
      <c r="C115" s="20"/>
      <c r="D115" s="20"/>
    </row>
    <row r="116" spans="1:4" ht="20.25" x14ac:dyDescent="0.25">
      <c r="A116" s="89"/>
      <c r="B116" s="15"/>
      <c r="C116" s="20"/>
      <c r="D116" s="20"/>
    </row>
    <row r="117" spans="1:4" ht="20.25" x14ac:dyDescent="0.25">
      <c r="A117" s="89"/>
      <c r="B117" s="15"/>
      <c r="C117" s="20"/>
      <c r="D117" s="20"/>
    </row>
    <row r="118" spans="1:4" ht="20.25" x14ac:dyDescent="0.25">
      <c r="A118" s="89"/>
      <c r="B118" s="15"/>
      <c r="C118" s="20"/>
      <c r="D118" s="20"/>
    </row>
    <row r="119" spans="1:4" ht="20.25" x14ac:dyDescent="0.25">
      <c r="A119" s="89"/>
      <c r="B119" s="15"/>
      <c r="C119" s="20"/>
      <c r="D119" s="20"/>
    </row>
    <row r="120" spans="1:4" ht="20.25" x14ac:dyDescent="0.25">
      <c r="A120" s="89"/>
      <c r="B120" s="15"/>
      <c r="C120" s="20"/>
      <c r="D120" s="20"/>
    </row>
    <row r="121" spans="1:4" ht="20.25" x14ac:dyDescent="0.25">
      <c r="A121" s="89"/>
      <c r="B121" s="15"/>
      <c r="C121" s="20"/>
      <c r="D121" s="20"/>
    </row>
    <row r="122" spans="1:4" ht="20.25" x14ac:dyDescent="0.25">
      <c r="A122" s="89"/>
      <c r="B122" s="15"/>
      <c r="C122" s="20"/>
      <c r="D122" s="20"/>
    </row>
    <row r="123" spans="1:4" ht="20.25" x14ac:dyDescent="0.25">
      <c r="A123" s="89"/>
      <c r="B123" s="15"/>
      <c r="C123" s="20"/>
      <c r="D123" s="20"/>
    </row>
    <row r="124" spans="1:4" ht="20.25" x14ac:dyDescent="0.25">
      <c r="A124" s="89"/>
      <c r="B124" s="15"/>
      <c r="C124" s="20"/>
      <c r="D124" s="20"/>
    </row>
    <row r="125" spans="1:4" ht="20.25" x14ac:dyDescent="0.25">
      <c r="A125" s="89"/>
      <c r="B125" s="15"/>
      <c r="C125" s="20"/>
      <c r="D125" s="20"/>
    </row>
    <row r="126" spans="1:4" ht="20.25" x14ac:dyDescent="0.25">
      <c r="A126" s="89"/>
      <c r="B126" s="15"/>
      <c r="C126" s="20"/>
      <c r="D126" s="20"/>
    </row>
    <row r="127" spans="1:4" ht="20.25" x14ac:dyDescent="0.25">
      <c r="A127" s="89"/>
      <c r="B127" s="15"/>
      <c r="C127" s="20"/>
      <c r="D127" s="20"/>
    </row>
    <row r="128" spans="1:4" ht="20.25" x14ac:dyDescent="0.25">
      <c r="A128" s="89"/>
      <c r="B128" s="15"/>
      <c r="C128" s="20"/>
      <c r="D128" s="20"/>
    </row>
    <row r="129" spans="1:4" ht="20.25" x14ac:dyDescent="0.25">
      <c r="A129" s="89"/>
      <c r="B129" s="15"/>
      <c r="C129" s="20"/>
      <c r="D129" s="20"/>
    </row>
    <row r="130" spans="1:4" ht="20.25" x14ac:dyDescent="0.25">
      <c r="A130" s="89"/>
      <c r="B130" s="15"/>
      <c r="C130" s="20"/>
      <c r="D130" s="20"/>
    </row>
    <row r="131" spans="1:4" ht="20.25" x14ac:dyDescent="0.25">
      <c r="A131" s="89"/>
      <c r="B131" s="15"/>
      <c r="C131" s="20"/>
      <c r="D131" s="20"/>
    </row>
    <row r="132" spans="1:4" ht="20.25" x14ac:dyDescent="0.25">
      <c r="A132" s="89"/>
      <c r="B132" s="15"/>
      <c r="C132" s="20"/>
      <c r="D132" s="20"/>
    </row>
    <row r="133" spans="1:4" ht="20.25" x14ac:dyDescent="0.25">
      <c r="A133" s="89"/>
      <c r="B133" s="15"/>
      <c r="C133" s="20"/>
      <c r="D133" s="20"/>
    </row>
    <row r="134" spans="1:4" ht="20.25" x14ac:dyDescent="0.25">
      <c r="A134" s="89"/>
      <c r="B134" s="15"/>
      <c r="C134" s="20"/>
      <c r="D134" s="20"/>
    </row>
    <row r="135" spans="1:4" ht="20.25" x14ac:dyDescent="0.25">
      <c r="A135" s="89"/>
      <c r="B135" s="15"/>
      <c r="C135" s="20"/>
      <c r="D135" s="20"/>
    </row>
    <row r="136" spans="1:4" ht="20.25" x14ac:dyDescent="0.25">
      <c r="A136" s="89"/>
      <c r="B136" s="15"/>
      <c r="C136" s="20"/>
      <c r="D136" s="20"/>
    </row>
    <row r="137" spans="1:4" ht="20.25" x14ac:dyDescent="0.25">
      <c r="A137" s="89"/>
      <c r="B137" s="15"/>
      <c r="C137" s="20"/>
      <c r="D137" s="20"/>
    </row>
    <row r="138" spans="1:4" ht="20.25" x14ac:dyDescent="0.25">
      <c r="A138" s="89"/>
      <c r="B138" s="15"/>
      <c r="C138" s="20"/>
      <c r="D138" s="20"/>
    </row>
    <row r="139" spans="1:4" ht="20.25" x14ac:dyDescent="0.25">
      <c r="A139" s="89"/>
      <c r="B139" s="15"/>
      <c r="C139" s="20"/>
      <c r="D139" s="20"/>
    </row>
    <row r="140" spans="1:4" ht="20.25" x14ac:dyDescent="0.25">
      <c r="A140" s="89"/>
      <c r="B140" s="15"/>
      <c r="C140" s="20"/>
      <c r="D140" s="20"/>
    </row>
    <row r="141" spans="1:4" ht="20.25" x14ac:dyDescent="0.25">
      <c r="A141" s="89"/>
      <c r="B141" s="15"/>
      <c r="C141" s="20"/>
      <c r="D141" s="20"/>
    </row>
    <row r="142" spans="1:4" ht="20.25" x14ac:dyDescent="0.25">
      <c r="A142" s="89"/>
      <c r="B142" s="15"/>
      <c r="C142" s="20"/>
      <c r="D142" s="20"/>
    </row>
    <row r="143" spans="1:4" ht="20.25" x14ac:dyDescent="0.25">
      <c r="A143" s="89"/>
      <c r="B143" s="15"/>
      <c r="C143" s="20"/>
      <c r="D143" s="20"/>
    </row>
    <row r="144" spans="1:4" ht="20.25" x14ac:dyDescent="0.25">
      <c r="A144" s="89"/>
      <c r="B144" s="15"/>
      <c r="C144" s="20"/>
      <c r="D144" s="20"/>
    </row>
    <row r="145" spans="1:4" ht="20.25" x14ac:dyDescent="0.25">
      <c r="A145" s="89"/>
      <c r="B145" s="15"/>
      <c r="C145" s="20"/>
      <c r="D145" s="20"/>
    </row>
    <row r="146" spans="1:4" ht="20.25" x14ac:dyDescent="0.25">
      <c r="A146" s="89"/>
      <c r="B146" s="15"/>
      <c r="C146" s="20"/>
      <c r="D146" s="20"/>
    </row>
    <row r="147" spans="1:4" ht="20.25" x14ac:dyDescent="0.25">
      <c r="A147" s="89"/>
      <c r="B147" s="15"/>
      <c r="C147" s="20"/>
      <c r="D147" s="20"/>
    </row>
    <row r="148" spans="1:4" ht="20.25" x14ac:dyDescent="0.25">
      <c r="A148" s="89"/>
      <c r="B148" s="15"/>
      <c r="C148" s="20"/>
      <c r="D148" s="20"/>
    </row>
    <row r="149" spans="1:4" ht="20.25" x14ac:dyDescent="0.25">
      <c r="A149" s="89"/>
      <c r="B149" s="15"/>
      <c r="C149" s="20"/>
      <c r="D149" s="20"/>
    </row>
    <row r="150" spans="1:4" ht="20.25" x14ac:dyDescent="0.25">
      <c r="A150" s="89"/>
      <c r="B150" s="15"/>
      <c r="C150" s="20"/>
      <c r="D150" s="20"/>
    </row>
    <row r="151" spans="1:4" ht="20.25" x14ac:dyDescent="0.25">
      <c r="A151" s="89"/>
      <c r="B151" s="15"/>
      <c r="C151" s="20"/>
      <c r="D151" s="20"/>
    </row>
    <row r="152" spans="1:4" ht="20.25" x14ac:dyDescent="0.25">
      <c r="A152" s="89"/>
      <c r="B152" s="15"/>
      <c r="C152" s="20"/>
      <c r="D152" s="20"/>
    </row>
    <row r="153" spans="1:4" ht="20.25" x14ac:dyDescent="0.25">
      <c r="A153" s="89"/>
      <c r="B153" s="15"/>
      <c r="C153" s="20"/>
      <c r="D153" s="20"/>
    </row>
    <row r="154" spans="1:4" ht="20.25" x14ac:dyDescent="0.25">
      <c r="A154" s="89"/>
      <c r="B154" s="15"/>
      <c r="C154" s="20"/>
      <c r="D154" s="20"/>
    </row>
    <row r="155" spans="1:4" ht="20.25" x14ac:dyDescent="0.25">
      <c r="A155" s="89"/>
      <c r="B155" s="15"/>
      <c r="C155" s="20"/>
      <c r="D155" s="20"/>
    </row>
    <row r="156" spans="1:4" ht="20.25" x14ac:dyDescent="0.25">
      <c r="A156" s="89"/>
      <c r="B156" s="15"/>
      <c r="C156" s="20"/>
      <c r="D156" s="20"/>
    </row>
    <row r="157" spans="1:4" ht="20.25" x14ac:dyDescent="0.25">
      <c r="A157" s="89"/>
      <c r="B157" s="15"/>
      <c r="C157" s="20"/>
      <c r="D157" s="20"/>
    </row>
    <row r="158" spans="1:4" ht="20.25" x14ac:dyDescent="0.25">
      <c r="A158" s="89"/>
      <c r="B158" s="15"/>
      <c r="C158" s="20"/>
      <c r="D158" s="20"/>
    </row>
    <row r="159" spans="1:4" ht="20.25" x14ac:dyDescent="0.25">
      <c r="A159" s="89"/>
      <c r="B159" s="15"/>
      <c r="C159" s="20"/>
      <c r="D159" s="20"/>
    </row>
    <row r="160" spans="1:4" ht="20.25" x14ac:dyDescent="0.25">
      <c r="A160" s="89"/>
      <c r="B160" s="15"/>
      <c r="C160" s="20"/>
      <c r="D160" s="20"/>
    </row>
    <row r="161" spans="1:4" ht="20.25" x14ac:dyDescent="0.25">
      <c r="A161" s="89"/>
      <c r="B161" s="15"/>
      <c r="C161" s="20"/>
      <c r="D161" s="20"/>
    </row>
    <row r="162" spans="1:4" ht="20.25" x14ac:dyDescent="0.25">
      <c r="A162" s="89"/>
      <c r="B162" s="15"/>
      <c r="C162" s="20"/>
      <c r="D162" s="20"/>
    </row>
    <row r="163" spans="1:4" ht="20.25" x14ac:dyDescent="0.25">
      <c r="A163" s="89"/>
      <c r="B163" s="15"/>
      <c r="C163" s="20"/>
      <c r="D163" s="20"/>
    </row>
    <row r="164" spans="1:4" ht="20.25" x14ac:dyDescent="0.25">
      <c r="A164" s="89"/>
      <c r="B164" s="15"/>
      <c r="C164" s="20"/>
      <c r="D164" s="20"/>
    </row>
    <row r="165" spans="1:4" ht="20.25" x14ac:dyDescent="0.25">
      <c r="A165" s="89"/>
      <c r="B165" s="15"/>
      <c r="C165" s="20"/>
      <c r="D165" s="20"/>
    </row>
    <row r="166" spans="1:4" ht="20.25" x14ac:dyDescent="0.25">
      <c r="A166" s="89"/>
      <c r="B166" s="15"/>
      <c r="C166" s="20"/>
      <c r="D166" s="20"/>
    </row>
    <row r="167" spans="1:4" ht="20.25" x14ac:dyDescent="0.25">
      <c r="A167" s="89"/>
      <c r="B167" s="15"/>
      <c r="C167" s="20"/>
      <c r="D167" s="20"/>
    </row>
    <row r="168" spans="1:4" ht="20.25" x14ac:dyDescent="0.25">
      <c r="A168" s="89"/>
      <c r="B168" s="15"/>
      <c r="C168" s="20"/>
      <c r="D168" s="20"/>
    </row>
    <row r="169" spans="1:4" ht="20.25" x14ac:dyDescent="0.25">
      <c r="A169" s="89"/>
      <c r="B169" s="15"/>
      <c r="C169" s="20"/>
      <c r="D169" s="20"/>
    </row>
    <row r="170" spans="1:4" ht="20.25" x14ac:dyDescent="0.25">
      <c r="A170" s="89"/>
      <c r="B170" s="15"/>
      <c r="C170" s="20"/>
      <c r="D170" s="20"/>
    </row>
    <row r="171" spans="1:4" ht="20.25" x14ac:dyDescent="0.25">
      <c r="A171" s="89"/>
      <c r="B171" s="15"/>
      <c r="C171" s="20"/>
      <c r="D171" s="20"/>
    </row>
    <row r="172" spans="1:4" ht="20.25" x14ac:dyDescent="0.25">
      <c r="A172" s="89"/>
      <c r="B172" s="15"/>
      <c r="C172" s="20"/>
      <c r="D172" s="20"/>
    </row>
    <row r="173" spans="1:4" ht="20.25" x14ac:dyDescent="0.25">
      <c r="A173" s="89"/>
      <c r="B173" s="15"/>
      <c r="C173" s="20"/>
      <c r="D173" s="20"/>
    </row>
    <row r="174" spans="1:4" ht="20.25" x14ac:dyDescent="0.25">
      <c r="A174" s="89"/>
      <c r="B174" s="15"/>
      <c r="C174" s="20"/>
      <c r="D174" s="20"/>
    </row>
    <row r="175" spans="1:4" ht="20.25" x14ac:dyDescent="0.25">
      <c r="A175" s="89"/>
      <c r="B175" s="15"/>
      <c r="C175" s="20"/>
      <c r="D175" s="20"/>
    </row>
    <row r="176" spans="1:4" ht="20.25" x14ac:dyDescent="0.25">
      <c r="A176" s="89"/>
      <c r="B176" s="15"/>
      <c r="C176" s="20"/>
      <c r="D176" s="20"/>
    </row>
    <row r="177" spans="1:4" ht="20.25" x14ac:dyDescent="0.25">
      <c r="A177" s="89"/>
      <c r="B177" s="15"/>
      <c r="C177" s="20"/>
      <c r="D177" s="20"/>
    </row>
    <row r="178" spans="1:4" ht="20.25" x14ac:dyDescent="0.25">
      <c r="A178" s="89"/>
      <c r="B178" s="15"/>
      <c r="C178" s="20"/>
      <c r="D178" s="20"/>
    </row>
    <row r="179" spans="1:4" ht="20.25" x14ac:dyDescent="0.25">
      <c r="A179" s="89"/>
      <c r="B179" s="15"/>
      <c r="C179" s="20"/>
      <c r="D179" s="20"/>
    </row>
    <row r="180" spans="1:4" ht="20.25" x14ac:dyDescent="0.25">
      <c r="A180" s="89"/>
      <c r="B180" s="15"/>
      <c r="C180" s="20"/>
      <c r="D180" s="20"/>
    </row>
    <row r="181" spans="1:4" ht="20.25" x14ac:dyDescent="0.25">
      <c r="A181" s="89"/>
      <c r="B181" s="15"/>
      <c r="C181" s="20"/>
      <c r="D181" s="20"/>
    </row>
    <row r="182" spans="1:4" ht="20.25" x14ac:dyDescent="0.25">
      <c r="A182" s="89"/>
      <c r="B182" s="15"/>
      <c r="C182" s="20"/>
      <c r="D182" s="20"/>
    </row>
    <row r="183" spans="1:4" ht="20.25" x14ac:dyDescent="0.25">
      <c r="A183" s="89"/>
      <c r="B183" s="15"/>
      <c r="C183" s="20"/>
      <c r="D183" s="20"/>
    </row>
    <row r="184" spans="1:4" ht="20.25" x14ac:dyDescent="0.25">
      <c r="A184" s="89"/>
      <c r="B184" s="15"/>
      <c r="C184" s="20"/>
      <c r="D184" s="20"/>
    </row>
    <row r="185" spans="1:4" ht="20.25" x14ac:dyDescent="0.25">
      <c r="A185" s="89"/>
      <c r="B185" s="15"/>
      <c r="C185" s="20"/>
      <c r="D185" s="20"/>
    </row>
    <row r="186" spans="1:4" ht="20.25" x14ac:dyDescent="0.25">
      <c r="A186" s="89"/>
      <c r="B186" s="15"/>
      <c r="C186" s="20"/>
      <c r="D186" s="20"/>
    </row>
    <row r="187" spans="1:4" ht="20.25" x14ac:dyDescent="0.25">
      <c r="A187" s="89"/>
      <c r="B187" s="15"/>
      <c r="C187" s="20"/>
      <c r="D187" s="20"/>
    </row>
    <row r="188" spans="1:4" ht="20.25" x14ac:dyDescent="0.25">
      <c r="A188" s="89"/>
      <c r="B188" s="15"/>
      <c r="C188" s="20"/>
      <c r="D188" s="20"/>
    </row>
    <row r="189" spans="1:4" ht="20.25" x14ac:dyDescent="0.25">
      <c r="A189" s="89"/>
      <c r="B189" s="15"/>
      <c r="C189" s="20"/>
      <c r="D189" s="20"/>
    </row>
    <row r="190" spans="1:4" ht="20.25" x14ac:dyDescent="0.25">
      <c r="A190" s="89"/>
      <c r="B190" s="15"/>
      <c r="C190" s="20"/>
      <c r="D190" s="20"/>
    </row>
    <row r="191" spans="1:4" ht="20.25" x14ac:dyDescent="0.25">
      <c r="A191" s="89"/>
      <c r="B191" s="15"/>
      <c r="C191" s="20"/>
      <c r="D191" s="20"/>
    </row>
    <row r="192" spans="1:4" ht="20.25" x14ac:dyDescent="0.25">
      <c r="A192" s="89"/>
      <c r="B192" s="15"/>
      <c r="C192" s="20"/>
      <c r="D192" s="20"/>
    </row>
    <row r="193" spans="1:4" ht="20.25" x14ac:dyDescent="0.25">
      <c r="A193" s="89"/>
      <c r="B193" s="15"/>
      <c r="C193" s="20"/>
      <c r="D193" s="20"/>
    </row>
    <row r="194" spans="1:4" ht="20.25" x14ac:dyDescent="0.25">
      <c r="A194" s="89"/>
      <c r="B194" s="15"/>
      <c r="C194" s="20"/>
      <c r="D194" s="20"/>
    </row>
    <row r="195" spans="1:4" ht="20.25" x14ac:dyDescent="0.25">
      <c r="A195" s="89"/>
      <c r="B195" s="15"/>
      <c r="C195" s="20"/>
      <c r="D195" s="20"/>
    </row>
    <row r="196" spans="1:4" ht="20.25" x14ac:dyDescent="0.25">
      <c r="A196" s="89"/>
      <c r="B196" s="15"/>
      <c r="C196" s="20"/>
      <c r="D196" s="20"/>
    </row>
    <row r="197" spans="1:4" ht="20.25" x14ac:dyDescent="0.25">
      <c r="A197" s="89"/>
      <c r="B197" s="15"/>
      <c r="C197" s="20"/>
      <c r="D197" s="20"/>
    </row>
    <row r="198" spans="1:4" ht="20.25" x14ac:dyDescent="0.25">
      <c r="A198" s="89"/>
      <c r="B198" s="15"/>
      <c r="C198" s="20"/>
      <c r="D198" s="20"/>
    </row>
    <row r="199" spans="1:4" ht="20.25" x14ac:dyDescent="0.25">
      <c r="A199" s="89"/>
      <c r="B199" s="15"/>
      <c r="C199" s="20"/>
      <c r="D199" s="20"/>
    </row>
    <row r="200" spans="1:4" ht="20.25" x14ac:dyDescent="0.25">
      <c r="A200" s="89"/>
      <c r="B200" s="15"/>
      <c r="C200" s="20"/>
      <c r="D200" s="20"/>
    </row>
    <row r="201" spans="1:4" ht="20.25" x14ac:dyDescent="0.25">
      <c r="A201" s="89"/>
      <c r="B201" s="15"/>
      <c r="C201" s="20"/>
      <c r="D201" s="20"/>
    </row>
    <row r="202" spans="1:4" ht="20.25" x14ac:dyDescent="0.25">
      <c r="A202" s="89"/>
      <c r="B202" s="15"/>
      <c r="C202" s="20"/>
      <c r="D202" s="20"/>
    </row>
    <row r="203" spans="1:4" ht="20.25" x14ac:dyDescent="0.25">
      <c r="A203" s="89"/>
      <c r="B203" s="15"/>
      <c r="C203" s="20"/>
      <c r="D203" s="20"/>
    </row>
    <row r="204" spans="1:4" ht="20.25" x14ac:dyDescent="0.25">
      <c r="A204" s="89"/>
      <c r="B204" s="15"/>
      <c r="C204" s="20"/>
      <c r="D204" s="20"/>
    </row>
    <row r="205" spans="1:4" ht="20.25" x14ac:dyDescent="0.25">
      <c r="A205" s="89"/>
      <c r="B205" s="15"/>
      <c r="C205" s="20"/>
      <c r="D205" s="20"/>
    </row>
    <row r="206" spans="1:4" ht="20.25" x14ac:dyDescent="0.25">
      <c r="A206" s="89"/>
      <c r="B206" s="15"/>
      <c r="C206" s="20"/>
      <c r="D206" s="20"/>
    </row>
    <row r="207" spans="1:4" ht="20.25" x14ac:dyDescent="0.25">
      <c r="A207" s="89"/>
      <c r="B207" s="15"/>
      <c r="C207" s="20"/>
      <c r="D207" s="20"/>
    </row>
    <row r="208" spans="1:4" x14ac:dyDescent="0.25">
      <c r="A208" s="69"/>
      <c r="B208" s="15"/>
      <c r="C208" s="15"/>
      <c r="D208" s="15"/>
    </row>
    <row r="209" spans="1:8" ht="20.25" x14ac:dyDescent="0.25">
      <c r="A209" s="69"/>
      <c r="B209" s="16" t="s">
        <v>88</v>
      </c>
      <c r="C209" s="16" t="s">
        <v>143</v>
      </c>
      <c r="D209" s="19" t="s">
        <v>88</v>
      </c>
      <c r="E209" s="19" t="s">
        <v>143</v>
      </c>
    </row>
    <row r="210" spans="1:8" ht="21" x14ac:dyDescent="0.35">
      <c r="A210" s="69"/>
      <c r="B210" s="17" t="s">
        <v>90</v>
      </c>
      <c r="C210" s="17" t="s">
        <v>58</v>
      </c>
      <c r="D210" t="s">
        <v>90</v>
      </c>
      <c r="F210" t="str">
        <f>IF(NOT(ISBLANK(D210)),D210,IF(NOT(ISBLANK(E210)),"     "&amp;E210,FALSE))</f>
        <v>Afectación Económica o presupuestal</v>
      </c>
      <c r="G210" t="s">
        <v>90</v>
      </c>
      <c r="H210" t="str">
        <f>IF(NOT(ISERROR(MATCH(G210,_xlfn.ANCHORARRAY(B221),0))),F223&amp;"Por favor no seleccionar los criterios de impacto",G210)</f>
        <v>❌Por favor no seleccionar los criterios de impacto</v>
      </c>
    </row>
    <row r="211" spans="1:8" ht="21" x14ac:dyDescent="0.35">
      <c r="A211" s="69"/>
      <c r="B211" s="17" t="s">
        <v>90</v>
      </c>
      <c r="C211" s="17" t="s">
        <v>93</v>
      </c>
      <c r="E211" t="s">
        <v>58</v>
      </c>
      <c r="F211" t="str">
        <f t="shared" ref="F211:F221" si="0">IF(NOT(ISBLANK(D211)),D211,IF(NOT(ISBLANK(E211)),"     "&amp;E211,FALSE))</f>
        <v xml:space="preserve">     Afectación menor a 10 SMLMV .</v>
      </c>
    </row>
    <row r="212" spans="1:8" ht="21" x14ac:dyDescent="0.35">
      <c r="A212" s="69"/>
      <c r="B212" s="17" t="s">
        <v>90</v>
      </c>
      <c r="C212" s="17" t="s">
        <v>94</v>
      </c>
      <c r="E212" t="s">
        <v>93</v>
      </c>
      <c r="F212" t="str">
        <f t="shared" si="0"/>
        <v xml:space="preserve">     Entre 10 y 50 SMLMV </v>
      </c>
    </row>
    <row r="213" spans="1:8" ht="21" x14ac:dyDescent="0.35">
      <c r="A213" s="69"/>
      <c r="B213" s="17" t="s">
        <v>90</v>
      </c>
      <c r="C213" s="17" t="s">
        <v>95</v>
      </c>
      <c r="E213" t="s">
        <v>94</v>
      </c>
      <c r="F213" t="str">
        <f t="shared" si="0"/>
        <v xml:space="preserve">     Entre 50 y 100 SMLMV </v>
      </c>
    </row>
    <row r="214" spans="1:8" ht="21" x14ac:dyDescent="0.35">
      <c r="A214" s="69"/>
      <c r="B214" s="17" t="s">
        <v>90</v>
      </c>
      <c r="C214" s="17" t="s">
        <v>96</v>
      </c>
      <c r="E214" t="s">
        <v>95</v>
      </c>
      <c r="F214" t="str">
        <f t="shared" si="0"/>
        <v xml:space="preserve">     Entre 100 y 500 SMLMV </v>
      </c>
    </row>
    <row r="215" spans="1:8" ht="21" x14ac:dyDescent="0.35">
      <c r="A215" s="69"/>
      <c r="B215" s="17" t="s">
        <v>57</v>
      </c>
      <c r="C215" s="17" t="s">
        <v>97</v>
      </c>
      <c r="E215" t="s">
        <v>96</v>
      </c>
      <c r="F215" t="str">
        <f t="shared" si="0"/>
        <v xml:space="preserve">     Mayor a 500 SMLMV </v>
      </c>
    </row>
    <row r="216" spans="1:8" ht="21" x14ac:dyDescent="0.35">
      <c r="A216" s="69"/>
      <c r="B216" s="17" t="s">
        <v>57</v>
      </c>
      <c r="C216" s="17" t="s">
        <v>98</v>
      </c>
      <c r="D216" t="s">
        <v>57</v>
      </c>
      <c r="F216" t="str">
        <f t="shared" si="0"/>
        <v>Pérdida Reputacional</v>
      </c>
    </row>
    <row r="217" spans="1:8" ht="21" x14ac:dyDescent="0.35">
      <c r="A217" s="69"/>
      <c r="B217" s="17" t="s">
        <v>57</v>
      </c>
      <c r="C217" s="17" t="s">
        <v>100</v>
      </c>
      <c r="E217" t="s">
        <v>97</v>
      </c>
      <c r="F217" t="str">
        <f t="shared" si="0"/>
        <v xml:space="preserve">     El riesgo afecta la imagen de alguna área de la organización</v>
      </c>
    </row>
    <row r="218" spans="1:8" ht="21" x14ac:dyDescent="0.35">
      <c r="A218" s="69"/>
      <c r="B218" s="17" t="s">
        <v>57</v>
      </c>
      <c r="C218" s="17" t="s">
        <v>99</v>
      </c>
      <c r="E218" t="s">
        <v>220</v>
      </c>
      <c r="F218" t="str">
        <f t="shared" si="0"/>
        <v xml:space="preserve">     El riesgo afecta la imagen de la entidad internamente, de conocimiento general, nivel interno, mesa directiva y/o de provedores</v>
      </c>
    </row>
    <row r="219" spans="1:8" ht="21" x14ac:dyDescent="0.35">
      <c r="A219" s="69"/>
      <c r="B219" s="17" t="s">
        <v>57</v>
      </c>
      <c r="C219" s="17" t="s">
        <v>118</v>
      </c>
      <c r="E219" t="s">
        <v>100</v>
      </c>
      <c r="F219" t="str">
        <f t="shared" si="0"/>
        <v xml:space="preserve">     El riesgo afecta la imagen de la entidad con algunos usuarios de relevancia frente al logro de los objetivos</v>
      </c>
    </row>
    <row r="220" spans="1:8" x14ac:dyDescent="0.25">
      <c r="A220" s="69"/>
      <c r="B220" s="18"/>
      <c r="C220" s="18"/>
      <c r="E220" t="s">
        <v>99</v>
      </c>
      <c r="F220" t="str">
        <f t="shared" si="0"/>
        <v xml:space="preserve">     El riesgo afecta la imagen de de la entidad con efecto publicitario sostenido a nivel de sector administrativo, nivel departamental o municipal</v>
      </c>
    </row>
    <row r="221" spans="1:8" x14ac:dyDescent="0.25">
      <c r="A221" s="69"/>
      <c r="B221" s="18" t="str" cm="1">
        <f t="array" ref="B221:B223">_xlfn.UNIQUE(Tabla1[[#All],[Criterios]])</f>
        <v>Criterios</v>
      </c>
      <c r="C221" s="18"/>
      <c r="E221" t="s">
        <v>118</v>
      </c>
      <c r="F221" t="str">
        <f t="shared" si="0"/>
        <v xml:space="preserve">     El riesgo afecta la imagen de la entidad a nivel nacional, con efecto publicitarios sostenible a nivel país</v>
      </c>
    </row>
    <row r="222" spans="1:8" x14ac:dyDescent="0.25">
      <c r="A222" s="69"/>
      <c r="B222" s="18" t="str">
        <v>Afectación Económica o presupuestal</v>
      </c>
      <c r="C222" s="18"/>
    </row>
    <row r="223" spans="1:8" x14ac:dyDescent="0.25">
      <c r="B223" s="18" t="str">
        <v>Pérdida Reputacional</v>
      </c>
      <c r="C223" s="18"/>
      <c r="F223" s="21" t="s">
        <v>145</v>
      </c>
    </row>
    <row r="224" spans="1:8" x14ac:dyDescent="0.25">
      <c r="B224" s="14"/>
      <c r="C224" s="14"/>
      <c r="F224" s="21" t="s">
        <v>146</v>
      </c>
    </row>
    <row r="225" spans="2:4" x14ac:dyDescent="0.25">
      <c r="B225" s="14"/>
      <c r="C225" s="14"/>
    </row>
    <row r="226" spans="2:4" x14ac:dyDescent="0.25">
      <c r="B226" s="14"/>
      <c r="C226" s="14"/>
    </row>
    <row r="227" spans="2:4" x14ac:dyDescent="0.25">
      <c r="B227" s="14"/>
      <c r="C227" s="14"/>
      <c r="D227" s="14"/>
    </row>
    <row r="228" spans="2:4" x14ac:dyDescent="0.25">
      <c r="B228" s="14"/>
      <c r="C228" s="14"/>
      <c r="D228" s="14"/>
    </row>
    <row r="229" spans="2:4" x14ac:dyDescent="0.25">
      <c r="B229" s="14"/>
      <c r="C229" s="14"/>
      <c r="D229" s="14"/>
    </row>
    <row r="230" spans="2:4" x14ac:dyDescent="0.25">
      <c r="B230" s="14"/>
      <c r="C230" s="14"/>
      <c r="D230" s="14"/>
    </row>
    <row r="231" spans="2:4" x14ac:dyDescent="0.25">
      <c r="B231" s="14"/>
      <c r="C231" s="14"/>
      <c r="D231" s="14"/>
    </row>
    <row r="232" spans="2:4" x14ac:dyDescent="0.25">
      <c r="B232" s="14"/>
      <c r="C232" s="14"/>
      <c r="D232" s="14"/>
    </row>
  </sheetData>
  <mergeCells count="1">
    <mergeCell ref="B1:D1"/>
  </mergeCells>
  <dataValidations disablePrompts="1" count="1">
    <dataValidation type="list" allowBlank="1" showInputMessage="1" showErrorMessage="1" sqref="G210" xr:uid="{00000000-0002-0000-0500-000000000000}">
      <formula1>$F$210:$F$221</formula1>
    </dataValidation>
  </dataValidations>
  <pageMargins left="0.7" right="0.7" top="0.75" bottom="0.75" header="0.3" footer="0.3"/>
  <pageSetup orientation="portrait"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249977111117893"/>
  </sheetPr>
  <dimension ref="B1:F16"/>
  <sheetViews>
    <sheetView workbookViewId="0">
      <selection activeCell="B1" sqref="B1:F1"/>
    </sheetView>
  </sheetViews>
  <sheetFormatPr baseColWidth="10" defaultColWidth="14.28515625" defaultRowHeight="12.75" x14ac:dyDescent="0.2"/>
  <cols>
    <col min="1" max="2" width="14.28515625" style="74" collapsed="1"/>
    <col min="3" max="3" width="17" style="74" customWidth="1" collapsed="1"/>
    <col min="4" max="4" width="14.28515625" style="74" collapsed="1"/>
    <col min="5" max="5" width="46" style="74" customWidth="1" collapsed="1"/>
    <col min="6" max="16384" width="14.28515625" style="74" collapsed="1"/>
  </cols>
  <sheetData>
    <row r="1" spans="2:6" ht="24" customHeight="1" thickBot="1" x14ac:dyDescent="0.25">
      <c r="B1" s="404" t="s">
        <v>78</v>
      </c>
      <c r="C1" s="405"/>
      <c r="D1" s="405"/>
      <c r="E1" s="405"/>
      <c r="F1" s="406"/>
    </row>
    <row r="2" spans="2:6" ht="16.5" thickBot="1" x14ac:dyDescent="0.3">
      <c r="B2" s="75"/>
      <c r="C2" s="75"/>
      <c r="D2" s="75"/>
      <c r="E2" s="75"/>
      <c r="F2" s="75"/>
    </row>
    <row r="3" spans="2:6" ht="16.5" thickBot="1" x14ac:dyDescent="0.25">
      <c r="B3" s="408" t="s">
        <v>64</v>
      </c>
      <c r="C3" s="409"/>
      <c r="D3" s="409"/>
      <c r="E3" s="87" t="s">
        <v>65</v>
      </c>
      <c r="F3" s="88" t="s">
        <v>66</v>
      </c>
    </row>
    <row r="4" spans="2:6" ht="31.5" x14ac:dyDescent="0.2">
      <c r="B4" s="410" t="s">
        <v>67</v>
      </c>
      <c r="C4" s="412" t="s">
        <v>13</v>
      </c>
      <c r="D4" s="76" t="s">
        <v>14</v>
      </c>
      <c r="E4" s="77" t="s">
        <v>68</v>
      </c>
      <c r="F4" s="78">
        <v>0.25</v>
      </c>
    </row>
    <row r="5" spans="2:6" ht="47.25" x14ac:dyDescent="0.2">
      <c r="B5" s="411"/>
      <c r="C5" s="413"/>
      <c r="D5" s="79" t="s">
        <v>15</v>
      </c>
      <c r="E5" s="80" t="s">
        <v>69</v>
      </c>
      <c r="F5" s="81">
        <v>0.15</v>
      </c>
    </row>
    <row r="6" spans="2:6" ht="47.25" x14ac:dyDescent="0.2">
      <c r="B6" s="411"/>
      <c r="C6" s="413"/>
      <c r="D6" s="79" t="s">
        <v>16</v>
      </c>
      <c r="E6" s="80" t="s">
        <v>70</v>
      </c>
      <c r="F6" s="81">
        <v>0.1</v>
      </c>
    </row>
    <row r="7" spans="2:6" ht="63" x14ac:dyDescent="0.2">
      <c r="B7" s="411"/>
      <c r="C7" s="413" t="s">
        <v>17</v>
      </c>
      <c r="D7" s="79" t="s">
        <v>10</v>
      </c>
      <c r="E7" s="80" t="s">
        <v>71</v>
      </c>
      <c r="F7" s="81">
        <v>0.25</v>
      </c>
    </row>
    <row r="8" spans="2:6" ht="31.5" x14ac:dyDescent="0.2">
      <c r="B8" s="411"/>
      <c r="C8" s="413"/>
      <c r="D8" s="79" t="s">
        <v>9</v>
      </c>
      <c r="E8" s="80" t="s">
        <v>72</v>
      </c>
      <c r="F8" s="81">
        <v>0.15</v>
      </c>
    </row>
    <row r="9" spans="2:6" ht="47.25" x14ac:dyDescent="0.2">
      <c r="B9" s="411" t="s">
        <v>160</v>
      </c>
      <c r="C9" s="413" t="s">
        <v>18</v>
      </c>
      <c r="D9" s="79" t="s">
        <v>19</v>
      </c>
      <c r="E9" s="80" t="s">
        <v>73</v>
      </c>
      <c r="F9" s="82" t="s">
        <v>74</v>
      </c>
    </row>
    <row r="10" spans="2:6" ht="63" x14ac:dyDescent="0.2">
      <c r="B10" s="411"/>
      <c r="C10" s="413"/>
      <c r="D10" s="79" t="s">
        <v>20</v>
      </c>
      <c r="E10" s="80" t="s">
        <v>75</v>
      </c>
      <c r="F10" s="82" t="s">
        <v>74</v>
      </c>
    </row>
    <row r="11" spans="2:6" ht="47.25" x14ac:dyDescent="0.2">
      <c r="B11" s="411"/>
      <c r="C11" s="413" t="s">
        <v>21</v>
      </c>
      <c r="D11" s="79" t="s">
        <v>22</v>
      </c>
      <c r="E11" s="80" t="s">
        <v>76</v>
      </c>
      <c r="F11" s="82" t="s">
        <v>74</v>
      </c>
    </row>
    <row r="12" spans="2:6" ht="47.25" x14ac:dyDescent="0.2">
      <c r="B12" s="411"/>
      <c r="C12" s="413"/>
      <c r="D12" s="79" t="s">
        <v>23</v>
      </c>
      <c r="E12" s="80" t="s">
        <v>77</v>
      </c>
      <c r="F12" s="82" t="s">
        <v>74</v>
      </c>
    </row>
    <row r="13" spans="2:6" ht="31.5" x14ac:dyDescent="0.2">
      <c r="B13" s="411"/>
      <c r="C13" s="413" t="s">
        <v>24</v>
      </c>
      <c r="D13" s="79" t="s">
        <v>119</v>
      </c>
      <c r="E13" s="80" t="s">
        <v>122</v>
      </c>
      <c r="F13" s="82" t="s">
        <v>74</v>
      </c>
    </row>
    <row r="14" spans="2:6" ht="32.25" thickBot="1" x14ac:dyDescent="0.25">
      <c r="B14" s="414"/>
      <c r="C14" s="415"/>
      <c r="D14" s="83" t="s">
        <v>120</v>
      </c>
      <c r="E14" s="84" t="s">
        <v>121</v>
      </c>
      <c r="F14" s="85" t="s">
        <v>74</v>
      </c>
    </row>
    <row r="15" spans="2:6" ht="49.5" customHeight="1" x14ac:dyDescent="0.2">
      <c r="B15" s="407" t="s">
        <v>157</v>
      </c>
      <c r="C15" s="407"/>
      <c r="D15" s="407"/>
      <c r="E15" s="407"/>
      <c r="F15" s="407"/>
    </row>
    <row r="16" spans="2:6" ht="27" customHeight="1" x14ac:dyDescent="0.25">
      <c r="B16" s="86"/>
    </row>
  </sheetData>
  <mergeCells count="10">
    <mergeCell ref="B1:F1"/>
    <mergeCell ref="B15:F15"/>
    <mergeCell ref="B3:D3"/>
    <mergeCell ref="B4:B8"/>
    <mergeCell ref="C4:C6"/>
    <mergeCell ref="C7:C8"/>
    <mergeCell ref="B9:B14"/>
    <mergeCell ref="C9:C10"/>
    <mergeCell ref="C11:C12"/>
    <mergeCell ref="C13:C1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E19"/>
  <sheetViews>
    <sheetView topLeftCell="A4" workbookViewId="0">
      <selection activeCell="B13" sqref="B13:B19"/>
    </sheetView>
  </sheetViews>
  <sheetFormatPr baseColWidth="10" defaultRowHeight="15" x14ac:dyDescent="0.25"/>
  <sheetData>
    <row r="2" spans="2:5" x14ac:dyDescent="0.25">
      <c r="B2" t="s">
        <v>31</v>
      </c>
      <c r="E2" t="s">
        <v>132</v>
      </c>
    </row>
    <row r="3" spans="2:5" x14ac:dyDescent="0.25">
      <c r="B3" t="s">
        <v>32</v>
      </c>
      <c r="E3" t="s">
        <v>131</v>
      </c>
    </row>
    <row r="4" spans="2:5" x14ac:dyDescent="0.25">
      <c r="B4" t="s">
        <v>136</v>
      </c>
      <c r="E4" t="s">
        <v>133</v>
      </c>
    </row>
    <row r="5" spans="2:5" x14ac:dyDescent="0.25">
      <c r="B5" t="s">
        <v>135</v>
      </c>
    </row>
    <row r="8" spans="2:5" x14ac:dyDescent="0.25">
      <c r="B8" t="s">
        <v>86</v>
      </c>
    </row>
    <row r="9" spans="2:5" x14ac:dyDescent="0.25">
      <c r="B9" t="s">
        <v>40</v>
      </c>
    </row>
    <row r="10" spans="2:5" x14ac:dyDescent="0.25">
      <c r="B10" t="s">
        <v>41</v>
      </c>
    </row>
    <row r="13" spans="2:5" x14ac:dyDescent="0.25">
      <c r="B13" t="s">
        <v>129</v>
      </c>
    </row>
    <row r="14" spans="2:5" x14ac:dyDescent="0.25">
      <c r="B14" t="s">
        <v>123</v>
      </c>
    </row>
    <row r="15" spans="2:5" x14ac:dyDescent="0.25">
      <c r="B15" t="s">
        <v>126</v>
      </c>
    </row>
    <row r="16" spans="2:5" x14ac:dyDescent="0.25">
      <c r="B16" t="s">
        <v>124</v>
      </c>
    </row>
    <row r="17" spans="2:2" x14ac:dyDescent="0.25">
      <c r="B17" t="s">
        <v>125</v>
      </c>
    </row>
    <row r="18" spans="2:2" x14ac:dyDescent="0.25">
      <c r="B18" t="s">
        <v>127</v>
      </c>
    </row>
    <row r="19" spans="2:2" x14ac:dyDescent="0.25">
      <c r="B19" t="s">
        <v>128</v>
      </c>
    </row>
  </sheetData>
  <sortState xmlns:xlrd2="http://schemas.microsoft.com/office/spreadsheetml/2017/richdata2" ref="B2:B5">
    <sortCondition ref="B2:B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3:A21"/>
  <sheetViews>
    <sheetView workbookViewId="0">
      <selection activeCell="A19" sqref="A19"/>
    </sheetView>
  </sheetViews>
  <sheetFormatPr baseColWidth="10" defaultColWidth="11.42578125" defaultRowHeight="12.75" x14ac:dyDescent="0.2"/>
  <cols>
    <col min="1" max="1" width="32.85546875" style="1" customWidth="1" collapsed="1"/>
    <col min="2" max="16384" width="11.42578125" style="1" collapsed="1"/>
  </cols>
  <sheetData>
    <row r="3" spans="1:1" x14ac:dyDescent="0.2">
      <c r="A3" s="2" t="s">
        <v>14</v>
      </c>
    </row>
    <row r="4" spans="1:1" x14ac:dyDescent="0.2">
      <c r="A4" s="2" t="s">
        <v>15</v>
      </c>
    </row>
    <row r="5" spans="1:1" x14ac:dyDescent="0.2">
      <c r="A5" s="2" t="s">
        <v>16</v>
      </c>
    </row>
    <row r="6" spans="1:1" x14ac:dyDescent="0.2">
      <c r="A6" s="2" t="s">
        <v>10</v>
      </c>
    </row>
    <row r="7" spans="1:1" x14ac:dyDescent="0.2">
      <c r="A7" s="2" t="s">
        <v>9</v>
      </c>
    </row>
    <row r="8" spans="1:1" x14ac:dyDescent="0.2">
      <c r="A8" s="2" t="s">
        <v>19</v>
      </c>
    </row>
    <row r="9" spans="1:1" x14ac:dyDescent="0.2">
      <c r="A9" s="2" t="s">
        <v>20</v>
      </c>
    </row>
    <row r="10" spans="1:1" x14ac:dyDescent="0.2">
      <c r="A10" s="2" t="s">
        <v>22</v>
      </c>
    </row>
    <row r="11" spans="1:1" x14ac:dyDescent="0.2">
      <c r="A11" s="2" t="s">
        <v>23</v>
      </c>
    </row>
    <row r="12" spans="1:1" x14ac:dyDescent="0.2">
      <c r="A12" s="2" t="s">
        <v>25</v>
      </c>
    </row>
    <row r="13" spans="1:1" x14ac:dyDescent="0.2">
      <c r="A13" s="2" t="s">
        <v>26</v>
      </c>
    </row>
    <row r="14" spans="1:1" x14ac:dyDescent="0.2">
      <c r="A14" s="2" t="s">
        <v>27</v>
      </c>
    </row>
    <row r="16" spans="1:1" x14ac:dyDescent="0.2">
      <c r="A16" s="2" t="s">
        <v>30</v>
      </c>
    </row>
    <row r="17" spans="1:1" x14ac:dyDescent="0.2">
      <c r="A17" s="2" t="s">
        <v>31</v>
      </c>
    </row>
    <row r="18" spans="1:1" x14ac:dyDescent="0.2">
      <c r="A18" s="2" t="s">
        <v>32</v>
      </c>
    </row>
    <row r="20" spans="1:1" x14ac:dyDescent="0.2">
      <c r="A20" s="2" t="s">
        <v>40</v>
      </c>
    </row>
    <row r="21" spans="1:1" x14ac:dyDescent="0.2">
      <c r="A21" s="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Intructivo</vt:lpstr>
      <vt:lpstr>Mapa final</vt:lpstr>
      <vt:lpstr>Matriz Calor Inherente</vt:lpstr>
      <vt:lpstr>Matriz Calor Residual</vt:lpstr>
      <vt:lpstr>Tabla probabilidad</vt:lpstr>
      <vt:lpstr>Tabla Impacto</vt:lpstr>
      <vt:lpstr>Tabla Valoración controles</vt:lpstr>
      <vt:lpstr>Opciones Tratamiento</vt:lpstr>
      <vt:lpstr>Hoja1</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Myrian Cubillos Benavides</dc:creator>
  <cp:lastModifiedBy>concejo chia</cp:lastModifiedBy>
  <cp:lastPrinted>2025-09-09T14:36:52Z</cp:lastPrinted>
  <dcterms:created xsi:type="dcterms:W3CDTF">2020-03-24T23:12:47Z</dcterms:created>
  <dcterms:modified xsi:type="dcterms:W3CDTF">2025-12-27T00:07:21Z</dcterms:modified>
</cp:coreProperties>
</file>