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192.168.40.150\compartida\SGC CONCEJO CHIA 2025\6. Riesgos y oportunidades\Riesgos gestión jurídica y Contractual\Riesgo Gestión Contractual\"/>
    </mc:Choice>
  </mc:AlternateContent>
  <xr:revisionPtr revIDLastSave="0" documentId="13_ncr:1_{5DEACA27-19E1-4F6F-A3DD-327367943EC6}" xr6:coauthVersionLast="47" xr6:coauthVersionMax="47" xr10:uidLastSave="{00000000-0000-0000-0000-000000000000}"/>
  <bookViews>
    <workbookView xWindow="-120" yWindow="-120" windowWidth="29040" windowHeight="15720" tabRatio="882" activeTab="1" xr2:uid="{00000000-000D-0000-FFFF-FFFF00000000}"/>
  </bookViews>
  <sheets>
    <sheet name="Intructivo" sheetId="20" r:id="rId1"/>
    <sheet name="Mapa final" sheetId="1" r:id="rId2"/>
    <sheet name="Matriz Calor Inherente" sheetId="18" r:id="rId3"/>
    <sheet name="Matriz Calor Residual" sheetId="19" r:id="rId4"/>
    <sheet name="Tabla probabilidad" sheetId="12" r:id="rId5"/>
    <sheet name="Tabla Impacto" sheetId="13" r:id="rId6"/>
    <sheet name="Tabla Valoración controles" sheetId="15" r:id="rId7"/>
    <sheet name="Opciones Tratamiento" sheetId="16" state="hidden" r:id="rId8"/>
    <sheet name="Hoja1" sheetId="11" state="hidden" r:id="rId9"/>
  </sheets>
  <externalReferences>
    <externalReference r:id="rId10"/>
  </externalReferences>
  <calcPr calcId="191029"/>
  <pivotCaches>
    <pivotCache cacheId="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8" i="1" l="1"/>
  <c r="Q18" i="1"/>
  <c r="T17" i="1"/>
  <c r="Q17" i="1"/>
  <c r="X17" i="1" s="1"/>
  <c r="T16" i="1"/>
  <c r="Q16" i="1"/>
  <c r="T15" i="1"/>
  <c r="T14" i="1"/>
  <c r="T13" i="1"/>
  <c r="Q13" i="1"/>
  <c r="Y17" i="1" l="1"/>
  <c r="Z17" i="1"/>
  <c r="K18" i="1" l="1"/>
  <c r="L18" i="1" s="1"/>
  <c r="H18" i="1"/>
  <c r="I18" i="1" s="1"/>
  <c r="X18" i="1" s="1"/>
  <c r="K17" i="1"/>
  <c r="K16" i="1"/>
  <c r="L16" i="1" s="1"/>
  <c r="M16" i="1" s="1"/>
  <c r="AB16" i="1" s="1"/>
  <c r="AA16" i="1" s="1"/>
  <c r="H16" i="1"/>
  <c r="K15" i="1"/>
  <c r="K14" i="1"/>
  <c r="K13" i="1"/>
  <c r="L13" i="1" s="1"/>
  <c r="M13" i="1" s="1"/>
  <c r="AB13" i="1" s="1"/>
  <c r="H13" i="1"/>
  <c r="Z18" i="1" l="1"/>
  <c r="Y18" i="1"/>
  <c r="AA13" i="1"/>
  <c r="AB17" i="1"/>
  <c r="AA17" i="1" s="1"/>
  <c r="AC17" i="1" s="1"/>
  <c r="AB14" i="1"/>
  <c r="AB15" i="1" s="1"/>
  <c r="AA15" i="1" s="1"/>
  <c r="N13" i="1"/>
  <c r="N16" i="1"/>
  <c r="N18" i="1"/>
  <c r="M18" i="1"/>
  <c r="AB18" i="1" s="1"/>
  <c r="AA18" i="1" s="1"/>
  <c r="I13" i="1"/>
  <c r="X13" i="1" s="1"/>
  <c r="I16" i="1"/>
  <c r="X16" i="1" s="1"/>
  <c r="F221" i="13"/>
  <c r="F211" i="13"/>
  <c r="F212" i="13"/>
  <c r="F213" i="13"/>
  <c r="F214" i="13"/>
  <c r="F215" i="13"/>
  <c r="F216" i="13"/>
  <c r="F217" i="13"/>
  <c r="F218" i="13"/>
  <c r="F219" i="13"/>
  <c r="F220" i="13"/>
  <c r="F210" i="13"/>
  <c r="B221" i="13" a="1"/>
  <c r="Z16" i="1" l="1"/>
  <c r="Y16" i="1"/>
  <c r="AC16" i="1" s="1"/>
  <c r="AC18" i="1"/>
  <c r="Y13" i="1"/>
  <c r="AC13" i="1" s="1"/>
  <c r="Z13" i="1"/>
  <c r="X14" i="1" s="1"/>
  <c r="B221" i="13"/>
  <c r="Z14" i="1" l="1"/>
  <c r="X15" i="1" s="1"/>
  <c r="Y14" i="1"/>
  <c r="AL44" i="18"/>
  <c r="AJ44" i="18"/>
  <c r="AF44" i="18"/>
  <c r="AD44" i="18"/>
  <c r="Z44" i="18"/>
  <c r="X44" i="18"/>
  <c r="T44" i="18"/>
  <c r="R44" i="18"/>
  <c r="N44" i="18"/>
  <c r="L44" i="18"/>
  <c r="AL36" i="18"/>
  <c r="AJ36" i="18"/>
  <c r="AF36" i="18"/>
  <c r="AD36" i="18"/>
  <c r="Z36" i="18"/>
  <c r="X36" i="18"/>
  <c r="T36" i="18"/>
  <c r="R36" i="18"/>
  <c r="N36" i="18"/>
  <c r="L36" i="18"/>
  <c r="AL28" i="18"/>
  <c r="AJ28" i="18"/>
  <c r="AF28" i="18"/>
  <c r="AD28" i="18"/>
  <c r="Z28" i="18"/>
  <c r="X28" i="18"/>
  <c r="T28" i="18"/>
  <c r="R28" i="18"/>
  <c r="N28" i="18"/>
  <c r="L28" i="18"/>
  <c r="AL20" i="18"/>
  <c r="AJ20" i="18"/>
  <c r="AF20" i="18"/>
  <c r="AD20" i="18"/>
  <c r="Z20" i="18"/>
  <c r="X20" i="18"/>
  <c r="T20" i="18"/>
  <c r="R20" i="18"/>
  <c r="N20" i="18"/>
  <c r="L20" i="18"/>
  <c r="AL12" i="18"/>
  <c r="AJ12" i="18"/>
  <c r="AF12" i="18"/>
  <c r="AD12" i="18"/>
  <c r="Z12" i="18"/>
  <c r="X12" i="18"/>
  <c r="T12" i="18"/>
  <c r="R12" i="18"/>
  <c r="N12" i="18"/>
  <c r="L12" i="18"/>
  <c r="H210" i="13"/>
  <c r="Y15" i="1" l="1"/>
  <c r="AC15" i="1" s="1"/>
  <c r="Z15" i="1"/>
  <c r="T52" i="19"/>
  <c r="AF32" i="19"/>
  <c r="N22" i="19"/>
  <c r="AL32" i="19"/>
  <c r="N52" i="19"/>
  <c r="AL12" i="19"/>
  <c r="AL52" i="19"/>
  <c r="AL42" i="19"/>
  <c r="T32" i="19"/>
  <c r="AF12" i="19"/>
  <c r="N32" i="19"/>
  <c r="T42" i="19"/>
  <c r="N12" i="19"/>
  <c r="Z52" i="19"/>
  <c r="Z42" i="19"/>
  <c r="AL22" i="19"/>
  <c r="T12" i="19"/>
  <c r="T22" i="19"/>
  <c r="Z32" i="19"/>
  <c r="AF52" i="19"/>
  <c r="N42" i="19"/>
  <c r="Z22" i="19"/>
  <c r="AF42" i="19"/>
  <c r="Z12" i="19"/>
  <c r="AF22" i="19"/>
  <c r="AM42" i="19"/>
  <c r="U32" i="19"/>
  <c r="AG12" i="19"/>
  <c r="U42" i="19"/>
  <c r="O12" i="19"/>
  <c r="U22" i="19"/>
  <c r="AM52" i="19"/>
  <c r="AA42" i="19"/>
  <c r="AM22" i="19"/>
  <c r="U12" i="19"/>
  <c r="AA32" i="19"/>
  <c r="AG42" i="19"/>
  <c r="AA12" i="19"/>
  <c r="AG52" i="19"/>
  <c r="O42" i="19"/>
  <c r="AA22" i="19"/>
  <c r="AA52" i="19"/>
  <c r="AG22" i="19"/>
  <c r="AM32" i="19"/>
  <c r="U52" i="19"/>
  <c r="AG32" i="19"/>
  <c r="O22" i="19"/>
  <c r="O52" i="19"/>
  <c r="AM12" i="19"/>
  <c r="O32" i="19"/>
  <c r="J11" i="19" l="1"/>
  <c r="V11" i="19"/>
  <c r="AB21" i="19"/>
  <c r="P31" i="19"/>
  <c r="J31" i="19"/>
  <c r="AB41" i="19"/>
  <c r="AH41" i="19"/>
  <c r="P41" i="19"/>
  <c r="J21" i="19"/>
  <c r="AB31" i="19"/>
  <c r="AB51" i="19"/>
  <c r="P21" i="19"/>
  <c r="V41" i="19"/>
  <c r="V31" i="19"/>
  <c r="AH21" i="19"/>
  <c r="AB11" i="19"/>
  <c r="P51" i="19"/>
  <c r="V21" i="19"/>
  <c r="AH31" i="19"/>
  <c r="V51" i="19"/>
  <c r="J51" i="19"/>
  <c r="AH51" i="19"/>
  <c r="AH11" i="19"/>
  <c r="J41" i="19"/>
  <c r="P11" i="19"/>
  <c r="AB33" i="19"/>
  <c r="V13" i="19"/>
  <c r="AH23" i="19"/>
  <c r="J23" i="19"/>
  <c r="AB43" i="19"/>
  <c r="P43" i="19"/>
  <c r="AB53" i="19"/>
  <c r="V33" i="19"/>
  <c r="P13" i="19"/>
  <c r="J43" i="19"/>
  <c r="V23" i="19"/>
  <c r="J53" i="19"/>
  <c r="AH43" i="19"/>
  <c r="AH13" i="19"/>
  <c r="P53" i="19"/>
  <c r="V43" i="19"/>
  <c r="J13" i="19"/>
  <c r="P33" i="19"/>
  <c r="J33" i="19"/>
  <c r="V53" i="19"/>
  <c r="AH33" i="19"/>
  <c r="AB23" i="19"/>
  <c r="AH53" i="19"/>
  <c r="P23" i="19"/>
  <c r="AB13" i="19"/>
  <c r="V32" i="19"/>
  <c r="P42" i="19"/>
  <c r="J12" i="19"/>
  <c r="J32" i="19"/>
  <c r="AB52" i="19"/>
  <c r="J22" i="19"/>
  <c r="V22" i="19"/>
  <c r="J52" i="19"/>
  <c r="AH12" i="19"/>
  <c r="J42" i="19"/>
  <c r="AH42" i="19"/>
  <c r="P32" i="19"/>
  <c r="AB12" i="19"/>
  <c r="AH32" i="19"/>
  <c r="AB32" i="19"/>
  <c r="AB42" i="19"/>
  <c r="V42" i="19"/>
  <c r="V12" i="19"/>
  <c r="V52" i="19"/>
  <c r="AB22" i="19"/>
  <c r="AH52" i="19"/>
  <c r="AH22" i="19"/>
  <c r="P22" i="19"/>
  <c r="P12" i="19"/>
  <c r="P52" i="19"/>
  <c r="K35" i="19" l="1"/>
  <c r="AC25" i="19"/>
  <c r="K45" i="19"/>
  <c r="AI45" i="19"/>
  <c r="W45" i="19"/>
  <c r="Q35" i="19"/>
  <c r="K55" i="19"/>
  <c r="AC15" i="19"/>
  <c r="Q15" i="19"/>
  <c r="AC35" i="19"/>
  <c r="AI35" i="19"/>
  <c r="Q55" i="19"/>
  <c r="AI25" i="19"/>
  <c r="AC55" i="19"/>
  <c r="W15" i="19"/>
  <c r="K15" i="19"/>
  <c r="W25" i="19"/>
  <c r="AC45" i="19"/>
  <c r="Q25" i="19"/>
  <c r="W55" i="19"/>
  <c r="K25" i="19"/>
  <c r="Q45" i="19"/>
  <c r="W35" i="19"/>
  <c r="AI55" i="19"/>
  <c r="AI15" i="19"/>
  <c r="AC14" i="19"/>
  <c r="Q14" i="19"/>
  <c r="AI54" i="19"/>
  <c r="Q54" i="19"/>
  <c r="Q24" i="19"/>
  <c r="AI14" i="19"/>
  <c r="W24" i="19"/>
  <c r="AC44" i="19"/>
  <c r="K54" i="19"/>
  <c r="AI34" i="19"/>
  <c r="W14" i="19"/>
  <c r="K24" i="19"/>
  <c r="AC24" i="19"/>
  <c r="AI44" i="19"/>
  <c r="AI24" i="19"/>
  <c r="W44" i="19"/>
  <c r="Q44" i="19"/>
  <c r="AC54" i="19"/>
  <c r="K44" i="19"/>
  <c r="Q34" i="19"/>
  <c r="W34" i="19"/>
  <c r="K14" i="19"/>
  <c r="W54" i="19"/>
  <c r="K34" i="19"/>
  <c r="AC34" i="19"/>
  <c r="AI41" i="19"/>
  <c r="W11" i="19"/>
  <c r="Q51" i="19"/>
  <c r="W21" i="19"/>
  <c r="AC11" i="19"/>
  <c r="AI51" i="19"/>
  <c r="W41" i="19"/>
  <c r="K41" i="19"/>
  <c r="AI11" i="19"/>
  <c r="AC41" i="19"/>
  <c r="AC21" i="19"/>
  <c r="K31" i="19"/>
  <c r="W51" i="19"/>
  <c r="Q21" i="19"/>
  <c r="Q31" i="19"/>
  <c r="AI21" i="19"/>
  <c r="K51" i="19"/>
  <c r="K21" i="19"/>
  <c r="AI31" i="19"/>
  <c r="Q41" i="19"/>
  <c r="K11" i="19"/>
  <c r="AC31" i="19"/>
  <c r="AC51" i="19"/>
  <c r="W31" i="19"/>
  <c r="Q11" i="19"/>
  <c r="AD55" i="19"/>
  <c r="R15" i="19"/>
  <c r="AJ35" i="19"/>
  <c r="X45" i="19"/>
  <c r="AJ15" i="19"/>
  <c r="AJ55" i="19"/>
  <c r="R25" i="19"/>
  <c r="X15" i="19"/>
  <c r="R55" i="19"/>
  <c r="X55" i="19"/>
  <c r="AD15" i="19"/>
  <c r="L35" i="19"/>
  <c r="L15" i="19"/>
  <c r="L45" i="19"/>
  <c r="AD45" i="19"/>
  <c r="L25" i="19"/>
  <c r="AD25" i="19"/>
  <c r="X35" i="19"/>
  <c r="X25" i="19"/>
  <c r="R35" i="19"/>
  <c r="AJ25" i="19"/>
  <c r="AD35" i="19"/>
  <c r="R45" i="19"/>
  <c r="AJ45" i="19"/>
  <c r="L55" i="19"/>
  <c r="P54" i="19"/>
  <c r="AH14" i="19"/>
  <c r="AB14" i="19"/>
  <c r="AH34" i="19"/>
  <c r="AB54" i="19"/>
  <c r="AH54" i="19"/>
  <c r="V14" i="19"/>
  <c r="J54" i="19"/>
  <c r="AH44" i="19"/>
  <c r="V54" i="19"/>
  <c r="J14" i="19"/>
  <c r="AH24" i="19"/>
  <c r="V34" i="19"/>
  <c r="AB44" i="19"/>
  <c r="AB34" i="19"/>
  <c r="P14" i="19"/>
  <c r="V24" i="19"/>
  <c r="AB24" i="19"/>
  <c r="V44" i="19"/>
  <c r="P34" i="19"/>
  <c r="J34" i="19"/>
  <c r="P24" i="19"/>
  <c r="J44" i="19"/>
  <c r="J24" i="19"/>
  <c r="P44" i="19"/>
  <c r="AJ52" i="19"/>
  <c r="AJ32" i="19"/>
  <c r="L32" i="19"/>
  <c r="AJ42" i="19"/>
  <c r="L12" i="19"/>
  <c r="L52" i="19"/>
  <c r="X12" i="19"/>
  <c r="R12" i="19"/>
  <c r="AD42" i="19"/>
  <c r="X42" i="19"/>
  <c r="AJ12" i="19"/>
  <c r="X32" i="19"/>
  <c r="R52" i="19"/>
  <c r="R32" i="19"/>
  <c r="X22" i="19"/>
  <c r="AJ22" i="19"/>
  <c r="L22" i="19"/>
  <c r="R22" i="19"/>
  <c r="AD12" i="19"/>
  <c r="AD32" i="19"/>
  <c r="AD22" i="19"/>
  <c r="X52" i="19"/>
  <c r="AD52" i="19"/>
  <c r="L42" i="19"/>
  <c r="R42" i="19"/>
  <c r="AJ21" i="19"/>
  <c r="AD31" i="19"/>
  <c r="R21" i="19"/>
  <c r="AD41" i="19"/>
  <c r="AJ11" i="19"/>
  <c r="AJ51" i="19"/>
  <c r="L41" i="19"/>
  <c r="AD11" i="19"/>
  <c r="L21" i="19"/>
  <c r="L11" i="19"/>
  <c r="X51" i="19"/>
  <c r="X21" i="19"/>
  <c r="R11" i="19"/>
  <c r="R31" i="19"/>
  <c r="AJ41" i="19"/>
  <c r="L31" i="19"/>
  <c r="R51" i="19"/>
  <c r="X31" i="19"/>
  <c r="X11" i="19"/>
  <c r="X41" i="19"/>
  <c r="AJ31" i="19"/>
  <c r="AD51" i="19"/>
  <c r="R41" i="19"/>
  <c r="AD21" i="19"/>
  <c r="L51" i="19"/>
  <c r="K42" i="19"/>
  <c r="AC32" i="19"/>
  <c r="W42" i="19"/>
  <c r="AI52" i="19"/>
  <c r="K22" i="19"/>
  <c r="Q32" i="19"/>
  <c r="AI12" i="19"/>
  <c r="AC52" i="19"/>
  <c r="Q42" i="19"/>
  <c r="AC42" i="19"/>
  <c r="K12" i="19"/>
  <c r="Q22" i="19"/>
  <c r="W52" i="19"/>
  <c r="AI42" i="19"/>
  <c r="W32" i="19"/>
  <c r="AI22" i="19"/>
  <c r="W12" i="19"/>
  <c r="AI32" i="19"/>
  <c r="AC12" i="19"/>
  <c r="Q12" i="19"/>
  <c r="Q52" i="19"/>
  <c r="K32" i="19"/>
  <c r="W22" i="19"/>
  <c r="K52" i="19"/>
  <c r="AC22" i="19"/>
  <c r="AC40" i="19"/>
  <c r="W10" i="19"/>
  <c r="AC50" i="19"/>
  <c r="Q10" i="19"/>
  <c r="Q30" i="19"/>
  <c r="W50" i="19"/>
  <c r="K40" i="19"/>
  <c r="Q50" i="19"/>
  <c r="W20" i="19"/>
  <c r="K10" i="19"/>
  <c r="Q40" i="19"/>
  <c r="K30" i="19"/>
  <c r="AI50" i="19"/>
  <c r="AI20" i="19"/>
  <c r="K50" i="19"/>
  <c r="AI40" i="19"/>
  <c r="W40" i="19"/>
  <c r="K20" i="19"/>
  <c r="AC10" i="19"/>
  <c r="AI10" i="19"/>
  <c r="AC20" i="19"/>
  <c r="AI30" i="19"/>
  <c r="AC30" i="19"/>
  <c r="W30" i="19"/>
  <c r="Q20" i="19"/>
  <c r="K39" i="19"/>
  <c r="AC39" i="19"/>
  <c r="W29" i="19"/>
  <c r="AI49" i="19"/>
  <c r="W9" i="19"/>
  <c r="AC19" i="19"/>
  <c r="Q49" i="19"/>
  <c r="W49" i="19"/>
  <c r="AC9" i="19"/>
  <c r="AI9" i="19"/>
  <c r="Q29" i="19"/>
  <c r="W39" i="19"/>
  <c r="Q39" i="19"/>
  <c r="K9" i="19"/>
  <c r="W19" i="19"/>
  <c r="AI39" i="19"/>
  <c r="K29" i="19"/>
  <c r="AC49" i="19"/>
  <c r="AI19" i="19"/>
  <c r="AC29" i="19"/>
  <c r="K19" i="19"/>
  <c r="K49" i="19"/>
  <c r="Q19" i="19"/>
  <c r="Q9" i="19"/>
  <c r="AI29" i="19"/>
  <c r="K23" i="19"/>
  <c r="AI43" i="19"/>
  <c r="AC43" i="19"/>
  <c r="AC53" i="19"/>
  <c r="W43" i="19"/>
  <c r="K13" i="19"/>
  <c r="Q53" i="19"/>
  <c r="AI53" i="19"/>
  <c r="K33" i="19"/>
  <c r="K43" i="19"/>
  <c r="AI33" i="19"/>
  <c r="AC33" i="19"/>
  <c r="Q33" i="19"/>
  <c r="AI23" i="19"/>
  <c r="K53" i="19"/>
  <c r="AC23" i="19"/>
  <c r="AC13" i="19"/>
  <c r="W23" i="19"/>
  <c r="W33" i="19"/>
  <c r="Q13" i="19"/>
  <c r="W13" i="19"/>
  <c r="AI13" i="19"/>
  <c r="Q43" i="19"/>
  <c r="Q23" i="19"/>
  <c r="W53" i="19"/>
  <c r="M12" i="19"/>
  <c r="AK42" i="19"/>
  <c r="AE32" i="19"/>
  <c r="M52" i="19"/>
  <c r="S12" i="19"/>
  <c r="M32" i="19"/>
  <c r="S52" i="19"/>
  <c r="Y52" i="19"/>
  <c r="Y42" i="19"/>
  <c r="AK12" i="19"/>
  <c r="S22" i="19"/>
  <c r="AE12" i="19"/>
  <c r="Y22" i="19"/>
  <c r="S32" i="19"/>
  <c r="AK52" i="19"/>
  <c r="M22" i="19"/>
  <c r="AK32" i="19"/>
  <c r="AE22" i="19"/>
  <c r="AE42" i="19"/>
  <c r="Y32" i="19"/>
  <c r="M42" i="19"/>
  <c r="Y12" i="19"/>
  <c r="AE52" i="19"/>
  <c r="AK22" i="19"/>
  <c r="S42" i="19"/>
  <c r="AC18" i="19"/>
  <c r="W28" i="19"/>
  <c r="W38" i="19"/>
  <c r="K18" i="19"/>
  <c r="AC8" i="19"/>
  <c r="AI48" i="19"/>
  <c r="AI28" i="19"/>
  <c r="K8" i="19"/>
  <c r="W18" i="19"/>
  <c r="W8" i="19"/>
  <c r="K38" i="19"/>
  <c r="AC28" i="19"/>
  <c r="AI8" i="19"/>
  <c r="Q8" i="19"/>
  <c r="W48" i="19"/>
  <c r="AI18" i="19"/>
  <c r="Q48" i="19"/>
  <c r="K48" i="19"/>
  <c r="Q38" i="19"/>
  <c r="K28" i="19"/>
  <c r="AC38" i="19"/>
  <c r="AC48" i="19"/>
  <c r="AI38" i="19"/>
  <c r="Q18" i="19"/>
  <c r="Q28" i="19"/>
  <c r="R40" i="19" l="1"/>
  <c r="AD10" i="19"/>
  <c r="X40" i="19"/>
  <c r="AJ10" i="19"/>
  <c r="R50" i="19"/>
  <c r="X10" i="19"/>
  <c r="R30" i="19"/>
  <c r="L10" i="19"/>
  <c r="L50" i="19"/>
  <c r="AJ20" i="19"/>
  <c r="AJ40" i="19"/>
  <c r="AD30" i="19"/>
  <c r="R20" i="19"/>
  <c r="AD50" i="19"/>
  <c r="AJ30" i="19"/>
  <c r="AJ50" i="19"/>
  <c r="X30" i="19"/>
  <c r="AD20" i="19"/>
  <c r="L40" i="19"/>
  <c r="X50" i="19"/>
  <c r="X20" i="19"/>
  <c r="AD40" i="19"/>
  <c r="R10" i="19"/>
  <c r="L30" i="19"/>
  <c r="L20" i="19"/>
  <c r="AD47" i="19"/>
  <c r="AJ27" i="19"/>
  <c r="AD27" i="19"/>
  <c r="AJ7" i="19"/>
  <c r="AJ37" i="19"/>
  <c r="L27" i="19"/>
  <c r="AD17" i="19"/>
  <c r="L37" i="19"/>
  <c r="R17" i="19"/>
  <c r="AJ17" i="19"/>
  <c r="X7" i="19"/>
  <c r="X47" i="19"/>
  <c r="L7" i="19"/>
  <c r="L17" i="19"/>
  <c r="R27" i="19"/>
  <c r="X27" i="19"/>
  <c r="R7" i="19"/>
  <c r="X17" i="19"/>
  <c r="AJ47" i="19"/>
  <c r="L47" i="19"/>
  <c r="R37" i="19"/>
  <c r="AD7" i="19"/>
  <c r="X37" i="19"/>
  <c r="R47" i="19"/>
  <c r="AD37" i="19"/>
  <c r="AJ43" i="19"/>
  <c r="AD33" i="19"/>
  <c r="X33" i="19"/>
  <c r="X13" i="19"/>
  <c r="AD43" i="19"/>
  <c r="L43" i="19"/>
  <c r="X23" i="19"/>
  <c r="R33" i="19"/>
  <c r="R43" i="19"/>
  <c r="AD53" i="19"/>
  <c r="AJ13" i="19"/>
  <c r="R23" i="19"/>
  <c r="R13" i="19"/>
  <c r="AJ53" i="19"/>
  <c r="L33" i="19"/>
  <c r="L23" i="19"/>
  <c r="X43" i="19"/>
  <c r="X53" i="19"/>
  <c r="AD13" i="19"/>
  <c r="L53" i="19"/>
  <c r="L13" i="19"/>
  <c r="AD23" i="19"/>
  <c r="AJ33" i="19"/>
  <c r="AJ23" i="19"/>
  <c r="R53" i="19"/>
  <c r="M55" i="19"/>
  <c r="AK15" i="19"/>
  <c r="AE25" i="19"/>
  <c r="Y35" i="19"/>
  <c r="M25" i="19"/>
  <c r="S55" i="19"/>
  <c r="S45" i="19"/>
  <c r="S35" i="19"/>
  <c r="M15" i="19"/>
  <c r="AE45" i="19"/>
  <c r="Y15" i="19"/>
  <c r="AK45" i="19"/>
  <c r="AE55" i="19"/>
  <c r="M35" i="19"/>
  <c r="M45" i="19"/>
  <c r="S25" i="19"/>
  <c r="AK35" i="19"/>
  <c r="Y25" i="19"/>
  <c r="AE15" i="19"/>
  <c r="Y45" i="19"/>
  <c r="AE35" i="19"/>
  <c r="AK25" i="19"/>
  <c r="Y55" i="19"/>
  <c r="S15" i="19"/>
  <c r="AK55" i="19"/>
  <c r="X8" i="19"/>
  <c r="R48" i="19"/>
  <c r="L8" i="19"/>
  <c r="AD38" i="19"/>
  <c r="AD48" i="19"/>
  <c r="AD8" i="19"/>
  <c r="R18" i="19"/>
  <c r="L38" i="19"/>
  <c r="AJ28" i="19"/>
  <c r="X18" i="19"/>
  <c r="X48" i="19"/>
  <c r="R28" i="19"/>
  <c r="L18" i="19"/>
  <c r="X28" i="19"/>
  <c r="R8" i="19"/>
  <c r="X38" i="19"/>
  <c r="AJ8" i="19"/>
  <c r="AD18" i="19"/>
  <c r="AJ38" i="19"/>
  <c r="L48" i="19"/>
  <c r="AJ48" i="19"/>
  <c r="AJ18" i="19"/>
  <c r="R38" i="19"/>
  <c r="AD28" i="19"/>
  <c r="L28" i="19"/>
  <c r="Z11" i="19"/>
  <c r="AF31" i="19"/>
  <c r="T51" i="19"/>
  <c r="N51" i="19"/>
  <c r="Z41" i="19"/>
  <c r="AF21" i="19"/>
  <c r="AL31" i="19"/>
  <c r="T31" i="19"/>
  <c r="Z31" i="19"/>
  <c r="N21" i="19"/>
  <c r="N31" i="19"/>
  <c r="AL11" i="19"/>
  <c r="T11" i="19"/>
  <c r="AF11" i="19"/>
  <c r="AL41" i="19"/>
  <c r="T21" i="19"/>
  <c r="Z21" i="19"/>
  <c r="AL51" i="19"/>
  <c r="N11" i="19"/>
  <c r="AF51" i="19"/>
  <c r="N41" i="19"/>
  <c r="Z51" i="19"/>
  <c r="AL21" i="19"/>
  <c r="T41" i="19"/>
  <c r="AF41" i="19"/>
  <c r="AE46" i="19"/>
  <c r="M36" i="19"/>
  <c r="Y16" i="19"/>
  <c r="AK46" i="19"/>
  <c r="S36" i="19"/>
  <c r="AE16" i="19"/>
  <c r="M6" i="19"/>
  <c r="AK16" i="19"/>
  <c r="M26" i="19"/>
  <c r="S46" i="19"/>
  <c r="AE26" i="19"/>
  <c r="M16" i="19"/>
  <c r="Y46" i="19"/>
  <c r="AK26" i="19"/>
  <c r="S16" i="19"/>
  <c r="Y6" i="19"/>
  <c r="AK36" i="19"/>
  <c r="S26" i="19"/>
  <c r="AE6" i="19"/>
  <c r="M46" i="19"/>
  <c r="Y26" i="19"/>
  <c r="AK6" i="19"/>
  <c r="Y36" i="19"/>
  <c r="S6" i="19"/>
  <c r="AE36" i="19"/>
  <c r="O11" i="19"/>
  <c r="O21" i="19"/>
  <c r="O51" i="19"/>
  <c r="AA31" i="19"/>
  <c r="AM31" i="19"/>
  <c r="AG51" i="19"/>
  <c r="AA41" i="19"/>
  <c r="AM11" i="19"/>
  <c r="U21" i="19"/>
  <c r="AG41" i="19"/>
  <c r="AM21" i="19"/>
  <c r="AM51" i="19"/>
  <c r="O41" i="19"/>
  <c r="U11" i="19"/>
  <c r="AG31" i="19"/>
  <c r="U41" i="19"/>
  <c r="AG11" i="19"/>
  <c r="AM41" i="19"/>
  <c r="AA21" i="19"/>
  <c r="AA51" i="19"/>
  <c r="U51" i="19"/>
  <c r="U31" i="19"/>
  <c r="AA11" i="19"/>
  <c r="AG21" i="19"/>
  <c r="O31" i="19"/>
  <c r="AJ46" i="19"/>
  <c r="AD46" i="19"/>
  <c r="L36" i="19"/>
  <c r="X16" i="19"/>
  <c r="AJ26" i="19"/>
  <c r="L46" i="19"/>
  <c r="X6" i="19"/>
  <c r="R36" i="19"/>
  <c r="X36" i="19"/>
  <c r="R6" i="19"/>
  <c r="AJ6" i="19"/>
  <c r="AD36" i="19"/>
  <c r="R46" i="19"/>
  <c r="AD26" i="19"/>
  <c r="L16" i="19"/>
  <c r="AD16" i="19"/>
  <c r="X46" i="19"/>
  <c r="X26" i="19"/>
  <c r="AJ36" i="19"/>
  <c r="R26" i="19"/>
  <c r="AD6" i="19"/>
  <c r="L6" i="19"/>
  <c r="L26" i="19"/>
  <c r="R16" i="19"/>
  <c r="AJ16" i="19"/>
  <c r="AE11" i="19"/>
  <c r="Y41" i="19"/>
  <c r="M41" i="19"/>
  <c r="Y21" i="19"/>
  <c r="AK41" i="19"/>
  <c r="S31" i="19"/>
  <c r="M31" i="19"/>
  <c r="M51" i="19"/>
  <c r="Y51" i="19"/>
  <c r="AK21" i="19"/>
  <c r="AK31" i="19"/>
  <c r="Y11" i="19"/>
  <c r="AE41" i="19"/>
  <c r="AE21" i="19"/>
  <c r="S51" i="19"/>
  <c r="AE51" i="19"/>
  <c r="AK51" i="19"/>
  <c r="M21" i="19"/>
  <c r="AE31" i="19"/>
  <c r="S41" i="19"/>
  <c r="AK11" i="19"/>
  <c r="S11" i="19"/>
  <c r="Y31" i="19"/>
  <c r="S21" i="19"/>
  <c r="M11" i="19"/>
  <c r="L54" i="19"/>
  <c r="AJ14" i="19"/>
  <c r="AD44" i="19"/>
  <c r="X54" i="19"/>
  <c r="R14" i="19"/>
  <c r="AD24" i="19"/>
  <c r="AD34" i="19"/>
  <c r="R54" i="19"/>
  <c r="L34" i="19"/>
  <c r="AJ34" i="19"/>
  <c r="X24" i="19"/>
  <c r="AJ24" i="19"/>
  <c r="X44" i="19"/>
  <c r="R24" i="19"/>
  <c r="X34" i="19"/>
  <c r="L14" i="19"/>
  <c r="AD14" i="19"/>
  <c r="L44" i="19"/>
  <c r="R44" i="19"/>
  <c r="AD54" i="19"/>
  <c r="X14" i="19"/>
  <c r="AJ44" i="19"/>
  <c r="R34" i="19"/>
  <c r="AJ54" i="19"/>
  <c r="L24" i="19"/>
  <c r="AD29" i="19"/>
  <c r="AD19" i="19"/>
  <c r="R39" i="19"/>
  <c r="R9" i="19"/>
  <c r="X49" i="19"/>
  <c r="X9" i="19"/>
  <c r="AD39" i="19"/>
  <c r="R29" i="19"/>
  <c r="L49" i="19"/>
  <c r="X19" i="19"/>
  <c r="X29" i="19"/>
  <c r="X39" i="19"/>
  <c r="L9" i="19"/>
  <c r="AD9" i="19"/>
  <c r="AJ49" i="19"/>
  <c r="L39" i="19"/>
  <c r="R19" i="19"/>
  <c r="AJ39" i="19"/>
  <c r="AJ29" i="19"/>
  <c r="AJ19" i="19"/>
  <c r="AJ9" i="19"/>
  <c r="AD49" i="19"/>
  <c r="L19" i="19"/>
  <c r="L29" i="19"/>
  <c r="R49" i="19"/>
  <c r="AG39" i="19" l="1"/>
  <c r="AG29" i="19"/>
  <c r="AM19" i="19"/>
  <c r="O39" i="19"/>
  <c r="AG49" i="19"/>
  <c r="O29" i="19"/>
  <c r="U29" i="19"/>
  <c r="O49" i="19"/>
  <c r="U49" i="19"/>
  <c r="AA19" i="19"/>
  <c r="U39" i="19"/>
  <c r="AG9" i="19"/>
  <c r="AA39" i="19"/>
  <c r="AM49" i="19"/>
  <c r="O19" i="19"/>
  <c r="AM39" i="19"/>
  <c r="AM29" i="19"/>
  <c r="O9" i="19"/>
  <c r="AM9" i="19"/>
  <c r="AA49" i="19"/>
  <c r="AG19" i="19"/>
  <c r="U9" i="19"/>
  <c r="U19" i="19"/>
  <c r="AA9" i="19"/>
  <c r="AA29" i="19"/>
  <c r="AE54" i="19"/>
  <c r="S24" i="19"/>
  <c r="AE34" i="19"/>
  <c r="Y54" i="19"/>
  <c r="AE14" i="19"/>
  <c r="Y34" i="19"/>
  <c r="M44" i="19"/>
  <c r="AK54" i="19"/>
  <c r="M24" i="19"/>
  <c r="AK34" i="19"/>
  <c r="Y14" i="19"/>
  <c r="AK14" i="19"/>
  <c r="Y24" i="19"/>
  <c r="S44" i="19"/>
  <c r="M34" i="19"/>
  <c r="AK44" i="19"/>
  <c r="M54" i="19"/>
  <c r="Y44" i="19"/>
  <c r="S54" i="19"/>
  <c r="AK24" i="19"/>
  <c r="M14" i="19"/>
  <c r="AE44" i="19"/>
  <c r="S34" i="19"/>
  <c r="AE24" i="19"/>
  <c r="S14" i="19"/>
  <c r="AK17" i="19"/>
  <c r="S27" i="19"/>
  <c r="S37" i="19"/>
  <c r="AE27" i="19"/>
  <c r="Y47" i="19"/>
  <c r="S7" i="19"/>
  <c r="M17" i="19"/>
  <c r="AE17" i="19"/>
  <c r="AK27" i="19"/>
  <c r="Y7" i="19"/>
  <c r="Y37" i="19"/>
  <c r="AE37" i="19"/>
  <c r="Y27" i="19"/>
  <c r="M47" i="19"/>
  <c r="AE47" i="19"/>
  <c r="Y17" i="19"/>
  <c r="AE7" i="19"/>
  <c r="M27" i="19"/>
  <c r="S47" i="19"/>
  <c r="M7" i="19"/>
  <c r="M37" i="19"/>
  <c r="S17" i="19"/>
  <c r="AK7" i="19"/>
  <c r="AK47" i="19"/>
  <c r="AK37" i="19"/>
  <c r="M48" i="19"/>
  <c r="S48" i="19"/>
  <c r="AE8" i="19"/>
  <c r="AE38" i="19"/>
  <c r="M38" i="19"/>
  <c r="AE18" i="19"/>
  <c r="AK48" i="19"/>
  <c r="AK18" i="19"/>
  <c r="AK28" i="19"/>
  <c r="S28" i="19"/>
  <c r="Y48" i="19"/>
  <c r="M8" i="19"/>
  <c r="Y8" i="19"/>
  <c r="M28" i="19"/>
  <c r="AK38" i="19"/>
  <c r="M18" i="19"/>
  <c r="Y28" i="19"/>
  <c r="S38" i="19"/>
  <c r="AE48" i="19"/>
  <c r="Y18" i="19"/>
  <c r="AK8" i="19"/>
  <c r="Y38" i="19"/>
  <c r="S8" i="19"/>
  <c r="S18" i="19"/>
  <c r="AE28" i="19"/>
  <c r="AA55" i="19"/>
  <c r="O45" i="19"/>
  <c r="AA15" i="19"/>
  <c r="AM55" i="19"/>
  <c r="O55" i="19"/>
  <c r="AG35" i="19"/>
  <c r="AM25" i="19"/>
  <c r="AM35" i="19"/>
  <c r="AA25" i="19"/>
  <c r="AM45" i="19"/>
  <c r="AG25" i="19"/>
  <c r="AA35" i="19"/>
  <c r="O25" i="19"/>
  <c r="U25" i="19"/>
  <c r="AG45" i="19"/>
  <c r="U35" i="19"/>
  <c r="AA45" i="19"/>
  <c r="AM15" i="19"/>
  <c r="U45" i="19"/>
  <c r="O35" i="19"/>
  <c r="O15" i="19"/>
  <c r="AG15" i="19"/>
  <c r="U15" i="19"/>
  <c r="AG55" i="19"/>
  <c r="U55" i="19"/>
  <c r="AE40" i="19"/>
  <c r="Y30" i="19"/>
  <c r="M20" i="19"/>
  <c r="Y20" i="19"/>
  <c r="M40" i="19"/>
  <c r="M10" i="19"/>
  <c r="AK20" i="19"/>
  <c r="AK10" i="19"/>
  <c r="AK30" i="19"/>
  <c r="Y40" i="19"/>
  <c r="S40" i="19"/>
  <c r="AE30" i="19"/>
  <c r="Y10" i="19"/>
  <c r="M30" i="19"/>
  <c r="AE50" i="19"/>
  <c r="AE20" i="19"/>
  <c r="S50" i="19"/>
  <c r="S10" i="19"/>
  <c r="Y50" i="19"/>
  <c r="S30" i="19"/>
  <c r="AK50" i="19"/>
  <c r="AE10" i="19"/>
  <c r="S20" i="19"/>
  <c r="M50" i="19"/>
  <c r="AK40" i="19"/>
  <c r="AF39" i="19"/>
  <c r="AL19" i="19"/>
  <c r="N39" i="19"/>
  <c r="Z19" i="19"/>
  <c r="AF19" i="19"/>
  <c r="N29" i="19"/>
  <c r="AL29" i="19"/>
  <c r="AL39" i="19"/>
  <c r="AF49" i="19"/>
  <c r="AF9" i="19"/>
  <c r="AL9" i="19"/>
  <c r="N49" i="19"/>
  <c r="Z9" i="19"/>
  <c r="Z49" i="19"/>
  <c r="N19" i="19"/>
  <c r="Z39" i="19"/>
  <c r="T9" i="19"/>
  <c r="T39" i="19"/>
  <c r="Z29" i="19"/>
  <c r="N9" i="19"/>
  <c r="T49" i="19"/>
  <c r="T19" i="19"/>
  <c r="AL49" i="19"/>
  <c r="T29" i="19"/>
  <c r="AF29" i="19"/>
  <c r="T18" i="19"/>
  <c r="N48" i="19"/>
  <c r="N8" i="19"/>
  <c r="T28" i="19"/>
  <c r="AF38" i="19"/>
  <c r="Z28" i="19"/>
  <c r="Z18" i="19"/>
  <c r="AF8" i="19"/>
  <c r="AL8" i="19"/>
  <c r="Z48" i="19"/>
  <c r="AL48" i="19"/>
  <c r="AL28" i="19"/>
  <c r="N38" i="19"/>
  <c r="AL38" i="19"/>
  <c r="AF28" i="19"/>
  <c r="AF18" i="19"/>
  <c r="AL18" i="19"/>
  <c r="Z8" i="19"/>
  <c r="T48" i="19"/>
  <c r="T8" i="19"/>
  <c r="T38" i="19"/>
  <c r="Z38" i="19"/>
  <c r="AF48" i="19"/>
  <c r="N28" i="19"/>
  <c r="N18" i="19"/>
  <c r="AL55" i="19"/>
  <c r="Z45" i="19"/>
  <c r="Z35" i="19"/>
  <c r="N25" i="19"/>
  <c r="Z55" i="19"/>
  <c r="N45" i="19"/>
  <c r="T35" i="19"/>
  <c r="T45" i="19"/>
  <c r="AL25" i="19"/>
  <c r="AL15" i="19"/>
  <c r="N35" i="19"/>
  <c r="AL35" i="19"/>
  <c r="Z25" i="19"/>
  <c r="AF25" i="19"/>
  <c r="T15" i="19"/>
  <c r="T55" i="19"/>
  <c r="AL45" i="19"/>
  <c r="T25" i="19"/>
  <c r="AF45" i="19"/>
  <c r="AF15" i="19"/>
  <c r="N15" i="19"/>
  <c r="AF55" i="19"/>
  <c r="N55" i="19"/>
  <c r="Z15" i="19"/>
  <c r="AF35" i="19"/>
  <c r="S39" i="19"/>
  <c r="M49" i="19"/>
  <c r="AE19" i="19"/>
  <c r="S49" i="19"/>
  <c r="AK19" i="19"/>
  <c r="Y9" i="19"/>
  <c r="M29" i="19"/>
  <c r="AE49" i="19"/>
  <c r="Y39" i="19"/>
  <c r="AK49" i="19"/>
  <c r="AK29" i="19"/>
  <c r="AK39" i="19"/>
  <c r="S19" i="19"/>
  <c r="M19" i="19"/>
  <c r="AE9" i="19"/>
  <c r="AE39" i="19"/>
  <c r="M39" i="19"/>
  <c r="AK9" i="19"/>
  <c r="Y19" i="19"/>
  <c r="S29" i="19"/>
  <c r="S9" i="19"/>
  <c r="AE29" i="19"/>
  <c r="Y49" i="19"/>
  <c r="M9" i="19"/>
  <c r="Y29" i="19"/>
  <c r="AM46" i="19"/>
  <c r="U36" i="19"/>
  <c r="AG16" i="19"/>
  <c r="O6" i="19"/>
  <c r="AA36" i="19"/>
  <c r="AM16" i="19"/>
  <c r="U6" i="19"/>
  <c r="AG46" i="19"/>
  <c r="AA16" i="19"/>
  <c r="AA6" i="19"/>
  <c r="AG6" i="19"/>
  <c r="AA46" i="19"/>
  <c r="AM26" i="19"/>
  <c r="U16" i="19"/>
  <c r="O36" i="19"/>
  <c r="U26" i="19"/>
  <c r="O46" i="19"/>
  <c r="AA26" i="19"/>
  <c r="AM6" i="19"/>
  <c r="U46" i="19"/>
  <c r="AG26" i="19"/>
  <c r="O16" i="19"/>
  <c r="AG36" i="19"/>
  <c r="O26" i="19"/>
  <c r="AM36" i="19"/>
  <c r="O8" i="19"/>
  <c r="AA48" i="19"/>
  <c r="AM38" i="19"/>
  <c r="U48" i="19"/>
  <c r="AA18" i="19"/>
  <c r="AG18" i="19"/>
  <c r="AG48" i="19"/>
  <c r="AM18" i="19"/>
  <c r="AA28" i="19"/>
  <c r="AG28" i="19"/>
  <c r="AA8" i="19"/>
  <c r="U18" i="19"/>
  <c r="AG38" i="19"/>
  <c r="U38" i="19"/>
  <c r="AM8" i="19"/>
  <c r="AA38" i="19"/>
  <c r="AM48" i="19"/>
  <c r="U28" i="19"/>
  <c r="O38" i="19"/>
  <c r="U8" i="19"/>
  <c r="AG8" i="19"/>
  <c r="O18" i="19"/>
  <c r="O28" i="19"/>
  <c r="O48" i="19"/>
  <c r="AM28" i="19"/>
  <c r="Y33" i="19"/>
  <c r="AE13" i="19"/>
  <c r="S23" i="19"/>
  <c r="Y13" i="19"/>
  <c r="AE23" i="19"/>
  <c r="AK33" i="19"/>
  <c r="AK13" i="19"/>
  <c r="S43" i="19"/>
  <c r="M23" i="19"/>
  <c r="Y43" i="19"/>
  <c r="M43" i="19"/>
  <c r="AE43" i="19"/>
  <c r="AE53" i="19"/>
  <c r="M13" i="19"/>
  <c r="AK43" i="19"/>
  <c r="AK23" i="19"/>
  <c r="Y23" i="19"/>
  <c r="AE33" i="19"/>
  <c r="M53" i="19"/>
  <c r="S13" i="19"/>
  <c r="S33" i="19"/>
  <c r="AK53" i="19"/>
  <c r="Y53" i="19"/>
  <c r="S53" i="19"/>
  <c r="M33" i="19"/>
  <c r="AF6" i="19"/>
  <c r="N46" i="19"/>
  <c r="Z26" i="19"/>
  <c r="AL6" i="19"/>
  <c r="AL36" i="19"/>
  <c r="AF26" i="19"/>
  <c r="Z6" i="19"/>
  <c r="T26" i="19"/>
  <c r="Z46" i="19"/>
  <c r="AF46" i="19"/>
  <c r="T46" i="19"/>
  <c r="T6" i="19"/>
  <c r="AF36" i="19"/>
  <c r="N26" i="19"/>
  <c r="Z16" i="19"/>
  <c r="AL26" i="19"/>
  <c r="Z36" i="19"/>
  <c r="N36" i="19"/>
  <c r="AL46" i="19"/>
  <c r="T36" i="19"/>
  <c r="AF16" i="19"/>
  <c r="N6" i="19"/>
  <c r="N16" i="19"/>
  <c r="AL16" i="19"/>
  <c r="T16" i="19"/>
  <c r="AG24" i="19" l="1"/>
  <c r="O44" i="19"/>
  <c r="O24" i="19"/>
  <c r="AM14" i="19"/>
  <c r="AG34" i="19"/>
  <c r="O34" i="19"/>
  <c r="AA44" i="19"/>
  <c r="O14" i="19"/>
  <c r="AA54" i="19"/>
  <c r="U14" i="19"/>
  <c r="AM44" i="19"/>
  <c r="AA34" i="19"/>
  <c r="AM24" i="19"/>
  <c r="AM54" i="19"/>
  <c r="AG14" i="19"/>
  <c r="AM34" i="19"/>
  <c r="U54" i="19"/>
  <c r="AG44" i="19"/>
  <c r="AA24" i="19"/>
  <c r="AG54" i="19"/>
  <c r="U34" i="19"/>
  <c r="U24" i="19"/>
  <c r="AA14" i="19"/>
  <c r="O54" i="19"/>
  <c r="U44" i="19"/>
  <c r="U43" i="19"/>
  <c r="U13" i="19"/>
  <c r="AM53" i="19"/>
  <c r="AA53" i="19"/>
  <c r="AA43" i="19"/>
  <c r="O53" i="19"/>
  <c r="O23" i="19"/>
  <c r="O13" i="19"/>
  <c r="AG43" i="19"/>
  <c r="U33" i="19"/>
  <c r="U23" i="19"/>
  <c r="AM13" i="19"/>
  <c r="AM23" i="19"/>
  <c r="AG13" i="19"/>
  <c r="AA23" i="19"/>
  <c r="AG33" i="19"/>
  <c r="AA33" i="19"/>
  <c r="AM33" i="19"/>
  <c r="AA13" i="19"/>
  <c r="AG23" i="19"/>
  <c r="U53" i="19"/>
  <c r="AG53" i="19"/>
  <c r="O43" i="19"/>
  <c r="AM43" i="19"/>
  <c r="O33" i="19"/>
  <c r="AF54" i="19"/>
  <c r="AL34" i="19"/>
  <c r="AF34" i="19"/>
  <c r="AL14" i="19"/>
  <c r="AF44" i="19"/>
  <c r="T44" i="19"/>
  <c r="N14" i="19"/>
  <c r="N44" i="19"/>
  <c r="T24" i="19"/>
  <c r="N24" i="19"/>
  <c r="AL44" i="19"/>
  <c r="N34" i="19"/>
  <c r="Z44" i="19"/>
  <c r="Z24" i="19"/>
  <c r="T14" i="19"/>
  <c r="N54" i="19"/>
  <c r="T34" i="19"/>
  <c r="Z14" i="19"/>
  <c r="AF24" i="19"/>
  <c r="AF14" i="19"/>
  <c r="Z54" i="19"/>
  <c r="AL54" i="19"/>
  <c r="T54" i="19"/>
  <c r="AL24" i="19"/>
  <c r="Z34" i="19"/>
  <c r="AF53" i="19"/>
  <c r="T43" i="19"/>
  <c r="Z53" i="19"/>
  <c r="N43" i="19"/>
  <c r="T23" i="19"/>
  <c r="AF43" i="19"/>
  <c r="Z13" i="19"/>
  <c r="Z43" i="19"/>
  <c r="AF23" i="19"/>
  <c r="AL13" i="19"/>
  <c r="Z23" i="19"/>
  <c r="AL43" i="19"/>
  <c r="AF13" i="19"/>
  <c r="AL23" i="19"/>
  <c r="N13" i="19"/>
  <c r="T33" i="19"/>
  <c r="AL53" i="19"/>
  <c r="N23" i="19"/>
  <c r="N53" i="19"/>
  <c r="AF33" i="19"/>
  <c r="N33" i="19"/>
  <c r="T53" i="19"/>
  <c r="AL33" i="19"/>
  <c r="T13" i="19"/>
  <c r="Z33" i="19"/>
  <c r="Z47" i="19"/>
  <c r="T7" i="19"/>
  <c r="AL37" i="19"/>
  <c r="T17" i="19"/>
  <c r="Z17" i="19"/>
  <c r="AF7" i="19"/>
  <c r="AF37" i="19"/>
  <c r="N17" i="19"/>
  <c r="AF27" i="19"/>
  <c r="AF47" i="19"/>
  <c r="AL47" i="19"/>
  <c r="T27" i="19"/>
  <c r="Z37" i="19"/>
  <c r="T37" i="19"/>
  <c r="N37" i="19"/>
  <c r="N47" i="19"/>
  <c r="Z27" i="19"/>
  <c r="AL7" i="19"/>
  <c r="AL17" i="19"/>
  <c r="AF17" i="19"/>
  <c r="AL27" i="19"/>
  <c r="N27" i="19"/>
  <c r="N7" i="19"/>
  <c r="Z7" i="19"/>
  <c r="T47" i="19"/>
  <c r="O20" i="19"/>
  <c r="AM40" i="19"/>
  <c r="O30" i="19"/>
  <c r="AM50" i="19"/>
  <c r="AA50" i="19"/>
  <c r="AM30" i="19"/>
  <c r="AM10" i="19"/>
  <c r="AM20" i="19"/>
  <c r="O50" i="19"/>
  <c r="U30" i="19"/>
  <c r="AA10" i="19"/>
  <c r="U40" i="19"/>
  <c r="O40" i="19"/>
  <c r="U20" i="19"/>
  <c r="AG40" i="19"/>
  <c r="AG50" i="19"/>
  <c r="U50" i="19"/>
  <c r="AA30" i="19"/>
  <c r="AG10" i="19"/>
  <c r="AA40" i="19"/>
  <c r="AG20" i="19"/>
  <c r="AA20" i="19"/>
  <c r="U10" i="19"/>
  <c r="AG30" i="19"/>
  <c r="O10" i="19"/>
  <c r="AG37" i="19"/>
  <c r="AG47" i="19"/>
  <c r="U7" i="19"/>
  <c r="AM47" i="19"/>
  <c r="U27" i="19"/>
  <c r="O37" i="19"/>
  <c r="O17" i="19"/>
  <c r="AA7" i="19"/>
  <c r="AA47" i="19"/>
  <c r="O27" i="19"/>
  <c r="U37" i="19"/>
  <c r="AM17" i="19"/>
  <c r="AM37" i="19"/>
  <c r="AG27" i="19"/>
  <c r="AM7" i="19"/>
  <c r="AG7" i="19"/>
  <c r="AA17" i="19"/>
  <c r="O7" i="19"/>
  <c r="AA37" i="19"/>
  <c r="AA27" i="19"/>
  <c r="AM27" i="19"/>
  <c r="U17" i="19"/>
  <c r="U47" i="19"/>
  <c r="AG17" i="19"/>
  <c r="O47" i="19"/>
  <c r="Z40" i="19"/>
  <c r="T10" i="19"/>
  <c r="AF10" i="19"/>
  <c r="T20" i="19"/>
  <c r="N30" i="19"/>
  <c r="Z20" i="19"/>
  <c r="AF50" i="19"/>
  <c r="T50" i="19"/>
  <c r="AL30" i="19"/>
  <c r="T40" i="19"/>
  <c r="AF40" i="19"/>
  <c r="AF30" i="19"/>
  <c r="N50" i="19"/>
  <c r="AL40" i="19"/>
  <c r="AL20" i="19"/>
  <c r="Z10" i="19"/>
  <c r="AF20" i="19"/>
  <c r="N10" i="19"/>
  <c r="Z50" i="19"/>
  <c r="AL50" i="19"/>
  <c r="N40" i="19"/>
  <c r="T30" i="19"/>
  <c r="Z30" i="19"/>
  <c r="AL10" i="19"/>
  <c r="N20" i="19"/>
  <c r="L16" i="18" l="1"/>
  <c r="R24" i="18"/>
  <c r="AJ40" i="18"/>
  <c r="R32" i="18"/>
  <c r="AJ16" i="18"/>
  <c r="R8" i="18"/>
  <c r="AJ32" i="18"/>
  <c r="AD8" i="18"/>
  <c r="X40" i="18"/>
  <c r="L32" i="18"/>
  <c r="X8" i="18"/>
  <c r="R40" i="18"/>
  <c r="L40" i="18"/>
  <c r="X16" i="18"/>
  <c r="AD40" i="18"/>
  <c r="AD32" i="18"/>
  <c r="AD24" i="18"/>
  <c r="L24" i="18"/>
  <c r="X24" i="18"/>
  <c r="R16" i="18"/>
  <c r="AJ8" i="18"/>
  <c r="AJ24" i="18"/>
  <c r="AD16" i="18"/>
  <c r="X32" i="18"/>
  <c r="J40" i="18"/>
  <c r="AB40" i="18"/>
  <c r="AH32" i="18"/>
  <c r="AB24" i="18"/>
  <c r="J16" i="18"/>
  <c r="P32" i="18"/>
  <c r="V24" i="18"/>
  <c r="P24" i="18"/>
  <c r="P8" i="18"/>
  <c r="P16" i="18"/>
  <c r="P40" i="18"/>
  <c r="V32" i="18"/>
  <c r="J24" i="18"/>
  <c r="V8" i="18"/>
  <c r="AH24" i="18"/>
  <c r="AH8" i="18"/>
  <c r="AB32" i="18"/>
  <c r="AB8" i="18"/>
  <c r="AH16" i="18"/>
  <c r="V16" i="18"/>
  <c r="AB16" i="18"/>
  <c r="V40" i="18"/>
  <c r="AH40" i="18"/>
  <c r="J32" i="18"/>
  <c r="J40" i="19" l="1"/>
  <c r="J50" i="19"/>
  <c r="J10" i="19"/>
  <c r="V40" i="19"/>
  <c r="V20" i="19"/>
  <c r="AH10" i="19"/>
  <c r="P10" i="19"/>
  <c r="V30" i="19"/>
  <c r="AB40" i="19"/>
  <c r="AB20" i="19"/>
  <c r="AB30" i="19"/>
  <c r="V50" i="19"/>
  <c r="AB10" i="19"/>
  <c r="AH30" i="19"/>
  <c r="AB50" i="19"/>
  <c r="AH40" i="19"/>
  <c r="P40" i="19"/>
  <c r="AH20" i="19"/>
  <c r="P30" i="19"/>
  <c r="AH50" i="19"/>
  <c r="J30" i="19"/>
  <c r="P50" i="19"/>
  <c r="V10" i="19"/>
  <c r="P20" i="19"/>
  <c r="J20" i="19"/>
  <c r="AB9" i="19"/>
  <c r="AB49" i="19"/>
  <c r="AH19" i="19"/>
  <c r="V39" i="19"/>
  <c r="AB29" i="19"/>
  <c r="AH29" i="19"/>
  <c r="V9" i="19"/>
  <c r="P49" i="19"/>
  <c r="AB19" i="19"/>
  <c r="J39" i="19"/>
  <c r="AH9" i="19"/>
  <c r="J49" i="19"/>
  <c r="J9" i="19"/>
  <c r="AB39" i="19"/>
  <c r="J29" i="19"/>
  <c r="P19" i="19"/>
  <c r="AH49" i="19"/>
  <c r="J19" i="19"/>
  <c r="V49" i="19"/>
  <c r="P39" i="19"/>
  <c r="V29" i="19"/>
  <c r="AH39" i="19"/>
  <c r="P9" i="19"/>
  <c r="P29" i="19"/>
  <c r="V19" i="19"/>
  <c r="W16" i="19" l="1"/>
  <c r="K36" i="19"/>
  <c r="Q26" i="19"/>
  <c r="AI46" i="19"/>
  <c r="Q6" i="19"/>
  <c r="K6" i="19"/>
  <c r="Q16" i="19"/>
  <c r="K16" i="19"/>
  <c r="AC46" i="19"/>
  <c r="Q46" i="19"/>
  <c r="AI6" i="19"/>
  <c r="AI16" i="19"/>
  <c r="Q36" i="19"/>
  <c r="W6" i="19"/>
  <c r="W36" i="19"/>
  <c r="AC26" i="19"/>
  <c r="W26" i="19"/>
  <c r="K26" i="19"/>
  <c r="W46" i="19"/>
  <c r="AC36" i="19"/>
  <c r="AC16" i="19"/>
  <c r="AI36" i="19"/>
  <c r="AI26" i="19"/>
  <c r="AC6" i="19"/>
  <c r="K46" i="19"/>
  <c r="V22" i="18" l="1"/>
  <c r="AH38" i="18"/>
  <c r="AB14" i="18"/>
  <c r="P6" i="18"/>
  <c r="P30" i="18"/>
  <c r="V38" i="18"/>
  <c r="V14" i="18"/>
  <c r="J14" i="18"/>
  <c r="J30" i="18"/>
  <c r="J38" i="18"/>
  <c r="AB38" i="18"/>
  <c r="J6" i="18"/>
  <c r="AH22" i="18"/>
  <c r="AB22" i="18"/>
  <c r="P38" i="18"/>
  <c r="AH6" i="18"/>
  <c r="P22" i="18"/>
  <c r="AH30" i="18"/>
  <c r="P14" i="18"/>
  <c r="AH14" i="18"/>
  <c r="V30" i="18"/>
  <c r="AB6" i="18"/>
  <c r="V6" i="18"/>
  <c r="AB30" i="18"/>
  <c r="J22" i="18"/>
  <c r="AJ18" i="18"/>
  <c r="R18" i="18"/>
  <c r="AJ34" i="18"/>
  <c r="X26" i="18"/>
  <c r="R10" i="18"/>
  <c r="X10" i="18"/>
  <c r="X42" i="18"/>
  <c r="L42" i="18"/>
  <c r="AJ10" i="18"/>
  <c r="R26" i="18"/>
  <c r="R34" i="18"/>
  <c r="AJ26" i="18"/>
  <c r="AD18" i="18"/>
  <c r="AD34" i="18"/>
  <c r="L26" i="18"/>
  <c r="AD42" i="18"/>
  <c r="L34" i="18"/>
  <c r="X34" i="18"/>
  <c r="L10" i="18"/>
  <c r="AD10" i="18"/>
  <c r="X18" i="18"/>
  <c r="R42" i="18"/>
  <c r="L18" i="18"/>
  <c r="AJ42" i="18"/>
  <c r="AD26" i="18"/>
  <c r="Z42" i="18"/>
  <c r="N42" i="18"/>
  <c r="T26" i="18"/>
  <c r="AF18" i="18"/>
  <c r="N34" i="18"/>
  <c r="T34" i="18"/>
  <c r="T18" i="18"/>
  <c r="Z18" i="18"/>
  <c r="AF26" i="18"/>
  <c r="N26" i="18"/>
  <c r="Z26" i="18"/>
  <c r="T42" i="18"/>
  <c r="AF34" i="18"/>
  <c r="AL10" i="18"/>
  <c r="Z10" i="18"/>
  <c r="AL18" i="18"/>
  <c r="AL34" i="18"/>
  <c r="AF10" i="18"/>
  <c r="Z34" i="18"/>
  <c r="AF42" i="18"/>
  <c r="AL26" i="18"/>
  <c r="N18" i="18"/>
  <c r="N10" i="18"/>
  <c r="T10" i="18"/>
  <c r="AL42" i="18"/>
  <c r="T14" i="18"/>
  <c r="T38" i="18"/>
  <c r="AF22" i="18"/>
  <c r="N38" i="18"/>
  <c r="AL6" i="18"/>
  <c r="Z38" i="18"/>
  <c r="AL38" i="18"/>
  <c r="T22" i="18"/>
  <c r="N6" i="18"/>
  <c r="AL30" i="18"/>
  <c r="AF30" i="18"/>
  <c r="Z6" i="18"/>
  <c r="Z30" i="18"/>
  <c r="N14" i="18"/>
  <c r="AL14" i="18"/>
  <c r="AF6" i="18"/>
  <c r="AL22" i="18"/>
  <c r="Z22" i="18"/>
  <c r="N30" i="18"/>
  <c r="Z14" i="18"/>
  <c r="N22" i="18"/>
  <c r="AF38" i="18"/>
  <c r="T6" i="18"/>
  <c r="T30" i="18"/>
  <c r="AF14" i="18"/>
  <c r="P34" i="18"/>
  <c r="P10" i="18"/>
  <c r="AH42" i="18"/>
  <c r="J26" i="18"/>
  <c r="AB10" i="18"/>
  <c r="AB34" i="18"/>
  <c r="V10" i="18"/>
  <c r="AB18" i="18"/>
  <c r="V34" i="18"/>
  <c r="AB26" i="18"/>
  <c r="AH18" i="18"/>
  <c r="J18" i="18"/>
  <c r="AB42" i="18"/>
  <c r="AH10" i="18"/>
  <c r="P42" i="18"/>
  <c r="AH26" i="18"/>
  <c r="J34" i="18"/>
  <c r="V42" i="18"/>
  <c r="J42" i="18"/>
  <c r="AH34" i="18"/>
  <c r="P18" i="18"/>
  <c r="V26" i="18"/>
  <c r="J10" i="18"/>
  <c r="V18" i="18"/>
  <c r="P26" i="18"/>
  <c r="J20" i="18"/>
  <c r="AB12" i="18"/>
  <c r="V44" i="18"/>
  <c r="AH44" i="18"/>
  <c r="P20" i="18"/>
  <c r="J36" i="18"/>
  <c r="J44" i="18"/>
  <c r="P12" i="18"/>
  <c r="V36" i="18"/>
  <c r="AH28" i="18"/>
  <c r="AB36" i="18"/>
  <c r="V20" i="18"/>
  <c r="AB28" i="18"/>
  <c r="AH20" i="18"/>
  <c r="P36" i="18"/>
  <c r="V12" i="18"/>
  <c r="AB20" i="18"/>
  <c r="J12" i="18"/>
  <c r="AH12" i="18"/>
  <c r="P28" i="18"/>
  <c r="P44" i="18"/>
  <c r="AB44" i="18"/>
  <c r="V28" i="18"/>
  <c r="J28" i="18"/>
  <c r="AH36" i="18"/>
  <c r="X6" i="18"/>
  <c r="L6" i="18"/>
  <c r="R38" i="18"/>
  <c r="AD30" i="18"/>
  <c r="L14" i="18"/>
  <c r="R6" i="18"/>
  <c r="AJ30" i="18"/>
  <c r="R30" i="18"/>
  <c r="AD22" i="18"/>
  <c r="AJ14" i="18"/>
  <c r="AJ38" i="18"/>
  <c r="AD6" i="18"/>
  <c r="X14" i="18"/>
  <c r="R22" i="18"/>
  <c r="X22" i="18"/>
  <c r="R14" i="18"/>
  <c r="AJ22" i="18"/>
  <c r="X38" i="18"/>
  <c r="AD14" i="18"/>
  <c r="AJ6" i="18"/>
  <c r="AD38" i="18"/>
  <c r="L30" i="18"/>
  <c r="L38" i="18"/>
  <c r="X30" i="18"/>
  <c r="L22" i="18"/>
  <c r="AF32" i="18"/>
  <c r="AL32" i="18"/>
  <c r="Z16" i="18"/>
  <c r="N16" i="18"/>
  <c r="T16" i="18"/>
  <c r="T8" i="18"/>
  <c r="T40" i="18"/>
  <c r="Z40" i="18"/>
  <c r="T24" i="18"/>
  <c r="AL16" i="18"/>
  <c r="AF40" i="18"/>
  <c r="AF16" i="18"/>
  <c r="Z24" i="18"/>
  <c r="AL24" i="18"/>
  <c r="AL8" i="18"/>
  <c r="Z32" i="18"/>
  <c r="N24" i="18"/>
  <c r="N40" i="18"/>
  <c r="N8" i="18"/>
  <c r="AF24" i="18"/>
  <c r="Z8" i="18"/>
  <c r="AF8" i="18"/>
  <c r="N32" i="18"/>
  <c r="T32" i="18"/>
  <c r="AL40" i="18"/>
  <c r="AH17" i="19" l="1"/>
  <c r="J47" i="19"/>
  <c r="P47" i="19"/>
  <c r="AB47" i="19"/>
  <c r="P37" i="19"/>
  <c r="J17" i="19"/>
  <c r="J37" i="19"/>
  <c r="V27" i="19"/>
  <c r="V7" i="19"/>
  <c r="AB27" i="19"/>
  <c r="P27" i="19"/>
  <c r="V47" i="19"/>
  <c r="P17" i="19"/>
  <c r="V17" i="19"/>
  <c r="AB37" i="19"/>
  <c r="AH7" i="19"/>
  <c r="AH37" i="19"/>
  <c r="V37" i="19"/>
  <c r="AB7" i="19"/>
  <c r="P7" i="19"/>
  <c r="AH27" i="19"/>
  <c r="AH47" i="19"/>
  <c r="J27" i="19"/>
  <c r="J7" i="19"/>
  <c r="AB17" i="19"/>
  <c r="J15" i="19"/>
  <c r="AB15" i="19"/>
  <c r="V15" i="19"/>
  <c r="AB35" i="19"/>
  <c r="J55" i="19"/>
  <c r="P35" i="19"/>
  <c r="AB45" i="19"/>
  <c r="P15" i="19"/>
  <c r="J35" i="19"/>
  <c r="AB55" i="19"/>
  <c r="AH35" i="19"/>
  <c r="V25" i="19"/>
  <c r="AH25" i="19"/>
  <c r="AB25" i="19"/>
  <c r="AH45" i="19"/>
  <c r="AH15" i="19"/>
  <c r="J45" i="19"/>
  <c r="V55" i="19"/>
  <c r="V45" i="19"/>
  <c r="AH55" i="19"/>
  <c r="P45" i="19"/>
  <c r="J25" i="19"/>
  <c r="V35" i="19"/>
  <c r="P25" i="19"/>
  <c r="P55" i="19"/>
  <c r="J28" i="19"/>
  <c r="AB38" i="19"/>
  <c r="AH38" i="19"/>
  <c r="V8" i="19"/>
  <c r="J48" i="19"/>
  <c r="P48" i="19"/>
  <c r="AH48" i="19"/>
  <c r="V28" i="19"/>
  <c r="P8" i="19"/>
  <c r="AB18" i="19"/>
  <c r="AH18" i="19"/>
  <c r="AB8" i="19"/>
  <c r="J8" i="19"/>
  <c r="V18" i="19"/>
  <c r="P28" i="19"/>
  <c r="AB28" i="19"/>
  <c r="J18" i="19"/>
  <c r="J38" i="19"/>
  <c r="AH28" i="19"/>
  <c r="V48" i="19"/>
  <c r="V38" i="19"/>
  <c r="AH8" i="19"/>
  <c r="P18" i="19"/>
  <c r="P38" i="19"/>
  <c r="AB48" i="19"/>
  <c r="P16" i="19" l="1"/>
  <c r="AH46" i="19"/>
  <c r="P46" i="19"/>
  <c r="J16" i="19"/>
  <c r="P26" i="19"/>
  <c r="P36" i="19"/>
  <c r="V6" i="19"/>
  <c r="AH36" i="19"/>
  <c r="P6" i="19"/>
  <c r="AB46" i="19"/>
  <c r="AB26" i="19"/>
  <c r="V16" i="19"/>
  <c r="J36" i="19"/>
  <c r="J46" i="19"/>
  <c r="AB6" i="19"/>
  <c r="AH6" i="19"/>
  <c r="V36" i="19"/>
  <c r="AB16" i="19"/>
  <c r="V26" i="19"/>
  <c r="AB36" i="19"/>
  <c r="AH16" i="19"/>
  <c r="J6" i="19"/>
  <c r="J26" i="19"/>
  <c r="V46" i="19"/>
  <c r="AH26" i="19"/>
  <c r="W37" i="19"/>
  <c r="AI7" i="19"/>
  <c r="W17" i="19"/>
  <c r="AC47" i="19"/>
  <c r="AI27" i="19"/>
  <c r="AI17" i="19"/>
  <c r="K17" i="19"/>
  <c r="AI47" i="19"/>
  <c r="Q27" i="19"/>
  <c r="AC27" i="19"/>
  <c r="Q37" i="19"/>
  <c r="W7" i="19"/>
  <c r="K47" i="19"/>
  <c r="K37" i="19"/>
  <c r="AC7" i="19"/>
  <c r="W47" i="19"/>
  <c r="Q47" i="19"/>
  <c r="AI37" i="19"/>
  <c r="K27" i="19"/>
  <c r="K7" i="19"/>
  <c r="Q17" i="19"/>
  <c r="W27" i="19"/>
  <c r="AC37" i="19"/>
  <c r="Q7" i="19"/>
  <c r="AC17" i="1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<sst xmlns="http://schemas.openxmlformats.org/spreadsheetml/2006/main" count="418" uniqueCount="262">
  <si>
    <t xml:space="preserve">Referencia </t>
  </si>
  <si>
    <t>Descripción del Riesgo</t>
  </si>
  <si>
    <t>Impacto</t>
  </si>
  <si>
    <t>Causa Inmediata</t>
  </si>
  <si>
    <t>Probabilidad</t>
  </si>
  <si>
    <t>%</t>
  </si>
  <si>
    <t>Alta</t>
  </si>
  <si>
    <t>Mayor</t>
  </si>
  <si>
    <t>Atributos</t>
  </si>
  <si>
    <t>Manual</t>
  </si>
  <si>
    <t>Automático</t>
  </si>
  <si>
    <t>No. Control</t>
  </si>
  <si>
    <t>Afectación</t>
  </si>
  <si>
    <t>Tipo</t>
  </si>
  <si>
    <t>Preventivo</t>
  </si>
  <si>
    <t>Detectivo</t>
  </si>
  <si>
    <t>Correctivo</t>
  </si>
  <si>
    <t>Implementación</t>
  </si>
  <si>
    <t>Documentación</t>
  </si>
  <si>
    <t>Documentado</t>
  </si>
  <si>
    <t>Sin Documentar</t>
  </si>
  <si>
    <t>Frecuencia</t>
  </si>
  <si>
    <t>Continua</t>
  </si>
  <si>
    <t>Aleatoria</t>
  </si>
  <si>
    <t>Evidencia</t>
  </si>
  <si>
    <t>Registro Sustancial</t>
  </si>
  <si>
    <t>Registro Material</t>
  </si>
  <si>
    <t>Sin registro</t>
  </si>
  <si>
    <t>Calificación</t>
  </si>
  <si>
    <t>Tratamiento</t>
  </si>
  <si>
    <t>Reducir</t>
  </si>
  <si>
    <t>Aceptar</t>
  </si>
  <si>
    <t>Evitar</t>
  </si>
  <si>
    <t>Probabilidad Inherente</t>
  </si>
  <si>
    <t>Plan de Acción</t>
  </si>
  <si>
    <t>Responsable</t>
  </si>
  <si>
    <t>Fecha Implementación</t>
  </si>
  <si>
    <t>Estado</t>
  </si>
  <si>
    <t>Finalizado</t>
  </si>
  <si>
    <t>En curso</t>
  </si>
  <si>
    <t>Causa Raíz</t>
  </si>
  <si>
    <t>Proceso:</t>
  </si>
  <si>
    <t>Alcance:</t>
  </si>
  <si>
    <t>Impacto 
Inherente</t>
  </si>
  <si>
    <t>Probabilidad Residual Final</t>
  </si>
  <si>
    <t>Impacto Residual Final</t>
  </si>
  <si>
    <t>Zona de Riesgo Inherente</t>
  </si>
  <si>
    <t>Zona de Riesgo Final</t>
  </si>
  <si>
    <t>Clasificación del Riesgo</t>
  </si>
  <si>
    <t>Muy Baja</t>
  </si>
  <si>
    <t>Frecuencia de la Actividad</t>
  </si>
  <si>
    <t>Baja</t>
  </si>
  <si>
    <t>Muy Alta</t>
  </si>
  <si>
    <t>Tabla Criterios para definir el nivel de probabilidad</t>
  </si>
  <si>
    <t>Afectación Económica (o presupuestal)</t>
  </si>
  <si>
    <t>Pérdida Reputacional</t>
  </si>
  <si>
    <t>Afectación menor a 10 SMLMV .</t>
  </si>
  <si>
    <t xml:space="preserve">Menor-40% </t>
  </si>
  <si>
    <t>Moderado 60%</t>
  </si>
  <si>
    <t>Mayor 80%</t>
  </si>
  <si>
    <t>Catastrófico 100%</t>
  </si>
  <si>
    <t>Tabla Criterios para definir el nivel de impacto</t>
  </si>
  <si>
    <t>Características</t>
  </si>
  <si>
    <t>Descripción</t>
  </si>
  <si>
    <t>Peso</t>
  </si>
  <si>
    <t>Atributos de Eficiencia</t>
  </si>
  <si>
    <t>Va hacia las causas del riesgo, aseguran el resultado final esperado.</t>
  </si>
  <si>
    <t>Detecta que algo ocurre y devuelve el proceso a los controles preventivos.
Se pueden generar reprocesos.</t>
  </si>
  <si>
    <t>Dado que permiten reducir el impacto de la materialización del riesgo, tienen un costo en su implementación.</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</si>
  <si>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</si>
  <si>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</si>
  <si>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t>Controles que están documentados en el proceso, ya sea en manuales, procedimientos, flujogramas o cualquier otro documento propio del proceso.</t>
  </si>
  <si>
    <t>-</t>
  </si>
  <si>
    <t>Identifica a los controles que pese a que se ejecutan en el proceso no se encuentran documentados en ningún documento propio del proceso</t>
  </si>
  <si>
    <t>Este atributo identifica a los controles que se ejecutan siempre que se realiza la actividad originadora del riesgo.</t>
  </si>
  <si>
    <t>Este atributo identifica a los controles que no siempre se ejecutan cuando se realiza la actividad originadora del riesgo</t>
  </si>
  <si>
    <t>Tabla Atributos de para el diseño del control</t>
  </si>
  <si>
    <t>Extremo</t>
  </si>
  <si>
    <t>Alto</t>
  </si>
  <si>
    <t>Moderado</t>
  </si>
  <si>
    <t>Bajo</t>
  </si>
  <si>
    <t>Insignificante</t>
  </si>
  <si>
    <t>Menor</t>
  </si>
  <si>
    <t>Catastrófico</t>
  </si>
  <si>
    <t>Plan de accion (solo para la opción reducir)</t>
  </si>
  <si>
    <t>Criterios de impacto</t>
  </si>
  <si>
    <t>Criterios</t>
  </si>
  <si>
    <t>Pérdida_Reputacional</t>
  </si>
  <si>
    <t>Afectación Económica o presupuestal</t>
  </si>
  <si>
    <t>Afectación_Económica_o_presupuestal</t>
  </si>
  <si>
    <t>Observación de criterio</t>
  </si>
  <si>
    <t xml:space="preserve">Entre 10 y 50 SMLMV </t>
  </si>
  <si>
    <t xml:space="preserve">Entre 50 y 100 SMLMV </t>
  </si>
  <si>
    <t xml:space="preserve">Entre 100 y 500 SMLMV </t>
  </si>
  <si>
    <t xml:space="preserve">Mayor a 500 SMLMV </t>
  </si>
  <si>
    <t>El riesgo afecta la imagen de alguna área de la organización</t>
  </si>
  <si>
    <t>El riesgo afecta la imagen de la entidad internamente, de conocimiento general, nivel interno, de junta dircetiva y accionistas y/o de provedores</t>
  </si>
  <si>
    <t>El riesgo afecta la imagen de de la entidad con efecto publicitario sostenido a nivel de sector administrativo, nivel departamental o municipal</t>
  </si>
  <si>
    <t>El riesgo afecta la imagen de la entidad con algunos usuarios de relevancia frente al logro de los objetivos</t>
  </si>
  <si>
    <t>Leve 20%</t>
  </si>
  <si>
    <t>La actividad que conlleva el riesgo se ejecuta como máximos 2 veces por año</t>
  </si>
  <si>
    <t>La actividad que conlleva el riesgo se ejecuta de 3 a 24 veces por año</t>
  </si>
  <si>
    <t>La actividad que conlleva el riesgo se ejecuta de 24 a 500 veces por año</t>
  </si>
  <si>
    <t>La actividad que conlleva el riesgo se ejecuta mínimo 500 veces al año y máximo 5000 veces por año</t>
  </si>
  <si>
    <t>La actividad que conlleva el riesgo se ejecuta más de 5000 veces por año</t>
  </si>
  <si>
    <t>Media</t>
  </si>
  <si>
    <t>Catastrófico
100%</t>
  </si>
  <si>
    <t>Mayor
80%</t>
  </si>
  <si>
    <t>Moderado
60%</t>
  </si>
  <si>
    <t>Menor
40%</t>
  </si>
  <si>
    <t>Leve
20%</t>
  </si>
  <si>
    <t>Muy Baja
20%</t>
  </si>
  <si>
    <t>Baja
40%</t>
  </si>
  <si>
    <t>Alta
80%</t>
  </si>
  <si>
    <t>Muy Alta
100%</t>
  </si>
  <si>
    <t>Media
60%</t>
  </si>
  <si>
    <t>El riesgo afecta la imagen de la entidad a nivel nacional, con efecto publicitarios sostenible a nivel país</t>
  </si>
  <si>
    <t>Con Registro</t>
  </si>
  <si>
    <t>Sin Registro</t>
  </si>
  <si>
    <t>El control no deja registro de la ejecución del control</t>
  </si>
  <si>
    <t>El control deja un registro que permite evidenciar la ejecución del control</t>
  </si>
  <si>
    <t>Ejecucion y Administracion de procesos</t>
  </si>
  <si>
    <t>Fraude Externo</t>
  </si>
  <si>
    <t>Fraude Interno</t>
  </si>
  <si>
    <t>Fallas Tecnologicas</t>
  </si>
  <si>
    <t>Relaciones Laborales</t>
  </si>
  <si>
    <t>Usuarios, productos y practicas , organizacionales</t>
  </si>
  <si>
    <t>Daños Activos Fisicos</t>
  </si>
  <si>
    <t>Objetivo:</t>
  </si>
  <si>
    <t>Reputacional</t>
  </si>
  <si>
    <t>Económico</t>
  </si>
  <si>
    <t>Económico y Reputacional</t>
  </si>
  <si>
    <t>Frecuencia con la cual se realiza la actividad</t>
  </si>
  <si>
    <t>Reducir (mitigar)</t>
  </si>
  <si>
    <t>Reducir (compartir)</t>
  </si>
  <si>
    <t>Probabilidad Residual</t>
  </si>
  <si>
    <t>Identificación del riesgo</t>
  </si>
  <si>
    <t>Análisis del riesgo inherente</t>
  </si>
  <si>
    <t>Evaluación del riesgo - Valoración de los controles</t>
  </si>
  <si>
    <t>Evaluación del riesgo - Nivel del riesgo residual</t>
  </si>
  <si>
    <t>Fuente:  Adaptado de Curso Riesgo Operativo Universidad del Rosario por Dirección de Gestión y Desempeño Institucional de Función Pública,  2020.</t>
  </si>
  <si>
    <t>Subcriterios</t>
  </si>
  <si>
    <t xml:space="preserve">     Afectación menor a 10 SMLMV .</t>
  </si>
  <si>
    <t>❌</t>
  </si>
  <si>
    <t>✔</t>
  </si>
  <si>
    <t xml:space="preserve">     Entre 50 y 100 SMLMV </t>
  </si>
  <si>
    <t xml:space="preserve">     Entre 10 y 50 SMLMV </t>
  </si>
  <si>
    <t xml:space="preserve">     Entre 100 y 500 SMLMV </t>
  </si>
  <si>
    <t xml:space="preserve">     Mayor a 500 SMLMV </t>
  </si>
  <si>
    <t xml:space="preserve">     El riesgo afecta la imagen de alguna área de la organización</t>
  </si>
  <si>
    <t xml:space="preserve">     El riesgo afecta la imagen de la entidad internamente, de conocimiento general, nivel interno, de junta dircetiva y accionistas y/o de provedores</t>
  </si>
  <si>
    <t xml:space="preserve">     El riesgo afecta la imagen de la entidad con algunos usuarios de relevancia frente al logro de los objetivos</t>
  </si>
  <si>
    <t xml:space="preserve">     El riesgo afecta la imagen de de la entidad con efecto publicitario sostenido a nivel de sector administrativo, nivel departamental o municipal</t>
  </si>
  <si>
    <t xml:space="preserve">     El riesgo afecta la imagen de la entidad a nivel nacional, con efecto publicitarios sostenible a nivel país</t>
  </si>
  <si>
    <t xml:space="preserve">Afectación menor a 10 SMLMV </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</si>
  <si>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</si>
  <si>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 xml:space="preserve"> Matriz de Calor Residual</t>
  </si>
  <si>
    <t>Matriz de Calor Inherente</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</si>
  <si>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</si>
  <si>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Descripción del Control</t>
  </si>
  <si>
    <t>Orientaciones Generales</t>
  </si>
  <si>
    <t>Columna</t>
  </si>
  <si>
    <t>Matriz Mapa de Riesgos</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</si>
  <si>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</si>
  <si>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</si>
  <si>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</si>
  <si>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t>Frecuencia con la cual se lleva a cabo la actividad</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</si>
  <si>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</si>
  <si>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</si>
  <si>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</si>
  <si>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</si>
  <si>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Teniendo en cuenta que ingresó la información de PROBABILIDAD e IMPACTO, la matriz automáticamente hará el cálculo para la zona de riesgo inherente (Columna N)</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</si>
  <si>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</si>
  <si>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Esta casilla no se diligencia, depende de la selección en la columna R.</t>
  </si>
  <si>
    <t>Utilice la lista de despligue que se encuentra parametrizada, le aparecerán las opciones: i)Preventivo, ii)Detectivo, iii)Correctivo.</t>
  </si>
  <si>
    <t>Utilice la lista de despligue que se encuentra parametrizada, le aparecerán las opciones: i)Automático, ii)Manual.</t>
  </si>
  <si>
    <t xml:space="preserve">La matriz automáticamente hará el cálculo para el control analizado (Columna T) </t>
  </si>
  <si>
    <r>
      <t xml:space="preserve">ATRIBUTOS EFICIENCIA
</t>
    </r>
    <r>
      <rPr>
        <sz val="9"/>
        <rFont val="Arial Narrow"/>
        <family val="2"/>
      </rPr>
      <t>Tipo</t>
    </r>
  </si>
  <si>
    <r>
      <t xml:space="preserve">ATRIBUTOS EFICIENCIA
</t>
    </r>
    <r>
      <rPr>
        <sz val="9"/>
        <rFont val="Arial Narrow"/>
        <family val="2"/>
      </rPr>
      <t>Implementación</t>
    </r>
  </si>
  <si>
    <r>
      <t xml:space="preserve">ATRIBUTOS EFICIENCIA
</t>
    </r>
    <r>
      <rPr>
        <sz val="9"/>
        <rFont val="Arial Narrow"/>
        <family val="2"/>
      </rPr>
      <t>Calificación</t>
    </r>
  </si>
  <si>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</si>
  <si>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</si>
  <si>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</si>
  <si>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</si>
  <si>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</si>
  <si>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</si>
  <si>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</si>
  <si>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</si>
  <si>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Utilice la lista de despligue que se encuentra parametrizada, le aparecerán las opciones: i)Aceptar, ii)Evitar, iii)Reducir (compartir), iv)Reducir (mitigar).</t>
  </si>
  <si>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</si>
  <si>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r>
      <t xml:space="preserve">Plan de Acción
</t>
    </r>
    <r>
      <rPr>
        <sz val="9"/>
        <rFont val="Arial Narrow"/>
        <family val="2"/>
      </rPr>
      <t xml:space="preserve">Responsable, fecha implementación, fecha seguimiento, seguimiento. </t>
    </r>
  </si>
  <si>
    <t>Utilice la lista de despligue que se encuentra parametrizada, le aparecerán las opciones: i)Finalizado, ii)En curso, la selección en este caso dependerá de las acciones del plan que se hayan establecido en cada caso.</t>
  </si>
  <si>
    <t>Proceso</t>
  </si>
  <si>
    <t>Objetivo</t>
  </si>
  <si>
    <t>Alcance</t>
  </si>
  <si>
    <t>Diligencie el objetivo del proceso.</t>
  </si>
  <si>
    <t>Diligencie el alcance del proceso.</t>
  </si>
  <si>
    <t>Diligencie el nombre del proceso al cual se le identificarán y valorarán los riesgos.</t>
  </si>
  <si>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</si>
  <si>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Descripción - Lineamientos para el diligenciamiento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</si>
  <si>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</si>
  <si>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</si>
  <si>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</si>
  <si>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</si>
  <si>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</si>
  <si>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</si>
  <si>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Analice las consecuencias que puede ocasionar a la organización la materialización del riesgo, redacte de la forma más concreta posible.</t>
  </si>
  <si>
    <t>Circunstancias bajo las cuales se presenta el riesgo, es la situación más evidente frente al riesgo, redacte de la forma más concreta posible.</t>
  </si>
  <si>
    <t>Causa  principal  o básica, corresponde a las razones por la cuales se puede presentar  el riesgo, redacte de la forma más concreta posible.</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</si>
  <si>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</si>
  <si>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r>
      <rPr>
        <b/>
        <sz val="11"/>
        <color theme="9" tint="-0.249977111117893"/>
        <rFont val="Arial"/>
        <family val="2"/>
      </rPr>
      <t xml:space="preserve">*Nota: </t>
    </r>
    <r>
      <rPr>
        <sz val="11"/>
        <color theme="1"/>
        <rFont val="Arial"/>
        <family val="2"/>
      </rPr>
      <t>La columna referencia se sugiere para mantener el consecutivo de riesgos, así el riesgo salga del mapa no existirá otro riesgo con el mismo número. Una entidad puede ir en el riesgo 150 pero tener 70 riesgos, lo que permite llevar una traza de los riesgos. Esta información la debe administrar la Oficina Asesora de Planeación o Gerencia de Riesgos.</t>
    </r>
  </si>
  <si>
    <t>SISTEMA DE GESTIÓN DE CALIDAD</t>
  </si>
  <si>
    <t xml:space="preserve">GESTIÓN DE CALIDAD </t>
  </si>
  <si>
    <t>Página 1 de 1</t>
  </si>
  <si>
    <t xml:space="preserve">MAPA DE RIESGOS </t>
  </si>
  <si>
    <t>Ejecutar las etapas pre-contractual, contractual, post-contractual para la adquisición de bienes y servicios requeridos por el Concejo Municipal de Chía dentro del marco legal establecido para cada modalidad de contratación.
Asistir, apoyar, y asesorar jurídicamente a la Corporación de manera oportuna y efectiva en los procesos judiciales, administrativos, consultas internas y externas con el fin de dar cumplimiento.</t>
  </si>
  <si>
    <t xml:space="preserve">
Inicia con la formulación del Plan de Acción del proceso, la recepción, priorización de las solicitudes realizadas que requieran un apoyo jurídico y la planificación de las actividades contractuales y finaliza con los seguimientos al cumplimiento de requisitos de los procesos contractuales y al cumplimiento oportuno de las solicitudes y requerimientos realizados al proceso jurídico. </t>
  </si>
  <si>
    <t>Fecha Seguimiento</t>
  </si>
  <si>
    <t>Seguimiento</t>
  </si>
  <si>
    <t>Estado del Plan de Acción</t>
  </si>
  <si>
    <t xml:space="preserve">Estado del Plan de Acción </t>
  </si>
  <si>
    <t xml:space="preserve">GESTION  CONTRACTUAL </t>
  </si>
  <si>
    <t>El supervisor de cada contrato debera realizar un seguimiento permamente  al desarrollo de la ejecuciòn del contrato. Siguiendo los lineamientos establecidos en el Manual de Contrataciòn, en caso de encontrar un incumplimiento debera manifestarlo al proveedor o contratista a traves de requerimiento y en caso de ser necesario se informa al ordenador del gasto.</t>
  </si>
  <si>
    <t>El Asesor Contractual verifica que cada vez que se vaya a realizar el pago, el Supervisor haya realizado el correspondiente informe de supervisión.</t>
  </si>
  <si>
    <r>
      <t xml:space="preserve">VERSIÓN: </t>
    </r>
    <r>
      <rPr>
        <sz val="11"/>
        <color rgb="FF000000"/>
        <rFont val="Arial"/>
        <family val="2"/>
      </rPr>
      <t>05</t>
    </r>
  </si>
  <si>
    <t xml:space="preserve">I SEGUIMIENTO 2025
Corte 30 de Abril </t>
  </si>
  <si>
    <t>II SEGUIMIENTO 2025
Corte 31 de Agosto</t>
  </si>
  <si>
    <t>III SEGUIMIENTO 2025
Corte 31 de Diciembre</t>
  </si>
  <si>
    <t xml:space="preserve">Pèrdida economica por demandas y reclamaciones </t>
  </si>
  <si>
    <t>Por controversias contractuales</t>
  </si>
  <si>
    <t>Posibilidad de pèrdida economica por demandas y reclamaciones debido a controversias contractuales</t>
  </si>
  <si>
    <t>Multa y sanciòn de ente regulador</t>
  </si>
  <si>
    <t>Adquisiciòn de bienes y servicios sin el cummplimiento de los requisitos normativos</t>
  </si>
  <si>
    <t>Posibilidad de afectaciòn economica por multa y sanciòn del ente regulador debido a la adquisiciòn de bienes y servicios sin el cumplimiento de los requisitos normativos</t>
  </si>
  <si>
    <t>Multa y sanciòn del ente regulador</t>
  </si>
  <si>
    <t>Liquidaciòn de contratos fuera de los tèrminos normativos</t>
  </si>
  <si>
    <t>Posibilidad de afectaciòn economica y reputacional por multa y sanciòn del ente regulador, debido a la liquidaciòn de contratos fuera de los tèrminos normativos</t>
  </si>
  <si>
    <t>El supervisor debera verificar que se entregue y se cargue el informe de actividades con soportes del contratista con todos sus soportes en la plataforma Secop II</t>
  </si>
  <si>
    <t>El Asesor de contrataciòn debera verificar previamente que la contrataciòn que este desarollando desde su etapa previa hasta la adjudicaciòn y posterior liquidaciòn del contrato, este ceñida bajo el marco nomativo, estatuto general de contrataciòn, el manual de contrataciòn de la Corporaciòn y a su vez incluyendo los conceptos emitidos por colombia compra eficiente y las sentencias de unificaciòn, de acuerdo a las listas de chequeo por cada modalidad de contratación</t>
  </si>
  <si>
    <t>El Asesor de Contratación verifca el cumpimiento de requisitos juridicos, tecnicos y economicos minimos exigidos de acuerdo a la modalidad de contratacon utilizada a traves de certificacion de cumplimiento de requisitos minimos legales o verificacion o evaluaciones a documentacion presentada.</t>
  </si>
  <si>
    <r>
      <t xml:space="preserve">FECHA:  </t>
    </r>
    <r>
      <rPr>
        <sz val="11"/>
        <color rgb="FF000000"/>
        <rFont val="Arial"/>
        <family val="2"/>
      </rPr>
      <t>07/05/2025</t>
    </r>
  </si>
  <si>
    <t>El Asesor de contrataciòn debera realizar segumiento permanente a los procesos que requieran liquidaciòn, con la finalidad de no superar el tèrmino previsto dentro de la Ley.</t>
  </si>
  <si>
    <t>Acompañamiento a los supervosres en la etapa de ejecucion contractual</t>
  </si>
  <si>
    <t>Asesor Contratación</t>
  </si>
  <si>
    <t>Seguimiento al cumplimiento por parte del supervisor en la generacion de informe de supervisión como requisito de pago</t>
  </si>
  <si>
    <t>Verificación en la plataforma Secop II el cargue de informe de actividades y supervisión</t>
  </si>
  <si>
    <t>Verificar cumpliiento de requisitos minimos legales para la modalidad de contratacon que corresponda</t>
  </si>
  <si>
    <t xml:space="preserve">Verificación, seguimiento y realizacón actas de liquidación de contratos </t>
  </si>
  <si>
    <t>En Curso</t>
  </si>
  <si>
    <t>Previamente a la etapa contractual se revisó el cumplimiento de los requisitos minimos legales para cada tipo de proceso y se expide correspondiente certificacion de idoneidad para el aso de los contratación directa, y para las demas modalidades la verificación o evaluaciones a documentacion presentada.</t>
  </si>
  <si>
    <t>Se verificó que contratos estan listos para realizar su liquidación, posteriormente se tramita el acta correspondiente la cual es firmada por las partes y se archiva en el proceso contractual.</t>
  </si>
  <si>
    <t>Se expide informe de supervision previo el cumplimiento de obligaciones de manera  periodica, para autorizacion de pagos</t>
  </si>
  <si>
    <t>Se viene verificando por parte de cada supervisor de contrato que los contratistas carguen correctamente sus informes con los respectivos soportes y posteror se carga informe de supervision como constancia del proceso.</t>
  </si>
  <si>
    <t>Verificación de cumplimiento de  señalamientos establecidos en el Estatuto General de Contratacion Pública y demas concordantes para la adquisicion de bienes y/o servicios en la Corporación</t>
  </si>
  <si>
    <t>Se verifica la normatividad establecida para cada modalidad de contratacion de acuerdo a la necesidad de aquirir bienes y/o servicios, atendiendo a los señalamientos establecidos por Colombia Compra Eficiente, el Estatuto General de Contratacion Pública y el manual de contratacion de la Corporacion</t>
  </si>
  <si>
    <t>Se verifican los requisitos minimos legales mediante la verificacion de documentos y soportes  teniendo en cuenta lo estableicdo en  las condiciones tecnicas, juridicas y financiera exigidas que se requieren en cada proceso contractual</t>
  </si>
  <si>
    <t>Se ha venido verificando contratos de vigencias anteriores requieren liquidacion, mediente la revison de pagos realizados y cumplimiento de obligaciones contractuales.</t>
  </si>
  <si>
    <t>Se ha venido realizando lel acompañamiento para a correcta supervision frente a la ejecucion de los contratos revisando cada una de las obligaciones contractuales mediante la utlizacion de informes por parte de los contratistas y de supervision con el proposito de garantizar su cumplimiento</t>
  </si>
  <si>
    <t>Apoyo a los supervisores durante el periodo para el control permanente de la ejecución de los contratos mediante la implementacion de formatos  de informes que son utilizados  por los contratistas y la expedicion del correspondiente informe de supervision que garantiza el correcto cumplimiento del contrato.</t>
  </si>
  <si>
    <t>Para la realizacion del pago se verificó previamente que el informe de contratista, el cual se soporta su cimplimiento mediante informe de supervisión  que publican en la plataforma Secop II</t>
  </si>
  <si>
    <t>Se verificó durante el periodo la publicación del informe de supervisión en la plataforma Secop II, una vez  el contratista cargue debidamente su informe de actividades en la misma plataforma y sea revisados el cumplimiento efectivo de sus obligaciones</t>
  </si>
  <si>
    <t>Una vez se tenga conocimiento del tipo de adquisición de bien o servicio, se procedio a verificar la modalidad de contratación, el tipo de contrato  a utilizar, atendiendo a lo señalado en el Estatuto General de Contratacion Pública, teniendo en cuenta los requistiso minimos legales señalados para cada caso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</si>
</sst>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yyyy"/>
  </numFmts>
  <fonts count="71" x14ac:knownFonts="1">
    <font>
      <sz val="11"/>
      <color theme="1"/>
      <name val="Calibri"/>
      <family val="2"/>
      <scheme val="minor"/>
    </font>
    <font>
      <sz val="11"/>
      <name val="Arial Narrow"/>
      <family val="2"/>
    </font>
    <font>
      <sz val="10"/>
      <color rgb="FF000000"/>
      <name val="Arial Narrow"/>
      <family val="2"/>
    </font>
    <font>
      <b/>
      <sz val="11"/>
      <color theme="1"/>
      <name val="Arial Narrow"/>
      <family val="2"/>
    </font>
    <font>
      <sz val="10"/>
      <color theme="1"/>
      <name val="Calibri"/>
      <family val="2"/>
      <scheme val="minor"/>
    </font>
    <font>
      <b/>
      <sz val="11"/>
      <color theme="9" tint="-0.249977111117893"/>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6"/>
      <color rgb="FF000000"/>
      <name val="Arial Narrow"/>
      <family val="2"/>
    </font>
    <font>
      <sz val="11"/>
      <color theme="0"/>
      <name val="Calibri"/>
      <family val="2"/>
      <scheme val="minor"/>
    </font>
    <font>
      <sz val="11"/>
      <color theme="1"/>
      <name val="Calibri"/>
      <family val="2"/>
      <scheme val="minor"/>
    </font>
    <font>
      <sz val="11"/>
      <name val="Calibri"/>
      <family val="2"/>
      <scheme val="minor"/>
    </font>
    <font>
      <sz val="16"/>
      <color theme="1"/>
      <name val="Calibri"/>
      <family val="2"/>
      <scheme val="minor"/>
    </font>
    <font>
      <sz val="28"/>
      <color theme="1"/>
      <name val="Calibri"/>
      <family val="2"/>
      <scheme val="minor"/>
    </font>
    <font>
      <b/>
      <sz val="40"/>
      <color rgb="FF000000"/>
      <name val="Calibri"/>
      <family val="2"/>
    </font>
    <font>
      <b/>
      <sz val="12"/>
      <color rgb="FF000000"/>
      <name val="Calibri"/>
      <family val="2"/>
    </font>
    <font>
      <b/>
      <sz val="28"/>
      <color rgb="FF000000"/>
      <name val="Calibri"/>
      <family val="2"/>
    </font>
    <font>
      <b/>
      <sz val="36"/>
      <color rgb="FF000000"/>
      <name val="Calibri"/>
      <family val="2"/>
    </font>
    <font>
      <sz val="18"/>
      <color theme="1"/>
      <name val="Arial Narrow"/>
      <family val="2"/>
    </font>
    <font>
      <b/>
      <sz val="18"/>
      <color rgb="FF000000"/>
      <name val="Calibri"/>
      <family val="2"/>
    </font>
    <font>
      <b/>
      <sz val="18"/>
      <color theme="1"/>
      <name val="Arial Narrow"/>
      <family val="2"/>
    </font>
    <font>
      <b/>
      <sz val="22"/>
      <color theme="1"/>
      <name val="Arial Narrow"/>
      <family val="2"/>
    </font>
    <font>
      <sz val="11"/>
      <color rgb="FFFF0000"/>
      <name val="Calibri"/>
      <family val="2"/>
      <scheme val="minor"/>
    </font>
    <font>
      <sz val="16"/>
      <color rgb="FFFF0000"/>
      <name val="Arial Narrow"/>
      <family val="2"/>
    </font>
    <font>
      <sz val="16"/>
      <color rgb="FFFF0000"/>
      <name val="Calibri"/>
      <family val="2"/>
      <scheme val="minor"/>
    </font>
    <font>
      <sz val="11"/>
      <color rgb="FF030303"/>
      <name val="Arial"/>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2"/>
      <color theme="1"/>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4"/>
      <color rgb="FF000000"/>
      <name val="Arial Narrow"/>
      <family val="2"/>
    </font>
    <font>
      <sz val="24"/>
      <color theme="1"/>
      <name val="Arial Narrow"/>
      <family val="2"/>
    </font>
    <font>
      <b/>
      <sz val="24"/>
      <color rgb="FF000000"/>
      <name val="Calibri"/>
      <family val="2"/>
    </font>
    <font>
      <b/>
      <sz val="20"/>
      <color theme="1"/>
      <name val="Calibri"/>
      <family val="2"/>
      <scheme val="minor"/>
    </font>
    <font>
      <b/>
      <sz val="12"/>
      <name val="Arial Narrow"/>
      <family val="2"/>
    </font>
    <font>
      <b/>
      <sz val="26"/>
      <color theme="1"/>
      <name val="Arial Narrow"/>
      <family val="2"/>
    </font>
    <font>
      <b/>
      <sz val="9"/>
      <color theme="1"/>
      <name val="Arial Narrow"/>
      <family val="2"/>
    </font>
    <font>
      <sz val="10"/>
      <name val="Arial"/>
      <family val="2"/>
    </font>
    <font>
      <sz val="12"/>
      <name val="Times New Roman"/>
      <family val="1"/>
    </font>
    <font>
      <sz val="10"/>
      <name val="Arial Narrow"/>
      <family val="2"/>
    </font>
    <font>
      <b/>
      <sz val="14"/>
      <name val="Arial Narrow"/>
      <family val="2"/>
    </font>
    <font>
      <b/>
      <u/>
      <sz val="11"/>
      <name val="Arial Narrow"/>
      <family val="2"/>
    </font>
    <font>
      <b/>
      <sz val="11"/>
      <name val="Arial Narrow"/>
      <family val="2"/>
    </font>
    <font>
      <b/>
      <sz val="10"/>
      <name val="Arial Narrow"/>
      <family val="2"/>
    </font>
    <font>
      <b/>
      <sz val="9"/>
      <name val="Arial Narrow"/>
      <family val="2"/>
    </font>
    <font>
      <sz val="9"/>
      <name val="Arial Narrow"/>
      <family val="2"/>
    </font>
    <font>
      <b/>
      <sz val="9"/>
      <color theme="9" tint="-0.249977111117893"/>
      <name val="Arial Narrow"/>
      <family val="2"/>
    </font>
    <font>
      <b/>
      <sz val="10"/>
      <color theme="9" tint="-0.249977111117893"/>
      <name val="Arial Narrow"/>
      <family val="2"/>
    </font>
    <font>
      <b/>
      <sz val="22"/>
      <color theme="1"/>
      <name val="Arial"/>
      <family val="2"/>
    </font>
    <font>
      <sz val="11"/>
      <color theme="1"/>
      <name val="Arial"/>
      <family val="2"/>
    </font>
    <font>
      <b/>
      <sz val="11"/>
      <color theme="1"/>
      <name val="Arial"/>
      <family val="2"/>
    </font>
    <font>
      <sz val="11"/>
      <name val="Arial"/>
      <family val="2"/>
    </font>
    <font>
      <sz val="10"/>
      <color theme="1"/>
      <name val="Arial"/>
      <family val="2"/>
    </font>
    <font>
      <b/>
      <sz val="11"/>
      <color theme="9" tint="-0.249977111117893"/>
      <name val="Arial"/>
      <family val="2"/>
    </font>
    <font>
      <sz val="8"/>
      <name val="Times New Roman"/>
      <family val="1"/>
    </font>
    <font>
      <b/>
      <sz val="8"/>
      <color rgb="FF000000"/>
      <name val="Arial"/>
      <family val="2"/>
    </font>
    <font>
      <b/>
      <sz val="8"/>
      <name val="Arial"/>
      <family val="2"/>
    </font>
    <font>
      <b/>
      <sz val="10"/>
      <color theme="1"/>
      <name val="Arial"/>
      <family val="2"/>
    </font>
    <font>
      <b/>
      <sz val="11"/>
      <name val="Arial"/>
      <family val="2"/>
    </font>
    <font>
      <b/>
      <sz val="11"/>
      <color theme="0"/>
      <name val="Arial"/>
      <family val="2"/>
    </font>
    <font>
      <sz val="11"/>
      <color theme="0"/>
      <name val="Arial"/>
      <family val="2"/>
    </font>
    <font>
      <b/>
      <sz val="11"/>
      <color rgb="FF000000"/>
      <name val="Arial"/>
      <family val="2"/>
    </font>
    <font>
      <sz val="11"/>
      <color rgb="FF000000"/>
      <name val="Arial"/>
      <family val="2"/>
    </font>
    <font>
      <sz val="8"/>
      <name val="Calibri"/>
      <family val="2"/>
      <scheme val="minor"/>
    </font>
  </fonts>
  <fills count="23">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rgb="FFFFFF66"/>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00B0F0"/>
        <bgColor indexed="64"/>
      </patternFill>
    </fill>
    <fill>
      <patternFill patternType="solid">
        <fgColor theme="0"/>
        <bgColor theme="0"/>
      </patternFill>
    </fill>
    <fill>
      <patternFill patternType="solid">
        <fgColor theme="8"/>
        <bgColor indexed="64"/>
      </patternFill>
    </fill>
    <fill>
      <patternFill patternType="solid">
        <fgColor theme="4"/>
        <bgColor indexed="64"/>
      </patternFill>
    </fill>
    <fill>
      <patternFill patternType="solid">
        <fgColor theme="8"/>
        <bgColor rgb="FF92D050"/>
      </patternFill>
    </fill>
    <fill>
      <patternFill patternType="solid">
        <fgColor theme="4"/>
        <bgColor rgb="FF92D050"/>
      </patternFill>
    </fill>
  </fills>
  <borders count="71">
    <border>
      <left/>
      <right/>
      <top/>
      <bottom/>
      <diagonal/>
    </border>
    <border>
      <left style="dotted">
        <color rgb="FFF79646"/>
      </left>
      <right style="dotted">
        <color rgb="FFF79646"/>
      </right>
      <top style="dotted">
        <color rgb="FFF79646"/>
      </top>
      <bottom style="dotted">
        <color rgb="FFF79646"/>
      </bottom>
      <diagonal/>
    </border>
    <border>
      <left style="dotted">
        <color rgb="FFF79646"/>
      </left>
      <right style="dotted">
        <color rgb="FFF79646"/>
      </right>
      <top/>
      <bottom style="dotted">
        <color rgb="FFF7964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thin">
        <color indexed="64"/>
      </left>
      <right style="thin">
        <color indexed="64"/>
      </right>
      <top style="thin">
        <color indexed="64"/>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rgb="FF000000"/>
      </right>
      <top/>
      <bottom/>
      <diagonal/>
    </border>
    <border>
      <left style="thin">
        <color rgb="FF000000"/>
      </left>
      <right/>
      <top style="thin">
        <color rgb="FF000000"/>
      </top>
      <bottom style="thin">
        <color rgb="FF000000"/>
      </bottom>
      <diagonal/>
    </border>
  </borders>
  <cellStyleXfs count="5">
    <xf numFmtId="0" fontId="0" fillId="0" borderId="0"/>
    <xf numFmtId="9" fontId="12" fillId="0" borderId="0" applyFont="0" applyFill="0" applyBorder="0" applyAlignment="0" applyProtection="0"/>
    <xf numFmtId="0" fontId="44" fillId="0" borderId="0"/>
    <xf numFmtId="0" fontId="45" fillId="0" borderId="0"/>
    <xf numFmtId="0" fontId="4" fillId="0" borderId="0"/>
  </cellStyleXfs>
  <cellXfs count="408">
    <xf numFmtId="0" fontId="0" fillId="0" borderId="0" xfId="0"/>
    <xf numFmtId="0" fontId="4" fillId="0" borderId="0" xfId="0" applyFont="1"/>
    <xf numFmtId="0" fontId="2" fillId="0" borderId="1" xfId="0" applyFont="1" applyBorder="1" applyAlignment="1">
      <alignment horizontal="left" vertical="center" wrapText="1" indent="1" readingOrder="1"/>
    </xf>
    <xf numFmtId="0" fontId="6" fillId="0" borderId="0" xfId="0" applyFont="1" applyAlignment="1">
      <alignment horizontal="center" vertical="center" wrapText="1"/>
    </xf>
    <xf numFmtId="0" fontId="7" fillId="6" borderId="0" xfId="0" applyFont="1" applyFill="1" applyAlignment="1">
      <alignment horizontal="center" vertical="center" wrapText="1" readingOrder="1"/>
    </xf>
    <xf numFmtId="0" fontId="8" fillId="5" borderId="2" xfId="0" applyFont="1" applyFill="1" applyBorder="1" applyAlignment="1">
      <alignment horizontal="center" vertical="center" wrapText="1" readingOrder="1"/>
    </xf>
    <xf numFmtId="0" fontId="8" fillId="0" borderId="2" xfId="0" applyFont="1" applyBorder="1" applyAlignment="1">
      <alignment horizontal="justify" vertical="center" wrapText="1" readingOrder="1"/>
    </xf>
    <xf numFmtId="9" fontId="8" fillId="0" borderId="2" xfId="0" applyNumberFormat="1" applyFont="1" applyBorder="1" applyAlignment="1">
      <alignment horizontal="center" vertical="center" wrapText="1" readingOrder="1"/>
    </xf>
    <xf numFmtId="0" fontId="8" fillId="7" borderId="1" xfId="0" applyFont="1" applyFill="1" applyBorder="1" applyAlignment="1">
      <alignment horizontal="center" vertical="center" wrapText="1" readingOrder="1"/>
    </xf>
    <xf numFmtId="0" fontId="8" fillId="0" borderId="1" xfId="0" applyFont="1" applyBorder="1" applyAlignment="1">
      <alignment horizontal="justify" vertical="center" wrapText="1" readingOrder="1"/>
    </xf>
    <xf numFmtId="9" fontId="8" fillId="0" borderId="1" xfId="0" applyNumberFormat="1" applyFont="1" applyBorder="1" applyAlignment="1">
      <alignment horizontal="center" vertical="center" wrapText="1" readingOrder="1"/>
    </xf>
    <xf numFmtId="0" fontId="8" fillId="4" borderId="1" xfId="0" applyFont="1" applyFill="1" applyBorder="1" applyAlignment="1">
      <alignment horizontal="center" vertical="center" wrapText="1" readingOrder="1"/>
    </xf>
    <xf numFmtId="0" fontId="8" fillId="8" borderId="1" xfId="0" applyFont="1" applyFill="1" applyBorder="1" applyAlignment="1">
      <alignment horizontal="center" vertical="center" wrapText="1" readingOrder="1"/>
    </xf>
    <xf numFmtId="0" fontId="9" fillId="9" borderId="1" xfId="0" applyFont="1" applyFill="1" applyBorder="1" applyAlignment="1">
      <alignment horizontal="center" vertical="center" wrapText="1" readingOrder="1"/>
    </xf>
    <xf numFmtId="0" fontId="13" fillId="0" borderId="0" xfId="0" applyFont="1"/>
    <xf numFmtId="0" fontId="11" fillId="0" borderId="0" xfId="0" applyFont="1"/>
    <xf numFmtId="0" fontId="25" fillId="0" borderId="0" xfId="0" applyFont="1" applyAlignment="1">
      <alignment vertical="center"/>
    </xf>
    <xf numFmtId="0" fontId="26" fillId="0" borderId="0" xfId="0" applyFont="1"/>
    <xf numFmtId="0" fontId="24" fillId="0" borderId="0" xfId="0" applyFont="1"/>
    <xf numFmtId="0" fontId="0" fillId="0" borderId="0" xfId="0" pivotButton="1"/>
    <xf numFmtId="0" fontId="10" fillId="0" borderId="0" xfId="0" applyFont="1" applyAlignment="1">
      <alignment horizontal="justify" vertical="center" wrapText="1" readingOrder="1"/>
    </xf>
    <xf numFmtId="0" fontId="27" fillId="0" borderId="0" xfId="0" applyFont="1"/>
    <xf numFmtId="0" fontId="29" fillId="6" borderId="0" xfId="0" applyFont="1" applyFill="1" applyAlignment="1">
      <alignment horizontal="center" vertical="center" wrapText="1" readingOrder="1"/>
    </xf>
    <xf numFmtId="0" fontId="30" fillId="0" borderId="2" xfId="0" applyFont="1" applyBorder="1" applyAlignment="1">
      <alignment horizontal="justify" vertical="center" wrapText="1" readingOrder="1"/>
    </xf>
    <xf numFmtId="0" fontId="30" fillId="0" borderId="1" xfId="0" applyFont="1" applyBorder="1" applyAlignment="1">
      <alignment horizontal="justify" vertical="center" wrapText="1" readingOrder="1"/>
    </xf>
    <xf numFmtId="0" fontId="30" fillId="5" borderId="2" xfId="0" applyFont="1" applyFill="1" applyBorder="1" applyAlignment="1">
      <alignment horizontal="center" vertical="center" wrapText="1" readingOrder="1"/>
    </xf>
    <xf numFmtId="0" fontId="30" fillId="7" borderId="1" xfId="0" applyFont="1" applyFill="1" applyBorder="1" applyAlignment="1">
      <alignment horizontal="center" vertical="center" wrapText="1" readingOrder="1"/>
    </xf>
    <xf numFmtId="0" fontId="30" fillId="4" borderId="1" xfId="0" applyFont="1" applyFill="1" applyBorder="1" applyAlignment="1">
      <alignment horizontal="center" vertical="center" wrapText="1" readingOrder="1"/>
    </xf>
    <xf numFmtId="0" fontId="30" fillId="8" borderId="1" xfId="0" applyFont="1" applyFill="1" applyBorder="1" applyAlignment="1">
      <alignment horizontal="center" vertical="center" wrapText="1" readingOrder="1"/>
    </xf>
    <xf numFmtId="0" fontId="31" fillId="9" borderId="1" xfId="0" applyFont="1" applyFill="1" applyBorder="1" applyAlignment="1">
      <alignment horizontal="center" vertical="center" wrapText="1" readingOrder="1"/>
    </xf>
    <xf numFmtId="0" fontId="30" fillId="0" borderId="2" xfId="0" applyFont="1" applyBorder="1" applyAlignment="1">
      <alignment horizontal="center" vertical="center" wrapText="1" readingOrder="1"/>
    </xf>
    <xf numFmtId="0" fontId="30" fillId="0" borderId="1" xfId="0" applyFont="1" applyBorder="1" applyAlignment="1">
      <alignment horizontal="center" vertical="center" wrapText="1" readingOrder="1"/>
    </xf>
    <xf numFmtId="0" fontId="17" fillId="11" borderId="3" xfId="0" applyFont="1" applyFill="1" applyBorder="1" applyAlignment="1" applyProtection="1">
      <alignment horizontal="center" vertical="center" wrapText="1" readingOrder="1"/>
      <protection hidden="1"/>
    </xf>
    <xf numFmtId="0" fontId="17" fillId="11" borderId="10" xfId="0" applyFont="1" applyFill="1" applyBorder="1" applyAlignment="1" applyProtection="1">
      <alignment horizontal="center" vertical="center" wrapText="1" readingOrder="1"/>
      <protection hidden="1"/>
    </xf>
    <xf numFmtId="0" fontId="17" fillId="11" borderId="4" xfId="0" applyFont="1" applyFill="1" applyBorder="1" applyAlignment="1" applyProtection="1">
      <alignment horizontal="center" vertical="center" wrapText="1" readingOrder="1"/>
      <protection hidden="1"/>
    </xf>
    <xf numFmtId="0" fontId="17" fillId="12" borderId="3" xfId="0" applyFont="1" applyFill="1" applyBorder="1" applyAlignment="1" applyProtection="1">
      <alignment horizontal="center" wrapText="1" readingOrder="1"/>
      <protection hidden="1"/>
    </xf>
    <xf numFmtId="0" fontId="17" fillId="12" borderId="10" xfId="0" applyFont="1" applyFill="1" applyBorder="1" applyAlignment="1" applyProtection="1">
      <alignment horizontal="center" wrapText="1" readingOrder="1"/>
      <protection hidden="1"/>
    </xf>
    <xf numFmtId="0" fontId="17" fillId="12" borderId="4" xfId="0" applyFont="1" applyFill="1" applyBorder="1" applyAlignment="1" applyProtection="1">
      <alignment horizontal="center" wrapText="1" readingOrder="1"/>
      <protection hidden="1"/>
    </xf>
    <xf numFmtId="0" fontId="17" fillId="11" borderId="5" xfId="0" applyFont="1" applyFill="1" applyBorder="1" applyAlignment="1" applyProtection="1">
      <alignment horizontal="center" vertical="center" wrapText="1" readingOrder="1"/>
      <protection hidden="1"/>
    </xf>
    <xf numFmtId="0" fontId="17" fillId="11" borderId="0" xfId="0" applyFont="1" applyFill="1" applyAlignment="1" applyProtection="1">
      <alignment horizontal="center" vertical="center" wrapText="1" readingOrder="1"/>
      <protection hidden="1"/>
    </xf>
    <xf numFmtId="0" fontId="17" fillId="11" borderId="6" xfId="0" applyFont="1" applyFill="1" applyBorder="1" applyAlignment="1" applyProtection="1">
      <alignment horizontal="center" vertical="center" wrapText="1" readingOrder="1"/>
      <protection hidden="1"/>
    </xf>
    <xf numFmtId="0" fontId="17" fillId="12" borderId="5" xfId="0" applyFont="1" applyFill="1" applyBorder="1" applyAlignment="1" applyProtection="1">
      <alignment horizontal="center" wrapText="1" readingOrder="1"/>
      <protection hidden="1"/>
    </xf>
    <xf numFmtId="0" fontId="17" fillId="12" borderId="0" xfId="0" applyFont="1" applyFill="1" applyAlignment="1" applyProtection="1">
      <alignment horizontal="center" wrapText="1" readingOrder="1"/>
      <protection hidden="1"/>
    </xf>
    <xf numFmtId="0" fontId="17" fillId="12" borderId="6" xfId="0" applyFont="1" applyFill="1" applyBorder="1" applyAlignment="1" applyProtection="1">
      <alignment horizontal="center" wrapText="1" readingOrder="1"/>
      <protection hidden="1"/>
    </xf>
    <xf numFmtId="0" fontId="17" fillId="11" borderId="7" xfId="0" applyFont="1" applyFill="1" applyBorder="1" applyAlignment="1" applyProtection="1">
      <alignment horizontal="center" vertical="center" wrapText="1" readingOrder="1"/>
      <protection hidden="1"/>
    </xf>
    <xf numFmtId="0" fontId="17" fillId="11" borderId="9" xfId="0" applyFont="1" applyFill="1" applyBorder="1" applyAlignment="1" applyProtection="1">
      <alignment horizontal="center" vertical="center" wrapText="1" readingOrder="1"/>
      <protection hidden="1"/>
    </xf>
    <xf numFmtId="0" fontId="17" fillId="11" borderId="8" xfId="0" applyFont="1" applyFill="1" applyBorder="1" applyAlignment="1" applyProtection="1">
      <alignment horizontal="center" vertical="center" wrapText="1" readingOrder="1"/>
      <protection hidden="1"/>
    </xf>
    <xf numFmtId="0" fontId="17" fillId="12" borderId="7" xfId="0" applyFont="1" applyFill="1" applyBorder="1" applyAlignment="1" applyProtection="1">
      <alignment horizontal="center" wrapText="1" readingOrder="1"/>
      <protection hidden="1"/>
    </xf>
    <xf numFmtId="0" fontId="17" fillId="12" borderId="9" xfId="0" applyFont="1" applyFill="1" applyBorder="1" applyAlignment="1" applyProtection="1">
      <alignment horizontal="center" wrapText="1" readingOrder="1"/>
      <protection hidden="1"/>
    </xf>
    <xf numFmtId="0" fontId="17" fillId="12" borderId="8" xfId="0" applyFont="1" applyFill="1" applyBorder="1" applyAlignment="1" applyProtection="1">
      <alignment horizontal="center" wrapText="1" readingOrder="1"/>
      <protection hidden="1"/>
    </xf>
    <xf numFmtId="0" fontId="17" fillId="13" borderId="3" xfId="0" applyFont="1" applyFill="1" applyBorder="1" applyAlignment="1" applyProtection="1">
      <alignment horizontal="center" wrapText="1" readingOrder="1"/>
      <protection hidden="1"/>
    </xf>
    <xf numFmtId="0" fontId="17" fillId="13" borderId="10" xfId="0" applyFont="1" applyFill="1" applyBorder="1" applyAlignment="1" applyProtection="1">
      <alignment horizontal="center" wrapText="1" readingOrder="1"/>
      <protection hidden="1"/>
    </xf>
    <xf numFmtId="0" fontId="17" fillId="13" borderId="4" xfId="0" applyFont="1" applyFill="1" applyBorder="1" applyAlignment="1" applyProtection="1">
      <alignment horizontal="center" wrapText="1" readingOrder="1"/>
      <protection hidden="1"/>
    </xf>
    <xf numFmtId="0" fontId="17" fillId="13" borderId="5" xfId="0" applyFont="1" applyFill="1" applyBorder="1" applyAlignment="1" applyProtection="1">
      <alignment horizontal="center" wrapText="1" readingOrder="1"/>
      <protection hidden="1"/>
    </xf>
    <xf numFmtId="0" fontId="17" fillId="13" borderId="0" xfId="0" applyFont="1" applyFill="1" applyAlignment="1" applyProtection="1">
      <alignment horizontal="center" wrapText="1" readingOrder="1"/>
      <protection hidden="1"/>
    </xf>
    <xf numFmtId="0" fontId="17" fillId="13" borderId="6" xfId="0" applyFont="1" applyFill="1" applyBorder="1" applyAlignment="1" applyProtection="1">
      <alignment horizontal="center" wrapText="1" readingOrder="1"/>
      <protection hidden="1"/>
    </xf>
    <xf numFmtId="0" fontId="17" fillId="13" borderId="7" xfId="0" applyFont="1" applyFill="1" applyBorder="1" applyAlignment="1" applyProtection="1">
      <alignment horizontal="center" wrapText="1" readingOrder="1"/>
      <protection hidden="1"/>
    </xf>
    <xf numFmtId="0" fontId="17" fillId="13" borderId="9" xfId="0" applyFont="1" applyFill="1" applyBorder="1" applyAlignment="1" applyProtection="1">
      <alignment horizontal="center" wrapText="1" readingOrder="1"/>
      <protection hidden="1"/>
    </xf>
    <xf numFmtId="0" fontId="17" fillId="13" borderId="8" xfId="0" applyFont="1" applyFill="1" applyBorder="1" applyAlignment="1" applyProtection="1">
      <alignment horizontal="center" wrapText="1" readingOrder="1"/>
      <protection hidden="1"/>
    </xf>
    <xf numFmtId="0" fontId="17" fillId="5" borderId="3" xfId="0" applyFont="1" applyFill="1" applyBorder="1" applyAlignment="1" applyProtection="1">
      <alignment horizontal="center" wrapText="1" readingOrder="1"/>
      <protection hidden="1"/>
    </xf>
    <xf numFmtId="0" fontId="17" fillId="5" borderId="10" xfId="0" applyFont="1" applyFill="1" applyBorder="1" applyAlignment="1" applyProtection="1">
      <alignment horizontal="center" wrapText="1" readingOrder="1"/>
      <protection hidden="1"/>
    </xf>
    <xf numFmtId="0" fontId="17" fillId="5" borderId="4" xfId="0" applyFont="1" applyFill="1" applyBorder="1" applyAlignment="1" applyProtection="1">
      <alignment horizontal="center" wrapText="1" readingOrder="1"/>
      <protection hidden="1"/>
    </xf>
    <xf numFmtId="0" fontId="17" fillId="5" borderId="5" xfId="0" applyFont="1" applyFill="1" applyBorder="1" applyAlignment="1" applyProtection="1">
      <alignment horizontal="center" wrapText="1" readingOrder="1"/>
      <protection hidden="1"/>
    </xf>
    <xf numFmtId="0" fontId="17" fillId="5" borderId="0" xfId="0" applyFont="1" applyFill="1" applyAlignment="1" applyProtection="1">
      <alignment horizontal="center" wrapText="1" readingOrder="1"/>
      <protection hidden="1"/>
    </xf>
    <xf numFmtId="0" fontId="17" fillId="5" borderId="6" xfId="0" applyFont="1" applyFill="1" applyBorder="1" applyAlignment="1" applyProtection="1">
      <alignment horizontal="center" wrapText="1" readingOrder="1"/>
      <protection hidden="1"/>
    </xf>
    <xf numFmtId="0" fontId="17" fillId="5" borderId="7" xfId="0" applyFont="1" applyFill="1" applyBorder="1" applyAlignment="1" applyProtection="1">
      <alignment horizontal="center" wrapText="1" readingOrder="1"/>
      <protection hidden="1"/>
    </xf>
    <xf numFmtId="0" fontId="17" fillId="5" borderId="9" xfId="0" applyFont="1" applyFill="1" applyBorder="1" applyAlignment="1" applyProtection="1">
      <alignment horizontal="center" wrapText="1" readingOrder="1"/>
      <protection hidden="1"/>
    </xf>
    <xf numFmtId="0" fontId="17" fillId="5" borderId="8" xfId="0" applyFont="1" applyFill="1" applyBorder="1" applyAlignment="1" applyProtection="1">
      <alignment horizontal="center" wrapText="1" readingOrder="1"/>
      <protection hidden="1"/>
    </xf>
    <xf numFmtId="0" fontId="21" fillId="13" borderId="10" xfId="0" applyFont="1" applyFill="1" applyBorder="1" applyAlignment="1" applyProtection="1">
      <alignment horizontal="center" wrapText="1" readingOrder="1"/>
      <protection hidden="1"/>
    </xf>
    <xf numFmtId="0" fontId="0" fillId="3" borderId="0" xfId="0" applyFill="1"/>
    <xf numFmtId="0" fontId="46" fillId="3" borderId="37" xfId="2" applyFont="1" applyFill="1" applyBorder="1"/>
    <xf numFmtId="0" fontId="46" fillId="3" borderId="38" xfId="2" applyFont="1" applyFill="1" applyBorder="1"/>
    <xf numFmtId="0" fontId="46" fillId="3" borderId="39" xfId="2" applyFont="1" applyFill="1" applyBorder="1"/>
    <xf numFmtId="0" fontId="14" fillId="3" borderId="0" xfId="0" applyFont="1" applyFill="1" applyAlignment="1">
      <alignment vertical="center"/>
    </xf>
    <xf numFmtId="0" fontId="4" fillId="3" borderId="0" xfId="0" applyFont="1" applyFill="1"/>
    <xf numFmtId="0" fontId="33" fillId="3" borderId="0" xfId="0" applyFont="1" applyFill="1"/>
    <xf numFmtId="0" fontId="34" fillId="3" borderId="20" xfId="0" applyFont="1" applyFill="1" applyBorder="1" applyAlignment="1">
      <alignment horizontal="center" vertical="center" wrapText="1" readingOrder="1"/>
    </xf>
    <xf numFmtId="0" fontId="35" fillId="3" borderId="20" xfId="0" applyFont="1" applyFill="1" applyBorder="1" applyAlignment="1">
      <alignment horizontal="justify" vertical="center" wrapText="1" readingOrder="1"/>
    </xf>
    <xf numFmtId="9" fontId="34" fillId="3" borderId="29" xfId="0" applyNumberFormat="1" applyFont="1" applyFill="1" applyBorder="1" applyAlignment="1">
      <alignment horizontal="center" vertical="center" wrapText="1" readingOrder="1"/>
    </xf>
    <xf numFmtId="0" fontId="34" fillId="3" borderId="19" xfId="0" applyFont="1" applyFill="1" applyBorder="1" applyAlignment="1">
      <alignment horizontal="center" vertical="center" wrapText="1" readingOrder="1"/>
    </xf>
    <xf numFmtId="0" fontId="35" fillId="3" borderId="19" xfId="0" applyFont="1" applyFill="1" applyBorder="1" applyAlignment="1">
      <alignment horizontal="justify" vertical="center" wrapText="1" readingOrder="1"/>
    </xf>
    <xf numFmtId="9" fontId="34" fillId="3" borderId="24" xfId="0" applyNumberFormat="1" applyFont="1" applyFill="1" applyBorder="1" applyAlignment="1">
      <alignment horizontal="center" vertical="center" wrapText="1" readingOrder="1"/>
    </xf>
    <xf numFmtId="0" fontId="35" fillId="3" borderId="24" xfId="0" applyFont="1" applyFill="1" applyBorder="1" applyAlignment="1">
      <alignment horizontal="center" vertical="center" wrapText="1" readingOrder="1"/>
    </xf>
    <xf numFmtId="0" fontId="34" fillId="3" borderId="26" xfId="0" applyFont="1" applyFill="1" applyBorder="1" applyAlignment="1">
      <alignment horizontal="center" vertical="center" wrapText="1" readingOrder="1"/>
    </xf>
    <xf numFmtId="0" fontId="35" fillId="3" borderId="26" xfId="0" applyFont="1" applyFill="1" applyBorder="1" applyAlignment="1">
      <alignment horizontal="justify" vertical="center" wrapText="1" readingOrder="1"/>
    </xf>
    <xf numFmtId="0" fontId="35" fillId="3" borderId="27" xfId="0" applyFont="1" applyFill="1" applyBorder="1" applyAlignment="1">
      <alignment horizontal="center" vertical="center" wrapText="1" readingOrder="1"/>
    </xf>
    <xf numFmtId="0" fontId="43" fillId="3" borderId="0" xfId="0" applyFont="1" applyFill="1"/>
    <xf numFmtId="0" fontId="34" fillId="15" borderId="31" xfId="0" applyFont="1" applyFill="1" applyBorder="1" applyAlignment="1">
      <alignment horizontal="center" vertical="center" wrapText="1" readingOrder="1"/>
    </xf>
    <xf numFmtId="0" fontId="34" fillId="15" borderId="32" xfId="0" applyFont="1" applyFill="1" applyBorder="1" applyAlignment="1">
      <alignment horizontal="center" vertical="center" wrapText="1" readingOrder="1"/>
    </xf>
    <xf numFmtId="0" fontId="11" fillId="3" borderId="0" xfId="0" applyFont="1" applyFill="1"/>
    <xf numFmtId="0" fontId="28" fillId="3" borderId="0" xfId="0" applyFont="1" applyFill="1" applyAlignment="1">
      <alignment horizontal="center" vertical="center" wrapText="1"/>
    </xf>
    <xf numFmtId="0" fontId="10" fillId="3" borderId="0" xfId="0" applyFont="1" applyFill="1" applyAlignment="1">
      <alignment horizontal="justify" vertical="center" wrapText="1" readingOrder="1"/>
    </xf>
    <xf numFmtId="0" fontId="3" fillId="3" borderId="0" xfId="0" applyFont="1" applyFill="1" applyAlignment="1">
      <alignment vertical="center"/>
    </xf>
    <xf numFmtId="0" fontId="13" fillId="3" borderId="0" xfId="0" applyFont="1" applyFill="1"/>
    <xf numFmtId="0" fontId="3" fillId="3" borderId="0" xfId="0" applyFont="1" applyFill="1" applyAlignment="1">
      <alignment horizontal="left" vertical="center"/>
    </xf>
    <xf numFmtId="0" fontId="46" fillId="3" borderId="5" xfId="2" applyFont="1" applyFill="1" applyBorder="1"/>
    <xf numFmtId="0" fontId="51" fillId="3" borderId="0" xfId="0" applyFont="1" applyFill="1" applyAlignment="1">
      <alignment horizontal="left" vertical="center" wrapText="1"/>
    </xf>
    <xf numFmtId="0" fontId="52" fillId="3" borderId="0" xfId="0" applyFont="1" applyFill="1" applyAlignment="1">
      <alignment horizontal="left" vertical="top" wrapText="1"/>
    </xf>
    <xf numFmtId="0" fontId="46" fillId="3" borderId="0" xfId="2" applyFont="1" applyFill="1"/>
    <xf numFmtId="0" fontId="46" fillId="3" borderId="6" xfId="2" applyFont="1" applyFill="1" applyBorder="1"/>
    <xf numFmtId="0" fontId="46" fillId="3" borderId="7" xfId="2" applyFont="1" applyFill="1" applyBorder="1"/>
    <xf numFmtId="0" fontId="46" fillId="3" borderId="9" xfId="2" applyFont="1" applyFill="1" applyBorder="1"/>
    <xf numFmtId="0" fontId="46" fillId="3" borderId="8" xfId="2" applyFont="1" applyFill="1" applyBorder="1"/>
    <xf numFmtId="0" fontId="50" fillId="3" borderId="0" xfId="2" applyFont="1" applyFill="1" applyAlignment="1">
      <alignment horizontal="left" vertical="center" wrapText="1"/>
    </xf>
    <xf numFmtId="0" fontId="46" fillId="3" borderId="0" xfId="2" applyFont="1" applyFill="1" applyAlignment="1">
      <alignment horizontal="left" vertical="center" wrapText="1"/>
    </xf>
    <xf numFmtId="0" fontId="46" fillId="3" borderId="0" xfId="2" quotePrefix="1" applyFont="1" applyFill="1" applyAlignment="1">
      <alignment horizontal="left" vertical="center" wrapText="1"/>
    </xf>
    <xf numFmtId="0" fontId="48" fillId="3" borderId="5" xfId="2" quotePrefix="1" applyFont="1" applyFill="1" applyBorder="1" applyAlignment="1">
      <alignment horizontal="left" vertical="top" wrapText="1"/>
    </xf>
    <xf numFmtId="0" fontId="49" fillId="3" borderId="0" xfId="2" quotePrefix="1" applyFont="1" applyFill="1" applyAlignment="1">
      <alignment horizontal="left" vertical="top" wrapText="1"/>
    </xf>
    <xf numFmtId="0" fontId="49" fillId="3" borderId="6" xfId="2" quotePrefix="1" applyFont="1" applyFill="1" applyBorder="1" applyAlignment="1">
      <alignment horizontal="left" vertical="top" wrapText="1"/>
    </xf>
    <xf numFmtId="0" fontId="56" fillId="3" borderId="0" xfId="0" applyFont="1" applyFill="1"/>
    <xf numFmtId="0" fontId="56" fillId="0" borderId="0" xfId="0" applyFont="1"/>
    <xf numFmtId="0" fontId="57" fillId="3" borderId="0" xfId="0" applyFont="1" applyFill="1" applyAlignment="1">
      <alignment horizontal="center" vertical="center"/>
    </xf>
    <xf numFmtId="0" fontId="57" fillId="2" borderId="0" xfId="0" applyFont="1" applyFill="1" applyAlignment="1">
      <alignment horizontal="center" vertical="center"/>
    </xf>
    <xf numFmtId="0" fontId="56" fillId="3" borderId="0" xfId="0" applyFont="1" applyFill="1" applyAlignment="1">
      <alignment vertical="center"/>
    </xf>
    <xf numFmtId="0" fontId="56" fillId="0" borderId="0" xfId="0" applyFont="1" applyAlignment="1">
      <alignment vertical="center"/>
    </xf>
    <xf numFmtId="0" fontId="57" fillId="0" borderId="0" xfId="0" applyFont="1" applyAlignment="1">
      <alignment horizontal="left" vertical="center"/>
    </xf>
    <xf numFmtId="0" fontId="56" fillId="0" borderId="0" xfId="0" applyFont="1" applyAlignment="1">
      <alignment horizontal="center" vertical="center"/>
    </xf>
    <xf numFmtId="0" fontId="56" fillId="0" borderId="0" xfId="0" applyFont="1" applyAlignment="1">
      <alignment horizontal="center"/>
    </xf>
    <xf numFmtId="0" fontId="56" fillId="0" borderId="19" xfId="0" applyFont="1" applyBorder="1" applyAlignment="1">
      <alignment horizontal="center" vertical="center"/>
    </xf>
    <xf numFmtId="0" fontId="56" fillId="0" borderId="19" xfId="0" applyFont="1" applyBorder="1" applyAlignment="1" applyProtection="1">
      <alignment horizontal="center" vertical="center"/>
      <protection hidden="1"/>
    </xf>
    <xf numFmtId="0" fontId="56" fillId="0" borderId="19" xfId="0" applyFont="1" applyBorder="1" applyAlignment="1" applyProtection="1">
      <alignment horizontal="center" vertical="center" textRotation="90"/>
      <protection locked="0"/>
    </xf>
    <xf numFmtId="9" fontId="56" fillId="0" borderId="19" xfId="0" applyNumberFormat="1" applyFont="1" applyBorder="1" applyAlignment="1" applyProtection="1">
      <alignment horizontal="center" vertical="center"/>
      <protection hidden="1"/>
    </xf>
    <xf numFmtId="164" fontId="56" fillId="0" borderId="19" xfId="1" applyNumberFormat="1" applyFont="1" applyBorder="1" applyAlignment="1">
      <alignment horizontal="center" vertical="center"/>
    </xf>
    <xf numFmtId="0" fontId="57" fillId="0" borderId="19" xfId="0" applyFont="1" applyBorder="1" applyAlignment="1" applyProtection="1">
      <alignment horizontal="center" vertical="center" textRotation="90" wrapText="1"/>
      <protection hidden="1"/>
    </xf>
    <xf numFmtId="0" fontId="57" fillId="0" borderId="19" xfId="0" applyFont="1" applyBorder="1" applyAlignment="1" applyProtection="1">
      <alignment horizontal="center" vertical="center" textRotation="90"/>
      <protection hidden="1"/>
    </xf>
    <xf numFmtId="0" fontId="56" fillId="0" borderId="19" xfId="0" applyFont="1" applyBorder="1" applyAlignment="1" applyProtection="1">
      <alignment horizontal="center" vertical="center" wrapText="1"/>
      <protection locked="0"/>
    </xf>
    <xf numFmtId="0" fontId="56" fillId="0" borderId="19" xfId="0" applyFont="1" applyBorder="1" applyAlignment="1" applyProtection="1">
      <alignment horizontal="center" vertical="center"/>
      <protection locked="0"/>
    </xf>
    <xf numFmtId="14" fontId="56" fillId="0" borderId="19" xfId="0" applyNumberFormat="1" applyFont="1" applyBorder="1" applyAlignment="1" applyProtection="1">
      <alignment horizontal="center" vertical="center"/>
      <protection locked="0"/>
    </xf>
    <xf numFmtId="0" fontId="57" fillId="17" borderId="19" xfId="0" applyFont="1" applyFill="1" applyBorder="1" applyAlignment="1">
      <alignment horizontal="center" vertical="center" textRotation="90"/>
    </xf>
    <xf numFmtId="0" fontId="62" fillId="0" borderId="55" xfId="0" applyFont="1" applyBorder="1" applyAlignment="1">
      <alignment horizontal="center" vertical="center" wrapText="1"/>
    </xf>
    <xf numFmtId="0" fontId="63" fillId="0" borderId="55" xfId="0" applyFont="1" applyBorder="1" applyAlignment="1">
      <alignment horizontal="center" vertical="center" wrapText="1"/>
    </xf>
    <xf numFmtId="0" fontId="59" fillId="3" borderId="0" xfId="0" applyFont="1" applyFill="1"/>
    <xf numFmtId="0" fontId="59" fillId="0" borderId="0" xfId="0" applyFont="1"/>
    <xf numFmtId="0" fontId="0" fillId="0" borderId="67" xfId="0" applyBorder="1" applyAlignment="1">
      <alignment horizontal="center" vertical="center" wrapText="1"/>
    </xf>
    <xf numFmtId="0" fontId="0" fillId="3" borderId="67" xfId="0" applyFill="1" applyBorder="1" applyAlignment="1">
      <alignment horizontal="center" vertical="center"/>
    </xf>
    <xf numFmtId="165" fontId="56" fillId="0" borderId="67" xfId="0" applyNumberFormat="1" applyFont="1" applyBorder="1" applyAlignment="1">
      <alignment horizontal="center" vertical="center" wrapText="1"/>
    </xf>
    <xf numFmtId="165" fontId="0" fillId="0" borderId="67" xfId="0" applyNumberFormat="1" applyBorder="1" applyAlignment="1">
      <alignment horizontal="center" vertical="center"/>
    </xf>
    <xf numFmtId="0" fontId="58" fillId="0" borderId="19" xfId="0" applyFont="1" applyBorder="1" applyAlignment="1" applyProtection="1">
      <alignment horizontal="center" vertical="center" wrapText="1"/>
      <protection locked="0"/>
    </xf>
    <xf numFmtId="14" fontId="56" fillId="3" borderId="67" xfId="0" applyNumberFormat="1" applyFont="1" applyFill="1" applyBorder="1" applyAlignment="1">
      <alignment horizontal="center" vertical="center" wrapText="1"/>
    </xf>
    <xf numFmtId="0" fontId="0" fillId="5" borderId="67" xfId="0" applyFill="1" applyBorder="1" applyAlignment="1">
      <alignment horizontal="center" vertical="center"/>
    </xf>
    <xf numFmtId="0" fontId="57" fillId="0" borderId="19" xfId="0" applyFont="1" applyBorder="1" applyAlignment="1" applyProtection="1">
      <alignment horizontal="center" vertical="center" wrapText="1"/>
      <protection hidden="1"/>
    </xf>
    <xf numFmtId="0" fontId="57" fillId="0" borderId="19" xfId="0" applyFont="1" applyBorder="1" applyAlignment="1" applyProtection="1">
      <alignment horizontal="center" vertical="center"/>
      <protection hidden="1"/>
    </xf>
    <xf numFmtId="9" fontId="56" fillId="0" borderId="19" xfId="0" applyNumberFormat="1" applyFont="1" applyBorder="1" applyAlignment="1" applyProtection="1">
      <alignment horizontal="center" vertical="center" wrapText="1"/>
      <protection hidden="1"/>
    </xf>
    <xf numFmtId="9" fontId="56" fillId="0" borderId="19" xfId="0" applyNumberFormat="1" applyFont="1" applyBorder="1" applyAlignment="1" applyProtection="1">
      <alignment horizontal="center" vertical="center" wrapText="1"/>
      <protection locked="0"/>
    </xf>
    <xf numFmtId="0" fontId="55" fillId="3" borderId="0" xfId="0" applyFont="1" applyFill="1" applyAlignment="1">
      <alignment horizontal="center" vertical="center"/>
    </xf>
    <xf numFmtId="0" fontId="55" fillId="18" borderId="0" xfId="0" applyFont="1" applyFill="1" applyAlignment="1">
      <alignment horizontal="center" vertical="center"/>
    </xf>
    <xf numFmtId="0" fontId="56" fillId="3" borderId="0" xfId="0" applyFont="1" applyFill="1" applyAlignment="1">
      <alignment horizontal="center"/>
    </xf>
    <xf numFmtId="0" fontId="0" fillId="18" borderId="0" xfId="0" applyFill="1" applyAlignment="1">
      <alignment horizontal="center"/>
    </xf>
    <xf numFmtId="0" fontId="61" fillId="0" borderId="55" xfId="0" applyFont="1" applyBorder="1" applyAlignment="1">
      <alignment horizontal="center" vertical="center"/>
    </xf>
    <xf numFmtId="0" fontId="56" fillId="3" borderId="55" xfId="0" applyFont="1" applyFill="1" applyBorder="1" applyAlignment="1">
      <alignment horizontal="center"/>
    </xf>
    <xf numFmtId="0" fontId="59" fillId="3" borderId="0" xfId="0" applyFont="1" applyFill="1" applyAlignment="1">
      <alignment horizontal="center"/>
    </xf>
    <xf numFmtId="0" fontId="44" fillId="0" borderId="19" xfId="0" applyFont="1" applyBorder="1" applyAlignment="1" applyProtection="1">
      <alignment horizontal="justify" vertical="center" wrapText="1"/>
      <protection locked="0"/>
    </xf>
    <xf numFmtId="0" fontId="44" fillId="0" borderId="19" xfId="0" applyFont="1" applyBorder="1" applyAlignment="1" applyProtection="1">
      <alignment horizontal="justify" vertical="center"/>
      <protection locked="0"/>
    </xf>
    <xf numFmtId="0" fontId="56" fillId="0" borderId="67" xfId="0" applyFont="1" applyBorder="1" applyAlignment="1">
      <alignment horizontal="justify" vertical="center" wrapText="1"/>
    </xf>
    <xf numFmtId="0" fontId="56" fillId="0" borderId="64" xfId="0" applyFont="1" applyBorder="1" applyAlignment="1">
      <alignment horizontal="justify" vertical="center" wrapText="1"/>
    </xf>
    <xf numFmtId="0" fontId="56" fillId="0" borderId="19" xfId="0" applyFont="1" applyBorder="1" applyAlignment="1" applyProtection="1">
      <alignment horizontal="justify" vertical="center" wrapText="1"/>
      <protection locked="0"/>
    </xf>
    <xf numFmtId="0" fontId="58" fillId="0" borderId="19" xfId="0" applyFont="1" applyBorder="1" applyAlignment="1" applyProtection="1">
      <alignment horizontal="justify" vertical="center" wrapText="1"/>
      <protection locked="0"/>
    </xf>
    <xf numFmtId="0" fontId="0" fillId="0" borderId="0" xfId="0" applyAlignment="1">
      <alignment horizontal="center" vertical="center" wrapText="1"/>
    </xf>
    <xf numFmtId="0" fontId="0" fillId="0" borderId="0" xfId="0" applyAlignment="1">
      <alignment horizontal="center" vertical="center"/>
    </xf>
    <xf numFmtId="165" fontId="0" fillId="0" borderId="0" xfId="0" applyNumberFormat="1" applyAlignment="1">
      <alignment horizontal="center" vertical="center"/>
    </xf>
    <xf numFmtId="0" fontId="0" fillId="3" borderId="0" xfId="0" applyFill="1" applyAlignment="1">
      <alignment horizontal="center" vertical="center"/>
    </xf>
    <xf numFmtId="0" fontId="0" fillId="0" borderId="67" xfId="0" applyBorder="1" applyAlignment="1">
      <alignment horizontal="justify" vertical="center" wrapText="1"/>
    </xf>
    <xf numFmtId="0" fontId="0" fillId="0" borderId="64" xfId="0" applyBorder="1" applyAlignment="1">
      <alignment horizontal="justify" vertical="center" wrapText="1"/>
    </xf>
    <xf numFmtId="14" fontId="56" fillId="3" borderId="70" xfId="0" applyNumberFormat="1" applyFont="1" applyFill="1" applyBorder="1" applyAlignment="1">
      <alignment horizontal="center" vertical="center" wrapText="1"/>
    </xf>
    <xf numFmtId="0" fontId="0" fillId="3" borderId="63" xfId="0" applyFill="1" applyBorder="1" applyAlignment="1">
      <alignment horizontal="center" vertical="center"/>
    </xf>
    <xf numFmtId="0" fontId="56" fillId="0" borderId="19" xfId="0" applyFont="1" applyBorder="1" applyAlignment="1">
      <alignment horizontal="justify" vertical="center" wrapText="1"/>
    </xf>
    <xf numFmtId="0" fontId="0" fillId="0" borderId="19" xfId="0" applyBorder="1" applyAlignment="1">
      <alignment horizontal="justify" vertical="center" wrapText="1"/>
    </xf>
    <xf numFmtId="0" fontId="52" fillId="3" borderId="50" xfId="2" applyFont="1" applyFill="1" applyBorder="1" applyAlignment="1">
      <alignment horizontal="justify" vertical="center" wrapText="1"/>
    </xf>
    <xf numFmtId="0" fontId="52" fillId="3" borderId="51" xfId="2" applyFont="1" applyFill="1" applyBorder="1" applyAlignment="1">
      <alignment horizontal="justify" vertical="center" wrapText="1"/>
    </xf>
    <xf numFmtId="0" fontId="51" fillId="3" borderId="57" xfId="0" applyFont="1" applyFill="1" applyBorder="1" applyAlignment="1">
      <alignment horizontal="left" vertical="center" wrapText="1"/>
    </xf>
    <xf numFmtId="0" fontId="51" fillId="3" borderId="58" xfId="0" applyFont="1" applyFill="1" applyBorder="1" applyAlignment="1">
      <alignment horizontal="left" vertical="center" wrapText="1"/>
    </xf>
    <xf numFmtId="0" fontId="51" fillId="3" borderId="44" xfId="3" applyFont="1" applyFill="1" applyBorder="1" applyAlignment="1">
      <alignment horizontal="left" vertical="top" wrapText="1" readingOrder="1"/>
    </xf>
    <xf numFmtId="0" fontId="51" fillId="3" borderId="45" xfId="3" applyFont="1" applyFill="1" applyBorder="1" applyAlignment="1">
      <alignment horizontal="left" vertical="top" wrapText="1" readingOrder="1"/>
    </xf>
    <xf numFmtId="0" fontId="52" fillId="3" borderId="46" xfId="2" applyFont="1" applyFill="1" applyBorder="1" applyAlignment="1">
      <alignment horizontal="justify" vertical="center" wrapText="1"/>
    </xf>
    <xf numFmtId="0" fontId="52" fillId="3" borderId="47" xfId="2" applyFont="1" applyFill="1" applyBorder="1" applyAlignment="1">
      <alignment horizontal="justify" vertical="center" wrapText="1"/>
    </xf>
    <xf numFmtId="0" fontId="51" fillId="3" borderId="48" xfId="0" applyFont="1" applyFill="1" applyBorder="1" applyAlignment="1">
      <alignment horizontal="left" vertical="center" wrapText="1"/>
    </xf>
    <xf numFmtId="0" fontId="51" fillId="3" borderId="49" xfId="0" applyFont="1" applyFill="1" applyBorder="1" applyAlignment="1">
      <alignment horizontal="left" vertical="center" wrapText="1"/>
    </xf>
    <xf numFmtId="0" fontId="46" fillId="3" borderId="5" xfId="2" applyFont="1" applyFill="1" applyBorder="1" applyAlignment="1">
      <alignment horizontal="left" vertical="top" wrapText="1"/>
    </xf>
    <xf numFmtId="0" fontId="46" fillId="3" borderId="0" xfId="2" applyFont="1" applyFill="1" applyAlignment="1">
      <alignment horizontal="left" vertical="top" wrapText="1"/>
    </xf>
    <xf numFmtId="0" fontId="46" fillId="3" borderId="6" xfId="2" applyFont="1" applyFill="1" applyBorder="1" applyAlignment="1">
      <alignment horizontal="left" vertical="top" wrapText="1"/>
    </xf>
    <xf numFmtId="0" fontId="51" fillId="3" borderId="59" xfId="0" applyFont="1" applyFill="1" applyBorder="1" applyAlignment="1">
      <alignment horizontal="left" vertical="center" wrapText="1"/>
    </xf>
    <xf numFmtId="0" fontId="51" fillId="3" borderId="60" xfId="0" applyFont="1" applyFill="1" applyBorder="1" applyAlignment="1">
      <alignment horizontal="left" vertical="center" wrapText="1"/>
    </xf>
    <xf numFmtId="0" fontId="52" fillId="3" borderId="52" xfId="0" applyFont="1" applyFill="1" applyBorder="1" applyAlignment="1">
      <alignment horizontal="justify" vertical="center" wrapText="1"/>
    </xf>
    <xf numFmtId="0" fontId="52" fillId="3" borderId="53" xfId="0" applyFont="1" applyFill="1" applyBorder="1" applyAlignment="1">
      <alignment horizontal="justify" vertical="center" wrapText="1"/>
    </xf>
    <xf numFmtId="0" fontId="47" fillId="14" borderId="34" xfId="2" applyFont="1" applyFill="1" applyBorder="1" applyAlignment="1">
      <alignment horizontal="center" vertical="center" wrapText="1"/>
    </xf>
    <xf numFmtId="0" fontId="47" fillId="14" borderId="35" xfId="2" applyFont="1" applyFill="1" applyBorder="1" applyAlignment="1">
      <alignment horizontal="center" vertical="center" wrapText="1"/>
    </xf>
    <xf numFmtId="0" fontId="47" fillId="14" borderId="36" xfId="2" applyFont="1" applyFill="1" applyBorder="1" applyAlignment="1">
      <alignment horizontal="center" vertical="center" wrapText="1"/>
    </xf>
    <xf numFmtId="0" fontId="46" fillId="0" borderId="5" xfId="2" quotePrefix="1" applyFont="1" applyBorder="1" applyAlignment="1">
      <alignment horizontal="left" vertical="center" wrapText="1"/>
    </xf>
    <xf numFmtId="0" fontId="46" fillId="0" borderId="0" xfId="2" quotePrefix="1" applyFont="1" applyAlignment="1">
      <alignment horizontal="left" vertical="center" wrapText="1"/>
    </xf>
    <xf numFmtId="0" fontId="46" fillId="0" borderId="6" xfId="2" quotePrefix="1" applyFont="1" applyBorder="1" applyAlignment="1">
      <alignment horizontal="left" vertical="center" wrapText="1"/>
    </xf>
    <xf numFmtId="0" fontId="46" fillId="0" borderId="54" xfId="2" quotePrefix="1" applyFont="1" applyBorder="1" applyAlignment="1">
      <alignment horizontal="left" vertical="center" wrapText="1"/>
    </xf>
    <xf numFmtId="0" fontId="46" fillId="0" borderId="55" xfId="2" quotePrefix="1" applyFont="1" applyBorder="1" applyAlignment="1">
      <alignment horizontal="left" vertical="center" wrapText="1"/>
    </xf>
    <xf numFmtId="0" fontId="46" fillId="0" borderId="56" xfId="2" quotePrefix="1" applyFont="1" applyBorder="1" applyAlignment="1">
      <alignment horizontal="left" vertical="center" wrapText="1"/>
    </xf>
    <xf numFmtId="0" fontId="48" fillId="3" borderId="37" xfId="2" quotePrefix="1" applyFont="1" applyFill="1" applyBorder="1" applyAlignment="1">
      <alignment horizontal="left" vertical="top" wrapText="1"/>
    </xf>
    <xf numFmtId="0" fontId="49" fillId="3" borderId="38" xfId="2" quotePrefix="1" applyFont="1" applyFill="1" applyBorder="1" applyAlignment="1">
      <alignment horizontal="left" vertical="top" wrapText="1"/>
    </xf>
    <xf numFmtId="0" fontId="49" fillId="3" borderId="39" xfId="2" quotePrefix="1" applyFont="1" applyFill="1" applyBorder="1" applyAlignment="1">
      <alignment horizontal="left" vertical="top" wrapText="1"/>
    </xf>
    <xf numFmtId="0" fontId="46" fillId="0" borderId="5" xfId="2" quotePrefix="1" applyFont="1" applyBorder="1" applyAlignment="1">
      <alignment horizontal="left" vertical="top" wrapText="1"/>
    </xf>
    <xf numFmtId="0" fontId="46" fillId="0" borderId="0" xfId="2" quotePrefix="1" applyFont="1" applyAlignment="1">
      <alignment horizontal="left" vertical="top" wrapText="1"/>
    </xf>
    <xf numFmtId="0" fontId="46" fillId="0" borderId="6" xfId="2" quotePrefix="1" applyFont="1" applyBorder="1" applyAlignment="1">
      <alignment horizontal="left" vertical="top" wrapText="1"/>
    </xf>
    <xf numFmtId="0" fontId="51" fillId="14" borderId="40" xfId="3" applyFont="1" applyFill="1" applyBorder="1" applyAlignment="1">
      <alignment horizontal="center" vertical="center" wrapText="1"/>
    </xf>
    <xf numFmtId="0" fontId="51" fillId="14" borderId="41" xfId="3" applyFont="1" applyFill="1" applyBorder="1" applyAlignment="1">
      <alignment horizontal="center" vertical="center" wrapText="1"/>
    </xf>
    <xf numFmtId="0" fontId="51" fillId="14" borderId="42" xfId="2" applyFont="1" applyFill="1" applyBorder="1" applyAlignment="1">
      <alignment horizontal="center" vertical="center"/>
    </xf>
    <xf numFmtId="0" fontId="51" fillId="14" borderId="43" xfId="2" applyFont="1" applyFill="1" applyBorder="1" applyAlignment="1">
      <alignment horizontal="center" vertical="center"/>
    </xf>
    <xf numFmtId="0" fontId="1" fillId="3" borderId="54" xfId="2" quotePrefix="1" applyFont="1" applyFill="1" applyBorder="1" applyAlignment="1">
      <alignment horizontal="justify" vertical="center" wrapText="1"/>
    </xf>
    <xf numFmtId="0" fontId="1" fillId="3" borderId="55" xfId="2" quotePrefix="1" applyFont="1" applyFill="1" applyBorder="1" applyAlignment="1">
      <alignment horizontal="justify" vertical="center" wrapText="1"/>
    </xf>
    <xf numFmtId="0" fontId="1" fillId="3" borderId="56" xfId="2" quotePrefix="1" applyFont="1" applyFill="1" applyBorder="1" applyAlignment="1">
      <alignment horizontal="justify" vertical="center" wrapText="1"/>
    </xf>
    <xf numFmtId="0" fontId="56" fillId="0" borderId="68" xfId="0" applyFont="1" applyBorder="1" applyAlignment="1">
      <alignment horizontal="left" vertical="center" wrapText="1"/>
    </xf>
    <xf numFmtId="0" fontId="56" fillId="0" borderId="0" xfId="0" applyFont="1" applyAlignment="1">
      <alignment horizontal="left" vertical="center" wrapText="1"/>
    </xf>
    <xf numFmtId="0" fontId="56" fillId="0" borderId="69" xfId="0" applyFont="1" applyBorder="1" applyAlignment="1">
      <alignment horizontal="left" vertical="center" wrapText="1"/>
    </xf>
    <xf numFmtId="0" fontId="57" fillId="16" borderId="19" xfId="0" applyFont="1" applyFill="1" applyBorder="1" applyAlignment="1">
      <alignment horizontal="center" vertical="center" textRotation="90" wrapText="1"/>
    </xf>
    <xf numFmtId="0" fontId="59" fillId="3" borderId="19" xfId="0" applyFont="1" applyFill="1" applyBorder="1" applyAlignment="1" applyProtection="1">
      <alignment horizontal="center" vertical="top" wrapText="1"/>
      <protection locked="0"/>
    </xf>
    <xf numFmtId="0" fontId="59" fillId="3" borderId="19" xfId="0" applyFont="1" applyFill="1" applyBorder="1" applyAlignment="1" applyProtection="1">
      <alignment horizontal="center" vertical="top"/>
      <protection locked="0"/>
    </xf>
    <xf numFmtId="0" fontId="59" fillId="3" borderId="61" xfId="0" applyFont="1" applyFill="1" applyBorder="1" applyAlignment="1" applyProtection="1">
      <alignment horizontal="center" wrapText="1"/>
      <protection locked="0"/>
    </xf>
    <xf numFmtId="0" fontId="57" fillId="17" borderId="19" xfId="0" applyFont="1" applyFill="1" applyBorder="1" applyAlignment="1">
      <alignment horizontal="center" vertical="center" textRotation="90" wrapText="1"/>
    </xf>
    <xf numFmtId="0" fontId="57" fillId="17" borderId="19" xfId="0" applyFont="1" applyFill="1" applyBorder="1" applyAlignment="1">
      <alignment horizontal="center" vertical="center" wrapText="1"/>
    </xf>
    <xf numFmtId="0" fontId="57" fillId="0" borderId="19" xfId="0" applyFont="1" applyBorder="1" applyAlignment="1">
      <alignment horizontal="center" vertical="center"/>
    </xf>
    <xf numFmtId="0" fontId="57" fillId="16" borderId="19" xfId="0" applyFont="1" applyFill="1" applyBorder="1" applyAlignment="1">
      <alignment horizontal="center" vertical="center"/>
    </xf>
    <xf numFmtId="0" fontId="57" fillId="17" borderId="19" xfId="0" applyFont="1" applyFill="1" applyBorder="1" applyAlignment="1">
      <alignment horizontal="center" vertical="center"/>
    </xf>
    <xf numFmtId="0" fontId="57" fillId="16" borderId="19" xfId="0" applyFont="1" applyFill="1" applyBorder="1" applyAlignment="1">
      <alignment horizontal="center" vertical="center" wrapText="1"/>
    </xf>
    <xf numFmtId="0" fontId="61" fillId="0" borderId="19" xfId="0" applyFont="1" applyBorder="1" applyAlignment="1">
      <alignment horizontal="center" vertical="center"/>
    </xf>
    <xf numFmtId="0" fontId="68" fillId="0" borderId="19" xfId="0" applyFont="1" applyBorder="1" applyAlignment="1">
      <alignment horizontal="center" vertical="center" wrapText="1"/>
    </xf>
    <xf numFmtId="0" fontId="65" fillId="0" borderId="19" xfId="0" applyFont="1" applyBorder="1" applyAlignment="1">
      <alignment horizontal="center" vertical="center" wrapText="1"/>
    </xf>
    <xf numFmtId="0" fontId="64" fillId="0" borderId="19" xfId="0" applyFont="1" applyBorder="1" applyAlignment="1">
      <alignment horizontal="center" vertical="center"/>
    </xf>
    <xf numFmtId="0" fontId="64" fillId="0" borderId="61" xfId="0" applyFont="1" applyBorder="1" applyAlignment="1">
      <alignment horizontal="center" vertical="center"/>
    </xf>
    <xf numFmtId="0" fontId="64" fillId="0" borderId="19" xfId="0" applyFont="1" applyBorder="1" applyAlignment="1">
      <alignment horizontal="center" vertical="center" textRotation="90"/>
    </xf>
    <xf numFmtId="0" fontId="57" fillId="0" borderId="19" xfId="0" applyFont="1" applyBorder="1" applyAlignment="1">
      <alignment horizontal="center" vertical="center" wrapText="1"/>
    </xf>
    <xf numFmtId="0" fontId="57" fillId="0" borderId="19" xfId="0" applyFont="1" applyBorder="1" applyAlignment="1" applyProtection="1">
      <alignment horizontal="center" vertical="center" wrapText="1"/>
      <protection hidden="1"/>
    </xf>
    <xf numFmtId="9" fontId="56" fillId="0" borderId="19" xfId="0" applyNumberFormat="1" applyFont="1" applyBorder="1" applyAlignment="1" applyProtection="1">
      <alignment horizontal="center" vertical="center" wrapText="1"/>
      <protection hidden="1"/>
    </xf>
    <xf numFmtId="0" fontId="59" fillId="3" borderId="19" xfId="0" applyFont="1" applyFill="1" applyBorder="1" applyAlignment="1" applyProtection="1">
      <alignment horizontal="center" vertical="center"/>
      <protection locked="0"/>
    </xf>
    <xf numFmtId="0" fontId="57" fillId="0" borderId="19" xfId="0" applyFont="1" applyBorder="1" applyAlignment="1" applyProtection="1">
      <alignment horizontal="center" vertical="center"/>
      <protection hidden="1"/>
    </xf>
    <xf numFmtId="9" fontId="56" fillId="0" borderId="19" xfId="0" applyNumberFormat="1" applyFont="1" applyBorder="1" applyAlignment="1" applyProtection="1">
      <alignment horizontal="center" vertical="center" wrapText="1"/>
      <protection locked="0"/>
    </xf>
    <xf numFmtId="0" fontId="59" fillId="3" borderId="0" xfId="0" applyFont="1" applyFill="1" applyAlignment="1">
      <alignment horizontal="center" vertical="center"/>
    </xf>
    <xf numFmtId="0" fontId="66" fillId="19" borderId="62" xfId="4" applyFont="1" applyFill="1" applyBorder="1" applyAlignment="1">
      <alignment horizontal="center" wrapText="1"/>
    </xf>
    <xf numFmtId="0" fontId="66" fillId="19" borderId="62" xfId="4" applyFont="1" applyFill="1" applyBorder="1" applyAlignment="1">
      <alignment horizontal="center"/>
    </xf>
    <xf numFmtId="0" fontId="66" fillId="19" borderId="63" xfId="4" applyFont="1" applyFill="1" applyBorder="1" applyAlignment="1">
      <alignment horizontal="center"/>
    </xf>
    <xf numFmtId="0" fontId="66" fillId="20" borderId="62" xfId="4" applyFont="1" applyFill="1" applyBorder="1" applyAlignment="1">
      <alignment horizontal="center" wrapText="1"/>
    </xf>
    <xf numFmtId="0" fontId="66" fillId="20" borderId="62" xfId="4" applyFont="1" applyFill="1" applyBorder="1" applyAlignment="1">
      <alignment horizontal="center"/>
    </xf>
    <xf numFmtId="0" fontId="66" fillId="20" borderId="63" xfId="4" applyFont="1" applyFill="1" applyBorder="1" applyAlignment="1">
      <alignment horizontal="center"/>
    </xf>
    <xf numFmtId="0" fontId="57" fillId="5" borderId="19" xfId="0" applyFont="1" applyFill="1" applyBorder="1" applyAlignment="1">
      <alignment horizontal="center" vertical="center"/>
    </xf>
    <xf numFmtId="0" fontId="57" fillId="0" borderId="61" xfId="0" applyFont="1" applyBorder="1" applyAlignment="1" applyProtection="1">
      <alignment horizontal="center" vertical="center" textRotation="90" wrapText="1"/>
      <protection hidden="1"/>
    </xf>
    <xf numFmtId="0" fontId="57" fillId="0" borderId="20" xfId="0" applyFont="1" applyBorder="1" applyAlignment="1" applyProtection="1">
      <alignment horizontal="center" vertical="center" textRotation="90" wrapText="1"/>
      <protection hidden="1"/>
    </xf>
    <xf numFmtId="0" fontId="57" fillId="0" borderId="61" xfId="0" applyFont="1" applyBorder="1" applyAlignment="1" applyProtection="1">
      <alignment horizontal="center" vertical="center" textRotation="90"/>
      <protection hidden="1"/>
    </xf>
    <xf numFmtId="0" fontId="57" fillId="0" borderId="20" xfId="0" applyFont="1" applyBorder="1" applyAlignment="1" applyProtection="1">
      <alignment horizontal="center" vertical="center" textRotation="90"/>
      <protection hidden="1"/>
    </xf>
    <xf numFmtId="0" fontId="56" fillId="0" borderId="61" xfId="0" applyFont="1" applyBorder="1" applyAlignment="1" applyProtection="1">
      <alignment horizontal="center" vertical="center" textRotation="90"/>
      <protection locked="0"/>
    </xf>
    <xf numFmtId="0" fontId="56" fillId="0" borderId="20" xfId="0" applyFont="1" applyBorder="1" applyAlignment="1" applyProtection="1">
      <alignment horizontal="center" vertical="center" textRotation="90"/>
      <protection locked="0"/>
    </xf>
    <xf numFmtId="0" fontId="57" fillId="5" borderId="19" xfId="0" applyFont="1" applyFill="1" applyBorder="1" applyAlignment="1">
      <alignment horizontal="center" vertical="center" wrapText="1"/>
    </xf>
    <xf numFmtId="0" fontId="65" fillId="19" borderId="62" xfId="4" applyFont="1" applyFill="1" applyBorder="1" applyAlignment="1">
      <alignment horizontal="center" wrapText="1"/>
    </xf>
    <xf numFmtId="0" fontId="65" fillId="19" borderId="62" xfId="4" applyFont="1" applyFill="1" applyBorder="1" applyAlignment="1">
      <alignment horizontal="center"/>
    </xf>
    <xf numFmtId="0" fontId="65" fillId="19" borderId="63" xfId="4" applyFont="1" applyFill="1" applyBorder="1" applyAlignment="1">
      <alignment horizontal="center"/>
    </xf>
    <xf numFmtId="0" fontId="66" fillId="21" borderId="64" xfId="4" applyFont="1" applyFill="1" applyBorder="1" applyAlignment="1">
      <alignment horizontal="center" vertical="center" wrapText="1"/>
    </xf>
    <xf numFmtId="0" fontId="67" fillId="19" borderId="65" xfId="4" applyFont="1" applyFill="1" applyBorder="1"/>
    <xf numFmtId="0" fontId="66" fillId="22" borderId="64" xfId="4" applyFont="1" applyFill="1" applyBorder="1" applyAlignment="1">
      <alignment horizontal="center" vertical="center" wrapText="1"/>
    </xf>
    <xf numFmtId="0" fontId="67" fillId="20" borderId="65" xfId="4" applyFont="1" applyFill="1" applyBorder="1"/>
    <xf numFmtId="0" fontId="57" fillId="21" borderId="64" xfId="4" applyFont="1" applyFill="1" applyBorder="1" applyAlignment="1">
      <alignment horizontal="center" vertical="center" wrapText="1"/>
    </xf>
    <xf numFmtId="0" fontId="58" fillId="19" borderId="66" xfId="4" applyFont="1" applyFill="1" applyBorder="1"/>
    <xf numFmtId="0" fontId="56" fillId="0" borderId="19" xfId="0" applyFont="1" applyBorder="1" applyAlignment="1">
      <alignment horizontal="center" vertical="center"/>
    </xf>
    <xf numFmtId="0" fontId="56" fillId="0" borderId="19" xfId="0" applyFont="1" applyBorder="1" applyAlignment="1" applyProtection="1">
      <alignment horizontal="center" vertical="center" wrapText="1"/>
      <protection locked="0"/>
    </xf>
    <xf numFmtId="0" fontId="58" fillId="0" borderId="19" xfId="0" applyFont="1" applyBorder="1" applyAlignment="1" applyProtection="1">
      <alignment horizontal="center" vertical="center" wrapText="1"/>
      <protection locked="0"/>
    </xf>
    <xf numFmtId="0" fontId="56" fillId="0" borderId="19" xfId="0" applyFont="1" applyBorder="1" applyAlignment="1" applyProtection="1">
      <alignment horizontal="center" vertical="center"/>
      <protection locked="0"/>
    </xf>
    <xf numFmtId="0" fontId="16" fillId="10" borderId="0" xfId="0" applyFont="1" applyFill="1" applyAlignment="1">
      <alignment horizontal="center" vertical="center" textRotation="90" wrapText="1" readingOrder="1"/>
    </xf>
    <xf numFmtId="0" fontId="16" fillId="10" borderId="6" xfId="0" applyFont="1" applyFill="1" applyBorder="1" applyAlignment="1">
      <alignment horizontal="center" vertical="center" textRotation="90" wrapText="1" readingOrder="1"/>
    </xf>
    <xf numFmtId="0" fontId="19" fillId="12" borderId="11" xfId="0" applyFont="1" applyFill="1" applyBorder="1" applyAlignment="1">
      <alignment horizontal="center" vertical="center" wrapText="1" readingOrder="1"/>
    </xf>
    <xf numFmtId="0" fontId="19" fillId="12" borderId="12" xfId="0" applyFont="1" applyFill="1" applyBorder="1" applyAlignment="1">
      <alignment horizontal="center" vertical="center" wrapText="1" readingOrder="1"/>
    </xf>
    <xf numFmtId="0" fontId="19" fillId="12" borderId="13" xfId="0" applyFont="1" applyFill="1" applyBorder="1" applyAlignment="1">
      <alignment horizontal="center" vertical="center" wrapText="1" readingOrder="1"/>
    </xf>
    <xf numFmtId="0" fontId="19" fillId="12" borderId="14" xfId="0" applyFont="1" applyFill="1" applyBorder="1" applyAlignment="1">
      <alignment horizontal="center" vertical="center" wrapText="1" readingOrder="1"/>
    </xf>
    <xf numFmtId="0" fontId="19" fillId="12" borderId="0" xfId="0" applyFont="1" applyFill="1" applyAlignment="1">
      <alignment horizontal="center" vertical="center" wrapText="1" readingOrder="1"/>
    </xf>
    <xf numFmtId="0" fontId="19" fillId="12" borderId="15" xfId="0" applyFont="1" applyFill="1" applyBorder="1" applyAlignment="1">
      <alignment horizontal="center" vertical="center" wrapText="1" readingOrder="1"/>
    </xf>
    <xf numFmtId="0" fontId="19" fillId="12" borderId="16" xfId="0" applyFont="1" applyFill="1" applyBorder="1" applyAlignment="1">
      <alignment horizontal="center" vertical="center" wrapText="1" readingOrder="1"/>
    </xf>
    <xf numFmtId="0" fontId="19" fillId="12" borderId="17" xfId="0" applyFont="1" applyFill="1" applyBorder="1" applyAlignment="1">
      <alignment horizontal="center" vertical="center" wrapText="1" readingOrder="1"/>
    </xf>
    <xf numFmtId="0" fontId="19" fillId="12" borderId="18" xfId="0" applyFont="1" applyFill="1" applyBorder="1" applyAlignment="1">
      <alignment horizontal="center" vertical="center" wrapText="1" readingOrder="1"/>
    </xf>
    <xf numFmtId="0" fontId="19" fillId="11" borderId="11" xfId="0" applyFont="1" applyFill="1" applyBorder="1" applyAlignment="1">
      <alignment horizontal="center" vertical="center" wrapText="1" readingOrder="1"/>
    </xf>
    <xf numFmtId="0" fontId="19" fillId="11" borderId="12" xfId="0" applyFont="1" applyFill="1" applyBorder="1" applyAlignment="1">
      <alignment horizontal="center" vertical="center" wrapText="1" readingOrder="1"/>
    </xf>
    <xf numFmtId="0" fontId="19" fillId="11" borderId="13" xfId="0" applyFont="1" applyFill="1" applyBorder="1" applyAlignment="1">
      <alignment horizontal="center" vertical="center" wrapText="1" readingOrder="1"/>
    </xf>
    <xf numFmtId="0" fontId="19" fillId="11" borderId="14" xfId="0" applyFont="1" applyFill="1" applyBorder="1" applyAlignment="1">
      <alignment horizontal="center" vertical="center" wrapText="1" readingOrder="1"/>
    </xf>
    <xf numFmtId="0" fontId="19" fillId="11" borderId="0" xfId="0" applyFont="1" applyFill="1" applyAlignment="1">
      <alignment horizontal="center" vertical="center" wrapText="1" readingOrder="1"/>
    </xf>
    <xf numFmtId="0" fontId="19" fillId="11" borderId="15" xfId="0" applyFont="1" applyFill="1" applyBorder="1" applyAlignment="1">
      <alignment horizontal="center" vertical="center" wrapText="1" readingOrder="1"/>
    </xf>
    <xf numFmtId="0" fontId="19" fillId="11" borderId="16" xfId="0" applyFont="1" applyFill="1" applyBorder="1" applyAlignment="1">
      <alignment horizontal="center" vertical="center" wrapText="1" readingOrder="1"/>
    </xf>
    <xf numFmtId="0" fontId="19" fillId="11" borderId="17" xfId="0" applyFont="1" applyFill="1" applyBorder="1" applyAlignment="1">
      <alignment horizontal="center" vertical="center" wrapText="1" readingOrder="1"/>
    </xf>
    <xf numFmtId="0" fontId="19" fillId="11" borderId="18" xfId="0" applyFont="1" applyFill="1" applyBorder="1" applyAlignment="1">
      <alignment horizontal="center" vertical="center" wrapText="1" readingOrder="1"/>
    </xf>
    <xf numFmtId="0" fontId="19" fillId="13" borderId="11" xfId="0" applyFont="1" applyFill="1" applyBorder="1" applyAlignment="1">
      <alignment horizontal="center" vertical="center" wrapText="1" readingOrder="1"/>
    </xf>
    <xf numFmtId="0" fontId="19" fillId="13" borderId="12" xfId="0" applyFont="1" applyFill="1" applyBorder="1" applyAlignment="1">
      <alignment horizontal="center" vertical="center" wrapText="1" readingOrder="1"/>
    </xf>
    <xf numFmtId="0" fontId="19" fillId="13" borderId="13" xfId="0" applyFont="1" applyFill="1" applyBorder="1" applyAlignment="1">
      <alignment horizontal="center" vertical="center" wrapText="1" readingOrder="1"/>
    </xf>
    <xf numFmtId="0" fontId="19" fillId="13" borderId="14" xfId="0" applyFont="1" applyFill="1" applyBorder="1" applyAlignment="1">
      <alignment horizontal="center" vertical="center" wrapText="1" readingOrder="1"/>
    </xf>
    <xf numFmtId="0" fontId="19" fillId="13" borderId="0" xfId="0" applyFont="1" applyFill="1" applyAlignment="1">
      <alignment horizontal="center" vertical="center" wrapText="1" readingOrder="1"/>
    </xf>
    <xf numFmtId="0" fontId="19" fillId="13" borderId="15" xfId="0" applyFont="1" applyFill="1" applyBorder="1" applyAlignment="1">
      <alignment horizontal="center" vertical="center" wrapText="1" readingOrder="1"/>
    </xf>
    <xf numFmtId="0" fontId="19" fillId="13" borderId="16" xfId="0" applyFont="1" applyFill="1" applyBorder="1" applyAlignment="1">
      <alignment horizontal="center" vertical="center" wrapText="1" readingOrder="1"/>
    </xf>
    <xf numFmtId="0" fontId="19" fillId="13" borderId="17" xfId="0" applyFont="1" applyFill="1" applyBorder="1" applyAlignment="1">
      <alignment horizontal="center" vertical="center" wrapText="1" readingOrder="1"/>
    </xf>
    <xf numFmtId="0" fontId="19" fillId="13" borderId="18" xfId="0" applyFont="1" applyFill="1" applyBorder="1" applyAlignment="1">
      <alignment horizontal="center" vertical="center" wrapText="1" readingOrder="1"/>
    </xf>
    <xf numFmtId="0" fontId="19" fillId="5" borderId="11" xfId="0" applyFont="1" applyFill="1" applyBorder="1" applyAlignment="1">
      <alignment horizontal="center" vertical="center" wrapText="1" readingOrder="1"/>
    </xf>
    <xf numFmtId="0" fontId="19" fillId="5" borderId="12" xfId="0" applyFont="1" applyFill="1" applyBorder="1" applyAlignment="1">
      <alignment horizontal="center" vertical="center" wrapText="1" readingOrder="1"/>
    </xf>
    <xf numFmtId="0" fontId="19" fillId="5" borderId="13" xfId="0" applyFont="1" applyFill="1" applyBorder="1" applyAlignment="1">
      <alignment horizontal="center" vertical="center" wrapText="1" readingOrder="1"/>
    </xf>
    <xf numFmtId="0" fontId="19" fillId="5" borderId="14" xfId="0" applyFont="1" applyFill="1" applyBorder="1" applyAlignment="1">
      <alignment horizontal="center" vertical="center" wrapText="1" readingOrder="1"/>
    </xf>
    <xf numFmtId="0" fontId="19" fillId="5" borderId="0" xfId="0" applyFont="1" applyFill="1" applyAlignment="1">
      <alignment horizontal="center" vertical="center" wrapText="1" readingOrder="1"/>
    </xf>
    <xf numFmtId="0" fontId="19" fillId="5" borderId="15" xfId="0" applyFont="1" applyFill="1" applyBorder="1" applyAlignment="1">
      <alignment horizontal="center" vertical="center" wrapText="1" readingOrder="1"/>
    </xf>
    <xf numFmtId="0" fontId="19" fillId="5" borderId="16" xfId="0" applyFont="1" applyFill="1" applyBorder="1" applyAlignment="1">
      <alignment horizontal="center" vertical="center" wrapText="1" readingOrder="1"/>
    </xf>
    <xf numFmtId="0" fontId="19" fillId="5" borderId="17" xfId="0" applyFont="1" applyFill="1" applyBorder="1" applyAlignment="1">
      <alignment horizontal="center" vertical="center" wrapText="1" readingOrder="1"/>
    </xf>
    <xf numFmtId="0" fontId="19" fillId="5" borderId="18" xfId="0" applyFont="1" applyFill="1" applyBorder="1" applyAlignment="1">
      <alignment horizontal="center" vertical="center" wrapText="1" readingOrder="1"/>
    </xf>
    <xf numFmtId="0" fontId="15" fillId="0" borderId="3" xfId="0" applyFont="1" applyBorder="1" applyAlignment="1">
      <alignment horizontal="center" vertical="center" wrapText="1"/>
    </xf>
    <xf numFmtId="0" fontId="15" fillId="0" borderId="10" xfId="0" applyFont="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0" xfId="0" applyFont="1" applyAlignment="1">
      <alignment horizontal="center" vertical="center"/>
    </xf>
    <xf numFmtId="0" fontId="15" fillId="0" borderId="6" xfId="0" applyFont="1" applyBorder="1" applyAlignment="1">
      <alignment horizontal="center" vertical="center"/>
    </xf>
    <xf numFmtId="0" fontId="15" fillId="0" borderId="7" xfId="0" applyFont="1" applyBorder="1" applyAlignment="1">
      <alignment horizontal="center" vertical="center"/>
    </xf>
    <xf numFmtId="0" fontId="15" fillId="0" borderId="9" xfId="0" applyFont="1" applyBorder="1" applyAlignment="1">
      <alignment horizontal="center" vertical="center"/>
    </xf>
    <xf numFmtId="0" fontId="15" fillId="0" borderId="8" xfId="0" applyFont="1" applyBorder="1" applyAlignment="1">
      <alignment horizontal="center" vertical="center"/>
    </xf>
    <xf numFmtId="0" fontId="18" fillId="11" borderId="0" xfId="0" applyFont="1" applyFill="1" applyAlignment="1" applyProtection="1">
      <alignment horizontal="center" vertical="center" wrapText="1" readingOrder="1"/>
      <protection hidden="1"/>
    </xf>
    <xf numFmtId="0" fontId="18" fillId="11" borderId="6" xfId="0" applyFont="1" applyFill="1" applyBorder="1" applyAlignment="1" applyProtection="1">
      <alignment horizontal="center" vertical="center" wrapText="1" readingOrder="1"/>
      <protection hidden="1"/>
    </xf>
    <xf numFmtId="0" fontId="18" fillId="11" borderId="3" xfId="0" applyFont="1" applyFill="1" applyBorder="1" applyAlignment="1" applyProtection="1">
      <alignment horizontal="center" vertical="center" wrapText="1" readingOrder="1"/>
      <protection hidden="1"/>
    </xf>
    <xf numFmtId="0" fontId="18" fillId="11" borderId="10" xfId="0" applyFont="1" applyFill="1" applyBorder="1" applyAlignment="1" applyProtection="1">
      <alignment horizontal="center" vertical="center" wrapText="1" readingOrder="1"/>
      <protection hidden="1"/>
    </xf>
    <xf numFmtId="0" fontId="18" fillId="11" borderId="5" xfId="0" applyFont="1" applyFill="1" applyBorder="1" applyAlignment="1" applyProtection="1">
      <alignment horizontal="center" vertical="center" wrapText="1" readingOrder="1"/>
      <protection hidden="1"/>
    </xf>
    <xf numFmtId="0" fontId="18" fillId="11" borderId="4" xfId="0" applyFont="1" applyFill="1" applyBorder="1" applyAlignment="1" applyProtection="1">
      <alignment horizontal="center" vertical="center" wrapText="1" readingOrder="1"/>
      <protection hidden="1"/>
    </xf>
    <xf numFmtId="0" fontId="16" fillId="10" borderId="0" xfId="0" applyFont="1" applyFill="1" applyAlignment="1">
      <alignment horizontal="center" vertical="center" wrapText="1" readingOrder="1"/>
    </xf>
    <xf numFmtId="0" fontId="15" fillId="0" borderId="10" xfId="0" applyFont="1" applyBorder="1" applyAlignment="1">
      <alignment horizontal="center" vertical="center" wrapText="1"/>
    </xf>
    <xf numFmtId="0" fontId="18" fillId="11" borderId="7" xfId="0" applyFont="1" applyFill="1" applyBorder="1" applyAlignment="1" applyProtection="1">
      <alignment horizontal="center" vertical="center" wrapText="1" readingOrder="1"/>
      <protection hidden="1"/>
    </xf>
    <xf numFmtId="0" fontId="18" fillId="11" borderId="9" xfId="0" applyFont="1" applyFill="1" applyBorder="1" applyAlignment="1" applyProtection="1">
      <alignment horizontal="center" vertical="center" wrapText="1" readingOrder="1"/>
      <protection hidden="1"/>
    </xf>
    <xf numFmtId="0" fontId="18" fillId="11" borderId="8" xfId="0" applyFont="1" applyFill="1" applyBorder="1" applyAlignment="1" applyProtection="1">
      <alignment horizontal="center" vertical="center" wrapText="1" readingOrder="1"/>
      <protection hidden="1"/>
    </xf>
    <xf numFmtId="0" fontId="18" fillId="12" borderId="5" xfId="0" applyFont="1" applyFill="1" applyBorder="1" applyAlignment="1" applyProtection="1">
      <alignment horizontal="center" wrapText="1" readingOrder="1"/>
      <protection hidden="1"/>
    </xf>
    <xf numFmtId="0" fontId="18" fillId="12" borderId="0" xfId="0" applyFont="1" applyFill="1" applyAlignment="1" applyProtection="1">
      <alignment horizontal="center" wrapText="1" readingOrder="1"/>
      <protection hidden="1"/>
    </xf>
    <xf numFmtId="0" fontId="18" fillId="12" borderId="6" xfId="0" applyFont="1" applyFill="1" applyBorder="1" applyAlignment="1" applyProtection="1">
      <alignment horizontal="center" wrapText="1" readingOrder="1"/>
      <protection hidden="1"/>
    </xf>
    <xf numFmtId="0" fontId="18" fillId="12" borderId="7" xfId="0" applyFont="1" applyFill="1" applyBorder="1" applyAlignment="1" applyProtection="1">
      <alignment horizontal="center" wrapText="1" readingOrder="1"/>
      <protection hidden="1"/>
    </xf>
    <xf numFmtId="0" fontId="18" fillId="12" borderId="9" xfId="0" applyFont="1" applyFill="1" applyBorder="1" applyAlignment="1" applyProtection="1">
      <alignment horizontal="center" wrapText="1" readingOrder="1"/>
      <protection hidden="1"/>
    </xf>
    <xf numFmtId="0" fontId="18" fillId="12" borderId="8" xfId="0" applyFont="1" applyFill="1" applyBorder="1" applyAlignment="1" applyProtection="1">
      <alignment horizontal="center" wrapText="1" readingOrder="1"/>
      <protection hidden="1"/>
    </xf>
    <xf numFmtId="0" fontId="18" fillId="12" borderId="3" xfId="0" applyFont="1" applyFill="1" applyBorder="1" applyAlignment="1" applyProtection="1">
      <alignment horizontal="center" wrapText="1" readingOrder="1"/>
      <protection hidden="1"/>
    </xf>
    <xf numFmtId="0" fontId="18" fillId="12" borderId="10" xfId="0" applyFont="1" applyFill="1" applyBorder="1" applyAlignment="1" applyProtection="1">
      <alignment horizontal="center" wrapText="1" readingOrder="1"/>
      <protection hidden="1"/>
    </xf>
    <xf numFmtId="0" fontId="18" fillId="12" borderId="4" xfId="0" applyFont="1" applyFill="1" applyBorder="1" applyAlignment="1" applyProtection="1">
      <alignment horizontal="center" wrapText="1" readingOrder="1"/>
      <protection hidden="1"/>
    </xf>
    <xf numFmtId="0" fontId="18" fillId="13" borderId="5" xfId="0" applyFont="1" applyFill="1" applyBorder="1" applyAlignment="1" applyProtection="1">
      <alignment horizontal="center" wrapText="1" readingOrder="1"/>
      <protection hidden="1"/>
    </xf>
    <xf numFmtId="0" fontId="18" fillId="13" borderId="0" xfId="0" applyFont="1" applyFill="1" applyAlignment="1" applyProtection="1">
      <alignment horizontal="center" wrapText="1" readingOrder="1"/>
      <protection hidden="1"/>
    </xf>
    <xf numFmtId="0" fontId="18" fillId="13" borderId="6" xfId="0" applyFont="1" applyFill="1" applyBorder="1" applyAlignment="1" applyProtection="1">
      <alignment horizontal="center" wrapText="1" readingOrder="1"/>
      <protection hidden="1"/>
    </xf>
    <xf numFmtId="0" fontId="18" fillId="13" borderId="7" xfId="0" applyFont="1" applyFill="1" applyBorder="1" applyAlignment="1" applyProtection="1">
      <alignment horizontal="center" wrapText="1" readingOrder="1"/>
      <protection hidden="1"/>
    </xf>
    <xf numFmtId="0" fontId="18" fillId="13" borderId="9" xfId="0" applyFont="1" applyFill="1" applyBorder="1" applyAlignment="1" applyProtection="1">
      <alignment horizontal="center" wrapText="1" readingOrder="1"/>
      <protection hidden="1"/>
    </xf>
    <xf numFmtId="0" fontId="18" fillId="13" borderId="8" xfId="0" applyFont="1" applyFill="1" applyBorder="1" applyAlignment="1" applyProtection="1">
      <alignment horizontal="center" wrapText="1" readingOrder="1"/>
      <protection hidden="1"/>
    </xf>
    <xf numFmtId="0" fontId="18" fillId="13" borderId="3" xfId="0" applyFont="1" applyFill="1" applyBorder="1" applyAlignment="1" applyProtection="1">
      <alignment horizontal="center" wrapText="1" readingOrder="1"/>
      <protection hidden="1"/>
    </xf>
    <xf numFmtId="0" fontId="18" fillId="13" borderId="10" xfId="0" applyFont="1" applyFill="1" applyBorder="1" applyAlignment="1" applyProtection="1">
      <alignment horizontal="center" wrapText="1" readingOrder="1"/>
      <protection hidden="1"/>
    </xf>
    <xf numFmtId="0" fontId="18" fillId="13" borderId="4" xfId="0" applyFont="1" applyFill="1" applyBorder="1" applyAlignment="1" applyProtection="1">
      <alignment horizontal="center" wrapText="1" readingOrder="1"/>
      <protection hidden="1"/>
    </xf>
    <xf numFmtId="0" fontId="18" fillId="5" borderId="0" xfId="0" applyFont="1" applyFill="1" applyAlignment="1" applyProtection="1">
      <alignment horizontal="center" wrapText="1" readingOrder="1"/>
      <protection hidden="1"/>
    </xf>
    <xf numFmtId="0" fontId="18" fillId="5" borderId="6" xfId="0" applyFont="1" applyFill="1" applyBorder="1" applyAlignment="1" applyProtection="1">
      <alignment horizontal="center" wrapText="1" readingOrder="1"/>
      <protection hidden="1"/>
    </xf>
    <xf numFmtId="0" fontId="18" fillId="5" borderId="5" xfId="0" applyFont="1" applyFill="1" applyBorder="1" applyAlignment="1" applyProtection="1">
      <alignment horizontal="center" wrapText="1" readingOrder="1"/>
      <protection hidden="1"/>
    </xf>
    <xf numFmtId="0" fontId="18" fillId="5" borderId="7" xfId="0" applyFont="1" applyFill="1" applyBorder="1" applyAlignment="1" applyProtection="1">
      <alignment horizontal="center" wrapText="1" readingOrder="1"/>
      <protection hidden="1"/>
    </xf>
    <xf numFmtId="0" fontId="18" fillId="5" borderId="9" xfId="0" applyFont="1" applyFill="1" applyBorder="1" applyAlignment="1" applyProtection="1">
      <alignment horizontal="center" wrapText="1" readingOrder="1"/>
      <protection hidden="1"/>
    </xf>
    <xf numFmtId="0" fontId="18" fillId="5" borderId="8" xfId="0" applyFont="1" applyFill="1" applyBorder="1" applyAlignment="1" applyProtection="1">
      <alignment horizontal="center" wrapText="1" readingOrder="1"/>
      <protection hidden="1"/>
    </xf>
    <xf numFmtId="0" fontId="18" fillId="5" borderId="3" xfId="0" applyFont="1" applyFill="1" applyBorder="1" applyAlignment="1" applyProtection="1">
      <alignment horizontal="center" wrapText="1" readingOrder="1"/>
      <protection hidden="1"/>
    </xf>
    <xf numFmtId="0" fontId="18" fillId="5" borderId="10" xfId="0" applyFont="1" applyFill="1" applyBorder="1" applyAlignment="1" applyProtection="1">
      <alignment horizontal="center" wrapText="1" readingOrder="1"/>
      <protection hidden="1"/>
    </xf>
    <xf numFmtId="0" fontId="18" fillId="5" borderId="4" xfId="0" applyFont="1" applyFill="1" applyBorder="1" applyAlignment="1" applyProtection="1">
      <alignment horizontal="center" wrapText="1" readingOrder="1"/>
      <protection hidden="1"/>
    </xf>
    <xf numFmtId="0" fontId="23" fillId="0" borderId="0" xfId="0" applyFont="1" applyAlignment="1">
      <alignment horizontal="center" vertical="center" wrapText="1"/>
    </xf>
    <xf numFmtId="0" fontId="39" fillId="11" borderId="11" xfId="0" applyFont="1" applyFill="1" applyBorder="1" applyAlignment="1">
      <alignment horizontal="center" vertical="center" wrapText="1" readingOrder="1"/>
    </xf>
    <xf numFmtId="0" fontId="39" fillId="11" borderId="12" xfId="0" applyFont="1" applyFill="1" applyBorder="1" applyAlignment="1">
      <alignment horizontal="center" vertical="center" wrapText="1" readingOrder="1"/>
    </xf>
    <xf numFmtId="0" fontId="39" fillId="11" borderId="13" xfId="0" applyFont="1" applyFill="1" applyBorder="1" applyAlignment="1">
      <alignment horizontal="center" vertical="center" wrapText="1" readingOrder="1"/>
    </xf>
    <xf numFmtId="0" fontId="39" fillId="11" borderId="14" xfId="0" applyFont="1" applyFill="1" applyBorder="1" applyAlignment="1">
      <alignment horizontal="center" vertical="center" wrapText="1" readingOrder="1"/>
    </xf>
    <xf numFmtId="0" fontId="39" fillId="11" borderId="0" xfId="0" applyFont="1" applyFill="1" applyAlignment="1">
      <alignment horizontal="center" vertical="center" wrapText="1" readingOrder="1"/>
    </xf>
    <xf numFmtId="0" fontId="39" fillId="11" borderId="15" xfId="0" applyFont="1" applyFill="1" applyBorder="1" applyAlignment="1">
      <alignment horizontal="center" vertical="center" wrapText="1" readingOrder="1"/>
    </xf>
    <xf numFmtId="0" fontId="39" fillId="11" borderId="16" xfId="0" applyFont="1" applyFill="1" applyBorder="1" applyAlignment="1">
      <alignment horizontal="center" vertical="center" wrapText="1" readingOrder="1"/>
    </xf>
    <xf numFmtId="0" fontId="39" fillId="11" borderId="17" xfId="0" applyFont="1" applyFill="1" applyBorder="1" applyAlignment="1">
      <alignment horizontal="center" vertical="center" wrapText="1" readingOrder="1"/>
    </xf>
    <xf numFmtId="0" fontId="39" fillId="11" borderId="18" xfId="0" applyFont="1" applyFill="1" applyBorder="1" applyAlignment="1">
      <alignment horizontal="center" vertical="center" wrapText="1" readingOrder="1"/>
    </xf>
    <xf numFmtId="0" fontId="40" fillId="0" borderId="3" xfId="0" applyFont="1" applyBorder="1" applyAlignment="1">
      <alignment horizontal="center" vertical="center" wrapText="1"/>
    </xf>
    <xf numFmtId="0" fontId="40" fillId="0" borderId="10" xfId="0" applyFont="1" applyBorder="1" applyAlignment="1">
      <alignment horizontal="center" vertical="center"/>
    </xf>
    <xf numFmtId="0" fontId="40" fillId="0" borderId="5" xfId="0" applyFont="1" applyBorder="1" applyAlignment="1">
      <alignment horizontal="center" vertical="center" wrapText="1"/>
    </xf>
    <xf numFmtId="0" fontId="40" fillId="0" borderId="0" xfId="0" applyFont="1" applyAlignment="1">
      <alignment horizontal="center" vertical="center"/>
    </xf>
    <xf numFmtId="0" fontId="40" fillId="0" borderId="5" xfId="0" applyFont="1" applyBorder="1" applyAlignment="1">
      <alignment horizontal="center" vertical="center"/>
    </xf>
    <xf numFmtId="0" fontId="40" fillId="0" borderId="7" xfId="0" applyFont="1" applyBorder="1" applyAlignment="1">
      <alignment horizontal="center" vertical="center"/>
    </xf>
    <xf numFmtId="0" fontId="40" fillId="0" borderId="9" xfId="0" applyFont="1" applyBorder="1" applyAlignment="1">
      <alignment horizontal="center" vertical="center"/>
    </xf>
    <xf numFmtId="0" fontId="39" fillId="12" borderId="11" xfId="0" applyFont="1" applyFill="1" applyBorder="1" applyAlignment="1">
      <alignment horizontal="center" vertical="center" wrapText="1" readingOrder="1"/>
    </xf>
    <xf numFmtId="0" fontId="39" fillId="12" borderId="12" xfId="0" applyFont="1" applyFill="1" applyBorder="1" applyAlignment="1">
      <alignment horizontal="center" vertical="center" wrapText="1" readingOrder="1"/>
    </xf>
    <xf numFmtId="0" fontId="39" fillId="12" borderId="13" xfId="0" applyFont="1" applyFill="1" applyBorder="1" applyAlignment="1">
      <alignment horizontal="center" vertical="center" wrapText="1" readingOrder="1"/>
    </xf>
    <xf numFmtId="0" fontId="39" fillId="12" borderId="14" xfId="0" applyFont="1" applyFill="1" applyBorder="1" applyAlignment="1">
      <alignment horizontal="center" vertical="center" wrapText="1" readingOrder="1"/>
    </xf>
    <xf numFmtId="0" fontId="39" fillId="12" borderId="0" xfId="0" applyFont="1" applyFill="1" applyAlignment="1">
      <alignment horizontal="center" vertical="center" wrapText="1" readingOrder="1"/>
    </xf>
    <xf numFmtId="0" fontId="39" fillId="12" borderId="15" xfId="0" applyFont="1" applyFill="1" applyBorder="1" applyAlignment="1">
      <alignment horizontal="center" vertical="center" wrapText="1" readingOrder="1"/>
    </xf>
    <xf numFmtId="0" fontId="39" fillId="12" borderId="16" xfId="0" applyFont="1" applyFill="1" applyBorder="1" applyAlignment="1">
      <alignment horizontal="center" vertical="center" wrapText="1" readingOrder="1"/>
    </xf>
    <xf numFmtId="0" fontId="39" fillId="12" borderId="17" xfId="0" applyFont="1" applyFill="1" applyBorder="1" applyAlignment="1">
      <alignment horizontal="center" vertical="center" wrapText="1" readingOrder="1"/>
    </xf>
    <xf numFmtId="0" fontId="39" fillId="12" borderId="18" xfId="0" applyFont="1" applyFill="1" applyBorder="1" applyAlignment="1">
      <alignment horizontal="center" vertical="center" wrapText="1" readingOrder="1"/>
    </xf>
    <xf numFmtId="0" fontId="38" fillId="0" borderId="0" xfId="0" applyFont="1" applyAlignment="1">
      <alignment horizontal="center" vertical="center" wrapText="1"/>
    </xf>
    <xf numFmtId="0" fontId="20" fillId="0" borderId="0" xfId="0" applyFont="1" applyAlignment="1">
      <alignment horizontal="center" vertical="center" wrapText="1"/>
    </xf>
    <xf numFmtId="0" fontId="40" fillId="0" borderId="4" xfId="0" applyFont="1" applyBorder="1" applyAlignment="1">
      <alignment horizontal="center" vertical="center"/>
    </xf>
    <xf numFmtId="0" fontId="40" fillId="0" borderId="6" xfId="0" applyFont="1" applyBorder="1" applyAlignment="1">
      <alignment horizontal="center" vertical="center"/>
    </xf>
    <xf numFmtId="0" fontId="40" fillId="0" borderId="8" xfId="0" applyFont="1" applyBorder="1" applyAlignment="1">
      <alignment horizontal="center" vertical="center"/>
    </xf>
    <xf numFmtId="0" fontId="39" fillId="5" borderId="11" xfId="0" applyFont="1" applyFill="1" applyBorder="1" applyAlignment="1">
      <alignment horizontal="center" vertical="center" wrapText="1" readingOrder="1"/>
    </xf>
    <xf numFmtId="0" fontId="39" fillId="5" borderId="12" xfId="0" applyFont="1" applyFill="1" applyBorder="1" applyAlignment="1">
      <alignment horizontal="center" vertical="center" wrapText="1" readingOrder="1"/>
    </xf>
    <xf numFmtId="0" fontId="39" fillId="5" borderId="13" xfId="0" applyFont="1" applyFill="1" applyBorder="1" applyAlignment="1">
      <alignment horizontal="center" vertical="center" wrapText="1" readingOrder="1"/>
    </xf>
    <xf numFmtId="0" fontId="39" fillId="5" borderId="14" xfId="0" applyFont="1" applyFill="1" applyBorder="1" applyAlignment="1">
      <alignment horizontal="center" vertical="center" wrapText="1" readingOrder="1"/>
    </xf>
    <xf numFmtId="0" fontId="39" fillId="5" borderId="0" xfId="0" applyFont="1" applyFill="1" applyAlignment="1">
      <alignment horizontal="center" vertical="center" wrapText="1" readingOrder="1"/>
    </xf>
    <xf numFmtId="0" fontId="39" fillId="5" borderId="15" xfId="0" applyFont="1" applyFill="1" applyBorder="1" applyAlignment="1">
      <alignment horizontal="center" vertical="center" wrapText="1" readingOrder="1"/>
    </xf>
    <xf numFmtId="0" fontId="39" fillId="5" borderId="16" xfId="0" applyFont="1" applyFill="1" applyBorder="1" applyAlignment="1">
      <alignment horizontal="center" vertical="center" wrapText="1" readingOrder="1"/>
    </xf>
    <xf numFmtId="0" fontId="39" fillId="5" borderId="17" xfId="0" applyFont="1" applyFill="1" applyBorder="1" applyAlignment="1">
      <alignment horizontal="center" vertical="center" wrapText="1" readingOrder="1"/>
    </xf>
    <xf numFmtId="0" fontId="39" fillId="5" borderId="18" xfId="0" applyFont="1" applyFill="1" applyBorder="1" applyAlignment="1">
      <alignment horizontal="center" vertical="center" wrapText="1" readingOrder="1"/>
    </xf>
    <xf numFmtId="0" fontId="39" fillId="13" borderId="11" xfId="0" applyFont="1" applyFill="1" applyBorder="1" applyAlignment="1">
      <alignment horizontal="center" vertical="center" wrapText="1" readingOrder="1"/>
    </xf>
    <xf numFmtId="0" fontId="39" fillId="13" borderId="12" xfId="0" applyFont="1" applyFill="1" applyBorder="1" applyAlignment="1">
      <alignment horizontal="center" vertical="center" wrapText="1" readingOrder="1"/>
    </xf>
    <xf numFmtId="0" fontId="39" fillId="13" borderId="13" xfId="0" applyFont="1" applyFill="1" applyBorder="1" applyAlignment="1">
      <alignment horizontal="center" vertical="center" wrapText="1" readingOrder="1"/>
    </xf>
    <xf numFmtId="0" fontId="39" fillId="13" borderId="14" xfId="0" applyFont="1" applyFill="1" applyBorder="1" applyAlignment="1">
      <alignment horizontal="center" vertical="center" wrapText="1" readingOrder="1"/>
    </xf>
    <xf numFmtId="0" fontId="39" fillId="13" borderId="0" xfId="0" applyFont="1" applyFill="1" applyAlignment="1">
      <alignment horizontal="center" vertical="center" wrapText="1" readingOrder="1"/>
    </xf>
    <xf numFmtId="0" fontId="39" fillId="13" borderId="15" xfId="0" applyFont="1" applyFill="1" applyBorder="1" applyAlignment="1">
      <alignment horizontal="center" vertical="center" wrapText="1" readingOrder="1"/>
    </xf>
    <xf numFmtId="0" fontId="39" fillId="13" borderId="16" xfId="0" applyFont="1" applyFill="1" applyBorder="1" applyAlignment="1">
      <alignment horizontal="center" vertical="center" wrapText="1" readingOrder="1"/>
    </xf>
    <xf numFmtId="0" fontId="39" fillId="13" borderId="17" xfId="0" applyFont="1" applyFill="1" applyBorder="1" applyAlignment="1">
      <alignment horizontal="center" vertical="center" wrapText="1" readingOrder="1"/>
    </xf>
    <xf numFmtId="0" fontId="39" fillId="13" borderId="18" xfId="0" applyFont="1" applyFill="1" applyBorder="1" applyAlignment="1">
      <alignment horizontal="center" vertical="center" wrapText="1" readingOrder="1"/>
    </xf>
    <xf numFmtId="0" fontId="40" fillId="0" borderId="10" xfId="0" applyFont="1" applyBorder="1" applyAlignment="1">
      <alignment horizontal="center" vertical="center" wrapText="1"/>
    </xf>
    <xf numFmtId="0" fontId="22" fillId="0" borderId="0" xfId="0" applyFont="1" applyAlignment="1">
      <alignment horizontal="center" vertical="center"/>
    </xf>
    <xf numFmtId="0" fontId="42" fillId="0" borderId="0" xfId="0" applyFont="1" applyAlignment="1">
      <alignment horizontal="center" vertical="center"/>
    </xf>
    <xf numFmtId="0" fontId="37" fillId="15" borderId="21" xfId="0" applyFont="1" applyFill="1" applyBorder="1" applyAlignment="1">
      <alignment horizontal="center" vertical="center" wrapText="1" readingOrder="1"/>
    </xf>
    <xf numFmtId="0" fontId="37" fillId="15" borderId="22" xfId="0" applyFont="1" applyFill="1" applyBorder="1" applyAlignment="1">
      <alignment horizontal="center" vertical="center" wrapText="1" readingOrder="1"/>
    </xf>
    <xf numFmtId="0" fontId="37" fillId="15" borderId="33" xfId="0" applyFont="1" applyFill="1" applyBorder="1" applyAlignment="1">
      <alignment horizontal="center" vertical="center" wrapText="1" readingOrder="1"/>
    </xf>
    <xf numFmtId="0" fontId="32" fillId="3" borderId="0" xfId="0" applyFont="1" applyFill="1" applyAlignment="1">
      <alignment horizontal="justify" vertical="center" wrapText="1"/>
    </xf>
    <xf numFmtId="0" fontId="34" fillId="15" borderId="30" xfId="0" applyFont="1" applyFill="1" applyBorder="1" applyAlignment="1">
      <alignment horizontal="center" vertical="center" wrapText="1" readingOrder="1"/>
    </xf>
    <xf numFmtId="0" fontId="34" fillId="15" borderId="31" xfId="0" applyFont="1" applyFill="1" applyBorder="1" applyAlignment="1">
      <alignment horizontal="center" vertical="center" wrapText="1" readingOrder="1"/>
    </xf>
    <xf numFmtId="0" fontId="34" fillId="3" borderId="28" xfId="0" applyFont="1" applyFill="1" applyBorder="1" applyAlignment="1">
      <alignment horizontal="center" vertical="center" wrapText="1" readingOrder="1"/>
    </xf>
    <xf numFmtId="0" fontId="34" fillId="3" borderId="23" xfId="0" applyFont="1" applyFill="1" applyBorder="1" applyAlignment="1">
      <alignment horizontal="center" vertical="center" wrapText="1" readingOrder="1"/>
    </xf>
    <xf numFmtId="0" fontId="34" fillId="3" borderId="20" xfId="0" applyFont="1" applyFill="1" applyBorder="1" applyAlignment="1">
      <alignment horizontal="center" vertical="center" wrapText="1" readingOrder="1"/>
    </xf>
    <xf numFmtId="0" fontId="34" fillId="3" borderId="19" xfId="0" applyFont="1" applyFill="1" applyBorder="1" applyAlignment="1">
      <alignment horizontal="center" vertical="center" wrapText="1" readingOrder="1"/>
    </xf>
    <xf numFmtId="0" fontId="34" fillId="3" borderId="25" xfId="0" applyFont="1" applyFill="1" applyBorder="1" applyAlignment="1">
      <alignment horizontal="center" vertical="center" wrapText="1" readingOrder="1"/>
    </xf>
    <xf numFmtId="0" fontId="34" fillId="3" borderId="26" xfId="0" applyFont="1" applyFill="1" applyBorder="1" applyAlignment="1">
      <alignment horizontal="center" vertical="center" wrapText="1" readingOrder="1"/>
    </xf>
  </cellXfs>
  <cellStyles count="5">
    <cellStyle name="Normal" xfId="0" builtinId="0"/>
    <cellStyle name="Normal - Style1 2" xfId="2" xr:uid="{00000000-0005-0000-0000-000001000000}"/>
    <cellStyle name="Normal 2" xfId="4" xr:uid="{00000000-0005-0000-0000-000002000000}"/>
    <cellStyle name="Normal 2 2" xfId="3" xr:uid="{00000000-0005-0000-0000-000003000000}"/>
    <cellStyle name="Porcentaje" xfId="1" builtinId="5"/>
  </cellStyles>
  <dxfs count="55">
    <dxf>
      <fill>
        <patternFill>
          <bgColor rgb="FFC00000"/>
        </patternFill>
      </fill>
    </dxf>
    <dxf>
      <fill>
        <patternFill>
          <bgColor rgb="FFFFFF00"/>
        </patternFill>
      </fill>
    </dxf>
    <dxf>
      <fill>
        <patternFill>
          <bgColor rgb="FF92D050"/>
        </patternFill>
      </fill>
    </dxf>
    <dxf>
      <fill>
        <patternFill>
          <bgColor theme="9" tint="-0.24994659260841701"/>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FFFF66"/>
        </patternFill>
      </fill>
    </dxf>
    <dxf>
      <font>
        <color auto="1"/>
      </font>
      <fill>
        <patternFill>
          <bgColor rgb="FF92D050"/>
        </patternFill>
      </fill>
    </dxf>
    <dxf>
      <font>
        <color auto="1"/>
      </font>
      <fill>
        <patternFill>
          <bgColor rgb="FF92D050"/>
        </patternFill>
      </fill>
    </dxf>
    <dxf>
      <fill>
        <patternFill>
          <bgColor rgb="FFFFC000"/>
        </patternFill>
      </fill>
    </dxf>
    <dxf>
      <fill>
        <patternFill>
          <bgColor rgb="FFFF0000"/>
        </patternFill>
      </fill>
    </dxf>
    <dxf>
      <fill>
        <patternFill>
          <bgColor rgb="FFFFFF66"/>
        </patternFill>
      </fill>
    </dxf>
    <dxf>
      <fill>
        <patternFill>
          <bgColor rgb="FF00B050"/>
        </patternFill>
      </fill>
    </dxf>
    <dxf>
      <fill>
        <patternFill>
          <bgColor rgb="FFFF0000"/>
        </patternFill>
      </fill>
    </dxf>
    <dxf>
      <fill>
        <patternFill>
          <bgColor rgb="FFFFC000"/>
        </patternFill>
      </fill>
    </dxf>
    <dxf>
      <fill>
        <patternFill>
          <bgColor rgb="FFFFFF66"/>
        </patternFill>
      </fill>
    </dxf>
    <dxf>
      <fill>
        <patternFill>
          <bgColor rgb="FF00B050"/>
        </patternFill>
      </fill>
    </dxf>
    <dxf>
      <font>
        <color auto="1"/>
      </font>
      <fill>
        <patternFill>
          <bgColor rgb="FF92D050"/>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FFFF66"/>
        </patternFill>
      </fill>
    </dxf>
    <dxf>
      <font>
        <color auto="1"/>
      </font>
      <fill>
        <patternFill>
          <bgColor rgb="FF92D050"/>
        </patternFill>
      </fill>
    </dxf>
    <dxf>
      <font>
        <color rgb="FF9C0006"/>
      </font>
      <fill>
        <patternFill>
          <bgColor rgb="FFFFC7CE"/>
        </patternFill>
      </fill>
    </dxf>
    <dxf>
      <fill>
        <patternFill>
          <bgColor rgb="FFFF0000"/>
        </patternFill>
      </fill>
    </dxf>
    <dxf>
      <fill>
        <patternFill>
          <bgColor rgb="FFFFC000"/>
        </patternFill>
      </fill>
    </dxf>
    <dxf>
      <fill>
        <patternFill>
          <bgColor rgb="FF00B050"/>
        </patternFill>
      </fill>
    </dxf>
    <dxf>
      <fill>
        <patternFill>
          <bgColor rgb="FFFFFF66"/>
        </patternFill>
      </fill>
    </dxf>
    <dxf>
      <font>
        <color auto="1"/>
      </font>
      <fill>
        <patternFill>
          <bgColor rgb="FF92D050"/>
        </patternFill>
      </fill>
    </dxf>
    <dxf>
      <font>
        <color auto="1"/>
      </font>
      <fill>
        <patternFill>
          <bgColor rgb="FF92D050"/>
        </patternFill>
      </fill>
    </dxf>
    <dxf>
      <fill>
        <patternFill>
          <bgColor rgb="FFFF0000"/>
        </patternFill>
      </fill>
    </dxf>
    <dxf>
      <fill>
        <patternFill>
          <bgColor rgb="FFFFC000"/>
        </patternFill>
      </fill>
    </dxf>
    <dxf>
      <fill>
        <patternFill>
          <bgColor rgb="FFFFFF66"/>
        </patternFill>
      </fill>
    </dxf>
    <dxf>
      <fill>
        <patternFill>
          <bgColor rgb="FF00B050"/>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s>
  <tableStyles count="0" defaultTableStyle="TableStyleMedium2" defaultPivotStyle="PivotStyleLight16"/>
  <colors>
    <mruColors>
      <color rgb="FFFFFF66"/>
      <color rgb="FFFFCC00"/>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34816</xdr:colOff>
      <xdr:row>0</xdr:row>
      <xdr:rowOff>133037</xdr:rowOff>
    </xdr:from>
    <xdr:to>
      <xdr:col>2</xdr:col>
      <xdr:colOff>938126</xdr:colOff>
      <xdr:row>3</xdr:row>
      <xdr:rowOff>167400</xdr:rowOff>
    </xdr:to>
    <xdr:pic>
      <xdr:nvPicPr>
        <xdr:cNvPr id="4" name="Imagen 3">
          <a:extLst>
            <a:ext uri="{FF2B5EF4-FFF2-40B4-BE49-F238E27FC236}">
              <a16:creationId xmlns:a16="http://schemas.microsoft.com/office/drawing/2014/main" id="{C3510D6C-DCD7-97C8-9100-57B049CE039B}"/>
            </a:ext>
          </a:extLst>
        </xdr:cNvPr>
        <xdr:cNvPicPr>
          <a:picLocks noChangeAspect="1"/>
        </xdr:cNvPicPr>
      </xdr:nvPicPr>
      <xdr:blipFill>
        <a:blip xmlns:r="http://schemas.openxmlformats.org/officeDocument/2006/relationships" r:embed="rId1"/>
        <a:stretch>
          <a:fillRect/>
        </a:stretch>
      </xdr:blipFill>
      <xdr:spPr>
        <a:xfrm>
          <a:off x="303126" y="133037"/>
          <a:ext cx="1842394" cy="67830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92.168.40.150\compartida\SGC%20CONCEJO%20CHIA%202025\6.%20Riesgos\Riesgo%20Gesti&#243;n%20Contractual\MATRIZ%20MAPA%20DE%20RIESGOS%20-%20GESTION%20CONTRACTUAL%202024.xlsx" TargetMode="External"/><Relationship Id="rId1" Type="http://schemas.openxmlformats.org/officeDocument/2006/relationships/externalLinkPath" Target="MATRIZ%20MAPA%20DE%20RIESGOS%20-%20GESTION%20CONTRACTUAL%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uctivo"/>
      <sheetName val="Mapa final"/>
      <sheetName val="Matriz Calor Inherente"/>
      <sheetName val="Matriz Calor Residual"/>
      <sheetName val="Tabla probabilidad"/>
      <sheetName val="Tabla Impacto"/>
      <sheetName val="Tabla Valoración controles"/>
      <sheetName val="Opciones Tratamiento"/>
      <sheetName val="Hoja1"/>
    </sheetNames>
    <sheetDataSet>
      <sheetData sheetId="0"/>
      <sheetData sheetId="1"/>
      <sheetData sheetId="2"/>
      <sheetData sheetId="3"/>
      <sheetData sheetId="4"/>
      <sheetData sheetId="5">
        <row r="11">
          <cell r="C11" t="str">
            <v xml:space="preserve">     Afectación menor a 10 SMLMV .</v>
          </cell>
          <cell r="D11" t="str">
            <v xml:space="preserve">     El riesgo afecta la imagen de alguna área de la organización</v>
          </cell>
        </row>
        <row r="12">
          <cell r="C12" t="str">
            <v xml:space="preserve">     Entre 10 y 50 SMLMV </v>
          </cell>
          <cell r="D12" t="str">
            <v xml:space="preserve">     El riesgo afecta la imagen de la entidad internamente, de conocimiento general, nivel interno, de junta dircetiva y accionistas y/o de provedores</v>
          </cell>
        </row>
        <row r="13">
          <cell r="C13" t="str">
            <v xml:space="preserve">     Entre 50 y 100 SMLMV </v>
          </cell>
          <cell r="D13" t="str">
            <v xml:space="preserve">     El riesgo afecta la imagen de la entidad con algunos usuarios de relevancia frente al logro de los objetivos</v>
          </cell>
        </row>
        <row r="14">
          <cell r="C14" t="str">
            <v xml:space="preserve">     Entre 100 y 500 SMLMV </v>
          </cell>
          <cell r="D14" t="str">
            <v xml:space="preserve">     El riesgo afecta la imagen de de la entidad con efecto publicitario sostenido a nivel de sector administrativo, nivel departamental o municipal</v>
          </cell>
        </row>
        <row r="15">
          <cell r="C15" t="str">
            <v xml:space="preserve">     Mayor a 500 SMLMV </v>
          </cell>
          <cell r="D15" t="str">
            <v xml:space="preserve">     El riesgo afecta la imagen de la entidad a nivel nacional, con efecto publicitarios sostenible a nivel país</v>
          </cell>
        </row>
      </sheetData>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s Marin" refreshedDate="44186.276661689815" createdVersion="6" refreshedVersion="6" minRefreshableVersion="3" recordCount="10" xr:uid="{00000000-000A-0000-FFFF-FFFF01000000}">
  <cacheSource type="worksheet">
    <worksheetSource name="Tabla1"/>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aDinámica1" cacheId="0"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209:C219" totalsRowShown="0" headerRowDxfId="54" dataDxfId="53">
  <autoFilter ref="B209:C219" xr:uid="{00000000-0009-0000-0100-000001000000}"/>
  <tableColumns count="2">
    <tableColumn id="1" xr3:uid="{00000000-0010-0000-0000-000001000000}" name="Criterios" dataDxfId="52"/>
    <tableColumn id="2" xr3:uid="{00000000-0010-0000-0000-000002000000}" name="Subcriterios" dataDxfId="51"/>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45"/>
  <sheetViews>
    <sheetView topLeftCell="A20" zoomScale="110" zoomScaleNormal="110" workbookViewId="0">
      <selection activeCell="B4" sqref="B4:H5"/>
    </sheetView>
  </sheetViews>
  <sheetFormatPr baseColWidth="10" defaultColWidth="11.42578125" defaultRowHeight="15" x14ac:dyDescent="0.25"/>
  <cols>
    <col min="1" max="1" width="2.85546875" style="69" customWidth="1" collapsed="1"/>
    <col min="2" max="3" width="24.7109375" style="69" customWidth="1" collapsed="1"/>
    <col min="4" max="4" width="16" style="69" customWidth="1" collapsed="1"/>
    <col min="5" max="5" width="24.7109375" style="69" customWidth="1" collapsed="1"/>
    <col min="6" max="6" width="27.7109375" style="69" customWidth="1" collapsed="1"/>
    <col min="7" max="8" width="24.7109375" style="69" customWidth="1" collapsed="1"/>
    <col min="9" max="16384" width="11.42578125" style="69" collapsed="1"/>
  </cols>
  <sheetData>
    <row r="1" spans="2:8" ht="15.75" thickBot="1" x14ac:dyDescent="0.3"/>
    <row r="2" spans="2:8" ht="18" x14ac:dyDescent="0.25">
      <c r="B2" s="184" t="s">
        <v>162</v>
      </c>
      <c r="C2" s="185"/>
      <c r="D2" s="185"/>
      <c r="E2" s="185"/>
      <c r="F2" s="185"/>
      <c r="G2" s="185"/>
      <c r="H2" s="186"/>
    </row>
    <row r="3" spans="2:8" x14ac:dyDescent="0.25">
      <c r="B3" s="70"/>
      <c r="C3" s="71"/>
      <c r="D3" s="71"/>
      <c r="E3" s="71"/>
      <c r="F3" s="71"/>
      <c r="G3" s="71"/>
      <c r="H3" s="72"/>
    </row>
    <row r="4" spans="2:8" ht="63" customHeight="1" x14ac:dyDescent="0.25">
      <c r="B4" s="187" t="s">
        <v>205</v>
      </c>
      <c r="C4" s="188"/>
      <c r="D4" s="188"/>
      <c r="E4" s="188"/>
      <c r="F4" s="188"/>
      <c r="G4" s="188"/>
      <c r="H4" s="189"/>
    </row>
    <row r="5" spans="2:8" ht="63" customHeight="1" x14ac:dyDescent="0.25">
      <c r="B5" s="190"/>
      <c r="C5" s="191"/>
      <c r="D5" s="191"/>
      <c r="E5" s="191"/>
      <c r="F5" s="191"/>
      <c r="G5" s="191"/>
      <c r="H5" s="192"/>
    </row>
    <row r="6" spans="2:8" ht="16.5" x14ac:dyDescent="0.25">
      <c r="B6" s="193" t="s">
        <v>160</v>
      </c>
      <c r="C6" s="194"/>
      <c r="D6" s="194"/>
      <c r="E6" s="194"/>
      <c r="F6" s="194"/>
      <c r="G6" s="194"/>
      <c r="H6" s="195"/>
    </row>
    <row r="7" spans="2:8" ht="95.25" customHeight="1" x14ac:dyDescent="0.25">
      <c r="B7" s="203" t="s">
        <v>165</v>
      </c>
      <c r="C7" s="204"/>
      <c r="D7" s="204"/>
      <c r="E7" s="204"/>
      <c r="F7" s="204"/>
      <c r="G7" s="204"/>
      <c r="H7" s="205"/>
    </row>
    <row r="8" spans="2:8" ht="16.5" x14ac:dyDescent="0.25">
      <c r="B8" s="106"/>
      <c r="C8" s="107"/>
      <c r="D8" s="107"/>
      <c r="E8" s="107"/>
      <c r="F8" s="107"/>
      <c r="G8" s="107"/>
      <c r="H8" s="108"/>
    </row>
    <row r="9" spans="2:8" ht="16.5" customHeight="1" x14ac:dyDescent="0.25">
      <c r="B9" s="196" t="s">
        <v>198</v>
      </c>
      <c r="C9" s="197"/>
      <c r="D9" s="197"/>
      <c r="E9" s="197"/>
      <c r="F9" s="197"/>
      <c r="G9" s="197"/>
      <c r="H9" s="198"/>
    </row>
    <row r="10" spans="2:8" ht="44.25" customHeight="1" x14ac:dyDescent="0.25">
      <c r="B10" s="196"/>
      <c r="C10" s="197"/>
      <c r="D10" s="197"/>
      <c r="E10" s="197"/>
      <c r="F10" s="197"/>
      <c r="G10" s="197"/>
      <c r="H10" s="198"/>
    </row>
    <row r="11" spans="2:8" ht="15.75" thickBot="1" x14ac:dyDescent="0.3">
      <c r="B11" s="95"/>
      <c r="C11" s="98"/>
      <c r="D11" s="103"/>
      <c r="E11" s="104"/>
      <c r="F11" s="104"/>
      <c r="G11" s="105"/>
      <c r="H11" s="99"/>
    </row>
    <row r="12" spans="2:8" ht="15.75" thickTop="1" x14ac:dyDescent="0.25">
      <c r="B12" s="95"/>
      <c r="C12" s="199" t="s">
        <v>161</v>
      </c>
      <c r="D12" s="200"/>
      <c r="E12" s="201" t="s">
        <v>199</v>
      </c>
      <c r="F12" s="202"/>
      <c r="G12" s="98"/>
      <c r="H12" s="99"/>
    </row>
    <row r="13" spans="2:8" ht="35.25" customHeight="1" x14ac:dyDescent="0.25">
      <c r="B13" s="95"/>
      <c r="C13" s="171" t="s">
        <v>192</v>
      </c>
      <c r="D13" s="172"/>
      <c r="E13" s="173" t="s">
        <v>197</v>
      </c>
      <c r="F13" s="174"/>
      <c r="G13" s="98"/>
      <c r="H13" s="99"/>
    </row>
    <row r="14" spans="2:8" ht="17.25" customHeight="1" x14ac:dyDescent="0.25">
      <c r="B14" s="95"/>
      <c r="C14" s="171" t="s">
        <v>193</v>
      </c>
      <c r="D14" s="172"/>
      <c r="E14" s="173" t="s">
        <v>195</v>
      </c>
      <c r="F14" s="174"/>
      <c r="G14" s="98"/>
      <c r="H14" s="99"/>
    </row>
    <row r="15" spans="2:8" ht="19.5" customHeight="1" x14ac:dyDescent="0.25">
      <c r="B15" s="95"/>
      <c r="C15" s="171" t="s">
        <v>194</v>
      </c>
      <c r="D15" s="172"/>
      <c r="E15" s="173" t="s">
        <v>196</v>
      </c>
      <c r="F15" s="174"/>
      <c r="G15" s="98"/>
      <c r="H15" s="99"/>
    </row>
    <row r="16" spans="2:8" ht="69.75" customHeight="1" x14ac:dyDescent="0.25">
      <c r="B16" s="95"/>
      <c r="C16" s="171" t="s">
        <v>163</v>
      </c>
      <c r="D16" s="172"/>
      <c r="E16" s="173" t="s">
        <v>164</v>
      </c>
      <c r="F16" s="174"/>
      <c r="G16" s="98"/>
      <c r="H16" s="99"/>
    </row>
    <row r="17" spans="2:8" ht="34.5" customHeight="1" x14ac:dyDescent="0.25">
      <c r="B17" s="95"/>
      <c r="C17" s="175" t="s">
        <v>2</v>
      </c>
      <c r="D17" s="176"/>
      <c r="E17" s="167" t="s">
        <v>206</v>
      </c>
      <c r="F17" s="168"/>
      <c r="G17" s="98"/>
      <c r="H17" s="99"/>
    </row>
    <row r="18" spans="2:8" ht="27.75" customHeight="1" x14ac:dyDescent="0.25">
      <c r="B18" s="95"/>
      <c r="C18" s="175" t="s">
        <v>3</v>
      </c>
      <c r="D18" s="176"/>
      <c r="E18" s="167" t="s">
        <v>207</v>
      </c>
      <c r="F18" s="168"/>
      <c r="G18" s="98"/>
      <c r="H18" s="99"/>
    </row>
    <row r="19" spans="2:8" ht="28.5" customHeight="1" x14ac:dyDescent="0.25">
      <c r="B19" s="95"/>
      <c r="C19" s="175" t="s">
        <v>40</v>
      </c>
      <c r="D19" s="176"/>
      <c r="E19" s="167" t="s">
        <v>208</v>
      </c>
      <c r="F19" s="168"/>
      <c r="G19" s="98"/>
      <c r="H19" s="99"/>
    </row>
    <row r="20" spans="2:8" ht="72.75" customHeight="1" x14ac:dyDescent="0.25">
      <c r="B20" s="95"/>
      <c r="C20" s="175" t="s">
        <v>1</v>
      </c>
      <c r="D20" s="176"/>
      <c r="E20" s="167" t="s">
        <v>209</v>
      </c>
      <c r="F20" s="168"/>
      <c r="G20" s="98"/>
      <c r="H20" s="99"/>
    </row>
    <row r="21" spans="2:8" ht="64.5" customHeight="1" x14ac:dyDescent="0.25">
      <c r="B21" s="95"/>
      <c r="C21" s="175" t="s">
        <v>48</v>
      </c>
      <c r="D21" s="176"/>
      <c r="E21" s="167" t="s">
        <v>167</v>
      </c>
      <c r="F21" s="168"/>
      <c r="G21" s="98"/>
      <c r="H21" s="99"/>
    </row>
    <row r="22" spans="2:8" ht="71.25" customHeight="1" x14ac:dyDescent="0.25">
      <c r="B22" s="95"/>
      <c r="C22" s="175" t="s">
        <v>166</v>
      </c>
      <c r="D22" s="176"/>
      <c r="E22" s="167" t="s">
        <v>168</v>
      </c>
      <c r="F22" s="168"/>
      <c r="G22" s="98"/>
      <c r="H22" s="99"/>
    </row>
    <row r="23" spans="2:8" ht="55.5" customHeight="1" x14ac:dyDescent="0.25">
      <c r="B23" s="95"/>
      <c r="C23" s="169" t="s">
        <v>169</v>
      </c>
      <c r="D23" s="170"/>
      <c r="E23" s="167" t="s">
        <v>170</v>
      </c>
      <c r="F23" s="168"/>
      <c r="G23" s="98"/>
      <c r="H23" s="99"/>
    </row>
    <row r="24" spans="2:8" ht="42" customHeight="1" x14ac:dyDescent="0.25">
      <c r="B24" s="95"/>
      <c r="C24" s="169" t="s">
        <v>46</v>
      </c>
      <c r="D24" s="170"/>
      <c r="E24" s="167" t="s">
        <v>171</v>
      </c>
      <c r="F24" s="168"/>
      <c r="G24" s="98"/>
      <c r="H24" s="99"/>
    </row>
    <row r="25" spans="2:8" ht="59.25" customHeight="1" x14ac:dyDescent="0.25">
      <c r="B25" s="95"/>
      <c r="C25" s="169" t="s">
        <v>159</v>
      </c>
      <c r="D25" s="170"/>
      <c r="E25" s="167" t="s">
        <v>172</v>
      </c>
      <c r="F25" s="168"/>
      <c r="G25" s="98"/>
      <c r="H25" s="99"/>
    </row>
    <row r="26" spans="2:8" ht="23.25" customHeight="1" x14ac:dyDescent="0.25">
      <c r="B26" s="95"/>
      <c r="C26" s="169" t="s">
        <v>12</v>
      </c>
      <c r="D26" s="170"/>
      <c r="E26" s="167" t="s">
        <v>173</v>
      </c>
      <c r="F26" s="168"/>
      <c r="G26" s="98"/>
      <c r="H26" s="99"/>
    </row>
    <row r="27" spans="2:8" ht="30.75" customHeight="1" x14ac:dyDescent="0.25">
      <c r="B27" s="95"/>
      <c r="C27" s="169" t="s">
        <v>177</v>
      </c>
      <c r="D27" s="170"/>
      <c r="E27" s="167" t="s">
        <v>174</v>
      </c>
      <c r="F27" s="168"/>
      <c r="G27" s="98"/>
      <c r="H27" s="99"/>
    </row>
    <row r="28" spans="2:8" ht="35.25" customHeight="1" x14ac:dyDescent="0.25">
      <c r="B28" s="95"/>
      <c r="C28" s="169" t="s">
        <v>178</v>
      </c>
      <c r="D28" s="170"/>
      <c r="E28" s="167" t="s">
        <v>175</v>
      </c>
      <c r="F28" s="168"/>
      <c r="G28" s="98"/>
      <c r="H28" s="99"/>
    </row>
    <row r="29" spans="2:8" ht="33" customHeight="1" x14ac:dyDescent="0.25">
      <c r="B29" s="95"/>
      <c r="C29" s="169" t="s">
        <v>178</v>
      </c>
      <c r="D29" s="170"/>
      <c r="E29" s="167" t="s">
        <v>175</v>
      </c>
      <c r="F29" s="168"/>
      <c r="G29" s="98"/>
      <c r="H29" s="99"/>
    </row>
    <row r="30" spans="2:8" ht="30" customHeight="1" x14ac:dyDescent="0.25">
      <c r="B30" s="95"/>
      <c r="C30" s="169" t="s">
        <v>179</v>
      </c>
      <c r="D30" s="170"/>
      <c r="E30" s="167" t="s">
        <v>176</v>
      </c>
      <c r="F30" s="168"/>
      <c r="G30" s="98"/>
      <c r="H30" s="99"/>
    </row>
    <row r="31" spans="2:8" ht="35.25" customHeight="1" x14ac:dyDescent="0.25">
      <c r="B31" s="95"/>
      <c r="C31" s="169" t="s">
        <v>180</v>
      </c>
      <c r="D31" s="170"/>
      <c r="E31" s="167" t="s">
        <v>181</v>
      </c>
      <c r="F31" s="168"/>
      <c r="G31" s="98"/>
      <c r="H31" s="99"/>
    </row>
    <row r="32" spans="2:8" ht="31.5" customHeight="1" x14ac:dyDescent="0.25">
      <c r="B32" s="95"/>
      <c r="C32" s="169" t="s">
        <v>182</v>
      </c>
      <c r="D32" s="170"/>
      <c r="E32" s="167" t="s">
        <v>183</v>
      </c>
      <c r="F32" s="168"/>
      <c r="G32" s="98"/>
      <c r="H32" s="99"/>
    </row>
    <row r="33" spans="2:8" ht="35.25" customHeight="1" x14ac:dyDescent="0.25">
      <c r="B33" s="95"/>
      <c r="C33" s="169" t="s">
        <v>184</v>
      </c>
      <c r="D33" s="170"/>
      <c r="E33" s="167" t="s">
        <v>185</v>
      </c>
      <c r="F33" s="168"/>
      <c r="G33" s="98"/>
      <c r="H33" s="99"/>
    </row>
    <row r="34" spans="2:8" ht="59.25" customHeight="1" x14ac:dyDescent="0.25">
      <c r="B34" s="95"/>
      <c r="C34" s="169" t="s">
        <v>186</v>
      </c>
      <c r="D34" s="170"/>
      <c r="E34" s="167" t="s">
        <v>187</v>
      </c>
      <c r="F34" s="168"/>
      <c r="G34" s="98"/>
      <c r="H34" s="99"/>
    </row>
    <row r="35" spans="2:8" ht="29.25" customHeight="1" x14ac:dyDescent="0.25">
      <c r="B35" s="95"/>
      <c r="C35" s="169" t="s">
        <v>29</v>
      </c>
      <c r="D35" s="170"/>
      <c r="E35" s="167" t="s">
        <v>188</v>
      </c>
      <c r="F35" s="168"/>
      <c r="G35" s="98"/>
      <c r="H35" s="99"/>
    </row>
    <row r="36" spans="2:8" ht="82.5" customHeight="1" x14ac:dyDescent="0.25">
      <c r="B36" s="95"/>
      <c r="C36" s="169" t="s">
        <v>190</v>
      </c>
      <c r="D36" s="170"/>
      <c r="E36" s="167" t="s">
        <v>189</v>
      </c>
      <c r="F36" s="168"/>
      <c r="G36" s="98"/>
      <c r="H36" s="99"/>
    </row>
    <row r="37" spans="2:8" ht="46.5" customHeight="1" x14ac:dyDescent="0.25">
      <c r="B37" s="95"/>
      <c r="C37" s="169" t="s">
        <v>37</v>
      </c>
      <c r="D37" s="170"/>
      <c r="E37" s="167" t="s">
        <v>191</v>
      </c>
      <c r="F37" s="168"/>
      <c r="G37" s="98"/>
      <c r="H37" s="99"/>
    </row>
    <row r="38" spans="2:8" ht="6.75" customHeight="1" thickBot="1" x14ac:dyDescent="0.3">
      <c r="B38" s="95"/>
      <c r="C38" s="180"/>
      <c r="D38" s="181"/>
      <c r="E38" s="182"/>
      <c r="F38" s="183"/>
      <c r="G38" s="98"/>
      <c r="H38" s="99"/>
    </row>
    <row r="39" spans="2:8" ht="15.75" thickTop="1" x14ac:dyDescent="0.25">
      <c r="B39" s="95"/>
      <c r="C39" s="96"/>
      <c r="D39" s="96"/>
      <c r="E39" s="97"/>
      <c r="F39" s="97"/>
      <c r="G39" s="98"/>
      <c r="H39" s="99"/>
    </row>
    <row r="40" spans="2:8" ht="21" customHeight="1" x14ac:dyDescent="0.25">
      <c r="B40" s="177" t="s">
        <v>200</v>
      </c>
      <c r="C40" s="178"/>
      <c r="D40" s="178"/>
      <c r="E40" s="178"/>
      <c r="F40" s="178"/>
      <c r="G40" s="178"/>
      <c r="H40" s="179"/>
    </row>
    <row r="41" spans="2:8" ht="20.25" customHeight="1" x14ac:dyDescent="0.25">
      <c r="B41" s="177" t="s">
        <v>201</v>
      </c>
      <c r="C41" s="178"/>
      <c r="D41" s="178"/>
      <c r="E41" s="178"/>
      <c r="F41" s="178"/>
      <c r="G41" s="178"/>
      <c r="H41" s="179"/>
    </row>
    <row r="42" spans="2:8" ht="20.25" customHeight="1" x14ac:dyDescent="0.25">
      <c r="B42" s="177" t="s">
        <v>202</v>
      </c>
      <c r="C42" s="178"/>
      <c r="D42" s="178"/>
      <c r="E42" s="178"/>
      <c r="F42" s="178"/>
      <c r="G42" s="178"/>
      <c r="H42" s="179"/>
    </row>
    <row r="43" spans="2:8" ht="20.25" customHeight="1" x14ac:dyDescent="0.25">
      <c r="B43" s="177" t="s">
        <v>203</v>
      </c>
      <c r="C43" s="178"/>
      <c r="D43" s="178"/>
      <c r="E43" s="178"/>
      <c r="F43" s="178"/>
      <c r="G43" s="178"/>
      <c r="H43" s="179"/>
    </row>
    <row r="44" spans="2:8" x14ac:dyDescent="0.25">
      <c r="B44" s="177" t="s">
        <v>204</v>
      </c>
      <c r="C44" s="178"/>
      <c r="D44" s="178"/>
      <c r="E44" s="178"/>
      <c r="F44" s="178"/>
      <c r="G44" s="178"/>
      <c r="H44" s="179"/>
    </row>
    <row r="45" spans="2:8" ht="15.75" thickBot="1" x14ac:dyDescent="0.3">
      <c r="B45" s="100"/>
      <c r="C45" s="101"/>
      <c r="D45" s="101"/>
      <c r="E45" s="101"/>
      <c r="F45" s="101"/>
      <c r="G45" s="101"/>
      <c r="H45" s="102"/>
    </row>
  </sheetData>
  <mergeCells count="64">
    <mergeCell ref="B2:H2"/>
    <mergeCell ref="B4:H5"/>
    <mergeCell ref="B6:H6"/>
    <mergeCell ref="B9:H10"/>
    <mergeCell ref="C12:D12"/>
    <mergeCell ref="E12:F12"/>
    <mergeCell ref="B7:H7"/>
    <mergeCell ref="C13:D13"/>
    <mergeCell ref="E13:F13"/>
    <mergeCell ref="C17:D17"/>
    <mergeCell ref="E17:F17"/>
    <mergeCell ref="C21:D21"/>
    <mergeCell ref="C18:D18"/>
    <mergeCell ref="C19:D19"/>
    <mergeCell ref="C20:D20"/>
    <mergeCell ref="E18:F18"/>
    <mergeCell ref="E19:F19"/>
    <mergeCell ref="E20:F20"/>
    <mergeCell ref="E21:F21"/>
    <mergeCell ref="B42:H42"/>
    <mergeCell ref="B43:H43"/>
    <mergeCell ref="B44:H44"/>
    <mergeCell ref="E23:F23"/>
    <mergeCell ref="C23:D23"/>
    <mergeCell ref="C24:D24"/>
    <mergeCell ref="E24:F24"/>
    <mergeCell ref="C26:D26"/>
    <mergeCell ref="E26:F26"/>
    <mergeCell ref="E34:F34"/>
    <mergeCell ref="C32:D32"/>
    <mergeCell ref="C31:D31"/>
    <mergeCell ref="E31:F31"/>
    <mergeCell ref="E32:F32"/>
    <mergeCell ref="C27:D27"/>
    <mergeCell ref="E27:F27"/>
    <mergeCell ref="C33:D33"/>
    <mergeCell ref="B40:H40"/>
    <mergeCell ref="C29:D29"/>
    <mergeCell ref="E29:F29"/>
    <mergeCell ref="C30:D30"/>
    <mergeCell ref="E30:F30"/>
    <mergeCell ref="E33:F33"/>
    <mergeCell ref="C34:D34"/>
    <mergeCell ref="C35:D35"/>
    <mergeCell ref="E35:F35"/>
    <mergeCell ref="C36:D36"/>
    <mergeCell ref="E36:F36"/>
    <mergeCell ref="B41:H41"/>
    <mergeCell ref="C38:D38"/>
    <mergeCell ref="E38:F38"/>
    <mergeCell ref="C37:D37"/>
    <mergeCell ref="E37:F37"/>
    <mergeCell ref="E28:F28"/>
    <mergeCell ref="C28:D28"/>
    <mergeCell ref="C16:D16"/>
    <mergeCell ref="E16:F16"/>
    <mergeCell ref="C14:D14"/>
    <mergeCell ref="E14:F14"/>
    <mergeCell ref="C15:D15"/>
    <mergeCell ref="E15:F15"/>
    <mergeCell ref="E22:F22"/>
    <mergeCell ref="C22:D22"/>
    <mergeCell ref="C25:D25"/>
    <mergeCell ref="E25:F2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BY25"/>
  <sheetViews>
    <sheetView showGridLines="0" tabSelected="1" topLeftCell="A13" zoomScale="70" zoomScaleNormal="70" workbookViewId="0">
      <selection activeCell="E13" sqref="E13:E15"/>
    </sheetView>
  </sheetViews>
  <sheetFormatPr baseColWidth="10" defaultColWidth="11.42578125" defaultRowHeight="15" x14ac:dyDescent="0.25"/>
  <cols>
    <col min="1" max="1" width="4" style="116" bestFit="1" customWidth="1" collapsed="1"/>
    <col min="2" max="2" width="14.140625" style="116" customWidth="1" collapsed="1"/>
    <col min="3" max="3" width="17.28515625" style="116" customWidth="1" collapsed="1"/>
    <col min="4" max="4" width="23.140625" style="116" customWidth="1" collapsed="1"/>
    <col min="5" max="5" width="32.42578125" style="110" customWidth="1" collapsed="1"/>
    <col min="6" max="6" width="19" style="117" customWidth="1" collapsed="1"/>
    <col min="7" max="7" width="17.85546875" style="110" customWidth="1" collapsed="1"/>
    <col min="8" max="8" width="22.28515625" style="110" customWidth="1" collapsed="1"/>
    <col min="9" max="9" width="10.140625" style="110" customWidth="1" collapsed="1"/>
    <col min="10" max="10" width="27.28515625" style="110" customWidth="1" collapsed="1"/>
    <col min="11" max="11" width="30.5703125" style="110" customWidth="1" collapsed="1"/>
    <col min="12" max="12" width="17.5703125" style="110" customWidth="1" collapsed="1"/>
    <col min="13" max="13" width="6.28515625" style="110" customWidth="1" collapsed="1"/>
    <col min="14" max="14" width="33" style="110" customWidth="1" collapsed="1"/>
    <col min="15" max="15" width="5.85546875" style="110" customWidth="1" collapsed="1"/>
    <col min="16" max="16" width="31" style="110" customWidth="1" collapsed="1"/>
    <col min="17" max="17" width="15.140625" style="110" customWidth="1" collapsed="1"/>
    <col min="18" max="18" width="6.85546875" style="110" customWidth="1" collapsed="1"/>
    <col min="19" max="19" width="5" style="110" customWidth="1" collapsed="1"/>
    <col min="20" max="20" width="5.5703125" style="110" customWidth="1" collapsed="1"/>
    <col min="21" max="21" width="7.140625" style="110" customWidth="1" collapsed="1"/>
    <col min="22" max="22" width="6.7109375" style="110" customWidth="1" collapsed="1"/>
    <col min="23" max="23" width="7.5703125" style="110" customWidth="1" collapsed="1"/>
    <col min="24" max="24" width="38.28515625" style="110" customWidth="1" collapsed="1"/>
    <col min="25" max="25" width="8.7109375" style="110" customWidth="1" collapsed="1"/>
    <col min="26" max="26" width="10.42578125" style="110" customWidth="1" collapsed="1"/>
    <col min="27" max="27" width="9.28515625" style="110" customWidth="1" collapsed="1"/>
    <col min="28" max="28" width="9.140625" style="110" customWidth="1" collapsed="1"/>
    <col min="29" max="29" width="8.42578125" style="110" customWidth="1" collapsed="1"/>
    <col min="30" max="30" width="7.28515625" style="110" customWidth="1" collapsed="1"/>
    <col min="31" max="31" width="23" style="110" customWidth="1" collapsed="1"/>
    <col min="32" max="32" width="18.85546875" style="110" customWidth="1" collapsed="1"/>
    <col min="33" max="33" width="23.42578125" style="110" customWidth="1" collapsed="1"/>
    <col min="34" max="34" width="20.85546875" customWidth="1"/>
    <col min="35" max="35" width="26.140625" customWidth="1"/>
    <col min="36" max="36" width="21" customWidth="1"/>
    <col min="37" max="37" width="20.85546875" customWidth="1"/>
    <col min="38" max="38" width="24.85546875" customWidth="1"/>
    <col min="39" max="39" width="21" customWidth="1"/>
    <col min="40" max="40" width="16.85546875" customWidth="1"/>
    <col min="41" max="41" width="21.28515625" customWidth="1"/>
    <col min="42" max="42" width="18.5703125" customWidth="1"/>
    <col min="43" max="74" width="11.42578125" style="110" collapsed="1"/>
    <col min="75" max="77" width="11.42578125" style="110"/>
    <col min="78" max="16384" width="11.42578125" style="110" collapsed="1"/>
  </cols>
  <sheetData>
    <row r="1" spans="1:74" ht="16.5" customHeight="1" x14ac:dyDescent="0.2">
      <c r="A1" s="219"/>
      <c r="B1" s="219"/>
      <c r="C1" s="219"/>
      <c r="D1" s="220" t="s">
        <v>211</v>
      </c>
      <c r="E1" s="220"/>
      <c r="F1" s="220"/>
      <c r="G1" s="220"/>
      <c r="H1" s="220"/>
      <c r="I1" s="220"/>
      <c r="J1" s="220"/>
      <c r="K1" s="220"/>
      <c r="L1" s="220"/>
      <c r="M1" s="220"/>
      <c r="N1" s="220"/>
      <c r="O1" s="144"/>
      <c r="P1" s="144"/>
      <c r="Q1" s="144"/>
      <c r="R1" s="144"/>
      <c r="S1" s="144"/>
      <c r="T1" s="144"/>
      <c r="U1" s="144"/>
      <c r="V1" s="144"/>
      <c r="W1" s="144"/>
      <c r="X1" s="144"/>
      <c r="Y1" s="144"/>
      <c r="Z1" s="144"/>
      <c r="AA1" s="144"/>
      <c r="AB1" s="144"/>
      <c r="AC1" s="144"/>
      <c r="AD1" s="144"/>
      <c r="AE1" s="144"/>
      <c r="AF1" s="144"/>
      <c r="AG1" s="144"/>
      <c r="AH1" s="145"/>
      <c r="AI1" s="145"/>
      <c r="AJ1" s="145"/>
      <c r="AK1" s="145"/>
      <c r="AL1" s="145"/>
      <c r="AM1" s="145"/>
      <c r="AN1" s="145"/>
      <c r="AO1" s="145"/>
      <c r="AP1" s="145"/>
      <c r="AQ1" s="109"/>
      <c r="AR1" s="109"/>
      <c r="AS1" s="109"/>
      <c r="AT1" s="109"/>
      <c r="AU1" s="109"/>
      <c r="AV1" s="109"/>
      <c r="AW1" s="109"/>
      <c r="AX1" s="109"/>
      <c r="AY1" s="109"/>
      <c r="AZ1" s="109"/>
      <c r="BA1" s="109"/>
      <c r="BB1" s="109"/>
      <c r="BC1" s="109"/>
      <c r="BD1" s="109"/>
      <c r="BE1" s="109"/>
      <c r="BF1" s="109"/>
      <c r="BG1" s="109"/>
      <c r="BH1" s="109"/>
      <c r="BI1" s="109"/>
      <c r="BJ1" s="109"/>
      <c r="BK1" s="109"/>
      <c r="BL1" s="109"/>
      <c r="BM1" s="109"/>
      <c r="BN1" s="109"/>
      <c r="BO1" s="109"/>
      <c r="BP1" s="109"/>
      <c r="BQ1" s="109"/>
      <c r="BR1" s="109"/>
      <c r="BS1" s="109"/>
      <c r="BT1" s="109"/>
      <c r="BU1" s="109"/>
      <c r="BV1" s="109"/>
    </row>
    <row r="2" spans="1:74" ht="16.5" customHeight="1" x14ac:dyDescent="0.2">
      <c r="A2" s="219"/>
      <c r="B2" s="219"/>
      <c r="C2" s="219"/>
      <c r="D2" s="220"/>
      <c r="E2" s="220"/>
      <c r="F2" s="220"/>
      <c r="G2" s="220"/>
      <c r="H2" s="220"/>
      <c r="I2" s="220"/>
      <c r="J2" s="220"/>
      <c r="K2" s="220"/>
      <c r="L2" s="220"/>
      <c r="M2" s="220"/>
      <c r="N2" s="220"/>
      <c r="O2" s="144"/>
      <c r="P2" s="144"/>
      <c r="Q2" s="144"/>
      <c r="R2" s="144"/>
      <c r="S2" s="144"/>
      <c r="T2" s="144"/>
      <c r="U2" s="144"/>
      <c r="V2" s="144"/>
      <c r="W2" s="144"/>
      <c r="X2" s="144"/>
      <c r="Y2" s="144"/>
      <c r="Z2" s="144"/>
      <c r="AA2" s="144"/>
      <c r="AB2" s="144"/>
      <c r="AC2" s="144"/>
      <c r="AD2" s="144"/>
      <c r="AE2" s="144"/>
      <c r="AF2" s="144"/>
      <c r="AG2" s="144"/>
      <c r="AH2" s="145"/>
      <c r="AI2" s="145"/>
      <c r="AJ2" s="145"/>
      <c r="AK2" s="145"/>
      <c r="AL2" s="145"/>
      <c r="AM2" s="145"/>
      <c r="AN2" s="145"/>
      <c r="AO2" s="145"/>
      <c r="AP2" s="145"/>
      <c r="AQ2" s="109"/>
      <c r="AR2" s="109"/>
      <c r="AS2" s="109"/>
      <c r="AT2" s="109"/>
      <c r="AU2" s="109"/>
      <c r="AV2" s="109"/>
      <c r="AW2" s="109"/>
      <c r="AX2" s="109"/>
      <c r="AY2" s="109"/>
      <c r="AZ2" s="109"/>
      <c r="BA2" s="109"/>
      <c r="BB2" s="109"/>
      <c r="BC2" s="109"/>
      <c r="BD2" s="109"/>
      <c r="BE2" s="109"/>
      <c r="BF2" s="109"/>
      <c r="BG2" s="109"/>
      <c r="BH2" s="109"/>
      <c r="BI2" s="109"/>
      <c r="BJ2" s="109"/>
      <c r="BK2" s="109"/>
      <c r="BL2" s="109"/>
      <c r="BM2" s="109"/>
      <c r="BN2" s="109"/>
      <c r="BO2" s="109"/>
      <c r="BP2" s="109"/>
      <c r="BQ2" s="109"/>
      <c r="BR2" s="109"/>
      <c r="BS2" s="109"/>
      <c r="BT2" s="109"/>
      <c r="BU2" s="109"/>
      <c r="BV2" s="109"/>
    </row>
    <row r="3" spans="1:74" ht="16.5" customHeight="1" x14ac:dyDescent="0.2">
      <c r="A3" s="219"/>
      <c r="B3" s="219"/>
      <c r="C3" s="219"/>
      <c r="D3" s="221" t="s">
        <v>212</v>
      </c>
      <c r="E3" s="221"/>
      <c r="F3" s="221"/>
      <c r="G3" s="221"/>
      <c r="H3" s="221"/>
      <c r="I3" s="221"/>
      <c r="J3" s="221"/>
      <c r="K3" s="221"/>
      <c r="L3" s="221"/>
      <c r="M3" s="221"/>
      <c r="N3" s="221"/>
      <c r="O3" s="144"/>
      <c r="P3" s="144"/>
      <c r="Q3" s="144"/>
      <c r="R3" s="144"/>
      <c r="S3" s="144"/>
      <c r="T3" s="144"/>
      <c r="U3" s="144"/>
      <c r="V3" s="144"/>
      <c r="W3" s="144"/>
      <c r="X3" s="144"/>
      <c r="Y3" s="144"/>
      <c r="Z3" s="144"/>
      <c r="AA3" s="144"/>
      <c r="AB3" s="144"/>
      <c r="AC3" s="144"/>
      <c r="AD3" s="144"/>
      <c r="AE3" s="144"/>
      <c r="AF3" s="144"/>
      <c r="AG3" s="144"/>
      <c r="AH3" s="145"/>
      <c r="AI3" s="145"/>
      <c r="AJ3" s="145"/>
      <c r="AK3" s="145"/>
      <c r="AL3" s="145"/>
      <c r="AM3" s="145"/>
      <c r="AN3" s="145"/>
      <c r="AO3" s="145"/>
      <c r="AP3" s="145"/>
      <c r="AQ3" s="109"/>
      <c r="AR3" s="109"/>
      <c r="AS3" s="109"/>
      <c r="AT3" s="109"/>
      <c r="AU3" s="109"/>
      <c r="AV3" s="109"/>
      <c r="AW3" s="109"/>
      <c r="AX3" s="109"/>
      <c r="AY3" s="109"/>
      <c r="AZ3" s="109"/>
      <c r="BA3" s="109"/>
      <c r="BB3" s="109"/>
      <c r="BC3" s="109"/>
      <c r="BD3" s="109"/>
      <c r="BE3" s="109"/>
      <c r="BF3" s="109"/>
      <c r="BG3" s="109"/>
      <c r="BH3" s="109"/>
      <c r="BI3" s="109"/>
      <c r="BJ3" s="109"/>
      <c r="BK3" s="109"/>
      <c r="BL3" s="109"/>
      <c r="BM3" s="109"/>
      <c r="BN3" s="109"/>
      <c r="BO3" s="109"/>
      <c r="BP3" s="109"/>
      <c r="BQ3" s="109"/>
      <c r="BR3" s="109"/>
      <c r="BS3" s="109"/>
      <c r="BT3" s="109"/>
      <c r="BU3" s="109"/>
      <c r="BV3" s="109"/>
    </row>
    <row r="4" spans="1:74" ht="15" customHeight="1" x14ac:dyDescent="0.2">
      <c r="A4" s="219"/>
      <c r="B4" s="219"/>
      <c r="C4" s="219"/>
      <c r="D4" s="221" t="s">
        <v>214</v>
      </c>
      <c r="E4" s="221"/>
      <c r="F4" s="221"/>
      <c r="G4" s="221"/>
      <c r="H4" s="221"/>
      <c r="I4" s="221"/>
      <c r="J4" s="221"/>
      <c r="K4" s="221"/>
      <c r="L4" s="221"/>
      <c r="M4" s="221"/>
      <c r="N4" s="221"/>
      <c r="O4" s="144"/>
      <c r="P4" s="144"/>
      <c r="Q4" s="144"/>
      <c r="R4" s="144"/>
      <c r="S4" s="144"/>
      <c r="T4" s="144"/>
      <c r="U4" s="144"/>
      <c r="V4" s="144"/>
      <c r="W4" s="144"/>
      <c r="X4" s="144"/>
      <c r="Y4" s="144"/>
      <c r="Z4" s="144"/>
      <c r="AA4" s="144"/>
      <c r="AB4" s="144"/>
      <c r="AC4" s="144"/>
      <c r="AD4" s="144"/>
      <c r="AE4" s="144"/>
      <c r="AF4" s="144"/>
      <c r="AG4" s="144"/>
      <c r="AH4" s="145"/>
      <c r="AI4" s="145"/>
      <c r="AJ4" s="145"/>
      <c r="AK4" s="145"/>
      <c r="AL4" s="145"/>
      <c r="AM4" s="145"/>
      <c r="AN4" s="145"/>
      <c r="AO4" s="145"/>
      <c r="AP4" s="145"/>
      <c r="AQ4" s="109"/>
      <c r="AR4" s="109"/>
      <c r="AS4" s="109"/>
      <c r="AT4" s="109"/>
      <c r="AU4" s="109"/>
      <c r="AV4" s="109"/>
      <c r="AW4" s="109"/>
      <c r="AX4" s="109"/>
      <c r="AY4" s="109"/>
      <c r="AZ4" s="109"/>
      <c r="BA4" s="109"/>
      <c r="BB4" s="109"/>
      <c r="BC4" s="109"/>
      <c r="BD4" s="109"/>
      <c r="BE4" s="109"/>
      <c r="BF4" s="109"/>
      <c r="BG4" s="109"/>
      <c r="BH4" s="109"/>
      <c r="BI4" s="109"/>
      <c r="BJ4" s="109"/>
      <c r="BK4" s="109"/>
      <c r="BL4" s="109"/>
      <c r="BM4" s="109"/>
      <c r="BN4" s="109"/>
      <c r="BO4" s="109"/>
      <c r="BP4" s="109"/>
      <c r="BQ4" s="109"/>
      <c r="BR4" s="109"/>
      <c r="BS4" s="109"/>
      <c r="BT4" s="109"/>
      <c r="BU4" s="109"/>
      <c r="BV4" s="109"/>
    </row>
    <row r="5" spans="1:74" ht="15" customHeight="1" x14ac:dyDescent="0.25">
      <c r="A5" s="219"/>
      <c r="B5" s="219"/>
      <c r="C5" s="219"/>
      <c r="D5" s="220" t="s">
        <v>224</v>
      </c>
      <c r="E5" s="220"/>
      <c r="F5" s="220"/>
      <c r="G5" s="220" t="s">
        <v>240</v>
      </c>
      <c r="H5" s="220"/>
      <c r="I5" s="220"/>
      <c r="J5" s="221" t="s">
        <v>213</v>
      </c>
      <c r="K5" s="221"/>
      <c r="L5" s="221"/>
      <c r="M5" s="221"/>
      <c r="N5" s="221"/>
      <c r="O5" s="146"/>
      <c r="P5" s="146"/>
      <c r="Q5" s="146"/>
      <c r="R5" s="146"/>
      <c r="S5" s="146"/>
      <c r="T5" s="146"/>
      <c r="U5" s="146"/>
      <c r="V5" s="146"/>
      <c r="W5" s="146"/>
      <c r="X5" s="146"/>
      <c r="Y5" s="146"/>
      <c r="Z5" s="146"/>
      <c r="AA5" s="146"/>
      <c r="AB5" s="146"/>
      <c r="AC5" s="146"/>
      <c r="AD5" s="146"/>
      <c r="AE5" s="146"/>
      <c r="AF5" s="146"/>
      <c r="AG5" s="146"/>
      <c r="AH5" s="147"/>
      <c r="AI5" s="147"/>
      <c r="AJ5" s="147"/>
      <c r="AK5" s="147"/>
      <c r="AL5" s="147"/>
      <c r="AM5" s="147"/>
      <c r="AN5" s="147"/>
      <c r="AO5" s="147"/>
      <c r="AP5" s="147"/>
      <c r="AQ5" s="109"/>
      <c r="AR5" s="109"/>
      <c r="AS5" s="109"/>
      <c r="AT5" s="109"/>
      <c r="AU5" s="109"/>
      <c r="AV5" s="109"/>
      <c r="AW5" s="109"/>
      <c r="AX5" s="109"/>
      <c r="AY5" s="109"/>
      <c r="AZ5" s="109"/>
      <c r="BA5" s="109"/>
      <c r="BB5" s="109"/>
      <c r="BC5" s="109"/>
      <c r="BD5" s="109"/>
      <c r="BE5" s="109"/>
      <c r="BF5" s="109"/>
      <c r="BG5" s="109"/>
      <c r="BH5" s="109"/>
      <c r="BI5" s="109"/>
      <c r="BJ5" s="109"/>
      <c r="BK5" s="109"/>
      <c r="BL5" s="109"/>
      <c r="BM5" s="109"/>
      <c r="BN5" s="109"/>
      <c r="BO5" s="109"/>
      <c r="BP5" s="109"/>
      <c r="BQ5" s="109"/>
      <c r="BR5" s="109"/>
      <c r="BS5" s="109"/>
      <c r="BT5" s="109"/>
      <c r="BU5" s="109"/>
      <c r="BV5" s="109"/>
    </row>
    <row r="6" spans="1:74" x14ac:dyDescent="0.25">
      <c r="A6" s="148"/>
      <c r="B6" s="129"/>
      <c r="C6" s="129"/>
      <c r="D6" s="129"/>
      <c r="E6" s="129"/>
      <c r="F6" s="129"/>
      <c r="G6" s="129"/>
      <c r="H6" s="130"/>
      <c r="I6" s="149"/>
      <c r="J6" s="149"/>
      <c r="K6" s="149"/>
      <c r="L6" s="149"/>
      <c r="M6" s="146"/>
      <c r="N6" s="146"/>
      <c r="O6" s="146"/>
      <c r="P6" s="146"/>
      <c r="Q6" s="146"/>
      <c r="R6" s="146"/>
      <c r="S6" s="146"/>
      <c r="T6" s="146"/>
      <c r="U6" s="146"/>
      <c r="V6" s="146"/>
      <c r="W6" s="146"/>
      <c r="X6" s="146"/>
      <c r="Y6" s="146"/>
      <c r="Z6" s="146"/>
      <c r="AA6" s="146"/>
      <c r="AB6" s="146"/>
      <c r="AC6" s="146"/>
      <c r="AD6" s="146"/>
      <c r="AE6" s="146"/>
      <c r="AF6" s="146"/>
      <c r="AG6" s="146"/>
      <c r="AH6" s="147"/>
      <c r="AI6" s="147"/>
      <c r="AJ6" s="147"/>
      <c r="AK6" s="147"/>
      <c r="AL6" s="147"/>
      <c r="AM6" s="147"/>
      <c r="AN6" s="147"/>
      <c r="AO6" s="147"/>
      <c r="AP6" s="147"/>
      <c r="AQ6" s="109"/>
      <c r="AR6" s="109"/>
      <c r="AS6" s="109"/>
      <c r="AT6" s="109"/>
      <c r="AU6" s="109"/>
      <c r="AV6" s="109"/>
      <c r="AW6" s="109"/>
      <c r="AX6" s="109"/>
      <c r="AY6" s="109"/>
      <c r="AZ6" s="109"/>
      <c r="BA6" s="109"/>
      <c r="BB6" s="109"/>
      <c r="BC6" s="109"/>
      <c r="BD6" s="109"/>
      <c r="BE6" s="109"/>
      <c r="BF6" s="109"/>
      <c r="BG6" s="109"/>
      <c r="BH6" s="109"/>
      <c r="BI6" s="109"/>
      <c r="BJ6" s="109"/>
      <c r="BK6" s="109"/>
      <c r="BL6" s="109"/>
      <c r="BM6" s="109"/>
      <c r="BN6" s="109"/>
      <c r="BO6" s="109"/>
      <c r="BP6" s="109"/>
      <c r="BQ6" s="109"/>
      <c r="BR6" s="109"/>
      <c r="BS6" s="109"/>
      <c r="BT6" s="109"/>
      <c r="BU6" s="109"/>
      <c r="BV6" s="109"/>
    </row>
    <row r="7" spans="1:74" s="132" customFormat="1" ht="28.5" customHeight="1" x14ac:dyDescent="0.25">
      <c r="A7" s="222" t="s">
        <v>41</v>
      </c>
      <c r="B7" s="222"/>
      <c r="C7" s="228" t="s">
        <v>221</v>
      </c>
      <c r="D7" s="228"/>
      <c r="E7" s="228"/>
      <c r="F7" s="228"/>
      <c r="G7" s="228"/>
      <c r="H7" s="228"/>
      <c r="I7" s="228"/>
      <c r="J7" s="228"/>
      <c r="K7" s="228"/>
      <c r="L7" s="228"/>
      <c r="M7" s="228"/>
      <c r="N7" s="228"/>
      <c r="O7" s="231"/>
      <c r="P7" s="231"/>
      <c r="Q7" s="231"/>
      <c r="R7" s="150"/>
      <c r="S7" s="150"/>
      <c r="T7" s="150"/>
      <c r="U7" s="150"/>
      <c r="V7" s="150"/>
      <c r="W7" s="150"/>
      <c r="X7" s="150"/>
      <c r="Y7" s="150"/>
      <c r="Z7" s="150"/>
      <c r="AA7" s="150"/>
      <c r="AB7" s="150"/>
      <c r="AC7" s="150"/>
      <c r="AD7" s="150"/>
      <c r="AE7" s="150"/>
      <c r="AF7" s="150"/>
      <c r="AG7" s="150"/>
      <c r="AH7" s="147"/>
      <c r="AI7" s="147"/>
      <c r="AJ7" s="147"/>
      <c r="AK7" s="147"/>
      <c r="AL7" s="147"/>
      <c r="AM7" s="147"/>
      <c r="AN7" s="147"/>
      <c r="AO7" s="147"/>
      <c r="AP7" s="147"/>
      <c r="AQ7" s="131"/>
      <c r="AR7" s="131"/>
      <c r="AS7" s="131"/>
      <c r="AT7" s="131"/>
      <c r="AU7" s="131"/>
      <c r="AV7" s="131"/>
      <c r="AW7" s="131"/>
      <c r="AX7" s="131"/>
      <c r="AY7" s="131"/>
      <c r="AZ7" s="131"/>
      <c r="BA7" s="131"/>
      <c r="BB7" s="131"/>
      <c r="BC7" s="131"/>
      <c r="BD7" s="131"/>
      <c r="BE7" s="131"/>
      <c r="BF7" s="131"/>
      <c r="BG7" s="131"/>
      <c r="BH7" s="131"/>
      <c r="BI7" s="131"/>
      <c r="BJ7" s="131"/>
      <c r="BK7" s="131"/>
      <c r="BL7" s="131"/>
      <c r="BM7" s="131"/>
      <c r="BN7" s="131"/>
      <c r="BO7" s="131"/>
      <c r="BP7" s="131"/>
      <c r="BQ7" s="131"/>
      <c r="BR7" s="131"/>
      <c r="BS7" s="131"/>
      <c r="BT7" s="131"/>
      <c r="BU7" s="131"/>
      <c r="BV7" s="131"/>
    </row>
    <row r="8" spans="1:74" s="132" customFormat="1" ht="42" customHeight="1" x14ac:dyDescent="0.25">
      <c r="A8" s="222" t="s">
        <v>128</v>
      </c>
      <c r="B8" s="222"/>
      <c r="C8" s="210" t="s">
        <v>215</v>
      </c>
      <c r="D8" s="211"/>
      <c r="E8" s="211"/>
      <c r="F8" s="211"/>
      <c r="G8" s="211"/>
      <c r="H8" s="211"/>
      <c r="I8" s="211"/>
      <c r="J8" s="211"/>
      <c r="K8" s="211"/>
      <c r="L8" s="211"/>
      <c r="M8" s="211"/>
      <c r="N8" s="211"/>
      <c r="O8" s="150"/>
      <c r="P8" s="150"/>
      <c r="Q8" s="150"/>
      <c r="R8" s="150"/>
      <c r="S8" s="150"/>
      <c r="T8" s="150"/>
      <c r="U8" s="150"/>
      <c r="V8" s="150"/>
      <c r="W8" s="150"/>
      <c r="X8" s="150"/>
      <c r="Y8" s="150"/>
      <c r="Z8" s="150"/>
      <c r="AA8" s="150"/>
      <c r="AB8" s="150"/>
      <c r="AC8" s="150"/>
      <c r="AD8" s="150"/>
      <c r="AE8" s="150"/>
      <c r="AF8" s="150"/>
      <c r="AG8" s="150"/>
      <c r="AH8" s="147"/>
      <c r="AI8" s="147"/>
      <c r="AJ8" s="147"/>
      <c r="AK8" s="147"/>
      <c r="AL8" s="147"/>
      <c r="AM8" s="147"/>
      <c r="AN8" s="147"/>
      <c r="AO8" s="147"/>
      <c r="AP8" s="147"/>
      <c r="AQ8" s="131"/>
      <c r="AR8" s="131"/>
      <c r="AS8" s="131"/>
      <c r="AT8" s="131"/>
      <c r="AU8" s="131"/>
      <c r="AV8" s="131"/>
      <c r="AW8" s="131"/>
      <c r="AX8" s="131"/>
      <c r="AY8" s="131"/>
      <c r="AZ8" s="131"/>
      <c r="BA8" s="131"/>
      <c r="BB8" s="131"/>
      <c r="BC8" s="131"/>
      <c r="BD8" s="131"/>
      <c r="BE8" s="131"/>
      <c r="BF8" s="131"/>
      <c r="BG8" s="131"/>
      <c r="BH8" s="131"/>
      <c r="BI8" s="131"/>
      <c r="BJ8" s="131"/>
      <c r="BK8" s="131"/>
      <c r="BL8" s="131"/>
      <c r="BM8" s="131"/>
      <c r="BN8" s="131"/>
      <c r="BO8" s="131"/>
      <c r="BP8" s="131"/>
      <c r="BQ8" s="131"/>
      <c r="BR8" s="131"/>
      <c r="BS8" s="131"/>
      <c r="BT8" s="131"/>
      <c r="BU8" s="131"/>
      <c r="BV8" s="131"/>
    </row>
    <row r="9" spans="1:74" s="132" customFormat="1" ht="28.5" customHeight="1" x14ac:dyDescent="0.25">
      <c r="A9" s="223" t="s">
        <v>42</v>
      </c>
      <c r="B9" s="223"/>
      <c r="C9" s="212" t="s">
        <v>216</v>
      </c>
      <c r="D9" s="212"/>
      <c r="E9" s="212"/>
      <c r="F9" s="212"/>
      <c r="G9" s="212"/>
      <c r="H9" s="212"/>
      <c r="I9" s="212"/>
      <c r="J9" s="212"/>
      <c r="K9" s="212"/>
      <c r="L9" s="212"/>
      <c r="M9" s="212"/>
      <c r="N9" s="212"/>
      <c r="O9" s="150"/>
      <c r="P9" s="150"/>
      <c r="Q9" s="150"/>
      <c r="R9" s="150"/>
      <c r="S9" s="150"/>
      <c r="T9" s="150"/>
      <c r="U9" s="150"/>
      <c r="V9" s="150"/>
      <c r="W9" s="150"/>
      <c r="X9" s="150"/>
      <c r="Y9" s="150"/>
      <c r="Z9" s="150"/>
      <c r="AA9" s="150"/>
      <c r="AB9" s="150"/>
      <c r="AC9" s="150"/>
      <c r="AD9" s="150"/>
      <c r="AE9" s="150"/>
      <c r="AF9" s="150"/>
      <c r="AG9" s="150"/>
      <c r="AH9" s="147"/>
      <c r="AI9" s="147"/>
      <c r="AJ9" s="147"/>
      <c r="AK9" s="147"/>
      <c r="AL9" s="147"/>
      <c r="AM9" s="147"/>
      <c r="AN9" s="147"/>
      <c r="AO9" s="147"/>
      <c r="AP9" s="147"/>
      <c r="AQ9" s="131"/>
      <c r="AR9" s="131"/>
      <c r="AS9" s="131"/>
      <c r="AT9" s="131"/>
      <c r="AU9" s="131"/>
      <c r="AV9" s="131"/>
      <c r="AW9" s="131"/>
      <c r="AX9" s="131"/>
      <c r="AY9" s="131"/>
      <c r="AZ9" s="131"/>
      <c r="BA9" s="131"/>
      <c r="BB9" s="131"/>
      <c r="BC9" s="131"/>
      <c r="BD9" s="131"/>
      <c r="BE9" s="131"/>
      <c r="BF9" s="131"/>
      <c r="BG9" s="131"/>
      <c r="BH9" s="131"/>
      <c r="BI9" s="131"/>
      <c r="BJ9" s="131"/>
      <c r="BK9" s="131"/>
      <c r="BL9" s="131"/>
      <c r="BM9" s="131"/>
      <c r="BN9" s="131"/>
      <c r="BO9" s="131"/>
      <c r="BP9" s="131"/>
      <c r="BQ9" s="131"/>
      <c r="BR9" s="131"/>
      <c r="BS9" s="131"/>
      <c r="BT9" s="131"/>
      <c r="BU9" s="131"/>
      <c r="BV9" s="131"/>
    </row>
    <row r="10" spans="1:74" ht="36.75" customHeight="1" x14ac:dyDescent="0.25">
      <c r="A10" s="215" t="s">
        <v>136</v>
      </c>
      <c r="B10" s="215"/>
      <c r="C10" s="215"/>
      <c r="D10" s="215"/>
      <c r="E10" s="215"/>
      <c r="F10" s="215"/>
      <c r="G10" s="215"/>
      <c r="H10" s="216" t="s">
        <v>137</v>
      </c>
      <c r="I10" s="216"/>
      <c r="J10" s="216"/>
      <c r="K10" s="216"/>
      <c r="L10" s="216"/>
      <c r="M10" s="216"/>
      <c r="N10" s="216"/>
      <c r="O10" s="217" t="s">
        <v>138</v>
      </c>
      <c r="P10" s="217"/>
      <c r="Q10" s="217"/>
      <c r="R10" s="217"/>
      <c r="S10" s="217"/>
      <c r="T10" s="217"/>
      <c r="U10" s="217"/>
      <c r="V10" s="217"/>
      <c r="W10" s="217"/>
      <c r="X10" s="216" t="s">
        <v>139</v>
      </c>
      <c r="Y10" s="216"/>
      <c r="Z10" s="216"/>
      <c r="AA10" s="216"/>
      <c r="AB10" s="216"/>
      <c r="AC10" s="216"/>
      <c r="AD10" s="216"/>
      <c r="AE10" s="238" t="s">
        <v>34</v>
      </c>
      <c r="AF10" s="238"/>
      <c r="AG10" s="238"/>
      <c r="AH10" s="232" t="s">
        <v>225</v>
      </c>
      <c r="AI10" s="233"/>
      <c r="AJ10" s="234"/>
      <c r="AK10" s="235" t="s">
        <v>226</v>
      </c>
      <c r="AL10" s="236"/>
      <c r="AM10" s="237"/>
      <c r="AN10" s="246" t="s">
        <v>227</v>
      </c>
      <c r="AO10" s="247"/>
      <c r="AP10" s="248"/>
      <c r="AQ10" s="109"/>
      <c r="AR10" s="109"/>
      <c r="AS10" s="109"/>
      <c r="AT10" s="109"/>
      <c r="AU10" s="109"/>
      <c r="AV10" s="109"/>
      <c r="AW10" s="109"/>
      <c r="AX10" s="109"/>
      <c r="AY10" s="109"/>
      <c r="AZ10" s="109"/>
      <c r="BA10" s="109"/>
      <c r="BB10" s="109"/>
      <c r="BC10" s="109"/>
      <c r="BD10" s="109"/>
      <c r="BE10" s="109"/>
      <c r="BF10" s="109"/>
      <c r="BG10" s="109"/>
      <c r="BH10" s="109"/>
      <c r="BI10" s="109"/>
      <c r="BJ10" s="109"/>
      <c r="BK10" s="109"/>
      <c r="BL10" s="109"/>
      <c r="BM10" s="109"/>
      <c r="BN10" s="109"/>
      <c r="BO10" s="109"/>
      <c r="BP10" s="109"/>
      <c r="BQ10" s="109"/>
      <c r="BR10" s="109"/>
      <c r="BS10" s="109"/>
      <c r="BT10" s="109"/>
      <c r="BU10" s="109"/>
      <c r="BV10" s="109"/>
    </row>
    <row r="11" spans="1:74" ht="16.5" customHeight="1" x14ac:dyDescent="0.2">
      <c r="A11" s="224" t="s">
        <v>0</v>
      </c>
      <c r="B11" s="215" t="s">
        <v>2</v>
      </c>
      <c r="C11" s="225" t="s">
        <v>3</v>
      </c>
      <c r="D11" s="225" t="s">
        <v>40</v>
      </c>
      <c r="E11" s="215" t="s">
        <v>1</v>
      </c>
      <c r="F11" s="225" t="s">
        <v>48</v>
      </c>
      <c r="G11" s="225" t="s">
        <v>132</v>
      </c>
      <c r="H11" s="218" t="s">
        <v>33</v>
      </c>
      <c r="I11" s="216" t="s">
        <v>5</v>
      </c>
      <c r="J11" s="218" t="s">
        <v>85</v>
      </c>
      <c r="K11" s="218" t="s">
        <v>90</v>
      </c>
      <c r="L11" s="218" t="s">
        <v>43</v>
      </c>
      <c r="M11" s="216" t="s">
        <v>5</v>
      </c>
      <c r="N11" s="218" t="s">
        <v>46</v>
      </c>
      <c r="O11" s="213" t="s">
        <v>11</v>
      </c>
      <c r="P11" s="214" t="s">
        <v>159</v>
      </c>
      <c r="Q11" s="214" t="s">
        <v>12</v>
      </c>
      <c r="R11" s="214" t="s">
        <v>8</v>
      </c>
      <c r="S11" s="214"/>
      <c r="T11" s="214"/>
      <c r="U11" s="214"/>
      <c r="V11" s="214"/>
      <c r="W11" s="214"/>
      <c r="X11" s="209" t="s">
        <v>135</v>
      </c>
      <c r="Y11" s="209" t="s">
        <v>44</v>
      </c>
      <c r="Z11" s="209" t="s">
        <v>5</v>
      </c>
      <c r="AA11" s="209" t="s">
        <v>45</v>
      </c>
      <c r="AB11" s="209" t="s">
        <v>5</v>
      </c>
      <c r="AC11" s="209" t="s">
        <v>47</v>
      </c>
      <c r="AD11" s="209" t="s">
        <v>29</v>
      </c>
      <c r="AE11" s="245" t="s">
        <v>34</v>
      </c>
      <c r="AF11" s="245" t="s">
        <v>35</v>
      </c>
      <c r="AG11" s="245" t="s">
        <v>36</v>
      </c>
      <c r="AH11" s="249" t="s">
        <v>217</v>
      </c>
      <c r="AI11" s="249" t="s">
        <v>218</v>
      </c>
      <c r="AJ11" s="249" t="s">
        <v>219</v>
      </c>
      <c r="AK11" s="251" t="s">
        <v>217</v>
      </c>
      <c r="AL11" s="251" t="s">
        <v>218</v>
      </c>
      <c r="AM11" s="251" t="s">
        <v>219</v>
      </c>
      <c r="AN11" s="253" t="s">
        <v>217</v>
      </c>
      <c r="AO11" s="253" t="s">
        <v>218</v>
      </c>
      <c r="AP11" s="253" t="s">
        <v>220</v>
      </c>
      <c r="AQ11" s="109"/>
      <c r="AR11" s="109"/>
      <c r="AS11" s="109"/>
      <c r="AT11" s="109"/>
      <c r="AU11" s="109"/>
      <c r="AV11" s="109"/>
      <c r="AW11" s="109"/>
      <c r="AX11" s="109"/>
      <c r="AY11" s="109"/>
      <c r="AZ11" s="109"/>
      <c r="BA11" s="109"/>
      <c r="BB11" s="109"/>
      <c r="BC11" s="109"/>
      <c r="BD11" s="109"/>
      <c r="BE11" s="109"/>
      <c r="BF11" s="109"/>
      <c r="BG11" s="109"/>
      <c r="BH11" s="109"/>
      <c r="BI11" s="109"/>
      <c r="BJ11" s="109"/>
      <c r="BK11" s="109"/>
      <c r="BL11" s="109"/>
      <c r="BM11" s="109"/>
      <c r="BN11" s="109"/>
      <c r="BO11" s="109"/>
      <c r="BP11" s="109"/>
      <c r="BQ11" s="109"/>
      <c r="BR11" s="109"/>
      <c r="BS11" s="109"/>
      <c r="BT11" s="109"/>
      <c r="BU11" s="109"/>
      <c r="BV11" s="109"/>
    </row>
    <row r="12" spans="1:74" s="112" customFormat="1" ht="43.5" customHeight="1" x14ac:dyDescent="0.25">
      <c r="A12" s="224"/>
      <c r="B12" s="215"/>
      <c r="C12" s="225"/>
      <c r="D12" s="225"/>
      <c r="E12" s="215"/>
      <c r="F12" s="225"/>
      <c r="G12" s="225"/>
      <c r="H12" s="218"/>
      <c r="I12" s="216"/>
      <c r="J12" s="218"/>
      <c r="K12" s="218"/>
      <c r="L12" s="216"/>
      <c r="M12" s="216"/>
      <c r="N12" s="218"/>
      <c r="O12" s="213"/>
      <c r="P12" s="214"/>
      <c r="Q12" s="214"/>
      <c r="R12" s="128" t="s">
        <v>13</v>
      </c>
      <c r="S12" s="128" t="s">
        <v>17</v>
      </c>
      <c r="T12" s="128" t="s">
        <v>28</v>
      </c>
      <c r="U12" s="128" t="s">
        <v>18</v>
      </c>
      <c r="V12" s="128" t="s">
        <v>21</v>
      </c>
      <c r="W12" s="128" t="s">
        <v>24</v>
      </c>
      <c r="X12" s="209"/>
      <c r="Y12" s="209"/>
      <c r="Z12" s="209"/>
      <c r="AA12" s="209"/>
      <c r="AB12" s="209"/>
      <c r="AC12" s="209"/>
      <c r="AD12" s="209"/>
      <c r="AE12" s="245"/>
      <c r="AF12" s="245"/>
      <c r="AG12" s="245"/>
      <c r="AH12" s="250"/>
      <c r="AI12" s="250"/>
      <c r="AJ12" s="250"/>
      <c r="AK12" s="252"/>
      <c r="AL12" s="252"/>
      <c r="AM12" s="252"/>
      <c r="AN12" s="254"/>
      <c r="AO12" s="254"/>
      <c r="AP12" s="254"/>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row>
    <row r="13" spans="1:74" s="114" customFormat="1" ht="210" customHeight="1" x14ac:dyDescent="0.25">
      <c r="A13" s="255">
        <v>1</v>
      </c>
      <c r="B13" s="256" t="s">
        <v>130</v>
      </c>
      <c r="C13" s="256" t="s">
        <v>228</v>
      </c>
      <c r="D13" s="256" t="s">
        <v>229</v>
      </c>
      <c r="E13" s="257" t="s">
        <v>230</v>
      </c>
      <c r="F13" s="256" t="s">
        <v>126</v>
      </c>
      <c r="G13" s="258">
        <v>12</v>
      </c>
      <c r="H13" s="226" t="str">
        <f>IF(G13&lt;=0,"",IF(G13&lt;=2,"Muy Baja",IF(G13&lt;=24,"Baja",IF(G13&lt;=500,"Media",IF(G13&lt;=5000,"Alta","Muy Alta")))))</f>
        <v>Baja</v>
      </c>
      <c r="I13" s="227">
        <f>IF(H13="","",IF(H13="Muy Baja",0.2,IF(H13="Baja",0.4,IF(H13="Media",0.6,IF(H13="Alta",0.8,IF(H13="Muy Alta",1,))))))</f>
        <v>0.4</v>
      </c>
      <c r="J13" s="230" t="s">
        <v>145</v>
      </c>
      <c r="K13" s="227" t="str">
        <f>IF(NOT(ISERROR(MATCH(J13,#REF!,0))),#REF!&amp;"Por favor no seleccionar los criterios de impacto(Afectación Económica o presupuestal y Pérdida Reputacional)",J13)</f>
        <v xml:space="preserve">     Entre 50 y 100 SMLMV </v>
      </c>
      <c r="L13" s="226" t="str">
        <f>IF(OR(K13='[1]Tabla Impacto'!$C$11,K13='[1]Tabla Impacto'!$D$11),"Leve",IF(OR(K13='[1]Tabla Impacto'!$C$12,K13='[1]Tabla Impacto'!$D$12),"Menor",IF(OR(K13='[1]Tabla Impacto'!$C$13,K13='[1]Tabla Impacto'!$D$13),"Moderado",IF(OR(K13='[1]Tabla Impacto'!$C$14,K13='[1]Tabla Impacto'!$D$14),"Mayor",IF(OR(K13='[1]Tabla Impacto'!$C$15,K13='[1]Tabla Impacto'!$D$15),"Catastrófico","")))))</f>
        <v>Moderado</v>
      </c>
      <c r="M13" s="227">
        <f>IF(L13="","",IF(L13="Leve",0.2,IF(L13="Menor",0.4,IF(L13="Moderado",0.6,IF(L13="Mayor",0.8,IF(L13="Catastrófico",1,))))))</f>
        <v>0.6</v>
      </c>
      <c r="N13" s="229" t="str">
        <f>IF(OR(AND(H13="Muy Baja",L13="Leve"),AND(H13="Muy Baja",L13="Menor"),AND(H13="Baja",L13="Leve")),"Bajo",IF(OR(AND(H13="Muy baja",L13="Moderado"),AND(H13="Baja",L13="Menor"),AND(H13="Baja",L13="Moderado"),AND(H13="Media",L13="Leve"),AND(H13="Media",L13="Menor"),AND(H13="Media",L13="Moderado"),AND(H13="Alta",L13="Leve"),AND(H13="Alta",L13="Menor")),"Moderado",IF(OR(AND(H13="Muy Baja",L13="Mayor"),AND(H13="Baja",L13="Mayor"),AND(H13="Media",L13="Mayor"),AND(H13="Alta",L13="Moderado"),AND(H13="Alta",L13="Mayor"),AND(H13="Muy Alta",L13="Leve"),AND(H13="Muy Alta",L13="Menor"),AND(H13="Muy Alta",L13="Moderado"),AND(H13="Muy Alta",L13="Mayor")),"Alto",IF(OR(AND(H13="Muy Baja",L13="Catastrófico"),AND(H13="Baja",L13="Catastrófico"),AND(H13="Media",L13="Catastrófico"),AND(H13="Alta",L13="Catastrófico"),AND(H13="Muy Alta",L13="Catastrófico")),"Extremo",""))))</f>
        <v>Moderado</v>
      </c>
      <c r="O13" s="118">
        <v>1</v>
      </c>
      <c r="P13" s="151" t="s">
        <v>222</v>
      </c>
      <c r="Q13" s="119" t="str">
        <f>IF(OR(R13="Preventivo",R13="Detectivo"),"Probabilidad",IF(R13="Correctivo","Impacto",""))</f>
        <v>Probabilidad</v>
      </c>
      <c r="R13" s="120" t="s">
        <v>15</v>
      </c>
      <c r="S13" s="120" t="s">
        <v>9</v>
      </c>
      <c r="T13" s="121" t="str">
        <f>IF(AND(R13="Preventivo",S13="Automático"),"50%",IF(AND(R13="Preventivo",S13="Manual"),"40%",IF(AND(R13="Detectivo",S13="Automático"),"40%",IF(AND(R13="Detectivo",S13="Manual"),"30%",IF(AND(R13="Correctivo",S13="Automático"),"35%",IF(AND(R13="Correctivo",S13="Manual"),"25%",""))))))</f>
        <v>30%</v>
      </c>
      <c r="U13" s="120" t="s">
        <v>19</v>
      </c>
      <c r="V13" s="120" t="s">
        <v>22</v>
      </c>
      <c r="W13" s="120" t="s">
        <v>117</v>
      </c>
      <c r="X13" s="122">
        <f>IFERROR(IF(Q13="Probabilidad",(I13-(+I13*T13)),IF(Q13="Impacto",I13,"")),"")</f>
        <v>0.28000000000000003</v>
      </c>
      <c r="Y13" s="123" t="str">
        <f>IFERROR(IF(X13="","",IF(X13&lt;=0.2,"Muy Baja",IF(X13&lt;=0.4,"Baja",IF(X13&lt;=0.6,"Media",IF(X13&lt;=0.8,"Alta","Muy Alta"))))),"")</f>
        <v>Baja</v>
      </c>
      <c r="Z13" s="121">
        <f>+X13</f>
        <v>0.28000000000000003</v>
      </c>
      <c r="AA13" s="239" t="str">
        <f>IFERROR(IF(AB13="","",IF(AB13&lt;=0.2,"Leve",IF(AB13&lt;=0.4,"Menor",IF(AB13&lt;=0.6,"Moderado",IF(AB13&lt;=0.8,"Mayor","Catastrófico"))))),"")</f>
        <v>Moderado</v>
      </c>
      <c r="AB13" s="121">
        <f>IFERROR(IF(Q13="Impacto",(M13-(+M13*T13)),IF(Q13="Probabilidad",M13,"")),"")</f>
        <v>0.6</v>
      </c>
      <c r="AC13" s="241" t="str">
        <f>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Moderado</v>
      </c>
      <c r="AD13" s="243" t="s">
        <v>133</v>
      </c>
      <c r="AE13" s="155" t="s">
        <v>242</v>
      </c>
      <c r="AF13" s="126" t="s">
        <v>243</v>
      </c>
      <c r="AG13" s="127">
        <v>45688</v>
      </c>
      <c r="AH13" s="138">
        <v>45782</v>
      </c>
      <c r="AI13" s="153" t="s">
        <v>258</v>
      </c>
      <c r="AJ13" s="134" t="s">
        <v>248</v>
      </c>
      <c r="AK13" s="138">
        <v>45898</v>
      </c>
      <c r="AL13" s="161" t="s">
        <v>257</v>
      </c>
      <c r="AM13" s="134" t="s">
        <v>248</v>
      </c>
      <c r="AN13" s="138">
        <v>46018</v>
      </c>
      <c r="AO13" s="133"/>
      <c r="AP13" s="139"/>
      <c r="AQ13" s="113"/>
      <c r="AR13" s="113"/>
      <c r="AS13" s="113"/>
      <c r="AT13" s="113"/>
      <c r="AU13" s="113"/>
      <c r="AV13" s="113"/>
      <c r="AW13" s="113"/>
      <c r="AX13" s="113"/>
      <c r="AY13" s="113"/>
      <c r="AZ13" s="113"/>
      <c r="BA13" s="113"/>
      <c r="BB13" s="113"/>
      <c r="BC13" s="113"/>
      <c r="BD13" s="113"/>
      <c r="BE13" s="113"/>
      <c r="BF13" s="113"/>
      <c r="BG13" s="113"/>
      <c r="BH13" s="113"/>
      <c r="BI13" s="113"/>
      <c r="BJ13" s="113"/>
      <c r="BK13" s="113"/>
      <c r="BL13" s="113"/>
      <c r="BM13" s="113"/>
      <c r="BN13" s="113"/>
      <c r="BO13" s="113"/>
      <c r="BP13" s="113"/>
      <c r="BQ13" s="113"/>
      <c r="BR13" s="113"/>
      <c r="BS13" s="113"/>
      <c r="BT13" s="113"/>
      <c r="BU13" s="113"/>
      <c r="BV13" s="113"/>
    </row>
    <row r="14" spans="1:74" ht="128.25" x14ac:dyDescent="0.2">
      <c r="A14" s="255"/>
      <c r="B14" s="256"/>
      <c r="C14" s="256"/>
      <c r="D14" s="256"/>
      <c r="E14" s="257"/>
      <c r="F14" s="256"/>
      <c r="G14" s="258"/>
      <c r="H14" s="226"/>
      <c r="I14" s="227"/>
      <c r="J14" s="230"/>
      <c r="K14" s="227">
        <f>IF(NOT(ISERROR(MATCH(J14,_xlfn.ANCHORARRAY(E18),0))),#REF!&amp;"Por favor no seleccionar los criterios de impacto",J14)</f>
        <v>0</v>
      </c>
      <c r="L14" s="226"/>
      <c r="M14" s="227"/>
      <c r="N14" s="229"/>
      <c r="O14" s="118">
        <v>2</v>
      </c>
      <c r="P14" s="151" t="s">
        <v>223</v>
      </c>
      <c r="Q14" s="119" t="s">
        <v>4</v>
      </c>
      <c r="R14" s="120" t="s">
        <v>14</v>
      </c>
      <c r="S14" s="120" t="s">
        <v>9</v>
      </c>
      <c r="T14" s="121" t="str">
        <f t="shared" ref="T14:T15" si="0">IF(AND(R14="Preventivo",S14="Automático"),"50%",IF(AND(R14="Preventivo",S14="Manual"),"40%",IF(AND(R14="Detectivo",S14="Automático"),"40%",IF(AND(R14="Detectivo",S14="Manual"),"30%",IF(AND(R14="Correctivo",S14="Automático"),"35%",IF(AND(R14="Correctivo",S14="Manual"),"25%",""))))))</f>
        <v>40%</v>
      </c>
      <c r="U14" s="120" t="s">
        <v>19</v>
      </c>
      <c r="V14" s="120" t="s">
        <v>22</v>
      </c>
      <c r="W14" s="120" t="s">
        <v>118</v>
      </c>
      <c r="X14" s="122">
        <f>IFERROR(IF(AND(Q13="Probabilidad",Q14="Probabilidad"),(Z13-(+Z13*T14)),IF(Q14="Probabilidad",(I13-(+I13*T14)),IF(Q14="Impacto",Z13,""))),"")</f>
        <v>0.16800000000000001</v>
      </c>
      <c r="Y14" s="123" t="str">
        <f t="shared" ref="Y14:Y15" si="1">IFERROR(IF(X14="","",IF(X14&lt;=0.2,"Muy Baja",IF(X14&lt;=0.4,"Baja",IF(X14&lt;=0.6,"Media",IF(X14&lt;=0.8,"Alta","Muy Alta"))))),"")</f>
        <v>Muy Baja</v>
      </c>
      <c r="Z14" s="121">
        <f t="shared" ref="Z14:Z15" si="2">+X14</f>
        <v>0.16800000000000001</v>
      </c>
      <c r="AA14" s="240"/>
      <c r="AB14" s="121">
        <f>IFERROR(IF(AND(Q13="Impacto",Q14="Impacto"),(AB13-(+AB13*T14)),IF(Q14="Impacto",($M$13-(+$M$13*T14)),IF(Q14="Probabilidad",AB13,""))),"")</f>
        <v>0.6</v>
      </c>
      <c r="AC14" s="242"/>
      <c r="AD14" s="244"/>
      <c r="AE14" s="156" t="s">
        <v>244</v>
      </c>
      <c r="AF14" s="126" t="s">
        <v>243</v>
      </c>
      <c r="AG14" s="127">
        <v>45688</v>
      </c>
      <c r="AH14" s="138">
        <v>45782</v>
      </c>
      <c r="AI14" s="153" t="s">
        <v>259</v>
      </c>
      <c r="AJ14" s="134" t="s">
        <v>248</v>
      </c>
      <c r="AK14" s="138">
        <v>45898</v>
      </c>
      <c r="AL14" s="153" t="s">
        <v>251</v>
      </c>
      <c r="AM14" s="134" t="s">
        <v>248</v>
      </c>
      <c r="AN14" s="138">
        <v>46018</v>
      </c>
      <c r="AO14" s="135"/>
      <c r="AP14" s="134"/>
      <c r="AQ14" s="109"/>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09"/>
      <c r="BP14" s="109"/>
      <c r="BQ14" s="109"/>
      <c r="BR14" s="109"/>
      <c r="BS14" s="109"/>
      <c r="BT14" s="109"/>
      <c r="BU14" s="109"/>
      <c r="BV14" s="109"/>
    </row>
    <row r="15" spans="1:74" ht="162.75" customHeight="1" x14ac:dyDescent="0.2">
      <c r="A15" s="255"/>
      <c r="B15" s="256"/>
      <c r="C15" s="256"/>
      <c r="D15" s="256"/>
      <c r="E15" s="257"/>
      <c r="F15" s="256"/>
      <c r="G15" s="258"/>
      <c r="H15" s="226"/>
      <c r="I15" s="227"/>
      <c r="J15" s="230"/>
      <c r="K15" s="227">
        <f>IF(NOT(ISERROR(MATCH(J15,_xlfn.ANCHORARRAY(#REF!),0))),#REF!&amp;"Por favor no seleccionar los criterios de impacto",J15)</f>
        <v>0</v>
      </c>
      <c r="L15" s="226"/>
      <c r="M15" s="227"/>
      <c r="N15" s="229"/>
      <c r="O15" s="118">
        <v>3</v>
      </c>
      <c r="P15" s="152" t="s">
        <v>237</v>
      </c>
      <c r="Q15" s="119" t="s">
        <v>4</v>
      </c>
      <c r="R15" s="120" t="s">
        <v>15</v>
      </c>
      <c r="S15" s="120" t="s">
        <v>9</v>
      </c>
      <c r="T15" s="121" t="str">
        <f t="shared" si="0"/>
        <v>30%</v>
      </c>
      <c r="U15" s="120" t="s">
        <v>19</v>
      </c>
      <c r="V15" s="120" t="s">
        <v>22</v>
      </c>
      <c r="W15" s="120" t="s">
        <v>117</v>
      </c>
      <c r="X15" s="122">
        <f>IFERROR(IF(AND(Q14="Probabilidad",Q15="Probabilidad"),(Z14-(+Z14*T15)),IF(AND(Q14="Impacto",Q15="Probabilidad"),(Z13-(+Z13*T15)),IF(Q15="Impacto",Z14,""))),"")</f>
        <v>0.11760000000000001</v>
      </c>
      <c r="Y15" s="123" t="str">
        <f t="shared" si="1"/>
        <v>Muy Baja</v>
      </c>
      <c r="Z15" s="121">
        <f t="shared" si="2"/>
        <v>0.11760000000000001</v>
      </c>
      <c r="AA15" s="123" t="str">
        <f t="shared" ref="AA15:AA17" si="3">IFERROR(IF(AB15="","",IF(AB15&lt;=0.2,"Leve",IF(AB15&lt;=0.4,"Menor",IF(AB15&lt;=0.6,"Moderado",IF(AB15&lt;=0.8,"Mayor","Catastrófico"))))),"")</f>
        <v>Moderado</v>
      </c>
      <c r="AB15" s="121">
        <f>IFERROR(IF(AND(Q14="Impacto",Q15="Impacto"),(AB14-(+AB14*T15)),IF(AND(Q14="Probabilidad",Q15="Impacto"),(AB13-(+AB13*T15)),IF(Q15="Probabilidad",AB14,""))),"")</f>
        <v>0.6</v>
      </c>
      <c r="AC15" s="124" t="str">
        <f t="shared" ref="AC15" si="4">IFERROR(IF(OR(AND(Y15="Muy Baja",AA15="Leve"),AND(Y15="Muy Baja",AA15="Menor"),AND(Y15="Baja",AA15="Leve")),"Bajo",IF(OR(AND(Y15="Muy baja",AA15="Moderado"),AND(Y15="Baja",AA15="Menor"),AND(Y15="Baja",AA15="Moderado"),AND(Y15="Media",AA15="Leve"),AND(Y15="Media",AA15="Menor"),AND(Y15="Media",AA15="Moderado"),AND(Y15="Alta",AA15="Leve"),AND(Y15="Alta",AA15="Menor")),"Moderado",IF(OR(AND(Y15="Muy Baja",AA15="Mayor"),AND(Y15="Baja",AA15="Mayor"),AND(Y15="Media",AA15="Mayor"),AND(Y15="Alta",AA15="Moderado"),AND(Y15="Alta",AA15="Mayor"),AND(Y15="Muy Alta",AA15="Leve"),AND(Y15="Muy Alta",AA15="Menor"),AND(Y15="Muy Alta",AA15="Moderado"),AND(Y15="Muy Alta",AA15="Mayor")),"Alto",IF(OR(AND(Y15="Muy Baja",AA15="Catastrófico"),AND(Y15="Baja",AA15="Catastrófico"),AND(Y15="Media",AA15="Catastrófico"),AND(Y15="Alta",AA15="Catastrófico"),AND(Y15="Muy Alta",AA15="Catastrófico")),"Extremo","")))),"")</f>
        <v>Moderado</v>
      </c>
      <c r="AD15" s="120" t="s">
        <v>133</v>
      </c>
      <c r="AE15" s="155" t="s">
        <v>245</v>
      </c>
      <c r="AF15" s="126" t="s">
        <v>243</v>
      </c>
      <c r="AG15" s="127">
        <v>45688</v>
      </c>
      <c r="AH15" s="138">
        <v>45782</v>
      </c>
      <c r="AI15" s="153" t="s">
        <v>260</v>
      </c>
      <c r="AJ15" s="134" t="s">
        <v>248</v>
      </c>
      <c r="AK15" s="138">
        <v>45898</v>
      </c>
      <c r="AL15" s="161" t="s">
        <v>252</v>
      </c>
      <c r="AM15" s="134" t="s">
        <v>248</v>
      </c>
      <c r="AN15" s="138">
        <v>46018</v>
      </c>
      <c r="AO15" s="136"/>
      <c r="AP15" s="134"/>
      <c r="AQ15" s="109"/>
      <c r="AR15" s="109"/>
      <c r="AS15" s="109"/>
      <c r="AT15" s="109"/>
      <c r="AU15" s="109"/>
      <c r="AV15" s="109"/>
      <c r="AW15" s="109"/>
      <c r="AX15" s="109"/>
      <c r="AY15" s="109"/>
      <c r="AZ15" s="109"/>
      <c r="BA15" s="109"/>
      <c r="BB15" s="109"/>
      <c r="BC15" s="109"/>
      <c r="BD15" s="109"/>
      <c r="BE15" s="109"/>
      <c r="BF15" s="109"/>
      <c r="BG15" s="109"/>
      <c r="BH15" s="109"/>
      <c r="BI15" s="109"/>
      <c r="BJ15" s="109"/>
      <c r="BK15" s="109"/>
      <c r="BL15" s="109"/>
      <c r="BM15" s="109"/>
      <c r="BN15" s="109"/>
      <c r="BO15" s="109"/>
      <c r="BP15" s="109"/>
      <c r="BQ15" s="109"/>
      <c r="BR15" s="109"/>
      <c r="BS15" s="109"/>
      <c r="BT15" s="109"/>
      <c r="BU15" s="109"/>
      <c r="BV15" s="109"/>
    </row>
    <row r="16" spans="1:74" ht="225.75" customHeight="1" x14ac:dyDescent="0.2">
      <c r="A16" s="255">
        <v>2</v>
      </c>
      <c r="B16" s="256" t="s">
        <v>130</v>
      </c>
      <c r="C16" s="256" t="s">
        <v>231</v>
      </c>
      <c r="D16" s="256" t="s">
        <v>232</v>
      </c>
      <c r="E16" s="257" t="s">
        <v>233</v>
      </c>
      <c r="F16" s="256" t="s">
        <v>126</v>
      </c>
      <c r="G16" s="258">
        <v>12</v>
      </c>
      <c r="H16" s="226" t="str">
        <f>IF(G16&lt;=0,"",IF(G16&lt;=2,"Muy Baja",IF(G16&lt;=24,"Baja",IF(G16&lt;=500,"Media",IF(G16&lt;=5000,"Alta","Muy Alta")))))</f>
        <v>Baja</v>
      </c>
      <c r="I16" s="227">
        <f>IF(H16="","",IF(H16="Muy Baja",0.2,IF(H16="Baja",0.4,IF(H16="Media",0.6,IF(H16="Alta",0.8,IF(H16="Muy Alta",1,))))))</f>
        <v>0.4</v>
      </c>
      <c r="J16" s="230" t="s">
        <v>145</v>
      </c>
      <c r="K16" s="227" t="str">
        <f>IF(NOT(ISERROR(MATCH(J16,#REF!,0))),#REF!&amp;"Por favor no seleccionar los criterios de impacto(Afectación Económica o presupuestal y Pérdida Reputacional)",J16)</f>
        <v xml:space="preserve">     Entre 50 y 100 SMLMV </v>
      </c>
      <c r="L16" s="226" t="str">
        <f>IF(OR(K16='[1]Tabla Impacto'!$C$11,K16='[1]Tabla Impacto'!$D$11),"Leve",IF(OR(K16='[1]Tabla Impacto'!$C$12,K16='[1]Tabla Impacto'!$D$12),"Menor",IF(OR(K16='[1]Tabla Impacto'!$C$13,K16='[1]Tabla Impacto'!$D$13),"Moderado",IF(OR(K16='[1]Tabla Impacto'!$C$14,K16='[1]Tabla Impacto'!$D$14),"Mayor",IF(OR(K16='[1]Tabla Impacto'!$C$15,K16='[1]Tabla Impacto'!$D$15),"Catastrófico","")))))</f>
        <v>Moderado</v>
      </c>
      <c r="M16" s="227">
        <f>IF(L16="","",IF(L16="Leve",0.2,IF(L16="Menor",0.4,IF(L16="Moderado",0.6,IF(L16="Mayor",0.8,IF(L16="Catastrófico",1,))))))</f>
        <v>0.6</v>
      </c>
      <c r="N16" s="229" t="str">
        <f>IF(OR(AND(H16="Muy Baja",L16="Leve"),AND(H16="Muy Baja",L16="Menor"),AND(H16="Baja",L16="Leve")),"Bajo",IF(OR(AND(H16="Muy baja",L16="Moderado"),AND(H16="Baja",L16="Menor"),AND(H16="Baja",L16="Moderado"),AND(H16="Media",L16="Leve"),AND(H16="Media",L16="Menor"),AND(H16="Media",L16="Moderado"),AND(H16="Alta",L16="Leve"),AND(H16="Alta",L16="Menor")),"Moderado",IF(OR(AND(H16="Muy Baja",L16="Mayor"),AND(H16="Baja",L16="Mayor"),AND(H16="Media",L16="Mayor"),AND(H16="Alta",L16="Moderado"),AND(H16="Alta",L16="Mayor"),AND(H16="Muy Alta",L16="Leve"),AND(H16="Muy Alta",L16="Menor"),AND(H16="Muy Alta",L16="Moderado"),AND(H16="Muy Alta",L16="Mayor")),"Alto",IF(OR(AND(H16="Muy Baja",L16="Catastrófico"),AND(H16="Baja",L16="Catastrófico"),AND(H16="Media",L16="Catastrófico"),AND(H16="Alta",L16="Catastrófico"),AND(H16="Muy Alta",L16="Catastrófico")),"Extremo",""))))</f>
        <v>Moderado</v>
      </c>
      <c r="O16" s="118">
        <v>1</v>
      </c>
      <c r="P16" s="151" t="s">
        <v>238</v>
      </c>
      <c r="Q16" s="119" t="str">
        <f t="shared" ref="Q16:Q18" si="5">IF(OR(R16="Preventivo",R16="Detectivo"),"Probabilidad",IF(R16="Correctivo","Impacto",""))</f>
        <v>Probabilidad</v>
      </c>
      <c r="R16" s="120" t="s">
        <v>14</v>
      </c>
      <c r="S16" s="120" t="s">
        <v>9</v>
      </c>
      <c r="T16" s="121" t="str">
        <f>IF(AND(R16="Preventivo",S16="Automático"),"50%",IF(AND(R16="Preventivo",S16="Manual"),"40%",IF(AND(R16="Detectivo",S16="Automático"),"40%",IF(AND(R16="Detectivo",S16="Manual"),"30%",IF(AND(R16="Correctivo",S16="Automático"),"35%",IF(AND(R16="Correctivo",S16="Manual"),"25%",""))))))</f>
        <v>40%</v>
      </c>
      <c r="U16" s="120" t="s">
        <v>19</v>
      </c>
      <c r="V16" s="120" t="s">
        <v>22</v>
      </c>
      <c r="W16" s="120" t="s">
        <v>117</v>
      </c>
      <c r="X16" s="122">
        <f>IFERROR(IF(Q16="Probabilidad",(I16-(+I16*T16)),IF(Q16="Impacto",I16,"")),"")</f>
        <v>0.24</v>
      </c>
      <c r="Y16" s="123" t="str">
        <f>IFERROR(IF(X16="","",IF(X16&lt;=0.2,"Muy Baja",IF(X16&lt;=0.4,"Baja",IF(X16&lt;=0.6,"Media",IF(X16&lt;=0.8,"Alta","Muy Alta"))))),"")</f>
        <v>Baja</v>
      </c>
      <c r="Z16" s="121">
        <f>+X16</f>
        <v>0.24</v>
      </c>
      <c r="AA16" s="123" t="str">
        <f>IFERROR(IF(AB16="","",IF(AB16&lt;=0.2,"Leve",IF(AB16&lt;=0.4,"Menor",IF(AB16&lt;=0.6,"Moderado",IF(AB16&lt;=0.8,"Mayor","Catastrófico"))))),"")</f>
        <v>Moderado</v>
      </c>
      <c r="AB16" s="121">
        <f>IFERROR(IF(Q16="Impacto",(M16-(+M16*T16)),IF(Q16="Probabilidad",M16,"")),"")</f>
        <v>0.6</v>
      </c>
      <c r="AC16" s="124" t="str">
        <f>IFERROR(IF(OR(AND(Y16="Muy Baja",AA16="Leve"),AND(Y16="Muy Baja",AA16="Menor"),AND(Y16="Baja",AA16="Leve")),"Bajo",IF(OR(AND(Y16="Muy baja",AA16="Moderado"),AND(Y16="Baja",AA16="Menor"),AND(Y16="Baja",AA16="Moderado"),AND(Y16="Media",AA16="Leve"),AND(Y16="Media",AA16="Menor"),AND(Y16="Media",AA16="Moderado"),AND(Y16="Alta",AA16="Leve"),AND(Y16="Alta",AA16="Menor")),"Moderado",IF(OR(AND(Y16="Muy Baja",AA16="Mayor"),AND(Y16="Baja",AA16="Mayor"),AND(Y16="Media",AA16="Mayor"),AND(Y16="Alta",AA16="Moderado"),AND(Y16="Alta",AA16="Mayor"),AND(Y16="Muy Alta",AA16="Leve"),AND(Y16="Muy Alta",AA16="Menor"),AND(Y16="Muy Alta",AA16="Moderado"),AND(Y16="Muy Alta",AA16="Mayor")),"Alto",IF(OR(AND(Y16="Muy Baja",AA16="Catastrófico"),AND(Y16="Baja",AA16="Catastrófico"),AND(Y16="Media",AA16="Catastrófico"),AND(Y16="Alta",AA16="Catastrófico"),AND(Y16="Muy Alta",AA16="Catastrófico")),"Extremo","")))),"")</f>
        <v>Moderado</v>
      </c>
      <c r="AD16" s="120" t="s">
        <v>133</v>
      </c>
      <c r="AE16" s="155" t="s">
        <v>253</v>
      </c>
      <c r="AF16" s="126" t="s">
        <v>243</v>
      </c>
      <c r="AG16" s="127">
        <v>45688</v>
      </c>
      <c r="AH16" s="138">
        <v>45782</v>
      </c>
      <c r="AI16" s="153" t="s">
        <v>261</v>
      </c>
      <c r="AJ16" s="134" t="s">
        <v>248</v>
      </c>
      <c r="AK16" s="138">
        <v>45898</v>
      </c>
      <c r="AL16" s="161" t="s">
        <v>254</v>
      </c>
      <c r="AM16" s="134" t="s">
        <v>248</v>
      </c>
      <c r="AN16" s="138">
        <v>46018</v>
      </c>
      <c r="AO16" s="136"/>
      <c r="AP16" s="134"/>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c r="BQ16" s="109"/>
      <c r="BR16" s="109"/>
      <c r="BS16" s="109"/>
      <c r="BT16" s="109"/>
      <c r="BU16" s="109"/>
      <c r="BV16" s="109"/>
    </row>
    <row r="17" spans="1:74" ht="225.75" customHeight="1" x14ac:dyDescent="0.2">
      <c r="A17" s="255"/>
      <c r="B17" s="256"/>
      <c r="C17" s="256"/>
      <c r="D17" s="256"/>
      <c r="E17" s="257"/>
      <c r="F17" s="256"/>
      <c r="G17" s="258"/>
      <c r="H17" s="226"/>
      <c r="I17" s="227"/>
      <c r="J17" s="230"/>
      <c r="K17" s="227">
        <f>IF(NOT(ISERROR(MATCH(J17,_xlfn.ANCHORARRAY(#REF!),0))),#REF!&amp;"Por favor no seleccionar los criterios de impacto",J17)</f>
        <v>0</v>
      </c>
      <c r="L17" s="226"/>
      <c r="M17" s="227"/>
      <c r="N17" s="229"/>
      <c r="O17" s="118">
        <v>2</v>
      </c>
      <c r="P17" s="151" t="s">
        <v>239</v>
      </c>
      <c r="Q17" s="119" t="str">
        <f t="shared" si="5"/>
        <v>Probabilidad</v>
      </c>
      <c r="R17" s="120" t="s">
        <v>14</v>
      </c>
      <c r="S17" s="120" t="s">
        <v>9</v>
      </c>
      <c r="T17" s="121" t="str">
        <f>IF(AND(R17="Preventivo",S17="Automático"),"50%",IF(AND(R17="Preventivo",S17="Manual"),"40%",IF(AND(R17="Detectivo",S17="Automático"),"40%",IF(AND(R17="Detectivo",S17="Manual"),"30%",IF(AND(R17="Correctivo",S17="Automático"),"35%",IF(AND(R17="Correctivo",S17="Manual"),"25%",""))))))</f>
        <v>40%</v>
      </c>
      <c r="U17" s="120" t="s">
        <v>19</v>
      </c>
      <c r="V17" s="120" t="s">
        <v>22</v>
      </c>
      <c r="W17" s="120" t="s">
        <v>117</v>
      </c>
      <c r="X17" s="122">
        <f>IFERROR(IF(Q17="Probabilidad",(I17-(+I17*T17)),IF(Q17="Impacto",I17,"")),"")</f>
        <v>0</v>
      </c>
      <c r="Y17" s="123" t="str">
        <f>IFERROR(IF(X17="","",IF(X17&lt;=0.2,"Muy Baja",IF(X17&lt;=0.4,"Baja",IF(X17&lt;=0.6,"Media",IF(X17&lt;=0.8,"Alta","Muy Alta"))))),"")</f>
        <v>Muy Baja</v>
      </c>
      <c r="Z17" s="121">
        <f>+X17</f>
        <v>0</v>
      </c>
      <c r="AA17" s="123" t="str">
        <f t="shared" si="3"/>
        <v>Moderado</v>
      </c>
      <c r="AB17" s="121">
        <f>IFERROR(IF(AND(Q16="Impacto",Q17="Impacto"),(AB13-(+AB13*T17)),IF(Q17="Impacto",($M$16-(+$M$16*T17)),IF(Q17="Probabilidad",AB13,""))),"")</f>
        <v>0.6</v>
      </c>
      <c r="AC17" s="124" t="str">
        <f t="shared" ref="AC17" si="6">IFERROR(IF(OR(AND(Y17="Muy Baja",AA17="Leve"),AND(Y17="Muy Baja",AA17="Menor"),AND(Y17="Baja",AA17="Leve")),"Bajo",IF(OR(AND(Y17="Muy baja",AA17="Moderado"),AND(Y17="Baja",AA17="Menor"),AND(Y17="Baja",AA17="Moderado"),AND(Y17="Media",AA17="Leve"),AND(Y17="Media",AA17="Menor"),AND(Y17="Media",AA17="Moderado"),AND(Y17="Alta",AA17="Leve"),AND(Y17="Alta",AA17="Menor")),"Moderado",IF(OR(AND(Y17="Muy Baja",AA17="Mayor"),AND(Y17="Baja",AA17="Mayor"),AND(Y17="Media",AA17="Mayor"),AND(Y17="Alta",AA17="Moderado"),AND(Y17="Alta",AA17="Mayor"),AND(Y17="Muy Alta",AA17="Leve"),AND(Y17="Muy Alta",AA17="Menor"),AND(Y17="Muy Alta",AA17="Moderado"),AND(Y17="Muy Alta",AA17="Mayor")),"Alto",IF(OR(AND(Y17="Muy Baja",AA17="Catastrófico"),AND(Y17="Baja",AA17="Catastrófico"),AND(Y17="Media",AA17="Catastrófico"),AND(Y17="Alta",AA17="Catastrófico"),AND(Y17="Muy Alta",AA17="Catastrófico")),"Extremo","")))),"")</f>
        <v>Moderado</v>
      </c>
      <c r="AD17" s="120"/>
      <c r="AE17" s="155" t="s">
        <v>246</v>
      </c>
      <c r="AF17" s="126" t="s">
        <v>243</v>
      </c>
      <c r="AG17" s="127">
        <v>45688</v>
      </c>
      <c r="AH17" s="138">
        <v>45782</v>
      </c>
      <c r="AI17" s="154" t="s">
        <v>249</v>
      </c>
      <c r="AJ17" s="134" t="s">
        <v>248</v>
      </c>
      <c r="AK17" s="138">
        <v>45898</v>
      </c>
      <c r="AL17" s="162" t="s">
        <v>255</v>
      </c>
      <c r="AM17" s="134" t="s">
        <v>248</v>
      </c>
      <c r="AN17" s="138">
        <v>46018</v>
      </c>
      <c r="AO17" s="136"/>
      <c r="AP17" s="134"/>
      <c r="AQ17" s="109"/>
      <c r="AR17" s="109"/>
      <c r="AS17" s="109"/>
      <c r="AT17" s="109"/>
      <c r="AU17" s="109"/>
      <c r="AV17" s="109"/>
      <c r="AW17" s="109"/>
      <c r="AX17" s="109"/>
      <c r="AY17" s="109"/>
      <c r="AZ17" s="109"/>
      <c r="BA17" s="109"/>
      <c r="BB17" s="109"/>
      <c r="BC17" s="109"/>
      <c r="BD17" s="109"/>
      <c r="BE17" s="109"/>
      <c r="BF17" s="109"/>
      <c r="BG17" s="109"/>
      <c r="BH17" s="109"/>
      <c r="BI17" s="109"/>
      <c r="BJ17" s="109"/>
      <c r="BK17" s="109"/>
      <c r="BL17" s="109"/>
      <c r="BM17" s="109"/>
      <c r="BN17" s="109"/>
      <c r="BO17" s="109"/>
      <c r="BP17" s="109"/>
      <c r="BQ17" s="109"/>
      <c r="BR17" s="109"/>
      <c r="BS17" s="109"/>
      <c r="BT17" s="109"/>
      <c r="BU17" s="109"/>
      <c r="BV17" s="109"/>
    </row>
    <row r="18" spans="1:74" ht="120" x14ac:dyDescent="0.2">
      <c r="A18" s="118">
        <v>3</v>
      </c>
      <c r="B18" s="125" t="s">
        <v>131</v>
      </c>
      <c r="C18" s="125" t="s">
        <v>234</v>
      </c>
      <c r="D18" s="125" t="s">
        <v>235</v>
      </c>
      <c r="E18" s="137" t="s">
        <v>236</v>
      </c>
      <c r="F18" s="125" t="s">
        <v>126</v>
      </c>
      <c r="G18" s="126">
        <v>12</v>
      </c>
      <c r="H18" s="140" t="str">
        <f>IF(G18&lt;=0,"",IF(G18&lt;=2,"Muy Baja",IF(G18&lt;=24,"Baja",IF(G18&lt;=500,"Media",IF(G18&lt;=5000,"Alta","Muy Alta")))))</f>
        <v>Baja</v>
      </c>
      <c r="I18" s="142">
        <f>IF(H18="","",IF(H18="Muy Baja",0.2,IF(H18="Baja",0.4,IF(H18="Media",0.6,IF(H18="Alta",0.8,IF(H18="Muy Alta",1,))))))</f>
        <v>0.4</v>
      </c>
      <c r="J18" s="143" t="s">
        <v>145</v>
      </c>
      <c r="K18" s="142" t="str">
        <f>IF(NOT(ISERROR(MATCH(J18,#REF!,0))),#REF!&amp;"Por favor no seleccionar los criterios de impacto(Afectación Económica o presupuestal y Pérdida Reputacional)",J18)</f>
        <v xml:space="preserve">     Entre 50 y 100 SMLMV </v>
      </c>
      <c r="L18" s="140" t="str">
        <f>IF(OR(K18='[1]Tabla Impacto'!$C$11,K18='[1]Tabla Impacto'!$D$11),"Leve",IF(OR(K18='[1]Tabla Impacto'!$C$12,K18='[1]Tabla Impacto'!$D$12),"Menor",IF(OR(K18='[1]Tabla Impacto'!$C$13,K18='[1]Tabla Impacto'!$D$13),"Moderado",IF(OR(K18='[1]Tabla Impacto'!$C$14,K18='[1]Tabla Impacto'!$D$14),"Mayor",IF(OR(K18='[1]Tabla Impacto'!$C$15,K18='[1]Tabla Impacto'!$D$15),"Catastrófico","")))))</f>
        <v>Moderado</v>
      </c>
      <c r="M18" s="142">
        <f>IF(L18="","",IF(L18="Leve",0.2,IF(L18="Menor",0.4,IF(L18="Moderado",0.6,IF(L18="Mayor",0.8,IF(L18="Catastrófico",1,))))))</f>
        <v>0.6</v>
      </c>
      <c r="N18" s="141" t="str">
        <f>IF(OR(AND(H18="Muy Baja",L18="Leve"),AND(H18="Muy Baja",L18="Menor"),AND(H18="Baja",L18="Leve")),"Bajo",IF(OR(AND(H18="Muy baja",L18="Moderado"),AND(H18="Baja",L18="Menor"),AND(H18="Baja",L18="Moderado"),AND(H18="Media",L18="Leve"),AND(H18="Media",L18="Menor"),AND(H18="Media",L18="Moderado"),AND(H18="Alta",L18="Leve"),AND(H18="Alta",L18="Menor")),"Moderado",IF(OR(AND(H18="Muy Baja",L18="Mayor"),AND(H18="Baja",L18="Mayor"),AND(H18="Media",L18="Mayor"),AND(H18="Alta",L18="Moderado"),AND(H18="Alta",L18="Mayor"),AND(H18="Muy Alta",L18="Leve"),AND(H18="Muy Alta",L18="Menor"),AND(H18="Muy Alta",L18="Moderado"),AND(H18="Muy Alta",L18="Mayor")),"Alto",IF(OR(AND(H18="Muy Baja",L18="Catastrófico"),AND(H18="Baja",L18="Catastrófico"),AND(H18="Media",L18="Catastrófico"),AND(H18="Alta",L18="Catastrófico"),AND(H18="Muy Alta",L18="Catastrófico")),"Extremo",""))))</f>
        <v>Moderado</v>
      </c>
      <c r="O18" s="118">
        <v>1</v>
      </c>
      <c r="P18" s="151" t="s">
        <v>241</v>
      </c>
      <c r="Q18" s="119" t="str">
        <f t="shared" si="5"/>
        <v>Probabilidad</v>
      </c>
      <c r="R18" s="120" t="s">
        <v>14</v>
      </c>
      <c r="S18" s="120" t="s">
        <v>9</v>
      </c>
      <c r="T18" s="121" t="str">
        <f>IF(AND(R18="Preventivo",S18="Automático"),"50%",IF(AND(R18="Preventivo",S18="Manual"),"40%",IF(AND(R18="Detectivo",S18="Automático"),"40%",IF(AND(R18="Detectivo",S18="Manual"),"30%",IF(AND(R18="Correctivo",S18="Automático"),"35%",IF(AND(R18="Correctivo",S18="Manual"),"25%",""))))))</f>
        <v>40%</v>
      </c>
      <c r="U18" s="120" t="s">
        <v>19</v>
      </c>
      <c r="V18" s="120" t="s">
        <v>22</v>
      </c>
      <c r="W18" s="120" t="s">
        <v>118</v>
      </c>
      <c r="X18" s="122">
        <f>IFERROR(IF(Q18="Probabilidad",(I18-(+I18*T18)),IF(Q18="Impacto",I18,"")),"")</f>
        <v>0.24</v>
      </c>
      <c r="Y18" s="123" t="str">
        <f>IFERROR(IF(X18="","",IF(X18&lt;=0.2,"Muy Baja",IF(X18&lt;=0.4,"Baja",IF(X18&lt;=0.6,"Media",IF(X18&lt;=0.8,"Alta","Muy Alta"))))),"")</f>
        <v>Baja</v>
      </c>
      <c r="Z18" s="121">
        <f>+X18</f>
        <v>0.24</v>
      </c>
      <c r="AA18" s="123" t="str">
        <f>IFERROR(IF(AB18="","",IF(AB18&lt;=0.2,"Leve",IF(AB18&lt;=0.4,"Menor",IF(AB18&lt;=0.6,"Moderado",IF(AB18&lt;=0.8,"Mayor","Catastrófico"))))),"")</f>
        <v>Moderado</v>
      </c>
      <c r="AB18" s="121">
        <f>IFERROR(IF(Q18="Impacto",(M18-(+M18*T18)),IF(Q18="Probabilidad",M18,"")),"")</f>
        <v>0.6</v>
      </c>
      <c r="AC18" s="124" t="str">
        <f>IFERROR(IF(OR(AND(Y18="Muy Baja",AA18="Leve"),AND(Y18="Muy Baja",AA18="Menor"),AND(Y18="Baja",AA18="Leve")),"Bajo",IF(OR(AND(Y18="Muy baja",AA18="Moderado"),AND(Y18="Baja",AA18="Menor"),AND(Y18="Baja",AA18="Moderado"),AND(Y18="Media",AA18="Leve"),AND(Y18="Media",AA18="Menor"),AND(Y18="Media",AA18="Moderado"),AND(Y18="Alta",AA18="Leve"),AND(Y18="Alta",AA18="Menor")),"Moderado",IF(OR(AND(Y18="Muy Baja",AA18="Mayor"),AND(Y18="Baja",AA18="Mayor"),AND(Y18="Media",AA18="Mayor"),AND(Y18="Alta",AA18="Moderado"),AND(Y18="Alta",AA18="Mayor"),AND(Y18="Muy Alta",AA18="Leve"),AND(Y18="Muy Alta",AA18="Menor"),AND(Y18="Muy Alta",AA18="Moderado"),AND(Y18="Muy Alta",AA18="Mayor")),"Alto",IF(OR(AND(Y18="Muy Baja",AA18="Catastrófico"),AND(Y18="Baja",AA18="Catastrófico"),AND(Y18="Media",AA18="Catastrófico"),AND(Y18="Alta",AA18="Catastrófico"),AND(Y18="Muy Alta",AA18="Catastrófico")),"Extremo","")))),"")</f>
        <v>Moderado</v>
      </c>
      <c r="AD18" s="120" t="s">
        <v>133</v>
      </c>
      <c r="AE18" s="155" t="s">
        <v>247</v>
      </c>
      <c r="AF18" s="126" t="s">
        <v>243</v>
      </c>
      <c r="AG18" s="127">
        <v>45688</v>
      </c>
      <c r="AH18" s="163">
        <v>45782</v>
      </c>
      <c r="AI18" s="165" t="s">
        <v>250</v>
      </c>
      <c r="AJ18" s="164" t="s">
        <v>248</v>
      </c>
      <c r="AK18" s="163">
        <v>45898</v>
      </c>
      <c r="AL18" s="166" t="s">
        <v>256</v>
      </c>
      <c r="AM18" s="164" t="s">
        <v>248</v>
      </c>
      <c r="AN18" s="138">
        <v>46018</v>
      </c>
      <c r="AO18" s="136"/>
      <c r="AP18" s="134"/>
      <c r="AQ18" s="109"/>
      <c r="AR18" s="109"/>
      <c r="AS18" s="109"/>
      <c r="AT18" s="109"/>
      <c r="AU18" s="109"/>
      <c r="AV18" s="109"/>
      <c r="AW18" s="109"/>
      <c r="AX18" s="109"/>
      <c r="AY18" s="109"/>
      <c r="AZ18" s="109"/>
      <c r="BA18" s="109"/>
      <c r="BB18" s="109"/>
      <c r="BC18" s="109"/>
      <c r="BD18" s="109"/>
      <c r="BE18" s="109"/>
      <c r="BF18" s="109"/>
      <c r="BG18" s="109"/>
      <c r="BH18" s="109"/>
      <c r="BI18" s="109"/>
      <c r="BJ18" s="109"/>
      <c r="BK18" s="109"/>
      <c r="BL18" s="109"/>
      <c r="BM18" s="109"/>
      <c r="BN18" s="109"/>
      <c r="BO18" s="109"/>
      <c r="BP18" s="109"/>
      <c r="BQ18" s="109"/>
      <c r="BR18" s="109"/>
      <c r="BS18" s="109"/>
      <c r="BT18" s="109"/>
      <c r="BU18" s="109"/>
      <c r="BV18" s="109"/>
    </row>
    <row r="19" spans="1:74" ht="49.5" customHeight="1" x14ac:dyDescent="0.2">
      <c r="A19" s="118"/>
      <c r="B19" s="206" t="s">
        <v>210</v>
      </c>
      <c r="C19" s="207"/>
      <c r="D19" s="207"/>
      <c r="E19" s="207"/>
      <c r="F19" s="207"/>
      <c r="G19" s="207"/>
      <c r="H19" s="207"/>
      <c r="I19" s="207"/>
      <c r="J19" s="207"/>
      <c r="K19" s="207"/>
      <c r="L19" s="207"/>
      <c r="M19" s="207"/>
      <c r="N19" s="207"/>
      <c r="O19" s="207"/>
      <c r="P19" s="207"/>
      <c r="Q19" s="207"/>
      <c r="R19" s="207"/>
      <c r="S19" s="207"/>
      <c r="T19" s="207"/>
      <c r="U19" s="207"/>
      <c r="V19" s="207"/>
      <c r="W19" s="207"/>
      <c r="X19" s="207"/>
      <c r="Y19" s="207"/>
      <c r="Z19" s="207"/>
      <c r="AA19" s="207"/>
      <c r="AB19" s="207"/>
      <c r="AC19" s="207"/>
      <c r="AD19" s="207"/>
      <c r="AE19" s="207"/>
      <c r="AF19" s="207"/>
      <c r="AG19" s="207"/>
      <c r="AH19" s="207"/>
      <c r="AI19" s="207"/>
      <c r="AJ19" s="207"/>
      <c r="AK19" s="207"/>
      <c r="AL19" s="207"/>
      <c r="AM19" s="207"/>
      <c r="AN19" s="207"/>
      <c r="AO19" s="207"/>
      <c r="AP19" s="208"/>
    </row>
    <row r="20" spans="1:74" x14ac:dyDescent="0.25">
      <c r="AH20" s="157"/>
      <c r="AI20" s="158"/>
      <c r="AJ20" s="159"/>
      <c r="AK20" s="157"/>
      <c r="AL20" s="158"/>
      <c r="AM20" s="159"/>
      <c r="AN20" s="157"/>
      <c r="AP20" s="160"/>
    </row>
    <row r="21" spans="1:74" x14ac:dyDescent="0.25">
      <c r="A21" s="110"/>
      <c r="B21" s="115" t="s">
        <v>140</v>
      </c>
      <c r="C21" s="110"/>
      <c r="D21" s="110"/>
      <c r="F21" s="110"/>
      <c r="AH21" s="157"/>
      <c r="AI21" s="158"/>
      <c r="AJ21" s="159"/>
      <c r="AK21" s="157"/>
      <c r="AL21" s="158"/>
      <c r="AM21" s="159"/>
      <c r="AN21" s="157"/>
      <c r="AP21" s="160"/>
    </row>
    <row r="22" spans="1:74" x14ac:dyDescent="0.25">
      <c r="AH22" s="157"/>
      <c r="AI22" s="158"/>
      <c r="AJ22" s="159"/>
      <c r="AK22" s="157"/>
      <c r="AL22" s="158"/>
      <c r="AM22" s="159"/>
      <c r="AN22" s="157"/>
      <c r="AP22" s="160"/>
    </row>
    <row r="23" spans="1:74" x14ac:dyDescent="0.25">
      <c r="AH23" s="157"/>
      <c r="AI23" s="158"/>
      <c r="AJ23" s="159"/>
      <c r="AK23" s="157"/>
      <c r="AL23" s="158"/>
      <c r="AM23" s="159"/>
      <c r="AN23" s="157"/>
      <c r="AP23" s="160"/>
    </row>
    <row r="24" spans="1:74" x14ac:dyDescent="0.25">
      <c r="AH24" s="157"/>
      <c r="AI24" s="158"/>
      <c r="AJ24" s="159"/>
      <c r="AK24" s="157"/>
      <c r="AL24" s="158"/>
      <c r="AM24" s="159"/>
      <c r="AN24" s="157"/>
      <c r="AP24" s="160"/>
    </row>
    <row r="25" spans="1:74" x14ac:dyDescent="0.25">
      <c r="AH25" s="110"/>
      <c r="AI25" s="110"/>
      <c r="AJ25" s="110"/>
      <c r="AK25" s="110"/>
      <c r="AL25" s="110"/>
      <c r="AM25" s="110"/>
    </row>
  </sheetData>
  <dataConsolidate/>
  <mergeCells count="91">
    <mergeCell ref="K16:K17"/>
    <mergeCell ref="L16:L17"/>
    <mergeCell ref="M16:M17"/>
    <mergeCell ref="N16:N17"/>
    <mergeCell ref="A13:A15"/>
    <mergeCell ref="B13:B15"/>
    <mergeCell ref="C13:C15"/>
    <mergeCell ref="D13:D15"/>
    <mergeCell ref="E13:E15"/>
    <mergeCell ref="F13:F15"/>
    <mergeCell ref="G13:G15"/>
    <mergeCell ref="H13:H15"/>
    <mergeCell ref="I13:I15"/>
    <mergeCell ref="F16:F17"/>
    <mergeCell ref="G16:G17"/>
    <mergeCell ref="H16:H17"/>
    <mergeCell ref="I16:I17"/>
    <mergeCell ref="J16:J17"/>
    <mergeCell ref="A16:A17"/>
    <mergeCell ref="B16:B17"/>
    <mergeCell ref="C16:C17"/>
    <mergeCell ref="D16:D17"/>
    <mergeCell ref="E16:E17"/>
    <mergeCell ref="AN10:AP10"/>
    <mergeCell ref="AH11:AH12"/>
    <mergeCell ref="AI11:AI12"/>
    <mergeCell ref="AJ11:AJ12"/>
    <mergeCell ref="AK11:AK12"/>
    <mergeCell ref="AL11:AL12"/>
    <mergeCell ref="AM11:AM12"/>
    <mergeCell ref="AN11:AN12"/>
    <mergeCell ref="AO11:AO12"/>
    <mergeCell ref="AP11:AP12"/>
    <mergeCell ref="AA13:AA14"/>
    <mergeCell ref="AC13:AC14"/>
    <mergeCell ref="AD13:AD14"/>
    <mergeCell ref="AE11:AE12"/>
    <mergeCell ref="AG11:AG12"/>
    <mergeCell ref="AF11:AF12"/>
    <mergeCell ref="O7:Q7"/>
    <mergeCell ref="Q11:Q12"/>
    <mergeCell ref="R11:W11"/>
    <mergeCell ref="AH10:AJ10"/>
    <mergeCell ref="AK10:AM10"/>
    <mergeCell ref="AE10:AG10"/>
    <mergeCell ref="L13:L15"/>
    <mergeCell ref="M13:M15"/>
    <mergeCell ref="C7:N7"/>
    <mergeCell ref="G11:G12"/>
    <mergeCell ref="H11:H12"/>
    <mergeCell ref="N11:N12"/>
    <mergeCell ref="J11:J12"/>
    <mergeCell ref="K11:K12"/>
    <mergeCell ref="N13:N15"/>
    <mergeCell ref="E11:E12"/>
    <mergeCell ref="D11:D12"/>
    <mergeCell ref="C11:C12"/>
    <mergeCell ref="J13:J15"/>
    <mergeCell ref="K13:K15"/>
    <mergeCell ref="B11:B12"/>
    <mergeCell ref="AA11:AA12"/>
    <mergeCell ref="Y11:Y12"/>
    <mergeCell ref="Z11:Z12"/>
    <mergeCell ref="A1:C5"/>
    <mergeCell ref="D1:N2"/>
    <mergeCell ref="D3:N3"/>
    <mergeCell ref="D4:N4"/>
    <mergeCell ref="D5:F5"/>
    <mergeCell ref="G5:I5"/>
    <mergeCell ref="J5:N5"/>
    <mergeCell ref="A7:B7"/>
    <mergeCell ref="A8:B8"/>
    <mergeCell ref="A9:B9"/>
    <mergeCell ref="A11:A12"/>
    <mergeCell ref="F11:F12"/>
    <mergeCell ref="B19:AP19"/>
    <mergeCell ref="AD11:AD12"/>
    <mergeCell ref="C8:N8"/>
    <mergeCell ref="C9:N9"/>
    <mergeCell ref="O11:O12"/>
    <mergeCell ref="AC11:AC12"/>
    <mergeCell ref="AB11:AB12"/>
    <mergeCell ref="X11:X12"/>
    <mergeCell ref="P11:P12"/>
    <mergeCell ref="A10:G10"/>
    <mergeCell ref="H10:N10"/>
    <mergeCell ref="O10:W10"/>
    <mergeCell ref="X10:AD10"/>
    <mergeCell ref="I11:I12"/>
    <mergeCell ref="L11:L12"/>
    <mergeCell ref="M11:M12"/>
  </mergeCells>
  <phoneticPr fontId="70" type="noConversion"/>
  <conditionalFormatting sqref="H13 H16">
    <cfRule type="cellIs" dxfId="50" priority="67" operator="equal">
      <formula>"Baja"</formula>
    </cfRule>
    <cfRule type="cellIs" dxfId="49" priority="66" operator="equal">
      <formula>"Media"</formula>
    </cfRule>
    <cfRule type="cellIs" dxfId="48" priority="65" operator="equal">
      <formula>"Alta"</formula>
    </cfRule>
    <cfRule type="cellIs" dxfId="47" priority="64" operator="equal">
      <formula>"Muy Alta"</formula>
    </cfRule>
    <cfRule type="cellIs" dxfId="46" priority="68" operator="equal">
      <formula>"Muy Baja"</formula>
    </cfRule>
  </conditionalFormatting>
  <conditionalFormatting sqref="H18">
    <cfRule type="cellIs" dxfId="45" priority="50" operator="equal">
      <formula>"Muy Baja"</formula>
    </cfRule>
    <cfRule type="cellIs" dxfId="44" priority="48" operator="equal">
      <formula>"Media"</formula>
    </cfRule>
    <cfRule type="cellIs" dxfId="43" priority="49" operator="equal">
      <formula>"Baja"</formula>
    </cfRule>
    <cfRule type="cellIs" dxfId="42" priority="47" operator="equal">
      <formula>"Alta"</formula>
    </cfRule>
    <cfRule type="cellIs" dxfId="41" priority="46" operator="equal">
      <formula>"Muy Alta"</formula>
    </cfRule>
  </conditionalFormatting>
  <conditionalFormatting sqref="K13:K18">
    <cfRule type="containsText" dxfId="40" priority="41" operator="containsText" text="❌">
      <formula>NOT(ISERROR(SEARCH("❌",K13)))</formula>
    </cfRule>
  </conditionalFormatting>
  <conditionalFormatting sqref="L13 L16 L18">
    <cfRule type="cellIs" dxfId="39" priority="40" operator="equal">
      <formula>"Leve"</formula>
    </cfRule>
    <cfRule type="cellIs" dxfId="38" priority="38" operator="equal">
      <formula>"Moderado"</formula>
    </cfRule>
    <cfRule type="cellIs" dxfId="37" priority="37" operator="equal">
      <formula>"Mayor"</formula>
    </cfRule>
    <cfRule type="cellIs" dxfId="36" priority="36" operator="equal">
      <formula>"Catastrófico"</formula>
    </cfRule>
    <cfRule type="cellIs" dxfId="35" priority="39" operator="equal">
      <formula>"Menor"</formula>
    </cfRule>
  </conditionalFormatting>
  <conditionalFormatting sqref="N13">
    <cfRule type="cellIs" dxfId="34" priority="35" operator="equal">
      <formula>"Bajo"</formula>
    </cfRule>
    <cfRule type="cellIs" dxfId="33" priority="34" operator="equal">
      <formula>"Moderado"</formula>
    </cfRule>
    <cfRule type="cellIs" dxfId="32" priority="33" operator="equal">
      <formula>"Alto"</formula>
    </cfRule>
    <cfRule type="cellIs" dxfId="31" priority="32" operator="equal">
      <formula>"Extremo"</formula>
    </cfRule>
  </conditionalFormatting>
  <conditionalFormatting sqref="N16">
    <cfRule type="cellIs" dxfId="30" priority="31" operator="equal">
      <formula>"Bajo"</formula>
    </cfRule>
    <cfRule type="cellIs" dxfId="29" priority="30" operator="equal">
      <formula>"Moderado"</formula>
    </cfRule>
    <cfRule type="cellIs" dxfId="28" priority="29" operator="equal">
      <formula>"Alto"</formula>
    </cfRule>
    <cfRule type="cellIs" dxfId="27" priority="28" operator="equal">
      <formula>"Extremo"</formula>
    </cfRule>
  </conditionalFormatting>
  <conditionalFormatting sqref="N18">
    <cfRule type="cellIs" dxfId="26" priority="25" operator="equal">
      <formula>"Alto"</formula>
    </cfRule>
    <cfRule type="cellIs" dxfId="25" priority="26" operator="equal">
      <formula>"Moderado"</formula>
    </cfRule>
    <cfRule type="cellIs" dxfId="24" priority="27" operator="equal">
      <formula>"Bajo"</formula>
    </cfRule>
    <cfRule type="cellIs" dxfId="23" priority="24" operator="equal">
      <formula>"Extremo"</formula>
    </cfRule>
  </conditionalFormatting>
  <conditionalFormatting sqref="Y13:Y18">
    <cfRule type="cellIs" dxfId="22" priority="5" operator="equal">
      <formula>"Muy Baja"</formula>
    </cfRule>
    <cfRule type="cellIs" dxfId="21" priority="4" operator="equal">
      <formula>"Baja"</formula>
    </cfRule>
    <cfRule type="cellIs" dxfId="20" priority="3" operator="equal">
      <formula>"Media"</formula>
    </cfRule>
    <cfRule type="cellIs" dxfId="19" priority="2" operator="equal">
      <formula>"Alta"</formula>
    </cfRule>
    <cfRule type="cellIs" dxfId="18" priority="1" operator="equal">
      <formula>"Muy Alta"</formula>
    </cfRule>
  </conditionalFormatting>
  <conditionalFormatting sqref="AA13">
    <cfRule type="cellIs" dxfId="17" priority="22" operator="equal">
      <formula>"Menor"</formula>
    </cfRule>
    <cfRule type="cellIs" dxfId="16" priority="21" operator="equal">
      <formula>"Moderado"</formula>
    </cfRule>
    <cfRule type="cellIs" dxfId="15" priority="19" operator="equal">
      <formula>"Catastrófico"</formula>
    </cfRule>
    <cfRule type="cellIs" dxfId="14" priority="20" operator="equal">
      <formula>"Mayor"</formula>
    </cfRule>
    <cfRule type="cellIs" dxfId="13" priority="23" operator="equal">
      <formula>"Leve"</formula>
    </cfRule>
  </conditionalFormatting>
  <conditionalFormatting sqref="AA15:AA18">
    <cfRule type="cellIs" dxfId="12" priority="14" operator="equal">
      <formula>"Leve"</formula>
    </cfRule>
    <cfRule type="cellIs" dxfId="11" priority="12" operator="equal">
      <formula>"Moderado"</formula>
    </cfRule>
    <cfRule type="cellIs" dxfId="10" priority="11" operator="equal">
      <formula>"Mayor"</formula>
    </cfRule>
    <cfRule type="cellIs" dxfId="9" priority="10" operator="equal">
      <formula>"Catastrófico"</formula>
    </cfRule>
    <cfRule type="cellIs" dxfId="8" priority="13" operator="equal">
      <formula>"Menor"</formula>
    </cfRule>
  </conditionalFormatting>
  <conditionalFormatting sqref="AC13">
    <cfRule type="cellIs" dxfId="7" priority="18" operator="equal">
      <formula>"Bajo"</formula>
    </cfRule>
    <cfRule type="cellIs" dxfId="6" priority="17" operator="equal">
      <formula>"Moderado"</formula>
    </cfRule>
    <cfRule type="cellIs" dxfId="5" priority="16" operator="equal">
      <formula>"Alto"</formula>
    </cfRule>
    <cfRule type="cellIs" dxfId="4" priority="15" operator="equal">
      <formula>"Extremo"</formula>
    </cfRule>
  </conditionalFormatting>
  <conditionalFormatting sqref="AC15:AC18">
    <cfRule type="cellIs" dxfId="3" priority="7" operator="equal">
      <formula>"Alto"</formula>
    </cfRule>
    <cfRule type="cellIs" dxfId="2" priority="9" operator="equal">
      <formula>"Bajo"</formula>
    </cfRule>
    <cfRule type="cellIs" dxfId="1" priority="8" operator="equal">
      <formula>"Moderado"</formula>
    </cfRule>
    <cfRule type="cellIs" dxfId="0" priority="6" operator="equal">
      <formula>"Extremo"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3">
        <x14:dataValidation type="custom" allowBlank="1" showInputMessage="1" showErrorMessage="1" error="Recuerde que las acciones se generan bajo la medida de mitigar el riesgo" xr:uid="{00000000-0002-0000-0100-000009000000}">
          <x14:formula1>
            <xm:f>IF(OR(AD13='Opciones Tratamiento'!$B$2,AD13='Opciones Tratamiento'!$B$3,AD13='Opciones Tratamiento'!$B$4),ISBLANK(AD13),ISTEXT(AD13))</xm:f>
          </x14:formula1>
          <xm:sqref>AE13:AE18</xm:sqref>
        </x14:dataValidation>
        <x14:dataValidation type="custom" allowBlank="1" showInputMessage="1" showErrorMessage="1" error="Recuerde que las acciones se generan bajo la medida de mitigar el riesgo" xr:uid="{00000000-0002-0000-0100-00000A000000}">
          <x14:formula1>
            <xm:f>IF(OR(AD13='Opciones Tratamiento'!$B$2,AD13='Opciones Tratamiento'!$B$3,AD13='Opciones Tratamiento'!$B$4),ISBLANK(AD13),ISTEXT(AD13))</xm:f>
          </x14:formula1>
          <xm:sqref>AF13:AF18</xm:sqref>
        </x14:dataValidation>
        <x14:dataValidation type="custom" allowBlank="1" showInputMessage="1" showErrorMessage="1" error="Recuerde que las acciones se generan bajo la medida de mitigar el riesgo" xr:uid="{00000000-0002-0000-0100-00000B000000}">
          <x14:formula1>
            <xm:f>IF(OR(AD13='Opciones Tratamiento'!$B$2,AD13='Opciones Tratamiento'!$B$3,AD13='Opciones Tratamiento'!$B$4),ISBLANK(AD13),ISTEXT(AD13))</xm:f>
          </x14:formula1>
          <xm:sqref>AG13:AG18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U140"/>
  <sheetViews>
    <sheetView topLeftCell="A3" zoomScale="50" zoomScaleNormal="50" workbookViewId="0">
      <selection activeCell="P8" sqref="P8:Q9"/>
    </sheetView>
  </sheetViews>
  <sheetFormatPr baseColWidth="10" defaultRowHeight="15" x14ac:dyDescent="0.25"/>
  <cols>
    <col min="2" max="39" width="5.7109375" customWidth="1" collapsed="1"/>
    <col min="41" max="46" width="5.7109375" customWidth="1" collapsed="1"/>
  </cols>
  <sheetData>
    <row r="1" spans="1:99" x14ac:dyDescent="0.25">
      <c r="A1" s="69"/>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c r="CN1" s="69"/>
      <c r="CO1" s="69"/>
      <c r="CP1" s="69"/>
      <c r="CQ1" s="69"/>
      <c r="CR1" s="69"/>
      <c r="CS1" s="69"/>
      <c r="CT1" s="69"/>
      <c r="CU1" s="69"/>
    </row>
    <row r="2" spans="1:99" ht="18" customHeight="1" x14ac:dyDescent="0.25">
      <c r="A2" s="69"/>
      <c r="B2" s="344" t="s">
        <v>157</v>
      </c>
      <c r="C2" s="344"/>
      <c r="D2" s="344"/>
      <c r="E2" s="344"/>
      <c r="F2" s="344"/>
      <c r="G2" s="344"/>
      <c r="H2" s="344"/>
      <c r="I2" s="344"/>
      <c r="J2" s="312" t="s">
        <v>2</v>
      </c>
      <c r="K2" s="312"/>
      <c r="L2" s="312"/>
      <c r="M2" s="312"/>
      <c r="N2" s="312"/>
      <c r="O2" s="312"/>
      <c r="P2" s="312"/>
      <c r="Q2" s="312"/>
      <c r="R2" s="312"/>
      <c r="S2" s="312"/>
      <c r="T2" s="312"/>
      <c r="U2" s="312"/>
      <c r="V2" s="312"/>
      <c r="W2" s="312"/>
      <c r="X2" s="312"/>
      <c r="Y2" s="312"/>
      <c r="Z2" s="312"/>
      <c r="AA2" s="312"/>
      <c r="AB2" s="312"/>
      <c r="AC2" s="312"/>
      <c r="AD2" s="312"/>
      <c r="AE2" s="312"/>
      <c r="AF2" s="312"/>
      <c r="AG2" s="312"/>
      <c r="AH2" s="312"/>
      <c r="AI2" s="312"/>
      <c r="AJ2" s="312"/>
      <c r="AK2" s="312"/>
      <c r="AL2" s="312"/>
      <c r="AM2" s="312"/>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c r="CN2" s="69"/>
      <c r="CO2" s="69"/>
      <c r="CP2" s="69"/>
      <c r="CQ2" s="69"/>
      <c r="CR2" s="69"/>
      <c r="CS2" s="69"/>
      <c r="CT2" s="69"/>
      <c r="CU2" s="69"/>
    </row>
    <row r="3" spans="1:99" ht="18.75" customHeight="1" x14ac:dyDescent="0.25">
      <c r="A3" s="69"/>
      <c r="B3" s="344"/>
      <c r="C3" s="344"/>
      <c r="D3" s="344"/>
      <c r="E3" s="344"/>
      <c r="F3" s="344"/>
      <c r="G3" s="344"/>
      <c r="H3" s="344"/>
      <c r="I3" s="344"/>
      <c r="J3" s="312"/>
      <c r="K3" s="312"/>
      <c r="L3" s="312"/>
      <c r="M3" s="312"/>
      <c r="N3" s="312"/>
      <c r="O3" s="312"/>
      <c r="P3" s="312"/>
      <c r="Q3" s="312"/>
      <c r="R3" s="312"/>
      <c r="S3" s="312"/>
      <c r="T3" s="312"/>
      <c r="U3" s="312"/>
      <c r="V3" s="312"/>
      <c r="W3" s="312"/>
      <c r="X3" s="312"/>
      <c r="Y3" s="312"/>
      <c r="Z3" s="312"/>
      <c r="AA3" s="312"/>
      <c r="AB3" s="312"/>
      <c r="AC3" s="312"/>
      <c r="AD3" s="312"/>
      <c r="AE3" s="312"/>
      <c r="AF3" s="312"/>
      <c r="AG3" s="312"/>
      <c r="AH3" s="312"/>
      <c r="AI3" s="312"/>
      <c r="AJ3" s="312"/>
      <c r="AK3" s="312"/>
      <c r="AL3" s="312"/>
      <c r="AM3" s="312"/>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c r="CN3" s="69"/>
      <c r="CO3" s="69"/>
      <c r="CP3" s="69"/>
      <c r="CQ3" s="69"/>
      <c r="CR3" s="69"/>
      <c r="CS3" s="69"/>
      <c r="CT3" s="69"/>
      <c r="CU3" s="69"/>
    </row>
    <row r="4" spans="1:99" ht="15" customHeight="1" x14ac:dyDescent="0.25">
      <c r="A4" s="69"/>
      <c r="B4" s="344"/>
      <c r="C4" s="344"/>
      <c r="D4" s="344"/>
      <c r="E4" s="344"/>
      <c r="F4" s="344"/>
      <c r="G4" s="344"/>
      <c r="H4" s="344"/>
      <c r="I4" s="344"/>
      <c r="J4" s="312"/>
      <c r="K4" s="312"/>
      <c r="L4" s="312"/>
      <c r="M4" s="312"/>
      <c r="N4" s="312"/>
      <c r="O4" s="312"/>
      <c r="P4" s="312"/>
      <c r="Q4" s="312"/>
      <c r="R4" s="312"/>
      <c r="S4" s="312"/>
      <c r="T4" s="312"/>
      <c r="U4" s="312"/>
      <c r="V4" s="312"/>
      <c r="W4" s="312"/>
      <c r="X4" s="312"/>
      <c r="Y4" s="312"/>
      <c r="Z4" s="312"/>
      <c r="AA4" s="312"/>
      <c r="AB4" s="312"/>
      <c r="AC4" s="312"/>
      <c r="AD4" s="312"/>
      <c r="AE4" s="312"/>
      <c r="AF4" s="312"/>
      <c r="AG4" s="312"/>
      <c r="AH4" s="312"/>
      <c r="AI4" s="312"/>
      <c r="AJ4" s="312"/>
      <c r="AK4" s="312"/>
      <c r="AL4" s="312"/>
      <c r="AM4" s="312"/>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c r="CO4" s="69"/>
      <c r="CP4" s="69"/>
      <c r="CQ4" s="69"/>
      <c r="CR4" s="69"/>
      <c r="CS4" s="69"/>
      <c r="CT4" s="69"/>
      <c r="CU4" s="69"/>
    </row>
    <row r="5" spans="1:99" ht="15.75" thickBot="1" x14ac:dyDescent="0.3">
      <c r="A5" s="69"/>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c r="BV5" s="69"/>
      <c r="BW5" s="69"/>
      <c r="BX5" s="69"/>
      <c r="BY5" s="69"/>
      <c r="BZ5" s="69"/>
      <c r="CA5" s="69"/>
      <c r="CB5" s="69"/>
      <c r="CC5" s="69"/>
      <c r="CD5" s="69"/>
      <c r="CE5" s="69"/>
      <c r="CF5" s="69"/>
      <c r="CG5" s="69"/>
      <c r="CH5" s="69"/>
      <c r="CI5" s="69"/>
      <c r="CJ5" s="69"/>
      <c r="CK5" s="69"/>
      <c r="CL5" s="69"/>
      <c r="CM5" s="69"/>
      <c r="CN5" s="69"/>
      <c r="CO5" s="69"/>
      <c r="CP5" s="69"/>
      <c r="CQ5" s="69"/>
      <c r="CR5" s="69"/>
      <c r="CS5" s="69"/>
      <c r="CT5" s="69"/>
      <c r="CU5" s="69"/>
    </row>
    <row r="6" spans="1:99" ht="15" customHeight="1" x14ac:dyDescent="0.25">
      <c r="A6" s="69"/>
      <c r="B6" s="259" t="s">
        <v>4</v>
      </c>
      <c r="C6" s="259"/>
      <c r="D6" s="260"/>
      <c r="E6" s="297" t="s">
        <v>114</v>
      </c>
      <c r="F6" s="298"/>
      <c r="G6" s="298"/>
      <c r="H6" s="298"/>
      <c r="I6" s="299"/>
      <c r="J6" s="308" t="str">
        <f>IF(AND('Mapa final'!$H$13="Muy Alta",'Mapa final'!$L$13="Leve"),CONCATENATE("R",'Mapa final'!$A$13),"")</f>
        <v/>
      </c>
      <c r="K6" s="309"/>
      <c r="L6" s="309" t="e">
        <f>IF(AND('Mapa final'!#REF!="Muy Alta",'Mapa final'!#REF!="Leve"),CONCATENATE("R",'Mapa final'!#REF!),"")</f>
        <v>#REF!</v>
      </c>
      <c r="M6" s="309"/>
      <c r="N6" s="309" t="e">
        <f>IF(AND('Mapa final'!#REF!="Muy Alta",'Mapa final'!#REF!="Leve"),CONCATENATE("R",'Mapa final'!#REF!),"")</f>
        <v>#REF!</v>
      </c>
      <c r="O6" s="311"/>
      <c r="P6" s="308" t="str">
        <f>IF(AND('Mapa final'!$H$13="Muy Alta",'Mapa final'!$L$13="Menor"),CONCATENATE("R",'Mapa final'!$A$13),"")</f>
        <v/>
      </c>
      <c r="Q6" s="309"/>
      <c r="R6" s="309" t="e">
        <f>IF(AND('Mapa final'!#REF!="Muy Alta",'Mapa final'!#REF!="Menor"),CONCATENATE("R",'Mapa final'!#REF!),"")</f>
        <v>#REF!</v>
      </c>
      <c r="S6" s="309"/>
      <c r="T6" s="309" t="e">
        <f>IF(AND('Mapa final'!#REF!="Muy Alta",'Mapa final'!#REF!="Menor"),CONCATENATE("R",'Mapa final'!#REF!),"")</f>
        <v>#REF!</v>
      </c>
      <c r="U6" s="311"/>
      <c r="V6" s="308" t="str">
        <f>IF(AND('Mapa final'!$H$13="Muy Alta",'Mapa final'!$L$13="Moderado"),CONCATENATE("R",'Mapa final'!$A$13),"")</f>
        <v/>
      </c>
      <c r="W6" s="309"/>
      <c r="X6" s="309" t="e">
        <f>IF(AND('Mapa final'!#REF!="Muy Alta",'Mapa final'!#REF!="Moderado"),CONCATENATE("R",'Mapa final'!#REF!),"")</f>
        <v>#REF!</v>
      </c>
      <c r="Y6" s="309"/>
      <c r="Z6" s="309" t="e">
        <f>IF(AND('Mapa final'!#REF!="Muy Alta",'Mapa final'!#REF!="Moderado"),CONCATENATE("R",'Mapa final'!#REF!),"")</f>
        <v>#REF!</v>
      </c>
      <c r="AA6" s="311"/>
      <c r="AB6" s="308" t="str">
        <f>IF(AND('Mapa final'!$H$13="Muy Alta",'Mapa final'!$L$13="Mayor"),CONCATENATE("R",'Mapa final'!$A$13),"")</f>
        <v/>
      </c>
      <c r="AC6" s="309"/>
      <c r="AD6" s="309" t="e">
        <f>IF(AND('Mapa final'!#REF!="Muy Alta",'Mapa final'!#REF!="Mayor"),CONCATENATE("R",'Mapa final'!#REF!),"")</f>
        <v>#REF!</v>
      </c>
      <c r="AE6" s="309"/>
      <c r="AF6" s="309" t="e">
        <f>IF(AND('Mapa final'!#REF!="Muy Alta",'Mapa final'!#REF!="Mayor"),CONCATENATE("R",'Mapa final'!#REF!),"")</f>
        <v>#REF!</v>
      </c>
      <c r="AG6" s="311"/>
      <c r="AH6" s="323" t="str">
        <f>IF(AND('Mapa final'!$H$13="Muy Alta",'Mapa final'!$L$13="Catastrófico"),CONCATENATE("R",'Mapa final'!$A$13),"")</f>
        <v/>
      </c>
      <c r="AI6" s="324"/>
      <c r="AJ6" s="324" t="e">
        <f>IF(AND('Mapa final'!#REF!="Muy Alta",'Mapa final'!#REF!="Catastrófico"),CONCATENATE("R",'Mapa final'!#REF!),"")</f>
        <v>#REF!</v>
      </c>
      <c r="AK6" s="324"/>
      <c r="AL6" s="324" t="e">
        <f>IF(AND('Mapa final'!#REF!="Muy Alta",'Mapa final'!#REF!="Catastrófico"),CONCATENATE("R",'Mapa final'!#REF!),"")</f>
        <v>#REF!</v>
      </c>
      <c r="AM6" s="325"/>
      <c r="AO6" s="261" t="s">
        <v>77</v>
      </c>
      <c r="AP6" s="262"/>
      <c r="AQ6" s="262"/>
      <c r="AR6" s="262"/>
      <c r="AS6" s="262"/>
      <c r="AT6" s="263"/>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c r="BX6" s="69"/>
      <c r="BY6" s="69"/>
      <c r="BZ6" s="69"/>
      <c r="CA6" s="69"/>
      <c r="CB6" s="69"/>
    </row>
    <row r="7" spans="1:99" ht="15" customHeight="1" x14ac:dyDescent="0.25">
      <c r="A7" s="69"/>
      <c r="B7" s="259"/>
      <c r="C7" s="259"/>
      <c r="D7" s="260"/>
      <c r="E7" s="300"/>
      <c r="F7" s="301"/>
      <c r="G7" s="301"/>
      <c r="H7" s="301"/>
      <c r="I7" s="302"/>
      <c r="J7" s="310"/>
      <c r="K7" s="306"/>
      <c r="L7" s="306"/>
      <c r="M7" s="306"/>
      <c r="N7" s="306"/>
      <c r="O7" s="307"/>
      <c r="P7" s="310"/>
      <c r="Q7" s="306"/>
      <c r="R7" s="306"/>
      <c r="S7" s="306"/>
      <c r="T7" s="306"/>
      <c r="U7" s="307"/>
      <c r="V7" s="310"/>
      <c r="W7" s="306"/>
      <c r="X7" s="306"/>
      <c r="Y7" s="306"/>
      <c r="Z7" s="306"/>
      <c r="AA7" s="307"/>
      <c r="AB7" s="310"/>
      <c r="AC7" s="306"/>
      <c r="AD7" s="306"/>
      <c r="AE7" s="306"/>
      <c r="AF7" s="306"/>
      <c r="AG7" s="307"/>
      <c r="AH7" s="317"/>
      <c r="AI7" s="318"/>
      <c r="AJ7" s="318"/>
      <c r="AK7" s="318"/>
      <c r="AL7" s="318"/>
      <c r="AM7" s="319"/>
      <c r="AN7" s="69"/>
      <c r="AO7" s="264"/>
      <c r="AP7" s="265"/>
      <c r="AQ7" s="265"/>
      <c r="AR7" s="265"/>
      <c r="AS7" s="265"/>
      <c r="AT7" s="266"/>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c r="BX7" s="69"/>
      <c r="BY7" s="69"/>
      <c r="BZ7" s="69"/>
      <c r="CA7" s="69"/>
      <c r="CB7" s="69"/>
    </row>
    <row r="8" spans="1:99" ht="15" customHeight="1" x14ac:dyDescent="0.25">
      <c r="A8" s="69"/>
      <c r="B8" s="259"/>
      <c r="C8" s="259"/>
      <c r="D8" s="260"/>
      <c r="E8" s="300"/>
      <c r="F8" s="301"/>
      <c r="G8" s="301"/>
      <c r="H8" s="301"/>
      <c r="I8" s="302"/>
      <c r="J8" s="310"/>
      <c r="K8" s="306"/>
      <c r="L8" s="306"/>
      <c r="M8" s="306"/>
      <c r="N8" s="306" t="e">
        <f>IF(AND('Mapa final'!#REF!="Muy Alta",'Mapa final'!#REF!="Leve"),CONCATENATE("R",'Mapa final'!#REF!),"")</f>
        <v>#REF!</v>
      </c>
      <c r="O8" s="307"/>
      <c r="P8" s="310" t="e">
        <f>IF(AND('Mapa final'!#REF!="Muy Alta",'Mapa final'!#REF!="Menor"),CONCATENATE("R",'Mapa final'!#REF!),"")</f>
        <v>#REF!</v>
      </c>
      <c r="Q8" s="306"/>
      <c r="R8" s="306" t="e">
        <f>IF(AND('Mapa final'!#REF!="Muy Alta",'Mapa final'!#REF!="Menor"),CONCATENATE("R",'Mapa final'!#REF!),"")</f>
        <v>#REF!</v>
      </c>
      <c r="S8" s="306"/>
      <c r="T8" s="306" t="e">
        <f>IF(AND('Mapa final'!#REF!="Muy Alta",'Mapa final'!#REF!="Menor"),CONCATENATE("R",'Mapa final'!#REF!),"")</f>
        <v>#REF!</v>
      </c>
      <c r="U8" s="307"/>
      <c r="V8" s="310" t="e">
        <f>IF(AND('Mapa final'!#REF!="Muy Alta",'Mapa final'!#REF!="Moderado"),CONCATENATE("R",'Mapa final'!#REF!),"")</f>
        <v>#REF!</v>
      </c>
      <c r="W8" s="306"/>
      <c r="X8" s="306" t="e">
        <f>IF(AND('Mapa final'!#REF!="Muy Alta",'Mapa final'!#REF!="Moderado"),CONCATENATE("R",'Mapa final'!#REF!),"")</f>
        <v>#REF!</v>
      </c>
      <c r="Y8" s="306"/>
      <c r="Z8" s="306" t="e">
        <f>IF(AND('Mapa final'!#REF!="Muy Alta",'Mapa final'!#REF!="Moderado"),CONCATENATE("R",'Mapa final'!#REF!),"")</f>
        <v>#REF!</v>
      </c>
      <c r="AA8" s="307"/>
      <c r="AB8" s="310" t="e">
        <f>IF(AND('Mapa final'!#REF!="Muy Alta",'Mapa final'!#REF!="Mayor"),CONCATENATE("R",'Mapa final'!#REF!),"")</f>
        <v>#REF!</v>
      </c>
      <c r="AC8" s="306"/>
      <c r="AD8" s="306" t="e">
        <f>IF(AND('Mapa final'!#REF!="Muy Alta",'Mapa final'!#REF!="Mayor"),CONCATENATE("R",'Mapa final'!#REF!),"")</f>
        <v>#REF!</v>
      </c>
      <c r="AE8" s="306"/>
      <c r="AF8" s="306" t="e">
        <f>IF(AND('Mapa final'!#REF!="Muy Alta",'Mapa final'!#REF!="Mayor"),CONCATENATE("R",'Mapa final'!#REF!),"")</f>
        <v>#REF!</v>
      </c>
      <c r="AG8" s="307"/>
      <c r="AH8" s="317" t="e">
        <f>IF(AND('Mapa final'!#REF!="Muy Alta",'Mapa final'!#REF!="Catastrófico"),CONCATENATE("R",'Mapa final'!#REF!),"")</f>
        <v>#REF!</v>
      </c>
      <c r="AI8" s="318"/>
      <c r="AJ8" s="318" t="e">
        <f>IF(AND('Mapa final'!#REF!="Muy Alta",'Mapa final'!#REF!="Catastrófico"),CONCATENATE("R",'Mapa final'!#REF!),"")</f>
        <v>#REF!</v>
      </c>
      <c r="AK8" s="318"/>
      <c r="AL8" s="318" t="e">
        <f>IF(AND('Mapa final'!#REF!="Muy Alta",'Mapa final'!#REF!="Catastrófico"),CONCATENATE("R",'Mapa final'!#REF!),"")</f>
        <v>#REF!</v>
      </c>
      <c r="AM8" s="319"/>
      <c r="AN8" s="69"/>
      <c r="AO8" s="264"/>
      <c r="AP8" s="265"/>
      <c r="AQ8" s="265"/>
      <c r="AR8" s="265"/>
      <c r="AS8" s="265"/>
      <c r="AT8" s="266"/>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row>
    <row r="9" spans="1:99" ht="15" customHeight="1" x14ac:dyDescent="0.25">
      <c r="A9" s="69"/>
      <c r="B9" s="259"/>
      <c r="C9" s="259"/>
      <c r="D9" s="260"/>
      <c r="E9" s="300"/>
      <c r="F9" s="301"/>
      <c r="G9" s="301"/>
      <c r="H9" s="301"/>
      <c r="I9" s="302"/>
      <c r="J9" s="310"/>
      <c r="K9" s="306"/>
      <c r="L9" s="306"/>
      <c r="M9" s="306"/>
      <c r="N9" s="306"/>
      <c r="O9" s="307"/>
      <c r="P9" s="310"/>
      <c r="Q9" s="306"/>
      <c r="R9" s="306"/>
      <c r="S9" s="306"/>
      <c r="T9" s="306"/>
      <c r="U9" s="307"/>
      <c r="V9" s="310"/>
      <c r="W9" s="306"/>
      <c r="X9" s="306"/>
      <c r="Y9" s="306"/>
      <c r="Z9" s="306"/>
      <c r="AA9" s="307"/>
      <c r="AB9" s="310"/>
      <c r="AC9" s="306"/>
      <c r="AD9" s="306"/>
      <c r="AE9" s="306"/>
      <c r="AF9" s="306"/>
      <c r="AG9" s="307"/>
      <c r="AH9" s="317"/>
      <c r="AI9" s="318"/>
      <c r="AJ9" s="318"/>
      <c r="AK9" s="318"/>
      <c r="AL9" s="318"/>
      <c r="AM9" s="319"/>
      <c r="AN9" s="69"/>
      <c r="AO9" s="264"/>
      <c r="AP9" s="265"/>
      <c r="AQ9" s="265"/>
      <c r="AR9" s="265"/>
      <c r="AS9" s="265"/>
      <c r="AT9" s="266"/>
      <c r="AU9" s="69"/>
      <c r="AV9" s="69"/>
      <c r="AW9" s="69"/>
      <c r="AX9" s="69"/>
      <c r="AY9" s="69"/>
      <c r="AZ9" s="69"/>
      <c r="BA9" s="69"/>
      <c r="BB9" s="69"/>
      <c r="BC9" s="69"/>
      <c r="BD9" s="69"/>
      <c r="BE9" s="69"/>
      <c r="BF9" s="69"/>
      <c r="BG9" s="69"/>
      <c r="BH9" s="69"/>
      <c r="BI9" s="69"/>
      <c r="BJ9" s="69"/>
      <c r="BK9" s="69"/>
      <c r="BL9" s="69"/>
      <c r="BM9" s="69"/>
      <c r="BN9" s="69"/>
      <c r="BO9" s="69"/>
      <c r="BP9" s="69"/>
      <c r="BQ9" s="69"/>
      <c r="BR9" s="69"/>
      <c r="BS9" s="69"/>
      <c r="BT9" s="69"/>
      <c r="BU9" s="69"/>
      <c r="BV9" s="69"/>
      <c r="BW9" s="69"/>
      <c r="BX9" s="69"/>
      <c r="BY9" s="69"/>
      <c r="BZ9" s="69"/>
      <c r="CA9" s="69"/>
      <c r="CB9" s="69"/>
    </row>
    <row r="10" spans="1:99" ht="15" customHeight="1" x14ac:dyDescent="0.25">
      <c r="A10" s="69"/>
      <c r="B10" s="259"/>
      <c r="C10" s="259"/>
      <c r="D10" s="260"/>
      <c r="E10" s="300"/>
      <c r="F10" s="301"/>
      <c r="G10" s="301"/>
      <c r="H10" s="301"/>
      <c r="I10" s="302"/>
      <c r="J10" s="310" t="e">
        <f>IF(AND('Mapa final'!#REF!="Muy Alta",'Mapa final'!#REF!="Leve"),CONCATENATE("R",'Mapa final'!#REF!),"")</f>
        <v>#REF!</v>
      </c>
      <c r="K10" s="306"/>
      <c r="L10" s="306" t="e">
        <f>IF(AND('Mapa final'!#REF!="Muy Alta",'Mapa final'!#REF!="Leve"),CONCATENATE("R",'Mapa final'!#REF!),"")</f>
        <v>#REF!</v>
      </c>
      <c r="M10" s="306"/>
      <c r="N10" s="306" t="e">
        <f>IF(AND('Mapa final'!#REF!="Muy Alta",'Mapa final'!#REF!="Leve"),CONCATENATE("R",'Mapa final'!#REF!),"")</f>
        <v>#REF!</v>
      </c>
      <c r="O10" s="307"/>
      <c r="P10" s="310" t="e">
        <f>IF(AND('Mapa final'!#REF!="Muy Alta",'Mapa final'!#REF!="Menor"),CONCATENATE("R",'Mapa final'!#REF!),"")</f>
        <v>#REF!</v>
      </c>
      <c r="Q10" s="306"/>
      <c r="R10" s="306" t="e">
        <f>IF(AND('Mapa final'!#REF!="Muy Alta",'Mapa final'!#REF!="Menor"),CONCATENATE("R",'Mapa final'!#REF!),"")</f>
        <v>#REF!</v>
      </c>
      <c r="S10" s="306"/>
      <c r="T10" s="306" t="e">
        <f>IF(AND('Mapa final'!#REF!="Muy Alta",'Mapa final'!#REF!="Menor"),CONCATENATE("R",'Mapa final'!#REF!),"")</f>
        <v>#REF!</v>
      </c>
      <c r="U10" s="307"/>
      <c r="V10" s="310" t="e">
        <f>IF(AND('Mapa final'!#REF!="Muy Alta",'Mapa final'!#REF!="Moderado"),CONCATENATE("R",'Mapa final'!#REF!),"")</f>
        <v>#REF!</v>
      </c>
      <c r="W10" s="306"/>
      <c r="X10" s="306" t="e">
        <f>IF(AND('Mapa final'!#REF!="Muy Alta",'Mapa final'!#REF!="Moderado"),CONCATENATE("R",'Mapa final'!#REF!),"")</f>
        <v>#REF!</v>
      </c>
      <c r="Y10" s="306"/>
      <c r="Z10" s="306" t="e">
        <f>IF(AND('Mapa final'!#REF!="Muy Alta",'Mapa final'!#REF!="Moderado"),CONCATENATE("R",'Mapa final'!#REF!),"")</f>
        <v>#REF!</v>
      </c>
      <c r="AA10" s="307"/>
      <c r="AB10" s="310" t="e">
        <f>IF(AND('Mapa final'!#REF!="Muy Alta",'Mapa final'!#REF!="Mayor"),CONCATENATE("R",'Mapa final'!#REF!),"")</f>
        <v>#REF!</v>
      </c>
      <c r="AC10" s="306"/>
      <c r="AD10" s="306" t="e">
        <f>IF(AND('Mapa final'!#REF!="Muy Alta",'Mapa final'!#REF!="Mayor"),CONCATENATE("R",'Mapa final'!#REF!),"")</f>
        <v>#REF!</v>
      </c>
      <c r="AE10" s="306"/>
      <c r="AF10" s="306" t="e">
        <f>IF(AND('Mapa final'!#REF!="Muy Alta",'Mapa final'!#REF!="Mayor"),CONCATENATE("R",'Mapa final'!#REF!),"")</f>
        <v>#REF!</v>
      </c>
      <c r="AG10" s="307"/>
      <c r="AH10" s="317" t="e">
        <f>IF(AND('Mapa final'!#REF!="Muy Alta",'Mapa final'!#REF!="Catastrófico"),CONCATENATE("R",'Mapa final'!#REF!),"")</f>
        <v>#REF!</v>
      </c>
      <c r="AI10" s="318"/>
      <c r="AJ10" s="318" t="e">
        <f>IF(AND('Mapa final'!#REF!="Muy Alta",'Mapa final'!#REF!="Catastrófico"),CONCATENATE("R",'Mapa final'!#REF!),"")</f>
        <v>#REF!</v>
      </c>
      <c r="AK10" s="318"/>
      <c r="AL10" s="318" t="e">
        <f>IF(AND('Mapa final'!#REF!="Muy Alta",'Mapa final'!#REF!="Catastrófico"),CONCATENATE("R",'Mapa final'!#REF!),"")</f>
        <v>#REF!</v>
      </c>
      <c r="AM10" s="319"/>
      <c r="AN10" s="69"/>
      <c r="AO10" s="264"/>
      <c r="AP10" s="265"/>
      <c r="AQ10" s="265"/>
      <c r="AR10" s="265"/>
      <c r="AS10" s="265"/>
      <c r="AT10" s="266"/>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c r="BY10" s="69"/>
      <c r="BZ10" s="69"/>
      <c r="CA10" s="69"/>
      <c r="CB10" s="69"/>
    </row>
    <row r="11" spans="1:99" ht="15" customHeight="1" x14ac:dyDescent="0.25">
      <c r="A11" s="69"/>
      <c r="B11" s="259"/>
      <c r="C11" s="259"/>
      <c r="D11" s="260"/>
      <c r="E11" s="300"/>
      <c r="F11" s="301"/>
      <c r="G11" s="301"/>
      <c r="H11" s="301"/>
      <c r="I11" s="302"/>
      <c r="J11" s="310"/>
      <c r="K11" s="306"/>
      <c r="L11" s="306"/>
      <c r="M11" s="306"/>
      <c r="N11" s="306"/>
      <c r="O11" s="307"/>
      <c r="P11" s="310"/>
      <c r="Q11" s="306"/>
      <c r="R11" s="306"/>
      <c r="S11" s="306"/>
      <c r="T11" s="306"/>
      <c r="U11" s="307"/>
      <c r="V11" s="310"/>
      <c r="W11" s="306"/>
      <c r="X11" s="306"/>
      <c r="Y11" s="306"/>
      <c r="Z11" s="306"/>
      <c r="AA11" s="307"/>
      <c r="AB11" s="310"/>
      <c r="AC11" s="306"/>
      <c r="AD11" s="306"/>
      <c r="AE11" s="306"/>
      <c r="AF11" s="306"/>
      <c r="AG11" s="307"/>
      <c r="AH11" s="317"/>
      <c r="AI11" s="318"/>
      <c r="AJ11" s="318"/>
      <c r="AK11" s="318"/>
      <c r="AL11" s="318"/>
      <c r="AM11" s="319"/>
      <c r="AN11" s="69"/>
      <c r="AO11" s="264"/>
      <c r="AP11" s="265"/>
      <c r="AQ11" s="265"/>
      <c r="AR11" s="265"/>
      <c r="AS11" s="265"/>
      <c r="AT11" s="266"/>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c r="BS11" s="69"/>
      <c r="BT11" s="69"/>
      <c r="BU11" s="69"/>
      <c r="BV11" s="69"/>
      <c r="BW11" s="69"/>
      <c r="BX11" s="69"/>
      <c r="BY11" s="69"/>
      <c r="BZ11" s="69"/>
      <c r="CA11" s="69"/>
      <c r="CB11" s="69"/>
    </row>
    <row r="12" spans="1:99" ht="15" customHeight="1" x14ac:dyDescent="0.25">
      <c r="A12" s="69"/>
      <c r="B12" s="259"/>
      <c r="C12" s="259"/>
      <c r="D12" s="260"/>
      <c r="E12" s="300"/>
      <c r="F12" s="301"/>
      <c r="G12" s="301"/>
      <c r="H12" s="301"/>
      <c r="I12" s="302"/>
      <c r="J12" s="310" t="e">
        <f>IF(AND('Mapa final'!#REF!="Muy Alta",'Mapa final'!#REF!="Leve"),CONCATENATE("R",'Mapa final'!#REF!),"")</f>
        <v>#REF!</v>
      </c>
      <c r="K12" s="306"/>
      <c r="L12" s="306" t="str">
        <f>IF(AND('Mapa final'!$H$19="Muy Alta",'Mapa final'!$L$19="Leve"),CONCATENATE("R",'Mapa final'!$A$19),"")</f>
        <v/>
      </c>
      <c r="M12" s="306"/>
      <c r="N12" s="306" t="str">
        <f>IF(AND('Mapa final'!$H$25="Muy Alta",'Mapa final'!$L$25="Leve"),CONCATENATE("R",'Mapa final'!$A$25),"")</f>
        <v/>
      </c>
      <c r="O12" s="307"/>
      <c r="P12" s="310" t="e">
        <f>IF(AND('Mapa final'!#REF!="Muy Alta",'Mapa final'!#REF!="Menor"),CONCATENATE("R",'Mapa final'!#REF!),"")</f>
        <v>#REF!</v>
      </c>
      <c r="Q12" s="306"/>
      <c r="R12" s="306" t="str">
        <f>IF(AND('Mapa final'!$H$19="Muy Alta",'Mapa final'!$L$19="Menor"),CONCATENATE("R",'Mapa final'!$A$19),"")</f>
        <v/>
      </c>
      <c r="S12" s="306"/>
      <c r="T12" s="306" t="str">
        <f>IF(AND('Mapa final'!$H$25="Muy Alta",'Mapa final'!$L$25="Menor"),CONCATENATE("R",'Mapa final'!$A$25),"")</f>
        <v/>
      </c>
      <c r="U12" s="307"/>
      <c r="V12" s="310" t="e">
        <f>IF(AND('Mapa final'!#REF!="Muy Alta",'Mapa final'!#REF!="Moderado"),CONCATENATE("R",'Mapa final'!#REF!),"")</f>
        <v>#REF!</v>
      </c>
      <c r="W12" s="306"/>
      <c r="X12" s="306" t="str">
        <f>IF(AND('Mapa final'!$H$19="Muy Alta",'Mapa final'!$L$19="Moderado"),CONCATENATE("R",'Mapa final'!$A$19),"")</f>
        <v/>
      </c>
      <c r="Y12" s="306"/>
      <c r="Z12" s="306" t="str">
        <f>IF(AND('Mapa final'!$H$25="Muy Alta",'Mapa final'!$L$25="Moderado"),CONCATENATE("R",'Mapa final'!$A$25),"")</f>
        <v/>
      </c>
      <c r="AA12" s="307"/>
      <c r="AB12" s="310" t="e">
        <f>IF(AND('Mapa final'!#REF!="Muy Alta",'Mapa final'!#REF!="Mayor"),CONCATENATE("R",'Mapa final'!#REF!),"")</f>
        <v>#REF!</v>
      </c>
      <c r="AC12" s="306"/>
      <c r="AD12" s="306" t="str">
        <f>IF(AND('Mapa final'!$H$19="Muy Alta",'Mapa final'!$L$19="Mayor"),CONCATENATE("R",'Mapa final'!$A$19),"")</f>
        <v/>
      </c>
      <c r="AE12" s="306"/>
      <c r="AF12" s="306" t="str">
        <f>IF(AND('Mapa final'!$H$25="Muy Alta",'Mapa final'!$L$25="Mayor"),CONCATENATE("R",'Mapa final'!$A$25),"")</f>
        <v/>
      </c>
      <c r="AG12" s="307"/>
      <c r="AH12" s="317" t="e">
        <f>IF(AND('Mapa final'!#REF!="Muy Alta",'Mapa final'!#REF!="Catastrófico"),CONCATENATE("R",'Mapa final'!#REF!),"")</f>
        <v>#REF!</v>
      </c>
      <c r="AI12" s="318"/>
      <c r="AJ12" s="318" t="str">
        <f>IF(AND('Mapa final'!$H$19="Muy Alta",'Mapa final'!$L$19="Catastrófico"),CONCATENATE("R",'Mapa final'!$A$19),"")</f>
        <v/>
      </c>
      <c r="AK12" s="318"/>
      <c r="AL12" s="318" t="str">
        <f>IF(AND('Mapa final'!$H$25="Muy Alta",'Mapa final'!$L$25="Catastrófico"),CONCATENATE("R",'Mapa final'!$A$25),"")</f>
        <v/>
      </c>
      <c r="AM12" s="319"/>
      <c r="AN12" s="69"/>
      <c r="AO12" s="264"/>
      <c r="AP12" s="265"/>
      <c r="AQ12" s="265"/>
      <c r="AR12" s="265"/>
      <c r="AS12" s="265"/>
      <c r="AT12" s="266"/>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c r="BY12" s="69"/>
      <c r="BZ12" s="69"/>
      <c r="CA12" s="69"/>
      <c r="CB12" s="69"/>
    </row>
    <row r="13" spans="1:99" ht="15.75" customHeight="1" thickBot="1" x14ac:dyDescent="0.3">
      <c r="A13" s="69"/>
      <c r="B13" s="259"/>
      <c r="C13" s="259"/>
      <c r="D13" s="260"/>
      <c r="E13" s="303"/>
      <c r="F13" s="304"/>
      <c r="G13" s="304"/>
      <c r="H13" s="304"/>
      <c r="I13" s="305"/>
      <c r="J13" s="310"/>
      <c r="K13" s="306"/>
      <c r="L13" s="306"/>
      <c r="M13" s="306"/>
      <c r="N13" s="306"/>
      <c r="O13" s="307"/>
      <c r="P13" s="310"/>
      <c r="Q13" s="306"/>
      <c r="R13" s="306"/>
      <c r="S13" s="306"/>
      <c r="T13" s="306"/>
      <c r="U13" s="307"/>
      <c r="V13" s="310"/>
      <c r="W13" s="306"/>
      <c r="X13" s="306"/>
      <c r="Y13" s="306"/>
      <c r="Z13" s="306"/>
      <c r="AA13" s="307"/>
      <c r="AB13" s="310"/>
      <c r="AC13" s="306"/>
      <c r="AD13" s="306"/>
      <c r="AE13" s="306"/>
      <c r="AF13" s="306"/>
      <c r="AG13" s="307"/>
      <c r="AH13" s="320"/>
      <c r="AI13" s="321"/>
      <c r="AJ13" s="321"/>
      <c r="AK13" s="321"/>
      <c r="AL13" s="321"/>
      <c r="AM13" s="322"/>
      <c r="AN13" s="69"/>
      <c r="AO13" s="267"/>
      <c r="AP13" s="268"/>
      <c r="AQ13" s="268"/>
      <c r="AR13" s="268"/>
      <c r="AS13" s="268"/>
      <c r="AT13" s="269"/>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c r="BY13" s="69"/>
      <c r="BZ13" s="69"/>
      <c r="CA13" s="69"/>
      <c r="CB13" s="69"/>
    </row>
    <row r="14" spans="1:99" ht="15" customHeight="1" x14ac:dyDescent="0.25">
      <c r="A14" s="69"/>
      <c r="B14" s="259"/>
      <c r="C14" s="259"/>
      <c r="D14" s="260"/>
      <c r="E14" s="297" t="s">
        <v>113</v>
      </c>
      <c r="F14" s="298"/>
      <c r="G14" s="298"/>
      <c r="H14" s="298"/>
      <c r="I14" s="298"/>
      <c r="J14" s="332" t="str">
        <f>IF(AND('Mapa final'!$H$13="Alta",'Mapa final'!$L$13="Leve"),CONCATENATE("R",'Mapa final'!$A$13),"")</f>
        <v/>
      </c>
      <c r="K14" s="333"/>
      <c r="L14" s="333" t="e">
        <f>IF(AND('Mapa final'!#REF!="Alta",'Mapa final'!#REF!="Leve"),CONCATENATE("R",'Mapa final'!#REF!),"")</f>
        <v>#REF!</v>
      </c>
      <c r="M14" s="333"/>
      <c r="N14" s="333" t="e">
        <f>IF(AND('Mapa final'!#REF!="Alta",'Mapa final'!#REF!="Leve"),CONCATENATE("R",'Mapa final'!#REF!),"")</f>
        <v>#REF!</v>
      </c>
      <c r="O14" s="334"/>
      <c r="P14" s="332" t="str">
        <f>IF(AND('Mapa final'!$H$13="Alta",'Mapa final'!$L$13="Menor"),CONCATENATE("R",'Mapa final'!$A$13),"")</f>
        <v/>
      </c>
      <c r="Q14" s="333"/>
      <c r="R14" s="333" t="e">
        <f>IF(AND('Mapa final'!#REF!="Alta",'Mapa final'!#REF!="Menor"),CONCATENATE("R",'Mapa final'!#REF!),"")</f>
        <v>#REF!</v>
      </c>
      <c r="S14" s="333"/>
      <c r="T14" s="333" t="e">
        <f>IF(AND('Mapa final'!#REF!="Alta",'Mapa final'!#REF!="Menor"),CONCATENATE("R",'Mapa final'!#REF!),"")</f>
        <v>#REF!</v>
      </c>
      <c r="U14" s="334"/>
      <c r="V14" s="308" t="str">
        <f>IF(AND('Mapa final'!$H$13="Alta",'Mapa final'!$L$13="Moderado"),CONCATENATE("R",'Mapa final'!$A$13),"")</f>
        <v/>
      </c>
      <c r="W14" s="309"/>
      <c r="X14" s="309" t="e">
        <f>IF(AND('Mapa final'!#REF!="Alta",'Mapa final'!#REF!="Moderado"),CONCATENATE("R",'Mapa final'!#REF!),"")</f>
        <v>#REF!</v>
      </c>
      <c r="Y14" s="309"/>
      <c r="Z14" s="309" t="e">
        <f>IF(AND('Mapa final'!#REF!="Alta",'Mapa final'!#REF!="Moderado"),CONCATENATE("R",'Mapa final'!#REF!),"")</f>
        <v>#REF!</v>
      </c>
      <c r="AA14" s="311"/>
      <c r="AB14" s="308" t="str">
        <f>IF(AND('Mapa final'!$H$13="Alta",'Mapa final'!$L$13="Mayor"),CONCATENATE("R",'Mapa final'!$A$13),"")</f>
        <v/>
      </c>
      <c r="AC14" s="309"/>
      <c r="AD14" s="309" t="e">
        <f>IF(AND('Mapa final'!#REF!="Alta",'Mapa final'!#REF!="Mayor"),CONCATENATE("R",'Mapa final'!#REF!),"")</f>
        <v>#REF!</v>
      </c>
      <c r="AE14" s="309"/>
      <c r="AF14" s="309" t="e">
        <f>IF(AND('Mapa final'!#REF!="Alta",'Mapa final'!#REF!="Mayor"),CONCATENATE("R",'Mapa final'!#REF!),"")</f>
        <v>#REF!</v>
      </c>
      <c r="AG14" s="311"/>
      <c r="AH14" s="323" t="str">
        <f>IF(AND('Mapa final'!$H$13="Alta",'Mapa final'!$L$13="Catastrófico"),CONCATENATE("R",'Mapa final'!$A$13),"")</f>
        <v/>
      </c>
      <c r="AI14" s="324"/>
      <c r="AJ14" s="324" t="e">
        <f>IF(AND('Mapa final'!#REF!="Alta",'Mapa final'!#REF!="Catastrófico"),CONCATENATE("R",'Mapa final'!#REF!),"")</f>
        <v>#REF!</v>
      </c>
      <c r="AK14" s="324"/>
      <c r="AL14" s="324" t="e">
        <f>IF(AND('Mapa final'!#REF!="Alta",'Mapa final'!#REF!="Catastrófico"),CONCATENATE("R",'Mapa final'!#REF!),"")</f>
        <v>#REF!</v>
      </c>
      <c r="AM14" s="325"/>
      <c r="AN14" s="69"/>
      <c r="AO14" s="270" t="s">
        <v>78</v>
      </c>
      <c r="AP14" s="271"/>
      <c r="AQ14" s="271"/>
      <c r="AR14" s="271"/>
      <c r="AS14" s="271"/>
      <c r="AT14" s="272"/>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c r="BW14" s="69"/>
      <c r="BX14" s="69"/>
      <c r="BY14" s="69"/>
      <c r="BZ14" s="69"/>
      <c r="CA14" s="69"/>
      <c r="CB14" s="69"/>
    </row>
    <row r="15" spans="1:99" ht="15" customHeight="1" x14ac:dyDescent="0.25">
      <c r="A15" s="69"/>
      <c r="B15" s="259"/>
      <c r="C15" s="259"/>
      <c r="D15" s="260"/>
      <c r="E15" s="300"/>
      <c r="F15" s="301"/>
      <c r="G15" s="301"/>
      <c r="H15" s="301"/>
      <c r="I15" s="301"/>
      <c r="J15" s="326"/>
      <c r="K15" s="327"/>
      <c r="L15" s="327"/>
      <c r="M15" s="327"/>
      <c r="N15" s="327"/>
      <c r="O15" s="328"/>
      <c r="P15" s="326"/>
      <c r="Q15" s="327"/>
      <c r="R15" s="327"/>
      <c r="S15" s="327"/>
      <c r="T15" s="327"/>
      <c r="U15" s="328"/>
      <c r="V15" s="310"/>
      <c r="W15" s="306"/>
      <c r="X15" s="306"/>
      <c r="Y15" s="306"/>
      <c r="Z15" s="306"/>
      <c r="AA15" s="307"/>
      <c r="AB15" s="310"/>
      <c r="AC15" s="306"/>
      <c r="AD15" s="306"/>
      <c r="AE15" s="306"/>
      <c r="AF15" s="306"/>
      <c r="AG15" s="307"/>
      <c r="AH15" s="317"/>
      <c r="AI15" s="318"/>
      <c r="AJ15" s="318"/>
      <c r="AK15" s="318"/>
      <c r="AL15" s="318"/>
      <c r="AM15" s="319"/>
      <c r="AN15" s="69"/>
      <c r="AO15" s="273"/>
      <c r="AP15" s="274"/>
      <c r="AQ15" s="274"/>
      <c r="AR15" s="274"/>
      <c r="AS15" s="274"/>
      <c r="AT15" s="275"/>
      <c r="AU15" s="69"/>
      <c r="AV15" s="69"/>
      <c r="AW15" s="69"/>
      <c r="AX15" s="69"/>
      <c r="AY15" s="69"/>
      <c r="AZ15" s="69"/>
      <c r="BA15" s="69"/>
      <c r="BB15" s="69"/>
      <c r="BC15" s="69"/>
      <c r="BD15" s="69"/>
      <c r="BE15" s="69"/>
      <c r="BF15" s="69"/>
      <c r="BG15" s="69"/>
      <c r="BH15" s="69"/>
      <c r="BI15" s="69"/>
      <c r="BJ15" s="69"/>
      <c r="BK15" s="69"/>
      <c r="BL15" s="69"/>
      <c r="BM15" s="69"/>
      <c r="BN15" s="69"/>
      <c r="BO15" s="69"/>
      <c r="BP15" s="69"/>
      <c r="BQ15" s="69"/>
      <c r="BR15" s="69"/>
      <c r="BS15" s="69"/>
      <c r="BT15" s="69"/>
      <c r="BU15" s="69"/>
      <c r="BV15" s="69"/>
      <c r="BW15" s="69"/>
      <c r="BX15" s="69"/>
      <c r="BY15" s="69"/>
      <c r="BZ15" s="69"/>
      <c r="CA15" s="69"/>
      <c r="CB15" s="69"/>
    </row>
    <row r="16" spans="1:99" ht="15" customHeight="1" x14ac:dyDescent="0.25">
      <c r="A16" s="69"/>
      <c r="B16" s="259"/>
      <c r="C16" s="259"/>
      <c r="D16" s="260"/>
      <c r="E16" s="300"/>
      <c r="F16" s="301"/>
      <c r="G16" s="301"/>
      <c r="H16" s="301"/>
      <c r="I16" s="301"/>
      <c r="J16" s="326" t="e">
        <f>IF(AND('Mapa final'!#REF!="Alta",'Mapa final'!#REF!="Leve"),CONCATENATE("R",'Mapa final'!#REF!),"")</f>
        <v>#REF!</v>
      </c>
      <c r="K16" s="327"/>
      <c r="L16" s="327" t="e">
        <f>IF(AND('Mapa final'!#REF!="Alta",'Mapa final'!#REF!="Leve"),CONCATENATE("R",'Mapa final'!#REF!),"")</f>
        <v>#REF!</v>
      </c>
      <c r="M16" s="327"/>
      <c r="N16" s="327" t="e">
        <f>IF(AND('Mapa final'!#REF!="Alta",'Mapa final'!#REF!="Leve"),CONCATENATE("R",'Mapa final'!#REF!),"")</f>
        <v>#REF!</v>
      </c>
      <c r="O16" s="328"/>
      <c r="P16" s="326" t="e">
        <f>IF(AND('Mapa final'!#REF!="Alta",'Mapa final'!#REF!="Menor"),CONCATENATE("R",'Mapa final'!#REF!),"")</f>
        <v>#REF!</v>
      </c>
      <c r="Q16" s="327"/>
      <c r="R16" s="327" t="e">
        <f>IF(AND('Mapa final'!#REF!="Alta",'Mapa final'!#REF!="Menor"),CONCATENATE("R",'Mapa final'!#REF!),"")</f>
        <v>#REF!</v>
      </c>
      <c r="S16" s="327"/>
      <c r="T16" s="327" t="e">
        <f>IF(AND('Mapa final'!#REF!="Alta",'Mapa final'!#REF!="Menor"),CONCATENATE("R",'Mapa final'!#REF!),"")</f>
        <v>#REF!</v>
      </c>
      <c r="U16" s="328"/>
      <c r="V16" s="310" t="e">
        <f>IF(AND('Mapa final'!#REF!="Alta",'Mapa final'!#REF!="Moderado"),CONCATENATE("R",'Mapa final'!#REF!),"")</f>
        <v>#REF!</v>
      </c>
      <c r="W16" s="306"/>
      <c r="X16" s="306" t="e">
        <f>IF(AND('Mapa final'!#REF!="Alta",'Mapa final'!#REF!="Moderado"),CONCATENATE("R",'Mapa final'!#REF!),"")</f>
        <v>#REF!</v>
      </c>
      <c r="Y16" s="306"/>
      <c r="Z16" s="306" t="e">
        <f>IF(AND('Mapa final'!#REF!="Alta",'Mapa final'!#REF!="Moderado"),CONCATENATE("R",'Mapa final'!#REF!),"")</f>
        <v>#REF!</v>
      </c>
      <c r="AA16" s="307"/>
      <c r="AB16" s="310" t="e">
        <f>IF(AND('Mapa final'!#REF!="Alta",'Mapa final'!#REF!="Mayor"),CONCATENATE("R",'Mapa final'!#REF!),"")</f>
        <v>#REF!</v>
      </c>
      <c r="AC16" s="306"/>
      <c r="AD16" s="306" t="e">
        <f>IF(AND('Mapa final'!#REF!="Alta",'Mapa final'!#REF!="Mayor"),CONCATENATE("R",'Mapa final'!#REF!),"")</f>
        <v>#REF!</v>
      </c>
      <c r="AE16" s="306"/>
      <c r="AF16" s="306" t="e">
        <f>IF(AND('Mapa final'!#REF!="Alta",'Mapa final'!#REF!="Mayor"),CONCATENATE("R",'Mapa final'!#REF!),"")</f>
        <v>#REF!</v>
      </c>
      <c r="AG16" s="307"/>
      <c r="AH16" s="317" t="e">
        <f>IF(AND('Mapa final'!#REF!="Alta",'Mapa final'!#REF!="Catastrófico"),CONCATENATE("R",'Mapa final'!#REF!),"")</f>
        <v>#REF!</v>
      </c>
      <c r="AI16" s="318"/>
      <c r="AJ16" s="318" t="e">
        <f>IF(AND('Mapa final'!#REF!="Alta",'Mapa final'!#REF!="Catastrófico"),CONCATENATE("R",'Mapa final'!#REF!),"")</f>
        <v>#REF!</v>
      </c>
      <c r="AK16" s="318"/>
      <c r="AL16" s="318" t="e">
        <f>IF(AND('Mapa final'!#REF!="Alta",'Mapa final'!#REF!="Catastrófico"),CONCATENATE("R",'Mapa final'!#REF!),"")</f>
        <v>#REF!</v>
      </c>
      <c r="AM16" s="319"/>
      <c r="AN16" s="69"/>
      <c r="AO16" s="273"/>
      <c r="AP16" s="274"/>
      <c r="AQ16" s="274"/>
      <c r="AR16" s="274"/>
      <c r="AS16" s="274"/>
      <c r="AT16" s="275"/>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c r="BY16" s="69"/>
      <c r="BZ16" s="69"/>
      <c r="CA16" s="69"/>
      <c r="CB16" s="69"/>
    </row>
    <row r="17" spans="1:80" ht="15" customHeight="1" x14ac:dyDescent="0.25">
      <c r="A17" s="69"/>
      <c r="B17" s="259"/>
      <c r="C17" s="259"/>
      <c r="D17" s="260"/>
      <c r="E17" s="300"/>
      <c r="F17" s="301"/>
      <c r="G17" s="301"/>
      <c r="H17" s="301"/>
      <c r="I17" s="301"/>
      <c r="J17" s="326"/>
      <c r="K17" s="327"/>
      <c r="L17" s="327"/>
      <c r="M17" s="327"/>
      <c r="N17" s="327"/>
      <c r="O17" s="328"/>
      <c r="P17" s="326"/>
      <c r="Q17" s="327"/>
      <c r="R17" s="327"/>
      <c r="S17" s="327"/>
      <c r="T17" s="327"/>
      <c r="U17" s="328"/>
      <c r="V17" s="310"/>
      <c r="W17" s="306"/>
      <c r="X17" s="306"/>
      <c r="Y17" s="306"/>
      <c r="Z17" s="306"/>
      <c r="AA17" s="307"/>
      <c r="AB17" s="310"/>
      <c r="AC17" s="306"/>
      <c r="AD17" s="306"/>
      <c r="AE17" s="306"/>
      <c r="AF17" s="306"/>
      <c r="AG17" s="307"/>
      <c r="AH17" s="317"/>
      <c r="AI17" s="318"/>
      <c r="AJ17" s="318"/>
      <c r="AK17" s="318"/>
      <c r="AL17" s="318"/>
      <c r="AM17" s="319"/>
      <c r="AN17" s="69"/>
      <c r="AO17" s="273"/>
      <c r="AP17" s="274"/>
      <c r="AQ17" s="274"/>
      <c r="AR17" s="274"/>
      <c r="AS17" s="274"/>
      <c r="AT17" s="275"/>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c r="BU17" s="69"/>
      <c r="BV17" s="69"/>
      <c r="BW17" s="69"/>
      <c r="BX17" s="69"/>
      <c r="BY17" s="69"/>
      <c r="BZ17" s="69"/>
      <c r="CA17" s="69"/>
      <c r="CB17" s="69"/>
    </row>
    <row r="18" spans="1:80" ht="15" customHeight="1" x14ac:dyDescent="0.25">
      <c r="A18" s="69"/>
      <c r="B18" s="259"/>
      <c r="C18" s="259"/>
      <c r="D18" s="260"/>
      <c r="E18" s="300"/>
      <c r="F18" s="301"/>
      <c r="G18" s="301"/>
      <c r="H18" s="301"/>
      <c r="I18" s="301"/>
      <c r="J18" s="326" t="e">
        <f>IF(AND('Mapa final'!#REF!="Alta",'Mapa final'!#REF!="Leve"),CONCATENATE("R",'Mapa final'!#REF!),"")</f>
        <v>#REF!</v>
      </c>
      <c r="K18" s="327"/>
      <c r="L18" s="327" t="e">
        <f>IF(AND('Mapa final'!#REF!="Alta",'Mapa final'!#REF!="Leve"),CONCATENATE("R",'Mapa final'!#REF!),"")</f>
        <v>#REF!</v>
      </c>
      <c r="M18" s="327"/>
      <c r="N18" s="327" t="e">
        <f>IF(AND('Mapa final'!#REF!="Alta",'Mapa final'!#REF!="Leve"),CONCATENATE("R",'Mapa final'!#REF!),"")</f>
        <v>#REF!</v>
      </c>
      <c r="O18" s="328"/>
      <c r="P18" s="326" t="e">
        <f>IF(AND('Mapa final'!#REF!="Alta",'Mapa final'!#REF!="Menor"),CONCATENATE("R",'Mapa final'!#REF!),"")</f>
        <v>#REF!</v>
      </c>
      <c r="Q18" s="327"/>
      <c r="R18" s="327" t="e">
        <f>IF(AND('Mapa final'!#REF!="Alta",'Mapa final'!#REF!="Menor"),CONCATENATE("R",'Mapa final'!#REF!),"")</f>
        <v>#REF!</v>
      </c>
      <c r="S18" s="327"/>
      <c r="T18" s="327" t="e">
        <f>IF(AND('Mapa final'!#REF!="Alta",'Mapa final'!#REF!="Menor"),CONCATENATE("R",'Mapa final'!#REF!),"")</f>
        <v>#REF!</v>
      </c>
      <c r="U18" s="328"/>
      <c r="V18" s="310" t="e">
        <f>IF(AND('Mapa final'!#REF!="Alta",'Mapa final'!#REF!="Moderado"),CONCATENATE("R",'Mapa final'!#REF!),"")</f>
        <v>#REF!</v>
      </c>
      <c r="W18" s="306"/>
      <c r="X18" s="306" t="e">
        <f>IF(AND('Mapa final'!#REF!="Alta",'Mapa final'!#REF!="Moderado"),CONCATENATE("R",'Mapa final'!#REF!),"")</f>
        <v>#REF!</v>
      </c>
      <c r="Y18" s="306"/>
      <c r="Z18" s="306" t="e">
        <f>IF(AND('Mapa final'!#REF!="Alta",'Mapa final'!#REF!="Moderado"),CONCATENATE("R",'Mapa final'!#REF!),"")</f>
        <v>#REF!</v>
      </c>
      <c r="AA18" s="307"/>
      <c r="AB18" s="310" t="e">
        <f>IF(AND('Mapa final'!#REF!="Alta",'Mapa final'!#REF!="Mayor"),CONCATENATE("R",'Mapa final'!#REF!),"")</f>
        <v>#REF!</v>
      </c>
      <c r="AC18" s="306"/>
      <c r="AD18" s="306" t="e">
        <f>IF(AND('Mapa final'!#REF!="Alta",'Mapa final'!#REF!="Mayor"),CONCATENATE("R",'Mapa final'!#REF!),"")</f>
        <v>#REF!</v>
      </c>
      <c r="AE18" s="306"/>
      <c r="AF18" s="306" t="e">
        <f>IF(AND('Mapa final'!#REF!="Alta",'Mapa final'!#REF!="Mayor"),CONCATENATE("R",'Mapa final'!#REF!),"")</f>
        <v>#REF!</v>
      </c>
      <c r="AG18" s="307"/>
      <c r="AH18" s="317" t="e">
        <f>IF(AND('Mapa final'!#REF!="Alta",'Mapa final'!#REF!="Catastrófico"),CONCATENATE("R",'Mapa final'!#REF!),"")</f>
        <v>#REF!</v>
      </c>
      <c r="AI18" s="318"/>
      <c r="AJ18" s="318" t="e">
        <f>IF(AND('Mapa final'!#REF!="Alta",'Mapa final'!#REF!="Catastrófico"),CONCATENATE("R",'Mapa final'!#REF!),"")</f>
        <v>#REF!</v>
      </c>
      <c r="AK18" s="318"/>
      <c r="AL18" s="318" t="e">
        <f>IF(AND('Mapa final'!#REF!="Alta",'Mapa final'!#REF!="Catastrófico"),CONCATENATE("R",'Mapa final'!#REF!),"")</f>
        <v>#REF!</v>
      </c>
      <c r="AM18" s="319"/>
      <c r="AN18" s="69"/>
      <c r="AO18" s="273"/>
      <c r="AP18" s="274"/>
      <c r="AQ18" s="274"/>
      <c r="AR18" s="274"/>
      <c r="AS18" s="274"/>
      <c r="AT18" s="275"/>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c r="BY18" s="69"/>
      <c r="BZ18" s="69"/>
      <c r="CA18" s="69"/>
      <c r="CB18" s="69"/>
    </row>
    <row r="19" spans="1:80" ht="15" customHeight="1" x14ac:dyDescent="0.25">
      <c r="A19" s="69"/>
      <c r="B19" s="259"/>
      <c r="C19" s="259"/>
      <c r="D19" s="260"/>
      <c r="E19" s="300"/>
      <c r="F19" s="301"/>
      <c r="G19" s="301"/>
      <c r="H19" s="301"/>
      <c r="I19" s="301"/>
      <c r="J19" s="326"/>
      <c r="K19" s="327"/>
      <c r="L19" s="327"/>
      <c r="M19" s="327"/>
      <c r="N19" s="327"/>
      <c r="O19" s="328"/>
      <c r="P19" s="326"/>
      <c r="Q19" s="327"/>
      <c r="R19" s="327"/>
      <c r="S19" s="327"/>
      <c r="T19" s="327"/>
      <c r="U19" s="328"/>
      <c r="V19" s="310"/>
      <c r="W19" s="306"/>
      <c r="X19" s="306"/>
      <c r="Y19" s="306"/>
      <c r="Z19" s="306"/>
      <c r="AA19" s="307"/>
      <c r="AB19" s="310"/>
      <c r="AC19" s="306"/>
      <c r="AD19" s="306"/>
      <c r="AE19" s="306"/>
      <c r="AF19" s="306"/>
      <c r="AG19" s="307"/>
      <c r="AH19" s="317"/>
      <c r="AI19" s="318"/>
      <c r="AJ19" s="318"/>
      <c r="AK19" s="318"/>
      <c r="AL19" s="318"/>
      <c r="AM19" s="319"/>
      <c r="AN19" s="69"/>
      <c r="AO19" s="273"/>
      <c r="AP19" s="274"/>
      <c r="AQ19" s="274"/>
      <c r="AR19" s="274"/>
      <c r="AS19" s="274"/>
      <c r="AT19" s="275"/>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c r="BY19" s="69"/>
      <c r="BZ19" s="69"/>
      <c r="CA19" s="69"/>
      <c r="CB19" s="69"/>
    </row>
    <row r="20" spans="1:80" ht="15" customHeight="1" x14ac:dyDescent="0.25">
      <c r="A20" s="69"/>
      <c r="B20" s="259"/>
      <c r="C20" s="259"/>
      <c r="D20" s="260"/>
      <c r="E20" s="300"/>
      <c r="F20" s="301"/>
      <c r="G20" s="301"/>
      <c r="H20" s="301"/>
      <c r="I20" s="301"/>
      <c r="J20" s="326" t="e">
        <f>IF(AND('Mapa final'!#REF!="Alta",'Mapa final'!#REF!="Leve"),CONCATENATE("R",'Mapa final'!#REF!),"")</f>
        <v>#REF!</v>
      </c>
      <c r="K20" s="327"/>
      <c r="L20" s="327" t="str">
        <f>IF(AND('Mapa final'!$H$19="Alta",'Mapa final'!$L$19="Leve"),CONCATENATE("R",'Mapa final'!$A$19),"")</f>
        <v/>
      </c>
      <c r="M20" s="327"/>
      <c r="N20" s="327" t="str">
        <f>IF(AND('Mapa final'!$H$25="Alta",'Mapa final'!$L$25="Leve"),CONCATENATE("R",'Mapa final'!$A$25),"")</f>
        <v/>
      </c>
      <c r="O20" s="328"/>
      <c r="P20" s="326" t="e">
        <f>IF(AND('Mapa final'!#REF!="Alta",'Mapa final'!#REF!="Menor"),CONCATENATE("R",'Mapa final'!#REF!),"")</f>
        <v>#REF!</v>
      </c>
      <c r="Q20" s="327"/>
      <c r="R20" s="327" t="str">
        <f>IF(AND('Mapa final'!$H$19="Alta",'Mapa final'!$L$19="Menor"),CONCATENATE("R",'Mapa final'!$A$19),"")</f>
        <v/>
      </c>
      <c r="S20" s="327"/>
      <c r="T20" s="327" t="str">
        <f>IF(AND('Mapa final'!$H$25="Alta",'Mapa final'!$L$25="Menor"),CONCATENATE("R",'Mapa final'!$A$25),"")</f>
        <v/>
      </c>
      <c r="U20" s="328"/>
      <c r="V20" s="310" t="e">
        <f>IF(AND('Mapa final'!#REF!="Alta",'Mapa final'!#REF!="Moderado"),CONCATENATE("R",'Mapa final'!#REF!),"")</f>
        <v>#REF!</v>
      </c>
      <c r="W20" s="306"/>
      <c r="X20" s="306" t="str">
        <f>IF(AND('Mapa final'!$H$19="Alta",'Mapa final'!$L$19="Moderado"),CONCATENATE("R",'Mapa final'!$A$19),"")</f>
        <v/>
      </c>
      <c r="Y20" s="306"/>
      <c r="Z20" s="306" t="str">
        <f>IF(AND('Mapa final'!$H$25="Alta",'Mapa final'!$L$25="Moderado"),CONCATENATE("R",'Mapa final'!$A$25),"")</f>
        <v/>
      </c>
      <c r="AA20" s="307"/>
      <c r="AB20" s="310" t="e">
        <f>IF(AND('Mapa final'!#REF!="Alta",'Mapa final'!#REF!="Mayor"),CONCATENATE("R",'Mapa final'!#REF!),"")</f>
        <v>#REF!</v>
      </c>
      <c r="AC20" s="306"/>
      <c r="AD20" s="306" t="str">
        <f>IF(AND('Mapa final'!$H$19="Alta",'Mapa final'!$L$19="Mayor"),CONCATENATE("R",'Mapa final'!$A$19),"")</f>
        <v/>
      </c>
      <c r="AE20" s="306"/>
      <c r="AF20" s="306" t="str">
        <f>IF(AND('Mapa final'!$H$25="Alta",'Mapa final'!$L$25="Mayor"),CONCATENATE("R",'Mapa final'!$A$25),"")</f>
        <v/>
      </c>
      <c r="AG20" s="307"/>
      <c r="AH20" s="317" t="e">
        <f>IF(AND('Mapa final'!#REF!="Alta",'Mapa final'!#REF!="Catastrófico"),CONCATENATE("R",'Mapa final'!#REF!),"")</f>
        <v>#REF!</v>
      </c>
      <c r="AI20" s="318"/>
      <c r="AJ20" s="318" t="str">
        <f>IF(AND('Mapa final'!$H$19="Alta",'Mapa final'!$L$19="Catastrófico"),CONCATENATE("R",'Mapa final'!$A$19),"")</f>
        <v/>
      </c>
      <c r="AK20" s="318"/>
      <c r="AL20" s="318" t="str">
        <f>IF(AND('Mapa final'!$H$25="Alta",'Mapa final'!$L$25="Catastrófico"),CONCATENATE("R",'Mapa final'!$A$25),"")</f>
        <v/>
      </c>
      <c r="AM20" s="319"/>
      <c r="AN20" s="69"/>
      <c r="AO20" s="273"/>
      <c r="AP20" s="274"/>
      <c r="AQ20" s="274"/>
      <c r="AR20" s="274"/>
      <c r="AS20" s="274"/>
      <c r="AT20" s="275"/>
      <c r="AU20" s="69"/>
      <c r="AV20" s="69"/>
      <c r="AW20" s="69"/>
      <c r="AX20" s="69"/>
      <c r="AY20" s="69"/>
      <c r="AZ20" s="69"/>
      <c r="BA20" s="69"/>
      <c r="BB20" s="69"/>
      <c r="BC20" s="69"/>
      <c r="BD20" s="69"/>
      <c r="BE20" s="69"/>
      <c r="BF20" s="69"/>
      <c r="BG20" s="69"/>
      <c r="BH20" s="69"/>
      <c r="BI20" s="69"/>
      <c r="BJ20" s="69"/>
      <c r="BK20" s="69"/>
      <c r="BL20" s="69"/>
      <c r="BM20" s="69"/>
      <c r="BN20" s="69"/>
      <c r="BO20" s="69"/>
      <c r="BP20" s="69"/>
      <c r="BQ20" s="69"/>
      <c r="BR20" s="69"/>
      <c r="BS20" s="69"/>
      <c r="BT20" s="69"/>
      <c r="BU20" s="69"/>
      <c r="BV20" s="69"/>
      <c r="BW20" s="69"/>
      <c r="BX20" s="69"/>
      <c r="BY20" s="69"/>
      <c r="BZ20" s="69"/>
      <c r="CA20" s="69"/>
      <c r="CB20" s="69"/>
    </row>
    <row r="21" spans="1:80" ht="15.75" customHeight="1" thickBot="1" x14ac:dyDescent="0.3">
      <c r="A21" s="69"/>
      <c r="B21" s="259"/>
      <c r="C21" s="259"/>
      <c r="D21" s="260"/>
      <c r="E21" s="303"/>
      <c r="F21" s="304"/>
      <c r="G21" s="304"/>
      <c r="H21" s="304"/>
      <c r="I21" s="304"/>
      <c r="J21" s="329"/>
      <c r="K21" s="330"/>
      <c r="L21" s="330"/>
      <c r="M21" s="330"/>
      <c r="N21" s="330"/>
      <c r="O21" s="331"/>
      <c r="P21" s="329"/>
      <c r="Q21" s="330"/>
      <c r="R21" s="330"/>
      <c r="S21" s="330"/>
      <c r="T21" s="330"/>
      <c r="U21" s="331"/>
      <c r="V21" s="314"/>
      <c r="W21" s="315"/>
      <c r="X21" s="315"/>
      <c r="Y21" s="315"/>
      <c r="Z21" s="315"/>
      <c r="AA21" s="316"/>
      <c r="AB21" s="314"/>
      <c r="AC21" s="315"/>
      <c r="AD21" s="315"/>
      <c r="AE21" s="315"/>
      <c r="AF21" s="315"/>
      <c r="AG21" s="316"/>
      <c r="AH21" s="320"/>
      <c r="AI21" s="321"/>
      <c r="AJ21" s="321"/>
      <c r="AK21" s="321"/>
      <c r="AL21" s="321"/>
      <c r="AM21" s="322"/>
      <c r="AN21" s="69"/>
      <c r="AO21" s="276"/>
      <c r="AP21" s="277"/>
      <c r="AQ21" s="277"/>
      <c r="AR21" s="277"/>
      <c r="AS21" s="277"/>
      <c r="AT21" s="278"/>
      <c r="AU21" s="69"/>
      <c r="AV21" s="69"/>
      <c r="AW21" s="69"/>
      <c r="AX21" s="69"/>
      <c r="AY21" s="69"/>
      <c r="AZ21" s="69"/>
      <c r="BA21" s="69"/>
      <c r="BB21" s="69"/>
      <c r="BC21" s="69"/>
      <c r="BD21" s="69"/>
      <c r="BE21" s="69"/>
      <c r="BF21" s="69"/>
      <c r="BG21" s="69"/>
      <c r="BH21" s="69"/>
      <c r="BI21" s="69"/>
      <c r="BJ21" s="69"/>
      <c r="BK21" s="69"/>
      <c r="BL21" s="69"/>
      <c r="BM21" s="69"/>
      <c r="BN21" s="69"/>
      <c r="BO21" s="69"/>
      <c r="BP21" s="69"/>
      <c r="BQ21" s="69"/>
      <c r="BR21" s="69"/>
      <c r="BS21" s="69"/>
      <c r="BT21" s="69"/>
      <c r="BU21" s="69"/>
      <c r="BV21" s="69"/>
      <c r="BW21" s="69"/>
      <c r="BX21" s="69"/>
      <c r="BY21" s="69"/>
      <c r="BZ21" s="69"/>
      <c r="CA21" s="69"/>
      <c r="CB21" s="69"/>
    </row>
    <row r="22" spans="1:80" x14ac:dyDescent="0.25">
      <c r="A22" s="69"/>
      <c r="B22" s="259"/>
      <c r="C22" s="259"/>
      <c r="D22" s="260"/>
      <c r="E22" s="297" t="s">
        <v>115</v>
      </c>
      <c r="F22" s="298"/>
      <c r="G22" s="298"/>
      <c r="H22" s="298"/>
      <c r="I22" s="299"/>
      <c r="J22" s="332" t="str">
        <f>IF(AND('Mapa final'!$H$13="Media",'Mapa final'!$L$13="Leve"),CONCATENATE("R",'Mapa final'!$A$13),"")</f>
        <v/>
      </c>
      <c r="K22" s="333"/>
      <c r="L22" s="333" t="e">
        <f>IF(AND('Mapa final'!#REF!="Media",'Mapa final'!#REF!="Leve"),CONCATENATE("R",'Mapa final'!#REF!),"")</f>
        <v>#REF!</v>
      </c>
      <c r="M22" s="333"/>
      <c r="N22" s="333" t="e">
        <f>IF(AND('Mapa final'!#REF!="Media",'Mapa final'!#REF!="Leve"),CONCATENATE("R",'Mapa final'!#REF!),"")</f>
        <v>#REF!</v>
      </c>
      <c r="O22" s="334"/>
      <c r="P22" s="332" t="str">
        <f>IF(AND('Mapa final'!$H$13="Media",'Mapa final'!$L$13="Menor"),CONCATENATE("R",'Mapa final'!$A$13),"")</f>
        <v/>
      </c>
      <c r="Q22" s="333"/>
      <c r="R22" s="333" t="e">
        <f>IF(AND('Mapa final'!#REF!="Media",'Mapa final'!#REF!="Menor"),CONCATENATE("R",'Mapa final'!#REF!),"")</f>
        <v>#REF!</v>
      </c>
      <c r="S22" s="333"/>
      <c r="T22" s="333" t="e">
        <f>IF(AND('Mapa final'!#REF!="Media",'Mapa final'!#REF!="Menor"),CONCATENATE("R",'Mapa final'!#REF!),"")</f>
        <v>#REF!</v>
      </c>
      <c r="U22" s="334"/>
      <c r="V22" s="332" t="str">
        <f>IF(AND('Mapa final'!$H$13="Media",'Mapa final'!$L$13="Moderado"),CONCATENATE("R",'Mapa final'!$A$13),"")</f>
        <v/>
      </c>
      <c r="W22" s="333"/>
      <c r="X22" s="333" t="e">
        <f>IF(AND('Mapa final'!#REF!="Media",'Mapa final'!#REF!="Moderado"),CONCATENATE("R",'Mapa final'!#REF!),"")</f>
        <v>#REF!</v>
      </c>
      <c r="Y22" s="333"/>
      <c r="Z22" s="333" t="e">
        <f>IF(AND('Mapa final'!#REF!="Media",'Mapa final'!#REF!="Moderado"),CONCATENATE("R",'Mapa final'!#REF!),"")</f>
        <v>#REF!</v>
      </c>
      <c r="AA22" s="334"/>
      <c r="AB22" s="308" t="str">
        <f>IF(AND('Mapa final'!$H$13="Media",'Mapa final'!$L$13="Mayor"),CONCATENATE("R",'Mapa final'!$A$13),"")</f>
        <v/>
      </c>
      <c r="AC22" s="309"/>
      <c r="AD22" s="309" t="e">
        <f>IF(AND('Mapa final'!#REF!="Media",'Mapa final'!#REF!="Mayor"),CONCATENATE("R",'Mapa final'!#REF!),"")</f>
        <v>#REF!</v>
      </c>
      <c r="AE22" s="309"/>
      <c r="AF22" s="309" t="e">
        <f>IF(AND('Mapa final'!#REF!="Media",'Mapa final'!#REF!="Mayor"),CONCATENATE("R",'Mapa final'!#REF!),"")</f>
        <v>#REF!</v>
      </c>
      <c r="AG22" s="311"/>
      <c r="AH22" s="323" t="str">
        <f>IF(AND('Mapa final'!$H$13="Media",'Mapa final'!$L$13="Catastrófico"),CONCATENATE("R",'Mapa final'!$A$13),"")</f>
        <v/>
      </c>
      <c r="AI22" s="324"/>
      <c r="AJ22" s="324" t="e">
        <f>IF(AND('Mapa final'!#REF!="Media",'Mapa final'!#REF!="Catastrófico"),CONCATENATE("R",'Mapa final'!#REF!),"")</f>
        <v>#REF!</v>
      </c>
      <c r="AK22" s="324"/>
      <c r="AL22" s="324" t="e">
        <f>IF(AND('Mapa final'!#REF!="Media",'Mapa final'!#REF!="Catastrófico"),CONCATENATE("R",'Mapa final'!#REF!),"")</f>
        <v>#REF!</v>
      </c>
      <c r="AM22" s="325"/>
      <c r="AN22" s="69"/>
      <c r="AO22" s="279" t="s">
        <v>79</v>
      </c>
      <c r="AP22" s="280"/>
      <c r="AQ22" s="280"/>
      <c r="AR22" s="280"/>
      <c r="AS22" s="280"/>
      <c r="AT22" s="281"/>
      <c r="AU22" s="69"/>
      <c r="AV22" s="69"/>
      <c r="AW22" s="69"/>
      <c r="AX22" s="69"/>
      <c r="AY22" s="69"/>
      <c r="AZ22" s="69"/>
      <c r="BA22" s="69"/>
      <c r="BB22" s="69"/>
      <c r="BC22" s="69"/>
      <c r="BD22" s="69"/>
      <c r="BE22" s="69"/>
      <c r="BF22" s="69"/>
      <c r="BG22" s="69"/>
      <c r="BH22" s="69"/>
      <c r="BI22" s="69"/>
      <c r="BJ22" s="69"/>
      <c r="BK22" s="69"/>
      <c r="BL22" s="69"/>
      <c r="BM22" s="69"/>
      <c r="BN22" s="69"/>
      <c r="BO22" s="69"/>
      <c r="BP22" s="69"/>
      <c r="BQ22" s="69"/>
      <c r="BR22" s="69"/>
      <c r="BS22" s="69"/>
      <c r="BT22" s="69"/>
      <c r="BU22" s="69"/>
      <c r="BV22" s="69"/>
      <c r="BW22" s="69"/>
      <c r="BX22" s="69"/>
      <c r="BY22" s="69"/>
      <c r="BZ22" s="69"/>
      <c r="CA22" s="69"/>
      <c r="CB22" s="69"/>
    </row>
    <row r="23" spans="1:80" x14ac:dyDescent="0.25">
      <c r="A23" s="69"/>
      <c r="B23" s="259"/>
      <c r="C23" s="259"/>
      <c r="D23" s="260"/>
      <c r="E23" s="300"/>
      <c r="F23" s="301"/>
      <c r="G23" s="301"/>
      <c r="H23" s="301"/>
      <c r="I23" s="302"/>
      <c r="J23" s="326"/>
      <c r="K23" s="327"/>
      <c r="L23" s="327"/>
      <c r="M23" s="327"/>
      <c r="N23" s="327"/>
      <c r="O23" s="328"/>
      <c r="P23" s="326"/>
      <c r="Q23" s="327"/>
      <c r="R23" s="327"/>
      <c r="S23" s="327"/>
      <c r="T23" s="327"/>
      <c r="U23" s="328"/>
      <c r="V23" s="326"/>
      <c r="W23" s="327"/>
      <c r="X23" s="327"/>
      <c r="Y23" s="327"/>
      <c r="Z23" s="327"/>
      <c r="AA23" s="328"/>
      <c r="AB23" s="310"/>
      <c r="AC23" s="306"/>
      <c r="AD23" s="306"/>
      <c r="AE23" s="306"/>
      <c r="AF23" s="306"/>
      <c r="AG23" s="307"/>
      <c r="AH23" s="317"/>
      <c r="AI23" s="318"/>
      <c r="AJ23" s="318"/>
      <c r="AK23" s="318"/>
      <c r="AL23" s="318"/>
      <c r="AM23" s="319"/>
      <c r="AN23" s="69"/>
      <c r="AO23" s="282"/>
      <c r="AP23" s="283"/>
      <c r="AQ23" s="283"/>
      <c r="AR23" s="283"/>
      <c r="AS23" s="283"/>
      <c r="AT23" s="284"/>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c r="BU23" s="69"/>
      <c r="BV23" s="69"/>
      <c r="BW23" s="69"/>
      <c r="BX23" s="69"/>
      <c r="BY23" s="69"/>
      <c r="BZ23" s="69"/>
      <c r="CA23" s="69"/>
      <c r="CB23" s="69"/>
    </row>
    <row r="24" spans="1:80" x14ac:dyDescent="0.25">
      <c r="A24" s="69"/>
      <c r="B24" s="259"/>
      <c r="C24" s="259"/>
      <c r="D24" s="260"/>
      <c r="E24" s="300"/>
      <c r="F24" s="301"/>
      <c r="G24" s="301"/>
      <c r="H24" s="301"/>
      <c r="I24" s="302"/>
      <c r="J24" s="326" t="e">
        <f>IF(AND('Mapa final'!#REF!="Media",'Mapa final'!#REF!="Leve"),CONCATENATE("R",'Mapa final'!#REF!),"")</f>
        <v>#REF!</v>
      </c>
      <c r="K24" s="327"/>
      <c r="L24" s="327" t="e">
        <f>IF(AND('Mapa final'!#REF!="Media",'Mapa final'!#REF!="Leve"),CONCATENATE("R",'Mapa final'!#REF!),"")</f>
        <v>#REF!</v>
      </c>
      <c r="M24" s="327"/>
      <c r="N24" s="327" t="e">
        <f>IF(AND('Mapa final'!#REF!="Media",'Mapa final'!#REF!="Leve"),CONCATENATE("R",'Mapa final'!#REF!),"")</f>
        <v>#REF!</v>
      </c>
      <c r="O24" s="328"/>
      <c r="P24" s="326" t="e">
        <f>IF(AND('Mapa final'!#REF!="Media",'Mapa final'!#REF!="Menor"),CONCATENATE("R",'Mapa final'!#REF!),"")</f>
        <v>#REF!</v>
      </c>
      <c r="Q24" s="327"/>
      <c r="R24" s="327" t="e">
        <f>IF(AND('Mapa final'!#REF!="Media",'Mapa final'!#REF!="Menor"),CONCATENATE("R",'Mapa final'!#REF!),"")</f>
        <v>#REF!</v>
      </c>
      <c r="S24" s="327"/>
      <c r="T24" s="327" t="e">
        <f>IF(AND('Mapa final'!#REF!="Media",'Mapa final'!#REF!="Menor"),CONCATENATE("R",'Mapa final'!#REF!),"")</f>
        <v>#REF!</v>
      </c>
      <c r="U24" s="328"/>
      <c r="V24" s="326" t="e">
        <f>IF(AND('Mapa final'!#REF!="Media",'Mapa final'!#REF!="Moderado"),CONCATENATE("R",'Mapa final'!#REF!),"")</f>
        <v>#REF!</v>
      </c>
      <c r="W24" s="327"/>
      <c r="X24" s="327" t="e">
        <f>IF(AND('Mapa final'!#REF!="Media",'Mapa final'!#REF!="Moderado"),CONCATENATE("R",'Mapa final'!#REF!),"")</f>
        <v>#REF!</v>
      </c>
      <c r="Y24" s="327"/>
      <c r="Z24" s="327" t="e">
        <f>IF(AND('Mapa final'!#REF!="Media",'Mapa final'!#REF!="Moderado"),CONCATENATE("R",'Mapa final'!#REF!),"")</f>
        <v>#REF!</v>
      </c>
      <c r="AA24" s="328"/>
      <c r="AB24" s="310" t="e">
        <f>IF(AND('Mapa final'!#REF!="Media",'Mapa final'!#REF!="Mayor"),CONCATENATE("R",'Mapa final'!#REF!),"")</f>
        <v>#REF!</v>
      </c>
      <c r="AC24" s="306"/>
      <c r="AD24" s="306" t="e">
        <f>IF(AND('Mapa final'!#REF!="Media",'Mapa final'!#REF!="Mayor"),CONCATENATE("R",'Mapa final'!#REF!),"")</f>
        <v>#REF!</v>
      </c>
      <c r="AE24" s="306"/>
      <c r="AF24" s="306" t="e">
        <f>IF(AND('Mapa final'!#REF!="Media",'Mapa final'!#REF!="Mayor"),CONCATENATE("R",'Mapa final'!#REF!),"")</f>
        <v>#REF!</v>
      </c>
      <c r="AG24" s="307"/>
      <c r="AH24" s="317" t="e">
        <f>IF(AND('Mapa final'!#REF!="Media",'Mapa final'!#REF!="Catastrófico"),CONCATENATE("R",'Mapa final'!#REF!),"")</f>
        <v>#REF!</v>
      </c>
      <c r="AI24" s="318"/>
      <c r="AJ24" s="318" t="e">
        <f>IF(AND('Mapa final'!#REF!="Media",'Mapa final'!#REF!="Catastrófico"),CONCATENATE("R",'Mapa final'!#REF!),"")</f>
        <v>#REF!</v>
      </c>
      <c r="AK24" s="318"/>
      <c r="AL24" s="318" t="e">
        <f>IF(AND('Mapa final'!#REF!="Media",'Mapa final'!#REF!="Catastrófico"),CONCATENATE("R",'Mapa final'!#REF!),"")</f>
        <v>#REF!</v>
      </c>
      <c r="AM24" s="319"/>
      <c r="AN24" s="69"/>
      <c r="AO24" s="282"/>
      <c r="AP24" s="283"/>
      <c r="AQ24" s="283"/>
      <c r="AR24" s="283"/>
      <c r="AS24" s="283"/>
      <c r="AT24" s="284"/>
      <c r="AU24" s="69"/>
      <c r="AV24" s="69"/>
      <c r="AW24" s="69"/>
      <c r="AX24" s="69"/>
      <c r="AY24" s="69"/>
      <c r="AZ24" s="69"/>
      <c r="BA24" s="69"/>
      <c r="BB24" s="69"/>
      <c r="BC24" s="69"/>
      <c r="BD24" s="69"/>
      <c r="BE24" s="69"/>
      <c r="BF24" s="69"/>
      <c r="BG24" s="69"/>
      <c r="BH24" s="69"/>
      <c r="BI24" s="69"/>
      <c r="BJ24" s="69"/>
      <c r="BK24" s="69"/>
      <c r="BL24" s="69"/>
      <c r="BM24" s="69"/>
      <c r="BN24" s="69"/>
      <c r="BO24" s="69"/>
      <c r="BP24" s="69"/>
      <c r="BQ24" s="69"/>
      <c r="BR24" s="69"/>
      <c r="BS24" s="69"/>
      <c r="BT24" s="69"/>
      <c r="BU24" s="69"/>
      <c r="BV24" s="69"/>
      <c r="BW24" s="69"/>
      <c r="BX24" s="69"/>
      <c r="BY24" s="69"/>
      <c r="BZ24" s="69"/>
      <c r="CA24" s="69"/>
      <c r="CB24" s="69"/>
    </row>
    <row r="25" spans="1:80" x14ac:dyDescent="0.25">
      <c r="A25" s="69"/>
      <c r="B25" s="259"/>
      <c r="C25" s="259"/>
      <c r="D25" s="260"/>
      <c r="E25" s="300"/>
      <c r="F25" s="301"/>
      <c r="G25" s="301"/>
      <c r="H25" s="301"/>
      <c r="I25" s="302"/>
      <c r="J25" s="326"/>
      <c r="K25" s="327"/>
      <c r="L25" s="327"/>
      <c r="M25" s="327"/>
      <c r="N25" s="327"/>
      <c r="O25" s="328"/>
      <c r="P25" s="326"/>
      <c r="Q25" s="327"/>
      <c r="R25" s="327"/>
      <c r="S25" s="327"/>
      <c r="T25" s="327"/>
      <c r="U25" s="328"/>
      <c r="V25" s="326"/>
      <c r="W25" s="327"/>
      <c r="X25" s="327"/>
      <c r="Y25" s="327"/>
      <c r="Z25" s="327"/>
      <c r="AA25" s="328"/>
      <c r="AB25" s="310"/>
      <c r="AC25" s="306"/>
      <c r="AD25" s="306"/>
      <c r="AE25" s="306"/>
      <c r="AF25" s="306"/>
      <c r="AG25" s="307"/>
      <c r="AH25" s="317"/>
      <c r="AI25" s="318"/>
      <c r="AJ25" s="318"/>
      <c r="AK25" s="318"/>
      <c r="AL25" s="318"/>
      <c r="AM25" s="319"/>
      <c r="AN25" s="69"/>
      <c r="AO25" s="282"/>
      <c r="AP25" s="283"/>
      <c r="AQ25" s="283"/>
      <c r="AR25" s="283"/>
      <c r="AS25" s="283"/>
      <c r="AT25" s="284"/>
      <c r="AU25" s="69"/>
      <c r="AV25" s="69"/>
      <c r="AW25" s="69"/>
      <c r="AX25" s="69"/>
      <c r="AY25" s="69"/>
      <c r="AZ25" s="69"/>
      <c r="BA25" s="69"/>
      <c r="BB25" s="69"/>
      <c r="BC25" s="69"/>
      <c r="BD25" s="69"/>
      <c r="BE25" s="69"/>
      <c r="BF25" s="69"/>
      <c r="BG25" s="69"/>
      <c r="BH25" s="69"/>
      <c r="BI25" s="69"/>
      <c r="BJ25" s="69"/>
      <c r="BK25" s="69"/>
      <c r="BL25" s="69"/>
      <c r="BM25" s="69"/>
      <c r="BN25" s="69"/>
      <c r="BO25" s="69"/>
      <c r="BP25" s="69"/>
      <c r="BQ25" s="69"/>
      <c r="BR25" s="69"/>
      <c r="BS25" s="69"/>
      <c r="BT25" s="69"/>
      <c r="BU25" s="69"/>
      <c r="BV25" s="69"/>
      <c r="BW25" s="69"/>
      <c r="BX25" s="69"/>
      <c r="BY25" s="69"/>
      <c r="BZ25" s="69"/>
      <c r="CA25" s="69"/>
      <c r="CB25" s="69"/>
    </row>
    <row r="26" spans="1:80" x14ac:dyDescent="0.25">
      <c r="A26" s="69"/>
      <c r="B26" s="259"/>
      <c r="C26" s="259"/>
      <c r="D26" s="260"/>
      <c r="E26" s="300"/>
      <c r="F26" s="301"/>
      <c r="G26" s="301"/>
      <c r="H26" s="301"/>
      <c r="I26" s="302"/>
      <c r="J26" s="326" t="e">
        <f>IF(AND('Mapa final'!#REF!="Media",'Mapa final'!#REF!="Leve"),CONCATENATE("R",'Mapa final'!#REF!),"")</f>
        <v>#REF!</v>
      </c>
      <c r="K26" s="327"/>
      <c r="L26" s="327" t="e">
        <f>IF(AND('Mapa final'!#REF!="Media",'Mapa final'!#REF!="Leve"),CONCATENATE("R",'Mapa final'!#REF!),"")</f>
        <v>#REF!</v>
      </c>
      <c r="M26" s="327"/>
      <c r="N26" s="327" t="e">
        <f>IF(AND('Mapa final'!#REF!="Media",'Mapa final'!#REF!="Leve"),CONCATENATE("R",'Mapa final'!#REF!),"")</f>
        <v>#REF!</v>
      </c>
      <c r="O26" s="328"/>
      <c r="P26" s="326" t="e">
        <f>IF(AND('Mapa final'!#REF!="Media",'Mapa final'!#REF!="Menor"),CONCATENATE("R",'Mapa final'!#REF!),"")</f>
        <v>#REF!</v>
      </c>
      <c r="Q26" s="327"/>
      <c r="R26" s="327" t="e">
        <f>IF(AND('Mapa final'!#REF!="Media",'Mapa final'!#REF!="Menor"),CONCATENATE("R",'Mapa final'!#REF!),"")</f>
        <v>#REF!</v>
      </c>
      <c r="S26" s="327"/>
      <c r="T26" s="327" t="e">
        <f>IF(AND('Mapa final'!#REF!="Media",'Mapa final'!#REF!="Menor"),CONCATENATE("R",'Mapa final'!#REF!),"")</f>
        <v>#REF!</v>
      </c>
      <c r="U26" s="328"/>
      <c r="V26" s="326" t="e">
        <f>IF(AND('Mapa final'!#REF!="Media",'Mapa final'!#REF!="Moderado"),CONCATENATE("R",'Mapa final'!#REF!),"")</f>
        <v>#REF!</v>
      </c>
      <c r="W26" s="327"/>
      <c r="X26" s="327" t="e">
        <f>IF(AND('Mapa final'!#REF!="Media",'Mapa final'!#REF!="Moderado"),CONCATENATE("R",'Mapa final'!#REF!),"")</f>
        <v>#REF!</v>
      </c>
      <c r="Y26" s="327"/>
      <c r="Z26" s="327" t="e">
        <f>IF(AND('Mapa final'!#REF!="Media",'Mapa final'!#REF!="Moderado"),CONCATENATE("R",'Mapa final'!#REF!),"")</f>
        <v>#REF!</v>
      </c>
      <c r="AA26" s="328"/>
      <c r="AB26" s="310" t="e">
        <f>IF(AND('Mapa final'!#REF!="Media",'Mapa final'!#REF!="Mayor"),CONCATENATE("R",'Mapa final'!#REF!),"")</f>
        <v>#REF!</v>
      </c>
      <c r="AC26" s="306"/>
      <c r="AD26" s="306" t="e">
        <f>IF(AND('Mapa final'!#REF!="Media",'Mapa final'!#REF!="Mayor"),CONCATENATE("R",'Mapa final'!#REF!),"")</f>
        <v>#REF!</v>
      </c>
      <c r="AE26" s="306"/>
      <c r="AF26" s="306" t="e">
        <f>IF(AND('Mapa final'!#REF!="Media",'Mapa final'!#REF!="Mayor"),CONCATENATE("R",'Mapa final'!#REF!),"")</f>
        <v>#REF!</v>
      </c>
      <c r="AG26" s="307"/>
      <c r="AH26" s="317" t="e">
        <f>IF(AND('Mapa final'!#REF!="Media",'Mapa final'!#REF!="Catastrófico"),CONCATENATE("R",'Mapa final'!#REF!),"")</f>
        <v>#REF!</v>
      </c>
      <c r="AI26" s="318"/>
      <c r="AJ26" s="318" t="e">
        <f>IF(AND('Mapa final'!#REF!="Media",'Mapa final'!#REF!="Catastrófico"),CONCATENATE("R",'Mapa final'!#REF!),"")</f>
        <v>#REF!</v>
      </c>
      <c r="AK26" s="318"/>
      <c r="AL26" s="318" t="e">
        <f>IF(AND('Mapa final'!#REF!="Media",'Mapa final'!#REF!="Catastrófico"),CONCATENATE("R",'Mapa final'!#REF!),"")</f>
        <v>#REF!</v>
      </c>
      <c r="AM26" s="319"/>
      <c r="AN26" s="69"/>
      <c r="AO26" s="282"/>
      <c r="AP26" s="283"/>
      <c r="AQ26" s="283"/>
      <c r="AR26" s="283"/>
      <c r="AS26" s="283"/>
      <c r="AT26" s="284"/>
      <c r="AU26" s="69"/>
      <c r="AV26" s="69"/>
      <c r="AW26" s="69"/>
      <c r="AX26" s="69"/>
      <c r="AY26" s="69"/>
      <c r="AZ26" s="69"/>
      <c r="BA26" s="69"/>
      <c r="BB26" s="69"/>
      <c r="BC26" s="69"/>
      <c r="BD26" s="69"/>
      <c r="BE26" s="69"/>
      <c r="BF26" s="69"/>
      <c r="BG26" s="69"/>
      <c r="BH26" s="69"/>
      <c r="BI26" s="69"/>
      <c r="BJ26" s="69"/>
      <c r="BK26" s="69"/>
      <c r="BL26" s="69"/>
      <c r="BM26" s="69"/>
      <c r="BN26" s="69"/>
      <c r="BO26" s="69"/>
      <c r="BP26" s="69"/>
      <c r="BQ26" s="69"/>
      <c r="BR26" s="69"/>
      <c r="BS26" s="69"/>
      <c r="BT26" s="69"/>
      <c r="BU26" s="69"/>
      <c r="BV26" s="69"/>
      <c r="BW26" s="69"/>
      <c r="BX26" s="69"/>
      <c r="BY26" s="69"/>
      <c r="BZ26" s="69"/>
      <c r="CA26" s="69"/>
      <c r="CB26" s="69"/>
    </row>
    <row r="27" spans="1:80" x14ac:dyDescent="0.25">
      <c r="A27" s="69"/>
      <c r="B27" s="259"/>
      <c r="C27" s="259"/>
      <c r="D27" s="260"/>
      <c r="E27" s="300"/>
      <c r="F27" s="301"/>
      <c r="G27" s="301"/>
      <c r="H27" s="301"/>
      <c r="I27" s="302"/>
      <c r="J27" s="326"/>
      <c r="K27" s="327"/>
      <c r="L27" s="327"/>
      <c r="M27" s="327"/>
      <c r="N27" s="327"/>
      <c r="O27" s="328"/>
      <c r="P27" s="326"/>
      <c r="Q27" s="327"/>
      <c r="R27" s="327"/>
      <c r="S27" s="327"/>
      <c r="T27" s="327"/>
      <c r="U27" s="328"/>
      <c r="V27" s="326"/>
      <c r="W27" s="327"/>
      <c r="X27" s="327"/>
      <c r="Y27" s="327"/>
      <c r="Z27" s="327"/>
      <c r="AA27" s="328"/>
      <c r="AB27" s="310"/>
      <c r="AC27" s="306"/>
      <c r="AD27" s="306"/>
      <c r="AE27" s="306"/>
      <c r="AF27" s="306"/>
      <c r="AG27" s="307"/>
      <c r="AH27" s="317"/>
      <c r="AI27" s="318"/>
      <c r="AJ27" s="318"/>
      <c r="AK27" s="318"/>
      <c r="AL27" s="318"/>
      <c r="AM27" s="319"/>
      <c r="AN27" s="69"/>
      <c r="AO27" s="282"/>
      <c r="AP27" s="283"/>
      <c r="AQ27" s="283"/>
      <c r="AR27" s="283"/>
      <c r="AS27" s="283"/>
      <c r="AT27" s="284"/>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c r="BU27" s="69"/>
      <c r="BV27" s="69"/>
      <c r="BW27" s="69"/>
      <c r="BX27" s="69"/>
      <c r="BY27" s="69"/>
      <c r="BZ27" s="69"/>
      <c r="CA27" s="69"/>
      <c r="CB27" s="69"/>
    </row>
    <row r="28" spans="1:80" x14ac:dyDescent="0.25">
      <c r="A28" s="69"/>
      <c r="B28" s="259"/>
      <c r="C28" s="259"/>
      <c r="D28" s="260"/>
      <c r="E28" s="300"/>
      <c r="F28" s="301"/>
      <c r="G28" s="301"/>
      <c r="H28" s="301"/>
      <c r="I28" s="302"/>
      <c r="J28" s="326" t="e">
        <f>IF(AND('Mapa final'!#REF!="Media",'Mapa final'!#REF!="Leve"),CONCATENATE("R",'Mapa final'!#REF!),"")</f>
        <v>#REF!</v>
      </c>
      <c r="K28" s="327"/>
      <c r="L28" s="327" t="str">
        <f>IF(AND('Mapa final'!$H$19="Media",'Mapa final'!$L$19="Leve"),CONCATENATE("R",'Mapa final'!$A$19),"")</f>
        <v/>
      </c>
      <c r="M28" s="327"/>
      <c r="N28" s="327" t="str">
        <f>IF(AND('Mapa final'!$H$25="Media",'Mapa final'!$L$25="Leve"),CONCATENATE("R",'Mapa final'!$A$25),"")</f>
        <v/>
      </c>
      <c r="O28" s="328"/>
      <c r="P28" s="326" t="e">
        <f>IF(AND('Mapa final'!#REF!="Media",'Mapa final'!#REF!="Menor"),CONCATENATE("R",'Mapa final'!#REF!),"")</f>
        <v>#REF!</v>
      </c>
      <c r="Q28" s="327"/>
      <c r="R28" s="327" t="str">
        <f>IF(AND('Mapa final'!$H$19="Media",'Mapa final'!$L$19="Menor"),CONCATENATE("R",'Mapa final'!$A$19),"")</f>
        <v/>
      </c>
      <c r="S28" s="327"/>
      <c r="T28" s="327" t="str">
        <f>IF(AND('Mapa final'!$H$25="Media",'Mapa final'!$L$25="Menor"),CONCATENATE("R",'Mapa final'!$A$25),"")</f>
        <v/>
      </c>
      <c r="U28" s="328"/>
      <c r="V28" s="326" t="e">
        <f>IF(AND('Mapa final'!#REF!="Media",'Mapa final'!#REF!="Moderado"),CONCATENATE("R",'Mapa final'!#REF!),"")</f>
        <v>#REF!</v>
      </c>
      <c r="W28" s="327"/>
      <c r="X28" s="327" t="str">
        <f>IF(AND('Mapa final'!$H$19="Media",'Mapa final'!$L$19="Moderado"),CONCATENATE("R",'Mapa final'!$A$19),"")</f>
        <v/>
      </c>
      <c r="Y28" s="327"/>
      <c r="Z28" s="327" t="str">
        <f>IF(AND('Mapa final'!$H$25="Media",'Mapa final'!$L$25="Moderado"),CONCATENATE("R",'Mapa final'!$A$25),"")</f>
        <v/>
      </c>
      <c r="AA28" s="328"/>
      <c r="AB28" s="310" t="e">
        <f>IF(AND('Mapa final'!#REF!="Media",'Mapa final'!#REF!="Mayor"),CONCATENATE("R",'Mapa final'!#REF!),"")</f>
        <v>#REF!</v>
      </c>
      <c r="AC28" s="306"/>
      <c r="AD28" s="306" t="str">
        <f>IF(AND('Mapa final'!$H$19="Media",'Mapa final'!$L$19="Mayor"),CONCATENATE("R",'Mapa final'!$A$19),"")</f>
        <v/>
      </c>
      <c r="AE28" s="306"/>
      <c r="AF28" s="306" t="str">
        <f>IF(AND('Mapa final'!$H$25="Media",'Mapa final'!$L$25="Mayor"),CONCATENATE("R",'Mapa final'!$A$25),"")</f>
        <v/>
      </c>
      <c r="AG28" s="307"/>
      <c r="AH28" s="317" t="e">
        <f>IF(AND('Mapa final'!#REF!="Media",'Mapa final'!#REF!="Catastrófico"),CONCATENATE("R",'Mapa final'!#REF!),"")</f>
        <v>#REF!</v>
      </c>
      <c r="AI28" s="318"/>
      <c r="AJ28" s="318" t="str">
        <f>IF(AND('Mapa final'!$H$19="Media",'Mapa final'!$L$19="Catastrófico"),CONCATENATE("R",'Mapa final'!$A$19),"")</f>
        <v/>
      </c>
      <c r="AK28" s="318"/>
      <c r="AL28" s="318" t="str">
        <f>IF(AND('Mapa final'!$H$25="Media",'Mapa final'!$L$25="Catastrófico"),CONCATENATE("R",'Mapa final'!$A$25),"")</f>
        <v/>
      </c>
      <c r="AM28" s="319"/>
      <c r="AN28" s="69"/>
      <c r="AO28" s="282"/>
      <c r="AP28" s="283"/>
      <c r="AQ28" s="283"/>
      <c r="AR28" s="283"/>
      <c r="AS28" s="283"/>
      <c r="AT28" s="284"/>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c r="BU28" s="69"/>
      <c r="BV28" s="69"/>
      <c r="BW28" s="69"/>
      <c r="BX28" s="69"/>
      <c r="BY28" s="69"/>
      <c r="BZ28" s="69"/>
      <c r="CA28" s="69"/>
      <c r="CB28" s="69"/>
    </row>
    <row r="29" spans="1:80" ht="15.75" thickBot="1" x14ac:dyDescent="0.3">
      <c r="A29" s="69"/>
      <c r="B29" s="259"/>
      <c r="C29" s="259"/>
      <c r="D29" s="260"/>
      <c r="E29" s="303"/>
      <c r="F29" s="304"/>
      <c r="G29" s="304"/>
      <c r="H29" s="304"/>
      <c r="I29" s="305"/>
      <c r="J29" s="326"/>
      <c r="K29" s="327"/>
      <c r="L29" s="327"/>
      <c r="M29" s="327"/>
      <c r="N29" s="327"/>
      <c r="O29" s="328"/>
      <c r="P29" s="329"/>
      <c r="Q29" s="330"/>
      <c r="R29" s="330"/>
      <c r="S29" s="330"/>
      <c r="T29" s="330"/>
      <c r="U29" s="331"/>
      <c r="V29" s="329"/>
      <c r="W29" s="330"/>
      <c r="X29" s="330"/>
      <c r="Y29" s="330"/>
      <c r="Z29" s="330"/>
      <c r="AA29" s="331"/>
      <c r="AB29" s="314"/>
      <c r="AC29" s="315"/>
      <c r="AD29" s="315"/>
      <c r="AE29" s="315"/>
      <c r="AF29" s="315"/>
      <c r="AG29" s="316"/>
      <c r="AH29" s="320"/>
      <c r="AI29" s="321"/>
      <c r="AJ29" s="321"/>
      <c r="AK29" s="321"/>
      <c r="AL29" s="321"/>
      <c r="AM29" s="322"/>
      <c r="AN29" s="69"/>
      <c r="AO29" s="285"/>
      <c r="AP29" s="286"/>
      <c r="AQ29" s="286"/>
      <c r="AR29" s="286"/>
      <c r="AS29" s="286"/>
      <c r="AT29" s="287"/>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c r="BY29" s="69"/>
      <c r="BZ29" s="69"/>
      <c r="CA29" s="69"/>
      <c r="CB29" s="69"/>
    </row>
    <row r="30" spans="1:80" x14ac:dyDescent="0.25">
      <c r="A30" s="69"/>
      <c r="B30" s="259"/>
      <c r="C30" s="259"/>
      <c r="D30" s="260"/>
      <c r="E30" s="297" t="s">
        <v>112</v>
      </c>
      <c r="F30" s="298"/>
      <c r="G30" s="298"/>
      <c r="H30" s="298"/>
      <c r="I30" s="298"/>
      <c r="J30" s="341" t="str">
        <f>IF(AND('Mapa final'!$H$13="Baja",'Mapa final'!$L$13="Leve"),CONCATENATE("R",'Mapa final'!$A$13),"")</f>
        <v/>
      </c>
      <c r="K30" s="342"/>
      <c r="L30" s="342" t="e">
        <f>IF(AND('Mapa final'!#REF!="Baja",'Mapa final'!#REF!="Leve"),CONCATENATE("R",'Mapa final'!#REF!),"")</f>
        <v>#REF!</v>
      </c>
      <c r="M30" s="342"/>
      <c r="N30" s="342" t="e">
        <f>IF(AND('Mapa final'!#REF!="Baja",'Mapa final'!#REF!="Leve"),CONCATENATE("R",'Mapa final'!#REF!),"")</f>
        <v>#REF!</v>
      </c>
      <c r="O30" s="343"/>
      <c r="P30" s="333" t="str">
        <f>IF(AND('Mapa final'!$H$13="Baja",'Mapa final'!$L$13="Menor"),CONCATENATE("R",'Mapa final'!$A$13),"")</f>
        <v/>
      </c>
      <c r="Q30" s="333"/>
      <c r="R30" s="333" t="e">
        <f>IF(AND('Mapa final'!#REF!="Baja",'Mapa final'!#REF!="Menor"),CONCATENATE("R",'Mapa final'!#REF!),"")</f>
        <v>#REF!</v>
      </c>
      <c r="S30" s="333"/>
      <c r="T30" s="333" t="e">
        <f>IF(AND('Mapa final'!#REF!="Baja",'Mapa final'!#REF!="Menor"),CONCATENATE("R",'Mapa final'!#REF!),"")</f>
        <v>#REF!</v>
      </c>
      <c r="U30" s="334"/>
      <c r="V30" s="332" t="str">
        <f>IF(AND('Mapa final'!$H$13="Baja",'Mapa final'!$L$13="Moderado"),CONCATENATE("R",'Mapa final'!$A$13),"")</f>
        <v>R1</v>
      </c>
      <c r="W30" s="333"/>
      <c r="X30" s="333" t="e">
        <f>IF(AND('Mapa final'!#REF!="Baja",'Mapa final'!#REF!="Moderado"),CONCATENATE("R",'Mapa final'!#REF!),"")</f>
        <v>#REF!</v>
      </c>
      <c r="Y30" s="333"/>
      <c r="Z30" s="333" t="e">
        <f>IF(AND('Mapa final'!#REF!="Baja",'Mapa final'!#REF!="Moderado"),CONCATENATE("R",'Mapa final'!#REF!),"")</f>
        <v>#REF!</v>
      </c>
      <c r="AA30" s="334"/>
      <c r="AB30" s="308" t="str">
        <f>IF(AND('Mapa final'!$H$13="Baja",'Mapa final'!$L$13="Mayor"),CONCATENATE("R",'Mapa final'!$A$13),"")</f>
        <v/>
      </c>
      <c r="AC30" s="309"/>
      <c r="AD30" s="309" t="e">
        <f>IF(AND('Mapa final'!#REF!="Baja",'Mapa final'!#REF!="Mayor"),CONCATENATE("R",'Mapa final'!#REF!),"")</f>
        <v>#REF!</v>
      </c>
      <c r="AE30" s="309"/>
      <c r="AF30" s="309" t="e">
        <f>IF(AND('Mapa final'!#REF!="Baja",'Mapa final'!#REF!="Mayor"),CONCATENATE("R",'Mapa final'!#REF!),"")</f>
        <v>#REF!</v>
      </c>
      <c r="AG30" s="311"/>
      <c r="AH30" s="323" t="str">
        <f>IF(AND('Mapa final'!$H$13="Baja",'Mapa final'!$L$13="Catastrófico"),CONCATENATE("R",'Mapa final'!$A$13),"")</f>
        <v/>
      </c>
      <c r="AI30" s="324"/>
      <c r="AJ30" s="324" t="e">
        <f>IF(AND('Mapa final'!#REF!="Baja",'Mapa final'!#REF!="Catastrófico"),CONCATENATE("R",'Mapa final'!#REF!),"")</f>
        <v>#REF!</v>
      </c>
      <c r="AK30" s="324"/>
      <c r="AL30" s="324" t="e">
        <f>IF(AND('Mapa final'!#REF!="Baja",'Mapa final'!#REF!="Catastrófico"),CONCATENATE("R",'Mapa final'!#REF!),"")</f>
        <v>#REF!</v>
      </c>
      <c r="AM30" s="325"/>
      <c r="AN30" s="69"/>
      <c r="AO30" s="288" t="s">
        <v>80</v>
      </c>
      <c r="AP30" s="289"/>
      <c r="AQ30" s="289"/>
      <c r="AR30" s="289"/>
      <c r="AS30" s="289"/>
      <c r="AT30" s="290"/>
      <c r="AU30" s="69"/>
      <c r="AV30" s="69"/>
      <c r="AW30" s="69"/>
      <c r="AX30" s="69"/>
      <c r="AY30" s="69"/>
      <c r="AZ30" s="69"/>
      <c r="BA30" s="69"/>
      <c r="BB30" s="69"/>
      <c r="BC30" s="69"/>
      <c r="BD30" s="69"/>
      <c r="BE30" s="69"/>
      <c r="BF30" s="69"/>
      <c r="BG30" s="69"/>
      <c r="BH30" s="69"/>
      <c r="BI30" s="69"/>
      <c r="BJ30" s="69"/>
      <c r="BK30" s="69"/>
      <c r="BL30" s="69"/>
      <c r="BM30" s="69"/>
      <c r="BN30" s="69"/>
      <c r="BO30" s="69"/>
      <c r="BP30" s="69"/>
      <c r="BQ30" s="69"/>
      <c r="BR30" s="69"/>
      <c r="BS30" s="69"/>
      <c r="BT30" s="69"/>
      <c r="BU30" s="69"/>
      <c r="BV30" s="69"/>
      <c r="BW30" s="69"/>
      <c r="BX30" s="69"/>
      <c r="BY30" s="69"/>
      <c r="BZ30" s="69"/>
      <c r="CA30" s="69"/>
      <c r="CB30" s="69"/>
    </row>
    <row r="31" spans="1:80" x14ac:dyDescent="0.25">
      <c r="A31" s="69"/>
      <c r="B31" s="259"/>
      <c r="C31" s="259"/>
      <c r="D31" s="260"/>
      <c r="E31" s="300"/>
      <c r="F31" s="301"/>
      <c r="G31" s="301"/>
      <c r="H31" s="301"/>
      <c r="I31" s="301"/>
      <c r="J31" s="337"/>
      <c r="K31" s="335"/>
      <c r="L31" s="335"/>
      <c r="M31" s="335"/>
      <c r="N31" s="335"/>
      <c r="O31" s="336"/>
      <c r="P31" s="327"/>
      <c r="Q31" s="327"/>
      <c r="R31" s="327"/>
      <c r="S31" s="327"/>
      <c r="T31" s="327"/>
      <c r="U31" s="328"/>
      <c r="V31" s="326"/>
      <c r="W31" s="327"/>
      <c r="X31" s="327"/>
      <c r="Y31" s="327"/>
      <c r="Z31" s="327"/>
      <c r="AA31" s="328"/>
      <c r="AB31" s="310"/>
      <c r="AC31" s="306"/>
      <c r="AD31" s="306"/>
      <c r="AE31" s="306"/>
      <c r="AF31" s="306"/>
      <c r="AG31" s="307"/>
      <c r="AH31" s="317"/>
      <c r="AI31" s="318"/>
      <c r="AJ31" s="318"/>
      <c r="AK31" s="318"/>
      <c r="AL31" s="318"/>
      <c r="AM31" s="319"/>
      <c r="AN31" s="69"/>
      <c r="AO31" s="291"/>
      <c r="AP31" s="292"/>
      <c r="AQ31" s="292"/>
      <c r="AR31" s="292"/>
      <c r="AS31" s="292"/>
      <c r="AT31" s="293"/>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69"/>
      <c r="BT31" s="69"/>
      <c r="BU31" s="69"/>
      <c r="BV31" s="69"/>
      <c r="BW31" s="69"/>
      <c r="BX31" s="69"/>
      <c r="BY31" s="69"/>
      <c r="BZ31" s="69"/>
      <c r="CA31" s="69"/>
      <c r="CB31" s="69"/>
    </row>
    <row r="32" spans="1:80" x14ac:dyDescent="0.25">
      <c r="A32" s="69"/>
      <c r="B32" s="259"/>
      <c r="C32" s="259"/>
      <c r="D32" s="260"/>
      <c r="E32" s="300"/>
      <c r="F32" s="301"/>
      <c r="G32" s="301"/>
      <c r="H32" s="301"/>
      <c r="I32" s="301"/>
      <c r="J32" s="337" t="e">
        <f>IF(AND('Mapa final'!#REF!="Baja",'Mapa final'!#REF!="Leve"),CONCATENATE("R",'Mapa final'!#REF!),"")</f>
        <v>#REF!</v>
      </c>
      <c r="K32" s="335"/>
      <c r="L32" s="335" t="e">
        <f>IF(AND('Mapa final'!#REF!="Baja",'Mapa final'!#REF!="Leve"),CONCATENATE("R",'Mapa final'!#REF!),"")</f>
        <v>#REF!</v>
      </c>
      <c r="M32" s="335"/>
      <c r="N32" s="335" t="e">
        <f>IF(AND('Mapa final'!#REF!="Baja",'Mapa final'!#REF!="Leve"),CONCATENATE("R",'Mapa final'!#REF!),"")</f>
        <v>#REF!</v>
      </c>
      <c r="O32" s="336"/>
      <c r="P32" s="327" t="e">
        <f>IF(AND('Mapa final'!#REF!="Baja",'Mapa final'!#REF!="Menor"),CONCATENATE("R",'Mapa final'!#REF!),"")</f>
        <v>#REF!</v>
      </c>
      <c r="Q32" s="327"/>
      <c r="R32" s="327" t="e">
        <f>IF(AND('Mapa final'!#REF!="Baja",'Mapa final'!#REF!="Menor"),CONCATENATE("R",'Mapa final'!#REF!),"")</f>
        <v>#REF!</v>
      </c>
      <c r="S32" s="327"/>
      <c r="T32" s="327" t="e">
        <f>IF(AND('Mapa final'!#REF!="Baja",'Mapa final'!#REF!="Menor"),CONCATENATE("R",'Mapa final'!#REF!),"")</f>
        <v>#REF!</v>
      </c>
      <c r="U32" s="328"/>
      <c r="V32" s="326" t="e">
        <f>IF(AND('Mapa final'!#REF!="Baja",'Mapa final'!#REF!="Moderado"),CONCATENATE("R",'Mapa final'!#REF!),"")</f>
        <v>#REF!</v>
      </c>
      <c r="W32" s="327"/>
      <c r="X32" s="327" t="e">
        <f>IF(AND('Mapa final'!#REF!="Baja",'Mapa final'!#REF!="Moderado"),CONCATENATE("R",'Mapa final'!#REF!),"")</f>
        <v>#REF!</v>
      </c>
      <c r="Y32" s="327"/>
      <c r="Z32" s="327" t="e">
        <f>IF(AND('Mapa final'!#REF!="Baja",'Mapa final'!#REF!="Moderado"),CONCATENATE("R",'Mapa final'!#REF!),"")</f>
        <v>#REF!</v>
      </c>
      <c r="AA32" s="328"/>
      <c r="AB32" s="310" t="e">
        <f>IF(AND('Mapa final'!#REF!="Baja",'Mapa final'!#REF!="Mayor"),CONCATENATE("R",'Mapa final'!#REF!),"")</f>
        <v>#REF!</v>
      </c>
      <c r="AC32" s="306"/>
      <c r="AD32" s="306" t="e">
        <f>IF(AND('Mapa final'!#REF!="Baja",'Mapa final'!#REF!="Mayor"),CONCATENATE("R",'Mapa final'!#REF!),"")</f>
        <v>#REF!</v>
      </c>
      <c r="AE32" s="306"/>
      <c r="AF32" s="306" t="e">
        <f>IF(AND('Mapa final'!#REF!="Baja",'Mapa final'!#REF!="Mayor"),CONCATENATE("R",'Mapa final'!#REF!),"")</f>
        <v>#REF!</v>
      </c>
      <c r="AG32" s="307"/>
      <c r="AH32" s="317" t="e">
        <f>IF(AND('Mapa final'!#REF!="Baja",'Mapa final'!#REF!="Catastrófico"),CONCATENATE("R",'Mapa final'!#REF!),"")</f>
        <v>#REF!</v>
      </c>
      <c r="AI32" s="318"/>
      <c r="AJ32" s="318" t="e">
        <f>IF(AND('Mapa final'!#REF!="Baja",'Mapa final'!#REF!="Catastrófico"),CONCATENATE("R",'Mapa final'!#REF!),"")</f>
        <v>#REF!</v>
      </c>
      <c r="AK32" s="318"/>
      <c r="AL32" s="318" t="e">
        <f>IF(AND('Mapa final'!#REF!="Baja",'Mapa final'!#REF!="Catastrófico"),CONCATENATE("R",'Mapa final'!#REF!),"")</f>
        <v>#REF!</v>
      </c>
      <c r="AM32" s="319"/>
      <c r="AN32" s="69"/>
      <c r="AO32" s="291"/>
      <c r="AP32" s="292"/>
      <c r="AQ32" s="292"/>
      <c r="AR32" s="292"/>
      <c r="AS32" s="292"/>
      <c r="AT32" s="293"/>
      <c r="AU32" s="69"/>
      <c r="AV32" s="69"/>
      <c r="AW32" s="69"/>
      <c r="AX32" s="69"/>
      <c r="AY32" s="69"/>
      <c r="AZ32" s="69"/>
      <c r="BA32" s="69"/>
      <c r="BB32" s="69"/>
      <c r="BC32" s="69"/>
      <c r="BD32" s="69"/>
      <c r="BE32" s="69"/>
      <c r="BF32" s="69"/>
      <c r="BG32" s="69"/>
      <c r="BH32" s="69"/>
      <c r="BI32" s="69"/>
      <c r="BJ32" s="69"/>
      <c r="BK32" s="69"/>
      <c r="BL32" s="69"/>
      <c r="BM32" s="69"/>
      <c r="BN32" s="69"/>
      <c r="BO32" s="69"/>
      <c r="BP32" s="69"/>
      <c r="BQ32" s="69"/>
      <c r="BR32" s="69"/>
      <c r="BS32" s="69"/>
      <c r="BT32" s="69"/>
      <c r="BU32" s="69"/>
      <c r="BV32" s="69"/>
      <c r="BW32" s="69"/>
      <c r="BX32" s="69"/>
      <c r="BY32" s="69"/>
      <c r="BZ32" s="69"/>
      <c r="CA32" s="69"/>
      <c r="CB32" s="69"/>
    </row>
    <row r="33" spans="1:80" x14ac:dyDescent="0.25">
      <c r="A33" s="69"/>
      <c r="B33" s="259"/>
      <c r="C33" s="259"/>
      <c r="D33" s="260"/>
      <c r="E33" s="300"/>
      <c r="F33" s="301"/>
      <c r="G33" s="301"/>
      <c r="H33" s="301"/>
      <c r="I33" s="301"/>
      <c r="J33" s="337"/>
      <c r="K33" s="335"/>
      <c r="L33" s="335"/>
      <c r="M33" s="335"/>
      <c r="N33" s="335"/>
      <c r="O33" s="336"/>
      <c r="P33" s="327"/>
      <c r="Q33" s="327"/>
      <c r="R33" s="327"/>
      <c r="S33" s="327"/>
      <c r="T33" s="327"/>
      <c r="U33" s="328"/>
      <c r="V33" s="326"/>
      <c r="W33" s="327"/>
      <c r="X33" s="327"/>
      <c r="Y33" s="327"/>
      <c r="Z33" s="327"/>
      <c r="AA33" s="328"/>
      <c r="AB33" s="310"/>
      <c r="AC33" s="306"/>
      <c r="AD33" s="306"/>
      <c r="AE33" s="306"/>
      <c r="AF33" s="306"/>
      <c r="AG33" s="307"/>
      <c r="AH33" s="317"/>
      <c r="AI33" s="318"/>
      <c r="AJ33" s="318"/>
      <c r="AK33" s="318"/>
      <c r="AL33" s="318"/>
      <c r="AM33" s="319"/>
      <c r="AN33" s="69"/>
      <c r="AO33" s="291"/>
      <c r="AP33" s="292"/>
      <c r="AQ33" s="292"/>
      <c r="AR33" s="292"/>
      <c r="AS33" s="292"/>
      <c r="AT33" s="293"/>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c r="BY33" s="69"/>
      <c r="BZ33" s="69"/>
      <c r="CA33" s="69"/>
      <c r="CB33" s="69"/>
    </row>
    <row r="34" spans="1:80" x14ac:dyDescent="0.25">
      <c r="A34" s="69"/>
      <c r="B34" s="259"/>
      <c r="C34" s="259"/>
      <c r="D34" s="260"/>
      <c r="E34" s="300"/>
      <c r="F34" s="301"/>
      <c r="G34" s="301"/>
      <c r="H34" s="301"/>
      <c r="I34" s="301"/>
      <c r="J34" s="337" t="e">
        <f>IF(AND('Mapa final'!#REF!="Baja",'Mapa final'!#REF!="Leve"),CONCATENATE("R",'Mapa final'!#REF!),"")</f>
        <v>#REF!</v>
      </c>
      <c r="K34" s="335"/>
      <c r="L34" s="335" t="e">
        <f>IF(AND('Mapa final'!#REF!="Baja",'Mapa final'!#REF!="Leve"),CONCATENATE("R",'Mapa final'!#REF!),"")</f>
        <v>#REF!</v>
      </c>
      <c r="M34" s="335"/>
      <c r="N34" s="335" t="e">
        <f>IF(AND('Mapa final'!#REF!="Baja",'Mapa final'!#REF!="Leve"),CONCATENATE("R",'Mapa final'!#REF!),"")</f>
        <v>#REF!</v>
      </c>
      <c r="O34" s="336"/>
      <c r="P34" s="327" t="e">
        <f>IF(AND('Mapa final'!#REF!="Baja",'Mapa final'!#REF!="Menor"),CONCATENATE("R",'Mapa final'!#REF!),"")</f>
        <v>#REF!</v>
      </c>
      <c r="Q34" s="327"/>
      <c r="R34" s="327" t="e">
        <f>IF(AND('Mapa final'!#REF!="Baja",'Mapa final'!#REF!="Menor"),CONCATENATE("R",'Mapa final'!#REF!),"")</f>
        <v>#REF!</v>
      </c>
      <c r="S34" s="327"/>
      <c r="T34" s="327" t="e">
        <f>IF(AND('Mapa final'!#REF!="Baja",'Mapa final'!#REF!="Menor"),CONCATENATE("R",'Mapa final'!#REF!),"")</f>
        <v>#REF!</v>
      </c>
      <c r="U34" s="328"/>
      <c r="V34" s="326" t="e">
        <f>IF(AND('Mapa final'!#REF!="Baja",'Mapa final'!#REF!="Moderado"),CONCATENATE("R",'Mapa final'!#REF!),"")</f>
        <v>#REF!</v>
      </c>
      <c r="W34" s="327"/>
      <c r="X34" s="327" t="e">
        <f>IF(AND('Mapa final'!#REF!="Baja",'Mapa final'!#REF!="Moderado"),CONCATENATE("R",'Mapa final'!#REF!),"")</f>
        <v>#REF!</v>
      </c>
      <c r="Y34" s="327"/>
      <c r="Z34" s="327" t="e">
        <f>IF(AND('Mapa final'!#REF!="Baja",'Mapa final'!#REF!="Moderado"),CONCATENATE("R",'Mapa final'!#REF!),"")</f>
        <v>#REF!</v>
      </c>
      <c r="AA34" s="328"/>
      <c r="AB34" s="310" t="e">
        <f>IF(AND('Mapa final'!#REF!="Baja",'Mapa final'!#REF!="Mayor"),CONCATENATE("R",'Mapa final'!#REF!),"")</f>
        <v>#REF!</v>
      </c>
      <c r="AC34" s="306"/>
      <c r="AD34" s="306" t="e">
        <f>IF(AND('Mapa final'!#REF!="Baja",'Mapa final'!#REF!="Mayor"),CONCATENATE("R",'Mapa final'!#REF!),"")</f>
        <v>#REF!</v>
      </c>
      <c r="AE34" s="306"/>
      <c r="AF34" s="306" t="e">
        <f>IF(AND('Mapa final'!#REF!="Baja",'Mapa final'!#REF!="Mayor"),CONCATENATE("R",'Mapa final'!#REF!),"")</f>
        <v>#REF!</v>
      </c>
      <c r="AG34" s="307"/>
      <c r="AH34" s="317" t="e">
        <f>IF(AND('Mapa final'!#REF!="Baja",'Mapa final'!#REF!="Catastrófico"),CONCATENATE("R",'Mapa final'!#REF!),"")</f>
        <v>#REF!</v>
      </c>
      <c r="AI34" s="318"/>
      <c r="AJ34" s="318" t="e">
        <f>IF(AND('Mapa final'!#REF!="Baja",'Mapa final'!#REF!="Catastrófico"),CONCATENATE("R",'Mapa final'!#REF!),"")</f>
        <v>#REF!</v>
      </c>
      <c r="AK34" s="318"/>
      <c r="AL34" s="318" t="e">
        <f>IF(AND('Mapa final'!#REF!="Baja",'Mapa final'!#REF!="Catastrófico"),CONCATENATE("R",'Mapa final'!#REF!),"")</f>
        <v>#REF!</v>
      </c>
      <c r="AM34" s="319"/>
      <c r="AN34" s="69"/>
      <c r="AO34" s="291"/>
      <c r="AP34" s="292"/>
      <c r="AQ34" s="292"/>
      <c r="AR34" s="292"/>
      <c r="AS34" s="292"/>
      <c r="AT34" s="293"/>
      <c r="AU34" s="69"/>
      <c r="AV34" s="69"/>
      <c r="AW34" s="69"/>
      <c r="AX34" s="69"/>
      <c r="AY34" s="69"/>
      <c r="AZ34" s="69"/>
      <c r="BA34" s="69"/>
      <c r="BB34" s="69"/>
      <c r="BC34" s="69"/>
      <c r="BD34" s="69"/>
      <c r="BE34" s="69"/>
      <c r="BF34" s="69"/>
      <c r="BG34" s="69"/>
      <c r="BH34" s="69"/>
      <c r="BI34" s="69"/>
      <c r="BJ34" s="69"/>
      <c r="BK34" s="69"/>
      <c r="BL34" s="69"/>
      <c r="BM34" s="69"/>
      <c r="BN34" s="69"/>
      <c r="BO34" s="69"/>
      <c r="BP34" s="69"/>
      <c r="BQ34" s="69"/>
      <c r="BR34" s="69"/>
      <c r="BS34" s="69"/>
      <c r="BT34" s="69"/>
      <c r="BU34" s="69"/>
      <c r="BV34" s="69"/>
      <c r="BW34" s="69"/>
      <c r="BX34" s="69"/>
      <c r="BY34" s="69"/>
      <c r="BZ34" s="69"/>
      <c r="CA34" s="69"/>
      <c r="CB34" s="69"/>
    </row>
    <row r="35" spans="1:80" x14ac:dyDescent="0.25">
      <c r="A35" s="69"/>
      <c r="B35" s="259"/>
      <c r="C35" s="259"/>
      <c r="D35" s="260"/>
      <c r="E35" s="300"/>
      <c r="F35" s="301"/>
      <c r="G35" s="301"/>
      <c r="H35" s="301"/>
      <c r="I35" s="301"/>
      <c r="J35" s="337"/>
      <c r="K35" s="335"/>
      <c r="L35" s="335"/>
      <c r="M35" s="335"/>
      <c r="N35" s="335"/>
      <c r="O35" s="336"/>
      <c r="P35" s="327"/>
      <c r="Q35" s="327"/>
      <c r="R35" s="327"/>
      <c r="S35" s="327"/>
      <c r="T35" s="327"/>
      <c r="U35" s="328"/>
      <c r="V35" s="326"/>
      <c r="W35" s="327"/>
      <c r="X35" s="327"/>
      <c r="Y35" s="327"/>
      <c r="Z35" s="327"/>
      <c r="AA35" s="328"/>
      <c r="AB35" s="310"/>
      <c r="AC35" s="306"/>
      <c r="AD35" s="306"/>
      <c r="AE35" s="306"/>
      <c r="AF35" s="306"/>
      <c r="AG35" s="307"/>
      <c r="AH35" s="317"/>
      <c r="AI35" s="318"/>
      <c r="AJ35" s="318"/>
      <c r="AK35" s="318"/>
      <c r="AL35" s="318"/>
      <c r="AM35" s="319"/>
      <c r="AN35" s="69"/>
      <c r="AO35" s="291"/>
      <c r="AP35" s="292"/>
      <c r="AQ35" s="292"/>
      <c r="AR35" s="292"/>
      <c r="AS35" s="292"/>
      <c r="AT35" s="293"/>
      <c r="AU35" s="69"/>
      <c r="AV35" s="69"/>
      <c r="AW35" s="69"/>
      <c r="AX35" s="69"/>
      <c r="AY35" s="69"/>
      <c r="AZ35" s="69"/>
      <c r="BA35" s="69"/>
      <c r="BB35" s="69"/>
      <c r="BC35" s="69"/>
      <c r="BD35" s="69"/>
      <c r="BE35" s="69"/>
      <c r="BF35" s="69"/>
      <c r="BG35" s="69"/>
      <c r="BH35" s="69"/>
      <c r="BI35" s="69"/>
      <c r="BJ35" s="69"/>
      <c r="BK35" s="69"/>
      <c r="BL35" s="69"/>
      <c r="BM35" s="69"/>
      <c r="BN35" s="69"/>
      <c r="BO35" s="69"/>
      <c r="BP35" s="69"/>
      <c r="BQ35" s="69"/>
      <c r="BR35" s="69"/>
      <c r="BS35" s="69"/>
      <c r="BT35" s="69"/>
      <c r="BU35" s="69"/>
      <c r="BV35" s="69"/>
      <c r="BW35" s="69"/>
      <c r="BX35" s="69"/>
      <c r="BY35" s="69"/>
      <c r="BZ35" s="69"/>
      <c r="CA35" s="69"/>
      <c r="CB35" s="69"/>
    </row>
    <row r="36" spans="1:80" x14ac:dyDescent="0.25">
      <c r="A36" s="69"/>
      <c r="B36" s="259"/>
      <c r="C36" s="259"/>
      <c r="D36" s="260"/>
      <c r="E36" s="300"/>
      <c r="F36" s="301"/>
      <c r="G36" s="301"/>
      <c r="H36" s="301"/>
      <c r="I36" s="301"/>
      <c r="J36" s="337" t="e">
        <f>IF(AND('Mapa final'!#REF!="Baja",'Mapa final'!#REF!="Leve"),CONCATENATE("R",'Mapa final'!#REF!),"")</f>
        <v>#REF!</v>
      </c>
      <c r="K36" s="335"/>
      <c r="L36" s="335" t="str">
        <f>IF(AND('Mapa final'!$H$19="Baja",'Mapa final'!$L$19="Leve"),CONCATENATE("R",'Mapa final'!$A$19),"")</f>
        <v/>
      </c>
      <c r="M36" s="335"/>
      <c r="N36" s="335" t="str">
        <f>IF(AND('Mapa final'!$H$25="Baja",'Mapa final'!$L$25="Leve"),CONCATENATE("R",'Mapa final'!$A$25),"")</f>
        <v/>
      </c>
      <c r="O36" s="336"/>
      <c r="P36" s="327" t="e">
        <f>IF(AND('Mapa final'!#REF!="Baja",'Mapa final'!#REF!="Menor"),CONCATENATE("R",'Mapa final'!#REF!),"")</f>
        <v>#REF!</v>
      </c>
      <c r="Q36" s="327"/>
      <c r="R36" s="327" t="str">
        <f>IF(AND('Mapa final'!$H$19="Baja",'Mapa final'!$L$19="Menor"),CONCATENATE("R",'Mapa final'!$A$19),"")</f>
        <v/>
      </c>
      <c r="S36" s="327"/>
      <c r="T36" s="327" t="str">
        <f>IF(AND('Mapa final'!$H$25="Baja",'Mapa final'!$L$25="Menor"),CONCATENATE("R",'Mapa final'!$A$25),"")</f>
        <v/>
      </c>
      <c r="U36" s="328"/>
      <c r="V36" s="326" t="e">
        <f>IF(AND('Mapa final'!#REF!="Baja",'Mapa final'!#REF!="Moderado"),CONCATENATE("R",'Mapa final'!#REF!),"")</f>
        <v>#REF!</v>
      </c>
      <c r="W36" s="327"/>
      <c r="X36" s="327" t="str">
        <f>IF(AND('Mapa final'!$H$19="Baja",'Mapa final'!$L$19="Moderado"),CONCATENATE("R",'Mapa final'!$A$19),"")</f>
        <v/>
      </c>
      <c r="Y36" s="327"/>
      <c r="Z36" s="327" t="str">
        <f>IF(AND('Mapa final'!$H$25="Baja",'Mapa final'!$L$25="Moderado"),CONCATENATE("R",'Mapa final'!$A$25),"")</f>
        <v/>
      </c>
      <c r="AA36" s="328"/>
      <c r="AB36" s="310" t="e">
        <f>IF(AND('Mapa final'!#REF!="Baja",'Mapa final'!#REF!="Mayor"),CONCATENATE("R",'Mapa final'!#REF!),"")</f>
        <v>#REF!</v>
      </c>
      <c r="AC36" s="306"/>
      <c r="AD36" s="306" t="str">
        <f>IF(AND('Mapa final'!$H$19="Baja",'Mapa final'!$L$19="Mayor"),CONCATENATE("R",'Mapa final'!$A$19),"")</f>
        <v/>
      </c>
      <c r="AE36" s="306"/>
      <c r="AF36" s="306" t="str">
        <f>IF(AND('Mapa final'!$H$25="Baja",'Mapa final'!$L$25="Mayor"),CONCATENATE("R",'Mapa final'!$A$25),"")</f>
        <v/>
      </c>
      <c r="AG36" s="307"/>
      <c r="AH36" s="317" t="e">
        <f>IF(AND('Mapa final'!#REF!="Baja",'Mapa final'!#REF!="Catastrófico"),CONCATENATE("R",'Mapa final'!#REF!),"")</f>
        <v>#REF!</v>
      </c>
      <c r="AI36" s="318"/>
      <c r="AJ36" s="318" t="str">
        <f>IF(AND('Mapa final'!$H$19="Baja",'Mapa final'!$L$19="Catastrófico"),CONCATENATE("R",'Mapa final'!$A$19),"")</f>
        <v/>
      </c>
      <c r="AK36" s="318"/>
      <c r="AL36" s="318" t="str">
        <f>IF(AND('Mapa final'!$H$25="Baja",'Mapa final'!$L$25="Catastrófico"),CONCATENATE("R",'Mapa final'!$A$25),"")</f>
        <v/>
      </c>
      <c r="AM36" s="319"/>
      <c r="AN36" s="69"/>
      <c r="AO36" s="291"/>
      <c r="AP36" s="292"/>
      <c r="AQ36" s="292"/>
      <c r="AR36" s="292"/>
      <c r="AS36" s="292"/>
      <c r="AT36" s="293"/>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69"/>
      <c r="BV36" s="69"/>
      <c r="BW36" s="69"/>
      <c r="BX36" s="69"/>
      <c r="BY36" s="69"/>
      <c r="BZ36" s="69"/>
      <c r="CA36" s="69"/>
      <c r="CB36" s="69"/>
    </row>
    <row r="37" spans="1:80" ht="15.75" thickBot="1" x14ac:dyDescent="0.3">
      <c r="A37" s="69"/>
      <c r="B37" s="259"/>
      <c r="C37" s="259"/>
      <c r="D37" s="260"/>
      <c r="E37" s="303"/>
      <c r="F37" s="304"/>
      <c r="G37" s="304"/>
      <c r="H37" s="304"/>
      <c r="I37" s="304"/>
      <c r="J37" s="338"/>
      <c r="K37" s="339"/>
      <c r="L37" s="339"/>
      <c r="M37" s="339"/>
      <c r="N37" s="339"/>
      <c r="O37" s="340"/>
      <c r="P37" s="330"/>
      <c r="Q37" s="330"/>
      <c r="R37" s="330"/>
      <c r="S37" s="330"/>
      <c r="T37" s="330"/>
      <c r="U37" s="331"/>
      <c r="V37" s="329"/>
      <c r="W37" s="330"/>
      <c r="X37" s="330"/>
      <c r="Y37" s="330"/>
      <c r="Z37" s="330"/>
      <c r="AA37" s="331"/>
      <c r="AB37" s="314"/>
      <c r="AC37" s="315"/>
      <c r="AD37" s="315"/>
      <c r="AE37" s="315"/>
      <c r="AF37" s="315"/>
      <c r="AG37" s="316"/>
      <c r="AH37" s="320"/>
      <c r="AI37" s="321"/>
      <c r="AJ37" s="321"/>
      <c r="AK37" s="321"/>
      <c r="AL37" s="321"/>
      <c r="AM37" s="322"/>
      <c r="AN37" s="69"/>
      <c r="AO37" s="294"/>
      <c r="AP37" s="295"/>
      <c r="AQ37" s="295"/>
      <c r="AR37" s="295"/>
      <c r="AS37" s="295"/>
      <c r="AT37" s="296"/>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c r="BU37" s="69"/>
      <c r="BV37" s="69"/>
      <c r="BW37" s="69"/>
      <c r="BX37" s="69"/>
      <c r="BY37" s="69"/>
      <c r="BZ37" s="69"/>
      <c r="CA37" s="69"/>
      <c r="CB37" s="69"/>
    </row>
    <row r="38" spans="1:80" x14ac:dyDescent="0.25">
      <c r="A38" s="69"/>
      <c r="B38" s="259"/>
      <c r="C38" s="259"/>
      <c r="D38" s="260"/>
      <c r="E38" s="297" t="s">
        <v>111</v>
      </c>
      <c r="F38" s="298"/>
      <c r="G38" s="298"/>
      <c r="H38" s="298"/>
      <c r="I38" s="299"/>
      <c r="J38" s="341" t="str">
        <f>IF(AND('Mapa final'!$H$13="Muy Baja",'Mapa final'!$L$13="Leve"),CONCATENATE("R",'Mapa final'!$A$13),"")</f>
        <v/>
      </c>
      <c r="K38" s="342"/>
      <c r="L38" s="342" t="e">
        <f>IF(AND('Mapa final'!#REF!="Muy Baja",'Mapa final'!#REF!="Leve"),CONCATENATE("R",'Mapa final'!#REF!),"")</f>
        <v>#REF!</v>
      </c>
      <c r="M38" s="342"/>
      <c r="N38" s="342" t="e">
        <f>IF(AND('Mapa final'!#REF!="Muy Baja",'Mapa final'!#REF!="Leve"),CONCATENATE("R",'Mapa final'!#REF!),"")</f>
        <v>#REF!</v>
      </c>
      <c r="O38" s="343"/>
      <c r="P38" s="341" t="str">
        <f>IF(AND('Mapa final'!$H$13="Muy Baja",'Mapa final'!$L$13="Menor"),CONCATENATE("R",'Mapa final'!$A$13),"")</f>
        <v/>
      </c>
      <c r="Q38" s="342"/>
      <c r="R38" s="342" t="e">
        <f>IF(AND('Mapa final'!#REF!="Muy Baja",'Mapa final'!#REF!="Menor"),CONCATENATE("R",'Mapa final'!#REF!),"")</f>
        <v>#REF!</v>
      </c>
      <c r="S38" s="342"/>
      <c r="T38" s="342" t="e">
        <f>IF(AND('Mapa final'!#REF!="Muy Baja",'Mapa final'!#REF!="Menor"),CONCATENATE("R",'Mapa final'!#REF!),"")</f>
        <v>#REF!</v>
      </c>
      <c r="U38" s="343"/>
      <c r="V38" s="332" t="str">
        <f>IF(AND('Mapa final'!$H$13="Muy Baja",'Mapa final'!$L$13="Moderado"),CONCATENATE("R",'Mapa final'!$A$13),"")</f>
        <v/>
      </c>
      <c r="W38" s="333"/>
      <c r="X38" s="333" t="e">
        <f>IF(AND('Mapa final'!#REF!="Muy Baja",'Mapa final'!#REF!="Moderado"),CONCATENATE("R",'Mapa final'!#REF!),"")</f>
        <v>#REF!</v>
      </c>
      <c r="Y38" s="333"/>
      <c r="Z38" s="333" t="e">
        <f>IF(AND('Mapa final'!#REF!="Muy Baja",'Mapa final'!#REF!="Moderado"),CONCATENATE("R",'Mapa final'!#REF!),"")</f>
        <v>#REF!</v>
      </c>
      <c r="AA38" s="334"/>
      <c r="AB38" s="308" t="str">
        <f>IF(AND('Mapa final'!$H$13="Muy Baja",'Mapa final'!$L$13="Mayor"),CONCATENATE("R",'Mapa final'!$A$13),"")</f>
        <v/>
      </c>
      <c r="AC38" s="309"/>
      <c r="AD38" s="309" t="e">
        <f>IF(AND('Mapa final'!#REF!="Muy Baja",'Mapa final'!#REF!="Mayor"),CONCATENATE("R",'Mapa final'!#REF!),"")</f>
        <v>#REF!</v>
      </c>
      <c r="AE38" s="309"/>
      <c r="AF38" s="309" t="e">
        <f>IF(AND('Mapa final'!#REF!="Muy Baja",'Mapa final'!#REF!="Mayor"),CONCATENATE("R",'Mapa final'!#REF!),"")</f>
        <v>#REF!</v>
      </c>
      <c r="AG38" s="311"/>
      <c r="AH38" s="323" t="str">
        <f>IF(AND('Mapa final'!$H$13="Muy Baja",'Mapa final'!$L$13="Catastrófico"),CONCATENATE("R",'Mapa final'!$A$13),"")</f>
        <v/>
      </c>
      <c r="AI38" s="324"/>
      <c r="AJ38" s="324" t="e">
        <f>IF(AND('Mapa final'!#REF!="Muy Baja",'Mapa final'!#REF!="Catastrófico"),CONCATENATE("R",'Mapa final'!#REF!),"")</f>
        <v>#REF!</v>
      </c>
      <c r="AK38" s="324"/>
      <c r="AL38" s="324" t="e">
        <f>IF(AND('Mapa final'!#REF!="Muy Baja",'Mapa final'!#REF!="Catastrófico"),CONCATENATE("R",'Mapa final'!#REF!),"")</f>
        <v>#REF!</v>
      </c>
      <c r="AM38" s="325"/>
      <c r="AN38" s="69"/>
      <c r="AO38" s="69"/>
      <c r="AP38" s="69"/>
      <c r="AQ38" s="69"/>
      <c r="AR38" s="69"/>
      <c r="AS38" s="69"/>
      <c r="AT38" s="69"/>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c r="BU38" s="69"/>
      <c r="BV38" s="69"/>
      <c r="BW38" s="69"/>
      <c r="BX38" s="69"/>
      <c r="BY38" s="69"/>
      <c r="BZ38" s="69"/>
      <c r="CA38" s="69"/>
      <c r="CB38" s="69"/>
    </row>
    <row r="39" spans="1:80" x14ac:dyDescent="0.25">
      <c r="A39" s="69"/>
      <c r="B39" s="259"/>
      <c r="C39" s="259"/>
      <c r="D39" s="260"/>
      <c r="E39" s="300"/>
      <c r="F39" s="301"/>
      <c r="G39" s="301"/>
      <c r="H39" s="301"/>
      <c r="I39" s="302"/>
      <c r="J39" s="337"/>
      <c r="K39" s="335"/>
      <c r="L39" s="335"/>
      <c r="M39" s="335"/>
      <c r="N39" s="335"/>
      <c r="O39" s="336"/>
      <c r="P39" s="337"/>
      <c r="Q39" s="335"/>
      <c r="R39" s="335"/>
      <c r="S39" s="335"/>
      <c r="T39" s="335"/>
      <c r="U39" s="336"/>
      <c r="V39" s="326"/>
      <c r="W39" s="327"/>
      <c r="X39" s="327"/>
      <c r="Y39" s="327"/>
      <c r="Z39" s="327"/>
      <c r="AA39" s="328"/>
      <c r="AB39" s="310"/>
      <c r="AC39" s="306"/>
      <c r="AD39" s="306"/>
      <c r="AE39" s="306"/>
      <c r="AF39" s="306"/>
      <c r="AG39" s="307"/>
      <c r="AH39" s="317"/>
      <c r="AI39" s="318"/>
      <c r="AJ39" s="318"/>
      <c r="AK39" s="318"/>
      <c r="AL39" s="318"/>
      <c r="AM39" s="319"/>
      <c r="AN39" s="69"/>
      <c r="AO39" s="69"/>
      <c r="AP39" s="69"/>
      <c r="AQ39" s="69"/>
      <c r="AR39" s="69"/>
      <c r="AS39" s="69"/>
      <c r="AT39" s="69"/>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c r="BT39" s="69"/>
      <c r="BU39" s="69"/>
      <c r="BV39" s="69"/>
      <c r="BW39" s="69"/>
      <c r="BX39" s="69"/>
      <c r="BY39" s="69"/>
      <c r="BZ39" s="69"/>
      <c r="CA39" s="69"/>
      <c r="CB39" s="69"/>
    </row>
    <row r="40" spans="1:80" x14ac:dyDescent="0.25">
      <c r="A40" s="69"/>
      <c r="B40" s="259"/>
      <c r="C40" s="259"/>
      <c r="D40" s="260"/>
      <c r="E40" s="300"/>
      <c r="F40" s="301"/>
      <c r="G40" s="301"/>
      <c r="H40" s="301"/>
      <c r="I40" s="302"/>
      <c r="J40" s="337" t="e">
        <f>IF(AND('Mapa final'!#REF!="Muy Baja",'Mapa final'!#REF!="Leve"),CONCATENATE("R",'Mapa final'!#REF!),"")</f>
        <v>#REF!</v>
      </c>
      <c r="K40" s="335"/>
      <c r="L40" s="335" t="e">
        <f>IF(AND('Mapa final'!#REF!="Muy Baja",'Mapa final'!#REF!="Leve"),CONCATENATE("R",'Mapa final'!#REF!),"")</f>
        <v>#REF!</v>
      </c>
      <c r="M40" s="335"/>
      <c r="N40" s="335" t="e">
        <f>IF(AND('Mapa final'!#REF!="Muy Baja",'Mapa final'!#REF!="Leve"),CONCATENATE("R",'Mapa final'!#REF!),"")</f>
        <v>#REF!</v>
      </c>
      <c r="O40" s="336"/>
      <c r="P40" s="337" t="e">
        <f>IF(AND('Mapa final'!#REF!="Muy Baja",'Mapa final'!#REF!="Menor"),CONCATENATE("R",'Mapa final'!#REF!),"")</f>
        <v>#REF!</v>
      </c>
      <c r="Q40" s="335"/>
      <c r="R40" s="335" t="e">
        <f>IF(AND('Mapa final'!#REF!="Muy Baja",'Mapa final'!#REF!="Menor"),CONCATENATE("R",'Mapa final'!#REF!),"")</f>
        <v>#REF!</v>
      </c>
      <c r="S40" s="335"/>
      <c r="T40" s="335" t="e">
        <f>IF(AND('Mapa final'!#REF!="Muy Baja",'Mapa final'!#REF!="Menor"),CONCATENATE("R",'Mapa final'!#REF!),"")</f>
        <v>#REF!</v>
      </c>
      <c r="U40" s="336"/>
      <c r="V40" s="326" t="e">
        <f>IF(AND('Mapa final'!#REF!="Muy Baja",'Mapa final'!#REF!="Moderado"),CONCATENATE("R",'Mapa final'!#REF!),"")</f>
        <v>#REF!</v>
      </c>
      <c r="W40" s="327"/>
      <c r="X40" s="327" t="e">
        <f>IF(AND('Mapa final'!#REF!="Muy Baja",'Mapa final'!#REF!="Moderado"),CONCATENATE("R",'Mapa final'!#REF!),"")</f>
        <v>#REF!</v>
      </c>
      <c r="Y40" s="327"/>
      <c r="Z40" s="327" t="e">
        <f>IF(AND('Mapa final'!#REF!="Muy Baja",'Mapa final'!#REF!="Moderado"),CONCATENATE("R",'Mapa final'!#REF!),"")</f>
        <v>#REF!</v>
      </c>
      <c r="AA40" s="328"/>
      <c r="AB40" s="310" t="e">
        <f>IF(AND('Mapa final'!#REF!="Muy Baja",'Mapa final'!#REF!="Mayor"),CONCATENATE("R",'Mapa final'!#REF!),"")</f>
        <v>#REF!</v>
      </c>
      <c r="AC40" s="306"/>
      <c r="AD40" s="306" t="e">
        <f>IF(AND('Mapa final'!#REF!="Muy Baja",'Mapa final'!#REF!="Mayor"),CONCATENATE("R",'Mapa final'!#REF!),"")</f>
        <v>#REF!</v>
      </c>
      <c r="AE40" s="306"/>
      <c r="AF40" s="306" t="e">
        <f>IF(AND('Mapa final'!#REF!="Muy Baja",'Mapa final'!#REF!="Mayor"),CONCATENATE("R",'Mapa final'!#REF!),"")</f>
        <v>#REF!</v>
      </c>
      <c r="AG40" s="307"/>
      <c r="AH40" s="317" t="e">
        <f>IF(AND('Mapa final'!#REF!="Muy Baja",'Mapa final'!#REF!="Catastrófico"),CONCATENATE("R",'Mapa final'!#REF!),"")</f>
        <v>#REF!</v>
      </c>
      <c r="AI40" s="318"/>
      <c r="AJ40" s="318" t="e">
        <f>IF(AND('Mapa final'!#REF!="Muy Baja",'Mapa final'!#REF!="Catastrófico"),CONCATENATE("R",'Mapa final'!#REF!),"")</f>
        <v>#REF!</v>
      </c>
      <c r="AK40" s="318"/>
      <c r="AL40" s="318" t="e">
        <f>IF(AND('Mapa final'!#REF!="Muy Baja",'Mapa final'!#REF!="Catastrófico"),CONCATENATE("R",'Mapa final'!#REF!),"")</f>
        <v>#REF!</v>
      </c>
      <c r="AM40" s="319"/>
      <c r="AN40" s="69"/>
      <c r="AO40" s="69"/>
      <c r="AP40" s="69"/>
      <c r="AQ40" s="69"/>
      <c r="AR40" s="69"/>
      <c r="AS40" s="69"/>
      <c r="AT40" s="69"/>
      <c r="AU40" s="69"/>
      <c r="AV40" s="69"/>
      <c r="AW40" s="69"/>
      <c r="AX40" s="69"/>
      <c r="AY40" s="69"/>
      <c r="AZ40" s="69"/>
      <c r="BA40" s="69"/>
      <c r="BB40" s="69"/>
      <c r="BC40" s="69"/>
      <c r="BD40" s="69"/>
      <c r="BE40" s="69"/>
      <c r="BF40" s="69"/>
      <c r="BG40" s="69"/>
      <c r="BH40" s="69"/>
      <c r="BI40" s="69"/>
      <c r="BJ40" s="69"/>
      <c r="BK40" s="69"/>
      <c r="BL40" s="69"/>
      <c r="BM40" s="69"/>
      <c r="BN40" s="69"/>
      <c r="BO40" s="69"/>
      <c r="BP40" s="69"/>
      <c r="BQ40" s="69"/>
      <c r="BR40" s="69"/>
      <c r="BS40" s="69"/>
      <c r="BT40" s="69"/>
      <c r="BU40" s="69"/>
      <c r="BV40" s="69"/>
      <c r="BW40" s="69"/>
      <c r="BX40" s="69"/>
      <c r="BY40" s="69"/>
      <c r="BZ40" s="69"/>
      <c r="CA40" s="69"/>
      <c r="CB40" s="69"/>
    </row>
    <row r="41" spans="1:80" x14ac:dyDescent="0.25">
      <c r="A41" s="69"/>
      <c r="B41" s="259"/>
      <c r="C41" s="259"/>
      <c r="D41" s="260"/>
      <c r="E41" s="300"/>
      <c r="F41" s="301"/>
      <c r="G41" s="301"/>
      <c r="H41" s="301"/>
      <c r="I41" s="302"/>
      <c r="J41" s="337"/>
      <c r="K41" s="335"/>
      <c r="L41" s="335"/>
      <c r="M41" s="335"/>
      <c r="N41" s="335"/>
      <c r="O41" s="336"/>
      <c r="P41" s="337"/>
      <c r="Q41" s="335"/>
      <c r="R41" s="335"/>
      <c r="S41" s="335"/>
      <c r="T41" s="335"/>
      <c r="U41" s="336"/>
      <c r="V41" s="326"/>
      <c r="W41" s="327"/>
      <c r="X41" s="327"/>
      <c r="Y41" s="327"/>
      <c r="Z41" s="327"/>
      <c r="AA41" s="328"/>
      <c r="AB41" s="310"/>
      <c r="AC41" s="306"/>
      <c r="AD41" s="306"/>
      <c r="AE41" s="306"/>
      <c r="AF41" s="306"/>
      <c r="AG41" s="307"/>
      <c r="AH41" s="317"/>
      <c r="AI41" s="318"/>
      <c r="AJ41" s="318"/>
      <c r="AK41" s="318"/>
      <c r="AL41" s="318"/>
      <c r="AM41" s="319"/>
      <c r="AN41" s="69"/>
      <c r="AO41" s="69"/>
      <c r="AP41" s="69"/>
      <c r="AQ41" s="69"/>
      <c r="AR41" s="69"/>
      <c r="AS41" s="69"/>
      <c r="AT41" s="69"/>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c r="BY41" s="69"/>
      <c r="BZ41" s="69"/>
      <c r="CA41" s="69"/>
      <c r="CB41" s="69"/>
    </row>
    <row r="42" spans="1:80" x14ac:dyDescent="0.25">
      <c r="A42" s="69"/>
      <c r="B42" s="259"/>
      <c r="C42" s="259"/>
      <c r="D42" s="260"/>
      <c r="E42" s="300"/>
      <c r="F42" s="301"/>
      <c r="G42" s="301"/>
      <c r="H42" s="301"/>
      <c r="I42" s="302"/>
      <c r="J42" s="337" t="e">
        <f>IF(AND('Mapa final'!#REF!="Muy Baja",'Mapa final'!#REF!="Leve"),CONCATENATE("R",'Mapa final'!#REF!),"")</f>
        <v>#REF!</v>
      </c>
      <c r="K42" s="335"/>
      <c r="L42" s="335" t="e">
        <f>IF(AND('Mapa final'!#REF!="Muy Baja",'Mapa final'!#REF!="Leve"),CONCATENATE("R",'Mapa final'!#REF!),"")</f>
        <v>#REF!</v>
      </c>
      <c r="M42" s="335"/>
      <c r="N42" s="335" t="e">
        <f>IF(AND('Mapa final'!#REF!="Muy Baja",'Mapa final'!#REF!="Leve"),CONCATENATE("R",'Mapa final'!#REF!),"")</f>
        <v>#REF!</v>
      </c>
      <c r="O42" s="336"/>
      <c r="P42" s="337" t="e">
        <f>IF(AND('Mapa final'!#REF!="Muy Baja",'Mapa final'!#REF!="Menor"),CONCATENATE("R",'Mapa final'!#REF!),"")</f>
        <v>#REF!</v>
      </c>
      <c r="Q42" s="335"/>
      <c r="R42" s="335" t="e">
        <f>IF(AND('Mapa final'!#REF!="Muy Baja",'Mapa final'!#REF!="Menor"),CONCATENATE("R",'Mapa final'!#REF!),"")</f>
        <v>#REF!</v>
      </c>
      <c r="S42" s="335"/>
      <c r="T42" s="335" t="e">
        <f>IF(AND('Mapa final'!#REF!="Muy Baja",'Mapa final'!#REF!="Menor"),CONCATENATE("R",'Mapa final'!#REF!),"")</f>
        <v>#REF!</v>
      </c>
      <c r="U42" s="336"/>
      <c r="V42" s="326" t="e">
        <f>IF(AND('Mapa final'!#REF!="Muy Baja",'Mapa final'!#REF!="Moderado"),CONCATENATE("R",'Mapa final'!#REF!),"")</f>
        <v>#REF!</v>
      </c>
      <c r="W42" s="327"/>
      <c r="X42" s="327" t="e">
        <f>IF(AND('Mapa final'!#REF!="Muy Baja",'Mapa final'!#REF!="Moderado"),CONCATENATE("R",'Mapa final'!#REF!),"")</f>
        <v>#REF!</v>
      </c>
      <c r="Y42" s="327"/>
      <c r="Z42" s="327" t="e">
        <f>IF(AND('Mapa final'!#REF!="Muy Baja",'Mapa final'!#REF!="Moderado"),CONCATENATE("R",'Mapa final'!#REF!),"")</f>
        <v>#REF!</v>
      </c>
      <c r="AA42" s="328"/>
      <c r="AB42" s="310" t="e">
        <f>IF(AND('Mapa final'!#REF!="Muy Baja",'Mapa final'!#REF!="Mayor"),CONCATENATE("R",'Mapa final'!#REF!),"")</f>
        <v>#REF!</v>
      </c>
      <c r="AC42" s="306"/>
      <c r="AD42" s="306" t="e">
        <f>IF(AND('Mapa final'!#REF!="Muy Baja",'Mapa final'!#REF!="Mayor"),CONCATENATE("R",'Mapa final'!#REF!),"")</f>
        <v>#REF!</v>
      </c>
      <c r="AE42" s="306"/>
      <c r="AF42" s="306" t="e">
        <f>IF(AND('Mapa final'!#REF!="Muy Baja",'Mapa final'!#REF!="Mayor"),CONCATENATE("R",'Mapa final'!#REF!),"")</f>
        <v>#REF!</v>
      </c>
      <c r="AG42" s="307"/>
      <c r="AH42" s="317" t="e">
        <f>IF(AND('Mapa final'!#REF!="Muy Baja",'Mapa final'!#REF!="Catastrófico"),CONCATENATE("R",'Mapa final'!#REF!),"")</f>
        <v>#REF!</v>
      </c>
      <c r="AI42" s="318"/>
      <c r="AJ42" s="318" t="e">
        <f>IF(AND('Mapa final'!#REF!="Muy Baja",'Mapa final'!#REF!="Catastrófico"),CONCATENATE("R",'Mapa final'!#REF!),"")</f>
        <v>#REF!</v>
      </c>
      <c r="AK42" s="318"/>
      <c r="AL42" s="318" t="e">
        <f>IF(AND('Mapa final'!#REF!="Muy Baja",'Mapa final'!#REF!="Catastrófico"),CONCATENATE("R",'Mapa final'!#REF!),"")</f>
        <v>#REF!</v>
      </c>
      <c r="AM42" s="319"/>
      <c r="AN42" s="69"/>
      <c r="AO42" s="69"/>
      <c r="AP42" s="69"/>
      <c r="AQ42" s="69"/>
      <c r="AR42" s="69"/>
      <c r="AS42" s="69"/>
      <c r="AT42" s="69"/>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c r="BU42" s="69"/>
      <c r="BV42" s="69"/>
      <c r="BW42" s="69"/>
      <c r="BX42" s="69"/>
      <c r="BY42" s="69"/>
      <c r="BZ42" s="69"/>
      <c r="CA42" s="69"/>
      <c r="CB42" s="69"/>
    </row>
    <row r="43" spans="1:80" x14ac:dyDescent="0.25">
      <c r="A43" s="69"/>
      <c r="B43" s="259"/>
      <c r="C43" s="259"/>
      <c r="D43" s="260"/>
      <c r="E43" s="300"/>
      <c r="F43" s="301"/>
      <c r="G43" s="301"/>
      <c r="H43" s="301"/>
      <c r="I43" s="302"/>
      <c r="J43" s="337"/>
      <c r="K43" s="335"/>
      <c r="L43" s="335"/>
      <c r="M43" s="335"/>
      <c r="N43" s="335"/>
      <c r="O43" s="336"/>
      <c r="P43" s="337"/>
      <c r="Q43" s="335"/>
      <c r="R43" s="335"/>
      <c r="S43" s="335"/>
      <c r="T43" s="335"/>
      <c r="U43" s="336"/>
      <c r="V43" s="326"/>
      <c r="W43" s="327"/>
      <c r="X43" s="327"/>
      <c r="Y43" s="327"/>
      <c r="Z43" s="327"/>
      <c r="AA43" s="328"/>
      <c r="AB43" s="310"/>
      <c r="AC43" s="306"/>
      <c r="AD43" s="306"/>
      <c r="AE43" s="306"/>
      <c r="AF43" s="306"/>
      <c r="AG43" s="307"/>
      <c r="AH43" s="317"/>
      <c r="AI43" s="318"/>
      <c r="AJ43" s="318"/>
      <c r="AK43" s="318"/>
      <c r="AL43" s="318"/>
      <c r="AM43" s="319"/>
      <c r="AN43" s="69"/>
      <c r="AO43" s="69"/>
      <c r="AP43" s="69"/>
      <c r="AQ43" s="69"/>
      <c r="AR43" s="69"/>
      <c r="AS43" s="69"/>
      <c r="AT43" s="69"/>
      <c r="AU43" s="69"/>
      <c r="AV43" s="69"/>
      <c r="AW43" s="69"/>
      <c r="AX43" s="69"/>
      <c r="AY43" s="69"/>
      <c r="AZ43" s="69"/>
      <c r="BA43" s="69"/>
      <c r="BB43" s="69"/>
      <c r="BC43" s="69"/>
      <c r="BD43" s="69"/>
      <c r="BE43" s="69"/>
      <c r="BF43" s="69"/>
      <c r="BG43" s="69"/>
      <c r="BH43" s="69"/>
      <c r="BI43" s="69"/>
      <c r="BJ43" s="69"/>
      <c r="BK43" s="69"/>
      <c r="BL43" s="69"/>
      <c r="BM43" s="69"/>
      <c r="BN43" s="69"/>
      <c r="BO43" s="69"/>
      <c r="BP43" s="69"/>
      <c r="BQ43" s="69"/>
      <c r="BR43" s="69"/>
      <c r="BS43" s="69"/>
      <c r="BT43" s="69"/>
      <c r="BU43" s="69"/>
      <c r="BV43" s="69"/>
      <c r="BW43" s="69"/>
      <c r="BX43" s="69"/>
      <c r="BY43" s="69"/>
      <c r="BZ43" s="69"/>
      <c r="CA43" s="69"/>
      <c r="CB43" s="69"/>
    </row>
    <row r="44" spans="1:80" x14ac:dyDescent="0.25">
      <c r="A44" s="69"/>
      <c r="B44" s="259"/>
      <c r="C44" s="259"/>
      <c r="D44" s="260"/>
      <c r="E44" s="300"/>
      <c r="F44" s="301"/>
      <c r="G44" s="301"/>
      <c r="H44" s="301"/>
      <c r="I44" s="302"/>
      <c r="J44" s="337" t="e">
        <f>IF(AND('Mapa final'!#REF!="Muy Baja",'Mapa final'!#REF!="Leve"),CONCATENATE("R",'Mapa final'!#REF!),"")</f>
        <v>#REF!</v>
      </c>
      <c r="K44" s="335"/>
      <c r="L44" s="335" t="str">
        <f>IF(AND('Mapa final'!$H$19="Muy Baja",'Mapa final'!$L$19="Leve"),CONCATENATE("R",'Mapa final'!$A$19),"")</f>
        <v/>
      </c>
      <c r="M44" s="335"/>
      <c r="N44" s="335" t="str">
        <f>IF(AND('Mapa final'!$H$25="Muy Baja",'Mapa final'!$L$25="Leve"),CONCATENATE("R",'Mapa final'!$A$25),"")</f>
        <v/>
      </c>
      <c r="O44" s="336"/>
      <c r="P44" s="337" t="e">
        <f>IF(AND('Mapa final'!#REF!="Muy Baja",'Mapa final'!#REF!="Menor"),CONCATENATE("R",'Mapa final'!#REF!),"")</f>
        <v>#REF!</v>
      </c>
      <c r="Q44" s="335"/>
      <c r="R44" s="335" t="str">
        <f>IF(AND('Mapa final'!$H$19="Muy Baja",'Mapa final'!$L$19="Menor"),CONCATENATE("R",'Mapa final'!$A$19),"")</f>
        <v/>
      </c>
      <c r="S44" s="335"/>
      <c r="T44" s="335" t="str">
        <f>IF(AND('Mapa final'!$H$25="Muy Baja",'Mapa final'!$L$25="Menor"),CONCATENATE("R",'Mapa final'!$A$25),"")</f>
        <v/>
      </c>
      <c r="U44" s="336"/>
      <c r="V44" s="326" t="e">
        <f>IF(AND('Mapa final'!#REF!="Muy Baja",'Mapa final'!#REF!="Moderado"),CONCATENATE("R",'Mapa final'!#REF!),"")</f>
        <v>#REF!</v>
      </c>
      <c r="W44" s="327"/>
      <c r="X44" s="327" t="str">
        <f>IF(AND('Mapa final'!$H$19="Muy Baja",'Mapa final'!$L$19="Moderado"),CONCATENATE("R",'Mapa final'!$A$19),"")</f>
        <v/>
      </c>
      <c r="Y44" s="327"/>
      <c r="Z44" s="327" t="str">
        <f>IF(AND('Mapa final'!$H$25="Muy Baja",'Mapa final'!$L$25="Moderado"),CONCATENATE("R",'Mapa final'!$A$25),"")</f>
        <v/>
      </c>
      <c r="AA44" s="328"/>
      <c r="AB44" s="310" t="e">
        <f>IF(AND('Mapa final'!#REF!="Muy Baja",'Mapa final'!#REF!="Mayor"),CONCATENATE("R",'Mapa final'!#REF!),"")</f>
        <v>#REF!</v>
      </c>
      <c r="AC44" s="306"/>
      <c r="AD44" s="306" t="str">
        <f>IF(AND('Mapa final'!$H$19="Muy Baja",'Mapa final'!$L$19="Mayor"),CONCATENATE("R",'Mapa final'!$A$19),"")</f>
        <v/>
      </c>
      <c r="AE44" s="306"/>
      <c r="AF44" s="306" t="str">
        <f>IF(AND('Mapa final'!$H$25="Muy Baja",'Mapa final'!$L$25="Mayor"),CONCATENATE("R",'Mapa final'!$A$25),"")</f>
        <v/>
      </c>
      <c r="AG44" s="307"/>
      <c r="AH44" s="317" t="e">
        <f>IF(AND('Mapa final'!#REF!="Muy Baja",'Mapa final'!#REF!="Catastrófico"),CONCATENATE("R",'Mapa final'!#REF!),"")</f>
        <v>#REF!</v>
      </c>
      <c r="AI44" s="318"/>
      <c r="AJ44" s="318" t="str">
        <f>IF(AND('Mapa final'!$H$19="Muy Baja",'Mapa final'!$L$19="Catastrófico"),CONCATENATE("R",'Mapa final'!$A$19),"")</f>
        <v/>
      </c>
      <c r="AK44" s="318"/>
      <c r="AL44" s="318" t="str">
        <f>IF(AND('Mapa final'!$H$25="Muy Baja",'Mapa final'!$L$25="Catastrófico"),CONCATENATE("R",'Mapa final'!$A$25),"")</f>
        <v/>
      </c>
      <c r="AM44" s="319"/>
      <c r="AN44" s="69"/>
      <c r="AO44" s="69"/>
      <c r="AP44" s="69"/>
      <c r="AQ44" s="69"/>
      <c r="AR44" s="69"/>
      <c r="AS44" s="69"/>
      <c r="AT44" s="69"/>
      <c r="AU44" s="69"/>
      <c r="AV44" s="69"/>
      <c r="AW44" s="69"/>
      <c r="AX44" s="69"/>
      <c r="AY44" s="69"/>
      <c r="AZ44" s="69"/>
      <c r="BA44" s="69"/>
      <c r="BB44" s="69"/>
      <c r="BC44" s="69"/>
      <c r="BD44" s="69"/>
      <c r="BE44" s="69"/>
      <c r="BF44" s="69"/>
      <c r="BG44" s="69"/>
      <c r="BH44" s="69"/>
      <c r="BI44" s="69"/>
      <c r="BJ44" s="69"/>
      <c r="BK44" s="69"/>
      <c r="BL44" s="69"/>
      <c r="BM44" s="69"/>
      <c r="BN44" s="69"/>
      <c r="BO44" s="69"/>
      <c r="BP44" s="69"/>
      <c r="BQ44" s="69"/>
      <c r="BR44" s="69"/>
      <c r="BS44" s="69"/>
      <c r="BT44" s="69"/>
      <c r="BU44" s="69"/>
      <c r="BV44" s="69"/>
      <c r="BW44" s="69"/>
      <c r="BX44" s="69"/>
      <c r="BY44" s="69"/>
      <c r="BZ44" s="69"/>
      <c r="CA44" s="69"/>
      <c r="CB44" s="69"/>
    </row>
    <row r="45" spans="1:80" ht="15.75" thickBot="1" x14ac:dyDescent="0.3">
      <c r="A45" s="69"/>
      <c r="B45" s="259"/>
      <c r="C45" s="259"/>
      <c r="D45" s="260"/>
      <c r="E45" s="303"/>
      <c r="F45" s="304"/>
      <c r="G45" s="304"/>
      <c r="H45" s="304"/>
      <c r="I45" s="305"/>
      <c r="J45" s="338"/>
      <c r="K45" s="339"/>
      <c r="L45" s="339"/>
      <c r="M45" s="339"/>
      <c r="N45" s="339"/>
      <c r="O45" s="340"/>
      <c r="P45" s="338"/>
      <c r="Q45" s="339"/>
      <c r="R45" s="339"/>
      <c r="S45" s="339"/>
      <c r="T45" s="339"/>
      <c r="U45" s="340"/>
      <c r="V45" s="329"/>
      <c r="W45" s="330"/>
      <c r="X45" s="330"/>
      <c r="Y45" s="330"/>
      <c r="Z45" s="330"/>
      <c r="AA45" s="331"/>
      <c r="AB45" s="314"/>
      <c r="AC45" s="315"/>
      <c r="AD45" s="315"/>
      <c r="AE45" s="315"/>
      <c r="AF45" s="315"/>
      <c r="AG45" s="316"/>
      <c r="AH45" s="320"/>
      <c r="AI45" s="321"/>
      <c r="AJ45" s="321"/>
      <c r="AK45" s="321"/>
      <c r="AL45" s="321"/>
      <c r="AM45" s="322"/>
      <c r="AN45" s="69"/>
      <c r="AO45" s="69"/>
      <c r="AP45" s="69"/>
      <c r="AQ45" s="69"/>
      <c r="AR45" s="69"/>
      <c r="AS45" s="69"/>
      <c r="AT45" s="69"/>
      <c r="AU45" s="69"/>
      <c r="AV45" s="69"/>
      <c r="AW45" s="69"/>
      <c r="AX45" s="69"/>
      <c r="AY45" s="69"/>
      <c r="AZ45" s="69"/>
      <c r="BA45" s="69"/>
      <c r="BB45" s="69"/>
      <c r="BC45" s="69"/>
      <c r="BD45" s="69"/>
      <c r="BE45" s="69"/>
      <c r="BF45" s="69"/>
      <c r="BG45" s="69"/>
      <c r="BH45" s="69"/>
      <c r="BI45" s="69"/>
      <c r="BJ45" s="69"/>
      <c r="BK45" s="69"/>
      <c r="BL45" s="69"/>
      <c r="BM45" s="69"/>
      <c r="BN45" s="69"/>
      <c r="BO45" s="69"/>
      <c r="BP45" s="69"/>
      <c r="BQ45" s="69"/>
      <c r="BR45" s="69"/>
      <c r="BS45" s="69"/>
      <c r="BT45" s="69"/>
      <c r="BU45" s="69"/>
      <c r="BV45" s="69"/>
      <c r="BW45" s="69"/>
      <c r="BX45" s="69"/>
      <c r="BY45" s="69"/>
      <c r="BZ45" s="69"/>
      <c r="CA45" s="69"/>
      <c r="CB45" s="69"/>
    </row>
    <row r="46" spans="1:80" x14ac:dyDescent="0.25">
      <c r="A46" s="69"/>
      <c r="B46" s="69"/>
      <c r="C46" s="69"/>
      <c r="D46" s="69"/>
      <c r="E46" s="69"/>
      <c r="F46" s="69"/>
      <c r="G46" s="69"/>
      <c r="H46" s="69"/>
      <c r="I46" s="69"/>
      <c r="J46" s="297" t="s">
        <v>110</v>
      </c>
      <c r="K46" s="298"/>
      <c r="L46" s="298"/>
      <c r="M46" s="298"/>
      <c r="N46" s="298"/>
      <c r="O46" s="299"/>
      <c r="P46" s="297" t="s">
        <v>109</v>
      </c>
      <c r="Q46" s="298"/>
      <c r="R46" s="298"/>
      <c r="S46" s="298"/>
      <c r="T46" s="298"/>
      <c r="U46" s="299"/>
      <c r="V46" s="297" t="s">
        <v>108</v>
      </c>
      <c r="W46" s="298"/>
      <c r="X46" s="298"/>
      <c r="Y46" s="298"/>
      <c r="Z46" s="298"/>
      <c r="AA46" s="299"/>
      <c r="AB46" s="297" t="s">
        <v>107</v>
      </c>
      <c r="AC46" s="313"/>
      <c r="AD46" s="298"/>
      <c r="AE46" s="298"/>
      <c r="AF46" s="298"/>
      <c r="AG46" s="299"/>
      <c r="AH46" s="297" t="s">
        <v>106</v>
      </c>
      <c r="AI46" s="298"/>
      <c r="AJ46" s="298"/>
      <c r="AK46" s="298"/>
      <c r="AL46" s="298"/>
      <c r="AM46" s="299"/>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c r="BP46" s="69"/>
      <c r="BQ46" s="69"/>
      <c r="BR46" s="69"/>
      <c r="BS46" s="69"/>
      <c r="BT46" s="69"/>
      <c r="BU46" s="69"/>
      <c r="BV46" s="69"/>
      <c r="BW46" s="69"/>
      <c r="BX46" s="69"/>
      <c r="BY46" s="69"/>
      <c r="BZ46" s="69"/>
      <c r="CA46" s="69"/>
      <c r="CB46" s="69"/>
    </row>
    <row r="47" spans="1:80" x14ac:dyDescent="0.25">
      <c r="A47" s="69"/>
      <c r="B47" s="69"/>
      <c r="C47" s="69"/>
      <c r="D47" s="69"/>
      <c r="E47" s="69"/>
      <c r="F47" s="69"/>
      <c r="G47" s="69"/>
      <c r="H47" s="69"/>
      <c r="I47" s="69"/>
      <c r="J47" s="300"/>
      <c r="K47" s="301"/>
      <c r="L47" s="301"/>
      <c r="M47" s="301"/>
      <c r="N47" s="301"/>
      <c r="O47" s="302"/>
      <c r="P47" s="300"/>
      <c r="Q47" s="301"/>
      <c r="R47" s="301"/>
      <c r="S47" s="301"/>
      <c r="T47" s="301"/>
      <c r="U47" s="302"/>
      <c r="V47" s="300"/>
      <c r="W47" s="301"/>
      <c r="X47" s="301"/>
      <c r="Y47" s="301"/>
      <c r="Z47" s="301"/>
      <c r="AA47" s="302"/>
      <c r="AB47" s="300"/>
      <c r="AC47" s="301"/>
      <c r="AD47" s="301"/>
      <c r="AE47" s="301"/>
      <c r="AF47" s="301"/>
      <c r="AG47" s="302"/>
      <c r="AH47" s="300"/>
      <c r="AI47" s="301"/>
      <c r="AJ47" s="301"/>
      <c r="AK47" s="301"/>
      <c r="AL47" s="301"/>
      <c r="AM47" s="302"/>
      <c r="AN47" s="69"/>
      <c r="AO47" s="69"/>
      <c r="AP47" s="69"/>
      <c r="AQ47" s="69"/>
      <c r="AR47" s="69"/>
      <c r="AS47" s="69"/>
      <c r="AT47" s="69"/>
      <c r="AU47" s="69"/>
      <c r="AV47" s="69"/>
      <c r="AW47" s="69"/>
      <c r="AX47" s="69"/>
      <c r="AY47" s="69"/>
      <c r="AZ47" s="69"/>
      <c r="BA47" s="69"/>
      <c r="BB47" s="69"/>
      <c r="BC47" s="69"/>
      <c r="BD47" s="69"/>
      <c r="BE47" s="69"/>
      <c r="BF47" s="69"/>
      <c r="BG47" s="69"/>
      <c r="BH47" s="69"/>
      <c r="BI47" s="69"/>
      <c r="BJ47" s="69"/>
      <c r="BK47" s="69"/>
      <c r="BL47" s="69"/>
      <c r="BM47" s="69"/>
      <c r="BN47" s="69"/>
      <c r="BO47" s="69"/>
      <c r="BP47" s="69"/>
      <c r="BQ47" s="69"/>
      <c r="BR47" s="69"/>
      <c r="BS47" s="69"/>
      <c r="BT47" s="69"/>
      <c r="BU47" s="69"/>
      <c r="BV47" s="69"/>
      <c r="BW47" s="69"/>
      <c r="BX47" s="69"/>
      <c r="BY47" s="69"/>
      <c r="BZ47" s="69"/>
      <c r="CA47" s="69"/>
      <c r="CB47" s="69"/>
    </row>
    <row r="48" spans="1:80" x14ac:dyDescent="0.25">
      <c r="A48" s="69"/>
      <c r="B48" s="69"/>
      <c r="C48" s="69"/>
      <c r="D48" s="69"/>
      <c r="E48" s="69"/>
      <c r="F48" s="69"/>
      <c r="G48" s="69"/>
      <c r="H48" s="69"/>
      <c r="I48" s="69"/>
      <c r="J48" s="300"/>
      <c r="K48" s="301"/>
      <c r="L48" s="301"/>
      <c r="M48" s="301"/>
      <c r="N48" s="301"/>
      <c r="O48" s="302"/>
      <c r="P48" s="300"/>
      <c r="Q48" s="301"/>
      <c r="R48" s="301"/>
      <c r="S48" s="301"/>
      <c r="T48" s="301"/>
      <c r="U48" s="302"/>
      <c r="V48" s="300"/>
      <c r="W48" s="301"/>
      <c r="X48" s="301"/>
      <c r="Y48" s="301"/>
      <c r="Z48" s="301"/>
      <c r="AA48" s="302"/>
      <c r="AB48" s="300"/>
      <c r="AC48" s="301"/>
      <c r="AD48" s="301"/>
      <c r="AE48" s="301"/>
      <c r="AF48" s="301"/>
      <c r="AG48" s="302"/>
      <c r="AH48" s="300"/>
      <c r="AI48" s="301"/>
      <c r="AJ48" s="301"/>
      <c r="AK48" s="301"/>
      <c r="AL48" s="301"/>
      <c r="AM48" s="302"/>
      <c r="AN48" s="69"/>
      <c r="AO48" s="69"/>
      <c r="AP48" s="69"/>
      <c r="AQ48" s="69"/>
      <c r="AR48" s="69"/>
      <c r="AS48" s="69"/>
      <c r="AT48" s="69"/>
      <c r="AU48" s="69"/>
      <c r="AV48" s="69"/>
      <c r="AW48" s="69"/>
      <c r="AX48" s="69"/>
      <c r="AY48" s="69"/>
      <c r="AZ48" s="69"/>
      <c r="BA48" s="69"/>
      <c r="BB48" s="69"/>
      <c r="BC48" s="69"/>
      <c r="BD48" s="69"/>
      <c r="BE48" s="69"/>
      <c r="BF48" s="69"/>
      <c r="BG48" s="69"/>
      <c r="BH48" s="69"/>
      <c r="BI48" s="69"/>
      <c r="BJ48" s="69"/>
      <c r="BK48" s="69"/>
      <c r="BL48" s="69"/>
      <c r="BM48" s="69"/>
      <c r="BN48" s="69"/>
      <c r="BO48" s="69"/>
      <c r="BP48" s="69"/>
      <c r="BQ48" s="69"/>
      <c r="BR48" s="69"/>
      <c r="BS48" s="69"/>
      <c r="BT48" s="69"/>
      <c r="BU48" s="69"/>
      <c r="BV48" s="69"/>
      <c r="BW48" s="69"/>
      <c r="BX48" s="69"/>
      <c r="BY48" s="69"/>
      <c r="BZ48" s="69"/>
      <c r="CA48" s="69"/>
      <c r="CB48" s="69"/>
    </row>
    <row r="49" spans="1:80" x14ac:dyDescent="0.25">
      <c r="A49" s="69"/>
      <c r="B49" s="69"/>
      <c r="C49" s="69"/>
      <c r="D49" s="69"/>
      <c r="E49" s="69"/>
      <c r="F49" s="69"/>
      <c r="G49" s="69"/>
      <c r="H49" s="69"/>
      <c r="I49" s="69"/>
      <c r="J49" s="300"/>
      <c r="K49" s="301"/>
      <c r="L49" s="301"/>
      <c r="M49" s="301"/>
      <c r="N49" s="301"/>
      <c r="O49" s="302"/>
      <c r="P49" s="300"/>
      <c r="Q49" s="301"/>
      <c r="R49" s="301"/>
      <c r="S49" s="301"/>
      <c r="T49" s="301"/>
      <c r="U49" s="302"/>
      <c r="V49" s="300"/>
      <c r="W49" s="301"/>
      <c r="X49" s="301"/>
      <c r="Y49" s="301"/>
      <c r="Z49" s="301"/>
      <c r="AA49" s="302"/>
      <c r="AB49" s="300"/>
      <c r="AC49" s="301"/>
      <c r="AD49" s="301"/>
      <c r="AE49" s="301"/>
      <c r="AF49" s="301"/>
      <c r="AG49" s="302"/>
      <c r="AH49" s="300"/>
      <c r="AI49" s="301"/>
      <c r="AJ49" s="301"/>
      <c r="AK49" s="301"/>
      <c r="AL49" s="301"/>
      <c r="AM49" s="302"/>
      <c r="AN49" s="69"/>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c r="BS49" s="69"/>
      <c r="BT49" s="69"/>
      <c r="BU49" s="69"/>
      <c r="BV49" s="69"/>
      <c r="BW49" s="69"/>
      <c r="BX49" s="69"/>
      <c r="BY49" s="69"/>
      <c r="BZ49" s="69"/>
      <c r="CA49" s="69"/>
      <c r="CB49" s="69"/>
    </row>
    <row r="50" spans="1:80" x14ac:dyDescent="0.25">
      <c r="A50" s="69"/>
      <c r="B50" s="69"/>
      <c r="C50" s="69"/>
      <c r="D50" s="69"/>
      <c r="E50" s="69"/>
      <c r="F50" s="69"/>
      <c r="G50" s="69"/>
      <c r="H50" s="69"/>
      <c r="I50" s="69"/>
      <c r="J50" s="300"/>
      <c r="K50" s="301"/>
      <c r="L50" s="301"/>
      <c r="M50" s="301"/>
      <c r="N50" s="301"/>
      <c r="O50" s="302"/>
      <c r="P50" s="300"/>
      <c r="Q50" s="301"/>
      <c r="R50" s="301"/>
      <c r="S50" s="301"/>
      <c r="T50" s="301"/>
      <c r="U50" s="302"/>
      <c r="V50" s="300"/>
      <c r="W50" s="301"/>
      <c r="X50" s="301"/>
      <c r="Y50" s="301"/>
      <c r="Z50" s="301"/>
      <c r="AA50" s="302"/>
      <c r="AB50" s="300"/>
      <c r="AC50" s="301"/>
      <c r="AD50" s="301"/>
      <c r="AE50" s="301"/>
      <c r="AF50" s="301"/>
      <c r="AG50" s="302"/>
      <c r="AH50" s="300"/>
      <c r="AI50" s="301"/>
      <c r="AJ50" s="301"/>
      <c r="AK50" s="301"/>
      <c r="AL50" s="301"/>
      <c r="AM50" s="302"/>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c r="BU50" s="69"/>
      <c r="BV50" s="69"/>
      <c r="BW50" s="69"/>
      <c r="BX50" s="69"/>
      <c r="BY50" s="69"/>
      <c r="BZ50" s="69"/>
      <c r="CA50" s="69"/>
      <c r="CB50" s="69"/>
    </row>
    <row r="51" spans="1:80" ht="15.75" thickBot="1" x14ac:dyDescent="0.3">
      <c r="A51" s="69"/>
      <c r="B51" s="69"/>
      <c r="C51" s="69"/>
      <c r="D51" s="69"/>
      <c r="E51" s="69"/>
      <c r="F51" s="69"/>
      <c r="G51" s="69"/>
      <c r="H51" s="69"/>
      <c r="I51" s="69"/>
      <c r="J51" s="303"/>
      <c r="K51" s="304"/>
      <c r="L51" s="304"/>
      <c r="M51" s="304"/>
      <c r="N51" s="304"/>
      <c r="O51" s="305"/>
      <c r="P51" s="303"/>
      <c r="Q51" s="304"/>
      <c r="R51" s="304"/>
      <c r="S51" s="304"/>
      <c r="T51" s="304"/>
      <c r="U51" s="305"/>
      <c r="V51" s="303"/>
      <c r="W51" s="304"/>
      <c r="X51" s="304"/>
      <c r="Y51" s="304"/>
      <c r="Z51" s="304"/>
      <c r="AA51" s="305"/>
      <c r="AB51" s="303"/>
      <c r="AC51" s="304"/>
      <c r="AD51" s="304"/>
      <c r="AE51" s="304"/>
      <c r="AF51" s="304"/>
      <c r="AG51" s="305"/>
      <c r="AH51" s="303"/>
      <c r="AI51" s="304"/>
      <c r="AJ51" s="304"/>
      <c r="AK51" s="304"/>
      <c r="AL51" s="304"/>
      <c r="AM51" s="305"/>
      <c r="AN51" s="69"/>
      <c r="AO51" s="69"/>
      <c r="AP51" s="69"/>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c r="BS51" s="69"/>
      <c r="BT51" s="69"/>
      <c r="BU51" s="69"/>
      <c r="BV51" s="69"/>
      <c r="BW51" s="69"/>
      <c r="BX51" s="69"/>
      <c r="BY51" s="69"/>
      <c r="BZ51" s="69"/>
      <c r="CA51" s="69"/>
      <c r="CB51" s="69"/>
    </row>
    <row r="52" spans="1:80" x14ac:dyDescent="0.25">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c r="AQ52" s="69"/>
      <c r="AR52" s="69"/>
      <c r="AS52" s="69"/>
      <c r="AT52" s="69"/>
      <c r="AU52" s="69"/>
      <c r="AV52" s="69"/>
      <c r="AW52" s="69"/>
      <c r="AX52" s="69"/>
      <c r="AY52" s="69"/>
      <c r="AZ52" s="69"/>
      <c r="BA52" s="69"/>
      <c r="BB52" s="69"/>
      <c r="BC52" s="69"/>
      <c r="BD52" s="69"/>
      <c r="BE52" s="69"/>
      <c r="BF52" s="69"/>
      <c r="BG52" s="69"/>
      <c r="BH52" s="69"/>
      <c r="BI52" s="69"/>
      <c r="BJ52" s="69"/>
      <c r="BK52" s="69"/>
      <c r="BL52" s="69"/>
      <c r="BM52" s="69"/>
      <c r="BN52" s="69"/>
      <c r="BO52" s="69"/>
      <c r="BP52" s="69"/>
      <c r="BQ52" s="69"/>
      <c r="BR52" s="69"/>
      <c r="BS52" s="69"/>
      <c r="BT52" s="69"/>
      <c r="BU52" s="69"/>
      <c r="BV52" s="69"/>
      <c r="BW52" s="69"/>
      <c r="BX52" s="69"/>
      <c r="BY52" s="69"/>
      <c r="BZ52" s="69"/>
      <c r="CA52" s="69"/>
      <c r="CB52" s="69"/>
    </row>
    <row r="53" spans="1:80" ht="15" customHeight="1" x14ac:dyDescent="0.25">
      <c r="A53" s="69"/>
      <c r="B53" s="73"/>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c r="AS53" s="73"/>
      <c r="AT53" s="73"/>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row>
    <row r="54" spans="1:80" ht="15" customHeight="1" x14ac:dyDescent="0.25">
      <c r="A54" s="69"/>
      <c r="B54" s="73"/>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69"/>
      <c r="BV54" s="69"/>
      <c r="BW54" s="69"/>
      <c r="BX54" s="69"/>
      <c r="BY54" s="69"/>
      <c r="BZ54" s="69"/>
      <c r="CA54" s="69"/>
      <c r="CB54" s="69"/>
    </row>
    <row r="55" spans="1:80" x14ac:dyDescent="0.2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row>
    <row r="56" spans="1:80" x14ac:dyDescent="0.25">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c r="AM56" s="69"/>
      <c r="AN56" s="69"/>
      <c r="AO56" s="69"/>
      <c r="AP56" s="69"/>
      <c r="AQ56" s="69"/>
      <c r="AR56" s="69"/>
      <c r="AS56" s="69"/>
      <c r="AT56" s="69"/>
      <c r="AU56" s="69"/>
      <c r="AV56" s="69"/>
      <c r="AW56" s="69"/>
      <c r="AX56" s="69"/>
      <c r="AY56" s="69"/>
      <c r="AZ56" s="69"/>
      <c r="BA56" s="69"/>
      <c r="BB56" s="69"/>
      <c r="BC56" s="69"/>
      <c r="BD56" s="69"/>
      <c r="BE56" s="69"/>
      <c r="BF56" s="69"/>
      <c r="BG56" s="69"/>
      <c r="BH56" s="69"/>
      <c r="BI56" s="69"/>
      <c r="BJ56" s="69"/>
      <c r="BK56" s="69"/>
      <c r="BL56" s="69"/>
      <c r="BM56" s="69"/>
      <c r="BN56" s="69"/>
      <c r="BO56" s="69"/>
      <c r="BP56" s="69"/>
      <c r="BQ56" s="69"/>
      <c r="BR56" s="69"/>
      <c r="BS56" s="69"/>
      <c r="BT56" s="69"/>
      <c r="BU56" s="69"/>
      <c r="BV56" s="69"/>
      <c r="BW56" s="69"/>
      <c r="BX56" s="69"/>
      <c r="BY56" s="69"/>
      <c r="BZ56" s="69"/>
      <c r="CA56" s="69"/>
      <c r="CB56" s="69"/>
    </row>
    <row r="57" spans="1:80" x14ac:dyDescent="0.25">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c r="AQ57" s="69"/>
      <c r="AR57" s="69"/>
      <c r="AS57" s="69"/>
      <c r="AT57" s="69"/>
      <c r="AU57" s="69"/>
      <c r="AV57" s="69"/>
      <c r="AW57" s="69"/>
      <c r="AX57" s="69"/>
      <c r="AY57" s="69"/>
      <c r="AZ57" s="69"/>
      <c r="BA57" s="69"/>
      <c r="BB57" s="69"/>
      <c r="BC57" s="69"/>
      <c r="BD57" s="69"/>
      <c r="BE57" s="69"/>
      <c r="BF57" s="69"/>
      <c r="BG57" s="69"/>
      <c r="BH57" s="69"/>
      <c r="BI57" s="69"/>
      <c r="BJ57" s="69"/>
      <c r="BK57" s="69"/>
      <c r="BL57" s="69"/>
      <c r="BM57" s="69"/>
      <c r="BN57" s="69"/>
      <c r="BO57" s="69"/>
      <c r="BP57" s="69"/>
      <c r="BQ57" s="69"/>
      <c r="BR57" s="69"/>
      <c r="BS57" s="69"/>
      <c r="BT57" s="69"/>
      <c r="BU57" s="69"/>
      <c r="BV57" s="69"/>
      <c r="BW57" s="69"/>
      <c r="BX57" s="69"/>
      <c r="BY57" s="69"/>
      <c r="BZ57" s="69"/>
      <c r="CA57" s="69"/>
      <c r="CB57" s="69"/>
    </row>
    <row r="58" spans="1:80" x14ac:dyDescent="0.25">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69"/>
      <c r="AX58" s="69"/>
      <c r="AY58" s="69"/>
      <c r="AZ58" s="69"/>
      <c r="BA58" s="69"/>
      <c r="BB58" s="69"/>
      <c r="BC58" s="69"/>
      <c r="BD58" s="69"/>
      <c r="BE58" s="69"/>
      <c r="BF58" s="69"/>
      <c r="BG58" s="69"/>
      <c r="BH58" s="69"/>
      <c r="BI58" s="69"/>
      <c r="BJ58" s="69"/>
      <c r="BK58" s="69"/>
      <c r="BL58" s="69"/>
      <c r="BM58" s="69"/>
      <c r="BN58" s="69"/>
      <c r="BO58" s="69"/>
      <c r="BP58" s="69"/>
      <c r="BQ58" s="69"/>
      <c r="BR58" s="69"/>
      <c r="BS58" s="69"/>
      <c r="BT58" s="69"/>
      <c r="BU58" s="69"/>
      <c r="BV58" s="69"/>
      <c r="BW58" s="69"/>
      <c r="BX58" s="69"/>
      <c r="BY58" s="69"/>
      <c r="BZ58" s="69"/>
      <c r="CA58" s="69"/>
      <c r="CB58" s="69"/>
    </row>
    <row r="59" spans="1:80" x14ac:dyDescent="0.25">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c r="AN59" s="69"/>
      <c r="AO59" s="69"/>
      <c r="AP59" s="69"/>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row>
    <row r="60" spans="1:80" x14ac:dyDescent="0.25">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c r="AN60" s="69"/>
      <c r="AO60" s="69"/>
      <c r="AP60" s="69"/>
      <c r="AQ60" s="69"/>
      <c r="AR60" s="69"/>
      <c r="AS60" s="69"/>
      <c r="AT60" s="69"/>
      <c r="AU60" s="69"/>
      <c r="AV60" s="69"/>
      <c r="AW60" s="69"/>
      <c r="AX60" s="69"/>
      <c r="AY60" s="69"/>
      <c r="AZ60" s="69"/>
      <c r="BA60" s="69"/>
      <c r="BB60" s="69"/>
      <c r="BC60" s="69"/>
      <c r="BD60" s="69"/>
      <c r="BE60" s="69"/>
      <c r="BF60" s="69"/>
      <c r="BG60" s="69"/>
      <c r="BH60" s="69"/>
      <c r="BI60" s="69"/>
      <c r="BJ60" s="69"/>
      <c r="BK60" s="69"/>
      <c r="BL60" s="69"/>
      <c r="BM60" s="69"/>
      <c r="BN60" s="69"/>
      <c r="BO60" s="69"/>
      <c r="BP60" s="69"/>
      <c r="BQ60" s="69"/>
      <c r="BR60" s="69"/>
      <c r="BS60" s="69"/>
      <c r="BT60" s="69"/>
      <c r="BU60" s="69"/>
      <c r="BV60" s="69"/>
      <c r="BW60" s="69"/>
      <c r="BX60" s="69"/>
      <c r="BY60" s="69"/>
      <c r="BZ60" s="69"/>
      <c r="CA60" s="69"/>
      <c r="CB60" s="69"/>
    </row>
    <row r="61" spans="1:80" x14ac:dyDescent="0.25">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69"/>
      <c r="BS61" s="69"/>
      <c r="BT61" s="69"/>
      <c r="BU61" s="69"/>
      <c r="BV61" s="69"/>
      <c r="BW61" s="69"/>
      <c r="BX61" s="69"/>
      <c r="BY61" s="69"/>
      <c r="BZ61" s="69"/>
      <c r="CA61" s="69"/>
      <c r="CB61" s="69"/>
    </row>
    <row r="62" spans="1:80" x14ac:dyDescent="0.25">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c r="BB62" s="69"/>
      <c r="BC62" s="69"/>
      <c r="BD62" s="69"/>
      <c r="BE62" s="69"/>
      <c r="BF62" s="69"/>
      <c r="BG62" s="69"/>
      <c r="BH62" s="69"/>
      <c r="BI62" s="69"/>
      <c r="BJ62" s="69"/>
      <c r="BK62" s="69"/>
      <c r="BL62" s="69"/>
      <c r="BM62" s="69"/>
      <c r="BN62" s="69"/>
      <c r="BO62" s="69"/>
      <c r="BP62" s="69"/>
      <c r="BQ62" s="69"/>
      <c r="BR62" s="69"/>
      <c r="BS62" s="69"/>
      <c r="BT62" s="69"/>
      <c r="BU62" s="69"/>
      <c r="BV62" s="69"/>
      <c r="BW62" s="69"/>
      <c r="BX62" s="69"/>
      <c r="BY62" s="69"/>
      <c r="BZ62" s="69"/>
      <c r="CA62" s="69"/>
      <c r="CB62" s="69"/>
    </row>
    <row r="63" spans="1:80" x14ac:dyDescent="0.25">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c r="AX63" s="69"/>
      <c r="AY63" s="69"/>
      <c r="AZ63" s="69"/>
      <c r="BA63" s="69"/>
      <c r="BB63" s="69"/>
      <c r="BC63" s="69"/>
      <c r="BD63" s="69"/>
      <c r="BE63" s="69"/>
      <c r="BF63" s="69"/>
      <c r="BG63" s="69"/>
      <c r="BH63" s="69"/>
      <c r="BI63" s="69"/>
      <c r="BJ63" s="69"/>
      <c r="BK63" s="69"/>
      <c r="BL63" s="69"/>
      <c r="BM63" s="69"/>
      <c r="BN63" s="69"/>
      <c r="BO63" s="69"/>
      <c r="BP63" s="69"/>
      <c r="BQ63" s="69"/>
      <c r="BR63" s="69"/>
      <c r="BS63" s="69"/>
      <c r="BT63" s="69"/>
      <c r="BU63" s="69"/>
      <c r="BV63" s="69"/>
      <c r="BW63" s="69"/>
      <c r="BX63" s="69"/>
      <c r="BY63" s="69"/>
      <c r="BZ63" s="69"/>
      <c r="CA63" s="69"/>
      <c r="CB63" s="69"/>
    </row>
    <row r="64" spans="1:80" x14ac:dyDescent="0.25">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c r="BA64" s="69"/>
      <c r="BB64" s="69"/>
      <c r="BC64" s="69"/>
      <c r="BD64" s="69"/>
      <c r="BE64" s="69"/>
      <c r="BF64" s="69"/>
      <c r="BG64" s="69"/>
      <c r="BH64" s="69"/>
      <c r="BI64" s="69"/>
      <c r="BJ64" s="69"/>
      <c r="BK64" s="69"/>
      <c r="BL64" s="69"/>
      <c r="BM64" s="69"/>
      <c r="BN64" s="69"/>
      <c r="BO64" s="69"/>
      <c r="BP64" s="69"/>
      <c r="BQ64" s="69"/>
      <c r="BR64" s="69"/>
      <c r="BS64" s="69"/>
      <c r="BT64" s="69"/>
      <c r="BU64" s="69"/>
      <c r="BV64" s="69"/>
      <c r="BW64" s="69"/>
      <c r="BX64" s="69"/>
      <c r="BY64" s="69"/>
      <c r="BZ64" s="69"/>
      <c r="CA64" s="69"/>
      <c r="CB64" s="69"/>
    </row>
    <row r="65" spans="1:80" x14ac:dyDescent="0.2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c r="BI65" s="69"/>
      <c r="BJ65" s="69"/>
      <c r="BK65" s="69"/>
      <c r="BL65" s="69"/>
      <c r="BM65" s="69"/>
      <c r="BN65" s="69"/>
      <c r="BO65" s="69"/>
      <c r="BP65" s="69"/>
      <c r="BQ65" s="69"/>
      <c r="BR65" s="69"/>
      <c r="BS65" s="69"/>
      <c r="BT65" s="69"/>
      <c r="BU65" s="69"/>
      <c r="BV65" s="69"/>
      <c r="BW65" s="69"/>
      <c r="BX65" s="69"/>
      <c r="BY65" s="69"/>
      <c r="BZ65" s="69"/>
      <c r="CA65" s="69"/>
      <c r="CB65" s="69"/>
    </row>
    <row r="66" spans="1:80" x14ac:dyDescent="0.25">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c r="BI66" s="69"/>
      <c r="BJ66" s="69"/>
      <c r="BK66" s="69"/>
      <c r="BL66" s="69"/>
      <c r="BM66" s="69"/>
      <c r="BN66" s="69"/>
      <c r="BO66" s="69"/>
      <c r="BP66" s="69"/>
      <c r="BQ66" s="69"/>
      <c r="BR66" s="69"/>
      <c r="BS66" s="69"/>
      <c r="BT66" s="69"/>
      <c r="BU66" s="69"/>
      <c r="BV66" s="69"/>
      <c r="BW66" s="69"/>
      <c r="BX66" s="69"/>
      <c r="BY66" s="69"/>
      <c r="BZ66" s="69"/>
      <c r="CA66" s="69"/>
      <c r="CB66" s="69"/>
    </row>
    <row r="67" spans="1:80" x14ac:dyDescent="0.25">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c r="BI67" s="69"/>
      <c r="BJ67" s="69"/>
      <c r="BK67" s="69"/>
      <c r="BL67" s="69"/>
      <c r="BM67" s="69"/>
      <c r="BN67" s="69"/>
      <c r="BO67" s="69"/>
      <c r="BP67" s="69"/>
      <c r="BQ67" s="69"/>
      <c r="BR67" s="69"/>
      <c r="BS67" s="69"/>
      <c r="BT67" s="69"/>
      <c r="BU67" s="69"/>
      <c r="BV67" s="69"/>
      <c r="BW67" s="69"/>
      <c r="BX67" s="69"/>
      <c r="BY67" s="69"/>
      <c r="BZ67" s="69"/>
      <c r="CA67" s="69"/>
      <c r="CB67" s="69"/>
    </row>
    <row r="68" spans="1:80" x14ac:dyDescent="0.25">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c r="BI68" s="69"/>
      <c r="BJ68" s="69"/>
      <c r="BK68" s="69"/>
      <c r="BL68" s="69"/>
      <c r="BM68" s="69"/>
      <c r="BN68" s="69"/>
      <c r="BO68" s="69"/>
      <c r="BP68" s="69"/>
      <c r="BQ68" s="69"/>
      <c r="BR68" s="69"/>
      <c r="BS68" s="69"/>
      <c r="BT68" s="69"/>
      <c r="BU68" s="69"/>
      <c r="BV68" s="69"/>
      <c r="BW68" s="69"/>
      <c r="BX68" s="69"/>
      <c r="BY68" s="69"/>
      <c r="BZ68" s="69"/>
      <c r="CA68" s="69"/>
      <c r="CB68" s="69"/>
    </row>
    <row r="69" spans="1:80" x14ac:dyDescent="0.25">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c r="BI69" s="69"/>
      <c r="BJ69" s="69"/>
      <c r="BK69" s="69"/>
      <c r="BL69" s="69"/>
      <c r="BM69" s="69"/>
      <c r="BN69" s="69"/>
      <c r="BO69" s="69"/>
      <c r="BP69" s="69"/>
      <c r="BQ69" s="69"/>
      <c r="BR69" s="69"/>
      <c r="BS69" s="69"/>
      <c r="BT69" s="69"/>
      <c r="BU69" s="69"/>
      <c r="BV69" s="69"/>
      <c r="BW69" s="69"/>
      <c r="BX69" s="69"/>
      <c r="BY69" s="69"/>
      <c r="BZ69" s="69"/>
      <c r="CA69" s="69"/>
      <c r="CB69" s="69"/>
    </row>
    <row r="70" spans="1:80" x14ac:dyDescent="0.25">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c r="BI70" s="69"/>
      <c r="BJ70" s="69"/>
      <c r="BK70" s="69"/>
      <c r="BL70" s="69"/>
      <c r="BM70" s="69"/>
      <c r="BN70" s="69"/>
      <c r="BO70" s="69"/>
      <c r="BP70" s="69"/>
      <c r="BQ70" s="69"/>
      <c r="BR70" s="69"/>
      <c r="BS70" s="69"/>
      <c r="BT70" s="69"/>
      <c r="BU70" s="69"/>
      <c r="BV70" s="69"/>
      <c r="BW70" s="69"/>
      <c r="BX70" s="69"/>
      <c r="BY70" s="69"/>
      <c r="BZ70" s="69"/>
      <c r="CA70" s="69"/>
      <c r="CB70" s="69"/>
    </row>
    <row r="71" spans="1:80" x14ac:dyDescent="0.25">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c r="BH71" s="69"/>
      <c r="BI71" s="69"/>
      <c r="BJ71" s="69"/>
      <c r="BK71" s="69"/>
      <c r="BL71" s="69"/>
      <c r="BM71" s="69"/>
      <c r="BN71" s="69"/>
      <c r="BO71" s="69"/>
      <c r="BP71" s="69"/>
      <c r="BQ71" s="69"/>
      <c r="BR71" s="69"/>
      <c r="BS71" s="69"/>
      <c r="BT71" s="69"/>
      <c r="BU71" s="69"/>
      <c r="BV71" s="69"/>
      <c r="BW71" s="69"/>
      <c r="BX71" s="69"/>
      <c r="BY71" s="69"/>
      <c r="BZ71" s="69"/>
      <c r="CA71" s="69"/>
      <c r="CB71" s="69"/>
    </row>
    <row r="72" spans="1:80" x14ac:dyDescent="0.25">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69"/>
      <c r="BI72" s="69"/>
      <c r="BJ72" s="69"/>
      <c r="BK72" s="69"/>
      <c r="BL72" s="69"/>
      <c r="BM72" s="69"/>
      <c r="BN72" s="69"/>
      <c r="BO72" s="69"/>
      <c r="BP72" s="69"/>
      <c r="BQ72" s="69"/>
      <c r="BR72" s="69"/>
      <c r="BS72" s="69"/>
      <c r="BT72" s="69"/>
      <c r="BU72" s="69"/>
      <c r="BV72" s="69"/>
      <c r="BW72" s="69"/>
      <c r="BX72" s="69"/>
      <c r="BY72" s="69"/>
      <c r="BZ72" s="69"/>
      <c r="CA72" s="69"/>
      <c r="CB72" s="69"/>
    </row>
    <row r="73" spans="1:80" x14ac:dyDescent="0.25">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c r="BI73" s="69"/>
      <c r="BJ73" s="69"/>
      <c r="BK73" s="69"/>
      <c r="BL73" s="69"/>
      <c r="BM73" s="69"/>
      <c r="BN73" s="69"/>
      <c r="BO73" s="69"/>
      <c r="BP73" s="69"/>
      <c r="BQ73" s="69"/>
      <c r="BR73" s="69"/>
      <c r="BS73" s="69"/>
      <c r="BT73" s="69"/>
      <c r="BU73" s="69"/>
      <c r="BV73" s="69"/>
      <c r="BW73" s="69"/>
      <c r="BX73" s="69"/>
      <c r="BY73" s="69"/>
      <c r="BZ73" s="69"/>
      <c r="CA73" s="69"/>
      <c r="CB73" s="69"/>
    </row>
    <row r="74" spans="1:80" x14ac:dyDescent="0.25">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c r="BI74" s="69"/>
      <c r="BJ74" s="69"/>
      <c r="BK74" s="69"/>
      <c r="BL74" s="69"/>
      <c r="BM74" s="69"/>
      <c r="BN74" s="69"/>
      <c r="BO74" s="69"/>
      <c r="BP74" s="69"/>
      <c r="BQ74" s="69"/>
      <c r="BR74" s="69"/>
      <c r="BS74" s="69"/>
      <c r="BT74" s="69"/>
      <c r="BU74" s="69"/>
      <c r="BV74" s="69"/>
      <c r="BW74" s="69"/>
      <c r="BX74" s="69"/>
      <c r="BY74" s="69"/>
      <c r="BZ74" s="69"/>
      <c r="CA74" s="69"/>
      <c r="CB74" s="69"/>
    </row>
    <row r="75" spans="1:80" x14ac:dyDescent="0.2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c r="BH75" s="69"/>
      <c r="BI75" s="69"/>
      <c r="BJ75" s="69"/>
      <c r="BK75" s="69"/>
      <c r="BL75" s="69"/>
      <c r="BM75" s="69"/>
      <c r="BN75" s="69"/>
      <c r="BO75" s="69"/>
      <c r="BP75" s="69"/>
      <c r="BQ75" s="69"/>
      <c r="BR75" s="69"/>
      <c r="BS75" s="69"/>
      <c r="BT75" s="69"/>
      <c r="BU75" s="69"/>
      <c r="BV75" s="69"/>
      <c r="BW75" s="69"/>
      <c r="BX75" s="69"/>
      <c r="BY75" s="69"/>
      <c r="BZ75" s="69"/>
      <c r="CA75" s="69"/>
      <c r="CB75" s="69"/>
    </row>
    <row r="76" spans="1:80" x14ac:dyDescent="0.25">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c r="BC76" s="69"/>
      <c r="BD76" s="69"/>
      <c r="BE76" s="69"/>
      <c r="BF76" s="69"/>
      <c r="BG76" s="69"/>
      <c r="BH76" s="69"/>
      <c r="BI76" s="69"/>
      <c r="BJ76" s="69"/>
      <c r="BK76" s="69"/>
      <c r="BL76" s="69"/>
      <c r="BM76" s="69"/>
      <c r="BN76" s="69"/>
      <c r="BO76" s="69"/>
      <c r="BP76" s="69"/>
      <c r="BQ76" s="69"/>
      <c r="BR76" s="69"/>
      <c r="BS76" s="69"/>
      <c r="BT76" s="69"/>
      <c r="BU76" s="69"/>
      <c r="BV76" s="69"/>
      <c r="BW76" s="69"/>
      <c r="BX76" s="69"/>
      <c r="BY76" s="69"/>
      <c r="BZ76" s="69"/>
      <c r="CA76" s="69"/>
      <c r="CB76" s="69"/>
    </row>
    <row r="77" spans="1:80" x14ac:dyDescent="0.25">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c r="AZ77" s="69"/>
      <c r="BA77" s="69"/>
      <c r="BB77" s="69"/>
      <c r="BC77" s="69"/>
      <c r="BD77" s="69"/>
      <c r="BE77" s="69"/>
      <c r="BF77" s="69"/>
      <c r="BG77" s="69"/>
      <c r="BH77" s="69"/>
      <c r="BI77" s="69"/>
      <c r="BJ77" s="69"/>
      <c r="BK77" s="69"/>
      <c r="BL77" s="69"/>
      <c r="BM77" s="69"/>
      <c r="BN77" s="69"/>
      <c r="BO77" s="69"/>
      <c r="BP77" s="69"/>
      <c r="BQ77" s="69"/>
      <c r="BR77" s="69"/>
      <c r="BS77" s="69"/>
      <c r="BT77" s="69"/>
      <c r="BU77" s="69"/>
      <c r="BV77" s="69"/>
      <c r="BW77" s="69"/>
      <c r="BX77" s="69"/>
      <c r="BY77" s="69"/>
      <c r="BZ77" s="69"/>
      <c r="CA77" s="69"/>
      <c r="CB77" s="69"/>
    </row>
    <row r="78" spans="1:80" x14ac:dyDescent="0.25">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c r="BB78" s="69"/>
      <c r="BC78" s="69"/>
      <c r="BD78" s="69"/>
      <c r="BE78" s="69"/>
      <c r="BF78" s="69"/>
      <c r="BG78" s="69"/>
      <c r="BH78" s="69"/>
      <c r="BI78" s="69"/>
      <c r="BJ78" s="69"/>
      <c r="BK78" s="69"/>
      <c r="BL78" s="69"/>
      <c r="BM78" s="69"/>
      <c r="BN78" s="69"/>
      <c r="BO78" s="69"/>
      <c r="BP78" s="69"/>
      <c r="BQ78" s="69"/>
      <c r="BR78" s="69"/>
      <c r="BS78" s="69"/>
      <c r="BT78" s="69"/>
      <c r="BU78" s="69"/>
      <c r="BV78" s="69"/>
      <c r="BW78" s="69"/>
      <c r="BX78" s="69"/>
      <c r="BY78" s="69"/>
      <c r="BZ78" s="69"/>
      <c r="CA78" s="69"/>
      <c r="CB78" s="69"/>
    </row>
    <row r="79" spans="1:80" x14ac:dyDescent="0.25">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c r="BB79" s="69"/>
      <c r="BC79" s="69"/>
      <c r="BD79" s="69"/>
      <c r="BE79" s="69"/>
      <c r="BF79" s="69"/>
      <c r="BG79" s="69"/>
      <c r="BH79" s="69"/>
      <c r="BI79" s="69"/>
      <c r="BJ79" s="69"/>
      <c r="BK79" s="69"/>
    </row>
    <row r="80" spans="1:80" x14ac:dyDescent="0.25">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69"/>
      <c r="BB80" s="69"/>
      <c r="BC80" s="69"/>
      <c r="BD80" s="69"/>
      <c r="BE80" s="69"/>
      <c r="BF80" s="69"/>
      <c r="BG80" s="69"/>
      <c r="BH80" s="69"/>
      <c r="BI80" s="69"/>
      <c r="BJ80" s="69"/>
      <c r="BK80" s="69"/>
    </row>
    <row r="81" spans="1:63" x14ac:dyDescent="0.25">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69"/>
      <c r="BB81" s="69"/>
      <c r="BC81" s="69"/>
      <c r="BD81" s="69"/>
      <c r="BE81" s="69"/>
      <c r="BF81" s="69"/>
      <c r="BG81" s="69"/>
      <c r="BH81" s="69"/>
      <c r="BI81" s="69"/>
      <c r="BJ81" s="69"/>
      <c r="BK81" s="69"/>
    </row>
    <row r="82" spans="1:63" x14ac:dyDescent="0.25">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69"/>
      <c r="BA82" s="69"/>
      <c r="BB82" s="69"/>
      <c r="BC82" s="69"/>
      <c r="BD82" s="69"/>
      <c r="BE82" s="69"/>
      <c r="BF82" s="69"/>
      <c r="BG82" s="69"/>
      <c r="BH82" s="69"/>
      <c r="BI82" s="69"/>
      <c r="BJ82" s="69"/>
      <c r="BK82" s="69"/>
    </row>
    <row r="83" spans="1:63" x14ac:dyDescent="0.25">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c r="AZ83" s="69"/>
      <c r="BA83" s="69"/>
      <c r="BB83" s="69"/>
      <c r="BC83" s="69"/>
      <c r="BD83" s="69"/>
      <c r="BE83" s="69"/>
      <c r="BF83" s="69"/>
      <c r="BG83" s="69"/>
      <c r="BH83" s="69"/>
      <c r="BI83" s="69"/>
      <c r="BJ83" s="69"/>
      <c r="BK83" s="69"/>
    </row>
    <row r="84" spans="1:63" x14ac:dyDescent="0.25">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c r="AZ84" s="69"/>
      <c r="BA84" s="69"/>
      <c r="BB84" s="69"/>
      <c r="BC84" s="69"/>
      <c r="BD84" s="69"/>
      <c r="BE84" s="69"/>
      <c r="BF84" s="69"/>
      <c r="BG84" s="69"/>
      <c r="BH84" s="69"/>
      <c r="BI84" s="69"/>
      <c r="BJ84" s="69"/>
      <c r="BK84" s="69"/>
    </row>
    <row r="85" spans="1:63" x14ac:dyDescent="0.2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c r="BA85" s="69"/>
      <c r="BB85" s="69"/>
      <c r="BC85" s="69"/>
      <c r="BD85" s="69"/>
      <c r="BE85" s="69"/>
      <c r="BF85" s="69"/>
      <c r="BG85" s="69"/>
      <c r="BH85" s="69"/>
      <c r="BI85" s="69"/>
      <c r="BJ85" s="69"/>
      <c r="BK85" s="69"/>
    </row>
    <row r="86" spans="1:63" x14ac:dyDescent="0.25">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c r="BC86" s="69"/>
      <c r="BD86" s="69"/>
      <c r="BE86" s="69"/>
      <c r="BF86" s="69"/>
      <c r="BG86" s="69"/>
      <c r="BH86" s="69"/>
      <c r="BI86" s="69"/>
      <c r="BJ86" s="69"/>
      <c r="BK86" s="69"/>
    </row>
    <row r="87" spans="1:63" x14ac:dyDescent="0.25">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69"/>
      <c r="BF87" s="69"/>
      <c r="BG87" s="69"/>
      <c r="BH87" s="69"/>
      <c r="BI87" s="69"/>
      <c r="BJ87" s="69"/>
      <c r="BK87" s="69"/>
    </row>
    <row r="88" spans="1:63" x14ac:dyDescent="0.25">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c r="BI88" s="69"/>
      <c r="BJ88" s="69"/>
      <c r="BK88" s="69"/>
    </row>
    <row r="89" spans="1:63" x14ac:dyDescent="0.25">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c r="BB89" s="69"/>
      <c r="BC89" s="69"/>
      <c r="BD89" s="69"/>
      <c r="BE89" s="69"/>
      <c r="BF89" s="69"/>
      <c r="BG89" s="69"/>
      <c r="BH89" s="69"/>
      <c r="BI89" s="69"/>
      <c r="BJ89" s="69"/>
      <c r="BK89" s="69"/>
    </row>
    <row r="90" spans="1:63" x14ac:dyDescent="0.25">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c r="BC90" s="69"/>
      <c r="BD90" s="69"/>
      <c r="BE90" s="69"/>
      <c r="BF90" s="69"/>
      <c r="BG90" s="69"/>
      <c r="BH90" s="69"/>
      <c r="BI90" s="69"/>
      <c r="BJ90" s="69"/>
      <c r="BK90" s="69"/>
    </row>
    <row r="91" spans="1:63" x14ac:dyDescent="0.25">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c r="BC91" s="69"/>
      <c r="BD91" s="69"/>
      <c r="BE91" s="69"/>
      <c r="BF91" s="69"/>
      <c r="BG91" s="69"/>
      <c r="BH91" s="69"/>
      <c r="BI91" s="69"/>
      <c r="BJ91" s="69"/>
      <c r="BK91" s="69"/>
    </row>
    <row r="92" spans="1:63" x14ac:dyDescent="0.25">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69"/>
      <c r="BB92" s="69"/>
      <c r="BC92" s="69"/>
      <c r="BD92" s="69"/>
      <c r="BE92" s="69"/>
      <c r="BF92" s="69"/>
      <c r="BG92" s="69"/>
      <c r="BH92" s="69"/>
      <c r="BI92" s="69"/>
      <c r="BJ92" s="69"/>
      <c r="BK92" s="69"/>
    </row>
    <row r="93" spans="1:63" x14ac:dyDescent="0.25">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c r="AZ93" s="69"/>
      <c r="BA93" s="69"/>
      <c r="BB93" s="69"/>
      <c r="BC93" s="69"/>
      <c r="BD93" s="69"/>
      <c r="BE93" s="69"/>
      <c r="BF93" s="69"/>
      <c r="BG93" s="69"/>
      <c r="BH93" s="69"/>
      <c r="BI93" s="69"/>
      <c r="BJ93" s="69"/>
      <c r="BK93" s="69"/>
    </row>
    <row r="94" spans="1:63" x14ac:dyDescent="0.25">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c r="BA94" s="69"/>
      <c r="BB94" s="69"/>
      <c r="BC94" s="69"/>
      <c r="BD94" s="69"/>
      <c r="BE94" s="69"/>
      <c r="BF94" s="69"/>
      <c r="BG94" s="69"/>
      <c r="BH94" s="69"/>
      <c r="BI94" s="69"/>
      <c r="BJ94" s="69"/>
      <c r="BK94" s="69"/>
    </row>
    <row r="95" spans="1:63" x14ac:dyDescent="0.2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c r="BC95" s="69"/>
      <c r="BD95" s="69"/>
      <c r="BE95" s="69"/>
      <c r="BF95" s="69"/>
      <c r="BG95" s="69"/>
      <c r="BH95" s="69"/>
      <c r="BI95" s="69"/>
      <c r="BJ95" s="69"/>
      <c r="BK95" s="69"/>
    </row>
    <row r="96" spans="1:63" x14ac:dyDescent="0.25">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c r="BC96" s="69"/>
      <c r="BD96" s="69"/>
      <c r="BE96" s="69"/>
      <c r="BF96" s="69"/>
      <c r="BG96" s="69"/>
      <c r="BH96" s="69"/>
      <c r="BI96" s="69"/>
      <c r="BJ96" s="69"/>
      <c r="BK96" s="69"/>
    </row>
    <row r="97" spans="1:63" x14ac:dyDescent="0.25">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c r="BA97" s="69"/>
      <c r="BB97" s="69"/>
      <c r="BC97" s="69"/>
      <c r="BD97" s="69"/>
      <c r="BE97" s="69"/>
      <c r="BF97" s="69"/>
      <c r="BG97" s="69"/>
      <c r="BH97" s="69"/>
      <c r="BI97" s="69"/>
      <c r="BJ97" s="69"/>
      <c r="BK97" s="69"/>
    </row>
    <row r="98" spans="1:63" x14ac:dyDescent="0.25">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69"/>
      <c r="BB98" s="69"/>
      <c r="BC98" s="69"/>
      <c r="BD98" s="69"/>
      <c r="BE98" s="69"/>
      <c r="BF98" s="69"/>
      <c r="BG98" s="69"/>
      <c r="BH98" s="69"/>
      <c r="BI98" s="69"/>
      <c r="BJ98" s="69"/>
      <c r="BK98" s="69"/>
    </row>
    <row r="99" spans="1:63" x14ac:dyDescent="0.25">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c r="AZ99" s="69"/>
      <c r="BA99" s="69"/>
      <c r="BB99" s="69"/>
      <c r="BC99" s="69"/>
      <c r="BD99" s="69"/>
      <c r="BE99" s="69"/>
      <c r="BF99" s="69"/>
      <c r="BG99" s="69"/>
      <c r="BH99" s="69"/>
      <c r="BI99" s="69"/>
      <c r="BJ99" s="69"/>
      <c r="BK99" s="69"/>
    </row>
    <row r="100" spans="1:63" x14ac:dyDescent="0.25">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69"/>
      <c r="BB100" s="69"/>
      <c r="BC100" s="69"/>
      <c r="BD100" s="69"/>
      <c r="BE100" s="69"/>
      <c r="BF100" s="69"/>
      <c r="BG100" s="69"/>
      <c r="BH100" s="69"/>
      <c r="BI100" s="69"/>
      <c r="BJ100" s="69"/>
      <c r="BK100" s="69"/>
    </row>
    <row r="101" spans="1:63" x14ac:dyDescent="0.25">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c r="BC101" s="69"/>
      <c r="BD101" s="69"/>
      <c r="BE101" s="69"/>
      <c r="BF101" s="69"/>
      <c r="BG101" s="69"/>
      <c r="BH101" s="69"/>
      <c r="BI101" s="69"/>
      <c r="BJ101" s="69"/>
      <c r="BK101" s="69"/>
    </row>
    <row r="102" spans="1:63" x14ac:dyDescent="0.25">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69"/>
      <c r="BF102" s="69"/>
      <c r="BG102" s="69"/>
      <c r="BH102" s="69"/>
      <c r="BI102" s="69"/>
      <c r="BJ102" s="69"/>
      <c r="BK102" s="69"/>
    </row>
    <row r="103" spans="1:63" x14ac:dyDescent="0.25">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69"/>
      <c r="BF103" s="69"/>
      <c r="BG103" s="69"/>
      <c r="BH103" s="69"/>
      <c r="BI103" s="69"/>
      <c r="BJ103" s="69"/>
      <c r="BK103" s="69"/>
    </row>
    <row r="104" spans="1:63" x14ac:dyDescent="0.25">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c r="BC104" s="69"/>
      <c r="BD104" s="69"/>
      <c r="BE104" s="69"/>
      <c r="BF104" s="69"/>
      <c r="BG104" s="69"/>
      <c r="BH104" s="69"/>
      <c r="BI104" s="69"/>
      <c r="BJ104" s="69"/>
      <c r="BK104" s="69"/>
    </row>
    <row r="105" spans="1:63" x14ac:dyDescent="0.2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c r="BB105" s="69"/>
      <c r="BC105" s="69"/>
      <c r="BD105" s="69"/>
      <c r="BE105" s="69"/>
      <c r="BF105" s="69"/>
      <c r="BG105" s="69"/>
      <c r="BH105" s="69"/>
      <c r="BI105" s="69"/>
      <c r="BJ105" s="69"/>
      <c r="BK105" s="69"/>
    </row>
    <row r="106" spans="1:63" x14ac:dyDescent="0.25">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c r="BA106" s="69"/>
      <c r="BB106" s="69"/>
      <c r="BC106" s="69"/>
      <c r="BD106" s="69"/>
      <c r="BE106" s="69"/>
      <c r="BF106" s="69"/>
      <c r="BG106" s="69"/>
      <c r="BH106" s="69"/>
      <c r="BI106" s="69"/>
      <c r="BJ106" s="69"/>
      <c r="BK106" s="69"/>
    </row>
    <row r="107" spans="1:63" x14ac:dyDescent="0.25">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c r="BA107" s="69"/>
      <c r="BB107" s="69"/>
      <c r="BC107" s="69"/>
      <c r="BD107" s="69"/>
      <c r="BE107" s="69"/>
      <c r="BF107" s="69"/>
      <c r="BG107" s="69"/>
      <c r="BH107" s="69"/>
      <c r="BI107" s="69"/>
      <c r="BJ107" s="69"/>
      <c r="BK107" s="69"/>
    </row>
    <row r="108" spans="1:63" x14ac:dyDescent="0.25">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c r="BB108" s="69"/>
      <c r="BC108" s="69"/>
      <c r="BD108" s="69"/>
      <c r="BE108" s="69"/>
      <c r="BF108" s="69"/>
      <c r="BG108" s="69"/>
      <c r="BH108" s="69"/>
      <c r="BI108" s="69"/>
      <c r="BJ108" s="69"/>
      <c r="BK108" s="69"/>
    </row>
    <row r="109" spans="1:63" x14ac:dyDescent="0.25">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69"/>
      <c r="BA109" s="69"/>
      <c r="BB109" s="69"/>
      <c r="BC109" s="69"/>
      <c r="BD109" s="69"/>
      <c r="BE109" s="69"/>
      <c r="BF109" s="69"/>
      <c r="BG109" s="69"/>
      <c r="BH109" s="69"/>
      <c r="BI109" s="69"/>
      <c r="BJ109" s="69"/>
      <c r="BK109" s="69"/>
    </row>
    <row r="110" spans="1:63" x14ac:dyDescent="0.25">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c r="BI110" s="69"/>
      <c r="BJ110" s="69"/>
      <c r="BK110" s="69"/>
    </row>
    <row r="111" spans="1:63" x14ac:dyDescent="0.25">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c r="BI111" s="69"/>
      <c r="BJ111" s="69"/>
      <c r="BK111" s="69"/>
    </row>
    <row r="112" spans="1:63" x14ac:dyDescent="0.25">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c r="AZ112" s="69"/>
      <c r="BA112" s="69"/>
      <c r="BB112" s="69"/>
      <c r="BC112" s="69"/>
      <c r="BD112" s="69"/>
      <c r="BE112" s="69"/>
      <c r="BF112" s="69"/>
      <c r="BG112" s="69"/>
      <c r="BH112" s="69"/>
      <c r="BI112" s="69"/>
      <c r="BJ112" s="69"/>
      <c r="BK112" s="69"/>
    </row>
    <row r="113" spans="1:63" x14ac:dyDescent="0.25">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c r="AZ113" s="69"/>
      <c r="BA113" s="69"/>
      <c r="BB113" s="69"/>
      <c r="BC113" s="69"/>
      <c r="BD113" s="69"/>
      <c r="BE113" s="69"/>
      <c r="BF113" s="69"/>
      <c r="BG113" s="69"/>
      <c r="BH113" s="69"/>
      <c r="BI113" s="69"/>
      <c r="BJ113" s="69"/>
      <c r="BK113" s="69"/>
    </row>
    <row r="114" spans="1:63" x14ac:dyDescent="0.25">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69"/>
      <c r="BA114" s="69"/>
      <c r="BB114" s="69"/>
      <c r="BC114" s="69"/>
      <c r="BD114" s="69"/>
      <c r="BE114" s="69"/>
      <c r="BF114" s="69"/>
      <c r="BG114" s="69"/>
      <c r="BH114" s="69"/>
      <c r="BI114" s="69"/>
      <c r="BJ114" s="69"/>
      <c r="BK114" s="69"/>
    </row>
    <row r="115" spans="1:63" x14ac:dyDescent="0.2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c r="AZ115" s="69"/>
      <c r="BA115" s="69"/>
      <c r="BB115" s="69"/>
      <c r="BC115" s="69"/>
      <c r="BD115" s="69"/>
      <c r="BE115" s="69"/>
      <c r="BF115" s="69"/>
      <c r="BG115" s="69"/>
      <c r="BH115" s="69"/>
      <c r="BI115" s="69"/>
      <c r="BJ115" s="69"/>
      <c r="BK115" s="69"/>
    </row>
    <row r="116" spans="1:63" x14ac:dyDescent="0.25">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c r="BA116" s="69"/>
      <c r="BB116" s="69"/>
      <c r="BC116" s="69"/>
      <c r="BD116" s="69"/>
      <c r="BE116" s="69"/>
      <c r="BF116" s="69"/>
      <c r="BG116" s="69"/>
      <c r="BH116" s="69"/>
      <c r="BI116" s="69"/>
      <c r="BJ116" s="69"/>
      <c r="BK116" s="69"/>
    </row>
    <row r="117" spans="1:63" x14ac:dyDescent="0.25">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c r="AZ117" s="69"/>
      <c r="BA117" s="69"/>
      <c r="BB117" s="69"/>
      <c r="BC117" s="69"/>
      <c r="BD117" s="69"/>
      <c r="BE117" s="69"/>
      <c r="BF117" s="69"/>
      <c r="BG117" s="69"/>
      <c r="BH117" s="69"/>
      <c r="BI117" s="69"/>
      <c r="BJ117" s="69"/>
      <c r="BK117" s="69"/>
    </row>
    <row r="118" spans="1:63" x14ac:dyDescent="0.25">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9"/>
      <c r="AY118" s="69"/>
      <c r="AZ118" s="69"/>
      <c r="BA118" s="69"/>
      <c r="BB118" s="69"/>
      <c r="BC118" s="69"/>
      <c r="BD118" s="69"/>
      <c r="BE118" s="69"/>
      <c r="BF118" s="69"/>
      <c r="BG118" s="69"/>
      <c r="BH118" s="69"/>
      <c r="BI118" s="69"/>
      <c r="BJ118" s="69"/>
      <c r="BK118" s="69"/>
    </row>
    <row r="119" spans="1:63" x14ac:dyDescent="0.25">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69"/>
      <c r="BA119" s="69"/>
      <c r="BB119" s="69"/>
      <c r="BC119" s="69"/>
      <c r="BD119" s="69"/>
      <c r="BE119" s="69"/>
      <c r="BF119" s="69"/>
      <c r="BG119" s="69"/>
      <c r="BH119" s="69"/>
      <c r="BI119" s="69"/>
      <c r="BJ119" s="69"/>
      <c r="BK119" s="69"/>
    </row>
    <row r="120" spans="1:63" x14ac:dyDescent="0.25">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c r="BA120" s="69"/>
      <c r="BB120" s="69"/>
      <c r="BC120" s="69"/>
      <c r="BD120" s="69"/>
      <c r="BE120" s="69"/>
      <c r="BF120" s="69"/>
      <c r="BG120" s="69"/>
      <c r="BH120" s="69"/>
      <c r="BI120" s="69"/>
      <c r="BJ120" s="69"/>
      <c r="BK120" s="69"/>
    </row>
    <row r="121" spans="1:63" x14ac:dyDescent="0.25">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c r="BC121" s="69"/>
      <c r="BD121" s="69"/>
      <c r="BE121" s="69"/>
      <c r="BF121" s="69"/>
      <c r="BG121" s="69"/>
      <c r="BH121" s="69"/>
      <c r="BI121" s="69"/>
      <c r="BJ121" s="69"/>
      <c r="BK121" s="69"/>
    </row>
    <row r="122" spans="1:63" x14ac:dyDescent="0.25">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c r="AZ122" s="69"/>
      <c r="BA122" s="69"/>
      <c r="BB122" s="69"/>
      <c r="BC122" s="69"/>
      <c r="BD122" s="69"/>
      <c r="BE122" s="69"/>
      <c r="BF122" s="69"/>
      <c r="BG122" s="69"/>
      <c r="BH122" s="69"/>
      <c r="BI122" s="69"/>
      <c r="BJ122" s="69"/>
      <c r="BK122" s="69"/>
    </row>
    <row r="123" spans="1:63" x14ac:dyDescent="0.25">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9"/>
      <c r="AY123" s="69"/>
      <c r="AZ123" s="69"/>
      <c r="BA123" s="69"/>
      <c r="BB123" s="69"/>
      <c r="BC123" s="69"/>
      <c r="BD123" s="69"/>
      <c r="BE123" s="69"/>
      <c r="BF123" s="69"/>
      <c r="BG123" s="69"/>
      <c r="BH123" s="69"/>
      <c r="BI123" s="69"/>
      <c r="BJ123" s="69"/>
      <c r="BK123" s="69"/>
    </row>
    <row r="124" spans="1:63" x14ac:dyDescent="0.25">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9"/>
      <c r="AY124" s="69"/>
      <c r="AZ124" s="69"/>
      <c r="BA124" s="69"/>
      <c r="BB124" s="69"/>
      <c r="BC124" s="69"/>
      <c r="BD124" s="69"/>
      <c r="BE124" s="69"/>
      <c r="BF124" s="69"/>
      <c r="BG124" s="69"/>
      <c r="BH124" s="69"/>
      <c r="BI124" s="69"/>
      <c r="BJ124" s="69"/>
      <c r="BK124" s="69"/>
    </row>
    <row r="125" spans="1:63" x14ac:dyDescent="0.25">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69"/>
      <c r="BA125" s="69"/>
      <c r="BB125" s="69"/>
      <c r="BC125" s="69"/>
      <c r="BD125" s="69"/>
      <c r="BE125" s="69"/>
      <c r="BF125" s="69"/>
      <c r="BG125" s="69"/>
      <c r="BH125" s="69"/>
      <c r="BI125" s="69"/>
      <c r="BJ125" s="69"/>
      <c r="BK125" s="69"/>
    </row>
    <row r="126" spans="1:63" x14ac:dyDescent="0.25">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c r="BA126" s="69"/>
      <c r="BB126" s="69"/>
      <c r="BC126" s="69"/>
      <c r="BD126" s="69"/>
      <c r="BE126" s="69"/>
      <c r="BF126" s="69"/>
      <c r="BG126" s="69"/>
      <c r="BH126" s="69"/>
      <c r="BI126" s="69"/>
      <c r="BJ126" s="69"/>
      <c r="BK126" s="69"/>
    </row>
    <row r="127" spans="1:63" x14ac:dyDescent="0.25">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9"/>
      <c r="AY127" s="69"/>
      <c r="AZ127" s="69"/>
      <c r="BA127" s="69"/>
      <c r="BB127" s="69"/>
      <c r="BC127" s="69"/>
      <c r="BD127" s="69"/>
      <c r="BE127" s="69"/>
      <c r="BF127" s="69"/>
      <c r="BG127" s="69"/>
      <c r="BH127" s="69"/>
      <c r="BI127" s="69"/>
      <c r="BJ127" s="69"/>
      <c r="BK127" s="69"/>
    </row>
    <row r="128" spans="1:63" x14ac:dyDescent="0.25">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9"/>
      <c r="AY128" s="69"/>
      <c r="AZ128" s="69"/>
      <c r="BA128" s="69"/>
      <c r="BB128" s="69"/>
      <c r="BC128" s="69"/>
      <c r="BD128" s="69"/>
      <c r="BE128" s="69"/>
      <c r="BF128" s="69"/>
      <c r="BG128" s="69"/>
      <c r="BH128" s="69"/>
      <c r="BI128" s="69"/>
      <c r="BJ128" s="69"/>
      <c r="BK128" s="69"/>
    </row>
    <row r="129" spans="2:63" x14ac:dyDescent="0.25">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9"/>
      <c r="AY129" s="69"/>
      <c r="AZ129" s="69"/>
      <c r="BA129" s="69"/>
      <c r="BB129" s="69"/>
      <c r="BC129" s="69"/>
      <c r="BD129" s="69"/>
      <c r="BE129" s="69"/>
      <c r="BF129" s="69"/>
      <c r="BG129" s="69"/>
      <c r="BH129" s="69"/>
      <c r="BI129" s="69"/>
      <c r="BJ129" s="69"/>
      <c r="BK129" s="69"/>
    </row>
    <row r="130" spans="2:63" x14ac:dyDescent="0.25">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9"/>
      <c r="AY130" s="69"/>
      <c r="AZ130" s="69"/>
      <c r="BA130" s="69"/>
      <c r="BB130" s="69"/>
      <c r="BC130" s="69"/>
      <c r="BD130" s="69"/>
      <c r="BE130" s="69"/>
      <c r="BF130" s="69"/>
      <c r="BG130" s="69"/>
      <c r="BH130" s="69"/>
      <c r="BI130" s="69"/>
      <c r="BJ130" s="69"/>
      <c r="BK130" s="69"/>
    </row>
    <row r="131" spans="2:63" x14ac:dyDescent="0.25">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9"/>
      <c r="AY131" s="69"/>
      <c r="AZ131" s="69"/>
      <c r="BA131" s="69"/>
      <c r="BB131" s="69"/>
      <c r="BC131" s="69"/>
      <c r="BD131" s="69"/>
      <c r="BE131" s="69"/>
      <c r="BF131" s="69"/>
      <c r="BG131" s="69"/>
      <c r="BH131" s="69"/>
      <c r="BI131" s="69"/>
      <c r="BJ131" s="69"/>
      <c r="BK131" s="69"/>
    </row>
    <row r="132" spans="2:63" x14ac:dyDescent="0.25">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9"/>
      <c r="AY132" s="69"/>
      <c r="AZ132" s="69"/>
      <c r="BA132" s="69"/>
      <c r="BB132" s="69"/>
      <c r="BC132" s="69"/>
      <c r="BD132" s="69"/>
      <c r="BE132" s="69"/>
      <c r="BF132" s="69"/>
      <c r="BG132" s="69"/>
      <c r="BH132" s="69"/>
      <c r="BI132" s="69"/>
      <c r="BJ132" s="69"/>
      <c r="BK132" s="69"/>
    </row>
    <row r="133" spans="2:63" x14ac:dyDescent="0.25">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9"/>
      <c r="AY133" s="69"/>
      <c r="AZ133" s="69"/>
      <c r="BA133" s="69"/>
      <c r="BB133" s="69"/>
      <c r="BC133" s="69"/>
      <c r="BD133" s="69"/>
      <c r="BE133" s="69"/>
      <c r="BF133" s="69"/>
      <c r="BG133" s="69"/>
      <c r="BH133" s="69"/>
      <c r="BI133" s="69"/>
      <c r="BJ133" s="69"/>
      <c r="BK133" s="69"/>
    </row>
    <row r="134" spans="2:63" x14ac:dyDescent="0.25">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c r="BB134" s="69"/>
      <c r="BC134" s="69"/>
      <c r="BD134" s="69"/>
      <c r="BE134" s="69"/>
      <c r="BF134" s="69"/>
      <c r="BG134" s="69"/>
      <c r="BH134" s="69"/>
      <c r="BI134" s="69"/>
      <c r="BJ134" s="69"/>
      <c r="BK134" s="69"/>
    </row>
    <row r="135" spans="2:63" x14ac:dyDescent="0.25">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9"/>
      <c r="AY135" s="69"/>
      <c r="AZ135" s="69"/>
      <c r="BA135" s="69"/>
      <c r="BB135" s="69"/>
      <c r="BC135" s="69"/>
      <c r="BD135" s="69"/>
      <c r="BE135" s="69"/>
      <c r="BF135" s="69"/>
      <c r="BG135" s="69"/>
      <c r="BH135" s="69"/>
      <c r="BI135" s="69"/>
      <c r="BJ135" s="69"/>
      <c r="BK135" s="69"/>
    </row>
    <row r="136" spans="2:63" x14ac:dyDescent="0.25">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c r="BA136" s="69"/>
      <c r="BB136" s="69"/>
      <c r="BC136" s="69"/>
      <c r="BD136" s="69"/>
      <c r="BE136" s="69"/>
      <c r="BF136" s="69"/>
      <c r="BG136" s="69"/>
      <c r="BH136" s="69"/>
      <c r="BI136" s="69"/>
      <c r="BJ136" s="69"/>
      <c r="BK136" s="69"/>
    </row>
    <row r="137" spans="2:63" x14ac:dyDescent="0.25">
      <c r="B137" s="69"/>
      <c r="C137" s="69"/>
      <c r="D137" s="69"/>
      <c r="E137" s="69"/>
      <c r="F137" s="69"/>
      <c r="G137" s="69"/>
      <c r="H137" s="69"/>
      <c r="I137" s="69"/>
    </row>
    <row r="138" spans="2:63" x14ac:dyDescent="0.25">
      <c r="B138" s="69"/>
      <c r="C138" s="69"/>
      <c r="D138" s="69"/>
      <c r="E138" s="69"/>
      <c r="F138" s="69"/>
      <c r="G138" s="69"/>
      <c r="H138" s="69"/>
      <c r="I138" s="69"/>
    </row>
    <row r="139" spans="2:63" x14ac:dyDescent="0.25">
      <c r="B139" s="69"/>
      <c r="C139" s="69"/>
      <c r="D139" s="69"/>
      <c r="E139" s="69"/>
      <c r="F139" s="69"/>
      <c r="G139" s="69"/>
      <c r="H139" s="69"/>
      <c r="I139" s="69"/>
    </row>
    <row r="140" spans="2:63" x14ac:dyDescent="0.25">
      <c r="B140" s="69"/>
      <c r="C140" s="69"/>
      <c r="D140" s="69"/>
      <c r="E140" s="69"/>
      <c r="F140" s="69"/>
      <c r="G140" s="69"/>
      <c r="H140" s="69"/>
      <c r="I140" s="69"/>
    </row>
  </sheetData>
  <mergeCells count="317">
    <mergeCell ref="B2:I4"/>
    <mergeCell ref="P42:Q43"/>
    <mergeCell ref="R42:S43"/>
    <mergeCell ref="T42:U43"/>
    <mergeCell ref="P44:Q45"/>
    <mergeCell ref="R44:S45"/>
    <mergeCell ref="T44:U45"/>
    <mergeCell ref="P38:Q39"/>
    <mergeCell ref="R38:S39"/>
    <mergeCell ref="T38:U39"/>
    <mergeCell ref="P40:Q41"/>
    <mergeCell ref="R40:S41"/>
    <mergeCell ref="T40:U41"/>
    <mergeCell ref="J42:K43"/>
    <mergeCell ref="L42:M43"/>
    <mergeCell ref="N42:O43"/>
    <mergeCell ref="J44:K45"/>
    <mergeCell ref="L44:M45"/>
    <mergeCell ref="N44:O45"/>
    <mergeCell ref="J38:K39"/>
    <mergeCell ref="L38:M39"/>
    <mergeCell ref="N38:O39"/>
    <mergeCell ref="J40:K41"/>
    <mergeCell ref="L40:M41"/>
    <mergeCell ref="N40:O41"/>
    <mergeCell ref="J34:K35"/>
    <mergeCell ref="L34:M35"/>
    <mergeCell ref="N34:O35"/>
    <mergeCell ref="J36:K37"/>
    <mergeCell ref="L36:M37"/>
    <mergeCell ref="N36:O37"/>
    <mergeCell ref="J30:K31"/>
    <mergeCell ref="L30:M31"/>
    <mergeCell ref="N30:O31"/>
    <mergeCell ref="J32:K33"/>
    <mergeCell ref="L32:M33"/>
    <mergeCell ref="N32:O33"/>
    <mergeCell ref="V42:W43"/>
    <mergeCell ref="X42:Y43"/>
    <mergeCell ref="Z42:AA43"/>
    <mergeCell ref="V44:W45"/>
    <mergeCell ref="X44:Y45"/>
    <mergeCell ref="Z44:AA45"/>
    <mergeCell ref="V38:W39"/>
    <mergeCell ref="X38:Y39"/>
    <mergeCell ref="Z38:AA39"/>
    <mergeCell ref="V40:W41"/>
    <mergeCell ref="X40:Y41"/>
    <mergeCell ref="Z40:AA41"/>
    <mergeCell ref="P34:Q35"/>
    <mergeCell ref="R34:S35"/>
    <mergeCell ref="T34:U35"/>
    <mergeCell ref="P36:Q37"/>
    <mergeCell ref="R36:S37"/>
    <mergeCell ref="T36:U37"/>
    <mergeCell ref="P30:Q31"/>
    <mergeCell ref="R30:S31"/>
    <mergeCell ref="T30:U31"/>
    <mergeCell ref="P32:Q33"/>
    <mergeCell ref="R32:S33"/>
    <mergeCell ref="T32:U33"/>
    <mergeCell ref="V34:W35"/>
    <mergeCell ref="X34:Y35"/>
    <mergeCell ref="Z34:AA35"/>
    <mergeCell ref="V36:W37"/>
    <mergeCell ref="X36:Y37"/>
    <mergeCell ref="Z36:AA37"/>
    <mergeCell ref="V30:W31"/>
    <mergeCell ref="X30:Y31"/>
    <mergeCell ref="Z30:AA31"/>
    <mergeCell ref="V32:W33"/>
    <mergeCell ref="X32:Y33"/>
    <mergeCell ref="Z32:AA33"/>
    <mergeCell ref="V26:W27"/>
    <mergeCell ref="X26:Y27"/>
    <mergeCell ref="Z26:AA27"/>
    <mergeCell ref="V28:W29"/>
    <mergeCell ref="X28:Y29"/>
    <mergeCell ref="Z28:AA29"/>
    <mergeCell ref="V22:W23"/>
    <mergeCell ref="X22:Y23"/>
    <mergeCell ref="Z22:AA23"/>
    <mergeCell ref="V24:W25"/>
    <mergeCell ref="X24:Y25"/>
    <mergeCell ref="Z24:AA25"/>
    <mergeCell ref="P26:Q27"/>
    <mergeCell ref="R26:S27"/>
    <mergeCell ref="T26:U27"/>
    <mergeCell ref="P28:Q29"/>
    <mergeCell ref="R28:S29"/>
    <mergeCell ref="T28:U29"/>
    <mergeCell ref="P22:Q23"/>
    <mergeCell ref="R22:S23"/>
    <mergeCell ref="T22:U23"/>
    <mergeCell ref="P24:Q25"/>
    <mergeCell ref="R24:S25"/>
    <mergeCell ref="T24:U25"/>
    <mergeCell ref="J26:K27"/>
    <mergeCell ref="L26:M27"/>
    <mergeCell ref="N26:O27"/>
    <mergeCell ref="J28:K29"/>
    <mergeCell ref="L28:M29"/>
    <mergeCell ref="N28:O29"/>
    <mergeCell ref="J22:K23"/>
    <mergeCell ref="L22:M23"/>
    <mergeCell ref="N22:O23"/>
    <mergeCell ref="J24:K25"/>
    <mergeCell ref="L24:M25"/>
    <mergeCell ref="N24:O25"/>
    <mergeCell ref="P18:Q19"/>
    <mergeCell ref="R18:S19"/>
    <mergeCell ref="T18:U19"/>
    <mergeCell ref="P20:Q21"/>
    <mergeCell ref="R20:S21"/>
    <mergeCell ref="T20:U21"/>
    <mergeCell ref="P14:Q15"/>
    <mergeCell ref="R14:S15"/>
    <mergeCell ref="T14:U15"/>
    <mergeCell ref="P16:Q17"/>
    <mergeCell ref="R16:S17"/>
    <mergeCell ref="T16:U17"/>
    <mergeCell ref="J18:K19"/>
    <mergeCell ref="L18:M19"/>
    <mergeCell ref="N18:O19"/>
    <mergeCell ref="J20:K21"/>
    <mergeCell ref="L20:M21"/>
    <mergeCell ref="N20:O21"/>
    <mergeCell ref="J14:K15"/>
    <mergeCell ref="L14:M15"/>
    <mergeCell ref="N14:O15"/>
    <mergeCell ref="J16:K17"/>
    <mergeCell ref="L16:M17"/>
    <mergeCell ref="N16:O17"/>
    <mergeCell ref="AH42:AI43"/>
    <mergeCell ref="AJ42:AK43"/>
    <mergeCell ref="AL42:AM43"/>
    <mergeCell ref="AH44:AI45"/>
    <mergeCell ref="AJ44:AK45"/>
    <mergeCell ref="AL44:AM45"/>
    <mergeCell ref="AH38:AI39"/>
    <mergeCell ref="AJ38:AK39"/>
    <mergeCell ref="AL38:AM39"/>
    <mergeCell ref="AH40:AI41"/>
    <mergeCell ref="AJ40:AK41"/>
    <mergeCell ref="AL40:AM41"/>
    <mergeCell ref="AH34:AI35"/>
    <mergeCell ref="AJ34:AK35"/>
    <mergeCell ref="AL34:AM35"/>
    <mergeCell ref="AH36:AI37"/>
    <mergeCell ref="AJ36:AK37"/>
    <mergeCell ref="AL36:AM37"/>
    <mergeCell ref="AH30:AI31"/>
    <mergeCell ref="AJ30:AK31"/>
    <mergeCell ref="AL30:AM31"/>
    <mergeCell ref="AH32:AI33"/>
    <mergeCell ref="AJ32:AK33"/>
    <mergeCell ref="AL32:AM33"/>
    <mergeCell ref="AH26:AI27"/>
    <mergeCell ref="AJ26:AK27"/>
    <mergeCell ref="AL26:AM27"/>
    <mergeCell ref="AH28:AI29"/>
    <mergeCell ref="AJ28:AK29"/>
    <mergeCell ref="AL28:AM29"/>
    <mergeCell ref="AH22:AI23"/>
    <mergeCell ref="AJ22:AK23"/>
    <mergeCell ref="AL22:AM23"/>
    <mergeCell ref="AH24:AI25"/>
    <mergeCell ref="AJ24:AK25"/>
    <mergeCell ref="AL24:AM25"/>
    <mergeCell ref="AH18:AI19"/>
    <mergeCell ref="AJ18:AK19"/>
    <mergeCell ref="AL18:AM19"/>
    <mergeCell ref="AH20:AI21"/>
    <mergeCell ref="AJ20:AK21"/>
    <mergeCell ref="AL20:AM21"/>
    <mergeCell ref="AH14:AI15"/>
    <mergeCell ref="AJ14:AK15"/>
    <mergeCell ref="AL14:AM15"/>
    <mergeCell ref="AH16:AI17"/>
    <mergeCell ref="AJ16:AK17"/>
    <mergeCell ref="AL16:AM17"/>
    <mergeCell ref="AH10:AI11"/>
    <mergeCell ref="AJ10:AK11"/>
    <mergeCell ref="AL10:AM11"/>
    <mergeCell ref="AH12:AI13"/>
    <mergeCell ref="AJ12:AK13"/>
    <mergeCell ref="AL12:AM13"/>
    <mergeCell ref="AH6:AI7"/>
    <mergeCell ref="AJ6:AK7"/>
    <mergeCell ref="AL6:AM7"/>
    <mergeCell ref="AH8:AI9"/>
    <mergeCell ref="AJ8:AK9"/>
    <mergeCell ref="AL8:AM9"/>
    <mergeCell ref="AB42:AC43"/>
    <mergeCell ref="AD42:AE43"/>
    <mergeCell ref="AF42:AG43"/>
    <mergeCell ref="AB44:AC45"/>
    <mergeCell ref="AD44:AE45"/>
    <mergeCell ref="AF44:AG45"/>
    <mergeCell ref="AB38:AC39"/>
    <mergeCell ref="AD38:AE39"/>
    <mergeCell ref="AF38:AG39"/>
    <mergeCell ref="AB40:AC41"/>
    <mergeCell ref="AD40:AE41"/>
    <mergeCell ref="AF40:AG41"/>
    <mergeCell ref="AB34:AC35"/>
    <mergeCell ref="AD34:AE35"/>
    <mergeCell ref="AF34:AG35"/>
    <mergeCell ref="AB36:AC37"/>
    <mergeCell ref="AD36:AE37"/>
    <mergeCell ref="AF36:AG37"/>
    <mergeCell ref="AB30:AC31"/>
    <mergeCell ref="AD30:AE31"/>
    <mergeCell ref="AF30:AG31"/>
    <mergeCell ref="AB32:AC33"/>
    <mergeCell ref="AD32:AE33"/>
    <mergeCell ref="AF32:AG33"/>
    <mergeCell ref="AB26:AC27"/>
    <mergeCell ref="AD26:AE27"/>
    <mergeCell ref="AF26:AG27"/>
    <mergeCell ref="AB28:AC29"/>
    <mergeCell ref="AD28:AE29"/>
    <mergeCell ref="AF28:AG29"/>
    <mergeCell ref="AB22:AC23"/>
    <mergeCell ref="AD22:AE23"/>
    <mergeCell ref="AF22:AG23"/>
    <mergeCell ref="AB24:AC25"/>
    <mergeCell ref="AD24:AE25"/>
    <mergeCell ref="AF24:AG25"/>
    <mergeCell ref="AB14:AC15"/>
    <mergeCell ref="AD14:AE15"/>
    <mergeCell ref="AF14:AG15"/>
    <mergeCell ref="AB16:AC17"/>
    <mergeCell ref="AD16:AE17"/>
    <mergeCell ref="AF16:AG17"/>
    <mergeCell ref="V20:W21"/>
    <mergeCell ref="X20:Y21"/>
    <mergeCell ref="Z20:AA21"/>
    <mergeCell ref="V14:W15"/>
    <mergeCell ref="X14:Y15"/>
    <mergeCell ref="Z14:AA15"/>
    <mergeCell ref="V16:W17"/>
    <mergeCell ref="X16:Y17"/>
    <mergeCell ref="Z16:AA17"/>
    <mergeCell ref="AB18:AC19"/>
    <mergeCell ref="AD18:AE19"/>
    <mergeCell ref="V18:W19"/>
    <mergeCell ref="X18:Y19"/>
    <mergeCell ref="Z18:AA19"/>
    <mergeCell ref="AF18:AG19"/>
    <mergeCell ref="AB20:AC21"/>
    <mergeCell ref="AD20:AE21"/>
    <mergeCell ref="AF20:AG21"/>
    <mergeCell ref="AF6:AG7"/>
    <mergeCell ref="AB8:AC9"/>
    <mergeCell ref="AD8:AE9"/>
    <mergeCell ref="AF8:AG9"/>
    <mergeCell ref="AB10:AC11"/>
    <mergeCell ref="AD10:AE11"/>
    <mergeCell ref="AF10:AG11"/>
    <mergeCell ref="Z10:AA11"/>
    <mergeCell ref="V12:W13"/>
    <mergeCell ref="X12:Y13"/>
    <mergeCell ref="Z12:AA13"/>
    <mergeCell ref="AB6:AC7"/>
    <mergeCell ref="AD6:AE7"/>
    <mergeCell ref="AB12:AC13"/>
    <mergeCell ref="AD12:AE13"/>
    <mergeCell ref="AF12:AG13"/>
    <mergeCell ref="J2:AM4"/>
    <mergeCell ref="E6:I13"/>
    <mergeCell ref="E14:I21"/>
    <mergeCell ref="J6:K7"/>
    <mergeCell ref="AB46:AG51"/>
    <mergeCell ref="AH46:AM51"/>
    <mergeCell ref="P6:Q7"/>
    <mergeCell ref="P12:Q13"/>
    <mergeCell ref="L6:M7"/>
    <mergeCell ref="N6:O7"/>
    <mergeCell ref="N8:O9"/>
    <mergeCell ref="L8:M9"/>
    <mergeCell ref="J8:K9"/>
    <mergeCell ref="J10:K11"/>
    <mergeCell ref="E30:I37"/>
    <mergeCell ref="P8:Q9"/>
    <mergeCell ref="R8:S9"/>
    <mergeCell ref="T8:U9"/>
    <mergeCell ref="P10:Q11"/>
    <mergeCell ref="R10:S11"/>
    <mergeCell ref="T10:U11"/>
    <mergeCell ref="J12:K13"/>
    <mergeCell ref="L10:M11"/>
    <mergeCell ref="L12:M13"/>
    <mergeCell ref="B6:D45"/>
    <mergeCell ref="AO6:AT13"/>
    <mergeCell ref="AO14:AT21"/>
    <mergeCell ref="AO22:AT29"/>
    <mergeCell ref="AO30:AT37"/>
    <mergeCell ref="E22:I29"/>
    <mergeCell ref="E38:I45"/>
    <mergeCell ref="J46:O51"/>
    <mergeCell ref="P46:U51"/>
    <mergeCell ref="V46:AA51"/>
    <mergeCell ref="N10:O11"/>
    <mergeCell ref="N12:O13"/>
    <mergeCell ref="R12:S13"/>
    <mergeCell ref="T12:U13"/>
    <mergeCell ref="V6:W7"/>
    <mergeCell ref="X6:Y7"/>
    <mergeCell ref="Z6:AA7"/>
    <mergeCell ref="V8:W9"/>
    <mergeCell ref="X8:Y9"/>
    <mergeCell ref="Z8:AA9"/>
    <mergeCell ref="V10:W11"/>
    <mergeCell ref="X10:Y11"/>
    <mergeCell ref="R6:S7"/>
    <mergeCell ref="T6:U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M248"/>
  <sheetViews>
    <sheetView zoomScale="50" zoomScaleNormal="50" workbookViewId="0">
      <selection activeCell="W36" sqref="W36"/>
    </sheetView>
  </sheetViews>
  <sheetFormatPr baseColWidth="10" defaultRowHeight="15" x14ac:dyDescent="0.25"/>
  <cols>
    <col min="2" max="18" width="5.7109375" customWidth="1" collapsed="1"/>
    <col min="19" max="19" width="8.42578125" customWidth="1" collapsed="1"/>
    <col min="20" max="23" width="5.7109375" customWidth="1" collapsed="1"/>
    <col min="24" max="24" width="8.5703125" customWidth="1" collapsed="1"/>
    <col min="25" max="26" width="5.7109375" customWidth="1" collapsed="1"/>
    <col min="27" max="27" width="10.7109375" customWidth="1" collapsed="1"/>
    <col min="28" max="28" width="5.7109375" customWidth="1" collapsed="1"/>
    <col min="29" max="29" width="7.42578125" customWidth="1" collapsed="1"/>
    <col min="30" max="33" width="5.7109375" customWidth="1" collapsed="1"/>
    <col min="34" max="34" width="8.5703125" customWidth="1" collapsed="1"/>
    <col min="35" max="39" width="5.7109375" customWidth="1" collapsed="1"/>
    <col min="41" max="46" width="5.7109375" customWidth="1" collapsed="1"/>
  </cols>
  <sheetData>
    <row r="1" spans="1:91" x14ac:dyDescent="0.25">
      <c r="A1" s="69"/>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row>
    <row r="2" spans="1:91" ht="18" customHeight="1" x14ac:dyDescent="0.25">
      <c r="A2" s="69"/>
      <c r="B2" s="370" t="s">
        <v>156</v>
      </c>
      <c r="C2" s="371"/>
      <c r="D2" s="371"/>
      <c r="E2" s="371"/>
      <c r="F2" s="371"/>
      <c r="G2" s="371"/>
      <c r="H2" s="371"/>
      <c r="I2" s="371"/>
      <c r="J2" s="312" t="s">
        <v>2</v>
      </c>
      <c r="K2" s="312"/>
      <c r="L2" s="312"/>
      <c r="M2" s="312"/>
      <c r="N2" s="312"/>
      <c r="O2" s="312"/>
      <c r="P2" s="312"/>
      <c r="Q2" s="312"/>
      <c r="R2" s="312"/>
      <c r="S2" s="312"/>
      <c r="T2" s="312"/>
      <c r="U2" s="312"/>
      <c r="V2" s="312"/>
      <c r="W2" s="312"/>
      <c r="X2" s="312"/>
      <c r="Y2" s="312"/>
      <c r="Z2" s="312"/>
      <c r="AA2" s="312"/>
      <c r="AB2" s="312"/>
      <c r="AC2" s="312"/>
      <c r="AD2" s="312"/>
      <c r="AE2" s="312"/>
      <c r="AF2" s="312"/>
      <c r="AG2" s="312"/>
      <c r="AH2" s="312"/>
      <c r="AI2" s="312"/>
      <c r="AJ2" s="312"/>
      <c r="AK2" s="312"/>
      <c r="AL2" s="312"/>
      <c r="AM2" s="312"/>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row>
    <row r="3" spans="1:91" ht="18.75" customHeight="1" x14ac:dyDescent="0.25">
      <c r="A3" s="69"/>
      <c r="B3" s="371"/>
      <c r="C3" s="371"/>
      <c r="D3" s="371"/>
      <c r="E3" s="371"/>
      <c r="F3" s="371"/>
      <c r="G3" s="371"/>
      <c r="H3" s="371"/>
      <c r="I3" s="371"/>
      <c r="J3" s="312"/>
      <c r="K3" s="312"/>
      <c r="L3" s="312"/>
      <c r="M3" s="312"/>
      <c r="N3" s="312"/>
      <c r="O3" s="312"/>
      <c r="P3" s="312"/>
      <c r="Q3" s="312"/>
      <c r="R3" s="312"/>
      <c r="S3" s="312"/>
      <c r="T3" s="312"/>
      <c r="U3" s="312"/>
      <c r="V3" s="312"/>
      <c r="W3" s="312"/>
      <c r="X3" s="312"/>
      <c r="Y3" s="312"/>
      <c r="Z3" s="312"/>
      <c r="AA3" s="312"/>
      <c r="AB3" s="312"/>
      <c r="AC3" s="312"/>
      <c r="AD3" s="312"/>
      <c r="AE3" s="312"/>
      <c r="AF3" s="312"/>
      <c r="AG3" s="312"/>
      <c r="AH3" s="312"/>
      <c r="AI3" s="312"/>
      <c r="AJ3" s="312"/>
      <c r="AK3" s="312"/>
      <c r="AL3" s="312"/>
      <c r="AM3" s="312"/>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row>
    <row r="4" spans="1:91" ht="15" customHeight="1" x14ac:dyDescent="0.25">
      <c r="A4" s="69"/>
      <c r="B4" s="371"/>
      <c r="C4" s="371"/>
      <c r="D4" s="371"/>
      <c r="E4" s="371"/>
      <c r="F4" s="371"/>
      <c r="G4" s="371"/>
      <c r="H4" s="371"/>
      <c r="I4" s="371"/>
      <c r="J4" s="312"/>
      <c r="K4" s="312"/>
      <c r="L4" s="312"/>
      <c r="M4" s="312"/>
      <c r="N4" s="312"/>
      <c r="O4" s="312"/>
      <c r="P4" s="312"/>
      <c r="Q4" s="312"/>
      <c r="R4" s="312"/>
      <c r="S4" s="312"/>
      <c r="T4" s="312"/>
      <c r="U4" s="312"/>
      <c r="V4" s="312"/>
      <c r="W4" s="312"/>
      <c r="X4" s="312"/>
      <c r="Y4" s="312"/>
      <c r="Z4" s="312"/>
      <c r="AA4" s="312"/>
      <c r="AB4" s="312"/>
      <c r="AC4" s="312"/>
      <c r="AD4" s="312"/>
      <c r="AE4" s="312"/>
      <c r="AF4" s="312"/>
      <c r="AG4" s="312"/>
      <c r="AH4" s="312"/>
      <c r="AI4" s="312"/>
      <c r="AJ4" s="312"/>
      <c r="AK4" s="312"/>
      <c r="AL4" s="312"/>
      <c r="AM4" s="312"/>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row>
    <row r="5" spans="1:91" ht="15.75" thickBot="1" x14ac:dyDescent="0.3">
      <c r="A5" s="69"/>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row>
    <row r="6" spans="1:91" ht="15" customHeight="1" x14ac:dyDescent="0.25">
      <c r="A6" s="69"/>
      <c r="B6" s="259" t="s">
        <v>4</v>
      </c>
      <c r="C6" s="259"/>
      <c r="D6" s="260"/>
      <c r="E6" s="354" t="s">
        <v>114</v>
      </c>
      <c r="F6" s="355"/>
      <c r="G6" s="355"/>
      <c r="H6" s="355"/>
      <c r="I6" s="372"/>
      <c r="J6" s="32" t="str">
        <f>IF(AND('Mapa final'!$Y$13="Muy Alta",'Mapa final'!$AA$13="Leve"),CONCATENATE("R1C",'Mapa final'!$O$13),"")</f>
        <v/>
      </c>
      <c r="K6" s="33" t="str">
        <f>IF(AND('Mapa final'!$Y$14="Muy Alta",'Mapa final'!$AA$14="Leve"),CONCATENATE("R1C",'Mapa final'!$O$14),"")</f>
        <v/>
      </c>
      <c r="L6" s="33" t="str">
        <f>IF(AND('Mapa final'!$Y$15="Muy Alta",'Mapa final'!$AA$15="Leve"),CONCATENATE("R1C",'Mapa final'!$O$15),"")</f>
        <v/>
      </c>
      <c r="M6" s="33" t="str">
        <f>IF(AND('Mapa final'!$Y$16="Muy Alta",'Mapa final'!$AA$16="Leve"),CONCATENATE("R1C",'Mapa final'!$O$16),"")</f>
        <v/>
      </c>
      <c r="N6" s="33" t="str">
        <f>IF(AND('Mapa final'!$Y$17="Muy Alta",'Mapa final'!$AA$17="Leve"),CONCATENATE("R1C",'Mapa final'!$O$17),"")</f>
        <v/>
      </c>
      <c r="O6" s="34" t="str">
        <f>IF(AND('Mapa final'!$Y$18="Muy Alta",'Mapa final'!$AA$18="Leve"),CONCATENATE("R1C",'Mapa final'!$O$18),"")</f>
        <v/>
      </c>
      <c r="P6" s="32" t="str">
        <f>IF(AND('Mapa final'!$Y$13="Muy Alta",'Mapa final'!$AA$13="Menor"),CONCATENATE("R1C",'Mapa final'!$O$13),"")</f>
        <v/>
      </c>
      <c r="Q6" s="33" t="str">
        <f>IF(AND('Mapa final'!$Y$14="Muy Alta",'Mapa final'!$AA$14="Menor"),CONCATENATE("R1C",'Mapa final'!$O$14),"")</f>
        <v/>
      </c>
      <c r="R6" s="33" t="str">
        <f>IF(AND('Mapa final'!$Y$15="Muy Alta",'Mapa final'!$AA$15="Menor"),CONCATENATE("R1C",'Mapa final'!$O$15),"")</f>
        <v/>
      </c>
      <c r="S6" s="33" t="str">
        <f>IF(AND('Mapa final'!$Y$16="Muy Alta",'Mapa final'!$AA$16="Menor"),CONCATENATE("R1C",'Mapa final'!$O$16),"")</f>
        <v/>
      </c>
      <c r="T6" s="33" t="str">
        <f>IF(AND('Mapa final'!$Y$17="Muy Alta",'Mapa final'!$AA$17="Menor"),CONCATENATE("R1C",'Mapa final'!$O$17),"")</f>
        <v/>
      </c>
      <c r="U6" s="34" t="str">
        <f>IF(AND('Mapa final'!$Y$18="Muy Alta",'Mapa final'!$AA$18="Menor"),CONCATENATE("R1C",'Mapa final'!$O$18),"")</f>
        <v/>
      </c>
      <c r="V6" s="32" t="str">
        <f>IF(AND('Mapa final'!$Y$13="Muy Alta",'Mapa final'!$AA$13="Moderado"),CONCATENATE("R1C",'Mapa final'!$O$13),"")</f>
        <v/>
      </c>
      <c r="W6" s="33" t="str">
        <f>IF(AND('Mapa final'!$Y$14="Muy Alta",'Mapa final'!$AA$14="Moderado"),CONCATENATE("R1C",'Mapa final'!$O$14),"")</f>
        <v/>
      </c>
      <c r="X6" s="33" t="str">
        <f>IF(AND('Mapa final'!$Y$15="Muy Alta",'Mapa final'!$AA$15="Moderado"),CONCATENATE("R1C",'Mapa final'!$O$15),"")</f>
        <v/>
      </c>
      <c r="Y6" s="33" t="str">
        <f>IF(AND('Mapa final'!$Y$16="Muy Alta",'Mapa final'!$AA$16="Moderado"),CONCATENATE("R1C",'Mapa final'!$O$16),"")</f>
        <v/>
      </c>
      <c r="Z6" s="33" t="str">
        <f>IF(AND('Mapa final'!$Y$17="Muy Alta",'Mapa final'!$AA$17="Moderado"),CONCATENATE("R1C",'Mapa final'!$O$17),"")</f>
        <v/>
      </c>
      <c r="AA6" s="34" t="str">
        <f>IF(AND('Mapa final'!$Y$18="Muy Alta",'Mapa final'!$AA$18="Moderado"),CONCATENATE("R1C",'Mapa final'!$O$18),"")</f>
        <v/>
      </c>
      <c r="AB6" s="32" t="str">
        <f>IF(AND('Mapa final'!$Y$13="Muy Alta",'Mapa final'!$AA$13="Mayor"),CONCATENATE("R1C",'Mapa final'!$O$13),"")</f>
        <v/>
      </c>
      <c r="AC6" s="33" t="str">
        <f>IF(AND('Mapa final'!$Y$14="Muy Alta",'Mapa final'!$AA$14="Mayor"),CONCATENATE("R1C",'Mapa final'!$O$14),"")</f>
        <v/>
      </c>
      <c r="AD6" s="33" t="str">
        <f>IF(AND('Mapa final'!$Y$15="Muy Alta",'Mapa final'!$AA$15="Mayor"),CONCATENATE("R1C",'Mapa final'!$O$15),"")</f>
        <v/>
      </c>
      <c r="AE6" s="33" t="str">
        <f>IF(AND('Mapa final'!$Y$16="Muy Alta",'Mapa final'!$AA$16="Mayor"),CONCATENATE("R1C",'Mapa final'!$O$16),"")</f>
        <v/>
      </c>
      <c r="AF6" s="33" t="str">
        <f>IF(AND('Mapa final'!$Y$17="Muy Alta",'Mapa final'!$AA$17="Mayor"),CONCATENATE("R1C",'Mapa final'!$O$17),"")</f>
        <v/>
      </c>
      <c r="AG6" s="34" t="str">
        <f>IF(AND('Mapa final'!$Y$18="Muy Alta",'Mapa final'!$AA$18="Mayor"),CONCATENATE("R1C",'Mapa final'!$O$18),"")</f>
        <v/>
      </c>
      <c r="AH6" s="35" t="str">
        <f>IF(AND('Mapa final'!$Y$13="Muy Alta",'Mapa final'!$AA$13="Catastrófico"),CONCATENATE("R1C",'Mapa final'!$O$13),"")</f>
        <v/>
      </c>
      <c r="AI6" s="36" t="str">
        <f>IF(AND('Mapa final'!$Y$14="Muy Alta",'Mapa final'!$AA$14="Catastrófico"),CONCATENATE("R1C",'Mapa final'!$O$14),"")</f>
        <v/>
      </c>
      <c r="AJ6" s="36" t="str">
        <f>IF(AND('Mapa final'!$Y$15="Muy Alta",'Mapa final'!$AA$15="Catastrófico"),CONCATENATE("R1C",'Mapa final'!$O$15),"")</f>
        <v/>
      </c>
      <c r="AK6" s="36" t="str">
        <f>IF(AND('Mapa final'!$Y$16="Muy Alta",'Mapa final'!$AA$16="Catastrófico"),CONCATENATE("R1C",'Mapa final'!$O$16),"")</f>
        <v/>
      </c>
      <c r="AL6" s="36" t="str">
        <f>IF(AND('Mapa final'!$Y$17="Muy Alta",'Mapa final'!$AA$17="Catastrófico"),CONCATENATE("R1C",'Mapa final'!$O$17),"")</f>
        <v/>
      </c>
      <c r="AM6" s="37" t="str">
        <f>IF(AND('Mapa final'!$Y$18="Muy Alta",'Mapa final'!$AA$18="Catastrófico"),CONCATENATE("R1C",'Mapa final'!$O$18),"")</f>
        <v/>
      </c>
      <c r="AN6" s="69"/>
      <c r="AO6" s="361" t="s">
        <v>77</v>
      </c>
      <c r="AP6" s="362"/>
      <c r="AQ6" s="362"/>
      <c r="AR6" s="362"/>
      <c r="AS6" s="362"/>
      <c r="AT6" s="363"/>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c r="BX6" s="69"/>
    </row>
    <row r="7" spans="1:91" ht="15" customHeight="1" x14ac:dyDescent="0.25">
      <c r="A7" s="69"/>
      <c r="B7" s="259"/>
      <c r="C7" s="259"/>
      <c r="D7" s="260"/>
      <c r="E7" s="358"/>
      <c r="F7" s="357"/>
      <c r="G7" s="357"/>
      <c r="H7" s="357"/>
      <c r="I7" s="373"/>
      <c r="J7" s="38" t="e">
        <f>IF(AND('Mapa final'!#REF!="Muy Alta",'Mapa final'!#REF!="Leve"),CONCATENATE("R2C",'Mapa final'!#REF!),"")</f>
        <v>#REF!</v>
      </c>
      <c r="K7" s="39" t="e">
        <f>IF(AND('Mapa final'!#REF!="Muy Alta",'Mapa final'!#REF!="Leve"),CONCATENATE("R2C",'Mapa final'!#REF!),"")</f>
        <v>#REF!</v>
      </c>
      <c r="L7" s="39" t="e">
        <f>IF(AND('Mapa final'!#REF!="Muy Alta",'Mapa final'!#REF!="Leve"),CONCATENATE("R2C",'Mapa final'!#REF!),"")</f>
        <v>#REF!</v>
      </c>
      <c r="M7" s="39" t="e">
        <f>IF(AND('Mapa final'!#REF!="Muy Alta",'Mapa final'!#REF!="Leve"),CONCATENATE("R2C",'Mapa final'!#REF!),"")</f>
        <v>#REF!</v>
      </c>
      <c r="N7" s="39" t="e">
        <f>IF(AND('Mapa final'!#REF!="Muy Alta",'Mapa final'!#REF!="Leve"),CONCATENATE("R2C",'Mapa final'!#REF!),"")</f>
        <v>#REF!</v>
      </c>
      <c r="O7" s="40" t="e">
        <f>IF(AND('Mapa final'!#REF!="Muy Alta",'Mapa final'!#REF!="Leve"),CONCATENATE("R2C",'Mapa final'!#REF!),"")</f>
        <v>#REF!</v>
      </c>
      <c r="P7" s="38" t="e">
        <f>IF(AND('Mapa final'!#REF!="Muy Alta",'Mapa final'!#REF!="Menor"),CONCATENATE("R2C",'Mapa final'!#REF!),"")</f>
        <v>#REF!</v>
      </c>
      <c r="Q7" s="39" t="e">
        <f>IF(AND('Mapa final'!#REF!="Muy Alta",'Mapa final'!#REF!="Menor"),CONCATENATE("R2C",'Mapa final'!#REF!),"")</f>
        <v>#REF!</v>
      </c>
      <c r="R7" s="39" t="e">
        <f>IF(AND('Mapa final'!#REF!="Muy Alta",'Mapa final'!#REF!="Menor"),CONCATENATE("R2C",'Mapa final'!#REF!),"")</f>
        <v>#REF!</v>
      </c>
      <c r="S7" s="39" t="e">
        <f>IF(AND('Mapa final'!#REF!="Muy Alta",'Mapa final'!#REF!="Menor"),CONCATENATE("R2C",'Mapa final'!#REF!),"")</f>
        <v>#REF!</v>
      </c>
      <c r="T7" s="39" t="e">
        <f>IF(AND('Mapa final'!#REF!="Muy Alta",'Mapa final'!#REF!="Menor"),CONCATENATE("R2C",'Mapa final'!#REF!),"")</f>
        <v>#REF!</v>
      </c>
      <c r="U7" s="40" t="e">
        <f>IF(AND('Mapa final'!#REF!="Muy Alta",'Mapa final'!#REF!="Menor"),CONCATENATE("R2C",'Mapa final'!#REF!),"")</f>
        <v>#REF!</v>
      </c>
      <c r="V7" s="38" t="e">
        <f>IF(AND('Mapa final'!#REF!="Muy Alta",'Mapa final'!#REF!="Moderado"),CONCATENATE("R2C",'Mapa final'!#REF!),"")</f>
        <v>#REF!</v>
      </c>
      <c r="W7" s="39" t="e">
        <f>IF(AND('Mapa final'!#REF!="Muy Alta",'Mapa final'!#REF!="Moderado"),CONCATENATE("R2C",'Mapa final'!#REF!),"")</f>
        <v>#REF!</v>
      </c>
      <c r="X7" s="39" t="e">
        <f>IF(AND('Mapa final'!#REF!="Muy Alta",'Mapa final'!#REF!="Moderado"),CONCATENATE("R2C",'Mapa final'!#REF!),"")</f>
        <v>#REF!</v>
      </c>
      <c r="Y7" s="39" t="e">
        <f>IF(AND('Mapa final'!#REF!="Muy Alta",'Mapa final'!#REF!="Moderado"),CONCATENATE("R2C",'Mapa final'!#REF!),"")</f>
        <v>#REF!</v>
      </c>
      <c r="Z7" s="39" t="e">
        <f>IF(AND('Mapa final'!#REF!="Muy Alta",'Mapa final'!#REF!="Moderado"),CONCATENATE("R2C",'Mapa final'!#REF!),"")</f>
        <v>#REF!</v>
      </c>
      <c r="AA7" s="40" t="e">
        <f>IF(AND('Mapa final'!#REF!="Muy Alta",'Mapa final'!#REF!="Moderado"),CONCATENATE("R2C",'Mapa final'!#REF!),"")</f>
        <v>#REF!</v>
      </c>
      <c r="AB7" s="38" t="e">
        <f>IF(AND('Mapa final'!#REF!="Muy Alta",'Mapa final'!#REF!="Mayor"),CONCATENATE("R2C",'Mapa final'!#REF!),"")</f>
        <v>#REF!</v>
      </c>
      <c r="AC7" s="39" t="e">
        <f>IF(AND('Mapa final'!#REF!="Muy Alta",'Mapa final'!#REF!="Mayor"),CONCATENATE("R2C",'Mapa final'!#REF!),"")</f>
        <v>#REF!</v>
      </c>
      <c r="AD7" s="39" t="e">
        <f>IF(AND('Mapa final'!#REF!="Muy Alta",'Mapa final'!#REF!="Mayor"),CONCATENATE("R2C",'Mapa final'!#REF!),"")</f>
        <v>#REF!</v>
      </c>
      <c r="AE7" s="39" t="e">
        <f>IF(AND('Mapa final'!#REF!="Muy Alta",'Mapa final'!#REF!="Mayor"),CONCATENATE("R2C",'Mapa final'!#REF!),"")</f>
        <v>#REF!</v>
      </c>
      <c r="AF7" s="39" t="e">
        <f>IF(AND('Mapa final'!#REF!="Muy Alta",'Mapa final'!#REF!="Mayor"),CONCATENATE("R2C",'Mapa final'!#REF!),"")</f>
        <v>#REF!</v>
      </c>
      <c r="AG7" s="40" t="e">
        <f>IF(AND('Mapa final'!#REF!="Muy Alta",'Mapa final'!#REF!="Mayor"),CONCATENATE("R2C",'Mapa final'!#REF!),"")</f>
        <v>#REF!</v>
      </c>
      <c r="AH7" s="41" t="e">
        <f>IF(AND('Mapa final'!#REF!="Muy Alta",'Mapa final'!#REF!="Catastrófico"),CONCATENATE("R2C",'Mapa final'!#REF!),"")</f>
        <v>#REF!</v>
      </c>
      <c r="AI7" s="42" t="e">
        <f>IF(AND('Mapa final'!#REF!="Muy Alta",'Mapa final'!#REF!="Catastrófico"),CONCATENATE("R2C",'Mapa final'!#REF!),"")</f>
        <v>#REF!</v>
      </c>
      <c r="AJ7" s="42" t="e">
        <f>IF(AND('Mapa final'!#REF!="Muy Alta",'Mapa final'!#REF!="Catastrófico"),CONCATENATE("R2C",'Mapa final'!#REF!),"")</f>
        <v>#REF!</v>
      </c>
      <c r="AK7" s="42" t="e">
        <f>IF(AND('Mapa final'!#REF!="Muy Alta",'Mapa final'!#REF!="Catastrófico"),CONCATENATE("R2C",'Mapa final'!#REF!),"")</f>
        <v>#REF!</v>
      </c>
      <c r="AL7" s="42" t="e">
        <f>IF(AND('Mapa final'!#REF!="Muy Alta",'Mapa final'!#REF!="Catastrófico"),CONCATENATE("R2C",'Mapa final'!#REF!),"")</f>
        <v>#REF!</v>
      </c>
      <c r="AM7" s="43" t="e">
        <f>IF(AND('Mapa final'!#REF!="Muy Alta",'Mapa final'!#REF!="Catastrófico"),CONCATENATE("R2C",'Mapa final'!#REF!),"")</f>
        <v>#REF!</v>
      </c>
      <c r="AN7" s="69"/>
      <c r="AO7" s="364"/>
      <c r="AP7" s="365"/>
      <c r="AQ7" s="365"/>
      <c r="AR7" s="365"/>
      <c r="AS7" s="365"/>
      <c r="AT7" s="366"/>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c r="BX7" s="69"/>
    </row>
    <row r="8" spans="1:91" ht="15" customHeight="1" x14ac:dyDescent="0.25">
      <c r="A8" s="69"/>
      <c r="B8" s="259"/>
      <c r="C8" s="259"/>
      <c r="D8" s="260"/>
      <c r="E8" s="358"/>
      <c r="F8" s="357"/>
      <c r="G8" s="357"/>
      <c r="H8" s="357"/>
      <c r="I8" s="373"/>
      <c r="J8" s="38" t="e">
        <f>IF(AND('Mapa final'!#REF!="Muy Alta",'Mapa final'!#REF!="Leve"),CONCATENATE("R3C",'Mapa final'!#REF!),"")</f>
        <v>#REF!</v>
      </c>
      <c r="K8" s="39" t="e">
        <f>IF(AND('Mapa final'!#REF!="Muy Alta",'Mapa final'!#REF!="Leve"),CONCATENATE("R3C",'Mapa final'!#REF!),"")</f>
        <v>#REF!</v>
      </c>
      <c r="L8" s="39" t="e">
        <f>IF(AND('Mapa final'!#REF!="Muy Alta",'Mapa final'!#REF!="Leve"),CONCATENATE("R3C",'Mapa final'!#REF!),"")</f>
        <v>#REF!</v>
      </c>
      <c r="M8" s="39" t="e">
        <f>IF(AND('Mapa final'!#REF!="Muy Alta",'Mapa final'!#REF!="Leve"),CONCATENATE("R3C",'Mapa final'!#REF!),"")</f>
        <v>#REF!</v>
      </c>
      <c r="N8" s="39" t="e">
        <f>IF(AND('Mapa final'!#REF!="Muy Alta",'Mapa final'!#REF!="Leve"),CONCATENATE("R3C",'Mapa final'!#REF!),"")</f>
        <v>#REF!</v>
      </c>
      <c r="O8" s="40" t="e">
        <f>IF(AND('Mapa final'!#REF!="Muy Alta",'Mapa final'!#REF!="Leve"),CONCATENATE("R3C",'Mapa final'!#REF!),"")</f>
        <v>#REF!</v>
      </c>
      <c r="P8" s="38" t="e">
        <f>IF(AND('Mapa final'!#REF!="Muy Alta",'Mapa final'!#REF!="Menor"),CONCATENATE("R3C",'Mapa final'!#REF!),"")</f>
        <v>#REF!</v>
      </c>
      <c r="Q8" s="39" t="e">
        <f>IF(AND('Mapa final'!#REF!="Muy Alta",'Mapa final'!#REF!="Menor"),CONCATENATE("R3C",'Mapa final'!#REF!),"")</f>
        <v>#REF!</v>
      </c>
      <c r="R8" s="39" t="e">
        <f>IF(AND('Mapa final'!#REF!="Muy Alta",'Mapa final'!#REF!="Menor"),CONCATENATE("R3C",'Mapa final'!#REF!),"")</f>
        <v>#REF!</v>
      </c>
      <c r="S8" s="39" t="e">
        <f>IF(AND('Mapa final'!#REF!="Muy Alta",'Mapa final'!#REF!="Menor"),CONCATENATE("R3C",'Mapa final'!#REF!),"")</f>
        <v>#REF!</v>
      </c>
      <c r="T8" s="39" t="e">
        <f>IF(AND('Mapa final'!#REF!="Muy Alta",'Mapa final'!#REF!="Menor"),CONCATENATE("R3C",'Mapa final'!#REF!),"")</f>
        <v>#REF!</v>
      </c>
      <c r="U8" s="40" t="e">
        <f>IF(AND('Mapa final'!#REF!="Muy Alta",'Mapa final'!#REF!="Menor"),CONCATENATE("R3C",'Mapa final'!#REF!),"")</f>
        <v>#REF!</v>
      </c>
      <c r="V8" s="38" t="e">
        <f>IF(AND('Mapa final'!#REF!="Muy Alta",'Mapa final'!#REF!="Moderado"),CONCATENATE("R3C",'Mapa final'!#REF!),"")</f>
        <v>#REF!</v>
      </c>
      <c r="W8" s="39" t="e">
        <f>IF(AND('Mapa final'!#REF!="Muy Alta",'Mapa final'!#REF!="Moderado"),CONCATENATE("R3C",'Mapa final'!#REF!),"")</f>
        <v>#REF!</v>
      </c>
      <c r="X8" s="39" t="e">
        <f>IF(AND('Mapa final'!#REF!="Muy Alta",'Mapa final'!#REF!="Moderado"),CONCATENATE("R3C",'Mapa final'!#REF!),"")</f>
        <v>#REF!</v>
      </c>
      <c r="Y8" s="39" t="e">
        <f>IF(AND('Mapa final'!#REF!="Muy Alta",'Mapa final'!#REF!="Moderado"),CONCATENATE("R3C",'Mapa final'!#REF!),"")</f>
        <v>#REF!</v>
      </c>
      <c r="Z8" s="39" t="e">
        <f>IF(AND('Mapa final'!#REF!="Muy Alta",'Mapa final'!#REF!="Moderado"),CONCATENATE("R3C",'Mapa final'!#REF!),"")</f>
        <v>#REF!</v>
      </c>
      <c r="AA8" s="40" t="e">
        <f>IF(AND('Mapa final'!#REF!="Muy Alta",'Mapa final'!#REF!="Moderado"),CONCATENATE("R3C",'Mapa final'!#REF!),"")</f>
        <v>#REF!</v>
      </c>
      <c r="AB8" s="38" t="e">
        <f>IF(AND('Mapa final'!#REF!="Muy Alta",'Mapa final'!#REF!="Mayor"),CONCATENATE("R3C",'Mapa final'!#REF!),"")</f>
        <v>#REF!</v>
      </c>
      <c r="AC8" s="39" t="e">
        <f>IF(AND('Mapa final'!#REF!="Muy Alta",'Mapa final'!#REF!="Mayor"),CONCATENATE("R3C",'Mapa final'!#REF!),"")</f>
        <v>#REF!</v>
      </c>
      <c r="AD8" s="39" t="e">
        <f>IF(AND('Mapa final'!#REF!="Muy Alta",'Mapa final'!#REF!="Mayor"),CONCATENATE("R3C",'Mapa final'!#REF!),"")</f>
        <v>#REF!</v>
      </c>
      <c r="AE8" s="39" t="e">
        <f>IF(AND('Mapa final'!#REF!="Muy Alta",'Mapa final'!#REF!="Mayor"),CONCATENATE("R3C",'Mapa final'!#REF!),"")</f>
        <v>#REF!</v>
      </c>
      <c r="AF8" s="39" t="e">
        <f>IF(AND('Mapa final'!#REF!="Muy Alta",'Mapa final'!#REF!="Mayor"),CONCATENATE("R3C",'Mapa final'!#REF!),"")</f>
        <v>#REF!</v>
      </c>
      <c r="AG8" s="40" t="e">
        <f>IF(AND('Mapa final'!#REF!="Muy Alta",'Mapa final'!#REF!="Mayor"),CONCATENATE("R3C",'Mapa final'!#REF!),"")</f>
        <v>#REF!</v>
      </c>
      <c r="AH8" s="41" t="e">
        <f>IF(AND('Mapa final'!#REF!="Muy Alta",'Mapa final'!#REF!="Catastrófico"),CONCATENATE("R3C",'Mapa final'!#REF!),"")</f>
        <v>#REF!</v>
      </c>
      <c r="AI8" s="42" t="e">
        <f>IF(AND('Mapa final'!#REF!="Muy Alta",'Mapa final'!#REF!="Catastrófico"),CONCATENATE("R3C",'Mapa final'!#REF!),"")</f>
        <v>#REF!</v>
      </c>
      <c r="AJ8" s="42" t="e">
        <f>IF(AND('Mapa final'!#REF!="Muy Alta",'Mapa final'!#REF!="Catastrófico"),CONCATENATE("R3C",'Mapa final'!#REF!),"")</f>
        <v>#REF!</v>
      </c>
      <c r="AK8" s="42" t="e">
        <f>IF(AND('Mapa final'!#REF!="Muy Alta",'Mapa final'!#REF!="Catastrófico"),CONCATENATE("R3C",'Mapa final'!#REF!),"")</f>
        <v>#REF!</v>
      </c>
      <c r="AL8" s="42" t="e">
        <f>IF(AND('Mapa final'!#REF!="Muy Alta",'Mapa final'!#REF!="Catastrófico"),CONCATENATE("R3C",'Mapa final'!#REF!),"")</f>
        <v>#REF!</v>
      </c>
      <c r="AM8" s="43" t="e">
        <f>IF(AND('Mapa final'!#REF!="Muy Alta",'Mapa final'!#REF!="Catastrófico"),CONCATENATE("R3C",'Mapa final'!#REF!),"")</f>
        <v>#REF!</v>
      </c>
      <c r="AN8" s="69"/>
      <c r="AO8" s="364"/>
      <c r="AP8" s="365"/>
      <c r="AQ8" s="365"/>
      <c r="AR8" s="365"/>
      <c r="AS8" s="365"/>
      <c r="AT8" s="366"/>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row>
    <row r="9" spans="1:91" ht="15" customHeight="1" x14ac:dyDescent="0.25">
      <c r="A9" s="69"/>
      <c r="B9" s="259"/>
      <c r="C9" s="259"/>
      <c r="D9" s="260"/>
      <c r="E9" s="358"/>
      <c r="F9" s="357"/>
      <c r="G9" s="357"/>
      <c r="H9" s="357"/>
      <c r="I9" s="373"/>
      <c r="J9" s="38" t="e">
        <f>IF(AND('Mapa final'!#REF!="Muy Alta",'Mapa final'!#REF!="Leve"),CONCATENATE("R4C",'Mapa final'!#REF!),"")</f>
        <v>#REF!</v>
      </c>
      <c r="K9" s="39" t="e">
        <f>IF(AND('Mapa final'!#REF!="Muy Alta",'Mapa final'!#REF!="Leve"),CONCATENATE("R4C",'Mapa final'!#REF!),"")</f>
        <v>#REF!</v>
      </c>
      <c r="L9" s="39" t="e">
        <f>IF(AND('Mapa final'!#REF!="Muy Alta",'Mapa final'!#REF!="Leve"),CONCATENATE("R4C",'Mapa final'!#REF!),"")</f>
        <v>#REF!</v>
      </c>
      <c r="M9" s="39" t="e">
        <f>IF(AND('Mapa final'!#REF!="Muy Alta",'Mapa final'!#REF!="Leve"),CONCATENATE("R4C",'Mapa final'!#REF!),"")</f>
        <v>#REF!</v>
      </c>
      <c r="N9" s="39" t="e">
        <f>IF(AND('Mapa final'!#REF!="Muy Alta",'Mapa final'!#REF!="Leve"),CONCATENATE("R4C",'Mapa final'!#REF!),"")</f>
        <v>#REF!</v>
      </c>
      <c r="O9" s="40" t="e">
        <f>IF(AND('Mapa final'!#REF!="Muy Alta",'Mapa final'!#REF!="Leve"),CONCATENATE("R4C",'Mapa final'!#REF!),"")</f>
        <v>#REF!</v>
      </c>
      <c r="P9" s="38" t="e">
        <f>IF(AND('Mapa final'!#REF!="Muy Alta",'Mapa final'!#REF!="Menor"),CONCATENATE("R4C",'Mapa final'!#REF!),"")</f>
        <v>#REF!</v>
      </c>
      <c r="Q9" s="39" t="e">
        <f>IF(AND('Mapa final'!#REF!="Muy Alta",'Mapa final'!#REF!="Menor"),CONCATENATE("R4C",'Mapa final'!#REF!),"")</f>
        <v>#REF!</v>
      </c>
      <c r="R9" s="39" t="e">
        <f>IF(AND('Mapa final'!#REF!="Muy Alta",'Mapa final'!#REF!="Menor"),CONCATENATE("R4C",'Mapa final'!#REF!),"")</f>
        <v>#REF!</v>
      </c>
      <c r="S9" s="39" t="e">
        <f>IF(AND('Mapa final'!#REF!="Muy Alta",'Mapa final'!#REF!="Menor"),CONCATENATE("R4C",'Mapa final'!#REF!),"")</f>
        <v>#REF!</v>
      </c>
      <c r="T9" s="39" t="e">
        <f>IF(AND('Mapa final'!#REF!="Muy Alta",'Mapa final'!#REF!="Menor"),CONCATENATE("R4C",'Mapa final'!#REF!),"")</f>
        <v>#REF!</v>
      </c>
      <c r="U9" s="40" t="e">
        <f>IF(AND('Mapa final'!#REF!="Muy Alta",'Mapa final'!#REF!="Menor"),CONCATENATE("R4C",'Mapa final'!#REF!),"")</f>
        <v>#REF!</v>
      </c>
      <c r="V9" s="38" t="e">
        <f>IF(AND('Mapa final'!#REF!="Muy Alta",'Mapa final'!#REF!="Moderado"),CONCATENATE("R4C",'Mapa final'!#REF!),"")</f>
        <v>#REF!</v>
      </c>
      <c r="W9" s="39" t="e">
        <f>IF(AND('Mapa final'!#REF!="Muy Alta",'Mapa final'!#REF!="Moderado"),CONCATENATE("R4C",'Mapa final'!#REF!),"")</f>
        <v>#REF!</v>
      </c>
      <c r="X9" s="39" t="e">
        <f>IF(AND('Mapa final'!#REF!="Muy Alta",'Mapa final'!#REF!="Moderado"),CONCATENATE("R4C",'Mapa final'!#REF!),"")</f>
        <v>#REF!</v>
      </c>
      <c r="Y9" s="39" t="e">
        <f>IF(AND('Mapa final'!#REF!="Muy Alta",'Mapa final'!#REF!="Moderado"),CONCATENATE("R4C",'Mapa final'!#REF!),"")</f>
        <v>#REF!</v>
      </c>
      <c r="Z9" s="39" t="e">
        <f>IF(AND('Mapa final'!#REF!="Muy Alta",'Mapa final'!#REF!="Moderado"),CONCATENATE("R4C",'Mapa final'!#REF!),"")</f>
        <v>#REF!</v>
      </c>
      <c r="AA9" s="40" t="e">
        <f>IF(AND('Mapa final'!#REF!="Muy Alta",'Mapa final'!#REF!="Moderado"),CONCATENATE("R4C",'Mapa final'!#REF!),"")</f>
        <v>#REF!</v>
      </c>
      <c r="AB9" s="38" t="e">
        <f>IF(AND('Mapa final'!#REF!="Muy Alta",'Mapa final'!#REF!="Mayor"),CONCATENATE("R4C",'Mapa final'!#REF!),"")</f>
        <v>#REF!</v>
      </c>
      <c r="AC9" s="39" t="e">
        <f>IF(AND('Mapa final'!#REF!="Muy Alta",'Mapa final'!#REF!="Mayor"),CONCATENATE("R4C",'Mapa final'!#REF!),"")</f>
        <v>#REF!</v>
      </c>
      <c r="AD9" s="39" t="e">
        <f>IF(AND('Mapa final'!#REF!="Muy Alta",'Mapa final'!#REF!="Mayor"),CONCATENATE("R4C",'Mapa final'!#REF!),"")</f>
        <v>#REF!</v>
      </c>
      <c r="AE9" s="39" t="e">
        <f>IF(AND('Mapa final'!#REF!="Muy Alta",'Mapa final'!#REF!="Mayor"),CONCATENATE("R4C",'Mapa final'!#REF!),"")</f>
        <v>#REF!</v>
      </c>
      <c r="AF9" s="39" t="e">
        <f>IF(AND('Mapa final'!#REF!="Muy Alta",'Mapa final'!#REF!="Mayor"),CONCATENATE("R4C",'Mapa final'!#REF!),"")</f>
        <v>#REF!</v>
      </c>
      <c r="AG9" s="40" t="e">
        <f>IF(AND('Mapa final'!#REF!="Muy Alta",'Mapa final'!#REF!="Mayor"),CONCATENATE("R4C",'Mapa final'!#REF!),"")</f>
        <v>#REF!</v>
      </c>
      <c r="AH9" s="41" t="e">
        <f>IF(AND('Mapa final'!#REF!="Muy Alta",'Mapa final'!#REF!="Catastrófico"),CONCATENATE("R4C",'Mapa final'!#REF!),"")</f>
        <v>#REF!</v>
      </c>
      <c r="AI9" s="42" t="e">
        <f>IF(AND('Mapa final'!#REF!="Muy Alta",'Mapa final'!#REF!="Catastrófico"),CONCATENATE("R4C",'Mapa final'!#REF!),"")</f>
        <v>#REF!</v>
      </c>
      <c r="AJ9" s="42" t="e">
        <f>IF(AND('Mapa final'!#REF!="Muy Alta",'Mapa final'!#REF!="Catastrófico"),CONCATENATE("R4C",'Mapa final'!#REF!),"")</f>
        <v>#REF!</v>
      </c>
      <c r="AK9" s="42" t="e">
        <f>IF(AND('Mapa final'!#REF!="Muy Alta",'Mapa final'!#REF!="Catastrófico"),CONCATENATE("R4C",'Mapa final'!#REF!),"")</f>
        <v>#REF!</v>
      </c>
      <c r="AL9" s="42" t="e">
        <f>IF(AND('Mapa final'!#REF!="Muy Alta",'Mapa final'!#REF!="Catastrófico"),CONCATENATE("R4C",'Mapa final'!#REF!),"")</f>
        <v>#REF!</v>
      </c>
      <c r="AM9" s="43" t="e">
        <f>IF(AND('Mapa final'!#REF!="Muy Alta",'Mapa final'!#REF!="Catastrófico"),CONCATENATE("R4C",'Mapa final'!#REF!),"")</f>
        <v>#REF!</v>
      </c>
      <c r="AN9" s="69"/>
      <c r="AO9" s="364"/>
      <c r="AP9" s="365"/>
      <c r="AQ9" s="365"/>
      <c r="AR9" s="365"/>
      <c r="AS9" s="365"/>
      <c r="AT9" s="366"/>
      <c r="AU9" s="69"/>
      <c r="AV9" s="69"/>
      <c r="AW9" s="69"/>
      <c r="AX9" s="69"/>
      <c r="AY9" s="69"/>
      <c r="AZ9" s="69"/>
      <c r="BA9" s="69"/>
      <c r="BB9" s="69"/>
      <c r="BC9" s="69"/>
      <c r="BD9" s="69"/>
      <c r="BE9" s="69"/>
      <c r="BF9" s="69"/>
      <c r="BG9" s="69"/>
      <c r="BH9" s="69"/>
      <c r="BI9" s="69"/>
      <c r="BJ9" s="69"/>
      <c r="BK9" s="69"/>
      <c r="BL9" s="69"/>
      <c r="BM9" s="69"/>
      <c r="BN9" s="69"/>
      <c r="BO9" s="69"/>
      <c r="BP9" s="69"/>
      <c r="BQ9" s="69"/>
      <c r="BR9" s="69"/>
      <c r="BS9" s="69"/>
      <c r="BT9" s="69"/>
      <c r="BU9" s="69"/>
      <c r="BV9" s="69"/>
      <c r="BW9" s="69"/>
      <c r="BX9" s="69"/>
    </row>
    <row r="10" spans="1:91" ht="15" customHeight="1" x14ac:dyDescent="0.25">
      <c r="A10" s="69"/>
      <c r="B10" s="259"/>
      <c r="C10" s="259"/>
      <c r="D10" s="260"/>
      <c r="E10" s="358"/>
      <c r="F10" s="357"/>
      <c r="G10" s="357"/>
      <c r="H10" s="357"/>
      <c r="I10" s="373"/>
      <c r="J10" s="38" t="e">
        <f>IF(AND('Mapa final'!#REF!="Muy Alta",'Mapa final'!#REF!="Leve"),CONCATENATE("R5C",'Mapa final'!#REF!),"")</f>
        <v>#REF!</v>
      </c>
      <c r="K10" s="39" t="e">
        <f>IF(AND('Mapa final'!#REF!="Muy Alta",'Mapa final'!#REF!="Leve"),CONCATENATE("R5C",'Mapa final'!#REF!),"")</f>
        <v>#REF!</v>
      </c>
      <c r="L10" s="39" t="e">
        <f>IF(AND('Mapa final'!#REF!="Muy Alta",'Mapa final'!#REF!="Leve"),CONCATENATE("R5C",'Mapa final'!#REF!),"")</f>
        <v>#REF!</v>
      </c>
      <c r="M10" s="39" t="e">
        <f>IF(AND('Mapa final'!#REF!="Muy Alta",'Mapa final'!#REF!="Leve"),CONCATENATE("R5C",'Mapa final'!#REF!),"")</f>
        <v>#REF!</v>
      </c>
      <c r="N10" s="39" t="e">
        <f>IF(AND('Mapa final'!#REF!="Muy Alta",'Mapa final'!#REF!="Leve"),CONCATENATE("R5C",'Mapa final'!#REF!),"")</f>
        <v>#REF!</v>
      </c>
      <c r="O10" s="40" t="e">
        <f>IF(AND('Mapa final'!#REF!="Muy Alta",'Mapa final'!#REF!="Leve"),CONCATENATE("R5C",'Mapa final'!#REF!),"")</f>
        <v>#REF!</v>
      </c>
      <c r="P10" s="38" t="e">
        <f>IF(AND('Mapa final'!#REF!="Muy Alta",'Mapa final'!#REF!="Menor"),CONCATENATE("R5C",'Mapa final'!#REF!),"")</f>
        <v>#REF!</v>
      </c>
      <c r="Q10" s="39" t="e">
        <f>IF(AND('Mapa final'!#REF!="Muy Alta",'Mapa final'!#REF!="Menor"),CONCATENATE("R5C",'Mapa final'!#REF!),"")</f>
        <v>#REF!</v>
      </c>
      <c r="R10" s="39" t="e">
        <f>IF(AND('Mapa final'!#REF!="Muy Alta",'Mapa final'!#REF!="Menor"),CONCATENATE("R5C",'Mapa final'!#REF!),"")</f>
        <v>#REF!</v>
      </c>
      <c r="S10" s="39" t="e">
        <f>IF(AND('Mapa final'!#REF!="Muy Alta",'Mapa final'!#REF!="Menor"),CONCATENATE("R5C",'Mapa final'!#REF!),"")</f>
        <v>#REF!</v>
      </c>
      <c r="T10" s="39" t="e">
        <f>IF(AND('Mapa final'!#REF!="Muy Alta",'Mapa final'!#REF!="Menor"),CONCATENATE("R5C",'Mapa final'!#REF!),"")</f>
        <v>#REF!</v>
      </c>
      <c r="U10" s="40" t="e">
        <f>IF(AND('Mapa final'!#REF!="Muy Alta",'Mapa final'!#REF!="Menor"),CONCATENATE("R5C",'Mapa final'!#REF!),"")</f>
        <v>#REF!</v>
      </c>
      <c r="V10" s="38" t="e">
        <f>IF(AND('Mapa final'!#REF!="Muy Alta",'Mapa final'!#REF!="Moderado"),CONCATENATE("R5C",'Mapa final'!#REF!),"")</f>
        <v>#REF!</v>
      </c>
      <c r="W10" s="39" t="e">
        <f>IF(AND('Mapa final'!#REF!="Muy Alta",'Mapa final'!#REF!="Moderado"),CONCATENATE("R5C",'Mapa final'!#REF!),"")</f>
        <v>#REF!</v>
      </c>
      <c r="X10" s="39" t="e">
        <f>IF(AND('Mapa final'!#REF!="Muy Alta",'Mapa final'!#REF!="Moderado"),CONCATENATE("R5C",'Mapa final'!#REF!),"")</f>
        <v>#REF!</v>
      </c>
      <c r="Y10" s="39" t="e">
        <f>IF(AND('Mapa final'!#REF!="Muy Alta",'Mapa final'!#REF!="Moderado"),CONCATENATE("R5C",'Mapa final'!#REF!),"")</f>
        <v>#REF!</v>
      </c>
      <c r="Z10" s="39" t="e">
        <f>IF(AND('Mapa final'!#REF!="Muy Alta",'Mapa final'!#REF!="Moderado"),CONCATENATE("R5C",'Mapa final'!#REF!),"")</f>
        <v>#REF!</v>
      </c>
      <c r="AA10" s="40" t="e">
        <f>IF(AND('Mapa final'!#REF!="Muy Alta",'Mapa final'!#REF!="Moderado"),CONCATENATE("R5C",'Mapa final'!#REF!),"")</f>
        <v>#REF!</v>
      </c>
      <c r="AB10" s="38" t="e">
        <f>IF(AND('Mapa final'!#REF!="Muy Alta",'Mapa final'!#REF!="Mayor"),CONCATENATE("R5C",'Mapa final'!#REF!),"")</f>
        <v>#REF!</v>
      </c>
      <c r="AC10" s="39" t="e">
        <f>IF(AND('Mapa final'!#REF!="Muy Alta",'Mapa final'!#REF!="Mayor"),CONCATENATE("R5C",'Mapa final'!#REF!),"")</f>
        <v>#REF!</v>
      </c>
      <c r="AD10" s="39" t="e">
        <f>IF(AND('Mapa final'!#REF!="Muy Alta",'Mapa final'!#REF!="Mayor"),CONCATENATE("R5C",'Mapa final'!#REF!),"")</f>
        <v>#REF!</v>
      </c>
      <c r="AE10" s="39" t="e">
        <f>IF(AND('Mapa final'!#REF!="Muy Alta",'Mapa final'!#REF!="Mayor"),CONCATENATE("R5C",'Mapa final'!#REF!),"")</f>
        <v>#REF!</v>
      </c>
      <c r="AF10" s="39" t="e">
        <f>IF(AND('Mapa final'!#REF!="Muy Alta",'Mapa final'!#REF!="Mayor"),CONCATENATE("R5C",'Mapa final'!#REF!),"")</f>
        <v>#REF!</v>
      </c>
      <c r="AG10" s="40" t="e">
        <f>IF(AND('Mapa final'!#REF!="Muy Alta",'Mapa final'!#REF!="Mayor"),CONCATENATE("R5C",'Mapa final'!#REF!),"")</f>
        <v>#REF!</v>
      </c>
      <c r="AH10" s="41" t="e">
        <f>IF(AND('Mapa final'!#REF!="Muy Alta",'Mapa final'!#REF!="Catastrófico"),CONCATENATE("R5C",'Mapa final'!#REF!),"")</f>
        <v>#REF!</v>
      </c>
      <c r="AI10" s="42" t="e">
        <f>IF(AND('Mapa final'!#REF!="Muy Alta",'Mapa final'!#REF!="Catastrófico"),CONCATENATE("R5C",'Mapa final'!#REF!),"")</f>
        <v>#REF!</v>
      </c>
      <c r="AJ10" s="42" t="e">
        <f>IF(AND('Mapa final'!#REF!="Muy Alta",'Mapa final'!#REF!="Catastrófico"),CONCATENATE("R5C",'Mapa final'!#REF!),"")</f>
        <v>#REF!</v>
      </c>
      <c r="AK10" s="42" t="e">
        <f>IF(AND('Mapa final'!#REF!="Muy Alta",'Mapa final'!#REF!="Catastrófico"),CONCATENATE("R5C",'Mapa final'!#REF!),"")</f>
        <v>#REF!</v>
      </c>
      <c r="AL10" s="42" t="e">
        <f>IF(AND('Mapa final'!#REF!="Muy Alta",'Mapa final'!#REF!="Catastrófico"),CONCATENATE("R5C",'Mapa final'!#REF!),"")</f>
        <v>#REF!</v>
      </c>
      <c r="AM10" s="43" t="e">
        <f>IF(AND('Mapa final'!#REF!="Muy Alta",'Mapa final'!#REF!="Catastrófico"),CONCATENATE("R5C",'Mapa final'!#REF!),"")</f>
        <v>#REF!</v>
      </c>
      <c r="AN10" s="69"/>
      <c r="AO10" s="364"/>
      <c r="AP10" s="365"/>
      <c r="AQ10" s="365"/>
      <c r="AR10" s="365"/>
      <c r="AS10" s="365"/>
      <c r="AT10" s="366"/>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row>
    <row r="11" spans="1:91" ht="15" customHeight="1" x14ac:dyDescent="0.25">
      <c r="A11" s="69"/>
      <c r="B11" s="259"/>
      <c r="C11" s="259"/>
      <c r="D11" s="260"/>
      <c r="E11" s="358"/>
      <c r="F11" s="357"/>
      <c r="G11" s="357"/>
      <c r="H11" s="357"/>
      <c r="I11" s="373"/>
      <c r="J11" s="38" t="e">
        <f>IF(AND('Mapa final'!#REF!="Muy Alta",'Mapa final'!#REF!="Leve"),CONCATENATE("R6C",'Mapa final'!#REF!),"")</f>
        <v>#REF!</v>
      </c>
      <c r="K11" s="39" t="e">
        <f>IF(AND('Mapa final'!#REF!="Muy Alta",'Mapa final'!#REF!="Leve"),CONCATENATE("R6C",'Mapa final'!#REF!),"")</f>
        <v>#REF!</v>
      </c>
      <c r="L11" s="39" t="e">
        <f>IF(AND('Mapa final'!#REF!="Muy Alta",'Mapa final'!#REF!="Leve"),CONCATENATE("R6C",'Mapa final'!#REF!),"")</f>
        <v>#REF!</v>
      </c>
      <c r="M11" s="39" t="e">
        <f>IF(AND('Mapa final'!#REF!="Muy Alta",'Mapa final'!#REF!="Leve"),CONCATENATE("R6C",'Mapa final'!#REF!),"")</f>
        <v>#REF!</v>
      </c>
      <c r="N11" s="39" t="e">
        <f>IF(AND('Mapa final'!#REF!="Muy Alta",'Mapa final'!#REF!="Leve"),CONCATENATE("R6C",'Mapa final'!#REF!),"")</f>
        <v>#REF!</v>
      </c>
      <c r="O11" s="40" t="e">
        <f>IF(AND('Mapa final'!#REF!="Muy Alta",'Mapa final'!#REF!="Leve"),CONCATENATE("R6C",'Mapa final'!#REF!),"")</f>
        <v>#REF!</v>
      </c>
      <c r="P11" s="38" t="e">
        <f>IF(AND('Mapa final'!#REF!="Muy Alta",'Mapa final'!#REF!="Menor"),CONCATENATE("R6C",'Mapa final'!#REF!),"")</f>
        <v>#REF!</v>
      </c>
      <c r="Q11" s="39" t="e">
        <f>IF(AND('Mapa final'!#REF!="Muy Alta",'Mapa final'!#REF!="Menor"),CONCATENATE("R6C",'Mapa final'!#REF!),"")</f>
        <v>#REF!</v>
      </c>
      <c r="R11" s="39" t="e">
        <f>IF(AND('Mapa final'!#REF!="Muy Alta",'Mapa final'!#REF!="Menor"),CONCATENATE("R6C",'Mapa final'!#REF!),"")</f>
        <v>#REF!</v>
      </c>
      <c r="S11" s="39" t="e">
        <f>IF(AND('Mapa final'!#REF!="Muy Alta",'Mapa final'!#REF!="Menor"),CONCATENATE("R6C",'Mapa final'!#REF!),"")</f>
        <v>#REF!</v>
      </c>
      <c r="T11" s="39" t="e">
        <f>IF(AND('Mapa final'!#REF!="Muy Alta",'Mapa final'!#REF!="Menor"),CONCATENATE("R6C",'Mapa final'!#REF!),"")</f>
        <v>#REF!</v>
      </c>
      <c r="U11" s="40" t="e">
        <f>IF(AND('Mapa final'!#REF!="Muy Alta",'Mapa final'!#REF!="Menor"),CONCATENATE("R6C",'Mapa final'!#REF!),"")</f>
        <v>#REF!</v>
      </c>
      <c r="V11" s="38" t="e">
        <f>IF(AND('Mapa final'!#REF!="Muy Alta",'Mapa final'!#REF!="Moderado"),CONCATENATE("R6C",'Mapa final'!#REF!),"")</f>
        <v>#REF!</v>
      </c>
      <c r="W11" s="39" t="e">
        <f>IF(AND('Mapa final'!#REF!="Muy Alta",'Mapa final'!#REF!="Moderado"),CONCATENATE("R6C",'Mapa final'!#REF!),"")</f>
        <v>#REF!</v>
      </c>
      <c r="X11" s="39" t="e">
        <f>IF(AND('Mapa final'!#REF!="Muy Alta",'Mapa final'!#REF!="Moderado"),CONCATENATE("R6C",'Mapa final'!#REF!),"")</f>
        <v>#REF!</v>
      </c>
      <c r="Y11" s="39" t="e">
        <f>IF(AND('Mapa final'!#REF!="Muy Alta",'Mapa final'!#REF!="Moderado"),CONCATENATE("R6C",'Mapa final'!#REF!),"")</f>
        <v>#REF!</v>
      </c>
      <c r="Z11" s="39" t="e">
        <f>IF(AND('Mapa final'!#REF!="Muy Alta",'Mapa final'!#REF!="Moderado"),CONCATENATE("R6C",'Mapa final'!#REF!),"")</f>
        <v>#REF!</v>
      </c>
      <c r="AA11" s="40" t="e">
        <f>IF(AND('Mapa final'!#REF!="Muy Alta",'Mapa final'!#REF!="Moderado"),CONCATENATE("R6C",'Mapa final'!#REF!),"")</f>
        <v>#REF!</v>
      </c>
      <c r="AB11" s="38" t="e">
        <f>IF(AND('Mapa final'!#REF!="Muy Alta",'Mapa final'!#REF!="Mayor"),CONCATENATE("R6C",'Mapa final'!#REF!),"")</f>
        <v>#REF!</v>
      </c>
      <c r="AC11" s="39" t="e">
        <f>IF(AND('Mapa final'!#REF!="Muy Alta",'Mapa final'!#REF!="Mayor"),CONCATENATE("R6C",'Mapa final'!#REF!),"")</f>
        <v>#REF!</v>
      </c>
      <c r="AD11" s="39" t="e">
        <f>IF(AND('Mapa final'!#REF!="Muy Alta",'Mapa final'!#REF!="Mayor"),CONCATENATE("R6C",'Mapa final'!#REF!),"")</f>
        <v>#REF!</v>
      </c>
      <c r="AE11" s="39" t="e">
        <f>IF(AND('Mapa final'!#REF!="Muy Alta",'Mapa final'!#REF!="Mayor"),CONCATENATE("R6C",'Mapa final'!#REF!),"")</f>
        <v>#REF!</v>
      </c>
      <c r="AF11" s="39" t="e">
        <f>IF(AND('Mapa final'!#REF!="Muy Alta",'Mapa final'!#REF!="Mayor"),CONCATENATE("R6C",'Mapa final'!#REF!),"")</f>
        <v>#REF!</v>
      </c>
      <c r="AG11" s="40" t="e">
        <f>IF(AND('Mapa final'!#REF!="Muy Alta",'Mapa final'!#REF!="Mayor"),CONCATENATE("R6C",'Mapa final'!#REF!),"")</f>
        <v>#REF!</v>
      </c>
      <c r="AH11" s="41" t="e">
        <f>IF(AND('Mapa final'!#REF!="Muy Alta",'Mapa final'!#REF!="Catastrófico"),CONCATENATE("R6C",'Mapa final'!#REF!),"")</f>
        <v>#REF!</v>
      </c>
      <c r="AI11" s="42" t="e">
        <f>IF(AND('Mapa final'!#REF!="Muy Alta",'Mapa final'!#REF!="Catastrófico"),CONCATENATE("R6C",'Mapa final'!#REF!),"")</f>
        <v>#REF!</v>
      </c>
      <c r="AJ11" s="42" t="e">
        <f>IF(AND('Mapa final'!#REF!="Muy Alta",'Mapa final'!#REF!="Catastrófico"),CONCATENATE("R6C",'Mapa final'!#REF!),"")</f>
        <v>#REF!</v>
      </c>
      <c r="AK11" s="42" t="e">
        <f>IF(AND('Mapa final'!#REF!="Muy Alta",'Mapa final'!#REF!="Catastrófico"),CONCATENATE("R6C",'Mapa final'!#REF!),"")</f>
        <v>#REF!</v>
      </c>
      <c r="AL11" s="42" t="e">
        <f>IF(AND('Mapa final'!#REF!="Muy Alta",'Mapa final'!#REF!="Catastrófico"),CONCATENATE("R6C",'Mapa final'!#REF!),"")</f>
        <v>#REF!</v>
      </c>
      <c r="AM11" s="43" t="e">
        <f>IF(AND('Mapa final'!#REF!="Muy Alta",'Mapa final'!#REF!="Catastrófico"),CONCATENATE("R6C",'Mapa final'!#REF!),"")</f>
        <v>#REF!</v>
      </c>
      <c r="AN11" s="69"/>
      <c r="AO11" s="364"/>
      <c r="AP11" s="365"/>
      <c r="AQ11" s="365"/>
      <c r="AR11" s="365"/>
      <c r="AS11" s="365"/>
      <c r="AT11" s="366"/>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c r="BS11" s="69"/>
      <c r="BT11" s="69"/>
      <c r="BU11" s="69"/>
      <c r="BV11" s="69"/>
      <c r="BW11" s="69"/>
      <c r="BX11" s="69"/>
    </row>
    <row r="12" spans="1:91" ht="15" customHeight="1" x14ac:dyDescent="0.25">
      <c r="A12" s="69"/>
      <c r="B12" s="259"/>
      <c r="C12" s="259"/>
      <c r="D12" s="260"/>
      <c r="E12" s="358"/>
      <c r="F12" s="357"/>
      <c r="G12" s="357"/>
      <c r="H12" s="357"/>
      <c r="I12" s="373"/>
      <c r="J12" s="38" t="e">
        <f>IF(AND('Mapa final'!#REF!="Muy Alta",'Mapa final'!#REF!="Leve"),CONCATENATE("R7C",'Mapa final'!#REF!),"")</f>
        <v>#REF!</v>
      </c>
      <c r="K12" s="39" t="e">
        <f>IF(AND('Mapa final'!#REF!="Muy Alta",'Mapa final'!#REF!="Leve"),CONCATENATE("R7C",'Mapa final'!#REF!),"")</f>
        <v>#REF!</v>
      </c>
      <c r="L12" s="39" t="e">
        <f>IF(AND('Mapa final'!#REF!="Muy Alta",'Mapa final'!#REF!="Leve"),CONCATENATE("R7C",'Mapa final'!#REF!),"")</f>
        <v>#REF!</v>
      </c>
      <c r="M12" s="39" t="e">
        <f>IF(AND('Mapa final'!#REF!="Muy Alta",'Mapa final'!#REF!="Leve"),CONCATENATE("R7C",'Mapa final'!#REF!),"")</f>
        <v>#REF!</v>
      </c>
      <c r="N12" s="39" t="e">
        <f>IF(AND('Mapa final'!#REF!="Muy Alta",'Mapa final'!#REF!="Leve"),CONCATENATE("R7C",'Mapa final'!#REF!),"")</f>
        <v>#REF!</v>
      </c>
      <c r="O12" s="40" t="e">
        <f>IF(AND('Mapa final'!#REF!="Muy Alta",'Mapa final'!#REF!="Leve"),CONCATENATE("R7C",'Mapa final'!#REF!),"")</f>
        <v>#REF!</v>
      </c>
      <c r="P12" s="38" t="e">
        <f>IF(AND('Mapa final'!#REF!="Muy Alta",'Mapa final'!#REF!="Menor"),CONCATENATE("R7C",'Mapa final'!#REF!),"")</f>
        <v>#REF!</v>
      </c>
      <c r="Q12" s="39" t="e">
        <f>IF(AND('Mapa final'!#REF!="Muy Alta",'Mapa final'!#REF!="Menor"),CONCATENATE("R7C",'Mapa final'!#REF!),"")</f>
        <v>#REF!</v>
      </c>
      <c r="R12" s="39" t="e">
        <f>IF(AND('Mapa final'!#REF!="Muy Alta",'Mapa final'!#REF!="Menor"),CONCATENATE("R7C",'Mapa final'!#REF!),"")</f>
        <v>#REF!</v>
      </c>
      <c r="S12" s="39" t="e">
        <f>IF(AND('Mapa final'!#REF!="Muy Alta",'Mapa final'!#REF!="Menor"),CONCATENATE("R7C",'Mapa final'!#REF!),"")</f>
        <v>#REF!</v>
      </c>
      <c r="T12" s="39" t="e">
        <f>IF(AND('Mapa final'!#REF!="Muy Alta",'Mapa final'!#REF!="Menor"),CONCATENATE("R7C",'Mapa final'!#REF!),"")</f>
        <v>#REF!</v>
      </c>
      <c r="U12" s="40" t="e">
        <f>IF(AND('Mapa final'!#REF!="Muy Alta",'Mapa final'!#REF!="Menor"),CONCATENATE("R7C",'Mapa final'!#REF!),"")</f>
        <v>#REF!</v>
      </c>
      <c r="V12" s="38" t="e">
        <f>IF(AND('Mapa final'!#REF!="Muy Alta",'Mapa final'!#REF!="Moderado"),CONCATENATE("R7C",'Mapa final'!#REF!),"")</f>
        <v>#REF!</v>
      </c>
      <c r="W12" s="39" t="e">
        <f>IF(AND('Mapa final'!#REF!="Muy Alta",'Mapa final'!#REF!="Moderado"),CONCATENATE("R7C",'Mapa final'!#REF!),"")</f>
        <v>#REF!</v>
      </c>
      <c r="X12" s="39" t="e">
        <f>IF(AND('Mapa final'!#REF!="Muy Alta",'Mapa final'!#REF!="Moderado"),CONCATENATE("R7C",'Mapa final'!#REF!),"")</f>
        <v>#REF!</v>
      </c>
      <c r="Y12" s="39" t="e">
        <f>IF(AND('Mapa final'!#REF!="Muy Alta",'Mapa final'!#REF!="Moderado"),CONCATENATE("R7C",'Mapa final'!#REF!),"")</f>
        <v>#REF!</v>
      </c>
      <c r="Z12" s="39" t="e">
        <f>IF(AND('Mapa final'!#REF!="Muy Alta",'Mapa final'!#REF!="Moderado"),CONCATENATE("R7C",'Mapa final'!#REF!),"")</f>
        <v>#REF!</v>
      </c>
      <c r="AA12" s="40" t="e">
        <f>IF(AND('Mapa final'!#REF!="Muy Alta",'Mapa final'!#REF!="Moderado"),CONCATENATE("R7C",'Mapa final'!#REF!),"")</f>
        <v>#REF!</v>
      </c>
      <c r="AB12" s="38" t="e">
        <f>IF(AND('Mapa final'!#REF!="Muy Alta",'Mapa final'!#REF!="Mayor"),CONCATENATE("R7C",'Mapa final'!#REF!),"")</f>
        <v>#REF!</v>
      </c>
      <c r="AC12" s="39" t="e">
        <f>IF(AND('Mapa final'!#REF!="Muy Alta",'Mapa final'!#REF!="Mayor"),CONCATENATE("R7C",'Mapa final'!#REF!),"")</f>
        <v>#REF!</v>
      </c>
      <c r="AD12" s="39" t="e">
        <f>IF(AND('Mapa final'!#REF!="Muy Alta",'Mapa final'!#REF!="Mayor"),CONCATENATE("R7C",'Mapa final'!#REF!),"")</f>
        <v>#REF!</v>
      </c>
      <c r="AE12" s="39" t="e">
        <f>IF(AND('Mapa final'!#REF!="Muy Alta",'Mapa final'!#REF!="Mayor"),CONCATENATE("R7C",'Mapa final'!#REF!),"")</f>
        <v>#REF!</v>
      </c>
      <c r="AF12" s="39" t="e">
        <f>IF(AND('Mapa final'!#REF!="Muy Alta",'Mapa final'!#REF!="Mayor"),CONCATENATE("R7C",'Mapa final'!#REF!),"")</f>
        <v>#REF!</v>
      </c>
      <c r="AG12" s="40" t="e">
        <f>IF(AND('Mapa final'!#REF!="Muy Alta",'Mapa final'!#REF!="Mayor"),CONCATENATE("R7C",'Mapa final'!#REF!),"")</f>
        <v>#REF!</v>
      </c>
      <c r="AH12" s="41" t="e">
        <f>IF(AND('Mapa final'!#REF!="Muy Alta",'Mapa final'!#REF!="Catastrófico"),CONCATENATE("R7C",'Mapa final'!#REF!),"")</f>
        <v>#REF!</v>
      </c>
      <c r="AI12" s="42" t="e">
        <f>IF(AND('Mapa final'!#REF!="Muy Alta",'Mapa final'!#REF!="Catastrófico"),CONCATENATE("R7C",'Mapa final'!#REF!),"")</f>
        <v>#REF!</v>
      </c>
      <c r="AJ12" s="42" t="e">
        <f>IF(AND('Mapa final'!#REF!="Muy Alta",'Mapa final'!#REF!="Catastrófico"),CONCATENATE("R7C",'Mapa final'!#REF!),"")</f>
        <v>#REF!</v>
      </c>
      <c r="AK12" s="42" t="e">
        <f>IF(AND('Mapa final'!#REF!="Muy Alta",'Mapa final'!#REF!="Catastrófico"),CONCATENATE("R7C",'Mapa final'!#REF!),"")</f>
        <v>#REF!</v>
      </c>
      <c r="AL12" s="42" t="e">
        <f>IF(AND('Mapa final'!#REF!="Muy Alta",'Mapa final'!#REF!="Catastrófico"),CONCATENATE("R7C",'Mapa final'!#REF!),"")</f>
        <v>#REF!</v>
      </c>
      <c r="AM12" s="43" t="e">
        <f>IF(AND('Mapa final'!#REF!="Muy Alta",'Mapa final'!#REF!="Catastrófico"),CONCATENATE("R7C",'Mapa final'!#REF!),"")</f>
        <v>#REF!</v>
      </c>
      <c r="AN12" s="69"/>
      <c r="AO12" s="364"/>
      <c r="AP12" s="365"/>
      <c r="AQ12" s="365"/>
      <c r="AR12" s="365"/>
      <c r="AS12" s="365"/>
      <c r="AT12" s="366"/>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row>
    <row r="13" spans="1:91" ht="15" customHeight="1" x14ac:dyDescent="0.25">
      <c r="A13" s="69"/>
      <c r="B13" s="259"/>
      <c r="C13" s="259"/>
      <c r="D13" s="260"/>
      <c r="E13" s="358"/>
      <c r="F13" s="357"/>
      <c r="G13" s="357"/>
      <c r="H13" s="357"/>
      <c r="I13" s="373"/>
      <c r="J13" s="38" t="e">
        <f>IF(AND('Mapa final'!#REF!="Muy Alta",'Mapa final'!#REF!="Leve"),CONCATENATE("R8C",'Mapa final'!#REF!),"")</f>
        <v>#REF!</v>
      </c>
      <c r="K13" s="39" t="e">
        <f>IF(AND('Mapa final'!#REF!="Muy Alta",'Mapa final'!#REF!="Leve"),CONCATENATE("R8C",'Mapa final'!#REF!),"")</f>
        <v>#REF!</v>
      </c>
      <c r="L13" s="39" t="e">
        <f>IF(AND('Mapa final'!#REF!="Muy Alta",'Mapa final'!#REF!="Leve"),CONCATENATE("R8C",'Mapa final'!#REF!),"")</f>
        <v>#REF!</v>
      </c>
      <c r="M13" s="39" t="e">
        <f>IF(AND('Mapa final'!#REF!="Muy Alta",'Mapa final'!#REF!="Leve"),CONCATENATE("R8C",'Mapa final'!#REF!),"")</f>
        <v>#REF!</v>
      </c>
      <c r="N13" s="39" t="e">
        <f>IF(AND('Mapa final'!#REF!="Muy Alta",'Mapa final'!#REF!="Leve"),CONCATENATE("R8C",'Mapa final'!#REF!),"")</f>
        <v>#REF!</v>
      </c>
      <c r="O13" s="40" t="e">
        <f>IF(AND('Mapa final'!#REF!="Muy Alta",'Mapa final'!#REF!="Leve"),CONCATENATE("R8C",'Mapa final'!#REF!),"")</f>
        <v>#REF!</v>
      </c>
      <c r="P13" s="38" t="e">
        <f>IF(AND('Mapa final'!#REF!="Muy Alta",'Mapa final'!#REF!="Menor"),CONCATENATE("R8C",'Mapa final'!#REF!),"")</f>
        <v>#REF!</v>
      </c>
      <c r="Q13" s="39" t="e">
        <f>IF(AND('Mapa final'!#REF!="Muy Alta",'Mapa final'!#REF!="Menor"),CONCATENATE("R8C",'Mapa final'!#REF!),"")</f>
        <v>#REF!</v>
      </c>
      <c r="R13" s="39" t="e">
        <f>IF(AND('Mapa final'!#REF!="Muy Alta",'Mapa final'!#REF!="Menor"),CONCATENATE("R8C",'Mapa final'!#REF!),"")</f>
        <v>#REF!</v>
      </c>
      <c r="S13" s="39" t="e">
        <f>IF(AND('Mapa final'!#REF!="Muy Alta",'Mapa final'!#REF!="Menor"),CONCATENATE("R8C",'Mapa final'!#REF!),"")</f>
        <v>#REF!</v>
      </c>
      <c r="T13" s="39" t="e">
        <f>IF(AND('Mapa final'!#REF!="Muy Alta",'Mapa final'!#REF!="Menor"),CONCATENATE("R8C",'Mapa final'!#REF!),"")</f>
        <v>#REF!</v>
      </c>
      <c r="U13" s="40" t="e">
        <f>IF(AND('Mapa final'!#REF!="Muy Alta",'Mapa final'!#REF!="Menor"),CONCATENATE("R8C",'Mapa final'!#REF!),"")</f>
        <v>#REF!</v>
      </c>
      <c r="V13" s="38" t="e">
        <f>IF(AND('Mapa final'!#REF!="Muy Alta",'Mapa final'!#REF!="Moderado"),CONCATENATE("R8C",'Mapa final'!#REF!),"")</f>
        <v>#REF!</v>
      </c>
      <c r="W13" s="39" t="e">
        <f>IF(AND('Mapa final'!#REF!="Muy Alta",'Mapa final'!#REF!="Moderado"),CONCATENATE("R8C",'Mapa final'!#REF!),"")</f>
        <v>#REF!</v>
      </c>
      <c r="X13" s="39" t="e">
        <f>IF(AND('Mapa final'!#REF!="Muy Alta",'Mapa final'!#REF!="Moderado"),CONCATENATE("R8C",'Mapa final'!#REF!),"")</f>
        <v>#REF!</v>
      </c>
      <c r="Y13" s="39" t="e">
        <f>IF(AND('Mapa final'!#REF!="Muy Alta",'Mapa final'!#REF!="Moderado"),CONCATENATE("R8C",'Mapa final'!#REF!),"")</f>
        <v>#REF!</v>
      </c>
      <c r="Z13" s="39" t="e">
        <f>IF(AND('Mapa final'!#REF!="Muy Alta",'Mapa final'!#REF!="Moderado"),CONCATENATE("R8C",'Mapa final'!#REF!),"")</f>
        <v>#REF!</v>
      </c>
      <c r="AA13" s="40" t="e">
        <f>IF(AND('Mapa final'!#REF!="Muy Alta",'Mapa final'!#REF!="Moderado"),CONCATENATE("R8C",'Mapa final'!#REF!),"")</f>
        <v>#REF!</v>
      </c>
      <c r="AB13" s="38" t="e">
        <f>IF(AND('Mapa final'!#REF!="Muy Alta",'Mapa final'!#REF!="Mayor"),CONCATENATE("R8C",'Mapa final'!#REF!),"")</f>
        <v>#REF!</v>
      </c>
      <c r="AC13" s="39" t="e">
        <f>IF(AND('Mapa final'!#REF!="Muy Alta",'Mapa final'!#REF!="Mayor"),CONCATENATE("R8C",'Mapa final'!#REF!),"")</f>
        <v>#REF!</v>
      </c>
      <c r="AD13" s="39" t="e">
        <f>IF(AND('Mapa final'!#REF!="Muy Alta",'Mapa final'!#REF!="Mayor"),CONCATENATE("R8C",'Mapa final'!#REF!),"")</f>
        <v>#REF!</v>
      </c>
      <c r="AE13" s="39" t="e">
        <f>IF(AND('Mapa final'!#REF!="Muy Alta",'Mapa final'!#REF!="Mayor"),CONCATENATE("R8C",'Mapa final'!#REF!),"")</f>
        <v>#REF!</v>
      </c>
      <c r="AF13" s="39" t="e">
        <f>IF(AND('Mapa final'!#REF!="Muy Alta",'Mapa final'!#REF!="Mayor"),CONCATENATE("R8C",'Mapa final'!#REF!),"")</f>
        <v>#REF!</v>
      </c>
      <c r="AG13" s="40" t="e">
        <f>IF(AND('Mapa final'!#REF!="Muy Alta",'Mapa final'!#REF!="Mayor"),CONCATENATE("R8C",'Mapa final'!#REF!),"")</f>
        <v>#REF!</v>
      </c>
      <c r="AH13" s="41" t="e">
        <f>IF(AND('Mapa final'!#REF!="Muy Alta",'Mapa final'!#REF!="Catastrófico"),CONCATENATE("R8C",'Mapa final'!#REF!),"")</f>
        <v>#REF!</v>
      </c>
      <c r="AI13" s="42" t="e">
        <f>IF(AND('Mapa final'!#REF!="Muy Alta",'Mapa final'!#REF!="Catastrófico"),CONCATENATE("R8C",'Mapa final'!#REF!),"")</f>
        <v>#REF!</v>
      </c>
      <c r="AJ13" s="42" t="e">
        <f>IF(AND('Mapa final'!#REF!="Muy Alta",'Mapa final'!#REF!="Catastrófico"),CONCATENATE("R8C",'Mapa final'!#REF!),"")</f>
        <v>#REF!</v>
      </c>
      <c r="AK13" s="42" t="e">
        <f>IF(AND('Mapa final'!#REF!="Muy Alta",'Mapa final'!#REF!="Catastrófico"),CONCATENATE("R8C",'Mapa final'!#REF!),"")</f>
        <v>#REF!</v>
      </c>
      <c r="AL13" s="42" t="e">
        <f>IF(AND('Mapa final'!#REF!="Muy Alta",'Mapa final'!#REF!="Catastrófico"),CONCATENATE("R8C",'Mapa final'!#REF!),"")</f>
        <v>#REF!</v>
      </c>
      <c r="AM13" s="43" t="e">
        <f>IF(AND('Mapa final'!#REF!="Muy Alta",'Mapa final'!#REF!="Catastrófico"),CONCATENATE("R8C",'Mapa final'!#REF!),"")</f>
        <v>#REF!</v>
      </c>
      <c r="AN13" s="69"/>
      <c r="AO13" s="364"/>
      <c r="AP13" s="365"/>
      <c r="AQ13" s="365"/>
      <c r="AR13" s="365"/>
      <c r="AS13" s="365"/>
      <c r="AT13" s="366"/>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row>
    <row r="14" spans="1:91" ht="15" customHeight="1" x14ac:dyDescent="0.25">
      <c r="A14" s="69"/>
      <c r="B14" s="259"/>
      <c r="C14" s="259"/>
      <c r="D14" s="260"/>
      <c r="E14" s="358"/>
      <c r="F14" s="357"/>
      <c r="G14" s="357"/>
      <c r="H14" s="357"/>
      <c r="I14" s="373"/>
      <c r="J14" s="38" t="e">
        <f>IF(AND('Mapa final'!#REF!="Muy Alta",'Mapa final'!#REF!="Leve"),CONCATENATE("R9C",'Mapa final'!#REF!),"")</f>
        <v>#REF!</v>
      </c>
      <c r="K14" s="39" t="e">
        <f>IF(AND('Mapa final'!#REF!="Muy Alta",'Mapa final'!#REF!="Leve"),CONCATENATE("R9C",'Mapa final'!#REF!),"")</f>
        <v>#REF!</v>
      </c>
      <c r="L14" s="39" t="e">
        <f>IF(AND('Mapa final'!#REF!="Muy Alta",'Mapa final'!#REF!="Leve"),CONCATENATE("R9C",'Mapa final'!#REF!),"")</f>
        <v>#REF!</v>
      </c>
      <c r="M14" s="39" t="e">
        <f>IF(AND('Mapa final'!#REF!="Muy Alta",'Mapa final'!#REF!="Leve"),CONCATENATE("R9C",'Mapa final'!#REF!),"")</f>
        <v>#REF!</v>
      </c>
      <c r="N14" s="39" t="e">
        <f>IF(AND('Mapa final'!#REF!="Muy Alta",'Mapa final'!#REF!="Leve"),CONCATENATE("R9C",'Mapa final'!#REF!),"")</f>
        <v>#REF!</v>
      </c>
      <c r="O14" s="40" t="e">
        <f>IF(AND('Mapa final'!#REF!="Muy Alta",'Mapa final'!#REF!="Leve"),CONCATENATE("R9C",'Mapa final'!#REF!),"")</f>
        <v>#REF!</v>
      </c>
      <c r="P14" s="38" t="e">
        <f>IF(AND('Mapa final'!#REF!="Muy Alta",'Mapa final'!#REF!="Menor"),CONCATENATE("R9C",'Mapa final'!#REF!),"")</f>
        <v>#REF!</v>
      </c>
      <c r="Q14" s="39" t="e">
        <f>IF(AND('Mapa final'!#REF!="Muy Alta",'Mapa final'!#REF!="Menor"),CONCATENATE("R9C",'Mapa final'!#REF!),"")</f>
        <v>#REF!</v>
      </c>
      <c r="R14" s="39" t="e">
        <f>IF(AND('Mapa final'!#REF!="Muy Alta",'Mapa final'!#REF!="Menor"),CONCATENATE("R9C",'Mapa final'!#REF!),"")</f>
        <v>#REF!</v>
      </c>
      <c r="S14" s="39" t="e">
        <f>IF(AND('Mapa final'!#REF!="Muy Alta",'Mapa final'!#REF!="Menor"),CONCATENATE("R9C",'Mapa final'!#REF!),"")</f>
        <v>#REF!</v>
      </c>
      <c r="T14" s="39" t="e">
        <f>IF(AND('Mapa final'!#REF!="Muy Alta",'Mapa final'!#REF!="Menor"),CONCATENATE("R9C",'Mapa final'!#REF!),"")</f>
        <v>#REF!</v>
      </c>
      <c r="U14" s="40" t="e">
        <f>IF(AND('Mapa final'!#REF!="Muy Alta",'Mapa final'!#REF!="Menor"),CONCATENATE("R9C",'Mapa final'!#REF!),"")</f>
        <v>#REF!</v>
      </c>
      <c r="V14" s="38" t="e">
        <f>IF(AND('Mapa final'!#REF!="Muy Alta",'Mapa final'!#REF!="Moderado"),CONCATENATE("R9C",'Mapa final'!#REF!),"")</f>
        <v>#REF!</v>
      </c>
      <c r="W14" s="39" t="e">
        <f>IF(AND('Mapa final'!#REF!="Muy Alta",'Mapa final'!#REF!="Moderado"),CONCATENATE("R9C",'Mapa final'!#REF!),"")</f>
        <v>#REF!</v>
      </c>
      <c r="X14" s="39" t="e">
        <f>IF(AND('Mapa final'!#REF!="Muy Alta",'Mapa final'!#REF!="Moderado"),CONCATENATE("R9C",'Mapa final'!#REF!),"")</f>
        <v>#REF!</v>
      </c>
      <c r="Y14" s="39" t="e">
        <f>IF(AND('Mapa final'!#REF!="Muy Alta",'Mapa final'!#REF!="Moderado"),CONCATENATE("R9C",'Mapa final'!#REF!),"")</f>
        <v>#REF!</v>
      </c>
      <c r="Z14" s="39" t="e">
        <f>IF(AND('Mapa final'!#REF!="Muy Alta",'Mapa final'!#REF!="Moderado"),CONCATENATE("R9C",'Mapa final'!#REF!),"")</f>
        <v>#REF!</v>
      </c>
      <c r="AA14" s="40" t="e">
        <f>IF(AND('Mapa final'!#REF!="Muy Alta",'Mapa final'!#REF!="Moderado"),CONCATENATE("R9C",'Mapa final'!#REF!),"")</f>
        <v>#REF!</v>
      </c>
      <c r="AB14" s="38" t="e">
        <f>IF(AND('Mapa final'!#REF!="Muy Alta",'Mapa final'!#REF!="Mayor"),CONCATENATE("R9C",'Mapa final'!#REF!),"")</f>
        <v>#REF!</v>
      </c>
      <c r="AC14" s="39" t="e">
        <f>IF(AND('Mapa final'!#REF!="Muy Alta",'Mapa final'!#REF!="Mayor"),CONCATENATE("R9C",'Mapa final'!#REF!),"")</f>
        <v>#REF!</v>
      </c>
      <c r="AD14" s="39" t="e">
        <f>IF(AND('Mapa final'!#REF!="Muy Alta",'Mapa final'!#REF!="Mayor"),CONCATENATE("R9C",'Mapa final'!#REF!),"")</f>
        <v>#REF!</v>
      </c>
      <c r="AE14" s="39" t="e">
        <f>IF(AND('Mapa final'!#REF!="Muy Alta",'Mapa final'!#REF!="Mayor"),CONCATENATE("R9C",'Mapa final'!#REF!),"")</f>
        <v>#REF!</v>
      </c>
      <c r="AF14" s="39" t="e">
        <f>IF(AND('Mapa final'!#REF!="Muy Alta",'Mapa final'!#REF!="Mayor"),CONCATENATE("R9C",'Mapa final'!#REF!),"")</f>
        <v>#REF!</v>
      </c>
      <c r="AG14" s="40" t="e">
        <f>IF(AND('Mapa final'!#REF!="Muy Alta",'Mapa final'!#REF!="Mayor"),CONCATENATE("R9C",'Mapa final'!#REF!),"")</f>
        <v>#REF!</v>
      </c>
      <c r="AH14" s="41" t="e">
        <f>IF(AND('Mapa final'!#REF!="Muy Alta",'Mapa final'!#REF!="Catastrófico"),CONCATENATE("R9C",'Mapa final'!#REF!),"")</f>
        <v>#REF!</v>
      </c>
      <c r="AI14" s="42" t="e">
        <f>IF(AND('Mapa final'!#REF!="Muy Alta",'Mapa final'!#REF!="Catastrófico"),CONCATENATE("R9C",'Mapa final'!#REF!),"")</f>
        <v>#REF!</v>
      </c>
      <c r="AJ14" s="42" t="e">
        <f>IF(AND('Mapa final'!#REF!="Muy Alta",'Mapa final'!#REF!="Catastrófico"),CONCATENATE("R9C",'Mapa final'!#REF!),"")</f>
        <v>#REF!</v>
      </c>
      <c r="AK14" s="42" t="e">
        <f>IF(AND('Mapa final'!#REF!="Muy Alta",'Mapa final'!#REF!="Catastrófico"),CONCATENATE("R9C",'Mapa final'!#REF!),"")</f>
        <v>#REF!</v>
      </c>
      <c r="AL14" s="42" t="e">
        <f>IF(AND('Mapa final'!#REF!="Muy Alta",'Mapa final'!#REF!="Catastrófico"),CONCATENATE("R9C",'Mapa final'!#REF!),"")</f>
        <v>#REF!</v>
      </c>
      <c r="AM14" s="43" t="e">
        <f>IF(AND('Mapa final'!#REF!="Muy Alta",'Mapa final'!#REF!="Catastrófico"),CONCATENATE("R9C",'Mapa final'!#REF!),"")</f>
        <v>#REF!</v>
      </c>
      <c r="AN14" s="69"/>
      <c r="AO14" s="364"/>
      <c r="AP14" s="365"/>
      <c r="AQ14" s="365"/>
      <c r="AR14" s="365"/>
      <c r="AS14" s="365"/>
      <c r="AT14" s="366"/>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c r="BW14" s="69"/>
      <c r="BX14" s="69"/>
    </row>
    <row r="15" spans="1:91" ht="15.75" customHeight="1" thickBot="1" x14ac:dyDescent="0.3">
      <c r="A15" s="69"/>
      <c r="B15" s="259"/>
      <c r="C15" s="259"/>
      <c r="D15" s="260"/>
      <c r="E15" s="359"/>
      <c r="F15" s="360"/>
      <c r="G15" s="360"/>
      <c r="H15" s="360"/>
      <c r="I15" s="374"/>
      <c r="J15" s="44" t="e">
        <f>IF(AND('Mapa final'!#REF!="Muy Alta",'Mapa final'!#REF!="Leve"),CONCATENATE("R10C",'Mapa final'!#REF!),"")</f>
        <v>#REF!</v>
      </c>
      <c r="K15" s="45" t="e">
        <f>IF(AND('Mapa final'!#REF!="Muy Alta",'Mapa final'!#REF!="Leve"),CONCATENATE("R10C",'Mapa final'!#REF!),"")</f>
        <v>#REF!</v>
      </c>
      <c r="L15" s="45" t="e">
        <f>IF(AND('Mapa final'!#REF!="Muy Alta",'Mapa final'!#REF!="Leve"),CONCATENATE("R10C",'Mapa final'!#REF!),"")</f>
        <v>#REF!</v>
      </c>
      <c r="M15" s="45" t="e">
        <f>IF(AND('Mapa final'!#REF!="Muy Alta",'Mapa final'!#REF!="Leve"),CONCATENATE("R10C",'Mapa final'!#REF!),"")</f>
        <v>#REF!</v>
      </c>
      <c r="N15" s="45" t="e">
        <f>IF(AND('Mapa final'!#REF!="Muy Alta",'Mapa final'!#REF!="Leve"),CONCATENATE("R10C",'Mapa final'!#REF!),"")</f>
        <v>#REF!</v>
      </c>
      <c r="O15" s="46" t="e">
        <f>IF(AND('Mapa final'!#REF!="Muy Alta",'Mapa final'!#REF!="Leve"),CONCATENATE("R10C",'Mapa final'!#REF!),"")</f>
        <v>#REF!</v>
      </c>
      <c r="P15" s="38" t="e">
        <f>IF(AND('Mapa final'!#REF!="Muy Alta",'Mapa final'!#REF!="Menor"),CONCATENATE("R10C",'Mapa final'!#REF!),"")</f>
        <v>#REF!</v>
      </c>
      <c r="Q15" s="39" t="e">
        <f>IF(AND('Mapa final'!#REF!="Muy Alta",'Mapa final'!#REF!="Menor"),CONCATENATE("R10C",'Mapa final'!#REF!),"")</f>
        <v>#REF!</v>
      </c>
      <c r="R15" s="39" t="e">
        <f>IF(AND('Mapa final'!#REF!="Muy Alta",'Mapa final'!#REF!="Menor"),CONCATENATE("R10C",'Mapa final'!#REF!),"")</f>
        <v>#REF!</v>
      </c>
      <c r="S15" s="39" t="e">
        <f>IF(AND('Mapa final'!#REF!="Muy Alta",'Mapa final'!#REF!="Menor"),CONCATENATE("R10C",'Mapa final'!#REF!),"")</f>
        <v>#REF!</v>
      </c>
      <c r="T15" s="39" t="e">
        <f>IF(AND('Mapa final'!#REF!="Muy Alta",'Mapa final'!#REF!="Menor"),CONCATENATE("R10C",'Mapa final'!#REF!),"")</f>
        <v>#REF!</v>
      </c>
      <c r="U15" s="40" t="e">
        <f>IF(AND('Mapa final'!#REF!="Muy Alta",'Mapa final'!#REF!="Menor"),CONCATENATE("R10C",'Mapa final'!#REF!),"")</f>
        <v>#REF!</v>
      </c>
      <c r="V15" s="44" t="e">
        <f>IF(AND('Mapa final'!#REF!="Muy Alta",'Mapa final'!#REF!="Moderado"),CONCATENATE("R10C",'Mapa final'!#REF!),"")</f>
        <v>#REF!</v>
      </c>
      <c r="W15" s="45" t="e">
        <f>IF(AND('Mapa final'!#REF!="Muy Alta",'Mapa final'!#REF!="Moderado"),CONCATENATE("R10C",'Mapa final'!#REF!),"")</f>
        <v>#REF!</v>
      </c>
      <c r="X15" s="45" t="e">
        <f>IF(AND('Mapa final'!#REF!="Muy Alta",'Mapa final'!#REF!="Moderado"),CONCATENATE("R10C",'Mapa final'!#REF!),"")</f>
        <v>#REF!</v>
      </c>
      <c r="Y15" s="45" t="e">
        <f>IF(AND('Mapa final'!#REF!="Muy Alta",'Mapa final'!#REF!="Moderado"),CONCATENATE("R10C",'Mapa final'!#REF!),"")</f>
        <v>#REF!</v>
      </c>
      <c r="Z15" s="45" t="e">
        <f>IF(AND('Mapa final'!#REF!="Muy Alta",'Mapa final'!#REF!="Moderado"),CONCATENATE("R10C",'Mapa final'!#REF!),"")</f>
        <v>#REF!</v>
      </c>
      <c r="AA15" s="46" t="e">
        <f>IF(AND('Mapa final'!#REF!="Muy Alta",'Mapa final'!#REF!="Moderado"),CONCATENATE("R10C",'Mapa final'!#REF!),"")</f>
        <v>#REF!</v>
      </c>
      <c r="AB15" s="38" t="e">
        <f>IF(AND('Mapa final'!#REF!="Muy Alta",'Mapa final'!#REF!="Mayor"),CONCATENATE("R10C",'Mapa final'!#REF!),"")</f>
        <v>#REF!</v>
      </c>
      <c r="AC15" s="39" t="e">
        <f>IF(AND('Mapa final'!#REF!="Muy Alta",'Mapa final'!#REF!="Mayor"),CONCATENATE("R10C",'Mapa final'!#REF!),"")</f>
        <v>#REF!</v>
      </c>
      <c r="AD15" s="39" t="e">
        <f>IF(AND('Mapa final'!#REF!="Muy Alta",'Mapa final'!#REF!="Mayor"),CONCATENATE("R10C",'Mapa final'!#REF!),"")</f>
        <v>#REF!</v>
      </c>
      <c r="AE15" s="39" t="e">
        <f>IF(AND('Mapa final'!#REF!="Muy Alta",'Mapa final'!#REF!="Mayor"),CONCATENATE("R10C",'Mapa final'!#REF!),"")</f>
        <v>#REF!</v>
      </c>
      <c r="AF15" s="39" t="e">
        <f>IF(AND('Mapa final'!#REF!="Muy Alta",'Mapa final'!#REF!="Mayor"),CONCATENATE("R10C",'Mapa final'!#REF!),"")</f>
        <v>#REF!</v>
      </c>
      <c r="AG15" s="40" t="e">
        <f>IF(AND('Mapa final'!#REF!="Muy Alta",'Mapa final'!#REF!="Mayor"),CONCATENATE("R10C",'Mapa final'!#REF!),"")</f>
        <v>#REF!</v>
      </c>
      <c r="AH15" s="47" t="e">
        <f>IF(AND('Mapa final'!#REF!="Muy Alta",'Mapa final'!#REF!="Catastrófico"),CONCATENATE("R10C",'Mapa final'!#REF!),"")</f>
        <v>#REF!</v>
      </c>
      <c r="AI15" s="48" t="e">
        <f>IF(AND('Mapa final'!#REF!="Muy Alta",'Mapa final'!#REF!="Catastrófico"),CONCATENATE("R10C",'Mapa final'!#REF!),"")</f>
        <v>#REF!</v>
      </c>
      <c r="AJ15" s="48" t="e">
        <f>IF(AND('Mapa final'!#REF!="Muy Alta",'Mapa final'!#REF!="Catastrófico"),CONCATENATE("R10C",'Mapa final'!#REF!),"")</f>
        <v>#REF!</v>
      </c>
      <c r="AK15" s="48" t="e">
        <f>IF(AND('Mapa final'!#REF!="Muy Alta",'Mapa final'!#REF!="Catastrófico"),CONCATENATE("R10C",'Mapa final'!#REF!),"")</f>
        <v>#REF!</v>
      </c>
      <c r="AL15" s="48" t="e">
        <f>IF(AND('Mapa final'!#REF!="Muy Alta",'Mapa final'!#REF!="Catastrófico"),CONCATENATE("R10C",'Mapa final'!#REF!),"")</f>
        <v>#REF!</v>
      </c>
      <c r="AM15" s="49" t="e">
        <f>IF(AND('Mapa final'!#REF!="Muy Alta",'Mapa final'!#REF!="Catastrófico"),CONCATENATE("R10C",'Mapa final'!#REF!),"")</f>
        <v>#REF!</v>
      </c>
      <c r="AN15" s="69"/>
      <c r="AO15" s="367"/>
      <c r="AP15" s="368"/>
      <c r="AQ15" s="368"/>
      <c r="AR15" s="368"/>
      <c r="AS15" s="368"/>
      <c r="AT15" s="369"/>
      <c r="AU15" s="69"/>
      <c r="AV15" s="69"/>
      <c r="AW15" s="69"/>
      <c r="AX15" s="69"/>
      <c r="AY15" s="69"/>
      <c r="AZ15" s="69"/>
      <c r="BA15" s="69"/>
      <c r="BB15" s="69"/>
      <c r="BC15" s="69"/>
      <c r="BD15" s="69"/>
      <c r="BE15" s="69"/>
      <c r="BF15" s="69"/>
      <c r="BG15" s="69"/>
      <c r="BH15" s="69"/>
      <c r="BI15" s="69"/>
      <c r="BJ15" s="69"/>
      <c r="BK15" s="69"/>
      <c r="BL15" s="69"/>
      <c r="BM15" s="69"/>
      <c r="BN15" s="69"/>
      <c r="BO15" s="69"/>
      <c r="BP15" s="69"/>
      <c r="BQ15" s="69"/>
      <c r="BR15" s="69"/>
      <c r="BS15" s="69"/>
      <c r="BT15" s="69"/>
      <c r="BU15" s="69"/>
      <c r="BV15" s="69"/>
      <c r="BW15" s="69"/>
      <c r="BX15" s="69"/>
    </row>
    <row r="16" spans="1:91" ht="15" customHeight="1" x14ac:dyDescent="0.25">
      <c r="A16" s="69"/>
      <c r="B16" s="259"/>
      <c r="C16" s="259"/>
      <c r="D16" s="260"/>
      <c r="E16" s="354" t="s">
        <v>113</v>
      </c>
      <c r="F16" s="355"/>
      <c r="G16" s="355"/>
      <c r="H16" s="355"/>
      <c r="I16" s="355"/>
      <c r="J16" s="50" t="str">
        <f>IF(AND('Mapa final'!$Y$13="Alta",'Mapa final'!$AA$13="Leve"),CONCATENATE("R1C",'Mapa final'!$O$13),"")</f>
        <v/>
      </c>
      <c r="K16" s="51" t="str">
        <f>IF(AND('Mapa final'!$Y$14="Alta",'Mapa final'!$AA$14="Leve"),CONCATENATE("R1C",'Mapa final'!$O$14),"")</f>
        <v/>
      </c>
      <c r="L16" s="51" t="str">
        <f>IF(AND('Mapa final'!$Y$15="Alta",'Mapa final'!$AA$15="Leve"),CONCATENATE("R1C",'Mapa final'!$O$15),"")</f>
        <v/>
      </c>
      <c r="M16" s="51" t="str">
        <f>IF(AND('Mapa final'!$Y$16="Alta",'Mapa final'!$AA$16="Leve"),CONCATENATE("R1C",'Mapa final'!$O$16),"")</f>
        <v/>
      </c>
      <c r="N16" s="51" t="str">
        <f>IF(AND('Mapa final'!$Y$17="Alta",'Mapa final'!$AA$17="Leve"),CONCATENATE("R1C",'Mapa final'!$O$17),"")</f>
        <v/>
      </c>
      <c r="O16" s="52" t="str">
        <f>IF(AND('Mapa final'!$Y$18="Alta",'Mapa final'!$AA$18="Leve"),CONCATENATE("R1C",'Mapa final'!$O$18),"")</f>
        <v/>
      </c>
      <c r="P16" s="50" t="str">
        <f>IF(AND('Mapa final'!$Y$13="Alta",'Mapa final'!$AA$13="Menor"),CONCATENATE("R1C",'Mapa final'!$O$13),"")</f>
        <v/>
      </c>
      <c r="Q16" s="51" t="str">
        <f>IF(AND('Mapa final'!$Y$14="Alta",'Mapa final'!$AA$14="Menor"),CONCATENATE("R1C",'Mapa final'!$O$14),"")</f>
        <v/>
      </c>
      <c r="R16" s="51" t="str">
        <f>IF(AND('Mapa final'!$Y$15="Alta",'Mapa final'!$AA$15="Menor"),CONCATENATE("R1C",'Mapa final'!$O$15),"")</f>
        <v/>
      </c>
      <c r="S16" s="51" t="str">
        <f>IF(AND('Mapa final'!$Y$16="Alta",'Mapa final'!$AA$16="Menor"),CONCATENATE("R1C",'Mapa final'!$O$16),"")</f>
        <v/>
      </c>
      <c r="T16" s="51" t="str">
        <f>IF(AND('Mapa final'!$Y$17="Alta",'Mapa final'!$AA$17="Menor"),CONCATENATE("R1C",'Mapa final'!$O$17),"")</f>
        <v/>
      </c>
      <c r="U16" s="52" t="str">
        <f>IF(AND('Mapa final'!$Y$18="Alta",'Mapa final'!$AA$18="Menor"),CONCATENATE("R1C",'Mapa final'!$O$18),"")</f>
        <v/>
      </c>
      <c r="V16" s="32" t="str">
        <f>IF(AND('Mapa final'!$Y$13="Alta",'Mapa final'!$AA$13="Moderado"),CONCATENATE("R1C",'Mapa final'!$O$13),"")</f>
        <v/>
      </c>
      <c r="W16" s="33" t="str">
        <f>IF(AND('Mapa final'!$Y$14="Alta",'Mapa final'!$AA$14="Moderado"),CONCATENATE("R1C",'Mapa final'!$O$14),"")</f>
        <v/>
      </c>
      <c r="X16" s="33" t="str">
        <f>IF(AND('Mapa final'!$Y$15="Alta",'Mapa final'!$AA$15="Moderado"),CONCATENATE("R1C",'Mapa final'!$O$15),"")</f>
        <v/>
      </c>
      <c r="Y16" s="33" t="str">
        <f>IF(AND('Mapa final'!$Y$16="Alta",'Mapa final'!$AA$16="Moderado"),CONCATENATE("R1C",'Mapa final'!$O$16),"")</f>
        <v/>
      </c>
      <c r="Z16" s="33" t="str">
        <f>IF(AND('Mapa final'!$Y$17="Alta",'Mapa final'!$AA$17="Moderado"),CONCATENATE("R1C",'Mapa final'!$O$17),"")</f>
        <v/>
      </c>
      <c r="AA16" s="34" t="str">
        <f>IF(AND('Mapa final'!$Y$18="Alta",'Mapa final'!$AA$18="Moderado"),CONCATENATE("R1C",'Mapa final'!$O$18),"")</f>
        <v/>
      </c>
      <c r="AB16" s="32" t="str">
        <f>IF(AND('Mapa final'!$Y$13="Alta",'Mapa final'!$AA$13="Mayor"),CONCATENATE("R1C",'Mapa final'!$O$13),"")</f>
        <v/>
      </c>
      <c r="AC16" s="33" t="str">
        <f>IF(AND('Mapa final'!$Y$14="Alta",'Mapa final'!$AA$14="Mayor"),CONCATENATE("R1C",'Mapa final'!$O$14),"")</f>
        <v/>
      </c>
      <c r="AD16" s="33" t="str">
        <f>IF(AND('Mapa final'!$Y$15="Alta",'Mapa final'!$AA$15="Mayor"),CONCATENATE("R1C",'Mapa final'!$O$15),"")</f>
        <v/>
      </c>
      <c r="AE16" s="33" t="str">
        <f>IF(AND('Mapa final'!$Y$16="Alta",'Mapa final'!$AA$16="Mayor"),CONCATENATE("R1C",'Mapa final'!$O$16),"")</f>
        <v/>
      </c>
      <c r="AF16" s="33" t="str">
        <f>IF(AND('Mapa final'!$Y$17="Alta",'Mapa final'!$AA$17="Mayor"),CONCATENATE("R1C",'Mapa final'!$O$17),"")</f>
        <v/>
      </c>
      <c r="AG16" s="34" t="str">
        <f>IF(AND('Mapa final'!$Y$18="Alta",'Mapa final'!$AA$18="Mayor"),CONCATENATE("R1C",'Mapa final'!$O$18),"")</f>
        <v/>
      </c>
      <c r="AH16" s="35" t="str">
        <f>IF(AND('Mapa final'!$Y$13="Alta",'Mapa final'!$AA$13="Catastrófico"),CONCATENATE("R1C",'Mapa final'!$O$13),"")</f>
        <v/>
      </c>
      <c r="AI16" s="36" t="str">
        <f>IF(AND('Mapa final'!$Y$14="Alta",'Mapa final'!$AA$14="Catastrófico"),CONCATENATE("R1C",'Mapa final'!$O$14),"")</f>
        <v/>
      </c>
      <c r="AJ16" s="36" t="str">
        <f>IF(AND('Mapa final'!$Y$15="Alta",'Mapa final'!$AA$15="Catastrófico"),CONCATENATE("R1C",'Mapa final'!$O$15),"")</f>
        <v/>
      </c>
      <c r="AK16" s="36" t="str">
        <f>IF(AND('Mapa final'!$Y$16="Alta",'Mapa final'!$AA$16="Catastrófico"),CONCATENATE("R1C",'Mapa final'!$O$16),"")</f>
        <v/>
      </c>
      <c r="AL16" s="36" t="str">
        <f>IF(AND('Mapa final'!$Y$17="Alta",'Mapa final'!$AA$17="Catastrófico"),CONCATENATE("R1C",'Mapa final'!$O$17),"")</f>
        <v/>
      </c>
      <c r="AM16" s="37" t="str">
        <f>IF(AND('Mapa final'!$Y$18="Alta",'Mapa final'!$AA$18="Catastrófico"),CONCATENATE("R1C",'Mapa final'!$O$18),"")</f>
        <v/>
      </c>
      <c r="AN16" s="69"/>
      <c r="AO16" s="345" t="s">
        <v>78</v>
      </c>
      <c r="AP16" s="346"/>
      <c r="AQ16" s="346"/>
      <c r="AR16" s="346"/>
      <c r="AS16" s="346"/>
      <c r="AT16" s="347"/>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row>
    <row r="17" spans="1:76" ht="15" customHeight="1" x14ac:dyDescent="0.25">
      <c r="A17" s="69"/>
      <c r="B17" s="259"/>
      <c r="C17" s="259"/>
      <c r="D17" s="260"/>
      <c r="E17" s="356"/>
      <c r="F17" s="357"/>
      <c r="G17" s="357"/>
      <c r="H17" s="357"/>
      <c r="I17" s="357"/>
      <c r="J17" s="53" t="e">
        <f>IF(AND('Mapa final'!#REF!="Alta",'Mapa final'!#REF!="Leve"),CONCATENATE("R2C",'Mapa final'!#REF!),"")</f>
        <v>#REF!</v>
      </c>
      <c r="K17" s="54" t="e">
        <f>IF(AND('Mapa final'!#REF!="Alta",'Mapa final'!#REF!="Leve"),CONCATENATE("R2C",'Mapa final'!#REF!),"")</f>
        <v>#REF!</v>
      </c>
      <c r="L17" s="54" t="e">
        <f>IF(AND('Mapa final'!#REF!="Alta",'Mapa final'!#REF!="Leve"),CONCATENATE("R2C",'Mapa final'!#REF!),"")</f>
        <v>#REF!</v>
      </c>
      <c r="M17" s="54" t="e">
        <f>IF(AND('Mapa final'!#REF!="Alta",'Mapa final'!#REF!="Leve"),CONCATENATE("R2C",'Mapa final'!#REF!),"")</f>
        <v>#REF!</v>
      </c>
      <c r="N17" s="54" t="e">
        <f>IF(AND('Mapa final'!#REF!="Alta",'Mapa final'!#REF!="Leve"),CONCATENATE("R2C",'Mapa final'!#REF!),"")</f>
        <v>#REF!</v>
      </c>
      <c r="O17" s="55" t="e">
        <f>IF(AND('Mapa final'!#REF!="Alta",'Mapa final'!#REF!="Leve"),CONCATENATE("R2C",'Mapa final'!#REF!),"")</f>
        <v>#REF!</v>
      </c>
      <c r="P17" s="53" t="e">
        <f>IF(AND('Mapa final'!#REF!="Alta",'Mapa final'!#REF!="Menor"),CONCATENATE("R2C",'Mapa final'!#REF!),"")</f>
        <v>#REF!</v>
      </c>
      <c r="Q17" s="54" t="e">
        <f>IF(AND('Mapa final'!#REF!="Alta",'Mapa final'!#REF!="Menor"),CONCATENATE("R2C",'Mapa final'!#REF!),"")</f>
        <v>#REF!</v>
      </c>
      <c r="R17" s="54" t="e">
        <f>IF(AND('Mapa final'!#REF!="Alta",'Mapa final'!#REF!="Menor"),CONCATENATE("R2C",'Mapa final'!#REF!),"")</f>
        <v>#REF!</v>
      </c>
      <c r="S17" s="54" t="e">
        <f>IF(AND('Mapa final'!#REF!="Alta",'Mapa final'!#REF!="Menor"),CONCATENATE("R2C",'Mapa final'!#REF!),"")</f>
        <v>#REF!</v>
      </c>
      <c r="T17" s="54" t="e">
        <f>IF(AND('Mapa final'!#REF!="Alta",'Mapa final'!#REF!="Menor"),CONCATENATE("R2C",'Mapa final'!#REF!),"")</f>
        <v>#REF!</v>
      </c>
      <c r="U17" s="55" t="e">
        <f>IF(AND('Mapa final'!#REF!="Alta",'Mapa final'!#REF!="Menor"),CONCATENATE("R2C",'Mapa final'!#REF!),"")</f>
        <v>#REF!</v>
      </c>
      <c r="V17" s="38" t="e">
        <f>IF(AND('Mapa final'!#REF!="Alta",'Mapa final'!#REF!="Moderado"),CONCATENATE("R2C",'Mapa final'!#REF!),"")</f>
        <v>#REF!</v>
      </c>
      <c r="W17" s="39" t="e">
        <f>IF(AND('Mapa final'!#REF!="Alta",'Mapa final'!#REF!="Moderado"),CONCATENATE("R2C",'Mapa final'!#REF!),"")</f>
        <v>#REF!</v>
      </c>
      <c r="X17" s="39" t="e">
        <f>IF(AND('Mapa final'!#REF!="Alta",'Mapa final'!#REF!="Moderado"),CONCATENATE("R2C",'Mapa final'!#REF!),"")</f>
        <v>#REF!</v>
      </c>
      <c r="Y17" s="39" t="e">
        <f>IF(AND('Mapa final'!#REF!="Alta",'Mapa final'!#REF!="Moderado"),CONCATENATE("R2C",'Mapa final'!#REF!),"")</f>
        <v>#REF!</v>
      </c>
      <c r="Z17" s="39" t="e">
        <f>IF(AND('Mapa final'!#REF!="Alta",'Mapa final'!#REF!="Moderado"),CONCATENATE("R2C",'Mapa final'!#REF!),"")</f>
        <v>#REF!</v>
      </c>
      <c r="AA17" s="40" t="e">
        <f>IF(AND('Mapa final'!#REF!="Alta",'Mapa final'!#REF!="Moderado"),CONCATENATE("R2C",'Mapa final'!#REF!),"")</f>
        <v>#REF!</v>
      </c>
      <c r="AB17" s="38" t="e">
        <f>IF(AND('Mapa final'!#REF!="Alta",'Mapa final'!#REF!="Mayor"),CONCATENATE("R2C",'Mapa final'!#REF!),"")</f>
        <v>#REF!</v>
      </c>
      <c r="AC17" s="39" t="e">
        <f>IF(AND('Mapa final'!#REF!="Alta",'Mapa final'!#REF!="Mayor"),CONCATENATE("R2C",'Mapa final'!#REF!),"")</f>
        <v>#REF!</v>
      </c>
      <c r="AD17" s="39" t="e">
        <f>IF(AND('Mapa final'!#REF!="Alta",'Mapa final'!#REF!="Mayor"),CONCATENATE("R2C",'Mapa final'!#REF!),"")</f>
        <v>#REF!</v>
      </c>
      <c r="AE17" s="39" t="e">
        <f>IF(AND('Mapa final'!#REF!="Alta",'Mapa final'!#REF!="Mayor"),CONCATENATE("R2C",'Mapa final'!#REF!),"")</f>
        <v>#REF!</v>
      </c>
      <c r="AF17" s="39" t="e">
        <f>IF(AND('Mapa final'!#REF!="Alta",'Mapa final'!#REF!="Mayor"),CONCATENATE("R2C",'Mapa final'!#REF!),"")</f>
        <v>#REF!</v>
      </c>
      <c r="AG17" s="40" t="e">
        <f>IF(AND('Mapa final'!#REF!="Alta",'Mapa final'!#REF!="Mayor"),CONCATENATE("R2C",'Mapa final'!#REF!),"")</f>
        <v>#REF!</v>
      </c>
      <c r="AH17" s="41" t="e">
        <f>IF(AND('Mapa final'!#REF!="Alta",'Mapa final'!#REF!="Catastrófico"),CONCATENATE("R2C",'Mapa final'!#REF!),"")</f>
        <v>#REF!</v>
      </c>
      <c r="AI17" s="42" t="e">
        <f>IF(AND('Mapa final'!#REF!="Alta",'Mapa final'!#REF!="Catastrófico"),CONCATENATE("R2C",'Mapa final'!#REF!),"")</f>
        <v>#REF!</v>
      </c>
      <c r="AJ17" s="42" t="e">
        <f>IF(AND('Mapa final'!#REF!="Alta",'Mapa final'!#REF!="Catastrófico"),CONCATENATE("R2C",'Mapa final'!#REF!),"")</f>
        <v>#REF!</v>
      </c>
      <c r="AK17" s="42" t="e">
        <f>IF(AND('Mapa final'!#REF!="Alta",'Mapa final'!#REF!="Catastrófico"),CONCATENATE("R2C",'Mapa final'!#REF!),"")</f>
        <v>#REF!</v>
      </c>
      <c r="AL17" s="42" t="e">
        <f>IF(AND('Mapa final'!#REF!="Alta",'Mapa final'!#REF!="Catastrófico"),CONCATENATE("R2C",'Mapa final'!#REF!),"")</f>
        <v>#REF!</v>
      </c>
      <c r="AM17" s="43" t="e">
        <f>IF(AND('Mapa final'!#REF!="Alta",'Mapa final'!#REF!="Catastrófico"),CONCATENATE("R2C",'Mapa final'!#REF!),"")</f>
        <v>#REF!</v>
      </c>
      <c r="AN17" s="69"/>
      <c r="AO17" s="348"/>
      <c r="AP17" s="349"/>
      <c r="AQ17" s="349"/>
      <c r="AR17" s="349"/>
      <c r="AS17" s="349"/>
      <c r="AT17" s="350"/>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c r="BU17" s="69"/>
      <c r="BV17" s="69"/>
      <c r="BW17" s="69"/>
      <c r="BX17" s="69"/>
    </row>
    <row r="18" spans="1:76" ht="15" customHeight="1" x14ac:dyDescent="0.25">
      <c r="A18" s="69"/>
      <c r="B18" s="259"/>
      <c r="C18" s="259"/>
      <c r="D18" s="260"/>
      <c r="E18" s="358"/>
      <c r="F18" s="357"/>
      <c r="G18" s="357"/>
      <c r="H18" s="357"/>
      <c r="I18" s="357"/>
      <c r="J18" s="53" t="e">
        <f>IF(AND('Mapa final'!#REF!="Alta",'Mapa final'!#REF!="Leve"),CONCATENATE("R3C",'Mapa final'!#REF!),"")</f>
        <v>#REF!</v>
      </c>
      <c r="K18" s="54" t="e">
        <f>IF(AND('Mapa final'!#REF!="Alta",'Mapa final'!#REF!="Leve"),CONCATENATE("R3C",'Mapa final'!#REF!),"")</f>
        <v>#REF!</v>
      </c>
      <c r="L18" s="54" t="e">
        <f>IF(AND('Mapa final'!#REF!="Alta",'Mapa final'!#REF!="Leve"),CONCATENATE("R3C",'Mapa final'!#REF!),"")</f>
        <v>#REF!</v>
      </c>
      <c r="M18" s="54" t="e">
        <f>IF(AND('Mapa final'!#REF!="Alta",'Mapa final'!#REF!="Leve"),CONCATENATE("R3C",'Mapa final'!#REF!),"")</f>
        <v>#REF!</v>
      </c>
      <c r="N18" s="54" t="e">
        <f>IF(AND('Mapa final'!#REF!="Alta",'Mapa final'!#REF!="Leve"),CONCATENATE("R3C",'Mapa final'!#REF!),"")</f>
        <v>#REF!</v>
      </c>
      <c r="O18" s="55" t="e">
        <f>IF(AND('Mapa final'!#REF!="Alta",'Mapa final'!#REF!="Leve"),CONCATENATE("R3C",'Mapa final'!#REF!),"")</f>
        <v>#REF!</v>
      </c>
      <c r="P18" s="53" t="e">
        <f>IF(AND('Mapa final'!#REF!="Alta",'Mapa final'!#REF!="Menor"),CONCATENATE("R3C",'Mapa final'!#REF!),"")</f>
        <v>#REF!</v>
      </c>
      <c r="Q18" s="54" t="e">
        <f>IF(AND('Mapa final'!#REF!="Alta",'Mapa final'!#REF!="Menor"),CONCATENATE("R3C",'Mapa final'!#REF!),"")</f>
        <v>#REF!</v>
      </c>
      <c r="R18" s="54" t="e">
        <f>IF(AND('Mapa final'!#REF!="Alta",'Mapa final'!#REF!="Menor"),CONCATENATE("R3C",'Mapa final'!#REF!),"")</f>
        <v>#REF!</v>
      </c>
      <c r="S18" s="54" t="e">
        <f>IF(AND('Mapa final'!#REF!="Alta",'Mapa final'!#REF!="Menor"),CONCATENATE("R3C",'Mapa final'!#REF!),"")</f>
        <v>#REF!</v>
      </c>
      <c r="T18" s="54" t="e">
        <f>IF(AND('Mapa final'!#REF!="Alta",'Mapa final'!#REF!="Menor"),CONCATENATE("R3C",'Mapa final'!#REF!),"")</f>
        <v>#REF!</v>
      </c>
      <c r="U18" s="55" t="e">
        <f>IF(AND('Mapa final'!#REF!="Alta",'Mapa final'!#REF!="Menor"),CONCATENATE("R3C",'Mapa final'!#REF!),"")</f>
        <v>#REF!</v>
      </c>
      <c r="V18" s="38" t="e">
        <f>IF(AND('Mapa final'!#REF!="Alta",'Mapa final'!#REF!="Moderado"),CONCATENATE("R3C",'Mapa final'!#REF!),"")</f>
        <v>#REF!</v>
      </c>
      <c r="W18" s="39" t="e">
        <f>IF(AND('Mapa final'!#REF!="Alta",'Mapa final'!#REF!="Moderado"),CONCATENATE("R3C",'Mapa final'!#REF!),"")</f>
        <v>#REF!</v>
      </c>
      <c r="X18" s="39" t="e">
        <f>IF(AND('Mapa final'!#REF!="Alta",'Mapa final'!#REF!="Moderado"),CONCATENATE("R3C",'Mapa final'!#REF!),"")</f>
        <v>#REF!</v>
      </c>
      <c r="Y18" s="39" t="e">
        <f>IF(AND('Mapa final'!#REF!="Alta",'Mapa final'!#REF!="Moderado"),CONCATENATE("R3C",'Mapa final'!#REF!),"")</f>
        <v>#REF!</v>
      </c>
      <c r="Z18" s="39" t="e">
        <f>IF(AND('Mapa final'!#REF!="Alta",'Mapa final'!#REF!="Moderado"),CONCATENATE("R3C",'Mapa final'!#REF!),"")</f>
        <v>#REF!</v>
      </c>
      <c r="AA18" s="40" t="e">
        <f>IF(AND('Mapa final'!#REF!="Alta",'Mapa final'!#REF!="Moderado"),CONCATENATE("R3C",'Mapa final'!#REF!),"")</f>
        <v>#REF!</v>
      </c>
      <c r="AB18" s="38" t="e">
        <f>IF(AND('Mapa final'!#REF!="Alta",'Mapa final'!#REF!="Mayor"),CONCATENATE("R3C",'Mapa final'!#REF!),"")</f>
        <v>#REF!</v>
      </c>
      <c r="AC18" s="39" t="e">
        <f>IF(AND('Mapa final'!#REF!="Alta",'Mapa final'!#REF!="Mayor"),CONCATENATE("R3C",'Mapa final'!#REF!),"")</f>
        <v>#REF!</v>
      </c>
      <c r="AD18" s="39" t="e">
        <f>IF(AND('Mapa final'!#REF!="Alta",'Mapa final'!#REF!="Mayor"),CONCATENATE("R3C",'Mapa final'!#REF!),"")</f>
        <v>#REF!</v>
      </c>
      <c r="AE18" s="39" t="e">
        <f>IF(AND('Mapa final'!#REF!="Alta",'Mapa final'!#REF!="Mayor"),CONCATENATE("R3C",'Mapa final'!#REF!),"")</f>
        <v>#REF!</v>
      </c>
      <c r="AF18" s="39" t="e">
        <f>IF(AND('Mapa final'!#REF!="Alta",'Mapa final'!#REF!="Mayor"),CONCATENATE("R3C",'Mapa final'!#REF!),"")</f>
        <v>#REF!</v>
      </c>
      <c r="AG18" s="40" t="e">
        <f>IF(AND('Mapa final'!#REF!="Alta",'Mapa final'!#REF!="Mayor"),CONCATENATE("R3C",'Mapa final'!#REF!),"")</f>
        <v>#REF!</v>
      </c>
      <c r="AH18" s="41" t="e">
        <f>IF(AND('Mapa final'!#REF!="Alta",'Mapa final'!#REF!="Catastrófico"),CONCATENATE("R3C",'Mapa final'!#REF!),"")</f>
        <v>#REF!</v>
      </c>
      <c r="AI18" s="42" t="e">
        <f>IF(AND('Mapa final'!#REF!="Alta",'Mapa final'!#REF!="Catastrófico"),CONCATENATE("R3C",'Mapa final'!#REF!),"")</f>
        <v>#REF!</v>
      </c>
      <c r="AJ18" s="42" t="e">
        <f>IF(AND('Mapa final'!#REF!="Alta",'Mapa final'!#REF!="Catastrófico"),CONCATENATE("R3C",'Mapa final'!#REF!),"")</f>
        <v>#REF!</v>
      </c>
      <c r="AK18" s="42" t="e">
        <f>IF(AND('Mapa final'!#REF!="Alta",'Mapa final'!#REF!="Catastrófico"),CONCATENATE("R3C",'Mapa final'!#REF!),"")</f>
        <v>#REF!</v>
      </c>
      <c r="AL18" s="42" t="e">
        <f>IF(AND('Mapa final'!#REF!="Alta",'Mapa final'!#REF!="Catastrófico"),CONCATENATE("R3C",'Mapa final'!#REF!),"")</f>
        <v>#REF!</v>
      </c>
      <c r="AM18" s="43" t="e">
        <f>IF(AND('Mapa final'!#REF!="Alta",'Mapa final'!#REF!="Catastrófico"),CONCATENATE("R3C",'Mapa final'!#REF!),"")</f>
        <v>#REF!</v>
      </c>
      <c r="AN18" s="69"/>
      <c r="AO18" s="348"/>
      <c r="AP18" s="349"/>
      <c r="AQ18" s="349"/>
      <c r="AR18" s="349"/>
      <c r="AS18" s="349"/>
      <c r="AT18" s="350"/>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row>
    <row r="19" spans="1:76" ht="15" customHeight="1" x14ac:dyDescent="0.25">
      <c r="A19" s="69"/>
      <c r="B19" s="259"/>
      <c r="C19" s="259"/>
      <c r="D19" s="260"/>
      <c r="E19" s="358"/>
      <c r="F19" s="357"/>
      <c r="G19" s="357"/>
      <c r="H19" s="357"/>
      <c r="I19" s="357"/>
      <c r="J19" s="53" t="e">
        <f>IF(AND('Mapa final'!#REF!="Alta",'Mapa final'!#REF!="Leve"),CONCATENATE("R4C",'Mapa final'!#REF!),"")</f>
        <v>#REF!</v>
      </c>
      <c r="K19" s="54" t="e">
        <f>IF(AND('Mapa final'!#REF!="Alta",'Mapa final'!#REF!="Leve"),CONCATENATE("R4C",'Mapa final'!#REF!),"")</f>
        <v>#REF!</v>
      </c>
      <c r="L19" s="54" t="e">
        <f>IF(AND('Mapa final'!#REF!="Alta",'Mapa final'!#REF!="Leve"),CONCATENATE("R4C",'Mapa final'!#REF!),"")</f>
        <v>#REF!</v>
      </c>
      <c r="M19" s="54" t="e">
        <f>IF(AND('Mapa final'!#REF!="Alta",'Mapa final'!#REF!="Leve"),CONCATENATE("R4C",'Mapa final'!#REF!),"")</f>
        <v>#REF!</v>
      </c>
      <c r="N19" s="54" t="e">
        <f>IF(AND('Mapa final'!#REF!="Alta",'Mapa final'!#REF!="Leve"),CONCATENATE("R4C",'Mapa final'!#REF!),"")</f>
        <v>#REF!</v>
      </c>
      <c r="O19" s="55" t="e">
        <f>IF(AND('Mapa final'!#REF!="Alta",'Mapa final'!#REF!="Leve"),CONCATENATE("R4C",'Mapa final'!#REF!),"")</f>
        <v>#REF!</v>
      </c>
      <c r="P19" s="53" t="e">
        <f>IF(AND('Mapa final'!#REF!="Alta",'Mapa final'!#REF!="Menor"),CONCATENATE("R4C",'Mapa final'!#REF!),"")</f>
        <v>#REF!</v>
      </c>
      <c r="Q19" s="54" t="e">
        <f>IF(AND('Mapa final'!#REF!="Alta",'Mapa final'!#REF!="Menor"),CONCATENATE("R4C",'Mapa final'!#REF!),"")</f>
        <v>#REF!</v>
      </c>
      <c r="R19" s="54" t="e">
        <f>IF(AND('Mapa final'!#REF!="Alta",'Mapa final'!#REF!="Menor"),CONCATENATE("R4C",'Mapa final'!#REF!),"")</f>
        <v>#REF!</v>
      </c>
      <c r="S19" s="54" t="e">
        <f>IF(AND('Mapa final'!#REF!="Alta",'Mapa final'!#REF!="Menor"),CONCATENATE("R4C",'Mapa final'!#REF!),"")</f>
        <v>#REF!</v>
      </c>
      <c r="T19" s="54" t="e">
        <f>IF(AND('Mapa final'!#REF!="Alta",'Mapa final'!#REF!="Menor"),CONCATENATE("R4C",'Mapa final'!#REF!),"")</f>
        <v>#REF!</v>
      </c>
      <c r="U19" s="55" t="e">
        <f>IF(AND('Mapa final'!#REF!="Alta",'Mapa final'!#REF!="Menor"),CONCATENATE("R4C",'Mapa final'!#REF!),"")</f>
        <v>#REF!</v>
      </c>
      <c r="V19" s="38" t="e">
        <f>IF(AND('Mapa final'!#REF!="Alta",'Mapa final'!#REF!="Moderado"),CONCATENATE("R4C",'Mapa final'!#REF!),"")</f>
        <v>#REF!</v>
      </c>
      <c r="W19" s="39" t="e">
        <f>IF(AND('Mapa final'!#REF!="Alta",'Mapa final'!#REF!="Moderado"),CONCATENATE("R4C",'Mapa final'!#REF!),"")</f>
        <v>#REF!</v>
      </c>
      <c r="X19" s="39" t="e">
        <f>IF(AND('Mapa final'!#REF!="Alta",'Mapa final'!#REF!="Moderado"),CONCATENATE("R4C",'Mapa final'!#REF!),"")</f>
        <v>#REF!</v>
      </c>
      <c r="Y19" s="39" t="e">
        <f>IF(AND('Mapa final'!#REF!="Alta",'Mapa final'!#REF!="Moderado"),CONCATENATE("R4C",'Mapa final'!#REF!),"")</f>
        <v>#REF!</v>
      </c>
      <c r="Z19" s="39" t="e">
        <f>IF(AND('Mapa final'!#REF!="Alta",'Mapa final'!#REF!="Moderado"),CONCATENATE("R4C",'Mapa final'!#REF!),"")</f>
        <v>#REF!</v>
      </c>
      <c r="AA19" s="40" t="e">
        <f>IF(AND('Mapa final'!#REF!="Alta",'Mapa final'!#REF!="Moderado"),CONCATENATE("R4C",'Mapa final'!#REF!),"")</f>
        <v>#REF!</v>
      </c>
      <c r="AB19" s="38" t="e">
        <f>IF(AND('Mapa final'!#REF!="Alta",'Mapa final'!#REF!="Mayor"),CONCATENATE("R4C",'Mapa final'!#REF!),"")</f>
        <v>#REF!</v>
      </c>
      <c r="AC19" s="39" t="e">
        <f>IF(AND('Mapa final'!#REF!="Alta",'Mapa final'!#REF!="Mayor"),CONCATENATE("R4C",'Mapa final'!#REF!),"")</f>
        <v>#REF!</v>
      </c>
      <c r="AD19" s="39" t="e">
        <f>IF(AND('Mapa final'!#REF!="Alta",'Mapa final'!#REF!="Mayor"),CONCATENATE("R4C",'Mapa final'!#REF!),"")</f>
        <v>#REF!</v>
      </c>
      <c r="AE19" s="39" t="e">
        <f>IF(AND('Mapa final'!#REF!="Alta",'Mapa final'!#REF!="Mayor"),CONCATENATE("R4C",'Mapa final'!#REF!),"")</f>
        <v>#REF!</v>
      </c>
      <c r="AF19" s="39" t="e">
        <f>IF(AND('Mapa final'!#REF!="Alta",'Mapa final'!#REF!="Mayor"),CONCATENATE("R4C",'Mapa final'!#REF!),"")</f>
        <v>#REF!</v>
      </c>
      <c r="AG19" s="40" t="e">
        <f>IF(AND('Mapa final'!#REF!="Alta",'Mapa final'!#REF!="Mayor"),CONCATENATE("R4C",'Mapa final'!#REF!),"")</f>
        <v>#REF!</v>
      </c>
      <c r="AH19" s="41" t="e">
        <f>IF(AND('Mapa final'!#REF!="Alta",'Mapa final'!#REF!="Catastrófico"),CONCATENATE("R4C",'Mapa final'!#REF!),"")</f>
        <v>#REF!</v>
      </c>
      <c r="AI19" s="42" t="e">
        <f>IF(AND('Mapa final'!#REF!="Alta",'Mapa final'!#REF!="Catastrófico"),CONCATENATE("R4C",'Mapa final'!#REF!),"")</f>
        <v>#REF!</v>
      </c>
      <c r="AJ19" s="42" t="e">
        <f>IF(AND('Mapa final'!#REF!="Alta",'Mapa final'!#REF!="Catastrófico"),CONCATENATE("R4C",'Mapa final'!#REF!),"")</f>
        <v>#REF!</v>
      </c>
      <c r="AK19" s="42" t="e">
        <f>IF(AND('Mapa final'!#REF!="Alta",'Mapa final'!#REF!="Catastrófico"),CONCATENATE("R4C",'Mapa final'!#REF!),"")</f>
        <v>#REF!</v>
      </c>
      <c r="AL19" s="42" t="e">
        <f>IF(AND('Mapa final'!#REF!="Alta",'Mapa final'!#REF!="Catastrófico"),CONCATENATE("R4C",'Mapa final'!#REF!),"")</f>
        <v>#REF!</v>
      </c>
      <c r="AM19" s="43" t="e">
        <f>IF(AND('Mapa final'!#REF!="Alta",'Mapa final'!#REF!="Catastrófico"),CONCATENATE("R4C",'Mapa final'!#REF!),"")</f>
        <v>#REF!</v>
      </c>
      <c r="AN19" s="69"/>
      <c r="AO19" s="348"/>
      <c r="AP19" s="349"/>
      <c r="AQ19" s="349"/>
      <c r="AR19" s="349"/>
      <c r="AS19" s="349"/>
      <c r="AT19" s="350"/>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row>
    <row r="20" spans="1:76" ht="15" customHeight="1" x14ac:dyDescent="0.25">
      <c r="A20" s="69"/>
      <c r="B20" s="259"/>
      <c r="C20" s="259"/>
      <c r="D20" s="260"/>
      <c r="E20" s="358"/>
      <c r="F20" s="357"/>
      <c r="G20" s="357"/>
      <c r="H20" s="357"/>
      <c r="I20" s="357"/>
      <c r="J20" s="53" t="e">
        <f>IF(AND('Mapa final'!#REF!="Alta",'Mapa final'!#REF!="Leve"),CONCATENATE("R5C",'Mapa final'!#REF!),"")</f>
        <v>#REF!</v>
      </c>
      <c r="K20" s="54" t="e">
        <f>IF(AND('Mapa final'!#REF!="Alta",'Mapa final'!#REF!="Leve"),CONCATENATE("R5C",'Mapa final'!#REF!),"")</f>
        <v>#REF!</v>
      </c>
      <c r="L20" s="54" t="e">
        <f>IF(AND('Mapa final'!#REF!="Alta",'Mapa final'!#REF!="Leve"),CONCATENATE("R5C",'Mapa final'!#REF!),"")</f>
        <v>#REF!</v>
      </c>
      <c r="M20" s="54" t="e">
        <f>IF(AND('Mapa final'!#REF!="Alta",'Mapa final'!#REF!="Leve"),CONCATENATE("R5C",'Mapa final'!#REF!),"")</f>
        <v>#REF!</v>
      </c>
      <c r="N20" s="54" t="e">
        <f>IF(AND('Mapa final'!#REF!="Alta",'Mapa final'!#REF!="Leve"),CONCATENATE("R5C",'Mapa final'!#REF!),"")</f>
        <v>#REF!</v>
      </c>
      <c r="O20" s="55" t="e">
        <f>IF(AND('Mapa final'!#REF!="Alta",'Mapa final'!#REF!="Leve"),CONCATENATE("R5C",'Mapa final'!#REF!),"")</f>
        <v>#REF!</v>
      </c>
      <c r="P20" s="53" t="e">
        <f>IF(AND('Mapa final'!#REF!="Alta",'Mapa final'!#REF!="Menor"),CONCATENATE("R5C",'Mapa final'!#REF!),"")</f>
        <v>#REF!</v>
      </c>
      <c r="Q20" s="54" t="e">
        <f>IF(AND('Mapa final'!#REF!="Alta",'Mapa final'!#REF!="Menor"),CONCATENATE("R5C",'Mapa final'!#REF!),"")</f>
        <v>#REF!</v>
      </c>
      <c r="R20" s="54" t="e">
        <f>IF(AND('Mapa final'!#REF!="Alta",'Mapa final'!#REF!="Menor"),CONCATENATE("R5C",'Mapa final'!#REF!),"")</f>
        <v>#REF!</v>
      </c>
      <c r="S20" s="54" t="e">
        <f>IF(AND('Mapa final'!#REF!="Alta",'Mapa final'!#REF!="Menor"),CONCATENATE("R5C",'Mapa final'!#REF!),"")</f>
        <v>#REF!</v>
      </c>
      <c r="T20" s="54" t="e">
        <f>IF(AND('Mapa final'!#REF!="Alta",'Mapa final'!#REF!="Menor"),CONCATENATE("R5C",'Mapa final'!#REF!),"")</f>
        <v>#REF!</v>
      </c>
      <c r="U20" s="55" t="e">
        <f>IF(AND('Mapa final'!#REF!="Alta",'Mapa final'!#REF!="Menor"),CONCATENATE("R5C",'Mapa final'!#REF!),"")</f>
        <v>#REF!</v>
      </c>
      <c r="V20" s="38" t="e">
        <f>IF(AND('Mapa final'!#REF!="Alta",'Mapa final'!#REF!="Moderado"),CONCATENATE("R5C",'Mapa final'!#REF!),"")</f>
        <v>#REF!</v>
      </c>
      <c r="W20" s="39" t="e">
        <f>IF(AND('Mapa final'!#REF!="Alta",'Mapa final'!#REF!="Moderado"),CONCATENATE("R5C",'Mapa final'!#REF!),"")</f>
        <v>#REF!</v>
      </c>
      <c r="X20" s="39" t="e">
        <f>IF(AND('Mapa final'!#REF!="Alta",'Mapa final'!#REF!="Moderado"),CONCATENATE("R5C",'Mapa final'!#REF!),"")</f>
        <v>#REF!</v>
      </c>
      <c r="Y20" s="39" t="e">
        <f>IF(AND('Mapa final'!#REF!="Alta",'Mapa final'!#REF!="Moderado"),CONCATENATE("R5C",'Mapa final'!#REF!),"")</f>
        <v>#REF!</v>
      </c>
      <c r="Z20" s="39" t="e">
        <f>IF(AND('Mapa final'!#REF!="Alta",'Mapa final'!#REF!="Moderado"),CONCATENATE("R5C",'Mapa final'!#REF!),"")</f>
        <v>#REF!</v>
      </c>
      <c r="AA20" s="40" t="e">
        <f>IF(AND('Mapa final'!#REF!="Alta",'Mapa final'!#REF!="Moderado"),CONCATENATE("R5C",'Mapa final'!#REF!),"")</f>
        <v>#REF!</v>
      </c>
      <c r="AB20" s="38" t="e">
        <f>IF(AND('Mapa final'!#REF!="Alta",'Mapa final'!#REF!="Mayor"),CONCATENATE("R5C",'Mapa final'!#REF!),"")</f>
        <v>#REF!</v>
      </c>
      <c r="AC20" s="39" t="e">
        <f>IF(AND('Mapa final'!#REF!="Alta",'Mapa final'!#REF!="Mayor"),CONCATENATE("R5C",'Mapa final'!#REF!),"")</f>
        <v>#REF!</v>
      </c>
      <c r="AD20" s="39" t="e">
        <f>IF(AND('Mapa final'!#REF!="Alta",'Mapa final'!#REF!="Mayor"),CONCATENATE("R5C",'Mapa final'!#REF!),"")</f>
        <v>#REF!</v>
      </c>
      <c r="AE20" s="39" t="e">
        <f>IF(AND('Mapa final'!#REF!="Alta",'Mapa final'!#REF!="Mayor"),CONCATENATE("R5C",'Mapa final'!#REF!),"")</f>
        <v>#REF!</v>
      </c>
      <c r="AF20" s="39" t="e">
        <f>IF(AND('Mapa final'!#REF!="Alta",'Mapa final'!#REF!="Mayor"),CONCATENATE("R5C",'Mapa final'!#REF!),"")</f>
        <v>#REF!</v>
      </c>
      <c r="AG20" s="40" t="e">
        <f>IF(AND('Mapa final'!#REF!="Alta",'Mapa final'!#REF!="Mayor"),CONCATENATE("R5C",'Mapa final'!#REF!),"")</f>
        <v>#REF!</v>
      </c>
      <c r="AH20" s="41" t="e">
        <f>IF(AND('Mapa final'!#REF!="Alta",'Mapa final'!#REF!="Catastrófico"),CONCATENATE("R5C",'Mapa final'!#REF!),"")</f>
        <v>#REF!</v>
      </c>
      <c r="AI20" s="42" t="e">
        <f>IF(AND('Mapa final'!#REF!="Alta",'Mapa final'!#REF!="Catastrófico"),CONCATENATE("R5C",'Mapa final'!#REF!),"")</f>
        <v>#REF!</v>
      </c>
      <c r="AJ20" s="42" t="e">
        <f>IF(AND('Mapa final'!#REF!="Alta",'Mapa final'!#REF!="Catastrófico"),CONCATENATE("R5C",'Mapa final'!#REF!),"")</f>
        <v>#REF!</v>
      </c>
      <c r="AK20" s="42" t="e">
        <f>IF(AND('Mapa final'!#REF!="Alta",'Mapa final'!#REF!="Catastrófico"),CONCATENATE("R5C",'Mapa final'!#REF!),"")</f>
        <v>#REF!</v>
      </c>
      <c r="AL20" s="42" t="e">
        <f>IF(AND('Mapa final'!#REF!="Alta",'Mapa final'!#REF!="Catastrófico"),CONCATENATE("R5C",'Mapa final'!#REF!),"")</f>
        <v>#REF!</v>
      </c>
      <c r="AM20" s="43" t="e">
        <f>IF(AND('Mapa final'!#REF!="Alta",'Mapa final'!#REF!="Catastrófico"),CONCATENATE("R5C",'Mapa final'!#REF!),"")</f>
        <v>#REF!</v>
      </c>
      <c r="AN20" s="69"/>
      <c r="AO20" s="348"/>
      <c r="AP20" s="349"/>
      <c r="AQ20" s="349"/>
      <c r="AR20" s="349"/>
      <c r="AS20" s="349"/>
      <c r="AT20" s="350"/>
      <c r="AU20" s="69"/>
      <c r="AV20" s="69"/>
      <c r="AW20" s="69"/>
      <c r="AX20" s="69"/>
      <c r="AY20" s="69"/>
      <c r="AZ20" s="69"/>
      <c r="BA20" s="69"/>
      <c r="BB20" s="69"/>
      <c r="BC20" s="69"/>
      <c r="BD20" s="69"/>
      <c r="BE20" s="69"/>
      <c r="BF20" s="69"/>
      <c r="BG20" s="69"/>
      <c r="BH20" s="69"/>
      <c r="BI20" s="69"/>
      <c r="BJ20" s="69"/>
      <c r="BK20" s="69"/>
      <c r="BL20" s="69"/>
      <c r="BM20" s="69"/>
      <c r="BN20" s="69"/>
      <c r="BO20" s="69"/>
      <c r="BP20" s="69"/>
      <c r="BQ20" s="69"/>
      <c r="BR20" s="69"/>
      <c r="BS20" s="69"/>
      <c r="BT20" s="69"/>
      <c r="BU20" s="69"/>
      <c r="BV20" s="69"/>
      <c r="BW20" s="69"/>
      <c r="BX20" s="69"/>
    </row>
    <row r="21" spans="1:76" ht="15" customHeight="1" x14ac:dyDescent="0.25">
      <c r="A21" s="69"/>
      <c r="B21" s="259"/>
      <c r="C21" s="259"/>
      <c r="D21" s="260"/>
      <c r="E21" s="358"/>
      <c r="F21" s="357"/>
      <c r="G21" s="357"/>
      <c r="H21" s="357"/>
      <c r="I21" s="357"/>
      <c r="J21" s="53" t="e">
        <f>IF(AND('Mapa final'!#REF!="Alta",'Mapa final'!#REF!="Leve"),CONCATENATE("R6C",'Mapa final'!#REF!),"")</f>
        <v>#REF!</v>
      </c>
      <c r="K21" s="54" t="e">
        <f>IF(AND('Mapa final'!#REF!="Alta",'Mapa final'!#REF!="Leve"),CONCATENATE("R6C",'Mapa final'!#REF!),"")</f>
        <v>#REF!</v>
      </c>
      <c r="L21" s="54" t="e">
        <f>IF(AND('Mapa final'!#REF!="Alta",'Mapa final'!#REF!="Leve"),CONCATENATE("R6C",'Mapa final'!#REF!),"")</f>
        <v>#REF!</v>
      </c>
      <c r="M21" s="54" t="e">
        <f>IF(AND('Mapa final'!#REF!="Alta",'Mapa final'!#REF!="Leve"),CONCATENATE("R6C",'Mapa final'!#REF!),"")</f>
        <v>#REF!</v>
      </c>
      <c r="N21" s="54" t="e">
        <f>IF(AND('Mapa final'!#REF!="Alta",'Mapa final'!#REF!="Leve"),CONCATENATE("R6C",'Mapa final'!#REF!),"")</f>
        <v>#REF!</v>
      </c>
      <c r="O21" s="55" t="e">
        <f>IF(AND('Mapa final'!#REF!="Alta",'Mapa final'!#REF!="Leve"),CONCATENATE("R6C",'Mapa final'!#REF!),"")</f>
        <v>#REF!</v>
      </c>
      <c r="P21" s="53" t="e">
        <f>IF(AND('Mapa final'!#REF!="Alta",'Mapa final'!#REF!="Menor"),CONCATENATE("R6C",'Mapa final'!#REF!),"")</f>
        <v>#REF!</v>
      </c>
      <c r="Q21" s="54" t="e">
        <f>IF(AND('Mapa final'!#REF!="Alta",'Mapa final'!#REF!="Menor"),CONCATENATE("R6C",'Mapa final'!#REF!),"")</f>
        <v>#REF!</v>
      </c>
      <c r="R21" s="54" t="e">
        <f>IF(AND('Mapa final'!#REF!="Alta",'Mapa final'!#REF!="Menor"),CONCATENATE("R6C",'Mapa final'!#REF!),"")</f>
        <v>#REF!</v>
      </c>
      <c r="S21" s="54" t="e">
        <f>IF(AND('Mapa final'!#REF!="Alta",'Mapa final'!#REF!="Menor"),CONCATENATE("R6C",'Mapa final'!#REF!),"")</f>
        <v>#REF!</v>
      </c>
      <c r="T21" s="54" t="e">
        <f>IF(AND('Mapa final'!#REF!="Alta",'Mapa final'!#REF!="Menor"),CONCATENATE("R6C",'Mapa final'!#REF!),"")</f>
        <v>#REF!</v>
      </c>
      <c r="U21" s="55" t="e">
        <f>IF(AND('Mapa final'!#REF!="Alta",'Mapa final'!#REF!="Menor"),CONCATENATE("R6C",'Mapa final'!#REF!),"")</f>
        <v>#REF!</v>
      </c>
      <c r="V21" s="38" t="e">
        <f>IF(AND('Mapa final'!#REF!="Alta",'Mapa final'!#REF!="Moderado"),CONCATENATE("R6C",'Mapa final'!#REF!),"")</f>
        <v>#REF!</v>
      </c>
      <c r="W21" s="39" t="e">
        <f>IF(AND('Mapa final'!#REF!="Alta",'Mapa final'!#REF!="Moderado"),CONCATENATE("R6C",'Mapa final'!#REF!),"")</f>
        <v>#REF!</v>
      </c>
      <c r="X21" s="39" t="e">
        <f>IF(AND('Mapa final'!#REF!="Alta",'Mapa final'!#REF!="Moderado"),CONCATENATE("R6C",'Mapa final'!#REF!),"")</f>
        <v>#REF!</v>
      </c>
      <c r="Y21" s="39" t="e">
        <f>IF(AND('Mapa final'!#REF!="Alta",'Mapa final'!#REF!="Moderado"),CONCATENATE("R6C",'Mapa final'!#REF!),"")</f>
        <v>#REF!</v>
      </c>
      <c r="Z21" s="39" t="e">
        <f>IF(AND('Mapa final'!#REF!="Alta",'Mapa final'!#REF!="Moderado"),CONCATENATE("R6C",'Mapa final'!#REF!),"")</f>
        <v>#REF!</v>
      </c>
      <c r="AA21" s="40" t="e">
        <f>IF(AND('Mapa final'!#REF!="Alta",'Mapa final'!#REF!="Moderado"),CONCATENATE("R6C",'Mapa final'!#REF!),"")</f>
        <v>#REF!</v>
      </c>
      <c r="AB21" s="38" t="e">
        <f>IF(AND('Mapa final'!#REF!="Alta",'Mapa final'!#REF!="Mayor"),CONCATENATE("R6C",'Mapa final'!#REF!),"")</f>
        <v>#REF!</v>
      </c>
      <c r="AC21" s="39" t="e">
        <f>IF(AND('Mapa final'!#REF!="Alta",'Mapa final'!#REF!="Mayor"),CONCATENATE("R6C",'Mapa final'!#REF!),"")</f>
        <v>#REF!</v>
      </c>
      <c r="AD21" s="39" t="e">
        <f>IF(AND('Mapa final'!#REF!="Alta",'Mapa final'!#REF!="Mayor"),CONCATENATE("R6C",'Mapa final'!#REF!),"")</f>
        <v>#REF!</v>
      </c>
      <c r="AE21" s="39" t="e">
        <f>IF(AND('Mapa final'!#REF!="Alta",'Mapa final'!#REF!="Mayor"),CONCATENATE("R6C",'Mapa final'!#REF!),"")</f>
        <v>#REF!</v>
      </c>
      <c r="AF21" s="39" t="e">
        <f>IF(AND('Mapa final'!#REF!="Alta",'Mapa final'!#REF!="Mayor"),CONCATENATE("R6C",'Mapa final'!#REF!),"")</f>
        <v>#REF!</v>
      </c>
      <c r="AG21" s="40" t="e">
        <f>IF(AND('Mapa final'!#REF!="Alta",'Mapa final'!#REF!="Mayor"),CONCATENATE("R6C",'Mapa final'!#REF!),"")</f>
        <v>#REF!</v>
      </c>
      <c r="AH21" s="41" t="e">
        <f>IF(AND('Mapa final'!#REF!="Alta",'Mapa final'!#REF!="Catastrófico"),CONCATENATE("R6C",'Mapa final'!#REF!),"")</f>
        <v>#REF!</v>
      </c>
      <c r="AI21" s="42" t="e">
        <f>IF(AND('Mapa final'!#REF!="Alta",'Mapa final'!#REF!="Catastrófico"),CONCATENATE("R6C",'Mapa final'!#REF!),"")</f>
        <v>#REF!</v>
      </c>
      <c r="AJ21" s="42" t="e">
        <f>IF(AND('Mapa final'!#REF!="Alta",'Mapa final'!#REF!="Catastrófico"),CONCATENATE("R6C",'Mapa final'!#REF!),"")</f>
        <v>#REF!</v>
      </c>
      <c r="AK21" s="42" t="e">
        <f>IF(AND('Mapa final'!#REF!="Alta",'Mapa final'!#REF!="Catastrófico"),CONCATENATE("R6C",'Mapa final'!#REF!),"")</f>
        <v>#REF!</v>
      </c>
      <c r="AL21" s="42" t="e">
        <f>IF(AND('Mapa final'!#REF!="Alta",'Mapa final'!#REF!="Catastrófico"),CONCATENATE("R6C",'Mapa final'!#REF!),"")</f>
        <v>#REF!</v>
      </c>
      <c r="AM21" s="43" t="e">
        <f>IF(AND('Mapa final'!#REF!="Alta",'Mapa final'!#REF!="Catastrófico"),CONCATENATE("R6C",'Mapa final'!#REF!),"")</f>
        <v>#REF!</v>
      </c>
      <c r="AN21" s="69"/>
      <c r="AO21" s="348"/>
      <c r="AP21" s="349"/>
      <c r="AQ21" s="349"/>
      <c r="AR21" s="349"/>
      <c r="AS21" s="349"/>
      <c r="AT21" s="350"/>
      <c r="AU21" s="69"/>
      <c r="AV21" s="69"/>
      <c r="AW21" s="69"/>
      <c r="AX21" s="69"/>
      <c r="AY21" s="69"/>
      <c r="AZ21" s="69"/>
      <c r="BA21" s="69"/>
      <c r="BB21" s="69"/>
      <c r="BC21" s="69"/>
      <c r="BD21" s="69"/>
      <c r="BE21" s="69"/>
      <c r="BF21" s="69"/>
      <c r="BG21" s="69"/>
      <c r="BH21" s="69"/>
      <c r="BI21" s="69"/>
      <c r="BJ21" s="69"/>
      <c r="BK21" s="69"/>
      <c r="BL21" s="69"/>
      <c r="BM21" s="69"/>
      <c r="BN21" s="69"/>
      <c r="BO21" s="69"/>
      <c r="BP21" s="69"/>
      <c r="BQ21" s="69"/>
      <c r="BR21" s="69"/>
      <c r="BS21" s="69"/>
      <c r="BT21" s="69"/>
      <c r="BU21" s="69"/>
      <c r="BV21" s="69"/>
      <c r="BW21" s="69"/>
      <c r="BX21" s="69"/>
    </row>
    <row r="22" spans="1:76" ht="15" customHeight="1" x14ac:dyDescent="0.25">
      <c r="A22" s="69"/>
      <c r="B22" s="259"/>
      <c r="C22" s="259"/>
      <c r="D22" s="260"/>
      <c r="E22" s="358"/>
      <c r="F22" s="357"/>
      <c r="G22" s="357"/>
      <c r="H22" s="357"/>
      <c r="I22" s="357"/>
      <c r="J22" s="53" t="e">
        <f>IF(AND('Mapa final'!#REF!="Alta",'Mapa final'!#REF!="Leve"),CONCATENATE("R7C",'Mapa final'!#REF!),"")</f>
        <v>#REF!</v>
      </c>
      <c r="K22" s="54" t="e">
        <f>IF(AND('Mapa final'!#REF!="Alta",'Mapa final'!#REF!="Leve"),CONCATENATE("R7C",'Mapa final'!#REF!),"")</f>
        <v>#REF!</v>
      </c>
      <c r="L22" s="54" t="e">
        <f>IF(AND('Mapa final'!#REF!="Alta",'Mapa final'!#REF!="Leve"),CONCATENATE("R7C",'Mapa final'!#REF!),"")</f>
        <v>#REF!</v>
      </c>
      <c r="M22" s="54" t="e">
        <f>IF(AND('Mapa final'!#REF!="Alta",'Mapa final'!#REF!="Leve"),CONCATENATE("R7C",'Mapa final'!#REF!),"")</f>
        <v>#REF!</v>
      </c>
      <c r="N22" s="54" t="e">
        <f>IF(AND('Mapa final'!#REF!="Alta",'Mapa final'!#REF!="Leve"),CONCATENATE("R7C",'Mapa final'!#REF!),"")</f>
        <v>#REF!</v>
      </c>
      <c r="O22" s="55" t="e">
        <f>IF(AND('Mapa final'!#REF!="Alta",'Mapa final'!#REF!="Leve"),CONCATENATE("R7C",'Mapa final'!#REF!),"")</f>
        <v>#REF!</v>
      </c>
      <c r="P22" s="53" t="e">
        <f>IF(AND('Mapa final'!#REF!="Alta",'Mapa final'!#REF!="Menor"),CONCATENATE("R7C",'Mapa final'!#REF!),"")</f>
        <v>#REF!</v>
      </c>
      <c r="Q22" s="54" t="e">
        <f>IF(AND('Mapa final'!#REF!="Alta",'Mapa final'!#REF!="Menor"),CONCATENATE("R7C",'Mapa final'!#REF!),"")</f>
        <v>#REF!</v>
      </c>
      <c r="R22" s="54" t="e">
        <f>IF(AND('Mapa final'!#REF!="Alta",'Mapa final'!#REF!="Menor"),CONCATENATE("R7C",'Mapa final'!#REF!),"")</f>
        <v>#REF!</v>
      </c>
      <c r="S22" s="54" t="e">
        <f>IF(AND('Mapa final'!#REF!="Alta",'Mapa final'!#REF!="Menor"),CONCATENATE("R7C",'Mapa final'!#REF!),"")</f>
        <v>#REF!</v>
      </c>
      <c r="T22" s="54" t="e">
        <f>IF(AND('Mapa final'!#REF!="Alta",'Mapa final'!#REF!="Menor"),CONCATENATE("R7C",'Mapa final'!#REF!),"")</f>
        <v>#REF!</v>
      </c>
      <c r="U22" s="55" t="e">
        <f>IF(AND('Mapa final'!#REF!="Alta",'Mapa final'!#REF!="Menor"),CONCATENATE("R7C",'Mapa final'!#REF!),"")</f>
        <v>#REF!</v>
      </c>
      <c r="V22" s="38" t="e">
        <f>IF(AND('Mapa final'!#REF!="Alta",'Mapa final'!#REF!="Moderado"),CONCATENATE("R7C",'Mapa final'!#REF!),"")</f>
        <v>#REF!</v>
      </c>
      <c r="W22" s="39" t="e">
        <f>IF(AND('Mapa final'!#REF!="Alta",'Mapa final'!#REF!="Moderado"),CONCATENATE("R7C",'Mapa final'!#REF!),"")</f>
        <v>#REF!</v>
      </c>
      <c r="X22" s="39" t="e">
        <f>IF(AND('Mapa final'!#REF!="Alta",'Mapa final'!#REF!="Moderado"),CONCATENATE("R7C",'Mapa final'!#REF!),"")</f>
        <v>#REF!</v>
      </c>
      <c r="Y22" s="39" t="e">
        <f>IF(AND('Mapa final'!#REF!="Alta",'Mapa final'!#REF!="Moderado"),CONCATENATE("R7C",'Mapa final'!#REF!),"")</f>
        <v>#REF!</v>
      </c>
      <c r="Z22" s="39" t="e">
        <f>IF(AND('Mapa final'!#REF!="Alta",'Mapa final'!#REF!="Moderado"),CONCATENATE("R7C",'Mapa final'!#REF!),"")</f>
        <v>#REF!</v>
      </c>
      <c r="AA22" s="40" t="e">
        <f>IF(AND('Mapa final'!#REF!="Alta",'Mapa final'!#REF!="Moderado"),CONCATENATE("R7C",'Mapa final'!#REF!),"")</f>
        <v>#REF!</v>
      </c>
      <c r="AB22" s="38" t="e">
        <f>IF(AND('Mapa final'!#REF!="Alta",'Mapa final'!#REF!="Mayor"),CONCATENATE("R7C",'Mapa final'!#REF!),"")</f>
        <v>#REF!</v>
      </c>
      <c r="AC22" s="39" t="e">
        <f>IF(AND('Mapa final'!#REF!="Alta",'Mapa final'!#REF!="Mayor"),CONCATENATE("R7C",'Mapa final'!#REF!),"")</f>
        <v>#REF!</v>
      </c>
      <c r="AD22" s="39" t="e">
        <f>IF(AND('Mapa final'!#REF!="Alta",'Mapa final'!#REF!="Mayor"),CONCATENATE("R7C",'Mapa final'!#REF!),"")</f>
        <v>#REF!</v>
      </c>
      <c r="AE22" s="39" t="e">
        <f>IF(AND('Mapa final'!#REF!="Alta",'Mapa final'!#REF!="Mayor"),CONCATENATE("R7C",'Mapa final'!#REF!),"")</f>
        <v>#REF!</v>
      </c>
      <c r="AF22" s="39" t="e">
        <f>IF(AND('Mapa final'!#REF!="Alta",'Mapa final'!#REF!="Mayor"),CONCATENATE("R7C",'Mapa final'!#REF!),"")</f>
        <v>#REF!</v>
      </c>
      <c r="AG22" s="40" t="e">
        <f>IF(AND('Mapa final'!#REF!="Alta",'Mapa final'!#REF!="Mayor"),CONCATENATE("R7C",'Mapa final'!#REF!),"")</f>
        <v>#REF!</v>
      </c>
      <c r="AH22" s="41" t="e">
        <f>IF(AND('Mapa final'!#REF!="Alta",'Mapa final'!#REF!="Catastrófico"),CONCATENATE("R7C",'Mapa final'!#REF!),"")</f>
        <v>#REF!</v>
      </c>
      <c r="AI22" s="42" t="e">
        <f>IF(AND('Mapa final'!#REF!="Alta",'Mapa final'!#REF!="Catastrófico"),CONCATENATE("R7C",'Mapa final'!#REF!),"")</f>
        <v>#REF!</v>
      </c>
      <c r="AJ22" s="42" t="e">
        <f>IF(AND('Mapa final'!#REF!="Alta",'Mapa final'!#REF!="Catastrófico"),CONCATENATE("R7C",'Mapa final'!#REF!),"")</f>
        <v>#REF!</v>
      </c>
      <c r="AK22" s="42" t="e">
        <f>IF(AND('Mapa final'!#REF!="Alta",'Mapa final'!#REF!="Catastrófico"),CONCATENATE("R7C",'Mapa final'!#REF!),"")</f>
        <v>#REF!</v>
      </c>
      <c r="AL22" s="42" t="e">
        <f>IF(AND('Mapa final'!#REF!="Alta",'Mapa final'!#REF!="Catastrófico"),CONCATENATE("R7C",'Mapa final'!#REF!),"")</f>
        <v>#REF!</v>
      </c>
      <c r="AM22" s="43" t="e">
        <f>IF(AND('Mapa final'!#REF!="Alta",'Mapa final'!#REF!="Catastrófico"),CONCATENATE("R7C",'Mapa final'!#REF!),"")</f>
        <v>#REF!</v>
      </c>
      <c r="AN22" s="69"/>
      <c r="AO22" s="348"/>
      <c r="AP22" s="349"/>
      <c r="AQ22" s="349"/>
      <c r="AR22" s="349"/>
      <c r="AS22" s="349"/>
      <c r="AT22" s="350"/>
      <c r="AU22" s="69"/>
      <c r="AV22" s="69"/>
      <c r="AW22" s="69"/>
      <c r="AX22" s="69"/>
      <c r="AY22" s="69"/>
      <c r="AZ22" s="69"/>
      <c r="BA22" s="69"/>
      <c r="BB22" s="69"/>
      <c r="BC22" s="69"/>
      <c r="BD22" s="69"/>
      <c r="BE22" s="69"/>
      <c r="BF22" s="69"/>
      <c r="BG22" s="69"/>
      <c r="BH22" s="69"/>
      <c r="BI22" s="69"/>
      <c r="BJ22" s="69"/>
      <c r="BK22" s="69"/>
      <c r="BL22" s="69"/>
      <c r="BM22" s="69"/>
      <c r="BN22" s="69"/>
      <c r="BO22" s="69"/>
      <c r="BP22" s="69"/>
      <c r="BQ22" s="69"/>
      <c r="BR22" s="69"/>
      <c r="BS22" s="69"/>
      <c r="BT22" s="69"/>
      <c r="BU22" s="69"/>
      <c r="BV22" s="69"/>
      <c r="BW22" s="69"/>
      <c r="BX22" s="69"/>
    </row>
    <row r="23" spans="1:76" ht="15" customHeight="1" x14ac:dyDescent="0.25">
      <c r="A23" s="69"/>
      <c r="B23" s="259"/>
      <c r="C23" s="259"/>
      <c r="D23" s="260"/>
      <c r="E23" s="358"/>
      <c r="F23" s="357"/>
      <c r="G23" s="357"/>
      <c r="H23" s="357"/>
      <c r="I23" s="357"/>
      <c r="J23" s="53" t="e">
        <f>IF(AND('Mapa final'!#REF!="Alta",'Mapa final'!#REF!="Leve"),CONCATENATE("R8C",'Mapa final'!#REF!),"")</f>
        <v>#REF!</v>
      </c>
      <c r="K23" s="54" t="e">
        <f>IF(AND('Mapa final'!#REF!="Alta",'Mapa final'!#REF!="Leve"),CONCATENATE("R8C",'Mapa final'!#REF!),"")</f>
        <v>#REF!</v>
      </c>
      <c r="L23" s="54" t="e">
        <f>IF(AND('Mapa final'!#REF!="Alta",'Mapa final'!#REF!="Leve"),CONCATENATE("R8C",'Mapa final'!#REF!),"")</f>
        <v>#REF!</v>
      </c>
      <c r="M23" s="54" t="e">
        <f>IF(AND('Mapa final'!#REF!="Alta",'Mapa final'!#REF!="Leve"),CONCATENATE("R8C",'Mapa final'!#REF!),"")</f>
        <v>#REF!</v>
      </c>
      <c r="N23" s="54" t="e">
        <f>IF(AND('Mapa final'!#REF!="Alta",'Mapa final'!#REF!="Leve"),CONCATENATE("R8C",'Mapa final'!#REF!),"")</f>
        <v>#REF!</v>
      </c>
      <c r="O23" s="55" t="e">
        <f>IF(AND('Mapa final'!#REF!="Alta",'Mapa final'!#REF!="Leve"),CONCATENATE("R8C",'Mapa final'!#REF!),"")</f>
        <v>#REF!</v>
      </c>
      <c r="P23" s="53" t="e">
        <f>IF(AND('Mapa final'!#REF!="Alta",'Mapa final'!#REF!="Menor"),CONCATENATE("R8C",'Mapa final'!#REF!),"")</f>
        <v>#REF!</v>
      </c>
      <c r="Q23" s="54" t="e">
        <f>IF(AND('Mapa final'!#REF!="Alta",'Mapa final'!#REF!="Menor"),CONCATENATE("R8C",'Mapa final'!#REF!),"")</f>
        <v>#REF!</v>
      </c>
      <c r="R23" s="54" t="e">
        <f>IF(AND('Mapa final'!#REF!="Alta",'Mapa final'!#REF!="Menor"),CONCATENATE("R8C",'Mapa final'!#REF!),"")</f>
        <v>#REF!</v>
      </c>
      <c r="S23" s="54" t="e">
        <f>IF(AND('Mapa final'!#REF!="Alta",'Mapa final'!#REF!="Menor"),CONCATENATE("R8C",'Mapa final'!#REF!),"")</f>
        <v>#REF!</v>
      </c>
      <c r="T23" s="54" t="e">
        <f>IF(AND('Mapa final'!#REF!="Alta",'Mapa final'!#REF!="Menor"),CONCATENATE("R8C",'Mapa final'!#REF!),"")</f>
        <v>#REF!</v>
      </c>
      <c r="U23" s="55" t="e">
        <f>IF(AND('Mapa final'!#REF!="Alta",'Mapa final'!#REF!="Menor"),CONCATENATE("R8C",'Mapa final'!#REF!),"")</f>
        <v>#REF!</v>
      </c>
      <c r="V23" s="38" t="e">
        <f>IF(AND('Mapa final'!#REF!="Alta",'Mapa final'!#REF!="Moderado"),CONCATENATE("R8C",'Mapa final'!#REF!),"")</f>
        <v>#REF!</v>
      </c>
      <c r="W23" s="39" t="e">
        <f>IF(AND('Mapa final'!#REF!="Alta",'Mapa final'!#REF!="Moderado"),CONCATENATE("R8C",'Mapa final'!#REF!),"")</f>
        <v>#REF!</v>
      </c>
      <c r="X23" s="39" t="e">
        <f>IF(AND('Mapa final'!#REF!="Alta",'Mapa final'!#REF!="Moderado"),CONCATENATE("R8C",'Mapa final'!#REF!),"")</f>
        <v>#REF!</v>
      </c>
      <c r="Y23" s="39" t="e">
        <f>IF(AND('Mapa final'!#REF!="Alta",'Mapa final'!#REF!="Moderado"),CONCATENATE("R8C",'Mapa final'!#REF!),"")</f>
        <v>#REF!</v>
      </c>
      <c r="Z23" s="39" t="e">
        <f>IF(AND('Mapa final'!#REF!="Alta",'Mapa final'!#REF!="Moderado"),CONCATENATE("R8C",'Mapa final'!#REF!),"")</f>
        <v>#REF!</v>
      </c>
      <c r="AA23" s="40" t="e">
        <f>IF(AND('Mapa final'!#REF!="Alta",'Mapa final'!#REF!="Moderado"),CONCATENATE("R8C",'Mapa final'!#REF!),"")</f>
        <v>#REF!</v>
      </c>
      <c r="AB23" s="38" t="e">
        <f>IF(AND('Mapa final'!#REF!="Alta",'Mapa final'!#REF!="Mayor"),CONCATENATE("R8C",'Mapa final'!#REF!),"")</f>
        <v>#REF!</v>
      </c>
      <c r="AC23" s="39" t="e">
        <f>IF(AND('Mapa final'!#REF!="Alta",'Mapa final'!#REF!="Mayor"),CONCATENATE("R8C",'Mapa final'!#REF!),"")</f>
        <v>#REF!</v>
      </c>
      <c r="AD23" s="39" t="e">
        <f>IF(AND('Mapa final'!#REF!="Alta",'Mapa final'!#REF!="Mayor"),CONCATENATE("R8C",'Mapa final'!#REF!),"")</f>
        <v>#REF!</v>
      </c>
      <c r="AE23" s="39" t="e">
        <f>IF(AND('Mapa final'!#REF!="Alta",'Mapa final'!#REF!="Mayor"),CONCATENATE("R8C",'Mapa final'!#REF!),"")</f>
        <v>#REF!</v>
      </c>
      <c r="AF23" s="39" t="e">
        <f>IF(AND('Mapa final'!#REF!="Alta",'Mapa final'!#REF!="Mayor"),CONCATENATE("R8C",'Mapa final'!#REF!),"")</f>
        <v>#REF!</v>
      </c>
      <c r="AG23" s="40" t="e">
        <f>IF(AND('Mapa final'!#REF!="Alta",'Mapa final'!#REF!="Mayor"),CONCATENATE("R8C",'Mapa final'!#REF!),"")</f>
        <v>#REF!</v>
      </c>
      <c r="AH23" s="41" t="e">
        <f>IF(AND('Mapa final'!#REF!="Alta",'Mapa final'!#REF!="Catastrófico"),CONCATENATE("R8C",'Mapa final'!#REF!),"")</f>
        <v>#REF!</v>
      </c>
      <c r="AI23" s="42" t="e">
        <f>IF(AND('Mapa final'!#REF!="Alta",'Mapa final'!#REF!="Catastrófico"),CONCATENATE("R8C",'Mapa final'!#REF!),"")</f>
        <v>#REF!</v>
      </c>
      <c r="AJ23" s="42" t="e">
        <f>IF(AND('Mapa final'!#REF!="Alta",'Mapa final'!#REF!="Catastrófico"),CONCATENATE("R8C",'Mapa final'!#REF!),"")</f>
        <v>#REF!</v>
      </c>
      <c r="AK23" s="42" t="e">
        <f>IF(AND('Mapa final'!#REF!="Alta",'Mapa final'!#REF!="Catastrófico"),CONCATENATE("R8C",'Mapa final'!#REF!),"")</f>
        <v>#REF!</v>
      </c>
      <c r="AL23" s="42" t="e">
        <f>IF(AND('Mapa final'!#REF!="Alta",'Mapa final'!#REF!="Catastrófico"),CONCATENATE("R8C",'Mapa final'!#REF!),"")</f>
        <v>#REF!</v>
      </c>
      <c r="AM23" s="43" t="e">
        <f>IF(AND('Mapa final'!#REF!="Alta",'Mapa final'!#REF!="Catastrófico"),CONCATENATE("R8C",'Mapa final'!#REF!),"")</f>
        <v>#REF!</v>
      </c>
      <c r="AN23" s="69"/>
      <c r="AO23" s="348"/>
      <c r="AP23" s="349"/>
      <c r="AQ23" s="349"/>
      <c r="AR23" s="349"/>
      <c r="AS23" s="349"/>
      <c r="AT23" s="350"/>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c r="BU23" s="69"/>
      <c r="BV23" s="69"/>
      <c r="BW23" s="69"/>
      <c r="BX23" s="69"/>
    </row>
    <row r="24" spans="1:76" ht="15" customHeight="1" x14ac:dyDescent="0.25">
      <c r="A24" s="69"/>
      <c r="B24" s="259"/>
      <c r="C24" s="259"/>
      <c r="D24" s="260"/>
      <c r="E24" s="358"/>
      <c r="F24" s="357"/>
      <c r="G24" s="357"/>
      <c r="H24" s="357"/>
      <c r="I24" s="357"/>
      <c r="J24" s="53" t="e">
        <f>IF(AND('Mapa final'!#REF!="Alta",'Mapa final'!#REF!="Leve"),CONCATENATE("R9C",'Mapa final'!#REF!),"")</f>
        <v>#REF!</v>
      </c>
      <c r="K24" s="54" t="e">
        <f>IF(AND('Mapa final'!#REF!="Alta",'Mapa final'!#REF!="Leve"),CONCATENATE("R9C",'Mapa final'!#REF!),"")</f>
        <v>#REF!</v>
      </c>
      <c r="L24" s="54" t="e">
        <f>IF(AND('Mapa final'!#REF!="Alta",'Mapa final'!#REF!="Leve"),CONCATENATE("R9C",'Mapa final'!#REF!),"")</f>
        <v>#REF!</v>
      </c>
      <c r="M24" s="54" t="e">
        <f>IF(AND('Mapa final'!#REF!="Alta",'Mapa final'!#REF!="Leve"),CONCATENATE("R9C",'Mapa final'!#REF!),"")</f>
        <v>#REF!</v>
      </c>
      <c r="N24" s="54" t="e">
        <f>IF(AND('Mapa final'!#REF!="Alta",'Mapa final'!#REF!="Leve"),CONCATENATE("R9C",'Mapa final'!#REF!),"")</f>
        <v>#REF!</v>
      </c>
      <c r="O24" s="55" t="e">
        <f>IF(AND('Mapa final'!#REF!="Alta",'Mapa final'!#REF!="Leve"),CONCATENATE("R9C",'Mapa final'!#REF!),"")</f>
        <v>#REF!</v>
      </c>
      <c r="P24" s="53" t="e">
        <f>IF(AND('Mapa final'!#REF!="Alta",'Mapa final'!#REF!="Menor"),CONCATENATE("R9C",'Mapa final'!#REF!),"")</f>
        <v>#REF!</v>
      </c>
      <c r="Q24" s="54" t="e">
        <f>IF(AND('Mapa final'!#REF!="Alta",'Mapa final'!#REF!="Menor"),CONCATENATE("R9C",'Mapa final'!#REF!),"")</f>
        <v>#REF!</v>
      </c>
      <c r="R24" s="54" t="e">
        <f>IF(AND('Mapa final'!#REF!="Alta",'Mapa final'!#REF!="Menor"),CONCATENATE("R9C",'Mapa final'!#REF!),"")</f>
        <v>#REF!</v>
      </c>
      <c r="S24" s="54" t="e">
        <f>IF(AND('Mapa final'!#REF!="Alta",'Mapa final'!#REF!="Menor"),CONCATENATE("R9C",'Mapa final'!#REF!),"")</f>
        <v>#REF!</v>
      </c>
      <c r="T24" s="54" t="e">
        <f>IF(AND('Mapa final'!#REF!="Alta",'Mapa final'!#REF!="Menor"),CONCATENATE("R9C",'Mapa final'!#REF!),"")</f>
        <v>#REF!</v>
      </c>
      <c r="U24" s="55" t="e">
        <f>IF(AND('Mapa final'!#REF!="Alta",'Mapa final'!#REF!="Menor"),CONCATENATE("R9C",'Mapa final'!#REF!),"")</f>
        <v>#REF!</v>
      </c>
      <c r="V24" s="38" t="e">
        <f>IF(AND('Mapa final'!#REF!="Alta",'Mapa final'!#REF!="Moderado"),CONCATENATE("R9C",'Mapa final'!#REF!),"")</f>
        <v>#REF!</v>
      </c>
      <c r="W24" s="39" t="e">
        <f>IF(AND('Mapa final'!#REF!="Alta",'Mapa final'!#REF!="Moderado"),CONCATENATE("R9C",'Mapa final'!#REF!),"")</f>
        <v>#REF!</v>
      </c>
      <c r="X24" s="39" t="e">
        <f>IF(AND('Mapa final'!#REF!="Alta",'Mapa final'!#REF!="Moderado"),CONCATENATE("R9C",'Mapa final'!#REF!),"")</f>
        <v>#REF!</v>
      </c>
      <c r="Y24" s="39" t="e">
        <f>IF(AND('Mapa final'!#REF!="Alta",'Mapa final'!#REF!="Moderado"),CONCATENATE("R9C",'Mapa final'!#REF!),"")</f>
        <v>#REF!</v>
      </c>
      <c r="Z24" s="39" t="e">
        <f>IF(AND('Mapa final'!#REF!="Alta",'Mapa final'!#REF!="Moderado"),CONCATENATE("R9C",'Mapa final'!#REF!),"")</f>
        <v>#REF!</v>
      </c>
      <c r="AA24" s="40" t="e">
        <f>IF(AND('Mapa final'!#REF!="Alta",'Mapa final'!#REF!="Moderado"),CONCATENATE("R9C",'Mapa final'!#REF!),"")</f>
        <v>#REF!</v>
      </c>
      <c r="AB24" s="38" t="e">
        <f>IF(AND('Mapa final'!#REF!="Alta",'Mapa final'!#REF!="Mayor"),CONCATENATE("R9C",'Mapa final'!#REF!),"")</f>
        <v>#REF!</v>
      </c>
      <c r="AC24" s="39" t="e">
        <f>IF(AND('Mapa final'!#REF!="Alta",'Mapa final'!#REF!="Mayor"),CONCATENATE("R9C",'Mapa final'!#REF!),"")</f>
        <v>#REF!</v>
      </c>
      <c r="AD24" s="39" t="e">
        <f>IF(AND('Mapa final'!#REF!="Alta",'Mapa final'!#REF!="Mayor"),CONCATENATE("R9C",'Mapa final'!#REF!),"")</f>
        <v>#REF!</v>
      </c>
      <c r="AE24" s="39" t="e">
        <f>IF(AND('Mapa final'!#REF!="Alta",'Mapa final'!#REF!="Mayor"),CONCATENATE("R9C",'Mapa final'!#REF!),"")</f>
        <v>#REF!</v>
      </c>
      <c r="AF24" s="39" t="e">
        <f>IF(AND('Mapa final'!#REF!="Alta",'Mapa final'!#REF!="Mayor"),CONCATENATE("R9C",'Mapa final'!#REF!),"")</f>
        <v>#REF!</v>
      </c>
      <c r="AG24" s="40" t="e">
        <f>IF(AND('Mapa final'!#REF!="Alta",'Mapa final'!#REF!="Mayor"),CONCATENATE("R9C",'Mapa final'!#REF!),"")</f>
        <v>#REF!</v>
      </c>
      <c r="AH24" s="41" t="e">
        <f>IF(AND('Mapa final'!#REF!="Alta",'Mapa final'!#REF!="Catastrófico"),CONCATENATE("R9C",'Mapa final'!#REF!),"")</f>
        <v>#REF!</v>
      </c>
      <c r="AI24" s="42" t="e">
        <f>IF(AND('Mapa final'!#REF!="Alta",'Mapa final'!#REF!="Catastrófico"),CONCATENATE("R9C",'Mapa final'!#REF!),"")</f>
        <v>#REF!</v>
      </c>
      <c r="AJ24" s="42" t="e">
        <f>IF(AND('Mapa final'!#REF!="Alta",'Mapa final'!#REF!="Catastrófico"),CONCATENATE("R9C",'Mapa final'!#REF!),"")</f>
        <v>#REF!</v>
      </c>
      <c r="AK24" s="42" t="e">
        <f>IF(AND('Mapa final'!#REF!="Alta",'Mapa final'!#REF!="Catastrófico"),CONCATENATE("R9C",'Mapa final'!#REF!),"")</f>
        <v>#REF!</v>
      </c>
      <c r="AL24" s="42" t="e">
        <f>IF(AND('Mapa final'!#REF!="Alta",'Mapa final'!#REF!="Catastrófico"),CONCATENATE("R9C",'Mapa final'!#REF!),"")</f>
        <v>#REF!</v>
      </c>
      <c r="AM24" s="43" t="e">
        <f>IF(AND('Mapa final'!#REF!="Alta",'Mapa final'!#REF!="Catastrófico"),CONCATENATE("R9C",'Mapa final'!#REF!),"")</f>
        <v>#REF!</v>
      </c>
      <c r="AN24" s="69"/>
      <c r="AO24" s="348"/>
      <c r="AP24" s="349"/>
      <c r="AQ24" s="349"/>
      <c r="AR24" s="349"/>
      <c r="AS24" s="349"/>
      <c r="AT24" s="350"/>
      <c r="AU24" s="69"/>
      <c r="AV24" s="69"/>
      <c r="AW24" s="69"/>
      <c r="AX24" s="69"/>
      <c r="AY24" s="69"/>
      <c r="AZ24" s="69"/>
      <c r="BA24" s="69"/>
      <c r="BB24" s="69"/>
      <c r="BC24" s="69"/>
      <c r="BD24" s="69"/>
      <c r="BE24" s="69"/>
      <c r="BF24" s="69"/>
      <c r="BG24" s="69"/>
      <c r="BH24" s="69"/>
      <c r="BI24" s="69"/>
      <c r="BJ24" s="69"/>
      <c r="BK24" s="69"/>
      <c r="BL24" s="69"/>
      <c r="BM24" s="69"/>
      <c r="BN24" s="69"/>
      <c r="BO24" s="69"/>
      <c r="BP24" s="69"/>
      <c r="BQ24" s="69"/>
      <c r="BR24" s="69"/>
      <c r="BS24" s="69"/>
      <c r="BT24" s="69"/>
      <c r="BU24" s="69"/>
      <c r="BV24" s="69"/>
      <c r="BW24" s="69"/>
      <c r="BX24" s="69"/>
    </row>
    <row r="25" spans="1:76" ht="15.75" customHeight="1" thickBot="1" x14ac:dyDescent="0.3">
      <c r="A25" s="69"/>
      <c r="B25" s="259"/>
      <c r="C25" s="259"/>
      <c r="D25" s="260"/>
      <c r="E25" s="359"/>
      <c r="F25" s="360"/>
      <c r="G25" s="360"/>
      <c r="H25" s="360"/>
      <c r="I25" s="360"/>
      <c r="J25" s="56" t="e">
        <f>IF(AND('Mapa final'!#REF!="Alta",'Mapa final'!#REF!="Leve"),CONCATENATE("R10C",'Mapa final'!#REF!),"")</f>
        <v>#REF!</v>
      </c>
      <c r="K25" s="57" t="e">
        <f>IF(AND('Mapa final'!#REF!="Alta",'Mapa final'!#REF!="Leve"),CONCATENATE("R10C",'Mapa final'!#REF!),"")</f>
        <v>#REF!</v>
      </c>
      <c r="L25" s="57" t="e">
        <f>IF(AND('Mapa final'!#REF!="Alta",'Mapa final'!#REF!="Leve"),CONCATENATE("R10C",'Mapa final'!#REF!),"")</f>
        <v>#REF!</v>
      </c>
      <c r="M25" s="57" t="e">
        <f>IF(AND('Mapa final'!#REF!="Alta",'Mapa final'!#REF!="Leve"),CONCATENATE("R10C",'Mapa final'!#REF!),"")</f>
        <v>#REF!</v>
      </c>
      <c r="N25" s="57" t="e">
        <f>IF(AND('Mapa final'!#REF!="Alta",'Mapa final'!#REF!="Leve"),CONCATENATE("R10C",'Mapa final'!#REF!),"")</f>
        <v>#REF!</v>
      </c>
      <c r="O25" s="58" t="e">
        <f>IF(AND('Mapa final'!#REF!="Alta",'Mapa final'!#REF!="Leve"),CONCATENATE("R10C",'Mapa final'!#REF!),"")</f>
        <v>#REF!</v>
      </c>
      <c r="P25" s="56" t="e">
        <f>IF(AND('Mapa final'!#REF!="Alta",'Mapa final'!#REF!="Menor"),CONCATENATE("R10C",'Mapa final'!#REF!),"")</f>
        <v>#REF!</v>
      </c>
      <c r="Q25" s="57" t="e">
        <f>IF(AND('Mapa final'!#REF!="Alta",'Mapa final'!#REF!="Menor"),CONCATENATE("R10C",'Mapa final'!#REF!),"")</f>
        <v>#REF!</v>
      </c>
      <c r="R25" s="57" t="e">
        <f>IF(AND('Mapa final'!#REF!="Alta",'Mapa final'!#REF!="Menor"),CONCATENATE("R10C",'Mapa final'!#REF!),"")</f>
        <v>#REF!</v>
      </c>
      <c r="S25" s="57" t="e">
        <f>IF(AND('Mapa final'!#REF!="Alta",'Mapa final'!#REF!="Menor"),CONCATENATE("R10C",'Mapa final'!#REF!),"")</f>
        <v>#REF!</v>
      </c>
      <c r="T25" s="57" t="e">
        <f>IF(AND('Mapa final'!#REF!="Alta",'Mapa final'!#REF!="Menor"),CONCATENATE("R10C",'Mapa final'!#REF!),"")</f>
        <v>#REF!</v>
      </c>
      <c r="U25" s="58" t="e">
        <f>IF(AND('Mapa final'!#REF!="Alta",'Mapa final'!#REF!="Menor"),CONCATENATE("R10C",'Mapa final'!#REF!),"")</f>
        <v>#REF!</v>
      </c>
      <c r="V25" s="44" t="e">
        <f>IF(AND('Mapa final'!#REF!="Alta",'Mapa final'!#REF!="Moderado"),CONCATENATE("R10C",'Mapa final'!#REF!),"")</f>
        <v>#REF!</v>
      </c>
      <c r="W25" s="45" t="e">
        <f>IF(AND('Mapa final'!#REF!="Alta",'Mapa final'!#REF!="Moderado"),CONCATENATE("R10C",'Mapa final'!#REF!),"")</f>
        <v>#REF!</v>
      </c>
      <c r="X25" s="45" t="e">
        <f>IF(AND('Mapa final'!#REF!="Alta",'Mapa final'!#REF!="Moderado"),CONCATENATE("R10C",'Mapa final'!#REF!),"")</f>
        <v>#REF!</v>
      </c>
      <c r="Y25" s="45" t="e">
        <f>IF(AND('Mapa final'!#REF!="Alta",'Mapa final'!#REF!="Moderado"),CONCATENATE("R10C",'Mapa final'!#REF!),"")</f>
        <v>#REF!</v>
      </c>
      <c r="Z25" s="45" t="e">
        <f>IF(AND('Mapa final'!#REF!="Alta",'Mapa final'!#REF!="Moderado"),CONCATENATE("R10C",'Mapa final'!#REF!),"")</f>
        <v>#REF!</v>
      </c>
      <c r="AA25" s="46" t="e">
        <f>IF(AND('Mapa final'!#REF!="Alta",'Mapa final'!#REF!="Moderado"),CONCATENATE("R10C",'Mapa final'!#REF!),"")</f>
        <v>#REF!</v>
      </c>
      <c r="AB25" s="44" t="e">
        <f>IF(AND('Mapa final'!#REF!="Alta",'Mapa final'!#REF!="Mayor"),CONCATENATE("R10C",'Mapa final'!#REF!),"")</f>
        <v>#REF!</v>
      </c>
      <c r="AC25" s="45" t="e">
        <f>IF(AND('Mapa final'!#REF!="Alta",'Mapa final'!#REF!="Mayor"),CONCATENATE("R10C",'Mapa final'!#REF!),"")</f>
        <v>#REF!</v>
      </c>
      <c r="AD25" s="45" t="e">
        <f>IF(AND('Mapa final'!#REF!="Alta",'Mapa final'!#REF!="Mayor"),CONCATENATE("R10C",'Mapa final'!#REF!),"")</f>
        <v>#REF!</v>
      </c>
      <c r="AE25" s="45" t="e">
        <f>IF(AND('Mapa final'!#REF!="Alta",'Mapa final'!#REF!="Mayor"),CONCATENATE("R10C",'Mapa final'!#REF!),"")</f>
        <v>#REF!</v>
      </c>
      <c r="AF25" s="45" t="e">
        <f>IF(AND('Mapa final'!#REF!="Alta",'Mapa final'!#REF!="Mayor"),CONCATENATE("R10C",'Mapa final'!#REF!),"")</f>
        <v>#REF!</v>
      </c>
      <c r="AG25" s="46" t="e">
        <f>IF(AND('Mapa final'!#REF!="Alta",'Mapa final'!#REF!="Mayor"),CONCATENATE("R10C",'Mapa final'!#REF!),"")</f>
        <v>#REF!</v>
      </c>
      <c r="AH25" s="47" t="e">
        <f>IF(AND('Mapa final'!#REF!="Alta",'Mapa final'!#REF!="Catastrófico"),CONCATENATE("R10C",'Mapa final'!#REF!),"")</f>
        <v>#REF!</v>
      </c>
      <c r="AI25" s="48" t="e">
        <f>IF(AND('Mapa final'!#REF!="Alta",'Mapa final'!#REF!="Catastrófico"),CONCATENATE("R10C",'Mapa final'!#REF!),"")</f>
        <v>#REF!</v>
      </c>
      <c r="AJ25" s="48" t="e">
        <f>IF(AND('Mapa final'!#REF!="Alta",'Mapa final'!#REF!="Catastrófico"),CONCATENATE("R10C",'Mapa final'!#REF!),"")</f>
        <v>#REF!</v>
      </c>
      <c r="AK25" s="48" t="e">
        <f>IF(AND('Mapa final'!#REF!="Alta",'Mapa final'!#REF!="Catastrófico"),CONCATENATE("R10C",'Mapa final'!#REF!),"")</f>
        <v>#REF!</v>
      </c>
      <c r="AL25" s="48" t="e">
        <f>IF(AND('Mapa final'!#REF!="Alta",'Mapa final'!#REF!="Catastrófico"),CONCATENATE("R10C",'Mapa final'!#REF!),"")</f>
        <v>#REF!</v>
      </c>
      <c r="AM25" s="49" t="e">
        <f>IF(AND('Mapa final'!#REF!="Alta",'Mapa final'!#REF!="Catastrófico"),CONCATENATE("R10C",'Mapa final'!#REF!),"")</f>
        <v>#REF!</v>
      </c>
      <c r="AN25" s="69"/>
      <c r="AO25" s="351"/>
      <c r="AP25" s="352"/>
      <c r="AQ25" s="352"/>
      <c r="AR25" s="352"/>
      <c r="AS25" s="352"/>
      <c r="AT25" s="353"/>
      <c r="AU25" s="69"/>
      <c r="AV25" s="69"/>
      <c r="AW25" s="69"/>
      <c r="AX25" s="69"/>
      <c r="AY25" s="69"/>
      <c r="AZ25" s="69"/>
      <c r="BA25" s="69"/>
      <c r="BB25" s="69"/>
      <c r="BC25" s="69"/>
      <c r="BD25" s="69"/>
      <c r="BE25" s="69"/>
      <c r="BF25" s="69"/>
      <c r="BG25" s="69"/>
      <c r="BH25" s="69"/>
      <c r="BI25" s="69"/>
      <c r="BJ25" s="69"/>
      <c r="BK25" s="69"/>
      <c r="BL25" s="69"/>
      <c r="BM25" s="69"/>
      <c r="BN25" s="69"/>
      <c r="BO25" s="69"/>
      <c r="BP25" s="69"/>
      <c r="BQ25" s="69"/>
      <c r="BR25" s="69"/>
      <c r="BS25" s="69"/>
      <c r="BT25" s="69"/>
      <c r="BU25" s="69"/>
      <c r="BV25" s="69"/>
      <c r="BW25" s="69"/>
      <c r="BX25" s="69"/>
    </row>
    <row r="26" spans="1:76" ht="15" customHeight="1" x14ac:dyDescent="0.25">
      <c r="A26" s="69"/>
      <c r="B26" s="259"/>
      <c r="C26" s="259"/>
      <c r="D26" s="260"/>
      <c r="E26" s="354" t="s">
        <v>115</v>
      </c>
      <c r="F26" s="355"/>
      <c r="G26" s="355"/>
      <c r="H26" s="355"/>
      <c r="I26" s="372"/>
      <c r="J26" s="50" t="str">
        <f>IF(AND('Mapa final'!$Y$13="Media",'Mapa final'!$AA$13="Leve"),CONCATENATE("R1C",'Mapa final'!$O$13),"")</f>
        <v/>
      </c>
      <c r="K26" s="51" t="str">
        <f>IF(AND('Mapa final'!$Y$14="Media",'Mapa final'!$AA$14="Leve"),CONCATENATE("R1C",'Mapa final'!$O$14),"")</f>
        <v/>
      </c>
      <c r="L26" s="51" t="str">
        <f>IF(AND('Mapa final'!$Y$15="Media",'Mapa final'!$AA$15="Leve"),CONCATENATE("R1C",'Mapa final'!$O$15),"")</f>
        <v/>
      </c>
      <c r="M26" s="51" t="str">
        <f>IF(AND('Mapa final'!$Y$16="Media",'Mapa final'!$AA$16="Leve"),CONCATENATE("R1C",'Mapa final'!$O$16),"")</f>
        <v/>
      </c>
      <c r="N26" s="51" t="str">
        <f>IF(AND('Mapa final'!$Y$17="Media",'Mapa final'!$AA$17="Leve"),CONCATENATE("R1C",'Mapa final'!$O$17),"")</f>
        <v/>
      </c>
      <c r="O26" s="52" t="str">
        <f>IF(AND('Mapa final'!$Y$18="Media",'Mapa final'!$AA$18="Leve"),CONCATENATE("R1C",'Mapa final'!$O$18),"")</f>
        <v/>
      </c>
      <c r="P26" s="50" t="str">
        <f>IF(AND('Mapa final'!$Y$13="Media",'Mapa final'!$AA$13="Menor"),CONCATENATE("R1C",'Mapa final'!$O$13),"")</f>
        <v/>
      </c>
      <c r="Q26" s="51" t="str">
        <f>IF(AND('Mapa final'!$Y$14="Media",'Mapa final'!$AA$14="Menor"),CONCATENATE("R1C",'Mapa final'!$O$14),"")</f>
        <v/>
      </c>
      <c r="R26" s="51" t="str">
        <f>IF(AND('Mapa final'!$Y$15="Media",'Mapa final'!$AA$15="Menor"),CONCATENATE("R1C",'Mapa final'!$O$15),"")</f>
        <v/>
      </c>
      <c r="S26" s="51" t="str">
        <f>IF(AND('Mapa final'!$Y$16="Media",'Mapa final'!$AA$16="Menor"),CONCATENATE("R1C",'Mapa final'!$O$16),"")</f>
        <v/>
      </c>
      <c r="T26" s="51" t="str">
        <f>IF(AND('Mapa final'!$Y$17="Media",'Mapa final'!$AA$17="Menor"),CONCATENATE("R1C",'Mapa final'!$O$17),"")</f>
        <v/>
      </c>
      <c r="U26" s="52" t="str">
        <f>IF(AND('Mapa final'!$Y$18="Media",'Mapa final'!$AA$18="Menor"),CONCATENATE("R1C",'Mapa final'!$O$18),"")</f>
        <v/>
      </c>
      <c r="V26" s="50" t="str">
        <f>IF(AND('Mapa final'!$Y$13="Media",'Mapa final'!$AA$13="Moderado"),CONCATENATE("R1C",'Mapa final'!$O$13),"")</f>
        <v/>
      </c>
      <c r="W26" s="51" t="str">
        <f>IF(AND('Mapa final'!$Y$14="Media",'Mapa final'!$AA$14="Moderado"),CONCATENATE("R1C",'Mapa final'!$O$14),"")</f>
        <v/>
      </c>
      <c r="X26" s="51" t="str">
        <f>IF(AND('Mapa final'!$Y$15="Media",'Mapa final'!$AA$15="Moderado"),CONCATENATE("R1C",'Mapa final'!$O$15),"")</f>
        <v/>
      </c>
      <c r="Y26" s="51" t="str">
        <f>IF(AND('Mapa final'!$Y$16="Media",'Mapa final'!$AA$16="Moderado"),CONCATENATE("R1C",'Mapa final'!$O$16),"")</f>
        <v/>
      </c>
      <c r="Z26" s="51" t="str">
        <f>IF(AND('Mapa final'!$Y$17="Media",'Mapa final'!$AA$17="Moderado"),CONCATENATE("R1C",'Mapa final'!$O$17),"")</f>
        <v/>
      </c>
      <c r="AA26" s="52" t="str">
        <f>IF(AND('Mapa final'!$Y$18="Media",'Mapa final'!$AA$18="Moderado"),CONCATENATE("R1C",'Mapa final'!$O$18),"")</f>
        <v/>
      </c>
      <c r="AB26" s="32" t="str">
        <f>IF(AND('Mapa final'!$Y$13="Media",'Mapa final'!$AA$13="Mayor"),CONCATENATE("R1C",'Mapa final'!$O$13),"")</f>
        <v/>
      </c>
      <c r="AC26" s="33" t="str">
        <f>IF(AND('Mapa final'!$Y$14="Media",'Mapa final'!$AA$14="Mayor"),CONCATENATE("R1C",'Mapa final'!$O$14),"")</f>
        <v/>
      </c>
      <c r="AD26" s="33" t="str">
        <f>IF(AND('Mapa final'!$Y$15="Media",'Mapa final'!$AA$15="Mayor"),CONCATENATE("R1C",'Mapa final'!$O$15),"")</f>
        <v/>
      </c>
      <c r="AE26" s="33" t="str">
        <f>IF(AND('Mapa final'!$Y$16="Media",'Mapa final'!$AA$16="Mayor"),CONCATENATE("R1C",'Mapa final'!$O$16),"")</f>
        <v/>
      </c>
      <c r="AF26" s="33" t="str">
        <f>IF(AND('Mapa final'!$Y$17="Media",'Mapa final'!$AA$17="Mayor"),CONCATENATE("R1C",'Mapa final'!$O$17),"")</f>
        <v/>
      </c>
      <c r="AG26" s="34" t="str">
        <f>IF(AND('Mapa final'!$Y$18="Media",'Mapa final'!$AA$18="Mayor"),CONCATENATE("R1C",'Mapa final'!$O$18),"")</f>
        <v/>
      </c>
      <c r="AH26" s="35" t="str">
        <f>IF(AND('Mapa final'!$Y$13="Media",'Mapa final'!$AA$13="Catastrófico"),CONCATENATE("R1C",'Mapa final'!$O$13),"")</f>
        <v/>
      </c>
      <c r="AI26" s="36" t="str">
        <f>IF(AND('Mapa final'!$Y$14="Media",'Mapa final'!$AA$14="Catastrófico"),CONCATENATE("R1C",'Mapa final'!$O$14),"")</f>
        <v/>
      </c>
      <c r="AJ26" s="36" t="str">
        <f>IF(AND('Mapa final'!$Y$15="Media",'Mapa final'!$AA$15="Catastrófico"),CONCATENATE("R1C",'Mapa final'!$O$15),"")</f>
        <v/>
      </c>
      <c r="AK26" s="36" t="str">
        <f>IF(AND('Mapa final'!$Y$16="Media",'Mapa final'!$AA$16="Catastrófico"),CONCATENATE("R1C",'Mapa final'!$O$16),"")</f>
        <v/>
      </c>
      <c r="AL26" s="36" t="str">
        <f>IF(AND('Mapa final'!$Y$17="Media",'Mapa final'!$AA$17="Catastrófico"),CONCATENATE("R1C",'Mapa final'!$O$17),"")</f>
        <v/>
      </c>
      <c r="AM26" s="37" t="str">
        <f>IF(AND('Mapa final'!$Y$18="Media",'Mapa final'!$AA$18="Catastrófico"),CONCATENATE("R1C",'Mapa final'!$O$18),"")</f>
        <v/>
      </c>
      <c r="AN26" s="69"/>
      <c r="AO26" s="384" t="s">
        <v>79</v>
      </c>
      <c r="AP26" s="385"/>
      <c r="AQ26" s="385"/>
      <c r="AR26" s="385"/>
      <c r="AS26" s="385"/>
      <c r="AT26" s="386"/>
      <c r="AU26" s="69"/>
      <c r="AV26" s="69"/>
      <c r="AW26" s="69"/>
      <c r="AX26" s="69"/>
      <c r="AY26" s="69"/>
      <c r="AZ26" s="69"/>
      <c r="BA26" s="69"/>
      <c r="BB26" s="69"/>
      <c r="BC26" s="69"/>
      <c r="BD26" s="69"/>
      <c r="BE26" s="69"/>
      <c r="BF26" s="69"/>
      <c r="BG26" s="69"/>
      <c r="BH26" s="69"/>
      <c r="BI26" s="69"/>
      <c r="BJ26" s="69"/>
      <c r="BK26" s="69"/>
      <c r="BL26" s="69"/>
      <c r="BM26" s="69"/>
      <c r="BN26" s="69"/>
      <c r="BO26" s="69"/>
      <c r="BP26" s="69"/>
      <c r="BQ26" s="69"/>
      <c r="BR26" s="69"/>
      <c r="BS26" s="69"/>
      <c r="BT26" s="69"/>
      <c r="BU26" s="69"/>
      <c r="BV26" s="69"/>
      <c r="BW26" s="69"/>
      <c r="BX26" s="69"/>
    </row>
    <row r="27" spans="1:76" ht="15" customHeight="1" x14ac:dyDescent="0.25">
      <c r="A27" s="69"/>
      <c r="B27" s="259"/>
      <c r="C27" s="259"/>
      <c r="D27" s="260"/>
      <c r="E27" s="356"/>
      <c r="F27" s="357"/>
      <c r="G27" s="357"/>
      <c r="H27" s="357"/>
      <c r="I27" s="373"/>
      <c r="J27" s="53" t="e">
        <f>IF(AND('Mapa final'!#REF!="Media",'Mapa final'!#REF!="Leve"),CONCATENATE("R2C",'Mapa final'!#REF!),"")</f>
        <v>#REF!</v>
      </c>
      <c r="K27" s="54" t="e">
        <f>IF(AND('Mapa final'!#REF!="Media",'Mapa final'!#REF!="Leve"),CONCATENATE("R2C",'Mapa final'!#REF!),"")</f>
        <v>#REF!</v>
      </c>
      <c r="L27" s="54" t="e">
        <f>IF(AND('Mapa final'!#REF!="Media",'Mapa final'!#REF!="Leve"),CONCATENATE("R2C",'Mapa final'!#REF!),"")</f>
        <v>#REF!</v>
      </c>
      <c r="M27" s="54" t="e">
        <f>IF(AND('Mapa final'!#REF!="Media",'Mapa final'!#REF!="Leve"),CONCATENATE("R2C",'Mapa final'!#REF!),"")</f>
        <v>#REF!</v>
      </c>
      <c r="N27" s="54" t="e">
        <f>IF(AND('Mapa final'!#REF!="Media",'Mapa final'!#REF!="Leve"),CONCATENATE("R2C",'Mapa final'!#REF!),"")</f>
        <v>#REF!</v>
      </c>
      <c r="O27" s="55" t="e">
        <f>IF(AND('Mapa final'!#REF!="Media",'Mapa final'!#REF!="Leve"),CONCATENATE("R2C",'Mapa final'!#REF!),"")</f>
        <v>#REF!</v>
      </c>
      <c r="P27" s="53" t="e">
        <f>IF(AND('Mapa final'!#REF!="Media",'Mapa final'!#REF!="Menor"),CONCATENATE("R2C",'Mapa final'!#REF!),"")</f>
        <v>#REF!</v>
      </c>
      <c r="Q27" s="54" t="e">
        <f>IF(AND('Mapa final'!#REF!="Media",'Mapa final'!#REF!="Menor"),CONCATENATE("R2C",'Mapa final'!#REF!),"")</f>
        <v>#REF!</v>
      </c>
      <c r="R27" s="54" t="e">
        <f>IF(AND('Mapa final'!#REF!="Media",'Mapa final'!#REF!="Menor"),CONCATENATE("R2C",'Mapa final'!#REF!),"")</f>
        <v>#REF!</v>
      </c>
      <c r="S27" s="54" t="e">
        <f>IF(AND('Mapa final'!#REF!="Media",'Mapa final'!#REF!="Menor"),CONCATENATE("R2C",'Mapa final'!#REF!),"")</f>
        <v>#REF!</v>
      </c>
      <c r="T27" s="54" t="e">
        <f>IF(AND('Mapa final'!#REF!="Media",'Mapa final'!#REF!="Menor"),CONCATENATE("R2C",'Mapa final'!#REF!),"")</f>
        <v>#REF!</v>
      </c>
      <c r="U27" s="55" t="e">
        <f>IF(AND('Mapa final'!#REF!="Media",'Mapa final'!#REF!="Menor"),CONCATENATE("R2C",'Mapa final'!#REF!),"")</f>
        <v>#REF!</v>
      </c>
      <c r="V27" s="53" t="e">
        <f>IF(AND('Mapa final'!#REF!="Media",'Mapa final'!#REF!="Moderado"),CONCATENATE("R2C",'Mapa final'!#REF!),"")</f>
        <v>#REF!</v>
      </c>
      <c r="W27" s="54" t="e">
        <f>IF(AND('Mapa final'!#REF!="Media",'Mapa final'!#REF!="Moderado"),CONCATENATE("R2C",'Mapa final'!#REF!),"")</f>
        <v>#REF!</v>
      </c>
      <c r="X27" s="54" t="e">
        <f>IF(AND('Mapa final'!#REF!="Media",'Mapa final'!#REF!="Moderado"),CONCATENATE("R2C",'Mapa final'!#REF!),"")</f>
        <v>#REF!</v>
      </c>
      <c r="Y27" s="54" t="e">
        <f>IF(AND('Mapa final'!#REF!="Media",'Mapa final'!#REF!="Moderado"),CONCATENATE("R2C",'Mapa final'!#REF!),"")</f>
        <v>#REF!</v>
      </c>
      <c r="Z27" s="54" t="e">
        <f>IF(AND('Mapa final'!#REF!="Media",'Mapa final'!#REF!="Moderado"),CONCATENATE("R2C",'Mapa final'!#REF!),"")</f>
        <v>#REF!</v>
      </c>
      <c r="AA27" s="55" t="e">
        <f>IF(AND('Mapa final'!#REF!="Media",'Mapa final'!#REF!="Moderado"),CONCATENATE("R2C",'Mapa final'!#REF!),"")</f>
        <v>#REF!</v>
      </c>
      <c r="AB27" s="38" t="e">
        <f>IF(AND('Mapa final'!#REF!="Media",'Mapa final'!#REF!="Mayor"),CONCATENATE("R2C",'Mapa final'!#REF!),"")</f>
        <v>#REF!</v>
      </c>
      <c r="AC27" s="39" t="e">
        <f>IF(AND('Mapa final'!#REF!="Media",'Mapa final'!#REF!="Mayor"),CONCATENATE("R2C",'Mapa final'!#REF!),"")</f>
        <v>#REF!</v>
      </c>
      <c r="AD27" s="39" t="e">
        <f>IF(AND('Mapa final'!#REF!="Media",'Mapa final'!#REF!="Mayor"),CONCATENATE("R2C",'Mapa final'!#REF!),"")</f>
        <v>#REF!</v>
      </c>
      <c r="AE27" s="39" t="e">
        <f>IF(AND('Mapa final'!#REF!="Media",'Mapa final'!#REF!="Mayor"),CONCATENATE("R2C",'Mapa final'!#REF!),"")</f>
        <v>#REF!</v>
      </c>
      <c r="AF27" s="39" t="e">
        <f>IF(AND('Mapa final'!#REF!="Media",'Mapa final'!#REF!="Mayor"),CONCATENATE("R2C",'Mapa final'!#REF!),"")</f>
        <v>#REF!</v>
      </c>
      <c r="AG27" s="40" t="e">
        <f>IF(AND('Mapa final'!#REF!="Media",'Mapa final'!#REF!="Mayor"),CONCATENATE("R2C",'Mapa final'!#REF!),"")</f>
        <v>#REF!</v>
      </c>
      <c r="AH27" s="41" t="e">
        <f>IF(AND('Mapa final'!#REF!="Media",'Mapa final'!#REF!="Catastrófico"),CONCATENATE("R2C",'Mapa final'!#REF!),"")</f>
        <v>#REF!</v>
      </c>
      <c r="AI27" s="42" t="e">
        <f>IF(AND('Mapa final'!#REF!="Media",'Mapa final'!#REF!="Catastrófico"),CONCATENATE("R2C",'Mapa final'!#REF!),"")</f>
        <v>#REF!</v>
      </c>
      <c r="AJ27" s="42" t="e">
        <f>IF(AND('Mapa final'!#REF!="Media",'Mapa final'!#REF!="Catastrófico"),CONCATENATE("R2C",'Mapa final'!#REF!),"")</f>
        <v>#REF!</v>
      </c>
      <c r="AK27" s="42" t="e">
        <f>IF(AND('Mapa final'!#REF!="Media",'Mapa final'!#REF!="Catastrófico"),CONCATENATE("R2C",'Mapa final'!#REF!),"")</f>
        <v>#REF!</v>
      </c>
      <c r="AL27" s="42" t="e">
        <f>IF(AND('Mapa final'!#REF!="Media",'Mapa final'!#REF!="Catastrófico"),CONCATENATE("R2C",'Mapa final'!#REF!),"")</f>
        <v>#REF!</v>
      </c>
      <c r="AM27" s="43" t="e">
        <f>IF(AND('Mapa final'!#REF!="Media",'Mapa final'!#REF!="Catastrófico"),CONCATENATE("R2C",'Mapa final'!#REF!),"")</f>
        <v>#REF!</v>
      </c>
      <c r="AN27" s="69"/>
      <c r="AO27" s="387"/>
      <c r="AP27" s="388"/>
      <c r="AQ27" s="388"/>
      <c r="AR27" s="388"/>
      <c r="AS27" s="388"/>
      <c r="AT27" s="389"/>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c r="BU27" s="69"/>
      <c r="BV27" s="69"/>
      <c r="BW27" s="69"/>
      <c r="BX27" s="69"/>
    </row>
    <row r="28" spans="1:76" ht="15" customHeight="1" x14ac:dyDescent="0.25">
      <c r="A28" s="69"/>
      <c r="B28" s="259"/>
      <c r="C28" s="259"/>
      <c r="D28" s="260"/>
      <c r="E28" s="358"/>
      <c r="F28" s="357"/>
      <c r="G28" s="357"/>
      <c r="H28" s="357"/>
      <c r="I28" s="373"/>
      <c r="J28" s="53" t="e">
        <f>IF(AND('Mapa final'!#REF!="Media",'Mapa final'!#REF!="Leve"),CONCATENATE("R3C",'Mapa final'!#REF!),"")</f>
        <v>#REF!</v>
      </c>
      <c r="K28" s="54" t="e">
        <f>IF(AND('Mapa final'!#REF!="Media",'Mapa final'!#REF!="Leve"),CONCATENATE("R3C",'Mapa final'!#REF!),"")</f>
        <v>#REF!</v>
      </c>
      <c r="L28" s="54" t="e">
        <f>IF(AND('Mapa final'!#REF!="Media",'Mapa final'!#REF!="Leve"),CONCATENATE("R3C",'Mapa final'!#REF!),"")</f>
        <v>#REF!</v>
      </c>
      <c r="M28" s="54" t="e">
        <f>IF(AND('Mapa final'!#REF!="Media",'Mapa final'!#REF!="Leve"),CONCATENATE("R3C",'Mapa final'!#REF!),"")</f>
        <v>#REF!</v>
      </c>
      <c r="N28" s="54" t="e">
        <f>IF(AND('Mapa final'!#REF!="Media",'Mapa final'!#REF!="Leve"),CONCATENATE("R3C",'Mapa final'!#REF!),"")</f>
        <v>#REF!</v>
      </c>
      <c r="O28" s="55" t="e">
        <f>IF(AND('Mapa final'!#REF!="Media",'Mapa final'!#REF!="Leve"),CONCATENATE("R3C",'Mapa final'!#REF!),"")</f>
        <v>#REF!</v>
      </c>
      <c r="P28" s="53" t="e">
        <f>IF(AND('Mapa final'!#REF!="Media",'Mapa final'!#REF!="Menor"),CONCATENATE("R3C",'Mapa final'!#REF!),"")</f>
        <v>#REF!</v>
      </c>
      <c r="Q28" s="54" t="e">
        <f>IF(AND('Mapa final'!#REF!="Media",'Mapa final'!#REF!="Menor"),CONCATENATE("R3C",'Mapa final'!#REF!),"")</f>
        <v>#REF!</v>
      </c>
      <c r="R28" s="54" t="e">
        <f>IF(AND('Mapa final'!#REF!="Media",'Mapa final'!#REF!="Menor"),CONCATENATE("R3C",'Mapa final'!#REF!),"")</f>
        <v>#REF!</v>
      </c>
      <c r="S28" s="54" t="e">
        <f>IF(AND('Mapa final'!#REF!="Media",'Mapa final'!#REF!="Menor"),CONCATENATE("R3C",'Mapa final'!#REF!),"")</f>
        <v>#REF!</v>
      </c>
      <c r="T28" s="54" t="e">
        <f>IF(AND('Mapa final'!#REF!="Media",'Mapa final'!#REF!="Menor"),CONCATENATE("R3C",'Mapa final'!#REF!),"")</f>
        <v>#REF!</v>
      </c>
      <c r="U28" s="55" t="e">
        <f>IF(AND('Mapa final'!#REF!="Media",'Mapa final'!#REF!="Menor"),CONCATENATE("R3C",'Mapa final'!#REF!),"")</f>
        <v>#REF!</v>
      </c>
      <c r="V28" s="53" t="e">
        <f>IF(AND('Mapa final'!#REF!="Media",'Mapa final'!#REF!="Moderado"),CONCATENATE("R3C",'Mapa final'!#REF!),"")</f>
        <v>#REF!</v>
      </c>
      <c r="W28" s="54" t="e">
        <f>IF(AND('Mapa final'!#REF!="Media",'Mapa final'!#REF!="Moderado"),CONCATENATE("R3C",'Mapa final'!#REF!),"")</f>
        <v>#REF!</v>
      </c>
      <c r="X28" s="54" t="e">
        <f>IF(AND('Mapa final'!#REF!="Media",'Mapa final'!#REF!="Moderado"),CONCATENATE("R3C",'Mapa final'!#REF!),"")</f>
        <v>#REF!</v>
      </c>
      <c r="Y28" s="54" t="e">
        <f>IF(AND('Mapa final'!#REF!="Media",'Mapa final'!#REF!="Moderado"),CONCATENATE("R3C",'Mapa final'!#REF!),"")</f>
        <v>#REF!</v>
      </c>
      <c r="Z28" s="54" t="e">
        <f>IF(AND('Mapa final'!#REF!="Media",'Mapa final'!#REF!="Moderado"),CONCATENATE("R3C",'Mapa final'!#REF!),"")</f>
        <v>#REF!</v>
      </c>
      <c r="AA28" s="55" t="e">
        <f>IF(AND('Mapa final'!#REF!="Media",'Mapa final'!#REF!="Moderado"),CONCATENATE("R3C",'Mapa final'!#REF!),"")</f>
        <v>#REF!</v>
      </c>
      <c r="AB28" s="38" t="e">
        <f>IF(AND('Mapa final'!#REF!="Media",'Mapa final'!#REF!="Mayor"),CONCATENATE("R3C",'Mapa final'!#REF!),"")</f>
        <v>#REF!</v>
      </c>
      <c r="AC28" s="39" t="e">
        <f>IF(AND('Mapa final'!#REF!="Media",'Mapa final'!#REF!="Mayor"),CONCATENATE("R3C",'Mapa final'!#REF!),"")</f>
        <v>#REF!</v>
      </c>
      <c r="AD28" s="39" t="e">
        <f>IF(AND('Mapa final'!#REF!="Media",'Mapa final'!#REF!="Mayor"),CONCATENATE("R3C",'Mapa final'!#REF!),"")</f>
        <v>#REF!</v>
      </c>
      <c r="AE28" s="39" t="e">
        <f>IF(AND('Mapa final'!#REF!="Media",'Mapa final'!#REF!="Mayor"),CONCATENATE("R3C",'Mapa final'!#REF!),"")</f>
        <v>#REF!</v>
      </c>
      <c r="AF28" s="39" t="e">
        <f>IF(AND('Mapa final'!#REF!="Media",'Mapa final'!#REF!="Mayor"),CONCATENATE("R3C",'Mapa final'!#REF!),"")</f>
        <v>#REF!</v>
      </c>
      <c r="AG28" s="40" t="e">
        <f>IF(AND('Mapa final'!#REF!="Media",'Mapa final'!#REF!="Mayor"),CONCATENATE("R3C",'Mapa final'!#REF!),"")</f>
        <v>#REF!</v>
      </c>
      <c r="AH28" s="41" t="e">
        <f>IF(AND('Mapa final'!#REF!="Media",'Mapa final'!#REF!="Catastrófico"),CONCATENATE("R3C",'Mapa final'!#REF!),"")</f>
        <v>#REF!</v>
      </c>
      <c r="AI28" s="42" t="e">
        <f>IF(AND('Mapa final'!#REF!="Media",'Mapa final'!#REF!="Catastrófico"),CONCATENATE("R3C",'Mapa final'!#REF!),"")</f>
        <v>#REF!</v>
      </c>
      <c r="AJ28" s="42" t="e">
        <f>IF(AND('Mapa final'!#REF!="Media",'Mapa final'!#REF!="Catastrófico"),CONCATENATE("R3C",'Mapa final'!#REF!),"")</f>
        <v>#REF!</v>
      </c>
      <c r="AK28" s="42" t="e">
        <f>IF(AND('Mapa final'!#REF!="Media",'Mapa final'!#REF!="Catastrófico"),CONCATENATE("R3C",'Mapa final'!#REF!),"")</f>
        <v>#REF!</v>
      </c>
      <c r="AL28" s="42" t="e">
        <f>IF(AND('Mapa final'!#REF!="Media",'Mapa final'!#REF!="Catastrófico"),CONCATENATE("R3C",'Mapa final'!#REF!),"")</f>
        <v>#REF!</v>
      </c>
      <c r="AM28" s="43" t="e">
        <f>IF(AND('Mapa final'!#REF!="Media",'Mapa final'!#REF!="Catastrófico"),CONCATENATE("R3C",'Mapa final'!#REF!),"")</f>
        <v>#REF!</v>
      </c>
      <c r="AN28" s="69"/>
      <c r="AO28" s="387"/>
      <c r="AP28" s="388"/>
      <c r="AQ28" s="388"/>
      <c r="AR28" s="388"/>
      <c r="AS28" s="388"/>
      <c r="AT28" s="389"/>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c r="BU28" s="69"/>
      <c r="BV28" s="69"/>
      <c r="BW28" s="69"/>
      <c r="BX28" s="69"/>
    </row>
    <row r="29" spans="1:76" ht="15" customHeight="1" x14ac:dyDescent="0.25">
      <c r="A29" s="69"/>
      <c r="B29" s="259"/>
      <c r="C29" s="259"/>
      <c r="D29" s="260"/>
      <c r="E29" s="358"/>
      <c r="F29" s="357"/>
      <c r="G29" s="357"/>
      <c r="H29" s="357"/>
      <c r="I29" s="373"/>
      <c r="J29" s="53" t="e">
        <f>IF(AND('Mapa final'!#REF!="Media",'Mapa final'!#REF!="Leve"),CONCATENATE("R4C",'Mapa final'!#REF!),"")</f>
        <v>#REF!</v>
      </c>
      <c r="K29" s="54" t="e">
        <f>IF(AND('Mapa final'!#REF!="Media",'Mapa final'!#REF!="Leve"),CONCATENATE("R4C",'Mapa final'!#REF!),"")</f>
        <v>#REF!</v>
      </c>
      <c r="L29" s="54" t="e">
        <f>IF(AND('Mapa final'!#REF!="Media",'Mapa final'!#REF!="Leve"),CONCATENATE("R4C",'Mapa final'!#REF!),"")</f>
        <v>#REF!</v>
      </c>
      <c r="M29" s="54" t="e">
        <f>IF(AND('Mapa final'!#REF!="Media",'Mapa final'!#REF!="Leve"),CONCATENATE("R4C",'Mapa final'!#REF!),"")</f>
        <v>#REF!</v>
      </c>
      <c r="N29" s="54" t="e">
        <f>IF(AND('Mapa final'!#REF!="Media",'Mapa final'!#REF!="Leve"),CONCATENATE("R4C",'Mapa final'!#REF!),"")</f>
        <v>#REF!</v>
      </c>
      <c r="O29" s="55" t="e">
        <f>IF(AND('Mapa final'!#REF!="Media",'Mapa final'!#REF!="Leve"),CONCATENATE("R4C",'Mapa final'!#REF!),"")</f>
        <v>#REF!</v>
      </c>
      <c r="P29" s="53" t="e">
        <f>IF(AND('Mapa final'!#REF!="Media",'Mapa final'!#REF!="Menor"),CONCATENATE("R4C",'Mapa final'!#REF!),"")</f>
        <v>#REF!</v>
      </c>
      <c r="Q29" s="54" t="e">
        <f>IF(AND('Mapa final'!#REF!="Media",'Mapa final'!#REF!="Menor"),CONCATENATE("R4C",'Mapa final'!#REF!),"")</f>
        <v>#REF!</v>
      </c>
      <c r="R29" s="54" t="e">
        <f>IF(AND('Mapa final'!#REF!="Media",'Mapa final'!#REF!="Menor"),CONCATENATE("R4C",'Mapa final'!#REF!),"")</f>
        <v>#REF!</v>
      </c>
      <c r="S29" s="54" t="e">
        <f>IF(AND('Mapa final'!#REF!="Media",'Mapa final'!#REF!="Menor"),CONCATENATE("R4C",'Mapa final'!#REF!),"")</f>
        <v>#REF!</v>
      </c>
      <c r="T29" s="54" t="e">
        <f>IF(AND('Mapa final'!#REF!="Media",'Mapa final'!#REF!="Menor"),CONCATENATE("R4C",'Mapa final'!#REF!),"")</f>
        <v>#REF!</v>
      </c>
      <c r="U29" s="55" t="e">
        <f>IF(AND('Mapa final'!#REF!="Media",'Mapa final'!#REF!="Menor"),CONCATENATE("R4C",'Mapa final'!#REF!),"")</f>
        <v>#REF!</v>
      </c>
      <c r="V29" s="53" t="e">
        <f>IF(AND('Mapa final'!#REF!="Media",'Mapa final'!#REF!="Moderado"),CONCATENATE("R4C",'Mapa final'!#REF!),"")</f>
        <v>#REF!</v>
      </c>
      <c r="W29" s="54" t="e">
        <f>IF(AND('Mapa final'!#REF!="Media",'Mapa final'!#REF!="Moderado"),CONCATENATE("R4C",'Mapa final'!#REF!),"")</f>
        <v>#REF!</v>
      </c>
      <c r="X29" s="54" t="e">
        <f>IF(AND('Mapa final'!#REF!="Media",'Mapa final'!#REF!="Moderado"),CONCATENATE("R4C",'Mapa final'!#REF!),"")</f>
        <v>#REF!</v>
      </c>
      <c r="Y29" s="54" t="e">
        <f>IF(AND('Mapa final'!#REF!="Media",'Mapa final'!#REF!="Moderado"),CONCATENATE("R4C",'Mapa final'!#REF!),"")</f>
        <v>#REF!</v>
      </c>
      <c r="Z29" s="54" t="e">
        <f>IF(AND('Mapa final'!#REF!="Media",'Mapa final'!#REF!="Moderado"),CONCATENATE("R4C",'Mapa final'!#REF!),"")</f>
        <v>#REF!</v>
      </c>
      <c r="AA29" s="55" t="e">
        <f>IF(AND('Mapa final'!#REF!="Media",'Mapa final'!#REF!="Moderado"),CONCATENATE("R4C",'Mapa final'!#REF!),"")</f>
        <v>#REF!</v>
      </c>
      <c r="AB29" s="38" t="e">
        <f>IF(AND('Mapa final'!#REF!="Media",'Mapa final'!#REF!="Mayor"),CONCATENATE("R4C",'Mapa final'!#REF!),"")</f>
        <v>#REF!</v>
      </c>
      <c r="AC29" s="39" t="e">
        <f>IF(AND('Mapa final'!#REF!="Media",'Mapa final'!#REF!="Mayor"),CONCATENATE("R4C",'Mapa final'!#REF!),"")</f>
        <v>#REF!</v>
      </c>
      <c r="AD29" s="39" t="e">
        <f>IF(AND('Mapa final'!#REF!="Media",'Mapa final'!#REF!="Mayor"),CONCATENATE("R4C",'Mapa final'!#REF!),"")</f>
        <v>#REF!</v>
      </c>
      <c r="AE29" s="39" t="e">
        <f>IF(AND('Mapa final'!#REF!="Media",'Mapa final'!#REF!="Mayor"),CONCATENATE("R4C",'Mapa final'!#REF!),"")</f>
        <v>#REF!</v>
      </c>
      <c r="AF29" s="39" t="e">
        <f>IF(AND('Mapa final'!#REF!="Media",'Mapa final'!#REF!="Mayor"),CONCATENATE("R4C",'Mapa final'!#REF!),"")</f>
        <v>#REF!</v>
      </c>
      <c r="AG29" s="40" t="e">
        <f>IF(AND('Mapa final'!#REF!="Media",'Mapa final'!#REF!="Mayor"),CONCATENATE("R4C",'Mapa final'!#REF!),"")</f>
        <v>#REF!</v>
      </c>
      <c r="AH29" s="41" t="e">
        <f>IF(AND('Mapa final'!#REF!="Media",'Mapa final'!#REF!="Catastrófico"),CONCATENATE("R4C",'Mapa final'!#REF!),"")</f>
        <v>#REF!</v>
      </c>
      <c r="AI29" s="42" t="e">
        <f>IF(AND('Mapa final'!#REF!="Media",'Mapa final'!#REF!="Catastrófico"),CONCATENATE("R4C",'Mapa final'!#REF!),"")</f>
        <v>#REF!</v>
      </c>
      <c r="AJ29" s="42" t="e">
        <f>IF(AND('Mapa final'!#REF!="Media",'Mapa final'!#REF!="Catastrófico"),CONCATENATE("R4C",'Mapa final'!#REF!),"")</f>
        <v>#REF!</v>
      </c>
      <c r="AK29" s="42" t="e">
        <f>IF(AND('Mapa final'!#REF!="Media",'Mapa final'!#REF!="Catastrófico"),CONCATENATE("R4C",'Mapa final'!#REF!),"")</f>
        <v>#REF!</v>
      </c>
      <c r="AL29" s="42" t="e">
        <f>IF(AND('Mapa final'!#REF!="Media",'Mapa final'!#REF!="Catastrófico"),CONCATENATE("R4C",'Mapa final'!#REF!),"")</f>
        <v>#REF!</v>
      </c>
      <c r="AM29" s="43" t="e">
        <f>IF(AND('Mapa final'!#REF!="Media",'Mapa final'!#REF!="Catastrófico"),CONCATENATE("R4C",'Mapa final'!#REF!),"")</f>
        <v>#REF!</v>
      </c>
      <c r="AN29" s="69"/>
      <c r="AO29" s="387"/>
      <c r="AP29" s="388"/>
      <c r="AQ29" s="388"/>
      <c r="AR29" s="388"/>
      <c r="AS29" s="388"/>
      <c r="AT29" s="389"/>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row>
    <row r="30" spans="1:76" ht="15" customHeight="1" x14ac:dyDescent="0.25">
      <c r="A30" s="69"/>
      <c r="B30" s="259"/>
      <c r="C30" s="259"/>
      <c r="D30" s="260"/>
      <c r="E30" s="358"/>
      <c r="F30" s="357"/>
      <c r="G30" s="357"/>
      <c r="H30" s="357"/>
      <c r="I30" s="373"/>
      <c r="J30" s="53" t="e">
        <f>IF(AND('Mapa final'!#REF!="Media",'Mapa final'!#REF!="Leve"),CONCATENATE("R5C",'Mapa final'!#REF!),"")</f>
        <v>#REF!</v>
      </c>
      <c r="K30" s="54" t="e">
        <f>IF(AND('Mapa final'!#REF!="Media",'Mapa final'!#REF!="Leve"),CONCATENATE("R5C",'Mapa final'!#REF!),"")</f>
        <v>#REF!</v>
      </c>
      <c r="L30" s="54" t="e">
        <f>IF(AND('Mapa final'!#REF!="Media",'Mapa final'!#REF!="Leve"),CONCATENATE("R5C",'Mapa final'!#REF!),"")</f>
        <v>#REF!</v>
      </c>
      <c r="M30" s="54" t="e">
        <f>IF(AND('Mapa final'!#REF!="Media",'Mapa final'!#REF!="Leve"),CONCATENATE("R5C",'Mapa final'!#REF!),"")</f>
        <v>#REF!</v>
      </c>
      <c r="N30" s="54" t="e">
        <f>IF(AND('Mapa final'!#REF!="Media",'Mapa final'!#REF!="Leve"),CONCATENATE("R5C",'Mapa final'!#REF!),"")</f>
        <v>#REF!</v>
      </c>
      <c r="O30" s="55" t="e">
        <f>IF(AND('Mapa final'!#REF!="Media",'Mapa final'!#REF!="Leve"),CONCATENATE("R5C",'Mapa final'!#REF!),"")</f>
        <v>#REF!</v>
      </c>
      <c r="P30" s="53" t="e">
        <f>IF(AND('Mapa final'!#REF!="Media",'Mapa final'!#REF!="Menor"),CONCATENATE("R5C",'Mapa final'!#REF!),"")</f>
        <v>#REF!</v>
      </c>
      <c r="Q30" s="54" t="e">
        <f>IF(AND('Mapa final'!#REF!="Media",'Mapa final'!#REF!="Menor"),CONCATENATE("R5C",'Mapa final'!#REF!),"")</f>
        <v>#REF!</v>
      </c>
      <c r="R30" s="54" t="e">
        <f>IF(AND('Mapa final'!#REF!="Media",'Mapa final'!#REF!="Menor"),CONCATENATE("R5C",'Mapa final'!#REF!),"")</f>
        <v>#REF!</v>
      </c>
      <c r="S30" s="54" t="e">
        <f>IF(AND('Mapa final'!#REF!="Media",'Mapa final'!#REF!="Menor"),CONCATENATE("R5C",'Mapa final'!#REF!),"")</f>
        <v>#REF!</v>
      </c>
      <c r="T30" s="54" t="e">
        <f>IF(AND('Mapa final'!#REF!="Media",'Mapa final'!#REF!="Menor"),CONCATENATE("R5C",'Mapa final'!#REF!),"")</f>
        <v>#REF!</v>
      </c>
      <c r="U30" s="55" t="e">
        <f>IF(AND('Mapa final'!#REF!="Media",'Mapa final'!#REF!="Menor"),CONCATENATE("R5C",'Mapa final'!#REF!),"")</f>
        <v>#REF!</v>
      </c>
      <c r="V30" s="53" t="e">
        <f>IF(AND('Mapa final'!#REF!="Media",'Mapa final'!#REF!="Moderado"),CONCATENATE("R5C",'Mapa final'!#REF!),"")</f>
        <v>#REF!</v>
      </c>
      <c r="W30" s="54" t="e">
        <f>IF(AND('Mapa final'!#REF!="Media",'Mapa final'!#REF!="Moderado"),CONCATENATE("R5C",'Mapa final'!#REF!),"")</f>
        <v>#REF!</v>
      </c>
      <c r="X30" s="54" t="e">
        <f>IF(AND('Mapa final'!#REF!="Media",'Mapa final'!#REF!="Moderado"),CONCATENATE("R5C",'Mapa final'!#REF!),"")</f>
        <v>#REF!</v>
      </c>
      <c r="Y30" s="54" t="e">
        <f>IF(AND('Mapa final'!#REF!="Media",'Mapa final'!#REF!="Moderado"),CONCATENATE("R5C",'Mapa final'!#REF!),"")</f>
        <v>#REF!</v>
      </c>
      <c r="Z30" s="54" t="e">
        <f>IF(AND('Mapa final'!#REF!="Media",'Mapa final'!#REF!="Moderado"),CONCATENATE("R5C",'Mapa final'!#REF!),"")</f>
        <v>#REF!</v>
      </c>
      <c r="AA30" s="55" t="e">
        <f>IF(AND('Mapa final'!#REF!="Media",'Mapa final'!#REF!="Moderado"),CONCATENATE("R5C",'Mapa final'!#REF!),"")</f>
        <v>#REF!</v>
      </c>
      <c r="AB30" s="38" t="e">
        <f>IF(AND('Mapa final'!#REF!="Media",'Mapa final'!#REF!="Mayor"),CONCATENATE("R5C",'Mapa final'!#REF!),"")</f>
        <v>#REF!</v>
      </c>
      <c r="AC30" s="39" t="e">
        <f>IF(AND('Mapa final'!#REF!="Media",'Mapa final'!#REF!="Mayor"),CONCATENATE("R5C",'Mapa final'!#REF!),"")</f>
        <v>#REF!</v>
      </c>
      <c r="AD30" s="39" t="e">
        <f>IF(AND('Mapa final'!#REF!="Media",'Mapa final'!#REF!="Mayor"),CONCATENATE("R5C",'Mapa final'!#REF!),"")</f>
        <v>#REF!</v>
      </c>
      <c r="AE30" s="39" t="e">
        <f>IF(AND('Mapa final'!#REF!="Media",'Mapa final'!#REF!="Mayor"),CONCATENATE("R5C",'Mapa final'!#REF!),"")</f>
        <v>#REF!</v>
      </c>
      <c r="AF30" s="39" t="e">
        <f>IF(AND('Mapa final'!#REF!="Media",'Mapa final'!#REF!="Mayor"),CONCATENATE("R5C",'Mapa final'!#REF!),"")</f>
        <v>#REF!</v>
      </c>
      <c r="AG30" s="40" t="e">
        <f>IF(AND('Mapa final'!#REF!="Media",'Mapa final'!#REF!="Mayor"),CONCATENATE("R5C",'Mapa final'!#REF!),"")</f>
        <v>#REF!</v>
      </c>
      <c r="AH30" s="41" t="e">
        <f>IF(AND('Mapa final'!#REF!="Media",'Mapa final'!#REF!="Catastrófico"),CONCATENATE("R5C",'Mapa final'!#REF!),"")</f>
        <v>#REF!</v>
      </c>
      <c r="AI30" s="42" t="e">
        <f>IF(AND('Mapa final'!#REF!="Media",'Mapa final'!#REF!="Catastrófico"),CONCATENATE("R5C",'Mapa final'!#REF!),"")</f>
        <v>#REF!</v>
      </c>
      <c r="AJ30" s="42" t="e">
        <f>IF(AND('Mapa final'!#REF!="Media",'Mapa final'!#REF!="Catastrófico"),CONCATENATE("R5C",'Mapa final'!#REF!),"")</f>
        <v>#REF!</v>
      </c>
      <c r="AK30" s="42" t="e">
        <f>IF(AND('Mapa final'!#REF!="Media",'Mapa final'!#REF!="Catastrófico"),CONCATENATE("R5C",'Mapa final'!#REF!),"")</f>
        <v>#REF!</v>
      </c>
      <c r="AL30" s="42" t="e">
        <f>IF(AND('Mapa final'!#REF!="Media",'Mapa final'!#REF!="Catastrófico"),CONCATENATE("R5C",'Mapa final'!#REF!),"")</f>
        <v>#REF!</v>
      </c>
      <c r="AM30" s="43" t="e">
        <f>IF(AND('Mapa final'!#REF!="Media",'Mapa final'!#REF!="Catastrófico"),CONCATENATE("R5C",'Mapa final'!#REF!),"")</f>
        <v>#REF!</v>
      </c>
      <c r="AN30" s="69"/>
      <c r="AO30" s="387"/>
      <c r="AP30" s="388"/>
      <c r="AQ30" s="388"/>
      <c r="AR30" s="388"/>
      <c r="AS30" s="388"/>
      <c r="AT30" s="389"/>
      <c r="AU30" s="69"/>
      <c r="AV30" s="69"/>
      <c r="AW30" s="69"/>
      <c r="AX30" s="69"/>
      <c r="AY30" s="69"/>
      <c r="AZ30" s="69"/>
      <c r="BA30" s="69"/>
      <c r="BB30" s="69"/>
      <c r="BC30" s="69"/>
      <c r="BD30" s="69"/>
      <c r="BE30" s="69"/>
      <c r="BF30" s="69"/>
      <c r="BG30" s="69"/>
      <c r="BH30" s="69"/>
      <c r="BI30" s="69"/>
      <c r="BJ30" s="69"/>
      <c r="BK30" s="69"/>
      <c r="BL30" s="69"/>
      <c r="BM30" s="69"/>
      <c r="BN30" s="69"/>
      <c r="BO30" s="69"/>
      <c r="BP30" s="69"/>
      <c r="BQ30" s="69"/>
      <c r="BR30" s="69"/>
      <c r="BS30" s="69"/>
      <c r="BT30" s="69"/>
      <c r="BU30" s="69"/>
      <c r="BV30" s="69"/>
      <c r="BW30" s="69"/>
      <c r="BX30" s="69"/>
    </row>
    <row r="31" spans="1:76" ht="15" customHeight="1" x14ac:dyDescent="0.25">
      <c r="A31" s="69"/>
      <c r="B31" s="259"/>
      <c r="C31" s="259"/>
      <c r="D31" s="260"/>
      <c r="E31" s="358"/>
      <c r="F31" s="357"/>
      <c r="G31" s="357"/>
      <c r="H31" s="357"/>
      <c r="I31" s="373"/>
      <c r="J31" s="53" t="e">
        <f>IF(AND('Mapa final'!#REF!="Media",'Mapa final'!#REF!="Leve"),CONCATENATE("R6C",'Mapa final'!#REF!),"")</f>
        <v>#REF!</v>
      </c>
      <c r="K31" s="54" t="e">
        <f>IF(AND('Mapa final'!#REF!="Media",'Mapa final'!#REF!="Leve"),CONCATENATE("R6C",'Mapa final'!#REF!),"")</f>
        <v>#REF!</v>
      </c>
      <c r="L31" s="54" t="e">
        <f>IF(AND('Mapa final'!#REF!="Media",'Mapa final'!#REF!="Leve"),CONCATENATE("R6C",'Mapa final'!#REF!),"")</f>
        <v>#REF!</v>
      </c>
      <c r="M31" s="54" t="e">
        <f>IF(AND('Mapa final'!#REF!="Media",'Mapa final'!#REF!="Leve"),CONCATENATE("R6C",'Mapa final'!#REF!),"")</f>
        <v>#REF!</v>
      </c>
      <c r="N31" s="54" t="e">
        <f>IF(AND('Mapa final'!#REF!="Media",'Mapa final'!#REF!="Leve"),CONCATENATE("R6C",'Mapa final'!#REF!),"")</f>
        <v>#REF!</v>
      </c>
      <c r="O31" s="55" t="e">
        <f>IF(AND('Mapa final'!#REF!="Media",'Mapa final'!#REF!="Leve"),CONCATENATE("R6C",'Mapa final'!#REF!),"")</f>
        <v>#REF!</v>
      </c>
      <c r="P31" s="53" t="e">
        <f>IF(AND('Mapa final'!#REF!="Media",'Mapa final'!#REF!="Menor"),CONCATENATE("R6C",'Mapa final'!#REF!),"")</f>
        <v>#REF!</v>
      </c>
      <c r="Q31" s="54" t="e">
        <f>IF(AND('Mapa final'!#REF!="Media",'Mapa final'!#REF!="Menor"),CONCATENATE("R6C",'Mapa final'!#REF!),"")</f>
        <v>#REF!</v>
      </c>
      <c r="R31" s="54" t="e">
        <f>IF(AND('Mapa final'!#REF!="Media",'Mapa final'!#REF!="Menor"),CONCATENATE("R6C",'Mapa final'!#REF!),"")</f>
        <v>#REF!</v>
      </c>
      <c r="S31" s="54" t="e">
        <f>IF(AND('Mapa final'!#REF!="Media",'Mapa final'!#REF!="Menor"),CONCATENATE("R6C",'Mapa final'!#REF!),"")</f>
        <v>#REF!</v>
      </c>
      <c r="T31" s="54" t="e">
        <f>IF(AND('Mapa final'!#REF!="Media",'Mapa final'!#REF!="Menor"),CONCATENATE("R6C",'Mapa final'!#REF!),"")</f>
        <v>#REF!</v>
      </c>
      <c r="U31" s="55" t="e">
        <f>IF(AND('Mapa final'!#REF!="Media",'Mapa final'!#REF!="Menor"),CONCATENATE("R6C",'Mapa final'!#REF!),"")</f>
        <v>#REF!</v>
      </c>
      <c r="V31" s="53" t="e">
        <f>IF(AND('Mapa final'!#REF!="Media",'Mapa final'!#REF!="Moderado"),CONCATENATE("R6C",'Mapa final'!#REF!),"")</f>
        <v>#REF!</v>
      </c>
      <c r="W31" s="54" t="e">
        <f>IF(AND('Mapa final'!#REF!="Media",'Mapa final'!#REF!="Moderado"),CONCATENATE("R6C",'Mapa final'!#REF!),"")</f>
        <v>#REF!</v>
      </c>
      <c r="X31" s="54" t="e">
        <f>IF(AND('Mapa final'!#REF!="Media",'Mapa final'!#REF!="Moderado"),CONCATENATE("R6C",'Mapa final'!#REF!),"")</f>
        <v>#REF!</v>
      </c>
      <c r="Y31" s="54" t="e">
        <f>IF(AND('Mapa final'!#REF!="Media",'Mapa final'!#REF!="Moderado"),CONCATENATE("R6C",'Mapa final'!#REF!),"")</f>
        <v>#REF!</v>
      </c>
      <c r="Z31" s="54" t="e">
        <f>IF(AND('Mapa final'!#REF!="Media",'Mapa final'!#REF!="Moderado"),CONCATENATE("R6C",'Mapa final'!#REF!),"")</f>
        <v>#REF!</v>
      </c>
      <c r="AA31" s="55" t="e">
        <f>IF(AND('Mapa final'!#REF!="Media",'Mapa final'!#REF!="Moderado"),CONCATENATE("R6C",'Mapa final'!#REF!),"")</f>
        <v>#REF!</v>
      </c>
      <c r="AB31" s="38" t="e">
        <f>IF(AND('Mapa final'!#REF!="Media",'Mapa final'!#REF!="Mayor"),CONCATENATE("R6C",'Mapa final'!#REF!),"")</f>
        <v>#REF!</v>
      </c>
      <c r="AC31" s="39" t="e">
        <f>IF(AND('Mapa final'!#REF!="Media",'Mapa final'!#REF!="Mayor"),CONCATENATE("R6C",'Mapa final'!#REF!),"")</f>
        <v>#REF!</v>
      </c>
      <c r="AD31" s="39" t="e">
        <f>IF(AND('Mapa final'!#REF!="Media",'Mapa final'!#REF!="Mayor"),CONCATENATE("R6C",'Mapa final'!#REF!),"")</f>
        <v>#REF!</v>
      </c>
      <c r="AE31" s="39" t="e">
        <f>IF(AND('Mapa final'!#REF!="Media",'Mapa final'!#REF!="Mayor"),CONCATENATE("R6C",'Mapa final'!#REF!),"")</f>
        <v>#REF!</v>
      </c>
      <c r="AF31" s="39" t="e">
        <f>IF(AND('Mapa final'!#REF!="Media",'Mapa final'!#REF!="Mayor"),CONCATENATE("R6C",'Mapa final'!#REF!),"")</f>
        <v>#REF!</v>
      </c>
      <c r="AG31" s="40" t="e">
        <f>IF(AND('Mapa final'!#REF!="Media",'Mapa final'!#REF!="Mayor"),CONCATENATE("R6C",'Mapa final'!#REF!),"")</f>
        <v>#REF!</v>
      </c>
      <c r="AH31" s="41" t="e">
        <f>IF(AND('Mapa final'!#REF!="Media",'Mapa final'!#REF!="Catastrófico"),CONCATENATE("R6C",'Mapa final'!#REF!),"")</f>
        <v>#REF!</v>
      </c>
      <c r="AI31" s="42" t="e">
        <f>IF(AND('Mapa final'!#REF!="Media",'Mapa final'!#REF!="Catastrófico"),CONCATENATE("R6C",'Mapa final'!#REF!),"")</f>
        <v>#REF!</v>
      </c>
      <c r="AJ31" s="42" t="e">
        <f>IF(AND('Mapa final'!#REF!="Media",'Mapa final'!#REF!="Catastrófico"),CONCATENATE("R6C",'Mapa final'!#REF!),"")</f>
        <v>#REF!</v>
      </c>
      <c r="AK31" s="42" t="e">
        <f>IF(AND('Mapa final'!#REF!="Media",'Mapa final'!#REF!="Catastrófico"),CONCATENATE("R6C",'Mapa final'!#REF!),"")</f>
        <v>#REF!</v>
      </c>
      <c r="AL31" s="42" t="e">
        <f>IF(AND('Mapa final'!#REF!="Media",'Mapa final'!#REF!="Catastrófico"),CONCATENATE("R6C",'Mapa final'!#REF!),"")</f>
        <v>#REF!</v>
      </c>
      <c r="AM31" s="43" t="e">
        <f>IF(AND('Mapa final'!#REF!="Media",'Mapa final'!#REF!="Catastrófico"),CONCATENATE("R6C",'Mapa final'!#REF!),"")</f>
        <v>#REF!</v>
      </c>
      <c r="AN31" s="69"/>
      <c r="AO31" s="387"/>
      <c r="AP31" s="388"/>
      <c r="AQ31" s="388"/>
      <c r="AR31" s="388"/>
      <c r="AS31" s="388"/>
      <c r="AT31" s="389"/>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69"/>
      <c r="BT31" s="69"/>
      <c r="BU31" s="69"/>
      <c r="BV31" s="69"/>
      <c r="BW31" s="69"/>
      <c r="BX31" s="69"/>
    </row>
    <row r="32" spans="1:76" ht="15" customHeight="1" x14ac:dyDescent="0.25">
      <c r="A32" s="69"/>
      <c r="B32" s="259"/>
      <c r="C32" s="259"/>
      <c r="D32" s="260"/>
      <c r="E32" s="358"/>
      <c r="F32" s="357"/>
      <c r="G32" s="357"/>
      <c r="H32" s="357"/>
      <c r="I32" s="373"/>
      <c r="J32" s="53" t="e">
        <f>IF(AND('Mapa final'!#REF!="Media",'Mapa final'!#REF!="Leve"),CONCATENATE("R7C",'Mapa final'!#REF!),"")</f>
        <v>#REF!</v>
      </c>
      <c r="K32" s="54" t="e">
        <f>IF(AND('Mapa final'!#REF!="Media",'Mapa final'!#REF!="Leve"),CONCATENATE("R7C",'Mapa final'!#REF!),"")</f>
        <v>#REF!</v>
      </c>
      <c r="L32" s="54" t="e">
        <f>IF(AND('Mapa final'!#REF!="Media",'Mapa final'!#REF!="Leve"),CONCATENATE("R7C",'Mapa final'!#REF!),"")</f>
        <v>#REF!</v>
      </c>
      <c r="M32" s="54" t="e">
        <f>IF(AND('Mapa final'!#REF!="Media",'Mapa final'!#REF!="Leve"),CONCATENATE("R7C",'Mapa final'!#REF!),"")</f>
        <v>#REF!</v>
      </c>
      <c r="N32" s="54" t="e">
        <f>IF(AND('Mapa final'!#REF!="Media",'Mapa final'!#REF!="Leve"),CONCATENATE("R7C",'Mapa final'!#REF!),"")</f>
        <v>#REF!</v>
      </c>
      <c r="O32" s="55" t="e">
        <f>IF(AND('Mapa final'!#REF!="Media",'Mapa final'!#REF!="Leve"),CONCATENATE("R7C",'Mapa final'!#REF!),"")</f>
        <v>#REF!</v>
      </c>
      <c r="P32" s="53" t="e">
        <f>IF(AND('Mapa final'!#REF!="Media",'Mapa final'!#REF!="Menor"),CONCATENATE("R7C",'Mapa final'!#REF!),"")</f>
        <v>#REF!</v>
      </c>
      <c r="Q32" s="54" t="e">
        <f>IF(AND('Mapa final'!#REF!="Media",'Mapa final'!#REF!="Menor"),CONCATENATE("R7C",'Mapa final'!#REF!),"")</f>
        <v>#REF!</v>
      </c>
      <c r="R32" s="54" t="e">
        <f>IF(AND('Mapa final'!#REF!="Media",'Mapa final'!#REF!="Menor"),CONCATENATE("R7C",'Mapa final'!#REF!),"")</f>
        <v>#REF!</v>
      </c>
      <c r="S32" s="54" t="e">
        <f>IF(AND('Mapa final'!#REF!="Media",'Mapa final'!#REF!="Menor"),CONCATENATE("R7C",'Mapa final'!#REF!),"")</f>
        <v>#REF!</v>
      </c>
      <c r="T32" s="54" t="e">
        <f>IF(AND('Mapa final'!#REF!="Media",'Mapa final'!#REF!="Menor"),CONCATENATE("R7C",'Mapa final'!#REF!),"")</f>
        <v>#REF!</v>
      </c>
      <c r="U32" s="55" t="e">
        <f>IF(AND('Mapa final'!#REF!="Media",'Mapa final'!#REF!="Menor"),CONCATENATE("R7C",'Mapa final'!#REF!),"")</f>
        <v>#REF!</v>
      </c>
      <c r="V32" s="53" t="e">
        <f>IF(AND('Mapa final'!#REF!="Media",'Mapa final'!#REF!="Moderado"),CONCATENATE("R7C",'Mapa final'!#REF!),"")</f>
        <v>#REF!</v>
      </c>
      <c r="W32" s="54" t="e">
        <f>IF(AND('Mapa final'!#REF!="Media",'Mapa final'!#REF!="Moderado"),CONCATENATE("R7C",'Mapa final'!#REF!),"")</f>
        <v>#REF!</v>
      </c>
      <c r="X32" s="54" t="e">
        <f>IF(AND('Mapa final'!#REF!="Media",'Mapa final'!#REF!="Moderado"),CONCATENATE("R7C",'Mapa final'!#REF!),"")</f>
        <v>#REF!</v>
      </c>
      <c r="Y32" s="54" t="e">
        <f>IF(AND('Mapa final'!#REF!="Media",'Mapa final'!#REF!="Moderado"),CONCATENATE("R7C",'Mapa final'!#REF!),"")</f>
        <v>#REF!</v>
      </c>
      <c r="Z32" s="54" t="e">
        <f>IF(AND('Mapa final'!#REF!="Media",'Mapa final'!#REF!="Moderado"),CONCATENATE("R7C",'Mapa final'!#REF!),"")</f>
        <v>#REF!</v>
      </c>
      <c r="AA32" s="55" t="e">
        <f>IF(AND('Mapa final'!#REF!="Media",'Mapa final'!#REF!="Moderado"),CONCATENATE("R7C",'Mapa final'!#REF!),"")</f>
        <v>#REF!</v>
      </c>
      <c r="AB32" s="38" t="e">
        <f>IF(AND('Mapa final'!#REF!="Media",'Mapa final'!#REF!="Mayor"),CONCATENATE("R7C",'Mapa final'!#REF!),"")</f>
        <v>#REF!</v>
      </c>
      <c r="AC32" s="39" t="e">
        <f>IF(AND('Mapa final'!#REF!="Media",'Mapa final'!#REF!="Mayor"),CONCATENATE("R7C",'Mapa final'!#REF!),"")</f>
        <v>#REF!</v>
      </c>
      <c r="AD32" s="39" t="e">
        <f>IF(AND('Mapa final'!#REF!="Media",'Mapa final'!#REF!="Mayor"),CONCATENATE("R7C",'Mapa final'!#REF!),"")</f>
        <v>#REF!</v>
      </c>
      <c r="AE32" s="39" t="e">
        <f>IF(AND('Mapa final'!#REF!="Media",'Mapa final'!#REF!="Mayor"),CONCATENATE("R7C",'Mapa final'!#REF!),"")</f>
        <v>#REF!</v>
      </c>
      <c r="AF32" s="39" t="e">
        <f>IF(AND('Mapa final'!#REF!="Media",'Mapa final'!#REF!="Mayor"),CONCATENATE("R7C",'Mapa final'!#REF!),"")</f>
        <v>#REF!</v>
      </c>
      <c r="AG32" s="40" t="e">
        <f>IF(AND('Mapa final'!#REF!="Media",'Mapa final'!#REF!="Mayor"),CONCATENATE("R7C",'Mapa final'!#REF!),"")</f>
        <v>#REF!</v>
      </c>
      <c r="AH32" s="41" t="e">
        <f>IF(AND('Mapa final'!#REF!="Media",'Mapa final'!#REF!="Catastrófico"),CONCATENATE("R7C",'Mapa final'!#REF!),"")</f>
        <v>#REF!</v>
      </c>
      <c r="AI32" s="42" t="e">
        <f>IF(AND('Mapa final'!#REF!="Media",'Mapa final'!#REF!="Catastrófico"),CONCATENATE("R7C",'Mapa final'!#REF!),"")</f>
        <v>#REF!</v>
      </c>
      <c r="AJ32" s="42" t="e">
        <f>IF(AND('Mapa final'!#REF!="Media",'Mapa final'!#REF!="Catastrófico"),CONCATENATE("R7C",'Mapa final'!#REF!),"")</f>
        <v>#REF!</v>
      </c>
      <c r="AK32" s="42" t="e">
        <f>IF(AND('Mapa final'!#REF!="Media",'Mapa final'!#REF!="Catastrófico"),CONCATENATE("R7C",'Mapa final'!#REF!),"")</f>
        <v>#REF!</v>
      </c>
      <c r="AL32" s="42" t="e">
        <f>IF(AND('Mapa final'!#REF!="Media",'Mapa final'!#REF!="Catastrófico"),CONCATENATE("R7C",'Mapa final'!#REF!),"")</f>
        <v>#REF!</v>
      </c>
      <c r="AM32" s="43" t="e">
        <f>IF(AND('Mapa final'!#REF!="Media",'Mapa final'!#REF!="Catastrófico"),CONCATENATE("R7C",'Mapa final'!#REF!),"")</f>
        <v>#REF!</v>
      </c>
      <c r="AN32" s="69"/>
      <c r="AO32" s="387"/>
      <c r="AP32" s="388"/>
      <c r="AQ32" s="388"/>
      <c r="AR32" s="388"/>
      <c r="AS32" s="388"/>
      <c r="AT32" s="389"/>
      <c r="AU32" s="69"/>
      <c r="AV32" s="69"/>
      <c r="AW32" s="69"/>
      <c r="AX32" s="69"/>
      <c r="AY32" s="69"/>
      <c r="AZ32" s="69"/>
      <c r="BA32" s="69"/>
      <c r="BB32" s="69"/>
      <c r="BC32" s="69"/>
      <c r="BD32" s="69"/>
      <c r="BE32" s="69"/>
      <c r="BF32" s="69"/>
      <c r="BG32" s="69"/>
      <c r="BH32" s="69"/>
      <c r="BI32" s="69"/>
      <c r="BJ32" s="69"/>
      <c r="BK32" s="69"/>
      <c r="BL32" s="69"/>
      <c r="BM32" s="69"/>
      <c r="BN32" s="69"/>
      <c r="BO32" s="69"/>
      <c r="BP32" s="69"/>
      <c r="BQ32" s="69"/>
      <c r="BR32" s="69"/>
      <c r="BS32" s="69"/>
      <c r="BT32" s="69"/>
      <c r="BU32" s="69"/>
      <c r="BV32" s="69"/>
      <c r="BW32" s="69"/>
      <c r="BX32" s="69"/>
    </row>
    <row r="33" spans="1:80" ht="15" customHeight="1" x14ac:dyDescent="0.25">
      <c r="A33" s="69"/>
      <c r="B33" s="259"/>
      <c r="C33" s="259"/>
      <c r="D33" s="260"/>
      <c r="E33" s="358"/>
      <c r="F33" s="357"/>
      <c r="G33" s="357"/>
      <c r="H33" s="357"/>
      <c r="I33" s="373"/>
      <c r="J33" s="53" t="e">
        <f>IF(AND('Mapa final'!#REF!="Media",'Mapa final'!#REF!="Leve"),CONCATENATE("R8C",'Mapa final'!#REF!),"")</f>
        <v>#REF!</v>
      </c>
      <c r="K33" s="54" t="e">
        <f>IF(AND('Mapa final'!#REF!="Media",'Mapa final'!#REF!="Leve"),CONCATENATE("R8C",'Mapa final'!#REF!),"")</f>
        <v>#REF!</v>
      </c>
      <c r="L33" s="54" t="e">
        <f>IF(AND('Mapa final'!#REF!="Media",'Mapa final'!#REF!="Leve"),CONCATENATE("R8C",'Mapa final'!#REF!),"")</f>
        <v>#REF!</v>
      </c>
      <c r="M33" s="54" t="e">
        <f>IF(AND('Mapa final'!#REF!="Media",'Mapa final'!#REF!="Leve"),CONCATENATE("R8C",'Mapa final'!#REF!),"")</f>
        <v>#REF!</v>
      </c>
      <c r="N33" s="54" t="e">
        <f>IF(AND('Mapa final'!#REF!="Media",'Mapa final'!#REF!="Leve"),CONCATENATE("R8C",'Mapa final'!#REF!),"")</f>
        <v>#REF!</v>
      </c>
      <c r="O33" s="55" t="e">
        <f>IF(AND('Mapa final'!#REF!="Media",'Mapa final'!#REF!="Leve"),CONCATENATE("R8C",'Mapa final'!#REF!),"")</f>
        <v>#REF!</v>
      </c>
      <c r="P33" s="53" t="e">
        <f>IF(AND('Mapa final'!#REF!="Media",'Mapa final'!#REF!="Menor"),CONCATENATE("R8C",'Mapa final'!#REF!),"")</f>
        <v>#REF!</v>
      </c>
      <c r="Q33" s="54" t="e">
        <f>IF(AND('Mapa final'!#REF!="Media",'Mapa final'!#REF!="Menor"),CONCATENATE("R8C",'Mapa final'!#REF!),"")</f>
        <v>#REF!</v>
      </c>
      <c r="R33" s="54" t="e">
        <f>IF(AND('Mapa final'!#REF!="Media",'Mapa final'!#REF!="Menor"),CONCATENATE("R8C",'Mapa final'!#REF!),"")</f>
        <v>#REF!</v>
      </c>
      <c r="S33" s="54" t="e">
        <f>IF(AND('Mapa final'!#REF!="Media",'Mapa final'!#REF!="Menor"),CONCATENATE("R8C",'Mapa final'!#REF!),"")</f>
        <v>#REF!</v>
      </c>
      <c r="T33" s="54" t="e">
        <f>IF(AND('Mapa final'!#REF!="Media",'Mapa final'!#REF!="Menor"),CONCATENATE("R8C",'Mapa final'!#REF!),"")</f>
        <v>#REF!</v>
      </c>
      <c r="U33" s="55" t="e">
        <f>IF(AND('Mapa final'!#REF!="Media",'Mapa final'!#REF!="Menor"),CONCATENATE("R8C",'Mapa final'!#REF!),"")</f>
        <v>#REF!</v>
      </c>
      <c r="V33" s="53" t="e">
        <f>IF(AND('Mapa final'!#REF!="Media",'Mapa final'!#REF!="Moderado"),CONCATENATE("R8C",'Mapa final'!#REF!),"")</f>
        <v>#REF!</v>
      </c>
      <c r="W33" s="54" t="e">
        <f>IF(AND('Mapa final'!#REF!="Media",'Mapa final'!#REF!="Moderado"),CONCATENATE("R8C",'Mapa final'!#REF!),"")</f>
        <v>#REF!</v>
      </c>
      <c r="X33" s="54" t="e">
        <f>IF(AND('Mapa final'!#REF!="Media",'Mapa final'!#REF!="Moderado"),CONCATENATE("R8C",'Mapa final'!#REF!),"")</f>
        <v>#REF!</v>
      </c>
      <c r="Y33" s="54" t="e">
        <f>IF(AND('Mapa final'!#REF!="Media",'Mapa final'!#REF!="Moderado"),CONCATENATE("R8C",'Mapa final'!#REF!),"")</f>
        <v>#REF!</v>
      </c>
      <c r="Z33" s="54" t="e">
        <f>IF(AND('Mapa final'!#REF!="Media",'Mapa final'!#REF!="Moderado"),CONCATENATE("R8C",'Mapa final'!#REF!),"")</f>
        <v>#REF!</v>
      </c>
      <c r="AA33" s="55" t="e">
        <f>IF(AND('Mapa final'!#REF!="Media",'Mapa final'!#REF!="Moderado"),CONCATENATE("R8C",'Mapa final'!#REF!),"")</f>
        <v>#REF!</v>
      </c>
      <c r="AB33" s="38" t="e">
        <f>IF(AND('Mapa final'!#REF!="Media",'Mapa final'!#REF!="Mayor"),CONCATENATE("R8C",'Mapa final'!#REF!),"")</f>
        <v>#REF!</v>
      </c>
      <c r="AC33" s="39" t="e">
        <f>IF(AND('Mapa final'!#REF!="Media",'Mapa final'!#REF!="Mayor"),CONCATENATE("R8C",'Mapa final'!#REF!),"")</f>
        <v>#REF!</v>
      </c>
      <c r="AD33" s="39" t="e">
        <f>IF(AND('Mapa final'!#REF!="Media",'Mapa final'!#REF!="Mayor"),CONCATENATE("R8C",'Mapa final'!#REF!),"")</f>
        <v>#REF!</v>
      </c>
      <c r="AE33" s="39" t="e">
        <f>IF(AND('Mapa final'!#REF!="Media",'Mapa final'!#REF!="Mayor"),CONCATENATE("R8C",'Mapa final'!#REF!),"")</f>
        <v>#REF!</v>
      </c>
      <c r="AF33" s="39" t="e">
        <f>IF(AND('Mapa final'!#REF!="Media",'Mapa final'!#REF!="Mayor"),CONCATENATE("R8C",'Mapa final'!#REF!),"")</f>
        <v>#REF!</v>
      </c>
      <c r="AG33" s="40" t="e">
        <f>IF(AND('Mapa final'!#REF!="Media",'Mapa final'!#REF!="Mayor"),CONCATENATE("R8C",'Mapa final'!#REF!),"")</f>
        <v>#REF!</v>
      </c>
      <c r="AH33" s="41" t="e">
        <f>IF(AND('Mapa final'!#REF!="Media",'Mapa final'!#REF!="Catastrófico"),CONCATENATE("R8C",'Mapa final'!#REF!),"")</f>
        <v>#REF!</v>
      </c>
      <c r="AI33" s="42" t="e">
        <f>IF(AND('Mapa final'!#REF!="Media",'Mapa final'!#REF!="Catastrófico"),CONCATENATE("R8C",'Mapa final'!#REF!),"")</f>
        <v>#REF!</v>
      </c>
      <c r="AJ33" s="42" t="e">
        <f>IF(AND('Mapa final'!#REF!="Media",'Mapa final'!#REF!="Catastrófico"),CONCATENATE("R8C",'Mapa final'!#REF!),"")</f>
        <v>#REF!</v>
      </c>
      <c r="AK33" s="42" t="e">
        <f>IF(AND('Mapa final'!#REF!="Media",'Mapa final'!#REF!="Catastrófico"),CONCATENATE("R8C",'Mapa final'!#REF!),"")</f>
        <v>#REF!</v>
      </c>
      <c r="AL33" s="42" t="e">
        <f>IF(AND('Mapa final'!#REF!="Media",'Mapa final'!#REF!="Catastrófico"),CONCATENATE("R8C",'Mapa final'!#REF!),"")</f>
        <v>#REF!</v>
      </c>
      <c r="AM33" s="43" t="e">
        <f>IF(AND('Mapa final'!#REF!="Media",'Mapa final'!#REF!="Catastrófico"),CONCATENATE("R8C",'Mapa final'!#REF!),"")</f>
        <v>#REF!</v>
      </c>
      <c r="AN33" s="69"/>
      <c r="AO33" s="387"/>
      <c r="AP33" s="388"/>
      <c r="AQ33" s="388"/>
      <c r="AR33" s="388"/>
      <c r="AS33" s="388"/>
      <c r="AT33" s="389"/>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row>
    <row r="34" spans="1:80" ht="15" customHeight="1" x14ac:dyDescent="0.25">
      <c r="A34" s="69"/>
      <c r="B34" s="259"/>
      <c r="C34" s="259"/>
      <c r="D34" s="260"/>
      <c r="E34" s="358"/>
      <c r="F34" s="357"/>
      <c r="G34" s="357"/>
      <c r="H34" s="357"/>
      <c r="I34" s="373"/>
      <c r="J34" s="53" t="e">
        <f>IF(AND('Mapa final'!#REF!="Media",'Mapa final'!#REF!="Leve"),CONCATENATE("R9C",'Mapa final'!#REF!),"")</f>
        <v>#REF!</v>
      </c>
      <c r="K34" s="54" t="e">
        <f>IF(AND('Mapa final'!#REF!="Media",'Mapa final'!#REF!="Leve"),CONCATENATE("R9C",'Mapa final'!#REF!),"")</f>
        <v>#REF!</v>
      </c>
      <c r="L34" s="54" t="e">
        <f>IF(AND('Mapa final'!#REF!="Media",'Mapa final'!#REF!="Leve"),CONCATENATE("R9C",'Mapa final'!#REF!),"")</f>
        <v>#REF!</v>
      </c>
      <c r="M34" s="54" t="e">
        <f>IF(AND('Mapa final'!#REF!="Media",'Mapa final'!#REF!="Leve"),CONCATENATE("R9C",'Mapa final'!#REF!),"")</f>
        <v>#REF!</v>
      </c>
      <c r="N34" s="54" t="e">
        <f>IF(AND('Mapa final'!#REF!="Media",'Mapa final'!#REF!="Leve"),CONCATENATE("R9C",'Mapa final'!#REF!),"")</f>
        <v>#REF!</v>
      </c>
      <c r="O34" s="55" t="e">
        <f>IF(AND('Mapa final'!#REF!="Media",'Mapa final'!#REF!="Leve"),CONCATENATE("R9C",'Mapa final'!#REF!),"")</f>
        <v>#REF!</v>
      </c>
      <c r="P34" s="53" t="e">
        <f>IF(AND('Mapa final'!#REF!="Media",'Mapa final'!#REF!="Menor"),CONCATENATE("R9C",'Mapa final'!#REF!),"")</f>
        <v>#REF!</v>
      </c>
      <c r="Q34" s="54" t="e">
        <f>IF(AND('Mapa final'!#REF!="Media",'Mapa final'!#REF!="Menor"),CONCATENATE("R9C",'Mapa final'!#REF!),"")</f>
        <v>#REF!</v>
      </c>
      <c r="R34" s="54" t="e">
        <f>IF(AND('Mapa final'!#REF!="Media",'Mapa final'!#REF!="Menor"),CONCATENATE("R9C",'Mapa final'!#REF!),"")</f>
        <v>#REF!</v>
      </c>
      <c r="S34" s="54" t="e">
        <f>IF(AND('Mapa final'!#REF!="Media",'Mapa final'!#REF!="Menor"),CONCATENATE("R9C",'Mapa final'!#REF!),"")</f>
        <v>#REF!</v>
      </c>
      <c r="T34" s="54" t="e">
        <f>IF(AND('Mapa final'!#REF!="Media",'Mapa final'!#REF!="Menor"),CONCATENATE("R9C",'Mapa final'!#REF!),"")</f>
        <v>#REF!</v>
      </c>
      <c r="U34" s="55" t="e">
        <f>IF(AND('Mapa final'!#REF!="Media",'Mapa final'!#REF!="Menor"),CONCATENATE("R9C",'Mapa final'!#REF!),"")</f>
        <v>#REF!</v>
      </c>
      <c r="V34" s="53" t="e">
        <f>IF(AND('Mapa final'!#REF!="Media",'Mapa final'!#REF!="Moderado"),CONCATENATE("R9C",'Mapa final'!#REF!),"")</f>
        <v>#REF!</v>
      </c>
      <c r="W34" s="54" t="e">
        <f>IF(AND('Mapa final'!#REF!="Media",'Mapa final'!#REF!="Moderado"),CONCATENATE("R9C",'Mapa final'!#REF!),"")</f>
        <v>#REF!</v>
      </c>
      <c r="X34" s="54" t="e">
        <f>IF(AND('Mapa final'!#REF!="Media",'Mapa final'!#REF!="Moderado"),CONCATENATE("R9C",'Mapa final'!#REF!),"")</f>
        <v>#REF!</v>
      </c>
      <c r="Y34" s="54" t="e">
        <f>IF(AND('Mapa final'!#REF!="Media",'Mapa final'!#REF!="Moderado"),CONCATENATE("R9C",'Mapa final'!#REF!),"")</f>
        <v>#REF!</v>
      </c>
      <c r="Z34" s="54" t="e">
        <f>IF(AND('Mapa final'!#REF!="Media",'Mapa final'!#REF!="Moderado"),CONCATENATE("R9C",'Mapa final'!#REF!),"")</f>
        <v>#REF!</v>
      </c>
      <c r="AA34" s="55" t="e">
        <f>IF(AND('Mapa final'!#REF!="Media",'Mapa final'!#REF!="Moderado"),CONCATENATE("R9C",'Mapa final'!#REF!),"")</f>
        <v>#REF!</v>
      </c>
      <c r="AB34" s="38" t="e">
        <f>IF(AND('Mapa final'!#REF!="Media",'Mapa final'!#REF!="Mayor"),CONCATENATE("R9C",'Mapa final'!#REF!),"")</f>
        <v>#REF!</v>
      </c>
      <c r="AC34" s="39" t="e">
        <f>IF(AND('Mapa final'!#REF!="Media",'Mapa final'!#REF!="Mayor"),CONCATENATE("R9C",'Mapa final'!#REF!),"")</f>
        <v>#REF!</v>
      </c>
      <c r="AD34" s="39" t="e">
        <f>IF(AND('Mapa final'!#REF!="Media",'Mapa final'!#REF!="Mayor"),CONCATENATE("R9C",'Mapa final'!#REF!),"")</f>
        <v>#REF!</v>
      </c>
      <c r="AE34" s="39" t="e">
        <f>IF(AND('Mapa final'!#REF!="Media",'Mapa final'!#REF!="Mayor"),CONCATENATE("R9C",'Mapa final'!#REF!),"")</f>
        <v>#REF!</v>
      </c>
      <c r="AF34" s="39" t="e">
        <f>IF(AND('Mapa final'!#REF!="Media",'Mapa final'!#REF!="Mayor"),CONCATENATE("R9C",'Mapa final'!#REF!),"")</f>
        <v>#REF!</v>
      </c>
      <c r="AG34" s="40" t="e">
        <f>IF(AND('Mapa final'!#REF!="Media",'Mapa final'!#REF!="Mayor"),CONCATENATE("R9C",'Mapa final'!#REF!),"")</f>
        <v>#REF!</v>
      </c>
      <c r="AH34" s="41" t="e">
        <f>IF(AND('Mapa final'!#REF!="Media",'Mapa final'!#REF!="Catastrófico"),CONCATENATE("R9C",'Mapa final'!#REF!),"")</f>
        <v>#REF!</v>
      </c>
      <c r="AI34" s="42" t="e">
        <f>IF(AND('Mapa final'!#REF!="Media",'Mapa final'!#REF!="Catastrófico"),CONCATENATE("R9C",'Mapa final'!#REF!),"")</f>
        <v>#REF!</v>
      </c>
      <c r="AJ34" s="42" t="e">
        <f>IF(AND('Mapa final'!#REF!="Media",'Mapa final'!#REF!="Catastrófico"),CONCATENATE("R9C",'Mapa final'!#REF!),"")</f>
        <v>#REF!</v>
      </c>
      <c r="AK34" s="42" t="e">
        <f>IF(AND('Mapa final'!#REF!="Media",'Mapa final'!#REF!="Catastrófico"),CONCATENATE("R9C",'Mapa final'!#REF!),"")</f>
        <v>#REF!</v>
      </c>
      <c r="AL34" s="42" t="e">
        <f>IF(AND('Mapa final'!#REF!="Media",'Mapa final'!#REF!="Catastrófico"),CONCATENATE("R9C",'Mapa final'!#REF!),"")</f>
        <v>#REF!</v>
      </c>
      <c r="AM34" s="43" t="e">
        <f>IF(AND('Mapa final'!#REF!="Media",'Mapa final'!#REF!="Catastrófico"),CONCATENATE("R9C",'Mapa final'!#REF!),"")</f>
        <v>#REF!</v>
      </c>
      <c r="AN34" s="69"/>
      <c r="AO34" s="387"/>
      <c r="AP34" s="388"/>
      <c r="AQ34" s="388"/>
      <c r="AR34" s="388"/>
      <c r="AS34" s="388"/>
      <c r="AT34" s="389"/>
      <c r="AU34" s="69"/>
      <c r="AV34" s="69"/>
      <c r="AW34" s="69"/>
      <c r="AX34" s="69"/>
      <c r="AY34" s="69"/>
      <c r="AZ34" s="69"/>
      <c r="BA34" s="69"/>
      <c r="BB34" s="69"/>
      <c r="BC34" s="69"/>
      <c r="BD34" s="69"/>
      <c r="BE34" s="69"/>
      <c r="BF34" s="69"/>
      <c r="BG34" s="69"/>
      <c r="BH34" s="69"/>
      <c r="BI34" s="69"/>
      <c r="BJ34" s="69"/>
      <c r="BK34" s="69"/>
      <c r="BL34" s="69"/>
      <c r="BM34" s="69"/>
      <c r="BN34" s="69"/>
      <c r="BO34" s="69"/>
      <c r="BP34" s="69"/>
      <c r="BQ34" s="69"/>
      <c r="BR34" s="69"/>
      <c r="BS34" s="69"/>
      <c r="BT34" s="69"/>
      <c r="BU34" s="69"/>
      <c r="BV34" s="69"/>
      <c r="BW34" s="69"/>
      <c r="BX34" s="69"/>
    </row>
    <row r="35" spans="1:80" ht="15.75" customHeight="1" thickBot="1" x14ac:dyDescent="0.3">
      <c r="A35" s="69"/>
      <c r="B35" s="259"/>
      <c r="C35" s="259"/>
      <c r="D35" s="260"/>
      <c r="E35" s="359"/>
      <c r="F35" s="360"/>
      <c r="G35" s="360"/>
      <c r="H35" s="360"/>
      <c r="I35" s="374"/>
      <c r="J35" s="53" t="e">
        <f>IF(AND('Mapa final'!#REF!="Media",'Mapa final'!#REF!="Leve"),CONCATENATE("R10C",'Mapa final'!#REF!),"")</f>
        <v>#REF!</v>
      </c>
      <c r="K35" s="54" t="e">
        <f>IF(AND('Mapa final'!#REF!="Media",'Mapa final'!#REF!="Leve"),CONCATENATE("R10C",'Mapa final'!#REF!),"")</f>
        <v>#REF!</v>
      </c>
      <c r="L35" s="54" t="e">
        <f>IF(AND('Mapa final'!#REF!="Media",'Mapa final'!#REF!="Leve"),CONCATENATE("R10C",'Mapa final'!#REF!),"")</f>
        <v>#REF!</v>
      </c>
      <c r="M35" s="54" t="e">
        <f>IF(AND('Mapa final'!#REF!="Media",'Mapa final'!#REF!="Leve"),CONCATENATE("R10C",'Mapa final'!#REF!),"")</f>
        <v>#REF!</v>
      </c>
      <c r="N35" s="54" t="e">
        <f>IF(AND('Mapa final'!#REF!="Media",'Mapa final'!#REF!="Leve"),CONCATENATE("R10C",'Mapa final'!#REF!),"")</f>
        <v>#REF!</v>
      </c>
      <c r="O35" s="55" t="e">
        <f>IF(AND('Mapa final'!#REF!="Media",'Mapa final'!#REF!="Leve"),CONCATENATE("R10C",'Mapa final'!#REF!),"")</f>
        <v>#REF!</v>
      </c>
      <c r="P35" s="53" t="e">
        <f>IF(AND('Mapa final'!#REF!="Media",'Mapa final'!#REF!="Menor"),CONCATENATE("R10C",'Mapa final'!#REF!),"")</f>
        <v>#REF!</v>
      </c>
      <c r="Q35" s="54" t="e">
        <f>IF(AND('Mapa final'!#REF!="Media",'Mapa final'!#REF!="Menor"),CONCATENATE("R10C",'Mapa final'!#REF!),"")</f>
        <v>#REF!</v>
      </c>
      <c r="R35" s="54" t="e">
        <f>IF(AND('Mapa final'!#REF!="Media",'Mapa final'!#REF!="Menor"),CONCATENATE("R10C",'Mapa final'!#REF!),"")</f>
        <v>#REF!</v>
      </c>
      <c r="S35" s="54" t="e">
        <f>IF(AND('Mapa final'!#REF!="Media",'Mapa final'!#REF!="Menor"),CONCATENATE("R10C",'Mapa final'!#REF!),"")</f>
        <v>#REF!</v>
      </c>
      <c r="T35" s="54" t="e">
        <f>IF(AND('Mapa final'!#REF!="Media",'Mapa final'!#REF!="Menor"),CONCATENATE("R10C",'Mapa final'!#REF!),"")</f>
        <v>#REF!</v>
      </c>
      <c r="U35" s="55" t="e">
        <f>IF(AND('Mapa final'!#REF!="Media",'Mapa final'!#REF!="Menor"),CONCATENATE("R10C",'Mapa final'!#REF!),"")</f>
        <v>#REF!</v>
      </c>
      <c r="V35" s="53" t="e">
        <f>IF(AND('Mapa final'!#REF!="Media",'Mapa final'!#REF!="Moderado"),CONCATENATE("R10C",'Mapa final'!#REF!),"")</f>
        <v>#REF!</v>
      </c>
      <c r="W35" s="54" t="e">
        <f>IF(AND('Mapa final'!#REF!="Media",'Mapa final'!#REF!="Moderado"),CONCATENATE("R10C",'Mapa final'!#REF!),"")</f>
        <v>#REF!</v>
      </c>
      <c r="X35" s="54" t="e">
        <f>IF(AND('Mapa final'!#REF!="Media",'Mapa final'!#REF!="Moderado"),CONCATENATE("R10C",'Mapa final'!#REF!),"")</f>
        <v>#REF!</v>
      </c>
      <c r="Y35" s="54" t="e">
        <f>IF(AND('Mapa final'!#REF!="Media",'Mapa final'!#REF!="Moderado"),CONCATENATE("R10C",'Mapa final'!#REF!),"")</f>
        <v>#REF!</v>
      </c>
      <c r="Z35" s="54" t="e">
        <f>IF(AND('Mapa final'!#REF!="Media",'Mapa final'!#REF!="Moderado"),CONCATENATE("R10C",'Mapa final'!#REF!),"")</f>
        <v>#REF!</v>
      </c>
      <c r="AA35" s="55" t="e">
        <f>IF(AND('Mapa final'!#REF!="Media",'Mapa final'!#REF!="Moderado"),CONCATENATE("R10C",'Mapa final'!#REF!),"")</f>
        <v>#REF!</v>
      </c>
      <c r="AB35" s="44" t="e">
        <f>IF(AND('Mapa final'!#REF!="Media",'Mapa final'!#REF!="Mayor"),CONCATENATE("R10C",'Mapa final'!#REF!),"")</f>
        <v>#REF!</v>
      </c>
      <c r="AC35" s="45" t="e">
        <f>IF(AND('Mapa final'!#REF!="Media",'Mapa final'!#REF!="Mayor"),CONCATENATE("R10C",'Mapa final'!#REF!),"")</f>
        <v>#REF!</v>
      </c>
      <c r="AD35" s="45" t="e">
        <f>IF(AND('Mapa final'!#REF!="Media",'Mapa final'!#REF!="Mayor"),CONCATENATE("R10C",'Mapa final'!#REF!),"")</f>
        <v>#REF!</v>
      </c>
      <c r="AE35" s="45" t="e">
        <f>IF(AND('Mapa final'!#REF!="Media",'Mapa final'!#REF!="Mayor"),CONCATENATE("R10C",'Mapa final'!#REF!),"")</f>
        <v>#REF!</v>
      </c>
      <c r="AF35" s="45" t="e">
        <f>IF(AND('Mapa final'!#REF!="Media",'Mapa final'!#REF!="Mayor"),CONCATENATE("R10C",'Mapa final'!#REF!),"")</f>
        <v>#REF!</v>
      </c>
      <c r="AG35" s="46" t="e">
        <f>IF(AND('Mapa final'!#REF!="Media",'Mapa final'!#REF!="Mayor"),CONCATENATE("R10C",'Mapa final'!#REF!),"")</f>
        <v>#REF!</v>
      </c>
      <c r="AH35" s="47" t="e">
        <f>IF(AND('Mapa final'!#REF!="Media",'Mapa final'!#REF!="Catastrófico"),CONCATENATE("R10C",'Mapa final'!#REF!),"")</f>
        <v>#REF!</v>
      </c>
      <c r="AI35" s="48" t="e">
        <f>IF(AND('Mapa final'!#REF!="Media",'Mapa final'!#REF!="Catastrófico"),CONCATENATE("R10C",'Mapa final'!#REF!),"")</f>
        <v>#REF!</v>
      </c>
      <c r="AJ35" s="48" t="e">
        <f>IF(AND('Mapa final'!#REF!="Media",'Mapa final'!#REF!="Catastrófico"),CONCATENATE("R10C",'Mapa final'!#REF!),"")</f>
        <v>#REF!</v>
      </c>
      <c r="AK35" s="48" t="e">
        <f>IF(AND('Mapa final'!#REF!="Media",'Mapa final'!#REF!="Catastrófico"),CONCATENATE("R10C",'Mapa final'!#REF!),"")</f>
        <v>#REF!</v>
      </c>
      <c r="AL35" s="48" t="e">
        <f>IF(AND('Mapa final'!#REF!="Media",'Mapa final'!#REF!="Catastrófico"),CONCATENATE("R10C",'Mapa final'!#REF!),"")</f>
        <v>#REF!</v>
      </c>
      <c r="AM35" s="49" t="e">
        <f>IF(AND('Mapa final'!#REF!="Media",'Mapa final'!#REF!="Catastrófico"),CONCATENATE("R10C",'Mapa final'!#REF!),"")</f>
        <v>#REF!</v>
      </c>
      <c r="AN35" s="69"/>
      <c r="AO35" s="390"/>
      <c r="AP35" s="391"/>
      <c r="AQ35" s="391"/>
      <c r="AR35" s="391"/>
      <c r="AS35" s="391"/>
      <c r="AT35" s="392"/>
      <c r="AU35" s="69"/>
      <c r="AV35" s="69"/>
      <c r="AW35" s="69"/>
      <c r="AX35" s="69"/>
      <c r="AY35" s="69"/>
      <c r="AZ35" s="69"/>
      <c r="BA35" s="69"/>
      <c r="BB35" s="69"/>
      <c r="BC35" s="69"/>
      <c r="BD35" s="69"/>
      <c r="BE35" s="69"/>
      <c r="BF35" s="69"/>
      <c r="BG35" s="69"/>
      <c r="BH35" s="69"/>
      <c r="BI35" s="69"/>
      <c r="BJ35" s="69"/>
      <c r="BK35" s="69"/>
      <c r="BL35" s="69"/>
      <c r="BM35" s="69"/>
      <c r="BN35" s="69"/>
      <c r="BO35" s="69"/>
      <c r="BP35" s="69"/>
      <c r="BQ35" s="69"/>
      <c r="BR35" s="69"/>
      <c r="BS35" s="69"/>
      <c r="BT35" s="69"/>
      <c r="BU35" s="69"/>
      <c r="BV35" s="69"/>
      <c r="BW35" s="69"/>
      <c r="BX35" s="69"/>
    </row>
    <row r="36" spans="1:80" ht="15" customHeight="1" x14ac:dyDescent="0.25">
      <c r="A36" s="69"/>
      <c r="B36" s="259"/>
      <c r="C36" s="259"/>
      <c r="D36" s="260"/>
      <c r="E36" s="354" t="s">
        <v>112</v>
      </c>
      <c r="F36" s="355"/>
      <c r="G36" s="355"/>
      <c r="H36" s="355"/>
      <c r="I36" s="355"/>
      <c r="J36" s="59" t="str">
        <f>IF(AND('Mapa final'!$Y$13="Baja",'Mapa final'!$AA$13="Leve"),CONCATENATE("R1C",'Mapa final'!$O$13),"")</f>
        <v/>
      </c>
      <c r="K36" s="60" t="str">
        <f>IF(AND('Mapa final'!$Y$14="Baja",'Mapa final'!$AA$14="Leve"),CONCATENATE("R1C",'Mapa final'!$O$14),"")</f>
        <v/>
      </c>
      <c r="L36" s="60" t="str">
        <f>IF(AND('Mapa final'!$Y$15="Baja",'Mapa final'!$AA$15="Leve"),CONCATENATE("R1C",'Mapa final'!$O$15),"")</f>
        <v/>
      </c>
      <c r="M36" s="60" t="str">
        <f>IF(AND('Mapa final'!$Y$16="Baja",'Mapa final'!$AA$16="Leve"),CONCATENATE("R1C",'Mapa final'!$O$16),"")</f>
        <v/>
      </c>
      <c r="N36" s="60" t="str">
        <f>IF(AND('Mapa final'!$Y$17="Baja",'Mapa final'!$AA$17="Leve"),CONCATENATE("R1C",'Mapa final'!$O$17),"")</f>
        <v/>
      </c>
      <c r="O36" s="61" t="str">
        <f>IF(AND('Mapa final'!$Y$18="Baja",'Mapa final'!$AA$18="Leve"),CONCATENATE("R1C",'Mapa final'!$O$18),"")</f>
        <v/>
      </c>
      <c r="P36" s="50" t="str">
        <f>IF(AND('Mapa final'!$Y$13="Baja",'Mapa final'!$AA$13="Menor"),CONCATENATE("R1C",'Mapa final'!$O$13),"")</f>
        <v/>
      </c>
      <c r="Q36" s="51" t="str">
        <f>IF(AND('Mapa final'!$Y$14="Baja",'Mapa final'!$AA$14="Menor"),CONCATENATE("R1C",'Mapa final'!$O$14),"")</f>
        <v/>
      </c>
      <c r="R36" s="51" t="str">
        <f>IF(AND('Mapa final'!$Y$15="Baja",'Mapa final'!$AA$15="Menor"),CONCATENATE("R1C",'Mapa final'!$O$15),"")</f>
        <v/>
      </c>
      <c r="S36" s="51" t="str">
        <f>IF(AND('Mapa final'!$Y$16="Baja",'Mapa final'!$AA$16="Menor"),CONCATENATE("R1C",'Mapa final'!$O$16),"")</f>
        <v/>
      </c>
      <c r="T36" s="51" t="str">
        <f>IF(AND('Mapa final'!$Y$17="Baja",'Mapa final'!$AA$17="Menor"),CONCATENATE("R1C",'Mapa final'!$O$17),"")</f>
        <v/>
      </c>
      <c r="U36" s="52" t="str">
        <f>IF(AND('Mapa final'!$Y$18="Baja",'Mapa final'!$AA$18="Menor"),CONCATENATE("R1C",'Mapa final'!$O$18),"")</f>
        <v/>
      </c>
      <c r="V36" s="50" t="str">
        <f>IF(AND('Mapa final'!$Y$13="Baja",'Mapa final'!$AA$13="Moderado"),CONCATENATE("R1C",'Mapa final'!$O$13),"")</f>
        <v>R1C1</v>
      </c>
      <c r="W36" s="51" t="str">
        <f>IF(AND('Mapa final'!$Y$14="Baja",'Mapa final'!$AA$14="Moderado"),CONCATENATE("R1C",'Mapa final'!$O$14),"")</f>
        <v/>
      </c>
      <c r="X36" s="51" t="str">
        <f>IF(AND('Mapa final'!$Y$15="Baja",'Mapa final'!$AA$15="Moderado"),CONCATENATE("R1C",'Mapa final'!$O$15),"")</f>
        <v/>
      </c>
      <c r="Y36" s="51" t="str">
        <f>IF(AND('Mapa final'!$Y$16="Baja",'Mapa final'!$AA$16="Moderado"),CONCATENATE("R1C",'Mapa final'!$O$16),"")</f>
        <v>R1C1</v>
      </c>
      <c r="Z36" s="51" t="str">
        <f>IF(AND('Mapa final'!$Y$17="Baja",'Mapa final'!$AA$17="Moderado"),CONCATENATE("R1C",'Mapa final'!$O$17),"")</f>
        <v/>
      </c>
      <c r="AA36" s="52" t="str">
        <f>IF(AND('Mapa final'!$Y$18="Baja",'Mapa final'!$AA$18="Moderado"),CONCATENATE("R1C",'Mapa final'!$O$18),"")</f>
        <v>R1C1</v>
      </c>
      <c r="AB36" s="32" t="str">
        <f>IF(AND('Mapa final'!$Y$13="Baja",'Mapa final'!$AA$13="Mayor"),CONCATENATE("R1C",'Mapa final'!$O$13),"")</f>
        <v/>
      </c>
      <c r="AC36" s="33" t="str">
        <f>IF(AND('Mapa final'!$Y$14="Baja",'Mapa final'!$AA$14="Mayor"),CONCATENATE("R1C",'Mapa final'!$O$14),"")</f>
        <v/>
      </c>
      <c r="AD36" s="33" t="str">
        <f>IF(AND('Mapa final'!$Y$15="Baja",'Mapa final'!$AA$15="Mayor"),CONCATENATE("R1C",'Mapa final'!$O$15),"")</f>
        <v/>
      </c>
      <c r="AE36" s="33" t="str">
        <f>IF(AND('Mapa final'!$Y$16="Baja",'Mapa final'!$AA$16="Mayor"),CONCATENATE("R1C",'Mapa final'!$O$16),"")</f>
        <v/>
      </c>
      <c r="AF36" s="33" t="str">
        <f>IF(AND('Mapa final'!$Y$17="Baja",'Mapa final'!$AA$17="Mayor"),CONCATENATE("R1C",'Mapa final'!$O$17),"")</f>
        <v/>
      </c>
      <c r="AG36" s="34" t="str">
        <f>IF(AND('Mapa final'!$Y$18="Baja",'Mapa final'!$AA$18="Mayor"),CONCATENATE("R1C",'Mapa final'!$O$18),"")</f>
        <v/>
      </c>
      <c r="AH36" s="35" t="str">
        <f>IF(AND('Mapa final'!$Y$13="Baja",'Mapa final'!$AA$13="Catastrófico"),CONCATENATE("R1C",'Mapa final'!$O$13),"")</f>
        <v/>
      </c>
      <c r="AI36" s="36" t="str">
        <f>IF(AND('Mapa final'!$Y$14="Baja",'Mapa final'!$AA$14="Catastrófico"),CONCATENATE("R1C",'Mapa final'!$O$14),"")</f>
        <v/>
      </c>
      <c r="AJ36" s="36" t="str">
        <f>IF(AND('Mapa final'!$Y$15="Baja",'Mapa final'!$AA$15="Catastrófico"),CONCATENATE("R1C",'Mapa final'!$O$15),"")</f>
        <v/>
      </c>
      <c r="AK36" s="36" t="str">
        <f>IF(AND('Mapa final'!$Y$16="Baja",'Mapa final'!$AA$16="Catastrófico"),CONCATENATE("R1C",'Mapa final'!$O$16),"")</f>
        <v/>
      </c>
      <c r="AL36" s="36" t="str">
        <f>IF(AND('Mapa final'!$Y$17="Baja",'Mapa final'!$AA$17="Catastrófico"),CONCATENATE("R1C",'Mapa final'!$O$17),"")</f>
        <v/>
      </c>
      <c r="AM36" s="37" t="str">
        <f>IF(AND('Mapa final'!$Y$18="Baja",'Mapa final'!$AA$18="Catastrófico"),CONCATENATE("R1C",'Mapa final'!$O$18),"")</f>
        <v/>
      </c>
      <c r="AN36" s="69"/>
      <c r="AO36" s="375" t="s">
        <v>80</v>
      </c>
      <c r="AP36" s="376"/>
      <c r="AQ36" s="376"/>
      <c r="AR36" s="376"/>
      <c r="AS36" s="376"/>
      <c r="AT36" s="377"/>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69"/>
      <c r="BV36" s="69"/>
      <c r="BW36" s="69"/>
      <c r="BX36" s="69"/>
    </row>
    <row r="37" spans="1:80" ht="15" customHeight="1" x14ac:dyDescent="0.25">
      <c r="A37" s="69"/>
      <c r="B37" s="259"/>
      <c r="C37" s="259"/>
      <c r="D37" s="260"/>
      <c r="E37" s="356"/>
      <c r="F37" s="357"/>
      <c r="G37" s="357"/>
      <c r="H37" s="357"/>
      <c r="I37" s="357"/>
      <c r="J37" s="62" t="e">
        <f>IF(AND('Mapa final'!#REF!="Baja",'Mapa final'!#REF!="Leve"),CONCATENATE("R2C",'Mapa final'!#REF!),"")</f>
        <v>#REF!</v>
      </c>
      <c r="K37" s="63" t="e">
        <f>IF(AND('Mapa final'!#REF!="Baja",'Mapa final'!#REF!="Leve"),CONCATENATE("R2C",'Mapa final'!#REF!),"")</f>
        <v>#REF!</v>
      </c>
      <c r="L37" s="63" t="e">
        <f>IF(AND('Mapa final'!#REF!="Baja",'Mapa final'!#REF!="Leve"),CONCATENATE("R2C",'Mapa final'!#REF!),"")</f>
        <v>#REF!</v>
      </c>
      <c r="M37" s="63" t="e">
        <f>IF(AND('Mapa final'!#REF!="Baja",'Mapa final'!#REF!="Leve"),CONCATENATE("R2C",'Mapa final'!#REF!),"")</f>
        <v>#REF!</v>
      </c>
      <c r="N37" s="63" t="e">
        <f>IF(AND('Mapa final'!#REF!="Baja",'Mapa final'!#REF!="Leve"),CONCATENATE("R2C",'Mapa final'!#REF!),"")</f>
        <v>#REF!</v>
      </c>
      <c r="O37" s="64" t="e">
        <f>IF(AND('Mapa final'!#REF!="Baja",'Mapa final'!#REF!="Leve"),CONCATENATE("R2C",'Mapa final'!#REF!),"")</f>
        <v>#REF!</v>
      </c>
      <c r="P37" s="53" t="e">
        <f>IF(AND('Mapa final'!#REF!="Baja",'Mapa final'!#REF!="Menor"),CONCATENATE("R2C",'Mapa final'!#REF!),"")</f>
        <v>#REF!</v>
      </c>
      <c r="Q37" s="54" t="e">
        <f>IF(AND('Mapa final'!#REF!="Baja",'Mapa final'!#REF!="Menor"),CONCATENATE("R2C",'Mapa final'!#REF!),"")</f>
        <v>#REF!</v>
      </c>
      <c r="R37" s="54" t="e">
        <f>IF(AND('Mapa final'!#REF!="Baja",'Mapa final'!#REF!="Menor"),CONCATENATE("R2C",'Mapa final'!#REF!),"")</f>
        <v>#REF!</v>
      </c>
      <c r="S37" s="54" t="e">
        <f>IF(AND('Mapa final'!#REF!="Baja",'Mapa final'!#REF!="Menor"),CONCATENATE("R2C",'Mapa final'!#REF!),"")</f>
        <v>#REF!</v>
      </c>
      <c r="T37" s="54" t="e">
        <f>IF(AND('Mapa final'!#REF!="Baja",'Mapa final'!#REF!="Menor"),CONCATENATE("R2C",'Mapa final'!#REF!),"")</f>
        <v>#REF!</v>
      </c>
      <c r="U37" s="55" t="e">
        <f>IF(AND('Mapa final'!#REF!="Baja",'Mapa final'!#REF!="Menor"),CONCATENATE("R2C",'Mapa final'!#REF!),"")</f>
        <v>#REF!</v>
      </c>
      <c r="V37" s="53" t="e">
        <f>IF(AND('Mapa final'!#REF!="Baja",'Mapa final'!#REF!="Moderado"),CONCATENATE("R2C",'Mapa final'!#REF!),"")</f>
        <v>#REF!</v>
      </c>
      <c r="W37" s="54" t="e">
        <f>IF(AND('Mapa final'!#REF!="Baja",'Mapa final'!#REF!="Moderado"),CONCATENATE("R2C",'Mapa final'!#REF!),"")</f>
        <v>#REF!</v>
      </c>
      <c r="X37" s="54" t="e">
        <f>IF(AND('Mapa final'!#REF!="Baja",'Mapa final'!#REF!="Moderado"),CONCATENATE("R2C",'Mapa final'!#REF!),"")</f>
        <v>#REF!</v>
      </c>
      <c r="Y37" s="54" t="e">
        <f>IF(AND('Mapa final'!#REF!="Baja",'Mapa final'!#REF!="Moderado"),CONCATENATE("R2C",'Mapa final'!#REF!),"")</f>
        <v>#REF!</v>
      </c>
      <c r="Z37" s="54" t="e">
        <f>IF(AND('Mapa final'!#REF!="Baja",'Mapa final'!#REF!="Moderado"),CONCATENATE("R2C",'Mapa final'!#REF!),"")</f>
        <v>#REF!</v>
      </c>
      <c r="AA37" s="55" t="e">
        <f>IF(AND('Mapa final'!#REF!="Baja",'Mapa final'!#REF!="Moderado"),CONCATENATE("R2C",'Mapa final'!#REF!),"")</f>
        <v>#REF!</v>
      </c>
      <c r="AB37" s="38" t="e">
        <f>IF(AND('Mapa final'!#REF!="Baja",'Mapa final'!#REF!="Mayor"),CONCATENATE("R2C",'Mapa final'!#REF!),"")</f>
        <v>#REF!</v>
      </c>
      <c r="AC37" s="39" t="e">
        <f>IF(AND('Mapa final'!#REF!="Baja",'Mapa final'!#REF!="Mayor"),CONCATENATE("R2C",'Mapa final'!#REF!),"")</f>
        <v>#REF!</v>
      </c>
      <c r="AD37" s="39" t="e">
        <f>IF(AND('Mapa final'!#REF!="Baja",'Mapa final'!#REF!="Mayor"),CONCATENATE("R2C",'Mapa final'!#REF!),"")</f>
        <v>#REF!</v>
      </c>
      <c r="AE37" s="39" t="e">
        <f>IF(AND('Mapa final'!#REF!="Baja",'Mapa final'!#REF!="Mayor"),CONCATENATE("R2C",'Mapa final'!#REF!),"")</f>
        <v>#REF!</v>
      </c>
      <c r="AF37" s="39" t="e">
        <f>IF(AND('Mapa final'!#REF!="Baja",'Mapa final'!#REF!="Mayor"),CONCATENATE("R2C",'Mapa final'!#REF!),"")</f>
        <v>#REF!</v>
      </c>
      <c r="AG37" s="40" t="e">
        <f>IF(AND('Mapa final'!#REF!="Baja",'Mapa final'!#REF!="Mayor"),CONCATENATE("R2C",'Mapa final'!#REF!),"")</f>
        <v>#REF!</v>
      </c>
      <c r="AH37" s="41" t="e">
        <f>IF(AND('Mapa final'!#REF!="Baja",'Mapa final'!#REF!="Catastrófico"),CONCATENATE("R2C",'Mapa final'!#REF!),"")</f>
        <v>#REF!</v>
      </c>
      <c r="AI37" s="42" t="e">
        <f>IF(AND('Mapa final'!#REF!="Baja",'Mapa final'!#REF!="Catastrófico"),CONCATENATE("R2C",'Mapa final'!#REF!),"")</f>
        <v>#REF!</v>
      </c>
      <c r="AJ37" s="42" t="e">
        <f>IF(AND('Mapa final'!#REF!="Baja",'Mapa final'!#REF!="Catastrófico"),CONCATENATE("R2C",'Mapa final'!#REF!),"")</f>
        <v>#REF!</v>
      </c>
      <c r="AK37" s="42" t="e">
        <f>IF(AND('Mapa final'!#REF!="Baja",'Mapa final'!#REF!="Catastrófico"),CONCATENATE("R2C",'Mapa final'!#REF!),"")</f>
        <v>#REF!</v>
      </c>
      <c r="AL37" s="42" t="e">
        <f>IF(AND('Mapa final'!#REF!="Baja",'Mapa final'!#REF!="Catastrófico"),CONCATENATE("R2C",'Mapa final'!#REF!),"")</f>
        <v>#REF!</v>
      </c>
      <c r="AM37" s="43" t="e">
        <f>IF(AND('Mapa final'!#REF!="Baja",'Mapa final'!#REF!="Catastrófico"),CONCATENATE("R2C",'Mapa final'!#REF!),"")</f>
        <v>#REF!</v>
      </c>
      <c r="AN37" s="69"/>
      <c r="AO37" s="378"/>
      <c r="AP37" s="379"/>
      <c r="AQ37" s="379"/>
      <c r="AR37" s="379"/>
      <c r="AS37" s="379"/>
      <c r="AT37" s="380"/>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c r="BU37" s="69"/>
      <c r="BV37" s="69"/>
      <c r="BW37" s="69"/>
      <c r="BX37" s="69"/>
    </row>
    <row r="38" spans="1:80" ht="15" customHeight="1" x14ac:dyDescent="0.25">
      <c r="A38" s="69"/>
      <c r="B38" s="259"/>
      <c r="C38" s="259"/>
      <c r="D38" s="260"/>
      <c r="E38" s="358"/>
      <c r="F38" s="357"/>
      <c r="G38" s="357"/>
      <c r="H38" s="357"/>
      <c r="I38" s="357"/>
      <c r="J38" s="62" t="e">
        <f>IF(AND('Mapa final'!#REF!="Baja",'Mapa final'!#REF!="Leve"),CONCATENATE("R3C",'Mapa final'!#REF!),"")</f>
        <v>#REF!</v>
      </c>
      <c r="K38" s="63" t="e">
        <f>IF(AND('Mapa final'!#REF!="Baja",'Mapa final'!#REF!="Leve"),CONCATENATE("R3C",'Mapa final'!#REF!),"")</f>
        <v>#REF!</v>
      </c>
      <c r="L38" s="63" t="e">
        <f>IF(AND('Mapa final'!#REF!="Baja",'Mapa final'!#REF!="Leve"),CONCATENATE("R3C",'Mapa final'!#REF!),"")</f>
        <v>#REF!</v>
      </c>
      <c r="M38" s="63" t="e">
        <f>IF(AND('Mapa final'!#REF!="Baja",'Mapa final'!#REF!="Leve"),CONCATENATE("R3C",'Mapa final'!#REF!),"")</f>
        <v>#REF!</v>
      </c>
      <c r="N38" s="63" t="e">
        <f>IF(AND('Mapa final'!#REF!="Baja",'Mapa final'!#REF!="Leve"),CONCATENATE("R3C",'Mapa final'!#REF!),"")</f>
        <v>#REF!</v>
      </c>
      <c r="O38" s="64" t="e">
        <f>IF(AND('Mapa final'!#REF!="Baja",'Mapa final'!#REF!="Leve"),CONCATENATE("R3C",'Mapa final'!#REF!),"")</f>
        <v>#REF!</v>
      </c>
      <c r="P38" s="53" t="e">
        <f>IF(AND('Mapa final'!#REF!="Baja",'Mapa final'!#REF!="Menor"),CONCATENATE("R3C",'Mapa final'!#REF!),"")</f>
        <v>#REF!</v>
      </c>
      <c r="Q38" s="54" t="e">
        <f>IF(AND('Mapa final'!#REF!="Baja",'Mapa final'!#REF!="Menor"),CONCATENATE("R3C",'Mapa final'!#REF!),"")</f>
        <v>#REF!</v>
      </c>
      <c r="R38" s="54" t="e">
        <f>IF(AND('Mapa final'!#REF!="Baja",'Mapa final'!#REF!="Menor"),CONCATENATE("R3C",'Mapa final'!#REF!),"")</f>
        <v>#REF!</v>
      </c>
      <c r="S38" s="54" t="e">
        <f>IF(AND('Mapa final'!#REF!="Baja",'Mapa final'!#REF!="Menor"),CONCATENATE("R3C",'Mapa final'!#REF!),"")</f>
        <v>#REF!</v>
      </c>
      <c r="T38" s="54" t="e">
        <f>IF(AND('Mapa final'!#REF!="Baja",'Mapa final'!#REF!="Menor"),CONCATENATE("R3C",'Mapa final'!#REF!),"")</f>
        <v>#REF!</v>
      </c>
      <c r="U38" s="55" t="e">
        <f>IF(AND('Mapa final'!#REF!="Baja",'Mapa final'!#REF!="Menor"),CONCATENATE("R3C",'Mapa final'!#REF!),"")</f>
        <v>#REF!</v>
      </c>
      <c r="V38" s="53" t="e">
        <f>IF(AND('Mapa final'!#REF!="Baja",'Mapa final'!#REF!="Moderado"),CONCATENATE("R3C",'Mapa final'!#REF!),"")</f>
        <v>#REF!</v>
      </c>
      <c r="W38" s="54" t="e">
        <f>IF(AND('Mapa final'!#REF!="Baja",'Mapa final'!#REF!="Moderado"),CONCATENATE("R3C",'Mapa final'!#REF!),"")</f>
        <v>#REF!</v>
      </c>
      <c r="X38" s="54" t="e">
        <f>IF(AND('Mapa final'!#REF!="Baja",'Mapa final'!#REF!="Moderado"),CONCATENATE("R3C",'Mapa final'!#REF!),"")</f>
        <v>#REF!</v>
      </c>
      <c r="Y38" s="54" t="e">
        <f>IF(AND('Mapa final'!#REF!="Baja",'Mapa final'!#REF!="Moderado"),CONCATENATE("R3C",'Mapa final'!#REF!),"")</f>
        <v>#REF!</v>
      </c>
      <c r="Z38" s="54" t="e">
        <f>IF(AND('Mapa final'!#REF!="Baja",'Mapa final'!#REF!="Moderado"),CONCATENATE("R3C",'Mapa final'!#REF!),"")</f>
        <v>#REF!</v>
      </c>
      <c r="AA38" s="55" t="e">
        <f>IF(AND('Mapa final'!#REF!="Baja",'Mapa final'!#REF!="Moderado"),CONCATENATE("R3C",'Mapa final'!#REF!),"")</f>
        <v>#REF!</v>
      </c>
      <c r="AB38" s="38" t="e">
        <f>IF(AND('Mapa final'!#REF!="Baja",'Mapa final'!#REF!="Mayor"),CONCATENATE("R3C",'Mapa final'!#REF!),"")</f>
        <v>#REF!</v>
      </c>
      <c r="AC38" s="39" t="e">
        <f>IF(AND('Mapa final'!#REF!="Baja",'Mapa final'!#REF!="Mayor"),CONCATENATE("R3C",'Mapa final'!#REF!),"")</f>
        <v>#REF!</v>
      </c>
      <c r="AD38" s="39" t="e">
        <f>IF(AND('Mapa final'!#REF!="Baja",'Mapa final'!#REF!="Mayor"),CONCATENATE("R3C",'Mapa final'!#REF!),"")</f>
        <v>#REF!</v>
      </c>
      <c r="AE38" s="39" t="e">
        <f>IF(AND('Mapa final'!#REF!="Baja",'Mapa final'!#REF!="Mayor"),CONCATENATE("R3C",'Mapa final'!#REF!),"")</f>
        <v>#REF!</v>
      </c>
      <c r="AF38" s="39" t="e">
        <f>IF(AND('Mapa final'!#REF!="Baja",'Mapa final'!#REF!="Mayor"),CONCATENATE("R3C",'Mapa final'!#REF!),"")</f>
        <v>#REF!</v>
      </c>
      <c r="AG38" s="40" t="e">
        <f>IF(AND('Mapa final'!#REF!="Baja",'Mapa final'!#REF!="Mayor"),CONCATENATE("R3C",'Mapa final'!#REF!),"")</f>
        <v>#REF!</v>
      </c>
      <c r="AH38" s="41" t="e">
        <f>IF(AND('Mapa final'!#REF!="Baja",'Mapa final'!#REF!="Catastrófico"),CONCATENATE("R3C",'Mapa final'!#REF!),"")</f>
        <v>#REF!</v>
      </c>
      <c r="AI38" s="42" t="e">
        <f>IF(AND('Mapa final'!#REF!="Baja",'Mapa final'!#REF!="Catastrófico"),CONCATENATE("R3C",'Mapa final'!#REF!),"")</f>
        <v>#REF!</v>
      </c>
      <c r="AJ38" s="42" t="e">
        <f>IF(AND('Mapa final'!#REF!="Baja",'Mapa final'!#REF!="Catastrófico"),CONCATENATE("R3C",'Mapa final'!#REF!),"")</f>
        <v>#REF!</v>
      </c>
      <c r="AK38" s="42" t="e">
        <f>IF(AND('Mapa final'!#REF!="Baja",'Mapa final'!#REF!="Catastrófico"),CONCATENATE("R3C",'Mapa final'!#REF!),"")</f>
        <v>#REF!</v>
      </c>
      <c r="AL38" s="42" t="e">
        <f>IF(AND('Mapa final'!#REF!="Baja",'Mapa final'!#REF!="Catastrófico"),CONCATENATE("R3C",'Mapa final'!#REF!),"")</f>
        <v>#REF!</v>
      </c>
      <c r="AM38" s="43" t="e">
        <f>IF(AND('Mapa final'!#REF!="Baja",'Mapa final'!#REF!="Catastrófico"),CONCATENATE("R3C",'Mapa final'!#REF!),"")</f>
        <v>#REF!</v>
      </c>
      <c r="AN38" s="69"/>
      <c r="AO38" s="378"/>
      <c r="AP38" s="379"/>
      <c r="AQ38" s="379"/>
      <c r="AR38" s="379"/>
      <c r="AS38" s="379"/>
      <c r="AT38" s="380"/>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c r="BU38" s="69"/>
      <c r="BV38" s="69"/>
      <c r="BW38" s="69"/>
      <c r="BX38" s="69"/>
    </row>
    <row r="39" spans="1:80" ht="15" customHeight="1" x14ac:dyDescent="0.25">
      <c r="A39" s="69"/>
      <c r="B39" s="259"/>
      <c r="C39" s="259"/>
      <c r="D39" s="260"/>
      <c r="E39" s="358"/>
      <c r="F39" s="357"/>
      <c r="G39" s="357"/>
      <c r="H39" s="357"/>
      <c r="I39" s="357"/>
      <c r="J39" s="62" t="e">
        <f>IF(AND('Mapa final'!#REF!="Baja",'Mapa final'!#REF!="Leve"),CONCATENATE("R4C",'Mapa final'!#REF!),"")</f>
        <v>#REF!</v>
      </c>
      <c r="K39" s="63" t="e">
        <f>IF(AND('Mapa final'!#REF!="Baja",'Mapa final'!#REF!="Leve"),CONCATENATE("R4C",'Mapa final'!#REF!),"")</f>
        <v>#REF!</v>
      </c>
      <c r="L39" s="63" t="e">
        <f>IF(AND('Mapa final'!#REF!="Baja",'Mapa final'!#REF!="Leve"),CONCATENATE("R4C",'Mapa final'!#REF!),"")</f>
        <v>#REF!</v>
      </c>
      <c r="M39" s="63" t="e">
        <f>IF(AND('Mapa final'!#REF!="Baja",'Mapa final'!#REF!="Leve"),CONCATENATE("R4C",'Mapa final'!#REF!),"")</f>
        <v>#REF!</v>
      </c>
      <c r="N39" s="63" t="e">
        <f>IF(AND('Mapa final'!#REF!="Baja",'Mapa final'!#REF!="Leve"),CONCATENATE("R4C",'Mapa final'!#REF!),"")</f>
        <v>#REF!</v>
      </c>
      <c r="O39" s="64" t="e">
        <f>IF(AND('Mapa final'!#REF!="Baja",'Mapa final'!#REF!="Leve"),CONCATENATE("R4C",'Mapa final'!#REF!),"")</f>
        <v>#REF!</v>
      </c>
      <c r="P39" s="53" t="e">
        <f>IF(AND('Mapa final'!#REF!="Baja",'Mapa final'!#REF!="Menor"),CONCATENATE("R4C",'Mapa final'!#REF!),"")</f>
        <v>#REF!</v>
      </c>
      <c r="Q39" s="54" t="e">
        <f>IF(AND('Mapa final'!#REF!="Baja",'Mapa final'!#REF!="Menor"),CONCATENATE("R4C",'Mapa final'!#REF!),"")</f>
        <v>#REF!</v>
      </c>
      <c r="R39" s="54" t="e">
        <f>IF(AND('Mapa final'!#REF!="Baja",'Mapa final'!#REF!="Menor"),CONCATENATE("R4C",'Mapa final'!#REF!),"")</f>
        <v>#REF!</v>
      </c>
      <c r="S39" s="54" t="e">
        <f>IF(AND('Mapa final'!#REF!="Baja",'Mapa final'!#REF!="Menor"),CONCATENATE("R4C",'Mapa final'!#REF!),"")</f>
        <v>#REF!</v>
      </c>
      <c r="T39" s="54" t="e">
        <f>IF(AND('Mapa final'!#REF!="Baja",'Mapa final'!#REF!="Menor"),CONCATENATE("R4C",'Mapa final'!#REF!),"")</f>
        <v>#REF!</v>
      </c>
      <c r="U39" s="55" t="e">
        <f>IF(AND('Mapa final'!#REF!="Baja",'Mapa final'!#REF!="Menor"),CONCATENATE("R4C",'Mapa final'!#REF!),"")</f>
        <v>#REF!</v>
      </c>
      <c r="V39" s="53" t="e">
        <f>IF(AND('Mapa final'!#REF!="Baja",'Mapa final'!#REF!="Moderado"),CONCATENATE("R4C",'Mapa final'!#REF!),"")</f>
        <v>#REF!</v>
      </c>
      <c r="W39" s="54" t="e">
        <f>IF(AND('Mapa final'!#REF!="Baja",'Mapa final'!#REF!="Moderado"),CONCATENATE("R4C",'Mapa final'!#REF!),"")</f>
        <v>#REF!</v>
      </c>
      <c r="X39" s="54" t="e">
        <f>IF(AND('Mapa final'!#REF!="Baja",'Mapa final'!#REF!="Moderado"),CONCATENATE("R4C",'Mapa final'!#REF!),"")</f>
        <v>#REF!</v>
      </c>
      <c r="Y39" s="54" t="e">
        <f>IF(AND('Mapa final'!#REF!="Baja",'Mapa final'!#REF!="Moderado"),CONCATENATE("R4C",'Mapa final'!#REF!),"")</f>
        <v>#REF!</v>
      </c>
      <c r="Z39" s="54" t="e">
        <f>IF(AND('Mapa final'!#REF!="Baja",'Mapa final'!#REF!="Moderado"),CONCATENATE("R4C",'Mapa final'!#REF!),"")</f>
        <v>#REF!</v>
      </c>
      <c r="AA39" s="55" t="e">
        <f>IF(AND('Mapa final'!#REF!="Baja",'Mapa final'!#REF!="Moderado"),CONCATENATE("R4C",'Mapa final'!#REF!),"")</f>
        <v>#REF!</v>
      </c>
      <c r="AB39" s="38" t="e">
        <f>IF(AND('Mapa final'!#REF!="Baja",'Mapa final'!#REF!="Mayor"),CONCATENATE("R4C",'Mapa final'!#REF!),"")</f>
        <v>#REF!</v>
      </c>
      <c r="AC39" s="39" t="e">
        <f>IF(AND('Mapa final'!#REF!="Baja",'Mapa final'!#REF!="Mayor"),CONCATENATE("R4C",'Mapa final'!#REF!),"")</f>
        <v>#REF!</v>
      </c>
      <c r="AD39" s="39" t="e">
        <f>IF(AND('Mapa final'!#REF!="Baja",'Mapa final'!#REF!="Mayor"),CONCATENATE("R4C",'Mapa final'!#REF!),"")</f>
        <v>#REF!</v>
      </c>
      <c r="AE39" s="39" t="e">
        <f>IF(AND('Mapa final'!#REF!="Baja",'Mapa final'!#REF!="Mayor"),CONCATENATE("R4C",'Mapa final'!#REF!),"")</f>
        <v>#REF!</v>
      </c>
      <c r="AF39" s="39" t="e">
        <f>IF(AND('Mapa final'!#REF!="Baja",'Mapa final'!#REF!="Mayor"),CONCATENATE("R4C",'Mapa final'!#REF!),"")</f>
        <v>#REF!</v>
      </c>
      <c r="AG39" s="40" t="e">
        <f>IF(AND('Mapa final'!#REF!="Baja",'Mapa final'!#REF!="Mayor"),CONCATENATE("R4C",'Mapa final'!#REF!),"")</f>
        <v>#REF!</v>
      </c>
      <c r="AH39" s="41" t="e">
        <f>IF(AND('Mapa final'!#REF!="Baja",'Mapa final'!#REF!="Catastrófico"),CONCATENATE("R4C",'Mapa final'!#REF!),"")</f>
        <v>#REF!</v>
      </c>
      <c r="AI39" s="42" t="e">
        <f>IF(AND('Mapa final'!#REF!="Baja",'Mapa final'!#REF!="Catastrófico"),CONCATENATE("R4C",'Mapa final'!#REF!),"")</f>
        <v>#REF!</v>
      </c>
      <c r="AJ39" s="42" t="e">
        <f>IF(AND('Mapa final'!#REF!="Baja",'Mapa final'!#REF!="Catastrófico"),CONCATENATE("R4C",'Mapa final'!#REF!),"")</f>
        <v>#REF!</v>
      </c>
      <c r="AK39" s="42" t="e">
        <f>IF(AND('Mapa final'!#REF!="Baja",'Mapa final'!#REF!="Catastrófico"),CONCATENATE("R4C",'Mapa final'!#REF!),"")</f>
        <v>#REF!</v>
      </c>
      <c r="AL39" s="42" t="e">
        <f>IF(AND('Mapa final'!#REF!="Baja",'Mapa final'!#REF!="Catastrófico"),CONCATENATE("R4C",'Mapa final'!#REF!),"")</f>
        <v>#REF!</v>
      </c>
      <c r="AM39" s="43" t="e">
        <f>IF(AND('Mapa final'!#REF!="Baja",'Mapa final'!#REF!="Catastrófico"),CONCATENATE("R4C",'Mapa final'!#REF!),"")</f>
        <v>#REF!</v>
      </c>
      <c r="AN39" s="69"/>
      <c r="AO39" s="378"/>
      <c r="AP39" s="379"/>
      <c r="AQ39" s="379"/>
      <c r="AR39" s="379"/>
      <c r="AS39" s="379"/>
      <c r="AT39" s="380"/>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c r="BT39" s="69"/>
      <c r="BU39" s="69"/>
      <c r="BV39" s="69"/>
      <c r="BW39" s="69"/>
      <c r="BX39" s="69"/>
    </row>
    <row r="40" spans="1:80" ht="15" customHeight="1" x14ac:dyDescent="0.25">
      <c r="A40" s="69"/>
      <c r="B40" s="259"/>
      <c r="C40" s="259"/>
      <c r="D40" s="260"/>
      <c r="E40" s="358"/>
      <c r="F40" s="357"/>
      <c r="G40" s="357"/>
      <c r="H40" s="357"/>
      <c r="I40" s="357"/>
      <c r="J40" s="62" t="e">
        <f>IF(AND('Mapa final'!#REF!="Baja",'Mapa final'!#REF!="Leve"),CONCATENATE("R5C",'Mapa final'!#REF!),"")</f>
        <v>#REF!</v>
      </c>
      <c r="K40" s="63" t="e">
        <f>IF(AND('Mapa final'!#REF!="Baja",'Mapa final'!#REF!="Leve"),CONCATENATE("R5C",'Mapa final'!#REF!),"")</f>
        <v>#REF!</v>
      </c>
      <c r="L40" s="63" t="e">
        <f>IF(AND('Mapa final'!#REF!="Baja",'Mapa final'!#REF!="Leve"),CONCATENATE("R5C",'Mapa final'!#REF!),"")</f>
        <v>#REF!</v>
      </c>
      <c r="M40" s="63" t="e">
        <f>IF(AND('Mapa final'!#REF!="Baja",'Mapa final'!#REF!="Leve"),CONCATENATE("R5C",'Mapa final'!#REF!),"")</f>
        <v>#REF!</v>
      </c>
      <c r="N40" s="63" t="e">
        <f>IF(AND('Mapa final'!#REF!="Baja",'Mapa final'!#REF!="Leve"),CONCATENATE("R5C",'Mapa final'!#REF!),"")</f>
        <v>#REF!</v>
      </c>
      <c r="O40" s="64" t="e">
        <f>IF(AND('Mapa final'!#REF!="Baja",'Mapa final'!#REF!="Leve"),CONCATENATE("R5C",'Mapa final'!#REF!),"")</f>
        <v>#REF!</v>
      </c>
      <c r="P40" s="53" t="e">
        <f>IF(AND('Mapa final'!#REF!="Baja",'Mapa final'!#REF!="Menor"),CONCATENATE("R5C",'Mapa final'!#REF!),"")</f>
        <v>#REF!</v>
      </c>
      <c r="Q40" s="54" t="e">
        <f>IF(AND('Mapa final'!#REF!="Baja",'Mapa final'!#REF!="Menor"),CONCATENATE("R5C",'Mapa final'!#REF!),"")</f>
        <v>#REF!</v>
      </c>
      <c r="R40" s="54" t="e">
        <f>IF(AND('Mapa final'!#REF!="Baja",'Mapa final'!#REF!="Menor"),CONCATENATE("R5C",'Mapa final'!#REF!),"")</f>
        <v>#REF!</v>
      </c>
      <c r="S40" s="54" t="e">
        <f>IF(AND('Mapa final'!#REF!="Baja",'Mapa final'!#REF!="Menor"),CONCATENATE("R5C",'Mapa final'!#REF!),"")</f>
        <v>#REF!</v>
      </c>
      <c r="T40" s="54" t="e">
        <f>IF(AND('Mapa final'!#REF!="Baja",'Mapa final'!#REF!="Menor"),CONCATENATE("R5C",'Mapa final'!#REF!),"")</f>
        <v>#REF!</v>
      </c>
      <c r="U40" s="55" t="e">
        <f>IF(AND('Mapa final'!#REF!="Baja",'Mapa final'!#REF!="Menor"),CONCATENATE("R5C",'Mapa final'!#REF!),"")</f>
        <v>#REF!</v>
      </c>
      <c r="V40" s="53" t="e">
        <f>IF(AND('Mapa final'!#REF!="Baja",'Mapa final'!#REF!="Moderado"),CONCATENATE("R5C",'Mapa final'!#REF!),"")</f>
        <v>#REF!</v>
      </c>
      <c r="W40" s="54" t="e">
        <f>IF(AND('Mapa final'!#REF!="Baja",'Mapa final'!#REF!="Moderado"),CONCATENATE("R5C",'Mapa final'!#REF!),"")</f>
        <v>#REF!</v>
      </c>
      <c r="X40" s="54" t="e">
        <f>IF(AND('Mapa final'!#REF!="Baja",'Mapa final'!#REF!="Moderado"),CONCATENATE("R5C",'Mapa final'!#REF!),"")</f>
        <v>#REF!</v>
      </c>
      <c r="Y40" s="54" t="e">
        <f>IF(AND('Mapa final'!#REF!="Baja",'Mapa final'!#REF!="Moderado"),CONCATENATE("R5C",'Mapa final'!#REF!),"")</f>
        <v>#REF!</v>
      </c>
      <c r="Z40" s="54" t="e">
        <f>IF(AND('Mapa final'!#REF!="Baja",'Mapa final'!#REF!="Moderado"),CONCATENATE("R5C",'Mapa final'!#REF!),"")</f>
        <v>#REF!</v>
      </c>
      <c r="AA40" s="55" t="e">
        <f>IF(AND('Mapa final'!#REF!="Baja",'Mapa final'!#REF!="Moderado"),CONCATENATE("R5C",'Mapa final'!#REF!),"")</f>
        <v>#REF!</v>
      </c>
      <c r="AB40" s="38" t="e">
        <f>IF(AND('Mapa final'!#REF!="Baja",'Mapa final'!#REF!="Mayor"),CONCATENATE("R5C",'Mapa final'!#REF!),"")</f>
        <v>#REF!</v>
      </c>
      <c r="AC40" s="39" t="e">
        <f>IF(AND('Mapa final'!#REF!="Baja",'Mapa final'!#REF!="Mayor"),CONCATENATE("R5C",'Mapa final'!#REF!),"")</f>
        <v>#REF!</v>
      </c>
      <c r="AD40" s="39" t="e">
        <f>IF(AND('Mapa final'!#REF!="Baja",'Mapa final'!#REF!="Mayor"),CONCATENATE("R5C",'Mapa final'!#REF!),"")</f>
        <v>#REF!</v>
      </c>
      <c r="AE40" s="39" t="e">
        <f>IF(AND('Mapa final'!#REF!="Baja",'Mapa final'!#REF!="Mayor"),CONCATENATE("R5C",'Mapa final'!#REF!),"")</f>
        <v>#REF!</v>
      </c>
      <c r="AF40" s="39" t="e">
        <f>IF(AND('Mapa final'!#REF!="Baja",'Mapa final'!#REF!="Mayor"),CONCATENATE("R5C",'Mapa final'!#REF!),"")</f>
        <v>#REF!</v>
      </c>
      <c r="AG40" s="40" t="e">
        <f>IF(AND('Mapa final'!#REF!="Baja",'Mapa final'!#REF!="Mayor"),CONCATENATE("R5C",'Mapa final'!#REF!),"")</f>
        <v>#REF!</v>
      </c>
      <c r="AH40" s="41" t="e">
        <f>IF(AND('Mapa final'!#REF!="Baja",'Mapa final'!#REF!="Catastrófico"),CONCATENATE("R5C",'Mapa final'!#REF!),"")</f>
        <v>#REF!</v>
      </c>
      <c r="AI40" s="42" t="e">
        <f>IF(AND('Mapa final'!#REF!="Baja",'Mapa final'!#REF!="Catastrófico"),CONCATENATE("R5C",'Mapa final'!#REF!),"")</f>
        <v>#REF!</v>
      </c>
      <c r="AJ40" s="42" t="e">
        <f>IF(AND('Mapa final'!#REF!="Baja",'Mapa final'!#REF!="Catastrófico"),CONCATENATE("R5C",'Mapa final'!#REF!),"")</f>
        <v>#REF!</v>
      </c>
      <c r="AK40" s="42" t="e">
        <f>IF(AND('Mapa final'!#REF!="Baja",'Mapa final'!#REF!="Catastrófico"),CONCATENATE("R5C",'Mapa final'!#REF!),"")</f>
        <v>#REF!</v>
      </c>
      <c r="AL40" s="42" t="e">
        <f>IF(AND('Mapa final'!#REF!="Baja",'Mapa final'!#REF!="Catastrófico"),CONCATENATE("R5C",'Mapa final'!#REF!),"")</f>
        <v>#REF!</v>
      </c>
      <c r="AM40" s="43" t="e">
        <f>IF(AND('Mapa final'!#REF!="Baja",'Mapa final'!#REF!="Catastrófico"),CONCATENATE("R5C",'Mapa final'!#REF!),"")</f>
        <v>#REF!</v>
      </c>
      <c r="AN40" s="69"/>
      <c r="AO40" s="378"/>
      <c r="AP40" s="379"/>
      <c r="AQ40" s="379"/>
      <c r="AR40" s="379"/>
      <c r="AS40" s="379"/>
      <c r="AT40" s="380"/>
      <c r="AU40" s="69"/>
      <c r="AV40" s="69"/>
      <c r="AW40" s="69"/>
      <c r="AX40" s="69"/>
      <c r="AY40" s="69"/>
      <c r="AZ40" s="69"/>
      <c r="BA40" s="69"/>
      <c r="BB40" s="69"/>
      <c r="BC40" s="69"/>
      <c r="BD40" s="69"/>
      <c r="BE40" s="69"/>
      <c r="BF40" s="69"/>
      <c r="BG40" s="69"/>
      <c r="BH40" s="69"/>
      <c r="BI40" s="69"/>
      <c r="BJ40" s="69"/>
      <c r="BK40" s="69"/>
      <c r="BL40" s="69"/>
      <c r="BM40" s="69"/>
      <c r="BN40" s="69"/>
      <c r="BO40" s="69"/>
      <c r="BP40" s="69"/>
      <c r="BQ40" s="69"/>
      <c r="BR40" s="69"/>
      <c r="BS40" s="69"/>
      <c r="BT40" s="69"/>
      <c r="BU40" s="69"/>
      <c r="BV40" s="69"/>
      <c r="BW40" s="69"/>
      <c r="BX40" s="69"/>
    </row>
    <row r="41" spans="1:80" ht="15" customHeight="1" x14ac:dyDescent="0.25">
      <c r="A41" s="69"/>
      <c r="B41" s="259"/>
      <c r="C41" s="259"/>
      <c r="D41" s="260"/>
      <c r="E41" s="358"/>
      <c r="F41" s="357"/>
      <c r="G41" s="357"/>
      <c r="H41" s="357"/>
      <c r="I41" s="357"/>
      <c r="J41" s="62" t="e">
        <f>IF(AND('Mapa final'!#REF!="Baja",'Mapa final'!#REF!="Leve"),CONCATENATE("R6C",'Mapa final'!#REF!),"")</f>
        <v>#REF!</v>
      </c>
      <c r="K41" s="63" t="e">
        <f>IF(AND('Mapa final'!#REF!="Baja",'Mapa final'!#REF!="Leve"),CONCATENATE("R6C",'Mapa final'!#REF!),"")</f>
        <v>#REF!</v>
      </c>
      <c r="L41" s="63" t="e">
        <f>IF(AND('Mapa final'!#REF!="Baja",'Mapa final'!#REF!="Leve"),CONCATENATE("R6C",'Mapa final'!#REF!),"")</f>
        <v>#REF!</v>
      </c>
      <c r="M41" s="63" t="e">
        <f>IF(AND('Mapa final'!#REF!="Baja",'Mapa final'!#REF!="Leve"),CONCATENATE("R6C",'Mapa final'!#REF!),"")</f>
        <v>#REF!</v>
      </c>
      <c r="N41" s="63" t="e">
        <f>IF(AND('Mapa final'!#REF!="Baja",'Mapa final'!#REF!="Leve"),CONCATENATE("R6C",'Mapa final'!#REF!),"")</f>
        <v>#REF!</v>
      </c>
      <c r="O41" s="64" t="e">
        <f>IF(AND('Mapa final'!#REF!="Baja",'Mapa final'!#REF!="Leve"),CONCATENATE("R6C",'Mapa final'!#REF!),"")</f>
        <v>#REF!</v>
      </c>
      <c r="P41" s="53" t="e">
        <f>IF(AND('Mapa final'!#REF!="Baja",'Mapa final'!#REF!="Menor"),CONCATENATE("R6C",'Mapa final'!#REF!),"")</f>
        <v>#REF!</v>
      </c>
      <c r="Q41" s="54" t="e">
        <f>IF(AND('Mapa final'!#REF!="Baja",'Mapa final'!#REF!="Menor"),CONCATENATE("R6C",'Mapa final'!#REF!),"")</f>
        <v>#REF!</v>
      </c>
      <c r="R41" s="54" t="e">
        <f>IF(AND('Mapa final'!#REF!="Baja",'Mapa final'!#REF!="Menor"),CONCATENATE("R6C",'Mapa final'!#REF!),"")</f>
        <v>#REF!</v>
      </c>
      <c r="S41" s="54" t="e">
        <f>IF(AND('Mapa final'!#REF!="Baja",'Mapa final'!#REF!="Menor"),CONCATENATE("R6C",'Mapa final'!#REF!),"")</f>
        <v>#REF!</v>
      </c>
      <c r="T41" s="54" t="e">
        <f>IF(AND('Mapa final'!#REF!="Baja",'Mapa final'!#REF!="Menor"),CONCATENATE("R6C",'Mapa final'!#REF!),"")</f>
        <v>#REF!</v>
      </c>
      <c r="U41" s="55" t="e">
        <f>IF(AND('Mapa final'!#REF!="Baja",'Mapa final'!#REF!="Menor"),CONCATENATE("R6C",'Mapa final'!#REF!),"")</f>
        <v>#REF!</v>
      </c>
      <c r="V41" s="53" t="e">
        <f>IF(AND('Mapa final'!#REF!="Baja",'Mapa final'!#REF!="Moderado"),CONCATENATE("R6C",'Mapa final'!#REF!),"")</f>
        <v>#REF!</v>
      </c>
      <c r="W41" s="54" t="e">
        <f>IF(AND('Mapa final'!#REF!="Baja",'Mapa final'!#REF!="Moderado"),CONCATENATE("R6C",'Mapa final'!#REF!),"")</f>
        <v>#REF!</v>
      </c>
      <c r="X41" s="54" t="e">
        <f>IF(AND('Mapa final'!#REF!="Baja",'Mapa final'!#REF!="Moderado"),CONCATENATE("R6C",'Mapa final'!#REF!),"")</f>
        <v>#REF!</v>
      </c>
      <c r="Y41" s="54" t="e">
        <f>IF(AND('Mapa final'!#REF!="Baja",'Mapa final'!#REF!="Moderado"),CONCATENATE("R6C",'Mapa final'!#REF!),"")</f>
        <v>#REF!</v>
      </c>
      <c r="Z41" s="54" t="e">
        <f>IF(AND('Mapa final'!#REF!="Baja",'Mapa final'!#REF!="Moderado"),CONCATENATE("R6C",'Mapa final'!#REF!),"")</f>
        <v>#REF!</v>
      </c>
      <c r="AA41" s="55" t="e">
        <f>IF(AND('Mapa final'!#REF!="Baja",'Mapa final'!#REF!="Moderado"),CONCATENATE("R6C",'Mapa final'!#REF!),"")</f>
        <v>#REF!</v>
      </c>
      <c r="AB41" s="38" t="e">
        <f>IF(AND('Mapa final'!#REF!="Baja",'Mapa final'!#REF!="Mayor"),CONCATENATE("R6C",'Mapa final'!#REF!),"")</f>
        <v>#REF!</v>
      </c>
      <c r="AC41" s="39" t="e">
        <f>IF(AND('Mapa final'!#REF!="Baja",'Mapa final'!#REF!="Mayor"),CONCATENATE("R6C",'Mapa final'!#REF!),"")</f>
        <v>#REF!</v>
      </c>
      <c r="AD41" s="39" t="e">
        <f>IF(AND('Mapa final'!#REF!="Baja",'Mapa final'!#REF!="Mayor"),CONCATENATE("R6C",'Mapa final'!#REF!),"")</f>
        <v>#REF!</v>
      </c>
      <c r="AE41" s="39" t="e">
        <f>IF(AND('Mapa final'!#REF!="Baja",'Mapa final'!#REF!="Mayor"),CONCATENATE("R6C",'Mapa final'!#REF!),"")</f>
        <v>#REF!</v>
      </c>
      <c r="AF41" s="39" t="e">
        <f>IF(AND('Mapa final'!#REF!="Baja",'Mapa final'!#REF!="Mayor"),CONCATENATE("R6C",'Mapa final'!#REF!),"")</f>
        <v>#REF!</v>
      </c>
      <c r="AG41" s="40" t="e">
        <f>IF(AND('Mapa final'!#REF!="Baja",'Mapa final'!#REF!="Mayor"),CONCATENATE("R6C",'Mapa final'!#REF!),"")</f>
        <v>#REF!</v>
      </c>
      <c r="AH41" s="41" t="e">
        <f>IF(AND('Mapa final'!#REF!="Baja",'Mapa final'!#REF!="Catastrófico"),CONCATENATE("R6C",'Mapa final'!#REF!),"")</f>
        <v>#REF!</v>
      </c>
      <c r="AI41" s="42" t="e">
        <f>IF(AND('Mapa final'!#REF!="Baja",'Mapa final'!#REF!="Catastrófico"),CONCATENATE("R6C",'Mapa final'!#REF!),"")</f>
        <v>#REF!</v>
      </c>
      <c r="AJ41" s="42" t="e">
        <f>IF(AND('Mapa final'!#REF!="Baja",'Mapa final'!#REF!="Catastrófico"),CONCATENATE("R6C",'Mapa final'!#REF!),"")</f>
        <v>#REF!</v>
      </c>
      <c r="AK41" s="42" t="e">
        <f>IF(AND('Mapa final'!#REF!="Baja",'Mapa final'!#REF!="Catastrófico"),CONCATENATE("R6C",'Mapa final'!#REF!),"")</f>
        <v>#REF!</v>
      </c>
      <c r="AL41" s="42" t="e">
        <f>IF(AND('Mapa final'!#REF!="Baja",'Mapa final'!#REF!="Catastrófico"),CONCATENATE("R6C",'Mapa final'!#REF!),"")</f>
        <v>#REF!</v>
      </c>
      <c r="AM41" s="43" t="e">
        <f>IF(AND('Mapa final'!#REF!="Baja",'Mapa final'!#REF!="Catastrófico"),CONCATENATE("R6C",'Mapa final'!#REF!),"")</f>
        <v>#REF!</v>
      </c>
      <c r="AN41" s="69"/>
      <c r="AO41" s="378"/>
      <c r="AP41" s="379"/>
      <c r="AQ41" s="379"/>
      <c r="AR41" s="379"/>
      <c r="AS41" s="379"/>
      <c r="AT41" s="380"/>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row>
    <row r="42" spans="1:80" ht="15" customHeight="1" x14ac:dyDescent="0.25">
      <c r="A42" s="69"/>
      <c r="B42" s="259"/>
      <c r="C42" s="259"/>
      <c r="D42" s="260"/>
      <c r="E42" s="358"/>
      <c r="F42" s="357"/>
      <c r="G42" s="357"/>
      <c r="H42" s="357"/>
      <c r="I42" s="357"/>
      <c r="J42" s="62" t="e">
        <f>IF(AND('Mapa final'!#REF!="Baja",'Mapa final'!#REF!="Leve"),CONCATENATE("R7C",'Mapa final'!#REF!),"")</f>
        <v>#REF!</v>
      </c>
      <c r="K42" s="63" t="e">
        <f>IF(AND('Mapa final'!#REF!="Baja",'Mapa final'!#REF!="Leve"),CONCATENATE("R7C",'Mapa final'!#REF!),"")</f>
        <v>#REF!</v>
      </c>
      <c r="L42" s="63" t="e">
        <f>IF(AND('Mapa final'!#REF!="Baja",'Mapa final'!#REF!="Leve"),CONCATENATE("R7C",'Mapa final'!#REF!),"")</f>
        <v>#REF!</v>
      </c>
      <c r="M42" s="63" t="e">
        <f>IF(AND('Mapa final'!#REF!="Baja",'Mapa final'!#REF!="Leve"),CONCATENATE("R7C",'Mapa final'!#REF!),"")</f>
        <v>#REF!</v>
      </c>
      <c r="N42" s="63" t="e">
        <f>IF(AND('Mapa final'!#REF!="Baja",'Mapa final'!#REF!="Leve"),CONCATENATE("R7C",'Mapa final'!#REF!),"")</f>
        <v>#REF!</v>
      </c>
      <c r="O42" s="64" t="e">
        <f>IF(AND('Mapa final'!#REF!="Baja",'Mapa final'!#REF!="Leve"),CONCATENATE("R7C",'Mapa final'!#REF!),"")</f>
        <v>#REF!</v>
      </c>
      <c r="P42" s="53" t="e">
        <f>IF(AND('Mapa final'!#REF!="Baja",'Mapa final'!#REF!="Menor"),CONCATENATE("R7C",'Mapa final'!#REF!),"")</f>
        <v>#REF!</v>
      </c>
      <c r="Q42" s="54" t="e">
        <f>IF(AND('Mapa final'!#REF!="Baja",'Mapa final'!#REF!="Menor"),CONCATENATE("R7C",'Mapa final'!#REF!),"")</f>
        <v>#REF!</v>
      </c>
      <c r="R42" s="54" t="e">
        <f>IF(AND('Mapa final'!#REF!="Baja",'Mapa final'!#REF!="Menor"),CONCATENATE("R7C",'Mapa final'!#REF!),"")</f>
        <v>#REF!</v>
      </c>
      <c r="S42" s="54" t="e">
        <f>IF(AND('Mapa final'!#REF!="Baja",'Mapa final'!#REF!="Menor"),CONCATENATE("R7C",'Mapa final'!#REF!),"")</f>
        <v>#REF!</v>
      </c>
      <c r="T42" s="54" t="e">
        <f>IF(AND('Mapa final'!#REF!="Baja",'Mapa final'!#REF!="Menor"),CONCATENATE("R7C",'Mapa final'!#REF!),"")</f>
        <v>#REF!</v>
      </c>
      <c r="U42" s="55" t="e">
        <f>IF(AND('Mapa final'!#REF!="Baja",'Mapa final'!#REF!="Menor"),CONCATENATE("R7C",'Mapa final'!#REF!),"")</f>
        <v>#REF!</v>
      </c>
      <c r="V42" s="53" t="e">
        <f>IF(AND('Mapa final'!#REF!="Baja",'Mapa final'!#REF!="Moderado"),CONCATENATE("R7C",'Mapa final'!#REF!),"")</f>
        <v>#REF!</v>
      </c>
      <c r="W42" s="54" t="e">
        <f>IF(AND('Mapa final'!#REF!="Baja",'Mapa final'!#REF!="Moderado"),CONCATENATE("R7C",'Mapa final'!#REF!),"")</f>
        <v>#REF!</v>
      </c>
      <c r="X42" s="54" t="e">
        <f>IF(AND('Mapa final'!#REF!="Baja",'Mapa final'!#REF!="Moderado"),CONCATENATE("R7C",'Mapa final'!#REF!),"")</f>
        <v>#REF!</v>
      </c>
      <c r="Y42" s="54" t="e">
        <f>IF(AND('Mapa final'!#REF!="Baja",'Mapa final'!#REF!="Moderado"),CONCATENATE("R7C",'Mapa final'!#REF!),"")</f>
        <v>#REF!</v>
      </c>
      <c r="Z42" s="54" t="e">
        <f>IF(AND('Mapa final'!#REF!="Baja",'Mapa final'!#REF!="Moderado"),CONCATENATE("R7C",'Mapa final'!#REF!),"")</f>
        <v>#REF!</v>
      </c>
      <c r="AA42" s="55" t="e">
        <f>IF(AND('Mapa final'!#REF!="Baja",'Mapa final'!#REF!="Moderado"),CONCATENATE("R7C",'Mapa final'!#REF!),"")</f>
        <v>#REF!</v>
      </c>
      <c r="AB42" s="38" t="e">
        <f>IF(AND('Mapa final'!#REF!="Baja",'Mapa final'!#REF!="Mayor"),CONCATENATE("R7C",'Mapa final'!#REF!),"")</f>
        <v>#REF!</v>
      </c>
      <c r="AC42" s="39" t="e">
        <f>IF(AND('Mapa final'!#REF!="Baja",'Mapa final'!#REF!="Mayor"),CONCATENATE("R7C",'Mapa final'!#REF!),"")</f>
        <v>#REF!</v>
      </c>
      <c r="AD42" s="39" t="e">
        <f>IF(AND('Mapa final'!#REF!="Baja",'Mapa final'!#REF!="Mayor"),CONCATENATE("R7C",'Mapa final'!#REF!),"")</f>
        <v>#REF!</v>
      </c>
      <c r="AE42" s="39" t="e">
        <f>IF(AND('Mapa final'!#REF!="Baja",'Mapa final'!#REF!="Mayor"),CONCATENATE("R7C",'Mapa final'!#REF!),"")</f>
        <v>#REF!</v>
      </c>
      <c r="AF42" s="39" t="e">
        <f>IF(AND('Mapa final'!#REF!="Baja",'Mapa final'!#REF!="Mayor"),CONCATENATE("R7C",'Mapa final'!#REF!),"")</f>
        <v>#REF!</v>
      </c>
      <c r="AG42" s="40" t="e">
        <f>IF(AND('Mapa final'!#REF!="Baja",'Mapa final'!#REF!="Mayor"),CONCATENATE("R7C",'Mapa final'!#REF!),"")</f>
        <v>#REF!</v>
      </c>
      <c r="AH42" s="41" t="e">
        <f>IF(AND('Mapa final'!#REF!="Baja",'Mapa final'!#REF!="Catastrófico"),CONCATENATE("R7C",'Mapa final'!#REF!),"")</f>
        <v>#REF!</v>
      </c>
      <c r="AI42" s="42" t="e">
        <f>IF(AND('Mapa final'!#REF!="Baja",'Mapa final'!#REF!="Catastrófico"),CONCATENATE("R7C",'Mapa final'!#REF!),"")</f>
        <v>#REF!</v>
      </c>
      <c r="AJ42" s="42" t="e">
        <f>IF(AND('Mapa final'!#REF!="Baja",'Mapa final'!#REF!="Catastrófico"),CONCATENATE("R7C",'Mapa final'!#REF!),"")</f>
        <v>#REF!</v>
      </c>
      <c r="AK42" s="42" t="e">
        <f>IF(AND('Mapa final'!#REF!="Baja",'Mapa final'!#REF!="Catastrófico"),CONCATENATE("R7C",'Mapa final'!#REF!),"")</f>
        <v>#REF!</v>
      </c>
      <c r="AL42" s="42" t="e">
        <f>IF(AND('Mapa final'!#REF!="Baja",'Mapa final'!#REF!="Catastrófico"),CONCATENATE("R7C",'Mapa final'!#REF!),"")</f>
        <v>#REF!</v>
      </c>
      <c r="AM42" s="43" t="e">
        <f>IF(AND('Mapa final'!#REF!="Baja",'Mapa final'!#REF!="Catastrófico"),CONCATENATE("R7C",'Mapa final'!#REF!),"")</f>
        <v>#REF!</v>
      </c>
      <c r="AN42" s="69"/>
      <c r="AO42" s="378"/>
      <c r="AP42" s="379"/>
      <c r="AQ42" s="379"/>
      <c r="AR42" s="379"/>
      <c r="AS42" s="379"/>
      <c r="AT42" s="380"/>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c r="BU42" s="69"/>
      <c r="BV42" s="69"/>
      <c r="BW42" s="69"/>
      <c r="BX42" s="69"/>
    </row>
    <row r="43" spans="1:80" ht="15" customHeight="1" x14ac:dyDescent="0.25">
      <c r="A43" s="69"/>
      <c r="B43" s="259"/>
      <c r="C43" s="259"/>
      <c r="D43" s="260"/>
      <c r="E43" s="358"/>
      <c r="F43" s="357"/>
      <c r="G43" s="357"/>
      <c r="H43" s="357"/>
      <c r="I43" s="357"/>
      <c r="J43" s="62" t="e">
        <f>IF(AND('Mapa final'!#REF!="Baja",'Mapa final'!#REF!="Leve"),CONCATENATE("R8C",'Mapa final'!#REF!),"")</f>
        <v>#REF!</v>
      </c>
      <c r="K43" s="63" t="e">
        <f>IF(AND('Mapa final'!#REF!="Baja",'Mapa final'!#REF!="Leve"),CONCATENATE("R8C",'Mapa final'!#REF!),"")</f>
        <v>#REF!</v>
      </c>
      <c r="L43" s="63" t="e">
        <f>IF(AND('Mapa final'!#REF!="Baja",'Mapa final'!#REF!="Leve"),CONCATENATE("R8C",'Mapa final'!#REF!),"")</f>
        <v>#REF!</v>
      </c>
      <c r="M43" s="63" t="e">
        <f>IF(AND('Mapa final'!#REF!="Baja",'Mapa final'!#REF!="Leve"),CONCATENATE("R8C",'Mapa final'!#REF!),"")</f>
        <v>#REF!</v>
      </c>
      <c r="N43" s="63" t="e">
        <f>IF(AND('Mapa final'!#REF!="Baja",'Mapa final'!#REF!="Leve"),CONCATENATE("R8C",'Mapa final'!#REF!),"")</f>
        <v>#REF!</v>
      </c>
      <c r="O43" s="64" t="e">
        <f>IF(AND('Mapa final'!#REF!="Baja",'Mapa final'!#REF!="Leve"),CONCATENATE("R8C",'Mapa final'!#REF!),"")</f>
        <v>#REF!</v>
      </c>
      <c r="P43" s="53" t="e">
        <f>IF(AND('Mapa final'!#REF!="Baja",'Mapa final'!#REF!="Menor"),CONCATENATE("R8C",'Mapa final'!#REF!),"")</f>
        <v>#REF!</v>
      </c>
      <c r="Q43" s="54" t="e">
        <f>IF(AND('Mapa final'!#REF!="Baja",'Mapa final'!#REF!="Menor"),CONCATENATE("R8C",'Mapa final'!#REF!),"")</f>
        <v>#REF!</v>
      </c>
      <c r="R43" s="54" t="e">
        <f>IF(AND('Mapa final'!#REF!="Baja",'Mapa final'!#REF!="Menor"),CONCATENATE("R8C",'Mapa final'!#REF!),"")</f>
        <v>#REF!</v>
      </c>
      <c r="S43" s="54" t="e">
        <f>IF(AND('Mapa final'!#REF!="Baja",'Mapa final'!#REF!="Menor"),CONCATENATE("R8C",'Mapa final'!#REF!),"")</f>
        <v>#REF!</v>
      </c>
      <c r="T43" s="54" t="e">
        <f>IF(AND('Mapa final'!#REF!="Baja",'Mapa final'!#REF!="Menor"),CONCATENATE("R8C",'Mapa final'!#REF!),"")</f>
        <v>#REF!</v>
      </c>
      <c r="U43" s="55" t="e">
        <f>IF(AND('Mapa final'!#REF!="Baja",'Mapa final'!#REF!="Menor"),CONCATENATE("R8C",'Mapa final'!#REF!),"")</f>
        <v>#REF!</v>
      </c>
      <c r="V43" s="53" t="e">
        <f>IF(AND('Mapa final'!#REF!="Baja",'Mapa final'!#REF!="Moderado"),CONCATENATE("R8C",'Mapa final'!#REF!),"")</f>
        <v>#REF!</v>
      </c>
      <c r="W43" s="54" t="e">
        <f>IF(AND('Mapa final'!#REF!="Baja",'Mapa final'!#REF!="Moderado"),CONCATENATE("R8C",'Mapa final'!#REF!),"")</f>
        <v>#REF!</v>
      </c>
      <c r="X43" s="54" t="e">
        <f>IF(AND('Mapa final'!#REF!="Baja",'Mapa final'!#REF!="Moderado"),CONCATENATE("R8C",'Mapa final'!#REF!),"")</f>
        <v>#REF!</v>
      </c>
      <c r="Y43" s="54" t="e">
        <f>IF(AND('Mapa final'!#REF!="Baja",'Mapa final'!#REF!="Moderado"),CONCATENATE("R8C",'Mapa final'!#REF!),"")</f>
        <v>#REF!</v>
      </c>
      <c r="Z43" s="54" t="e">
        <f>IF(AND('Mapa final'!#REF!="Baja",'Mapa final'!#REF!="Moderado"),CONCATENATE("R8C",'Mapa final'!#REF!),"")</f>
        <v>#REF!</v>
      </c>
      <c r="AA43" s="55" t="e">
        <f>IF(AND('Mapa final'!#REF!="Baja",'Mapa final'!#REF!="Moderado"),CONCATENATE("R8C",'Mapa final'!#REF!),"")</f>
        <v>#REF!</v>
      </c>
      <c r="AB43" s="38" t="e">
        <f>IF(AND('Mapa final'!#REF!="Baja",'Mapa final'!#REF!="Mayor"),CONCATENATE("R8C",'Mapa final'!#REF!),"")</f>
        <v>#REF!</v>
      </c>
      <c r="AC43" s="39" t="e">
        <f>IF(AND('Mapa final'!#REF!="Baja",'Mapa final'!#REF!="Mayor"),CONCATENATE("R8C",'Mapa final'!#REF!),"")</f>
        <v>#REF!</v>
      </c>
      <c r="AD43" s="39" t="e">
        <f>IF(AND('Mapa final'!#REF!="Baja",'Mapa final'!#REF!="Mayor"),CONCATENATE("R8C",'Mapa final'!#REF!),"")</f>
        <v>#REF!</v>
      </c>
      <c r="AE43" s="39" t="e">
        <f>IF(AND('Mapa final'!#REF!="Baja",'Mapa final'!#REF!="Mayor"),CONCATENATE("R8C",'Mapa final'!#REF!),"")</f>
        <v>#REF!</v>
      </c>
      <c r="AF43" s="39" t="e">
        <f>IF(AND('Mapa final'!#REF!="Baja",'Mapa final'!#REF!="Mayor"),CONCATENATE("R8C",'Mapa final'!#REF!),"")</f>
        <v>#REF!</v>
      </c>
      <c r="AG43" s="40" t="e">
        <f>IF(AND('Mapa final'!#REF!="Baja",'Mapa final'!#REF!="Mayor"),CONCATENATE("R8C",'Mapa final'!#REF!),"")</f>
        <v>#REF!</v>
      </c>
      <c r="AH43" s="41" t="e">
        <f>IF(AND('Mapa final'!#REF!="Baja",'Mapa final'!#REF!="Catastrófico"),CONCATENATE("R8C",'Mapa final'!#REF!),"")</f>
        <v>#REF!</v>
      </c>
      <c r="AI43" s="42" t="e">
        <f>IF(AND('Mapa final'!#REF!="Baja",'Mapa final'!#REF!="Catastrófico"),CONCATENATE("R8C",'Mapa final'!#REF!),"")</f>
        <v>#REF!</v>
      </c>
      <c r="AJ43" s="42" t="e">
        <f>IF(AND('Mapa final'!#REF!="Baja",'Mapa final'!#REF!="Catastrófico"),CONCATENATE("R8C",'Mapa final'!#REF!),"")</f>
        <v>#REF!</v>
      </c>
      <c r="AK43" s="42" t="e">
        <f>IF(AND('Mapa final'!#REF!="Baja",'Mapa final'!#REF!="Catastrófico"),CONCATENATE("R8C",'Mapa final'!#REF!),"")</f>
        <v>#REF!</v>
      </c>
      <c r="AL43" s="42" t="e">
        <f>IF(AND('Mapa final'!#REF!="Baja",'Mapa final'!#REF!="Catastrófico"),CONCATENATE("R8C",'Mapa final'!#REF!),"")</f>
        <v>#REF!</v>
      </c>
      <c r="AM43" s="43" t="e">
        <f>IF(AND('Mapa final'!#REF!="Baja",'Mapa final'!#REF!="Catastrófico"),CONCATENATE("R8C",'Mapa final'!#REF!),"")</f>
        <v>#REF!</v>
      </c>
      <c r="AN43" s="69"/>
      <c r="AO43" s="378"/>
      <c r="AP43" s="379"/>
      <c r="AQ43" s="379"/>
      <c r="AR43" s="379"/>
      <c r="AS43" s="379"/>
      <c r="AT43" s="380"/>
      <c r="AU43" s="69"/>
      <c r="AV43" s="69"/>
      <c r="AW43" s="69"/>
      <c r="AX43" s="69"/>
      <c r="AY43" s="69"/>
      <c r="AZ43" s="69"/>
      <c r="BA43" s="69"/>
      <c r="BB43" s="69"/>
      <c r="BC43" s="69"/>
      <c r="BD43" s="69"/>
      <c r="BE43" s="69"/>
      <c r="BF43" s="69"/>
      <c r="BG43" s="69"/>
      <c r="BH43" s="69"/>
      <c r="BI43" s="69"/>
      <c r="BJ43" s="69"/>
      <c r="BK43" s="69"/>
      <c r="BL43" s="69"/>
      <c r="BM43" s="69"/>
      <c r="BN43" s="69"/>
      <c r="BO43" s="69"/>
      <c r="BP43" s="69"/>
      <c r="BQ43" s="69"/>
      <c r="BR43" s="69"/>
      <c r="BS43" s="69"/>
      <c r="BT43" s="69"/>
      <c r="BU43" s="69"/>
      <c r="BV43" s="69"/>
      <c r="BW43" s="69"/>
      <c r="BX43" s="69"/>
    </row>
    <row r="44" spans="1:80" ht="15" customHeight="1" x14ac:dyDescent="0.25">
      <c r="A44" s="69"/>
      <c r="B44" s="259"/>
      <c r="C44" s="259"/>
      <c r="D44" s="260"/>
      <c r="E44" s="358"/>
      <c r="F44" s="357"/>
      <c r="G44" s="357"/>
      <c r="H44" s="357"/>
      <c r="I44" s="357"/>
      <c r="J44" s="62" t="e">
        <f>IF(AND('Mapa final'!#REF!="Baja",'Mapa final'!#REF!="Leve"),CONCATENATE("R9C",'Mapa final'!#REF!),"")</f>
        <v>#REF!</v>
      </c>
      <c r="K44" s="63" t="e">
        <f>IF(AND('Mapa final'!#REF!="Baja",'Mapa final'!#REF!="Leve"),CONCATENATE("R9C",'Mapa final'!#REF!),"")</f>
        <v>#REF!</v>
      </c>
      <c r="L44" s="63" t="e">
        <f>IF(AND('Mapa final'!#REF!="Baja",'Mapa final'!#REF!="Leve"),CONCATENATE("R9C",'Mapa final'!#REF!),"")</f>
        <v>#REF!</v>
      </c>
      <c r="M44" s="63" t="e">
        <f>IF(AND('Mapa final'!#REF!="Baja",'Mapa final'!#REF!="Leve"),CONCATENATE("R9C",'Mapa final'!#REF!),"")</f>
        <v>#REF!</v>
      </c>
      <c r="N44" s="63" t="e">
        <f>IF(AND('Mapa final'!#REF!="Baja",'Mapa final'!#REF!="Leve"),CONCATENATE("R9C",'Mapa final'!#REF!),"")</f>
        <v>#REF!</v>
      </c>
      <c r="O44" s="64" t="e">
        <f>IF(AND('Mapa final'!#REF!="Baja",'Mapa final'!#REF!="Leve"),CONCATENATE("R9C",'Mapa final'!#REF!),"")</f>
        <v>#REF!</v>
      </c>
      <c r="P44" s="53" t="e">
        <f>IF(AND('Mapa final'!#REF!="Baja",'Mapa final'!#REF!="Menor"),CONCATENATE("R9C",'Mapa final'!#REF!),"")</f>
        <v>#REF!</v>
      </c>
      <c r="Q44" s="54" t="e">
        <f>IF(AND('Mapa final'!#REF!="Baja",'Mapa final'!#REF!="Menor"),CONCATENATE("R9C",'Mapa final'!#REF!),"")</f>
        <v>#REF!</v>
      </c>
      <c r="R44" s="54" t="e">
        <f>IF(AND('Mapa final'!#REF!="Baja",'Mapa final'!#REF!="Menor"),CONCATENATE("R9C",'Mapa final'!#REF!),"")</f>
        <v>#REF!</v>
      </c>
      <c r="S44" s="54" t="e">
        <f>IF(AND('Mapa final'!#REF!="Baja",'Mapa final'!#REF!="Menor"),CONCATENATE("R9C",'Mapa final'!#REF!),"")</f>
        <v>#REF!</v>
      </c>
      <c r="T44" s="54" t="e">
        <f>IF(AND('Mapa final'!#REF!="Baja",'Mapa final'!#REF!="Menor"),CONCATENATE("R9C",'Mapa final'!#REF!),"")</f>
        <v>#REF!</v>
      </c>
      <c r="U44" s="55" t="e">
        <f>IF(AND('Mapa final'!#REF!="Baja",'Mapa final'!#REF!="Menor"),CONCATENATE("R9C",'Mapa final'!#REF!),"")</f>
        <v>#REF!</v>
      </c>
      <c r="V44" s="53" t="e">
        <f>IF(AND('Mapa final'!#REF!="Baja",'Mapa final'!#REF!="Moderado"),CONCATENATE("R9C",'Mapa final'!#REF!),"")</f>
        <v>#REF!</v>
      </c>
      <c r="W44" s="54" t="e">
        <f>IF(AND('Mapa final'!#REF!="Baja",'Mapa final'!#REF!="Moderado"),CONCATENATE("R9C",'Mapa final'!#REF!),"")</f>
        <v>#REF!</v>
      </c>
      <c r="X44" s="54" t="e">
        <f>IF(AND('Mapa final'!#REF!="Baja",'Mapa final'!#REF!="Moderado"),CONCATENATE("R9C",'Mapa final'!#REF!),"")</f>
        <v>#REF!</v>
      </c>
      <c r="Y44" s="54" t="e">
        <f>IF(AND('Mapa final'!#REF!="Baja",'Mapa final'!#REF!="Moderado"),CONCATENATE("R9C",'Mapa final'!#REF!),"")</f>
        <v>#REF!</v>
      </c>
      <c r="Z44" s="54" t="e">
        <f>IF(AND('Mapa final'!#REF!="Baja",'Mapa final'!#REF!="Moderado"),CONCATENATE("R9C",'Mapa final'!#REF!),"")</f>
        <v>#REF!</v>
      </c>
      <c r="AA44" s="55" t="e">
        <f>IF(AND('Mapa final'!#REF!="Baja",'Mapa final'!#REF!="Moderado"),CONCATENATE("R9C",'Mapa final'!#REF!),"")</f>
        <v>#REF!</v>
      </c>
      <c r="AB44" s="38" t="e">
        <f>IF(AND('Mapa final'!#REF!="Baja",'Mapa final'!#REF!="Mayor"),CONCATENATE("R9C",'Mapa final'!#REF!),"")</f>
        <v>#REF!</v>
      </c>
      <c r="AC44" s="39" t="e">
        <f>IF(AND('Mapa final'!#REF!="Baja",'Mapa final'!#REF!="Mayor"),CONCATENATE("R9C",'Mapa final'!#REF!),"")</f>
        <v>#REF!</v>
      </c>
      <c r="AD44" s="39" t="e">
        <f>IF(AND('Mapa final'!#REF!="Baja",'Mapa final'!#REF!="Mayor"),CONCATENATE("R9C",'Mapa final'!#REF!),"")</f>
        <v>#REF!</v>
      </c>
      <c r="AE44" s="39" t="e">
        <f>IF(AND('Mapa final'!#REF!="Baja",'Mapa final'!#REF!="Mayor"),CONCATENATE("R9C",'Mapa final'!#REF!),"")</f>
        <v>#REF!</v>
      </c>
      <c r="AF44" s="39" t="e">
        <f>IF(AND('Mapa final'!#REF!="Baja",'Mapa final'!#REF!="Mayor"),CONCATENATE("R9C",'Mapa final'!#REF!),"")</f>
        <v>#REF!</v>
      </c>
      <c r="AG44" s="40" t="e">
        <f>IF(AND('Mapa final'!#REF!="Baja",'Mapa final'!#REF!="Mayor"),CONCATENATE("R9C",'Mapa final'!#REF!),"")</f>
        <v>#REF!</v>
      </c>
      <c r="AH44" s="41" t="e">
        <f>IF(AND('Mapa final'!#REF!="Baja",'Mapa final'!#REF!="Catastrófico"),CONCATENATE("R9C",'Mapa final'!#REF!),"")</f>
        <v>#REF!</v>
      </c>
      <c r="AI44" s="42" t="e">
        <f>IF(AND('Mapa final'!#REF!="Baja",'Mapa final'!#REF!="Catastrófico"),CONCATENATE("R9C",'Mapa final'!#REF!),"")</f>
        <v>#REF!</v>
      </c>
      <c r="AJ44" s="42" t="e">
        <f>IF(AND('Mapa final'!#REF!="Baja",'Mapa final'!#REF!="Catastrófico"),CONCATENATE("R9C",'Mapa final'!#REF!),"")</f>
        <v>#REF!</v>
      </c>
      <c r="AK44" s="42" t="e">
        <f>IF(AND('Mapa final'!#REF!="Baja",'Mapa final'!#REF!="Catastrófico"),CONCATENATE("R9C",'Mapa final'!#REF!),"")</f>
        <v>#REF!</v>
      </c>
      <c r="AL44" s="42" t="e">
        <f>IF(AND('Mapa final'!#REF!="Baja",'Mapa final'!#REF!="Catastrófico"),CONCATENATE("R9C",'Mapa final'!#REF!),"")</f>
        <v>#REF!</v>
      </c>
      <c r="AM44" s="43" t="e">
        <f>IF(AND('Mapa final'!#REF!="Baja",'Mapa final'!#REF!="Catastrófico"),CONCATENATE("R9C",'Mapa final'!#REF!),"")</f>
        <v>#REF!</v>
      </c>
      <c r="AN44" s="69"/>
      <c r="AO44" s="378"/>
      <c r="AP44" s="379"/>
      <c r="AQ44" s="379"/>
      <c r="AR44" s="379"/>
      <c r="AS44" s="379"/>
      <c r="AT44" s="380"/>
      <c r="AU44" s="69"/>
      <c r="AV44" s="69"/>
      <c r="AW44" s="69"/>
      <c r="AX44" s="69"/>
      <c r="AY44" s="69"/>
      <c r="AZ44" s="69"/>
      <c r="BA44" s="69"/>
      <c r="BB44" s="69"/>
      <c r="BC44" s="69"/>
      <c r="BD44" s="69"/>
      <c r="BE44" s="69"/>
      <c r="BF44" s="69"/>
      <c r="BG44" s="69"/>
      <c r="BH44" s="69"/>
      <c r="BI44" s="69"/>
      <c r="BJ44" s="69"/>
      <c r="BK44" s="69"/>
      <c r="BL44" s="69"/>
      <c r="BM44" s="69"/>
      <c r="BN44" s="69"/>
      <c r="BO44" s="69"/>
      <c r="BP44" s="69"/>
      <c r="BQ44" s="69"/>
      <c r="BR44" s="69"/>
      <c r="BS44" s="69"/>
      <c r="BT44" s="69"/>
      <c r="BU44" s="69"/>
      <c r="BV44" s="69"/>
      <c r="BW44" s="69"/>
      <c r="BX44" s="69"/>
    </row>
    <row r="45" spans="1:80" ht="15.75" customHeight="1" thickBot="1" x14ac:dyDescent="0.3">
      <c r="A45" s="69"/>
      <c r="B45" s="259"/>
      <c r="C45" s="259"/>
      <c r="D45" s="260"/>
      <c r="E45" s="359"/>
      <c r="F45" s="360"/>
      <c r="G45" s="360"/>
      <c r="H45" s="360"/>
      <c r="I45" s="360"/>
      <c r="J45" s="65" t="e">
        <f>IF(AND('Mapa final'!#REF!="Baja",'Mapa final'!#REF!="Leve"),CONCATENATE("R10C",'Mapa final'!#REF!),"")</f>
        <v>#REF!</v>
      </c>
      <c r="K45" s="66" t="e">
        <f>IF(AND('Mapa final'!#REF!="Baja",'Mapa final'!#REF!="Leve"),CONCATENATE("R10C",'Mapa final'!#REF!),"")</f>
        <v>#REF!</v>
      </c>
      <c r="L45" s="66" t="e">
        <f>IF(AND('Mapa final'!#REF!="Baja",'Mapa final'!#REF!="Leve"),CONCATENATE("R10C",'Mapa final'!#REF!),"")</f>
        <v>#REF!</v>
      </c>
      <c r="M45" s="66" t="e">
        <f>IF(AND('Mapa final'!#REF!="Baja",'Mapa final'!#REF!="Leve"),CONCATENATE("R10C",'Mapa final'!#REF!),"")</f>
        <v>#REF!</v>
      </c>
      <c r="N45" s="66" t="e">
        <f>IF(AND('Mapa final'!#REF!="Baja",'Mapa final'!#REF!="Leve"),CONCATENATE("R10C",'Mapa final'!#REF!),"")</f>
        <v>#REF!</v>
      </c>
      <c r="O45" s="67" t="e">
        <f>IF(AND('Mapa final'!#REF!="Baja",'Mapa final'!#REF!="Leve"),CONCATENATE("R10C",'Mapa final'!#REF!),"")</f>
        <v>#REF!</v>
      </c>
      <c r="P45" s="53" t="e">
        <f>IF(AND('Mapa final'!#REF!="Baja",'Mapa final'!#REF!="Menor"),CONCATENATE("R10C",'Mapa final'!#REF!),"")</f>
        <v>#REF!</v>
      </c>
      <c r="Q45" s="54" t="e">
        <f>IF(AND('Mapa final'!#REF!="Baja",'Mapa final'!#REF!="Menor"),CONCATENATE("R10C",'Mapa final'!#REF!),"")</f>
        <v>#REF!</v>
      </c>
      <c r="R45" s="54" t="e">
        <f>IF(AND('Mapa final'!#REF!="Baja",'Mapa final'!#REF!="Menor"),CONCATENATE("R10C",'Mapa final'!#REF!),"")</f>
        <v>#REF!</v>
      </c>
      <c r="S45" s="54" t="e">
        <f>IF(AND('Mapa final'!#REF!="Baja",'Mapa final'!#REF!="Menor"),CONCATENATE("R10C",'Mapa final'!#REF!),"")</f>
        <v>#REF!</v>
      </c>
      <c r="T45" s="54" t="e">
        <f>IF(AND('Mapa final'!#REF!="Baja",'Mapa final'!#REF!="Menor"),CONCATENATE("R10C",'Mapa final'!#REF!),"")</f>
        <v>#REF!</v>
      </c>
      <c r="U45" s="55" t="e">
        <f>IF(AND('Mapa final'!#REF!="Baja",'Mapa final'!#REF!="Menor"),CONCATENATE("R10C",'Mapa final'!#REF!),"")</f>
        <v>#REF!</v>
      </c>
      <c r="V45" s="56" t="e">
        <f>IF(AND('Mapa final'!#REF!="Baja",'Mapa final'!#REF!="Moderado"),CONCATENATE("R10C",'Mapa final'!#REF!),"")</f>
        <v>#REF!</v>
      </c>
      <c r="W45" s="57" t="e">
        <f>IF(AND('Mapa final'!#REF!="Baja",'Mapa final'!#REF!="Moderado"),CONCATENATE("R10C",'Mapa final'!#REF!),"")</f>
        <v>#REF!</v>
      </c>
      <c r="X45" s="57" t="e">
        <f>IF(AND('Mapa final'!#REF!="Baja",'Mapa final'!#REF!="Moderado"),CONCATENATE("R10C",'Mapa final'!#REF!),"")</f>
        <v>#REF!</v>
      </c>
      <c r="Y45" s="57" t="e">
        <f>IF(AND('Mapa final'!#REF!="Baja",'Mapa final'!#REF!="Moderado"),CONCATENATE("R10C",'Mapa final'!#REF!),"")</f>
        <v>#REF!</v>
      </c>
      <c r="Z45" s="57" t="e">
        <f>IF(AND('Mapa final'!#REF!="Baja",'Mapa final'!#REF!="Moderado"),CONCATENATE("R10C",'Mapa final'!#REF!),"")</f>
        <v>#REF!</v>
      </c>
      <c r="AA45" s="58" t="e">
        <f>IF(AND('Mapa final'!#REF!="Baja",'Mapa final'!#REF!="Moderado"),CONCATENATE("R10C",'Mapa final'!#REF!),"")</f>
        <v>#REF!</v>
      </c>
      <c r="AB45" s="44" t="e">
        <f>IF(AND('Mapa final'!#REF!="Baja",'Mapa final'!#REF!="Mayor"),CONCATENATE("R10C",'Mapa final'!#REF!),"")</f>
        <v>#REF!</v>
      </c>
      <c r="AC45" s="45" t="e">
        <f>IF(AND('Mapa final'!#REF!="Baja",'Mapa final'!#REF!="Mayor"),CONCATENATE("R10C",'Mapa final'!#REF!),"")</f>
        <v>#REF!</v>
      </c>
      <c r="AD45" s="45" t="e">
        <f>IF(AND('Mapa final'!#REF!="Baja",'Mapa final'!#REF!="Mayor"),CONCATENATE("R10C",'Mapa final'!#REF!),"")</f>
        <v>#REF!</v>
      </c>
      <c r="AE45" s="45" t="e">
        <f>IF(AND('Mapa final'!#REF!="Baja",'Mapa final'!#REF!="Mayor"),CONCATENATE("R10C",'Mapa final'!#REF!),"")</f>
        <v>#REF!</v>
      </c>
      <c r="AF45" s="45" t="e">
        <f>IF(AND('Mapa final'!#REF!="Baja",'Mapa final'!#REF!="Mayor"),CONCATENATE("R10C",'Mapa final'!#REF!),"")</f>
        <v>#REF!</v>
      </c>
      <c r="AG45" s="46" t="e">
        <f>IF(AND('Mapa final'!#REF!="Baja",'Mapa final'!#REF!="Mayor"),CONCATENATE("R10C",'Mapa final'!#REF!),"")</f>
        <v>#REF!</v>
      </c>
      <c r="AH45" s="47" t="e">
        <f>IF(AND('Mapa final'!#REF!="Baja",'Mapa final'!#REF!="Catastrófico"),CONCATENATE("R10C",'Mapa final'!#REF!),"")</f>
        <v>#REF!</v>
      </c>
      <c r="AI45" s="48" t="e">
        <f>IF(AND('Mapa final'!#REF!="Baja",'Mapa final'!#REF!="Catastrófico"),CONCATENATE("R10C",'Mapa final'!#REF!),"")</f>
        <v>#REF!</v>
      </c>
      <c r="AJ45" s="48" t="e">
        <f>IF(AND('Mapa final'!#REF!="Baja",'Mapa final'!#REF!="Catastrófico"),CONCATENATE("R10C",'Mapa final'!#REF!),"")</f>
        <v>#REF!</v>
      </c>
      <c r="AK45" s="48" t="e">
        <f>IF(AND('Mapa final'!#REF!="Baja",'Mapa final'!#REF!="Catastrófico"),CONCATENATE("R10C",'Mapa final'!#REF!),"")</f>
        <v>#REF!</v>
      </c>
      <c r="AL45" s="48" t="e">
        <f>IF(AND('Mapa final'!#REF!="Baja",'Mapa final'!#REF!="Catastrófico"),CONCATENATE("R10C",'Mapa final'!#REF!),"")</f>
        <v>#REF!</v>
      </c>
      <c r="AM45" s="49" t="e">
        <f>IF(AND('Mapa final'!#REF!="Baja",'Mapa final'!#REF!="Catastrófico"),CONCATENATE("R10C",'Mapa final'!#REF!),"")</f>
        <v>#REF!</v>
      </c>
      <c r="AN45" s="69"/>
      <c r="AO45" s="381"/>
      <c r="AP45" s="382"/>
      <c r="AQ45" s="382"/>
      <c r="AR45" s="382"/>
      <c r="AS45" s="382"/>
      <c r="AT45" s="383"/>
    </row>
    <row r="46" spans="1:80" ht="46.5" customHeight="1" x14ac:dyDescent="0.35">
      <c r="A46" s="69"/>
      <c r="B46" s="259"/>
      <c r="C46" s="259"/>
      <c r="D46" s="260"/>
      <c r="E46" s="354" t="s">
        <v>111</v>
      </c>
      <c r="F46" s="355"/>
      <c r="G46" s="355"/>
      <c r="H46" s="355"/>
      <c r="I46" s="372"/>
      <c r="J46" s="59" t="str">
        <f>IF(AND('Mapa final'!$Y$13="Muy Baja",'Mapa final'!$AA$13="Leve"),CONCATENATE("R1C",'Mapa final'!$O$13),"")</f>
        <v/>
      </c>
      <c r="K46" s="60" t="str">
        <f>IF(AND('Mapa final'!$Y$14="Muy Baja",'Mapa final'!$AA$14="Leve"),CONCATENATE("R1C",'Mapa final'!$O$14),"")</f>
        <v/>
      </c>
      <c r="L46" s="60" t="str">
        <f>IF(AND('Mapa final'!$Y$15="Muy Baja",'Mapa final'!$AA$15="Leve"),CONCATENATE("R1C",'Mapa final'!$O$15),"")</f>
        <v/>
      </c>
      <c r="M46" s="60" t="str">
        <f>IF(AND('Mapa final'!$Y$16="Muy Baja",'Mapa final'!$AA$16="Leve"),CONCATENATE("R1C",'Mapa final'!$O$16),"")</f>
        <v/>
      </c>
      <c r="N46" s="60" t="str">
        <f>IF(AND('Mapa final'!$Y$17="Muy Baja",'Mapa final'!$AA$17="Leve"),CONCATENATE("R1C",'Mapa final'!$O$17),"")</f>
        <v/>
      </c>
      <c r="O46" s="61" t="str">
        <f>IF(AND('Mapa final'!$Y$18="Muy Baja",'Mapa final'!$AA$18="Leve"),CONCATENATE("R1C",'Mapa final'!$O$18),"")</f>
        <v/>
      </c>
      <c r="P46" s="59" t="str">
        <f>IF(AND('Mapa final'!$Y$13="Muy Baja",'Mapa final'!$AA$13="Menor"),CONCATENATE("R1C",'Mapa final'!$O$13),"")</f>
        <v/>
      </c>
      <c r="Q46" s="60" t="str">
        <f>IF(AND('Mapa final'!$Y$14="Muy Baja",'Mapa final'!$AA$14="Menor"),CONCATENATE("R1C",'Mapa final'!$O$14),"")</f>
        <v/>
      </c>
      <c r="R46" s="60" t="str">
        <f>IF(AND('Mapa final'!$Y$15="Muy Baja",'Mapa final'!$AA$15="Menor"),CONCATENATE("R1C",'Mapa final'!$O$15),"")</f>
        <v/>
      </c>
      <c r="S46" s="60" t="str">
        <f>IF(AND('Mapa final'!$Y$16="Muy Baja",'Mapa final'!$AA$16="Menor"),CONCATENATE("R1C",'Mapa final'!$O$16),"")</f>
        <v/>
      </c>
      <c r="T46" s="60" t="str">
        <f>IF(AND('Mapa final'!$Y$17="Muy Baja",'Mapa final'!$AA$17="Menor"),CONCATENATE("R1C",'Mapa final'!$O$17),"")</f>
        <v/>
      </c>
      <c r="U46" s="61" t="str">
        <f>IF(AND('Mapa final'!$Y$18="Muy Baja",'Mapa final'!$AA$18="Menor"),CONCATENATE("R1C",'Mapa final'!$O$18),"")</f>
        <v/>
      </c>
      <c r="V46" s="50" t="str">
        <f>IF(AND('Mapa final'!$Y$13="Muy Baja",'Mapa final'!$AA$13="Moderado"),CONCATENATE("R1C",'Mapa final'!$O$13),"")</f>
        <v/>
      </c>
      <c r="W46" s="68" t="str">
        <f>IF(AND('Mapa final'!$Y$14="Muy Baja",'Mapa final'!$AA$14="Moderado"),CONCATENATE("R1C",'Mapa final'!$O$14),"")</f>
        <v/>
      </c>
      <c r="X46" s="51" t="str">
        <f>IF(AND('Mapa final'!$Y$15="Muy Baja",'Mapa final'!$AA$15="Moderado"),CONCATENATE("R1C",'Mapa final'!$O$15),"")</f>
        <v>R1C3</v>
      </c>
      <c r="Y46" s="51" t="str">
        <f>IF(AND('Mapa final'!$Y$16="Muy Baja",'Mapa final'!$AA$16="Moderado"),CONCATENATE("R1C",'Mapa final'!$O$16),"")</f>
        <v/>
      </c>
      <c r="Z46" s="51" t="str">
        <f>IF(AND('Mapa final'!$Y$17="Muy Baja",'Mapa final'!$AA$17="Moderado"),CONCATENATE("R1C",'Mapa final'!$O$17),"")</f>
        <v>R1C2</v>
      </c>
      <c r="AA46" s="52" t="str">
        <f>IF(AND('Mapa final'!$Y$18="Muy Baja",'Mapa final'!$AA$18="Moderado"),CONCATENATE("R1C",'Mapa final'!$O$18),"")</f>
        <v/>
      </c>
      <c r="AB46" s="32" t="str">
        <f>IF(AND('Mapa final'!$Y$13="Muy Baja",'Mapa final'!$AA$13="Mayor"),CONCATENATE("R1C",'Mapa final'!$O$13),"")</f>
        <v/>
      </c>
      <c r="AC46" s="33" t="str">
        <f>IF(AND('Mapa final'!$Y$14="Muy Baja",'Mapa final'!$AA$14="Mayor"),CONCATENATE("R1C",'Mapa final'!$O$14),"")</f>
        <v/>
      </c>
      <c r="AD46" s="33" t="str">
        <f>IF(AND('Mapa final'!$Y$15="Muy Baja",'Mapa final'!$AA$15="Mayor"),CONCATENATE("R1C",'Mapa final'!$O$15),"")</f>
        <v/>
      </c>
      <c r="AE46" s="33" t="str">
        <f>IF(AND('Mapa final'!$Y$16="Muy Baja",'Mapa final'!$AA$16="Mayor"),CONCATENATE("R1C",'Mapa final'!$O$16),"")</f>
        <v/>
      </c>
      <c r="AF46" s="33" t="str">
        <f>IF(AND('Mapa final'!$Y$17="Muy Baja",'Mapa final'!$AA$17="Mayor"),CONCATENATE("R1C",'Mapa final'!$O$17),"")</f>
        <v/>
      </c>
      <c r="AG46" s="34" t="str">
        <f>IF(AND('Mapa final'!$Y$18="Muy Baja",'Mapa final'!$AA$18="Mayor"),CONCATENATE("R1C",'Mapa final'!$O$18),"")</f>
        <v/>
      </c>
      <c r="AH46" s="35" t="str">
        <f>IF(AND('Mapa final'!$Y$13="Muy Baja",'Mapa final'!$AA$13="Catastrófico"),CONCATENATE("R1C",'Mapa final'!$O$13),"")</f>
        <v/>
      </c>
      <c r="AI46" s="36" t="str">
        <f>IF(AND('Mapa final'!$Y$14="Muy Baja",'Mapa final'!$AA$14="Catastrófico"),CONCATENATE("R1C",'Mapa final'!$O$14),"")</f>
        <v/>
      </c>
      <c r="AJ46" s="36" t="str">
        <f>IF(AND('Mapa final'!$Y$15="Muy Baja",'Mapa final'!$AA$15="Catastrófico"),CONCATENATE("R1C",'Mapa final'!$O$15),"")</f>
        <v/>
      </c>
      <c r="AK46" s="36" t="str">
        <f>IF(AND('Mapa final'!$Y$16="Muy Baja",'Mapa final'!$AA$16="Catastrófico"),CONCATENATE("R1C",'Mapa final'!$O$16),"")</f>
        <v/>
      </c>
      <c r="AL46" s="36" t="str">
        <f>IF(AND('Mapa final'!$Y$17="Muy Baja",'Mapa final'!$AA$17="Catastrófico"),CONCATENATE("R1C",'Mapa final'!$O$17),"")</f>
        <v/>
      </c>
      <c r="AM46" s="37" t="str">
        <f>IF(AND('Mapa final'!$Y$18="Muy Baja",'Mapa final'!$AA$18="Catastrófico"),CONCATENATE("R1C",'Mapa final'!$O$18),"")</f>
        <v/>
      </c>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c r="BP46" s="69"/>
      <c r="BQ46" s="69"/>
      <c r="BR46" s="69"/>
      <c r="BS46" s="69"/>
      <c r="BT46" s="69"/>
      <c r="BU46" s="69"/>
      <c r="BV46" s="69"/>
      <c r="BW46" s="69"/>
      <c r="BX46" s="69"/>
      <c r="BY46" s="69"/>
      <c r="BZ46" s="69"/>
      <c r="CA46" s="69"/>
      <c r="CB46" s="69"/>
    </row>
    <row r="47" spans="1:80" ht="46.5" customHeight="1" x14ac:dyDescent="0.25">
      <c r="A47" s="69"/>
      <c r="B47" s="259"/>
      <c r="C47" s="259"/>
      <c r="D47" s="260"/>
      <c r="E47" s="356"/>
      <c r="F47" s="357"/>
      <c r="G47" s="357"/>
      <c r="H47" s="357"/>
      <c r="I47" s="373"/>
      <c r="J47" s="62" t="e">
        <f>IF(AND('Mapa final'!#REF!="Muy Baja",'Mapa final'!#REF!="Leve"),CONCATENATE("R2C",'Mapa final'!#REF!),"")</f>
        <v>#REF!</v>
      </c>
      <c r="K47" s="63" t="e">
        <f>IF(AND('Mapa final'!#REF!="Muy Baja",'Mapa final'!#REF!="Leve"),CONCATENATE("R2C",'Mapa final'!#REF!),"")</f>
        <v>#REF!</v>
      </c>
      <c r="L47" s="63" t="e">
        <f>IF(AND('Mapa final'!#REF!="Muy Baja",'Mapa final'!#REF!="Leve"),CONCATENATE("R2C",'Mapa final'!#REF!),"")</f>
        <v>#REF!</v>
      </c>
      <c r="M47" s="63" t="e">
        <f>IF(AND('Mapa final'!#REF!="Muy Baja",'Mapa final'!#REF!="Leve"),CONCATENATE("R2C",'Mapa final'!#REF!),"")</f>
        <v>#REF!</v>
      </c>
      <c r="N47" s="63" t="e">
        <f>IF(AND('Mapa final'!#REF!="Muy Baja",'Mapa final'!#REF!="Leve"),CONCATENATE("R2C",'Mapa final'!#REF!),"")</f>
        <v>#REF!</v>
      </c>
      <c r="O47" s="64" t="e">
        <f>IF(AND('Mapa final'!#REF!="Muy Baja",'Mapa final'!#REF!="Leve"),CONCATENATE("R2C",'Mapa final'!#REF!),"")</f>
        <v>#REF!</v>
      </c>
      <c r="P47" s="62" t="e">
        <f>IF(AND('Mapa final'!#REF!="Muy Baja",'Mapa final'!#REF!="Menor"),CONCATENATE("R2C",'Mapa final'!#REF!),"")</f>
        <v>#REF!</v>
      </c>
      <c r="Q47" s="63" t="e">
        <f>IF(AND('Mapa final'!#REF!="Muy Baja",'Mapa final'!#REF!="Menor"),CONCATENATE("R2C",'Mapa final'!#REF!),"")</f>
        <v>#REF!</v>
      </c>
      <c r="R47" s="63" t="e">
        <f>IF(AND('Mapa final'!#REF!="Muy Baja",'Mapa final'!#REF!="Menor"),CONCATENATE("R2C",'Mapa final'!#REF!),"")</f>
        <v>#REF!</v>
      </c>
      <c r="S47" s="63" t="e">
        <f>IF(AND('Mapa final'!#REF!="Muy Baja",'Mapa final'!#REF!="Menor"),CONCATENATE("R2C",'Mapa final'!#REF!),"")</f>
        <v>#REF!</v>
      </c>
      <c r="T47" s="63" t="e">
        <f>IF(AND('Mapa final'!#REF!="Muy Baja",'Mapa final'!#REF!="Menor"),CONCATENATE("R2C",'Mapa final'!#REF!),"")</f>
        <v>#REF!</v>
      </c>
      <c r="U47" s="64" t="e">
        <f>IF(AND('Mapa final'!#REF!="Muy Baja",'Mapa final'!#REF!="Menor"),CONCATENATE("R2C",'Mapa final'!#REF!),"")</f>
        <v>#REF!</v>
      </c>
      <c r="V47" s="53" t="e">
        <f>IF(AND('Mapa final'!#REF!="Muy Baja",'Mapa final'!#REF!="Moderado"),CONCATENATE("R2C",'Mapa final'!#REF!),"")</f>
        <v>#REF!</v>
      </c>
      <c r="W47" s="54" t="e">
        <f>IF(AND('Mapa final'!#REF!="Muy Baja",'Mapa final'!#REF!="Moderado"),CONCATENATE("R2C",'Mapa final'!#REF!),"")</f>
        <v>#REF!</v>
      </c>
      <c r="X47" s="54" t="e">
        <f>IF(AND('Mapa final'!#REF!="Muy Baja",'Mapa final'!#REF!="Moderado"),CONCATENATE("R2C",'Mapa final'!#REF!),"")</f>
        <v>#REF!</v>
      </c>
      <c r="Y47" s="54" t="e">
        <f>IF(AND('Mapa final'!#REF!="Muy Baja",'Mapa final'!#REF!="Moderado"),CONCATENATE("R2C",'Mapa final'!#REF!),"")</f>
        <v>#REF!</v>
      </c>
      <c r="Z47" s="54" t="e">
        <f>IF(AND('Mapa final'!#REF!="Muy Baja",'Mapa final'!#REF!="Moderado"),CONCATENATE("R2C",'Mapa final'!#REF!),"")</f>
        <v>#REF!</v>
      </c>
      <c r="AA47" s="55" t="e">
        <f>IF(AND('Mapa final'!#REF!="Muy Baja",'Mapa final'!#REF!="Moderado"),CONCATENATE("R2C",'Mapa final'!#REF!),"")</f>
        <v>#REF!</v>
      </c>
      <c r="AB47" s="38" t="e">
        <f>IF(AND('Mapa final'!#REF!="Muy Baja",'Mapa final'!#REF!="Mayor"),CONCATENATE("R2C",'Mapa final'!#REF!),"")</f>
        <v>#REF!</v>
      </c>
      <c r="AC47" s="39" t="e">
        <f>IF(AND('Mapa final'!#REF!="Muy Baja",'Mapa final'!#REF!="Mayor"),CONCATENATE("R2C",'Mapa final'!#REF!),"")</f>
        <v>#REF!</v>
      </c>
      <c r="AD47" s="39" t="e">
        <f>IF(AND('Mapa final'!#REF!="Muy Baja",'Mapa final'!#REF!="Mayor"),CONCATENATE("R2C",'Mapa final'!#REF!),"")</f>
        <v>#REF!</v>
      </c>
      <c r="AE47" s="39" t="e">
        <f>IF(AND('Mapa final'!#REF!="Muy Baja",'Mapa final'!#REF!="Mayor"),CONCATENATE("R2C",'Mapa final'!#REF!),"")</f>
        <v>#REF!</v>
      </c>
      <c r="AF47" s="39" t="e">
        <f>IF(AND('Mapa final'!#REF!="Muy Baja",'Mapa final'!#REF!="Mayor"),CONCATENATE("R2C",'Mapa final'!#REF!),"")</f>
        <v>#REF!</v>
      </c>
      <c r="AG47" s="40" t="e">
        <f>IF(AND('Mapa final'!#REF!="Muy Baja",'Mapa final'!#REF!="Mayor"),CONCATENATE("R2C",'Mapa final'!#REF!),"")</f>
        <v>#REF!</v>
      </c>
      <c r="AH47" s="41" t="e">
        <f>IF(AND('Mapa final'!#REF!="Muy Baja",'Mapa final'!#REF!="Catastrófico"),CONCATENATE("R2C",'Mapa final'!#REF!),"")</f>
        <v>#REF!</v>
      </c>
      <c r="AI47" s="42" t="e">
        <f>IF(AND('Mapa final'!#REF!="Muy Baja",'Mapa final'!#REF!="Catastrófico"),CONCATENATE("R2C",'Mapa final'!#REF!),"")</f>
        <v>#REF!</v>
      </c>
      <c r="AJ47" s="42" t="e">
        <f>IF(AND('Mapa final'!#REF!="Muy Baja",'Mapa final'!#REF!="Catastrófico"),CONCATENATE("R2C",'Mapa final'!#REF!),"")</f>
        <v>#REF!</v>
      </c>
      <c r="AK47" s="42" t="e">
        <f>IF(AND('Mapa final'!#REF!="Muy Baja",'Mapa final'!#REF!="Catastrófico"),CONCATENATE("R2C",'Mapa final'!#REF!),"")</f>
        <v>#REF!</v>
      </c>
      <c r="AL47" s="42" t="e">
        <f>IF(AND('Mapa final'!#REF!="Muy Baja",'Mapa final'!#REF!="Catastrófico"),CONCATENATE("R2C",'Mapa final'!#REF!),"")</f>
        <v>#REF!</v>
      </c>
      <c r="AM47" s="43" t="e">
        <f>IF(AND('Mapa final'!#REF!="Muy Baja",'Mapa final'!#REF!="Catastrófico"),CONCATENATE("R2C",'Mapa final'!#REF!),"")</f>
        <v>#REF!</v>
      </c>
      <c r="AN47" s="69"/>
      <c r="AO47" s="69"/>
      <c r="AP47" s="69"/>
      <c r="AQ47" s="69"/>
      <c r="AR47" s="69"/>
      <c r="AS47" s="69"/>
      <c r="AT47" s="69"/>
      <c r="AU47" s="69"/>
      <c r="AV47" s="69"/>
      <c r="AW47" s="69"/>
      <c r="AX47" s="69"/>
      <c r="AY47" s="69"/>
      <c r="AZ47" s="69"/>
      <c r="BA47" s="69"/>
      <c r="BB47" s="69"/>
      <c r="BC47" s="69"/>
      <c r="BD47" s="69"/>
      <c r="BE47" s="69"/>
      <c r="BF47" s="69"/>
      <c r="BG47" s="69"/>
      <c r="BH47" s="69"/>
      <c r="BI47" s="69"/>
      <c r="BJ47" s="69"/>
      <c r="BK47" s="69"/>
      <c r="BL47" s="69"/>
      <c r="BM47" s="69"/>
      <c r="BN47" s="69"/>
      <c r="BO47" s="69"/>
      <c r="BP47" s="69"/>
      <c r="BQ47" s="69"/>
      <c r="BR47" s="69"/>
      <c r="BS47" s="69"/>
      <c r="BT47" s="69"/>
      <c r="BU47" s="69"/>
      <c r="BV47" s="69"/>
      <c r="BW47" s="69"/>
      <c r="BX47" s="69"/>
      <c r="BY47" s="69"/>
      <c r="BZ47" s="69"/>
      <c r="CA47" s="69"/>
      <c r="CB47" s="69"/>
    </row>
    <row r="48" spans="1:80" ht="15" customHeight="1" x14ac:dyDescent="0.25">
      <c r="A48" s="69"/>
      <c r="B48" s="259"/>
      <c r="C48" s="259"/>
      <c r="D48" s="260"/>
      <c r="E48" s="356"/>
      <c r="F48" s="357"/>
      <c r="G48" s="357"/>
      <c r="H48" s="357"/>
      <c r="I48" s="373"/>
      <c r="J48" s="62" t="e">
        <f>IF(AND('Mapa final'!#REF!="Muy Baja",'Mapa final'!#REF!="Leve"),CONCATENATE("R3C",'Mapa final'!#REF!),"")</f>
        <v>#REF!</v>
      </c>
      <c r="K48" s="63" t="e">
        <f>IF(AND('Mapa final'!#REF!="Muy Baja",'Mapa final'!#REF!="Leve"),CONCATENATE("R3C",'Mapa final'!#REF!),"")</f>
        <v>#REF!</v>
      </c>
      <c r="L48" s="63" t="e">
        <f>IF(AND('Mapa final'!#REF!="Muy Baja",'Mapa final'!#REF!="Leve"),CONCATENATE("R3C",'Mapa final'!#REF!),"")</f>
        <v>#REF!</v>
      </c>
      <c r="M48" s="63" t="e">
        <f>IF(AND('Mapa final'!#REF!="Muy Baja",'Mapa final'!#REF!="Leve"),CONCATENATE("R3C",'Mapa final'!#REF!),"")</f>
        <v>#REF!</v>
      </c>
      <c r="N48" s="63" t="e">
        <f>IF(AND('Mapa final'!#REF!="Muy Baja",'Mapa final'!#REF!="Leve"),CONCATENATE("R3C",'Mapa final'!#REF!),"")</f>
        <v>#REF!</v>
      </c>
      <c r="O48" s="64" t="e">
        <f>IF(AND('Mapa final'!#REF!="Muy Baja",'Mapa final'!#REF!="Leve"),CONCATENATE("R3C",'Mapa final'!#REF!),"")</f>
        <v>#REF!</v>
      </c>
      <c r="P48" s="62" t="e">
        <f>IF(AND('Mapa final'!#REF!="Muy Baja",'Mapa final'!#REF!="Menor"),CONCATENATE("R3C",'Mapa final'!#REF!),"")</f>
        <v>#REF!</v>
      </c>
      <c r="Q48" s="63" t="e">
        <f>IF(AND('Mapa final'!#REF!="Muy Baja",'Mapa final'!#REF!="Menor"),CONCATENATE("R3C",'Mapa final'!#REF!),"")</f>
        <v>#REF!</v>
      </c>
      <c r="R48" s="63" t="e">
        <f>IF(AND('Mapa final'!#REF!="Muy Baja",'Mapa final'!#REF!="Menor"),CONCATENATE("R3C",'Mapa final'!#REF!),"")</f>
        <v>#REF!</v>
      </c>
      <c r="S48" s="63" t="e">
        <f>IF(AND('Mapa final'!#REF!="Muy Baja",'Mapa final'!#REF!="Menor"),CONCATENATE("R3C",'Mapa final'!#REF!),"")</f>
        <v>#REF!</v>
      </c>
      <c r="T48" s="63" t="e">
        <f>IF(AND('Mapa final'!#REF!="Muy Baja",'Mapa final'!#REF!="Menor"),CONCATENATE("R3C",'Mapa final'!#REF!),"")</f>
        <v>#REF!</v>
      </c>
      <c r="U48" s="64" t="e">
        <f>IF(AND('Mapa final'!#REF!="Muy Baja",'Mapa final'!#REF!="Menor"),CONCATENATE("R3C",'Mapa final'!#REF!),"")</f>
        <v>#REF!</v>
      </c>
      <c r="V48" s="53" t="e">
        <f>IF(AND('Mapa final'!#REF!="Muy Baja",'Mapa final'!#REF!="Moderado"),CONCATENATE("R3C",'Mapa final'!#REF!),"")</f>
        <v>#REF!</v>
      </c>
      <c r="W48" s="54" t="e">
        <f>IF(AND('Mapa final'!#REF!="Muy Baja",'Mapa final'!#REF!="Moderado"),CONCATENATE("R3C",'Mapa final'!#REF!),"")</f>
        <v>#REF!</v>
      </c>
      <c r="X48" s="54" t="e">
        <f>IF(AND('Mapa final'!#REF!="Muy Baja",'Mapa final'!#REF!="Moderado"),CONCATENATE("R3C",'Mapa final'!#REF!),"")</f>
        <v>#REF!</v>
      </c>
      <c r="Y48" s="54" t="e">
        <f>IF(AND('Mapa final'!#REF!="Muy Baja",'Mapa final'!#REF!="Moderado"),CONCATENATE("R3C",'Mapa final'!#REF!),"")</f>
        <v>#REF!</v>
      </c>
      <c r="Z48" s="54" t="e">
        <f>IF(AND('Mapa final'!#REF!="Muy Baja",'Mapa final'!#REF!="Moderado"),CONCATENATE("R3C",'Mapa final'!#REF!),"")</f>
        <v>#REF!</v>
      </c>
      <c r="AA48" s="55" t="e">
        <f>IF(AND('Mapa final'!#REF!="Muy Baja",'Mapa final'!#REF!="Moderado"),CONCATENATE("R3C",'Mapa final'!#REF!),"")</f>
        <v>#REF!</v>
      </c>
      <c r="AB48" s="38" t="e">
        <f>IF(AND('Mapa final'!#REF!="Muy Baja",'Mapa final'!#REF!="Mayor"),CONCATENATE("R3C",'Mapa final'!#REF!),"")</f>
        <v>#REF!</v>
      </c>
      <c r="AC48" s="39" t="e">
        <f>IF(AND('Mapa final'!#REF!="Muy Baja",'Mapa final'!#REF!="Mayor"),CONCATENATE("R3C",'Mapa final'!#REF!),"")</f>
        <v>#REF!</v>
      </c>
      <c r="AD48" s="39" t="e">
        <f>IF(AND('Mapa final'!#REF!="Muy Baja",'Mapa final'!#REF!="Mayor"),CONCATENATE("R3C",'Mapa final'!#REF!),"")</f>
        <v>#REF!</v>
      </c>
      <c r="AE48" s="39" t="e">
        <f>IF(AND('Mapa final'!#REF!="Muy Baja",'Mapa final'!#REF!="Mayor"),CONCATENATE("R3C",'Mapa final'!#REF!),"")</f>
        <v>#REF!</v>
      </c>
      <c r="AF48" s="39" t="e">
        <f>IF(AND('Mapa final'!#REF!="Muy Baja",'Mapa final'!#REF!="Mayor"),CONCATENATE("R3C",'Mapa final'!#REF!),"")</f>
        <v>#REF!</v>
      </c>
      <c r="AG48" s="40" t="e">
        <f>IF(AND('Mapa final'!#REF!="Muy Baja",'Mapa final'!#REF!="Mayor"),CONCATENATE("R3C",'Mapa final'!#REF!),"")</f>
        <v>#REF!</v>
      </c>
      <c r="AH48" s="41" t="e">
        <f>IF(AND('Mapa final'!#REF!="Muy Baja",'Mapa final'!#REF!="Catastrófico"),CONCATENATE("R3C",'Mapa final'!#REF!),"")</f>
        <v>#REF!</v>
      </c>
      <c r="AI48" s="42" t="e">
        <f>IF(AND('Mapa final'!#REF!="Muy Baja",'Mapa final'!#REF!="Catastrófico"),CONCATENATE("R3C",'Mapa final'!#REF!),"")</f>
        <v>#REF!</v>
      </c>
      <c r="AJ48" s="42" t="e">
        <f>IF(AND('Mapa final'!#REF!="Muy Baja",'Mapa final'!#REF!="Catastrófico"),CONCATENATE("R3C",'Mapa final'!#REF!),"")</f>
        <v>#REF!</v>
      </c>
      <c r="AK48" s="42" t="e">
        <f>IF(AND('Mapa final'!#REF!="Muy Baja",'Mapa final'!#REF!="Catastrófico"),CONCATENATE("R3C",'Mapa final'!#REF!),"")</f>
        <v>#REF!</v>
      </c>
      <c r="AL48" s="42" t="e">
        <f>IF(AND('Mapa final'!#REF!="Muy Baja",'Mapa final'!#REF!="Catastrófico"),CONCATENATE("R3C",'Mapa final'!#REF!),"")</f>
        <v>#REF!</v>
      </c>
      <c r="AM48" s="43" t="e">
        <f>IF(AND('Mapa final'!#REF!="Muy Baja",'Mapa final'!#REF!="Catastrófico"),CONCATENATE("R3C",'Mapa final'!#REF!),"")</f>
        <v>#REF!</v>
      </c>
      <c r="AN48" s="69"/>
      <c r="AO48" s="69"/>
      <c r="AP48" s="69"/>
      <c r="AQ48" s="69"/>
      <c r="AR48" s="69"/>
      <c r="AS48" s="69"/>
      <c r="AT48" s="69"/>
      <c r="AU48" s="69"/>
      <c r="AV48" s="69"/>
      <c r="AW48" s="69"/>
      <c r="AX48" s="69"/>
      <c r="AY48" s="69"/>
      <c r="AZ48" s="69"/>
      <c r="BA48" s="69"/>
      <c r="BB48" s="69"/>
      <c r="BC48" s="69"/>
      <c r="BD48" s="69"/>
      <c r="BE48" s="69"/>
      <c r="BF48" s="69"/>
      <c r="BG48" s="69"/>
      <c r="BH48" s="69"/>
      <c r="BI48" s="69"/>
      <c r="BJ48" s="69"/>
      <c r="BK48" s="69"/>
      <c r="BL48" s="69"/>
      <c r="BM48" s="69"/>
      <c r="BN48" s="69"/>
      <c r="BO48" s="69"/>
      <c r="BP48" s="69"/>
      <c r="BQ48" s="69"/>
      <c r="BR48" s="69"/>
      <c r="BS48" s="69"/>
      <c r="BT48" s="69"/>
      <c r="BU48" s="69"/>
      <c r="BV48" s="69"/>
      <c r="BW48" s="69"/>
      <c r="BX48" s="69"/>
      <c r="BY48" s="69"/>
      <c r="BZ48" s="69"/>
      <c r="CA48" s="69"/>
      <c r="CB48" s="69"/>
    </row>
    <row r="49" spans="1:80" ht="15" customHeight="1" x14ac:dyDescent="0.25">
      <c r="A49" s="69"/>
      <c r="B49" s="259"/>
      <c r="C49" s="259"/>
      <c r="D49" s="260"/>
      <c r="E49" s="358"/>
      <c r="F49" s="357"/>
      <c r="G49" s="357"/>
      <c r="H49" s="357"/>
      <c r="I49" s="373"/>
      <c r="J49" s="62" t="e">
        <f>IF(AND('Mapa final'!#REF!="Muy Baja",'Mapa final'!#REF!="Leve"),CONCATENATE("R4C",'Mapa final'!#REF!),"")</f>
        <v>#REF!</v>
      </c>
      <c r="K49" s="63" t="e">
        <f>IF(AND('Mapa final'!#REF!="Muy Baja",'Mapa final'!#REF!="Leve"),CONCATENATE("R4C",'Mapa final'!#REF!),"")</f>
        <v>#REF!</v>
      </c>
      <c r="L49" s="63" t="e">
        <f>IF(AND('Mapa final'!#REF!="Muy Baja",'Mapa final'!#REF!="Leve"),CONCATENATE("R4C",'Mapa final'!#REF!),"")</f>
        <v>#REF!</v>
      </c>
      <c r="M49" s="63" t="e">
        <f>IF(AND('Mapa final'!#REF!="Muy Baja",'Mapa final'!#REF!="Leve"),CONCATENATE("R4C",'Mapa final'!#REF!),"")</f>
        <v>#REF!</v>
      </c>
      <c r="N49" s="63" t="e">
        <f>IF(AND('Mapa final'!#REF!="Muy Baja",'Mapa final'!#REF!="Leve"),CONCATENATE("R4C",'Mapa final'!#REF!),"")</f>
        <v>#REF!</v>
      </c>
      <c r="O49" s="64" t="e">
        <f>IF(AND('Mapa final'!#REF!="Muy Baja",'Mapa final'!#REF!="Leve"),CONCATENATE("R4C",'Mapa final'!#REF!),"")</f>
        <v>#REF!</v>
      </c>
      <c r="P49" s="62" t="e">
        <f>IF(AND('Mapa final'!#REF!="Muy Baja",'Mapa final'!#REF!="Menor"),CONCATENATE("R4C",'Mapa final'!#REF!),"")</f>
        <v>#REF!</v>
      </c>
      <c r="Q49" s="63" t="e">
        <f>IF(AND('Mapa final'!#REF!="Muy Baja",'Mapa final'!#REF!="Menor"),CONCATENATE("R4C",'Mapa final'!#REF!),"")</f>
        <v>#REF!</v>
      </c>
      <c r="R49" s="63" t="e">
        <f>IF(AND('Mapa final'!#REF!="Muy Baja",'Mapa final'!#REF!="Menor"),CONCATENATE("R4C",'Mapa final'!#REF!),"")</f>
        <v>#REF!</v>
      </c>
      <c r="S49" s="63" t="e">
        <f>IF(AND('Mapa final'!#REF!="Muy Baja",'Mapa final'!#REF!="Menor"),CONCATENATE("R4C",'Mapa final'!#REF!),"")</f>
        <v>#REF!</v>
      </c>
      <c r="T49" s="63" t="e">
        <f>IF(AND('Mapa final'!#REF!="Muy Baja",'Mapa final'!#REF!="Menor"),CONCATENATE("R4C",'Mapa final'!#REF!),"")</f>
        <v>#REF!</v>
      </c>
      <c r="U49" s="64" t="e">
        <f>IF(AND('Mapa final'!#REF!="Muy Baja",'Mapa final'!#REF!="Menor"),CONCATENATE("R4C",'Mapa final'!#REF!),"")</f>
        <v>#REF!</v>
      </c>
      <c r="V49" s="53" t="e">
        <f>IF(AND('Mapa final'!#REF!="Muy Baja",'Mapa final'!#REF!="Moderado"),CONCATENATE("R4C",'Mapa final'!#REF!),"")</f>
        <v>#REF!</v>
      </c>
      <c r="W49" s="54" t="e">
        <f>IF(AND('Mapa final'!#REF!="Muy Baja",'Mapa final'!#REF!="Moderado"),CONCATENATE("R4C",'Mapa final'!#REF!),"")</f>
        <v>#REF!</v>
      </c>
      <c r="X49" s="54" t="e">
        <f>IF(AND('Mapa final'!#REF!="Muy Baja",'Mapa final'!#REF!="Moderado"),CONCATENATE("R4C",'Mapa final'!#REF!),"")</f>
        <v>#REF!</v>
      </c>
      <c r="Y49" s="54" t="e">
        <f>IF(AND('Mapa final'!#REF!="Muy Baja",'Mapa final'!#REF!="Moderado"),CONCATENATE("R4C",'Mapa final'!#REF!),"")</f>
        <v>#REF!</v>
      </c>
      <c r="Z49" s="54" t="e">
        <f>IF(AND('Mapa final'!#REF!="Muy Baja",'Mapa final'!#REF!="Moderado"),CONCATENATE("R4C",'Mapa final'!#REF!),"")</f>
        <v>#REF!</v>
      </c>
      <c r="AA49" s="55" t="e">
        <f>IF(AND('Mapa final'!#REF!="Muy Baja",'Mapa final'!#REF!="Moderado"),CONCATENATE("R4C",'Mapa final'!#REF!),"")</f>
        <v>#REF!</v>
      </c>
      <c r="AB49" s="38" t="e">
        <f>IF(AND('Mapa final'!#REF!="Muy Baja",'Mapa final'!#REF!="Mayor"),CONCATENATE("R4C",'Mapa final'!#REF!),"")</f>
        <v>#REF!</v>
      </c>
      <c r="AC49" s="39" t="e">
        <f>IF(AND('Mapa final'!#REF!="Muy Baja",'Mapa final'!#REF!="Mayor"),CONCATENATE("R4C",'Mapa final'!#REF!),"")</f>
        <v>#REF!</v>
      </c>
      <c r="AD49" s="39" t="e">
        <f>IF(AND('Mapa final'!#REF!="Muy Baja",'Mapa final'!#REF!="Mayor"),CONCATENATE("R4C",'Mapa final'!#REF!),"")</f>
        <v>#REF!</v>
      </c>
      <c r="AE49" s="39" t="e">
        <f>IF(AND('Mapa final'!#REF!="Muy Baja",'Mapa final'!#REF!="Mayor"),CONCATENATE("R4C",'Mapa final'!#REF!),"")</f>
        <v>#REF!</v>
      </c>
      <c r="AF49" s="39" t="e">
        <f>IF(AND('Mapa final'!#REF!="Muy Baja",'Mapa final'!#REF!="Mayor"),CONCATENATE("R4C",'Mapa final'!#REF!),"")</f>
        <v>#REF!</v>
      </c>
      <c r="AG49" s="40" t="e">
        <f>IF(AND('Mapa final'!#REF!="Muy Baja",'Mapa final'!#REF!="Mayor"),CONCATENATE("R4C",'Mapa final'!#REF!),"")</f>
        <v>#REF!</v>
      </c>
      <c r="AH49" s="41" t="e">
        <f>IF(AND('Mapa final'!#REF!="Muy Baja",'Mapa final'!#REF!="Catastrófico"),CONCATENATE("R4C",'Mapa final'!#REF!),"")</f>
        <v>#REF!</v>
      </c>
      <c r="AI49" s="42" t="e">
        <f>IF(AND('Mapa final'!#REF!="Muy Baja",'Mapa final'!#REF!="Catastrófico"),CONCATENATE("R4C",'Mapa final'!#REF!),"")</f>
        <v>#REF!</v>
      </c>
      <c r="AJ49" s="42" t="e">
        <f>IF(AND('Mapa final'!#REF!="Muy Baja",'Mapa final'!#REF!="Catastrófico"),CONCATENATE("R4C",'Mapa final'!#REF!),"")</f>
        <v>#REF!</v>
      </c>
      <c r="AK49" s="42" t="e">
        <f>IF(AND('Mapa final'!#REF!="Muy Baja",'Mapa final'!#REF!="Catastrófico"),CONCATENATE("R4C",'Mapa final'!#REF!),"")</f>
        <v>#REF!</v>
      </c>
      <c r="AL49" s="42" t="e">
        <f>IF(AND('Mapa final'!#REF!="Muy Baja",'Mapa final'!#REF!="Catastrófico"),CONCATENATE("R4C",'Mapa final'!#REF!),"")</f>
        <v>#REF!</v>
      </c>
      <c r="AM49" s="43" t="e">
        <f>IF(AND('Mapa final'!#REF!="Muy Baja",'Mapa final'!#REF!="Catastrófico"),CONCATENATE("R4C",'Mapa final'!#REF!),"")</f>
        <v>#REF!</v>
      </c>
      <c r="AN49" s="69"/>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c r="BS49" s="69"/>
      <c r="BT49" s="69"/>
      <c r="BU49" s="69"/>
      <c r="BV49" s="69"/>
      <c r="BW49" s="69"/>
      <c r="BX49" s="69"/>
      <c r="BY49" s="69"/>
      <c r="BZ49" s="69"/>
      <c r="CA49" s="69"/>
      <c r="CB49" s="69"/>
    </row>
    <row r="50" spans="1:80" ht="15" customHeight="1" x14ac:dyDescent="0.25">
      <c r="A50" s="69"/>
      <c r="B50" s="259"/>
      <c r="C50" s="259"/>
      <c r="D50" s="260"/>
      <c r="E50" s="358"/>
      <c r="F50" s="357"/>
      <c r="G50" s="357"/>
      <c r="H50" s="357"/>
      <c r="I50" s="373"/>
      <c r="J50" s="62" t="e">
        <f>IF(AND('Mapa final'!#REF!="Muy Baja",'Mapa final'!#REF!="Leve"),CONCATENATE("R5C",'Mapa final'!#REF!),"")</f>
        <v>#REF!</v>
      </c>
      <c r="K50" s="63" t="e">
        <f>IF(AND('Mapa final'!#REF!="Muy Baja",'Mapa final'!#REF!="Leve"),CONCATENATE("R5C",'Mapa final'!#REF!),"")</f>
        <v>#REF!</v>
      </c>
      <c r="L50" s="63" t="e">
        <f>IF(AND('Mapa final'!#REF!="Muy Baja",'Mapa final'!#REF!="Leve"),CONCATENATE("R5C",'Mapa final'!#REF!),"")</f>
        <v>#REF!</v>
      </c>
      <c r="M50" s="63" t="e">
        <f>IF(AND('Mapa final'!#REF!="Muy Baja",'Mapa final'!#REF!="Leve"),CONCATENATE("R5C",'Mapa final'!#REF!),"")</f>
        <v>#REF!</v>
      </c>
      <c r="N50" s="63" t="e">
        <f>IF(AND('Mapa final'!#REF!="Muy Baja",'Mapa final'!#REF!="Leve"),CONCATENATE("R5C",'Mapa final'!#REF!),"")</f>
        <v>#REF!</v>
      </c>
      <c r="O50" s="64" t="e">
        <f>IF(AND('Mapa final'!#REF!="Muy Baja",'Mapa final'!#REF!="Leve"),CONCATENATE("R5C",'Mapa final'!#REF!),"")</f>
        <v>#REF!</v>
      </c>
      <c r="P50" s="62" t="e">
        <f>IF(AND('Mapa final'!#REF!="Muy Baja",'Mapa final'!#REF!="Menor"),CONCATENATE("R5C",'Mapa final'!#REF!),"")</f>
        <v>#REF!</v>
      </c>
      <c r="Q50" s="63" t="e">
        <f>IF(AND('Mapa final'!#REF!="Muy Baja",'Mapa final'!#REF!="Menor"),CONCATENATE("R5C",'Mapa final'!#REF!),"")</f>
        <v>#REF!</v>
      </c>
      <c r="R50" s="63" t="e">
        <f>IF(AND('Mapa final'!#REF!="Muy Baja",'Mapa final'!#REF!="Menor"),CONCATENATE("R5C",'Mapa final'!#REF!),"")</f>
        <v>#REF!</v>
      </c>
      <c r="S50" s="63" t="e">
        <f>IF(AND('Mapa final'!#REF!="Muy Baja",'Mapa final'!#REF!="Menor"),CONCATENATE("R5C",'Mapa final'!#REF!),"")</f>
        <v>#REF!</v>
      </c>
      <c r="T50" s="63" t="e">
        <f>IF(AND('Mapa final'!#REF!="Muy Baja",'Mapa final'!#REF!="Menor"),CONCATENATE("R5C",'Mapa final'!#REF!),"")</f>
        <v>#REF!</v>
      </c>
      <c r="U50" s="64" t="e">
        <f>IF(AND('Mapa final'!#REF!="Muy Baja",'Mapa final'!#REF!="Menor"),CONCATENATE("R5C",'Mapa final'!#REF!),"")</f>
        <v>#REF!</v>
      </c>
      <c r="V50" s="53" t="e">
        <f>IF(AND('Mapa final'!#REF!="Muy Baja",'Mapa final'!#REF!="Moderado"),CONCATENATE("R5C",'Mapa final'!#REF!),"")</f>
        <v>#REF!</v>
      </c>
      <c r="W50" s="54" t="e">
        <f>IF(AND('Mapa final'!#REF!="Muy Baja",'Mapa final'!#REF!="Moderado"),CONCATENATE("R5C",'Mapa final'!#REF!),"")</f>
        <v>#REF!</v>
      </c>
      <c r="X50" s="54" t="e">
        <f>IF(AND('Mapa final'!#REF!="Muy Baja",'Mapa final'!#REF!="Moderado"),CONCATENATE("R5C",'Mapa final'!#REF!),"")</f>
        <v>#REF!</v>
      </c>
      <c r="Y50" s="54" t="e">
        <f>IF(AND('Mapa final'!#REF!="Muy Baja",'Mapa final'!#REF!="Moderado"),CONCATENATE("R5C",'Mapa final'!#REF!),"")</f>
        <v>#REF!</v>
      </c>
      <c r="Z50" s="54" t="e">
        <f>IF(AND('Mapa final'!#REF!="Muy Baja",'Mapa final'!#REF!="Moderado"),CONCATENATE("R5C",'Mapa final'!#REF!),"")</f>
        <v>#REF!</v>
      </c>
      <c r="AA50" s="55" t="e">
        <f>IF(AND('Mapa final'!#REF!="Muy Baja",'Mapa final'!#REF!="Moderado"),CONCATENATE("R5C",'Mapa final'!#REF!),"")</f>
        <v>#REF!</v>
      </c>
      <c r="AB50" s="38" t="e">
        <f>IF(AND('Mapa final'!#REF!="Muy Baja",'Mapa final'!#REF!="Mayor"),CONCATENATE("R5C",'Mapa final'!#REF!),"")</f>
        <v>#REF!</v>
      </c>
      <c r="AC50" s="39" t="e">
        <f>IF(AND('Mapa final'!#REF!="Muy Baja",'Mapa final'!#REF!="Mayor"),CONCATENATE("R5C",'Mapa final'!#REF!),"")</f>
        <v>#REF!</v>
      </c>
      <c r="AD50" s="39" t="e">
        <f>IF(AND('Mapa final'!#REF!="Muy Baja",'Mapa final'!#REF!="Mayor"),CONCATENATE("R5C",'Mapa final'!#REF!),"")</f>
        <v>#REF!</v>
      </c>
      <c r="AE50" s="39" t="e">
        <f>IF(AND('Mapa final'!#REF!="Muy Baja",'Mapa final'!#REF!="Mayor"),CONCATENATE("R5C",'Mapa final'!#REF!),"")</f>
        <v>#REF!</v>
      </c>
      <c r="AF50" s="39" t="e">
        <f>IF(AND('Mapa final'!#REF!="Muy Baja",'Mapa final'!#REF!="Mayor"),CONCATENATE("R5C",'Mapa final'!#REF!),"")</f>
        <v>#REF!</v>
      </c>
      <c r="AG50" s="40" t="e">
        <f>IF(AND('Mapa final'!#REF!="Muy Baja",'Mapa final'!#REF!="Mayor"),CONCATENATE("R5C",'Mapa final'!#REF!),"")</f>
        <v>#REF!</v>
      </c>
      <c r="AH50" s="41" t="e">
        <f>IF(AND('Mapa final'!#REF!="Muy Baja",'Mapa final'!#REF!="Catastrófico"),CONCATENATE("R5C",'Mapa final'!#REF!),"")</f>
        <v>#REF!</v>
      </c>
      <c r="AI50" s="42" t="e">
        <f>IF(AND('Mapa final'!#REF!="Muy Baja",'Mapa final'!#REF!="Catastrófico"),CONCATENATE("R5C",'Mapa final'!#REF!),"")</f>
        <v>#REF!</v>
      </c>
      <c r="AJ50" s="42" t="e">
        <f>IF(AND('Mapa final'!#REF!="Muy Baja",'Mapa final'!#REF!="Catastrófico"),CONCATENATE("R5C",'Mapa final'!#REF!),"")</f>
        <v>#REF!</v>
      </c>
      <c r="AK50" s="42" t="e">
        <f>IF(AND('Mapa final'!#REF!="Muy Baja",'Mapa final'!#REF!="Catastrófico"),CONCATENATE("R5C",'Mapa final'!#REF!),"")</f>
        <v>#REF!</v>
      </c>
      <c r="AL50" s="42" t="e">
        <f>IF(AND('Mapa final'!#REF!="Muy Baja",'Mapa final'!#REF!="Catastrófico"),CONCATENATE("R5C",'Mapa final'!#REF!),"")</f>
        <v>#REF!</v>
      </c>
      <c r="AM50" s="43" t="e">
        <f>IF(AND('Mapa final'!#REF!="Muy Baja",'Mapa final'!#REF!="Catastrófico"),CONCATENATE("R5C",'Mapa final'!#REF!),"")</f>
        <v>#REF!</v>
      </c>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c r="BU50" s="69"/>
      <c r="BV50" s="69"/>
      <c r="BW50" s="69"/>
      <c r="BX50" s="69"/>
      <c r="BY50" s="69"/>
      <c r="BZ50" s="69"/>
      <c r="CA50" s="69"/>
      <c r="CB50" s="69"/>
    </row>
    <row r="51" spans="1:80" ht="15" customHeight="1" x14ac:dyDescent="0.25">
      <c r="A51" s="69"/>
      <c r="B51" s="259"/>
      <c r="C51" s="259"/>
      <c r="D51" s="260"/>
      <c r="E51" s="358"/>
      <c r="F51" s="357"/>
      <c r="G51" s="357"/>
      <c r="H51" s="357"/>
      <c r="I51" s="373"/>
      <c r="J51" s="62" t="e">
        <f>IF(AND('Mapa final'!#REF!="Muy Baja",'Mapa final'!#REF!="Leve"),CONCATENATE("R6C",'Mapa final'!#REF!),"")</f>
        <v>#REF!</v>
      </c>
      <c r="K51" s="63" t="e">
        <f>IF(AND('Mapa final'!#REF!="Muy Baja",'Mapa final'!#REF!="Leve"),CONCATENATE("R6C",'Mapa final'!#REF!),"")</f>
        <v>#REF!</v>
      </c>
      <c r="L51" s="63" t="e">
        <f>IF(AND('Mapa final'!#REF!="Muy Baja",'Mapa final'!#REF!="Leve"),CONCATENATE("R6C",'Mapa final'!#REF!),"")</f>
        <v>#REF!</v>
      </c>
      <c r="M51" s="63" t="e">
        <f>IF(AND('Mapa final'!#REF!="Muy Baja",'Mapa final'!#REF!="Leve"),CONCATENATE("R6C",'Mapa final'!#REF!),"")</f>
        <v>#REF!</v>
      </c>
      <c r="N51" s="63" t="e">
        <f>IF(AND('Mapa final'!#REF!="Muy Baja",'Mapa final'!#REF!="Leve"),CONCATENATE("R6C",'Mapa final'!#REF!),"")</f>
        <v>#REF!</v>
      </c>
      <c r="O51" s="64" t="e">
        <f>IF(AND('Mapa final'!#REF!="Muy Baja",'Mapa final'!#REF!="Leve"),CONCATENATE("R6C",'Mapa final'!#REF!),"")</f>
        <v>#REF!</v>
      </c>
      <c r="P51" s="62" t="e">
        <f>IF(AND('Mapa final'!#REF!="Muy Baja",'Mapa final'!#REF!="Menor"),CONCATENATE("R6C",'Mapa final'!#REF!),"")</f>
        <v>#REF!</v>
      </c>
      <c r="Q51" s="63" t="e">
        <f>IF(AND('Mapa final'!#REF!="Muy Baja",'Mapa final'!#REF!="Menor"),CONCATENATE("R6C",'Mapa final'!#REF!),"")</f>
        <v>#REF!</v>
      </c>
      <c r="R51" s="63" t="e">
        <f>IF(AND('Mapa final'!#REF!="Muy Baja",'Mapa final'!#REF!="Menor"),CONCATENATE("R6C",'Mapa final'!#REF!),"")</f>
        <v>#REF!</v>
      </c>
      <c r="S51" s="63" t="e">
        <f>IF(AND('Mapa final'!#REF!="Muy Baja",'Mapa final'!#REF!="Menor"),CONCATENATE("R6C",'Mapa final'!#REF!),"")</f>
        <v>#REF!</v>
      </c>
      <c r="T51" s="63" t="e">
        <f>IF(AND('Mapa final'!#REF!="Muy Baja",'Mapa final'!#REF!="Menor"),CONCATENATE("R6C",'Mapa final'!#REF!),"")</f>
        <v>#REF!</v>
      </c>
      <c r="U51" s="64" t="e">
        <f>IF(AND('Mapa final'!#REF!="Muy Baja",'Mapa final'!#REF!="Menor"),CONCATENATE("R6C",'Mapa final'!#REF!),"")</f>
        <v>#REF!</v>
      </c>
      <c r="V51" s="53" t="e">
        <f>IF(AND('Mapa final'!#REF!="Muy Baja",'Mapa final'!#REF!="Moderado"),CONCATENATE("R6C",'Mapa final'!#REF!),"")</f>
        <v>#REF!</v>
      </c>
      <c r="W51" s="54" t="e">
        <f>IF(AND('Mapa final'!#REF!="Muy Baja",'Mapa final'!#REF!="Moderado"),CONCATENATE("R6C",'Mapa final'!#REF!),"")</f>
        <v>#REF!</v>
      </c>
      <c r="X51" s="54" t="e">
        <f>IF(AND('Mapa final'!#REF!="Muy Baja",'Mapa final'!#REF!="Moderado"),CONCATENATE("R6C",'Mapa final'!#REF!),"")</f>
        <v>#REF!</v>
      </c>
      <c r="Y51" s="54" t="e">
        <f>IF(AND('Mapa final'!#REF!="Muy Baja",'Mapa final'!#REF!="Moderado"),CONCATENATE("R6C",'Mapa final'!#REF!),"")</f>
        <v>#REF!</v>
      </c>
      <c r="Z51" s="54" t="e">
        <f>IF(AND('Mapa final'!#REF!="Muy Baja",'Mapa final'!#REF!="Moderado"),CONCATENATE("R6C",'Mapa final'!#REF!),"")</f>
        <v>#REF!</v>
      </c>
      <c r="AA51" s="55" t="e">
        <f>IF(AND('Mapa final'!#REF!="Muy Baja",'Mapa final'!#REF!="Moderado"),CONCATENATE("R6C",'Mapa final'!#REF!),"")</f>
        <v>#REF!</v>
      </c>
      <c r="AB51" s="38" t="e">
        <f>IF(AND('Mapa final'!#REF!="Muy Baja",'Mapa final'!#REF!="Mayor"),CONCATENATE("R6C",'Mapa final'!#REF!),"")</f>
        <v>#REF!</v>
      </c>
      <c r="AC51" s="39" t="e">
        <f>IF(AND('Mapa final'!#REF!="Muy Baja",'Mapa final'!#REF!="Mayor"),CONCATENATE("R6C",'Mapa final'!#REF!),"")</f>
        <v>#REF!</v>
      </c>
      <c r="AD51" s="39" t="e">
        <f>IF(AND('Mapa final'!#REF!="Muy Baja",'Mapa final'!#REF!="Mayor"),CONCATENATE("R6C",'Mapa final'!#REF!),"")</f>
        <v>#REF!</v>
      </c>
      <c r="AE51" s="39" t="e">
        <f>IF(AND('Mapa final'!#REF!="Muy Baja",'Mapa final'!#REF!="Mayor"),CONCATENATE("R6C",'Mapa final'!#REF!),"")</f>
        <v>#REF!</v>
      </c>
      <c r="AF51" s="39" t="e">
        <f>IF(AND('Mapa final'!#REF!="Muy Baja",'Mapa final'!#REF!="Mayor"),CONCATENATE("R6C",'Mapa final'!#REF!),"")</f>
        <v>#REF!</v>
      </c>
      <c r="AG51" s="40" t="e">
        <f>IF(AND('Mapa final'!#REF!="Muy Baja",'Mapa final'!#REF!="Mayor"),CONCATENATE("R6C",'Mapa final'!#REF!),"")</f>
        <v>#REF!</v>
      </c>
      <c r="AH51" s="41" t="e">
        <f>IF(AND('Mapa final'!#REF!="Muy Baja",'Mapa final'!#REF!="Catastrófico"),CONCATENATE("R6C",'Mapa final'!#REF!),"")</f>
        <v>#REF!</v>
      </c>
      <c r="AI51" s="42" t="e">
        <f>IF(AND('Mapa final'!#REF!="Muy Baja",'Mapa final'!#REF!="Catastrófico"),CONCATENATE("R6C",'Mapa final'!#REF!),"")</f>
        <v>#REF!</v>
      </c>
      <c r="AJ51" s="42" t="e">
        <f>IF(AND('Mapa final'!#REF!="Muy Baja",'Mapa final'!#REF!="Catastrófico"),CONCATENATE("R6C",'Mapa final'!#REF!),"")</f>
        <v>#REF!</v>
      </c>
      <c r="AK51" s="42" t="e">
        <f>IF(AND('Mapa final'!#REF!="Muy Baja",'Mapa final'!#REF!="Catastrófico"),CONCATENATE("R6C",'Mapa final'!#REF!),"")</f>
        <v>#REF!</v>
      </c>
      <c r="AL51" s="42" t="e">
        <f>IF(AND('Mapa final'!#REF!="Muy Baja",'Mapa final'!#REF!="Catastrófico"),CONCATENATE("R6C",'Mapa final'!#REF!),"")</f>
        <v>#REF!</v>
      </c>
      <c r="AM51" s="43" t="e">
        <f>IF(AND('Mapa final'!#REF!="Muy Baja",'Mapa final'!#REF!="Catastrófico"),CONCATENATE("R6C",'Mapa final'!#REF!),"")</f>
        <v>#REF!</v>
      </c>
      <c r="AN51" s="69"/>
      <c r="AO51" s="69"/>
      <c r="AP51" s="69"/>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c r="BS51" s="69"/>
      <c r="BT51" s="69"/>
      <c r="BU51" s="69"/>
      <c r="BV51" s="69"/>
      <c r="BW51" s="69"/>
      <c r="BX51" s="69"/>
      <c r="BY51" s="69"/>
      <c r="BZ51" s="69"/>
      <c r="CA51" s="69"/>
      <c r="CB51" s="69"/>
    </row>
    <row r="52" spans="1:80" ht="15" customHeight="1" x14ac:dyDescent="0.25">
      <c r="A52" s="69"/>
      <c r="B52" s="259"/>
      <c r="C52" s="259"/>
      <c r="D52" s="260"/>
      <c r="E52" s="358"/>
      <c r="F52" s="357"/>
      <c r="G52" s="357"/>
      <c r="H52" s="357"/>
      <c r="I52" s="373"/>
      <c r="J52" s="62" t="e">
        <f>IF(AND('Mapa final'!#REF!="Muy Baja",'Mapa final'!#REF!="Leve"),CONCATENATE("R7C",'Mapa final'!#REF!),"")</f>
        <v>#REF!</v>
      </c>
      <c r="K52" s="63" t="e">
        <f>IF(AND('Mapa final'!#REF!="Muy Baja",'Mapa final'!#REF!="Leve"),CONCATENATE("R7C",'Mapa final'!#REF!),"")</f>
        <v>#REF!</v>
      </c>
      <c r="L52" s="63" t="e">
        <f>IF(AND('Mapa final'!#REF!="Muy Baja",'Mapa final'!#REF!="Leve"),CONCATENATE("R7C",'Mapa final'!#REF!),"")</f>
        <v>#REF!</v>
      </c>
      <c r="M52" s="63" t="e">
        <f>IF(AND('Mapa final'!#REF!="Muy Baja",'Mapa final'!#REF!="Leve"),CONCATENATE("R7C",'Mapa final'!#REF!),"")</f>
        <v>#REF!</v>
      </c>
      <c r="N52" s="63" t="e">
        <f>IF(AND('Mapa final'!#REF!="Muy Baja",'Mapa final'!#REF!="Leve"),CONCATENATE("R7C",'Mapa final'!#REF!),"")</f>
        <v>#REF!</v>
      </c>
      <c r="O52" s="64" t="e">
        <f>IF(AND('Mapa final'!#REF!="Muy Baja",'Mapa final'!#REF!="Leve"),CONCATENATE("R7C",'Mapa final'!#REF!),"")</f>
        <v>#REF!</v>
      </c>
      <c r="P52" s="62" t="e">
        <f>IF(AND('Mapa final'!#REF!="Muy Baja",'Mapa final'!#REF!="Menor"),CONCATENATE("R7C",'Mapa final'!#REF!),"")</f>
        <v>#REF!</v>
      </c>
      <c r="Q52" s="63" t="e">
        <f>IF(AND('Mapa final'!#REF!="Muy Baja",'Mapa final'!#REF!="Menor"),CONCATENATE("R7C",'Mapa final'!#REF!),"")</f>
        <v>#REF!</v>
      </c>
      <c r="R52" s="63" t="e">
        <f>IF(AND('Mapa final'!#REF!="Muy Baja",'Mapa final'!#REF!="Menor"),CONCATENATE("R7C",'Mapa final'!#REF!),"")</f>
        <v>#REF!</v>
      </c>
      <c r="S52" s="63" t="e">
        <f>IF(AND('Mapa final'!#REF!="Muy Baja",'Mapa final'!#REF!="Menor"),CONCATENATE("R7C",'Mapa final'!#REF!),"")</f>
        <v>#REF!</v>
      </c>
      <c r="T52" s="63" t="e">
        <f>IF(AND('Mapa final'!#REF!="Muy Baja",'Mapa final'!#REF!="Menor"),CONCATENATE("R7C",'Mapa final'!#REF!),"")</f>
        <v>#REF!</v>
      </c>
      <c r="U52" s="64" t="e">
        <f>IF(AND('Mapa final'!#REF!="Muy Baja",'Mapa final'!#REF!="Menor"),CONCATENATE("R7C",'Mapa final'!#REF!),"")</f>
        <v>#REF!</v>
      </c>
      <c r="V52" s="53" t="e">
        <f>IF(AND('Mapa final'!#REF!="Muy Baja",'Mapa final'!#REF!="Moderado"),CONCATENATE("R7C",'Mapa final'!#REF!),"")</f>
        <v>#REF!</v>
      </c>
      <c r="W52" s="54" t="e">
        <f>IF(AND('Mapa final'!#REF!="Muy Baja",'Mapa final'!#REF!="Moderado"),CONCATENATE("R7C",'Mapa final'!#REF!),"")</f>
        <v>#REF!</v>
      </c>
      <c r="X52" s="54" t="e">
        <f>IF(AND('Mapa final'!#REF!="Muy Baja",'Mapa final'!#REF!="Moderado"),CONCATENATE("R7C",'Mapa final'!#REF!),"")</f>
        <v>#REF!</v>
      </c>
      <c r="Y52" s="54" t="e">
        <f>IF(AND('Mapa final'!#REF!="Muy Baja",'Mapa final'!#REF!="Moderado"),CONCATENATE("R7C",'Mapa final'!#REF!),"")</f>
        <v>#REF!</v>
      </c>
      <c r="Z52" s="54" t="e">
        <f>IF(AND('Mapa final'!#REF!="Muy Baja",'Mapa final'!#REF!="Moderado"),CONCATENATE("R7C",'Mapa final'!#REF!),"")</f>
        <v>#REF!</v>
      </c>
      <c r="AA52" s="55" t="e">
        <f>IF(AND('Mapa final'!#REF!="Muy Baja",'Mapa final'!#REF!="Moderado"),CONCATENATE("R7C",'Mapa final'!#REF!),"")</f>
        <v>#REF!</v>
      </c>
      <c r="AB52" s="38" t="e">
        <f>IF(AND('Mapa final'!#REF!="Muy Baja",'Mapa final'!#REF!="Mayor"),CONCATENATE("R7C",'Mapa final'!#REF!),"")</f>
        <v>#REF!</v>
      </c>
      <c r="AC52" s="39" t="e">
        <f>IF(AND('Mapa final'!#REF!="Muy Baja",'Mapa final'!#REF!="Mayor"),CONCATENATE("R7C",'Mapa final'!#REF!),"")</f>
        <v>#REF!</v>
      </c>
      <c r="AD52" s="39" t="e">
        <f>IF(AND('Mapa final'!#REF!="Muy Baja",'Mapa final'!#REF!="Mayor"),CONCATENATE("R7C",'Mapa final'!#REF!),"")</f>
        <v>#REF!</v>
      </c>
      <c r="AE52" s="39" t="e">
        <f>IF(AND('Mapa final'!#REF!="Muy Baja",'Mapa final'!#REF!="Mayor"),CONCATENATE("R7C",'Mapa final'!#REF!),"")</f>
        <v>#REF!</v>
      </c>
      <c r="AF52" s="39" t="e">
        <f>IF(AND('Mapa final'!#REF!="Muy Baja",'Mapa final'!#REF!="Mayor"),CONCATENATE("R7C",'Mapa final'!#REF!),"")</f>
        <v>#REF!</v>
      </c>
      <c r="AG52" s="40" t="e">
        <f>IF(AND('Mapa final'!#REF!="Muy Baja",'Mapa final'!#REF!="Mayor"),CONCATENATE("R7C",'Mapa final'!#REF!),"")</f>
        <v>#REF!</v>
      </c>
      <c r="AH52" s="41" t="e">
        <f>IF(AND('Mapa final'!#REF!="Muy Baja",'Mapa final'!#REF!="Catastrófico"),CONCATENATE("R7C",'Mapa final'!#REF!),"")</f>
        <v>#REF!</v>
      </c>
      <c r="AI52" s="42" t="e">
        <f>IF(AND('Mapa final'!#REF!="Muy Baja",'Mapa final'!#REF!="Catastrófico"),CONCATENATE("R7C",'Mapa final'!#REF!),"")</f>
        <v>#REF!</v>
      </c>
      <c r="AJ52" s="42" t="e">
        <f>IF(AND('Mapa final'!#REF!="Muy Baja",'Mapa final'!#REF!="Catastrófico"),CONCATENATE("R7C",'Mapa final'!#REF!),"")</f>
        <v>#REF!</v>
      </c>
      <c r="AK52" s="42" t="e">
        <f>IF(AND('Mapa final'!#REF!="Muy Baja",'Mapa final'!#REF!="Catastrófico"),CONCATENATE("R7C",'Mapa final'!#REF!),"")</f>
        <v>#REF!</v>
      </c>
      <c r="AL52" s="42" t="e">
        <f>IF(AND('Mapa final'!#REF!="Muy Baja",'Mapa final'!#REF!="Catastrófico"),CONCATENATE("R7C",'Mapa final'!#REF!),"")</f>
        <v>#REF!</v>
      </c>
      <c r="AM52" s="43" t="e">
        <f>IF(AND('Mapa final'!#REF!="Muy Baja",'Mapa final'!#REF!="Catastrófico"),CONCATENATE("R7C",'Mapa final'!#REF!),"")</f>
        <v>#REF!</v>
      </c>
      <c r="AN52" s="69"/>
      <c r="AO52" s="69"/>
      <c r="AP52" s="69"/>
      <c r="AQ52" s="69"/>
      <c r="AR52" s="69"/>
      <c r="AS52" s="69"/>
      <c r="AT52" s="69"/>
      <c r="AU52" s="69"/>
      <c r="AV52" s="69"/>
      <c r="AW52" s="69"/>
      <c r="AX52" s="69"/>
      <c r="AY52" s="69"/>
      <c r="AZ52" s="69"/>
      <c r="BA52" s="69"/>
      <c r="BB52" s="69"/>
      <c r="BC52" s="69"/>
      <c r="BD52" s="69"/>
      <c r="BE52" s="69"/>
      <c r="BF52" s="69"/>
      <c r="BG52" s="69"/>
      <c r="BH52" s="69"/>
      <c r="BI52" s="69"/>
      <c r="BJ52" s="69"/>
      <c r="BK52" s="69"/>
      <c r="BL52" s="69"/>
      <c r="BM52" s="69"/>
      <c r="BN52" s="69"/>
      <c r="BO52" s="69"/>
      <c r="BP52" s="69"/>
      <c r="BQ52" s="69"/>
      <c r="BR52" s="69"/>
      <c r="BS52" s="69"/>
      <c r="BT52" s="69"/>
      <c r="BU52" s="69"/>
      <c r="BV52" s="69"/>
      <c r="BW52" s="69"/>
      <c r="BX52" s="69"/>
      <c r="BY52" s="69"/>
      <c r="BZ52" s="69"/>
      <c r="CA52" s="69"/>
      <c r="CB52" s="69"/>
    </row>
    <row r="53" spans="1:80" ht="15" customHeight="1" x14ac:dyDescent="0.25">
      <c r="A53" s="69"/>
      <c r="B53" s="259"/>
      <c r="C53" s="259"/>
      <c r="D53" s="260"/>
      <c r="E53" s="358"/>
      <c r="F53" s="357"/>
      <c r="G53" s="357"/>
      <c r="H53" s="357"/>
      <c r="I53" s="373"/>
      <c r="J53" s="62" t="e">
        <f>IF(AND('Mapa final'!#REF!="Muy Baja",'Mapa final'!#REF!="Leve"),CONCATENATE("R8C",'Mapa final'!#REF!),"")</f>
        <v>#REF!</v>
      </c>
      <c r="K53" s="63" t="e">
        <f>IF(AND('Mapa final'!#REF!="Muy Baja",'Mapa final'!#REF!="Leve"),CONCATENATE("R8C",'Mapa final'!#REF!),"")</f>
        <v>#REF!</v>
      </c>
      <c r="L53" s="63" t="e">
        <f>IF(AND('Mapa final'!#REF!="Muy Baja",'Mapa final'!#REF!="Leve"),CONCATENATE("R8C",'Mapa final'!#REF!),"")</f>
        <v>#REF!</v>
      </c>
      <c r="M53" s="63" t="e">
        <f>IF(AND('Mapa final'!#REF!="Muy Baja",'Mapa final'!#REF!="Leve"),CONCATENATE("R8C",'Mapa final'!#REF!),"")</f>
        <v>#REF!</v>
      </c>
      <c r="N53" s="63" t="e">
        <f>IF(AND('Mapa final'!#REF!="Muy Baja",'Mapa final'!#REF!="Leve"),CONCATENATE("R8C",'Mapa final'!#REF!),"")</f>
        <v>#REF!</v>
      </c>
      <c r="O53" s="64" t="e">
        <f>IF(AND('Mapa final'!#REF!="Muy Baja",'Mapa final'!#REF!="Leve"),CONCATENATE("R8C",'Mapa final'!#REF!),"")</f>
        <v>#REF!</v>
      </c>
      <c r="P53" s="62" t="e">
        <f>IF(AND('Mapa final'!#REF!="Muy Baja",'Mapa final'!#REF!="Menor"),CONCATENATE("R8C",'Mapa final'!#REF!),"")</f>
        <v>#REF!</v>
      </c>
      <c r="Q53" s="63" t="e">
        <f>IF(AND('Mapa final'!#REF!="Muy Baja",'Mapa final'!#REF!="Menor"),CONCATENATE("R8C",'Mapa final'!#REF!),"")</f>
        <v>#REF!</v>
      </c>
      <c r="R53" s="63" t="e">
        <f>IF(AND('Mapa final'!#REF!="Muy Baja",'Mapa final'!#REF!="Menor"),CONCATENATE("R8C",'Mapa final'!#REF!),"")</f>
        <v>#REF!</v>
      </c>
      <c r="S53" s="63" t="e">
        <f>IF(AND('Mapa final'!#REF!="Muy Baja",'Mapa final'!#REF!="Menor"),CONCATENATE("R8C",'Mapa final'!#REF!),"")</f>
        <v>#REF!</v>
      </c>
      <c r="T53" s="63" t="e">
        <f>IF(AND('Mapa final'!#REF!="Muy Baja",'Mapa final'!#REF!="Menor"),CONCATENATE("R8C",'Mapa final'!#REF!),"")</f>
        <v>#REF!</v>
      </c>
      <c r="U53" s="64" t="e">
        <f>IF(AND('Mapa final'!#REF!="Muy Baja",'Mapa final'!#REF!="Menor"),CONCATENATE("R8C",'Mapa final'!#REF!),"")</f>
        <v>#REF!</v>
      </c>
      <c r="V53" s="53" t="e">
        <f>IF(AND('Mapa final'!#REF!="Muy Baja",'Mapa final'!#REF!="Moderado"),CONCATENATE("R8C",'Mapa final'!#REF!),"")</f>
        <v>#REF!</v>
      </c>
      <c r="W53" s="54" t="e">
        <f>IF(AND('Mapa final'!#REF!="Muy Baja",'Mapa final'!#REF!="Moderado"),CONCATENATE("R8C",'Mapa final'!#REF!),"")</f>
        <v>#REF!</v>
      </c>
      <c r="X53" s="54" t="e">
        <f>IF(AND('Mapa final'!#REF!="Muy Baja",'Mapa final'!#REF!="Moderado"),CONCATENATE("R8C",'Mapa final'!#REF!),"")</f>
        <v>#REF!</v>
      </c>
      <c r="Y53" s="54" t="e">
        <f>IF(AND('Mapa final'!#REF!="Muy Baja",'Mapa final'!#REF!="Moderado"),CONCATENATE("R8C",'Mapa final'!#REF!),"")</f>
        <v>#REF!</v>
      </c>
      <c r="Z53" s="54" t="e">
        <f>IF(AND('Mapa final'!#REF!="Muy Baja",'Mapa final'!#REF!="Moderado"),CONCATENATE("R8C",'Mapa final'!#REF!),"")</f>
        <v>#REF!</v>
      </c>
      <c r="AA53" s="55" t="e">
        <f>IF(AND('Mapa final'!#REF!="Muy Baja",'Mapa final'!#REF!="Moderado"),CONCATENATE("R8C",'Mapa final'!#REF!),"")</f>
        <v>#REF!</v>
      </c>
      <c r="AB53" s="38" t="e">
        <f>IF(AND('Mapa final'!#REF!="Muy Baja",'Mapa final'!#REF!="Mayor"),CONCATENATE("R8C",'Mapa final'!#REF!),"")</f>
        <v>#REF!</v>
      </c>
      <c r="AC53" s="39" t="e">
        <f>IF(AND('Mapa final'!#REF!="Muy Baja",'Mapa final'!#REF!="Mayor"),CONCATENATE("R8C",'Mapa final'!#REF!),"")</f>
        <v>#REF!</v>
      </c>
      <c r="AD53" s="39" t="e">
        <f>IF(AND('Mapa final'!#REF!="Muy Baja",'Mapa final'!#REF!="Mayor"),CONCATENATE("R8C",'Mapa final'!#REF!),"")</f>
        <v>#REF!</v>
      </c>
      <c r="AE53" s="39" t="e">
        <f>IF(AND('Mapa final'!#REF!="Muy Baja",'Mapa final'!#REF!="Mayor"),CONCATENATE("R8C",'Mapa final'!#REF!),"")</f>
        <v>#REF!</v>
      </c>
      <c r="AF53" s="39" t="e">
        <f>IF(AND('Mapa final'!#REF!="Muy Baja",'Mapa final'!#REF!="Mayor"),CONCATENATE("R8C",'Mapa final'!#REF!),"")</f>
        <v>#REF!</v>
      </c>
      <c r="AG53" s="40" t="e">
        <f>IF(AND('Mapa final'!#REF!="Muy Baja",'Mapa final'!#REF!="Mayor"),CONCATENATE("R8C",'Mapa final'!#REF!),"")</f>
        <v>#REF!</v>
      </c>
      <c r="AH53" s="41" t="e">
        <f>IF(AND('Mapa final'!#REF!="Muy Baja",'Mapa final'!#REF!="Catastrófico"),CONCATENATE("R8C",'Mapa final'!#REF!),"")</f>
        <v>#REF!</v>
      </c>
      <c r="AI53" s="42" t="e">
        <f>IF(AND('Mapa final'!#REF!="Muy Baja",'Mapa final'!#REF!="Catastrófico"),CONCATENATE("R8C",'Mapa final'!#REF!),"")</f>
        <v>#REF!</v>
      </c>
      <c r="AJ53" s="42" t="e">
        <f>IF(AND('Mapa final'!#REF!="Muy Baja",'Mapa final'!#REF!="Catastrófico"),CONCATENATE("R8C",'Mapa final'!#REF!),"")</f>
        <v>#REF!</v>
      </c>
      <c r="AK53" s="42" t="e">
        <f>IF(AND('Mapa final'!#REF!="Muy Baja",'Mapa final'!#REF!="Catastrófico"),CONCATENATE("R8C",'Mapa final'!#REF!),"")</f>
        <v>#REF!</v>
      </c>
      <c r="AL53" s="42" t="e">
        <f>IF(AND('Mapa final'!#REF!="Muy Baja",'Mapa final'!#REF!="Catastrófico"),CONCATENATE("R8C",'Mapa final'!#REF!),"")</f>
        <v>#REF!</v>
      </c>
      <c r="AM53" s="43" t="e">
        <f>IF(AND('Mapa final'!#REF!="Muy Baja",'Mapa final'!#REF!="Catastrófico"),CONCATENATE("R8C",'Mapa final'!#REF!),"")</f>
        <v>#REF!</v>
      </c>
      <c r="AN53" s="69"/>
      <c r="AO53" s="69"/>
      <c r="AP53" s="69"/>
      <c r="AQ53" s="69"/>
      <c r="AR53" s="69"/>
      <c r="AS53" s="69"/>
      <c r="AT53" s="69"/>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row>
    <row r="54" spans="1:80" ht="15" customHeight="1" x14ac:dyDescent="0.25">
      <c r="A54" s="69"/>
      <c r="B54" s="259"/>
      <c r="C54" s="259"/>
      <c r="D54" s="260"/>
      <c r="E54" s="358"/>
      <c r="F54" s="357"/>
      <c r="G54" s="357"/>
      <c r="H54" s="357"/>
      <c r="I54" s="373"/>
      <c r="J54" s="62" t="e">
        <f>IF(AND('Mapa final'!#REF!="Muy Baja",'Mapa final'!#REF!="Leve"),CONCATENATE("R9C",'Mapa final'!#REF!),"")</f>
        <v>#REF!</v>
      </c>
      <c r="K54" s="63" t="e">
        <f>IF(AND('Mapa final'!#REF!="Muy Baja",'Mapa final'!#REF!="Leve"),CONCATENATE("R9C",'Mapa final'!#REF!),"")</f>
        <v>#REF!</v>
      </c>
      <c r="L54" s="63" t="e">
        <f>IF(AND('Mapa final'!#REF!="Muy Baja",'Mapa final'!#REF!="Leve"),CONCATENATE("R9C",'Mapa final'!#REF!),"")</f>
        <v>#REF!</v>
      </c>
      <c r="M54" s="63" t="e">
        <f>IF(AND('Mapa final'!#REF!="Muy Baja",'Mapa final'!#REF!="Leve"),CONCATENATE("R9C",'Mapa final'!#REF!),"")</f>
        <v>#REF!</v>
      </c>
      <c r="N54" s="63" t="e">
        <f>IF(AND('Mapa final'!#REF!="Muy Baja",'Mapa final'!#REF!="Leve"),CONCATENATE("R9C",'Mapa final'!#REF!),"")</f>
        <v>#REF!</v>
      </c>
      <c r="O54" s="64" t="e">
        <f>IF(AND('Mapa final'!#REF!="Muy Baja",'Mapa final'!#REF!="Leve"),CONCATENATE("R9C",'Mapa final'!#REF!),"")</f>
        <v>#REF!</v>
      </c>
      <c r="P54" s="62" t="e">
        <f>IF(AND('Mapa final'!#REF!="Muy Baja",'Mapa final'!#REF!="Menor"),CONCATENATE("R9C",'Mapa final'!#REF!),"")</f>
        <v>#REF!</v>
      </c>
      <c r="Q54" s="63" t="e">
        <f>IF(AND('Mapa final'!#REF!="Muy Baja",'Mapa final'!#REF!="Menor"),CONCATENATE("R9C",'Mapa final'!#REF!),"")</f>
        <v>#REF!</v>
      </c>
      <c r="R54" s="63" t="e">
        <f>IF(AND('Mapa final'!#REF!="Muy Baja",'Mapa final'!#REF!="Menor"),CONCATENATE("R9C",'Mapa final'!#REF!),"")</f>
        <v>#REF!</v>
      </c>
      <c r="S54" s="63" t="e">
        <f>IF(AND('Mapa final'!#REF!="Muy Baja",'Mapa final'!#REF!="Menor"),CONCATENATE("R9C",'Mapa final'!#REF!),"")</f>
        <v>#REF!</v>
      </c>
      <c r="T54" s="63" t="e">
        <f>IF(AND('Mapa final'!#REF!="Muy Baja",'Mapa final'!#REF!="Menor"),CONCATENATE("R9C",'Mapa final'!#REF!),"")</f>
        <v>#REF!</v>
      </c>
      <c r="U54" s="64" t="e">
        <f>IF(AND('Mapa final'!#REF!="Muy Baja",'Mapa final'!#REF!="Menor"),CONCATENATE("R9C",'Mapa final'!#REF!),"")</f>
        <v>#REF!</v>
      </c>
      <c r="V54" s="53" t="e">
        <f>IF(AND('Mapa final'!#REF!="Muy Baja",'Mapa final'!#REF!="Moderado"),CONCATENATE("R9C",'Mapa final'!#REF!),"")</f>
        <v>#REF!</v>
      </c>
      <c r="W54" s="54" t="e">
        <f>IF(AND('Mapa final'!#REF!="Muy Baja",'Mapa final'!#REF!="Moderado"),CONCATENATE("R9C",'Mapa final'!#REF!),"")</f>
        <v>#REF!</v>
      </c>
      <c r="X54" s="54" t="e">
        <f>IF(AND('Mapa final'!#REF!="Muy Baja",'Mapa final'!#REF!="Moderado"),CONCATENATE("R9C",'Mapa final'!#REF!),"")</f>
        <v>#REF!</v>
      </c>
      <c r="Y54" s="54" t="e">
        <f>IF(AND('Mapa final'!#REF!="Muy Baja",'Mapa final'!#REF!="Moderado"),CONCATENATE("R9C",'Mapa final'!#REF!),"")</f>
        <v>#REF!</v>
      </c>
      <c r="Z54" s="54" t="e">
        <f>IF(AND('Mapa final'!#REF!="Muy Baja",'Mapa final'!#REF!="Moderado"),CONCATENATE("R9C",'Mapa final'!#REF!),"")</f>
        <v>#REF!</v>
      </c>
      <c r="AA54" s="55" t="e">
        <f>IF(AND('Mapa final'!#REF!="Muy Baja",'Mapa final'!#REF!="Moderado"),CONCATENATE("R9C",'Mapa final'!#REF!),"")</f>
        <v>#REF!</v>
      </c>
      <c r="AB54" s="38" t="e">
        <f>IF(AND('Mapa final'!#REF!="Muy Baja",'Mapa final'!#REF!="Mayor"),CONCATENATE("R9C",'Mapa final'!#REF!),"")</f>
        <v>#REF!</v>
      </c>
      <c r="AC54" s="39" t="e">
        <f>IF(AND('Mapa final'!#REF!="Muy Baja",'Mapa final'!#REF!="Mayor"),CONCATENATE("R9C",'Mapa final'!#REF!),"")</f>
        <v>#REF!</v>
      </c>
      <c r="AD54" s="39" t="e">
        <f>IF(AND('Mapa final'!#REF!="Muy Baja",'Mapa final'!#REF!="Mayor"),CONCATENATE("R9C",'Mapa final'!#REF!),"")</f>
        <v>#REF!</v>
      </c>
      <c r="AE54" s="39" t="e">
        <f>IF(AND('Mapa final'!#REF!="Muy Baja",'Mapa final'!#REF!="Mayor"),CONCATENATE("R9C",'Mapa final'!#REF!),"")</f>
        <v>#REF!</v>
      </c>
      <c r="AF54" s="39" t="e">
        <f>IF(AND('Mapa final'!#REF!="Muy Baja",'Mapa final'!#REF!="Mayor"),CONCATENATE("R9C",'Mapa final'!#REF!),"")</f>
        <v>#REF!</v>
      </c>
      <c r="AG54" s="40" t="e">
        <f>IF(AND('Mapa final'!#REF!="Muy Baja",'Mapa final'!#REF!="Mayor"),CONCATENATE("R9C",'Mapa final'!#REF!),"")</f>
        <v>#REF!</v>
      </c>
      <c r="AH54" s="41" t="e">
        <f>IF(AND('Mapa final'!#REF!="Muy Baja",'Mapa final'!#REF!="Catastrófico"),CONCATENATE("R9C",'Mapa final'!#REF!),"")</f>
        <v>#REF!</v>
      </c>
      <c r="AI54" s="42" t="e">
        <f>IF(AND('Mapa final'!#REF!="Muy Baja",'Mapa final'!#REF!="Catastrófico"),CONCATENATE("R9C",'Mapa final'!#REF!),"")</f>
        <v>#REF!</v>
      </c>
      <c r="AJ54" s="42" t="e">
        <f>IF(AND('Mapa final'!#REF!="Muy Baja",'Mapa final'!#REF!="Catastrófico"),CONCATENATE("R9C",'Mapa final'!#REF!),"")</f>
        <v>#REF!</v>
      </c>
      <c r="AK54" s="42" t="e">
        <f>IF(AND('Mapa final'!#REF!="Muy Baja",'Mapa final'!#REF!="Catastrófico"),CONCATENATE("R9C",'Mapa final'!#REF!),"")</f>
        <v>#REF!</v>
      </c>
      <c r="AL54" s="42" t="e">
        <f>IF(AND('Mapa final'!#REF!="Muy Baja",'Mapa final'!#REF!="Catastrófico"),CONCATENATE("R9C",'Mapa final'!#REF!),"")</f>
        <v>#REF!</v>
      </c>
      <c r="AM54" s="43" t="e">
        <f>IF(AND('Mapa final'!#REF!="Muy Baja",'Mapa final'!#REF!="Catastrófico"),CONCATENATE("R9C",'Mapa final'!#REF!),"")</f>
        <v>#REF!</v>
      </c>
      <c r="AN54" s="69"/>
      <c r="AO54" s="69"/>
      <c r="AP54" s="69"/>
      <c r="AQ54" s="69"/>
      <c r="AR54" s="69"/>
      <c r="AS54" s="69"/>
      <c r="AT54" s="69"/>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69"/>
      <c r="BV54" s="69"/>
      <c r="BW54" s="69"/>
      <c r="BX54" s="69"/>
      <c r="BY54" s="69"/>
      <c r="BZ54" s="69"/>
      <c r="CA54" s="69"/>
      <c r="CB54" s="69"/>
    </row>
    <row r="55" spans="1:80" ht="15.75" customHeight="1" thickBot="1" x14ac:dyDescent="0.3">
      <c r="A55" s="69"/>
      <c r="B55" s="259"/>
      <c r="C55" s="259"/>
      <c r="D55" s="260"/>
      <c r="E55" s="359"/>
      <c r="F55" s="360"/>
      <c r="G55" s="360"/>
      <c r="H55" s="360"/>
      <c r="I55" s="374"/>
      <c r="J55" s="65" t="e">
        <f>IF(AND('Mapa final'!#REF!="Muy Baja",'Mapa final'!#REF!="Leve"),CONCATENATE("R10C",'Mapa final'!#REF!),"")</f>
        <v>#REF!</v>
      </c>
      <c r="K55" s="66" t="e">
        <f>IF(AND('Mapa final'!#REF!="Muy Baja",'Mapa final'!#REF!="Leve"),CONCATENATE("R10C",'Mapa final'!#REF!),"")</f>
        <v>#REF!</v>
      </c>
      <c r="L55" s="66" t="e">
        <f>IF(AND('Mapa final'!#REF!="Muy Baja",'Mapa final'!#REF!="Leve"),CONCATENATE("R10C",'Mapa final'!#REF!),"")</f>
        <v>#REF!</v>
      </c>
      <c r="M55" s="66" t="e">
        <f>IF(AND('Mapa final'!#REF!="Muy Baja",'Mapa final'!#REF!="Leve"),CONCATENATE("R10C",'Mapa final'!#REF!),"")</f>
        <v>#REF!</v>
      </c>
      <c r="N55" s="66" t="e">
        <f>IF(AND('Mapa final'!#REF!="Muy Baja",'Mapa final'!#REF!="Leve"),CONCATENATE("R10C",'Mapa final'!#REF!),"")</f>
        <v>#REF!</v>
      </c>
      <c r="O55" s="67" t="e">
        <f>IF(AND('Mapa final'!#REF!="Muy Baja",'Mapa final'!#REF!="Leve"),CONCATENATE("R10C",'Mapa final'!#REF!),"")</f>
        <v>#REF!</v>
      </c>
      <c r="P55" s="65" t="e">
        <f>IF(AND('Mapa final'!#REF!="Muy Baja",'Mapa final'!#REF!="Menor"),CONCATENATE("R10C",'Mapa final'!#REF!),"")</f>
        <v>#REF!</v>
      </c>
      <c r="Q55" s="66" t="e">
        <f>IF(AND('Mapa final'!#REF!="Muy Baja",'Mapa final'!#REF!="Menor"),CONCATENATE("R10C",'Mapa final'!#REF!),"")</f>
        <v>#REF!</v>
      </c>
      <c r="R55" s="66" t="e">
        <f>IF(AND('Mapa final'!#REF!="Muy Baja",'Mapa final'!#REF!="Menor"),CONCATENATE("R10C",'Mapa final'!#REF!),"")</f>
        <v>#REF!</v>
      </c>
      <c r="S55" s="66" t="e">
        <f>IF(AND('Mapa final'!#REF!="Muy Baja",'Mapa final'!#REF!="Menor"),CONCATENATE("R10C",'Mapa final'!#REF!),"")</f>
        <v>#REF!</v>
      </c>
      <c r="T55" s="66" t="e">
        <f>IF(AND('Mapa final'!#REF!="Muy Baja",'Mapa final'!#REF!="Menor"),CONCATENATE("R10C",'Mapa final'!#REF!),"")</f>
        <v>#REF!</v>
      </c>
      <c r="U55" s="67" t="e">
        <f>IF(AND('Mapa final'!#REF!="Muy Baja",'Mapa final'!#REF!="Menor"),CONCATENATE("R10C",'Mapa final'!#REF!),"")</f>
        <v>#REF!</v>
      </c>
      <c r="V55" s="56" t="e">
        <f>IF(AND('Mapa final'!#REF!="Muy Baja",'Mapa final'!#REF!="Moderado"),CONCATENATE("R10C",'Mapa final'!#REF!),"")</f>
        <v>#REF!</v>
      </c>
      <c r="W55" s="57" t="e">
        <f>IF(AND('Mapa final'!#REF!="Muy Baja",'Mapa final'!#REF!="Moderado"),CONCATENATE("R10C",'Mapa final'!#REF!),"")</f>
        <v>#REF!</v>
      </c>
      <c r="X55" s="57" t="e">
        <f>IF(AND('Mapa final'!#REF!="Muy Baja",'Mapa final'!#REF!="Moderado"),CONCATENATE("R10C",'Mapa final'!#REF!),"")</f>
        <v>#REF!</v>
      </c>
      <c r="Y55" s="57" t="e">
        <f>IF(AND('Mapa final'!#REF!="Muy Baja",'Mapa final'!#REF!="Moderado"),CONCATENATE("R10C",'Mapa final'!#REF!),"")</f>
        <v>#REF!</v>
      </c>
      <c r="Z55" s="57" t="e">
        <f>IF(AND('Mapa final'!#REF!="Muy Baja",'Mapa final'!#REF!="Moderado"),CONCATENATE("R10C",'Mapa final'!#REF!),"")</f>
        <v>#REF!</v>
      </c>
      <c r="AA55" s="58" t="e">
        <f>IF(AND('Mapa final'!#REF!="Muy Baja",'Mapa final'!#REF!="Moderado"),CONCATENATE("R10C",'Mapa final'!#REF!),"")</f>
        <v>#REF!</v>
      </c>
      <c r="AB55" s="44" t="e">
        <f>IF(AND('Mapa final'!#REF!="Muy Baja",'Mapa final'!#REF!="Mayor"),CONCATENATE("R10C",'Mapa final'!#REF!),"")</f>
        <v>#REF!</v>
      </c>
      <c r="AC55" s="45" t="e">
        <f>IF(AND('Mapa final'!#REF!="Muy Baja",'Mapa final'!#REF!="Mayor"),CONCATENATE("R10C",'Mapa final'!#REF!),"")</f>
        <v>#REF!</v>
      </c>
      <c r="AD55" s="45" t="e">
        <f>IF(AND('Mapa final'!#REF!="Muy Baja",'Mapa final'!#REF!="Mayor"),CONCATENATE("R10C",'Mapa final'!#REF!),"")</f>
        <v>#REF!</v>
      </c>
      <c r="AE55" s="45" t="e">
        <f>IF(AND('Mapa final'!#REF!="Muy Baja",'Mapa final'!#REF!="Mayor"),CONCATENATE("R10C",'Mapa final'!#REF!),"")</f>
        <v>#REF!</v>
      </c>
      <c r="AF55" s="45" t="e">
        <f>IF(AND('Mapa final'!#REF!="Muy Baja",'Mapa final'!#REF!="Mayor"),CONCATENATE("R10C",'Mapa final'!#REF!),"")</f>
        <v>#REF!</v>
      </c>
      <c r="AG55" s="46" t="e">
        <f>IF(AND('Mapa final'!#REF!="Muy Baja",'Mapa final'!#REF!="Mayor"),CONCATENATE("R10C",'Mapa final'!#REF!),"")</f>
        <v>#REF!</v>
      </c>
      <c r="AH55" s="47" t="e">
        <f>IF(AND('Mapa final'!#REF!="Muy Baja",'Mapa final'!#REF!="Catastrófico"),CONCATENATE("R10C",'Mapa final'!#REF!),"")</f>
        <v>#REF!</v>
      </c>
      <c r="AI55" s="48" t="e">
        <f>IF(AND('Mapa final'!#REF!="Muy Baja",'Mapa final'!#REF!="Catastrófico"),CONCATENATE("R10C",'Mapa final'!#REF!),"")</f>
        <v>#REF!</v>
      </c>
      <c r="AJ55" s="48" t="e">
        <f>IF(AND('Mapa final'!#REF!="Muy Baja",'Mapa final'!#REF!="Catastrófico"),CONCATENATE("R10C",'Mapa final'!#REF!),"")</f>
        <v>#REF!</v>
      </c>
      <c r="AK55" s="48" t="e">
        <f>IF(AND('Mapa final'!#REF!="Muy Baja",'Mapa final'!#REF!="Catastrófico"),CONCATENATE("R10C",'Mapa final'!#REF!),"")</f>
        <v>#REF!</v>
      </c>
      <c r="AL55" s="48" t="e">
        <f>IF(AND('Mapa final'!#REF!="Muy Baja",'Mapa final'!#REF!="Catastrófico"),CONCATENATE("R10C",'Mapa final'!#REF!),"")</f>
        <v>#REF!</v>
      </c>
      <c r="AM55" s="49" t="e">
        <f>IF(AND('Mapa final'!#REF!="Muy Baja",'Mapa final'!#REF!="Catastrófico"),CONCATENATE("R10C",'Mapa final'!#REF!),"")</f>
        <v>#REF!</v>
      </c>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row>
    <row r="56" spans="1:80" x14ac:dyDescent="0.25">
      <c r="A56" s="69"/>
      <c r="B56" s="69"/>
      <c r="C56" s="69"/>
      <c r="D56" s="69"/>
      <c r="E56" s="69"/>
      <c r="F56" s="69"/>
      <c r="G56" s="69"/>
      <c r="H56" s="69"/>
      <c r="I56" s="69"/>
      <c r="J56" s="354" t="s">
        <v>110</v>
      </c>
      <c r="K56" s="355"/>
      <c r="L56" s="355"/>
      <c r="M56" s="355"/>
      <c r="N56" s="355"/>
      <c r="O56" s="372"/>
      <c r="P56" s="354" t="s">
        <v>109</v>
      </c>
      <c r="Q56" s="355"/>
      <c r="R56" s="355"/>
      <c r="S56" s="355"/>
      <c r="T56" s="355"/>
      <c r="U56" s="372"/>
      <c r="V56" s="354" t="s">
        <v>108</v>
      </c>
      <c r="W56" s="355"/>
      <c r="X56" s="355"/>
      <c r="Y56" s="355"/>
      <c r="Z56" s="355"/>
      <c r="AA56" s="372"/>
      <c r="AB56" s="354" t="s">
        <v>107</v>
      </c>
      <c r="AC56" s="393"/>
      <c r="AD56" s="355"/>
      <c r="AE56" s="355"/>
      <c r="AF56" s="355"/>
      <c r="AG56" s="372"/>
      <c r="AH56" s="354" t="s">
        <v>106</v>
      </c>
      <c r="AI56" s="355"/>
      <c r="AJ56" s="355"/>
      <c r="AK56" s="355"/>
      <c r="AL56" s="355"/>
      <c r="AM56" s="372"/>
      <c r="AN56" s="69"/>
      <c r="AO56" s="69"/>
      <c r="AP56" s="69"/>
      <c r="AQ56" s="69"/>
      <c r="AR56" s="69"/>
      <c r="AS56" s="69"/>
      <c r="AT56" s="69"/>
      <c r="AU56" s="69"/>
      <c r="AV56" s="69"/>
      <c r="AW56" s="69"/>
      <c r="AX56" s="69"/>
      <c r="AY56" s="69"/>
      <c r="AZ56" s="69"/>
      <c r="BA56" s="69"/>
      <c r="BB56" s="69"/>
      <c r="BC56" s="69"/>
      <c r="BD56" s="69"/>
      <c r="BE56" s="69"/>
      <c r="BF56" s="69"/>
      <c r="BG56" s="69"/>
      <c r="BH56" s="69"/>
      <c r="BI56" s="69"/>
      <c r="BJ56" s="69"/>
      <c r="BK56" s="69"/>
      <c r="BL56" s="69"/>
      <c r="BM56" s="69"/>
      <c r="BN56" s="69"/>
      <c r="BO56" s="69"/>
      <c r="BP56" s="69"/>
      <c r="BQ56" s="69"/>
      <c r="BR56" s="69"/>
      <c r="BS56" s="69"/>
      <c r="BT56" s="69"/>
      <c r="BU56" s="69"/>
      <c r="BV56" s="69"/>
      <c r="BW56" s="69"/>
      <c r="BX56" s="69"/>
      <c r="BY56" s="69"/>
      <c r="BZ56" s="69"/>
      <c r="CA56" s="69"/>
      <c r="CB56" s="69"/>
    </row>
    <row r="57" spans="1:80" x14ac:dyDescent="0.25">
      <c r="A57" s="69"/>
      <c r="B57" s="69"/>
      <c r="C57" s="69"/>
      <c r="D57" s="69"/>
      <c r="E57" s="69"/>
      <c r="F57" s="69"/>
      <c r="G57" s="69"/>
      <c r="H57" s="69"/>
      <c r="I57" s="69"/>
      <c r="J57" s="358"/>
      <c r="K57" s="357"/>
      <c r="L57" s="357"/>
      <c r="M57" s="357"/>
      <c r="N57" s="357"/>
      <c r="O57" s="373"/>
      <c r="P57" s="358"/>
      <c r="Q57" s="357"/>
      <c r="R57" s="357"/>
      <c r="S57" s="357"/>
      <c r="T57" s="357"/>
      <c r="U57" s="373"/>
      <c r="V57" s="358"/>
      <c r="W57" s="357"/>
      <c r="X57" s="357"/>
      <c r="Y57" s="357"/>
      <c r="Z57" s="357"/>
      <c r="AA57" s="373"/>
      <c r="AB57" s="358"/>
      <c r="AC57" s="357"/>
      <c r="AD57" s="357"/>
      <c r="AE57" s="357"/>
      <c r="AF57" s="357"/>
      <c r="AG57" s="373"/>
      <c r="AH57" s="358"/>
      <c r="AI57" s="357"/>
      <c r="AJ57" s="357"/>
      <c r="AK57" s="357"/>
      <c r="AL57" s="357"/>
      <c r="AM57" s="373"/>
      <c r="AN57" s="69"/>
      <c r="AO57" s="69"/>
      <c r="AP57" s="69"/>
      <c r="AQ57" s="69"/>
      <c r="AR57" s="69"/>
      <c r="AS57" s="69"/>
      <c r="AT57" s="69"/>
      <c r="AU57" s="69"/>
      <c r="AV57" s="69"/>
      <c r="AW57" s="69"/>
      <c r="AX57" s="69"/>
      <c r="AY57" s="69"/>
      <c r="AZ57" s="69"/>
      <c r="BA57" s="69"/>
      <c r="BB57" s="69"/>
      <c r="BC57" s="69"/>
      <c r="BD57" s="69"/>
      <c r="BE57" s="69"/>
      <c r="BF57" s="69"/>
      <c r="BG57" s="69"/>
      <c r="BH57" s="69"/>
      <c r="BI57" s="69"/>
      <c r="BJ57" s="69"/>
      <c r="BK57" s="69"/>
      <c r="BL57" s="69"/>
      <c r="BM57" s="69"/>
      <c r="BN57" s="69"/>
      <c r="BO57" s="69"/>
      <c r="BP57" s="69"/>
      <c r="BQ57" s="69"/>
      <c r="BR57" s="69"/>
      <c r="BS57" s="69"/>
      <c r="BT57" s="69"/>
      <c r="BU57" s="69"/>
      <c r="BV57" s="69"/>
      <c r="BW57" s="69"/>
      <c r="BX57" s="69"/>
      <c r="BY57" s="69"/>
      <c r="BZ57" s="69"/>
      <c r="CA57" s="69"/>
      <c r="CB57" s="69"/>
    </row>
    <row r="58" spans="1:80" x14ac:dyDescent="0.25">
      <c r="A58" s="69"/>
      <c r="B58" s="69"/>
      <c r="C58" s="69"/>
      <c r="D58" s="69"/>
      <c r="E58" s="69"/>
      <c r="F58" s="69"/>
      <c r="G58" s="69"/>
      <c r="H58" s="69"/>
      <c r="I58" s="69"/>
      <c r="J58" s="358"/>
      <c r="K58" s="357"/>
      <c r="L58" s="357"/>
      <c r="M58" s="357"/>
      <c r="N58" s="357"/>
      <c r="O58" s="373"/>
      <c r="P58" s="358"/>
      <c r="Q58" s="357"/>
      <c r="R58" s="357"/>
      <c r="S58" s="357"/>
      <c r="T58" s="357"/>
      <c r="U58" s="373"/>
      <c r="V58" s="358"/>
      <c r="W58" s="357"/>
      <c r="X58" s="357"/>
      <c r="Y58" s="357"/>
      <c r="Z58" s="357"/>
      <c r="AA58" s="373"/>
      <c r="AB58" s="358"/>
      <c r="AC58" s="357"/>
      <c r="AD58" s="357"/>
      <c r="AE58" s="357"/>
      <c r="AF58" s="357"/>
      <c r="AG58" s="373"/>
      <c r="AH58" s="358"/>
      <c r="AI58" s="357"/>
      <c r="AJ58" s="357"/>
      <c r="AK58" s="357"/>
      <c r="AL58" s="357"/>
      <c r="AM58" s="373"/>
      <c r="AN58" s="69"/>
      <c r="AO58" s="69"/>
      <c r="AP58" s="69"/>
      <c r="AQ58" s="69"/>
      <c r="AR58" s="69"/>
      <c r="AS58" s="69"/>
      <c r="AT58" s="69"/>
      <c r="AU58" s="69"/>
      <c r="AV58" s="69"/>
      <c r="AW58" s="69"/>
      <c r="AX58" s="69"/>
      <c r="AY58" s="69"/>
      <c r="AZ58" s="69"/>
      <c r="BA58" s="69"/>
      <c r="BB58" s="69"/>
      <c r="BC58" s="69"/>
      <c r="BD58" s="69"/>
      <c r="BE58" s="69"/>
      <c r="BF58" s="69"/>
      <c r="BG58" s="69"/>
      <c r="BH58" s="69"/>
      <c r="BI58" s="69"/>
      <c r="BJ58" s="69"/>
      <c r="BK58" s="69"/>
      <c r="BL58" s="69"/>
      <c r="BM58" s="69"/>
      <c r="BN58" s="69"/>
      <c r="BO58" s="69"/>
      <c r="BP58" s="69"/>
      <c r="BQ58" s="69"/>
      <c r="BR58" s="69"/>
      <c r="BS58" s="69"/>
      <c r="BT58" s="69"/>
      <c r="BU58" s="69"/>
      <c r="BV58" s="69"/>
      <c r="BW58" s="69"/>
      <c r="BX58" s="69"/>
      <c r="BY58" s="69"/>
      <c r="BZ58" s="69"/>
      <c r="CA58" s="69"/>
      <c r="CB58" s="69"/>
    </row>
    <row r="59" spans="1:80" x14ac:dyDescent="0.25">
      <c r="A59" s="69"/>
      <c r="B59" s="69"/>
      <c r="C59" s="69"/>
      <c r="D59" s="69"/>
      <c r="E59" s="69"/>
      <c r="F59" s="69"/>
      <c r="G59" s="69"/>
      <c r="H59" s="69"/>
      <c r="I59" s="69"/>
      <c r="J59" s="358"/>
      <c r="K59" s="357"/>
      <c r="L59" s="357"/>
      <c r="M59" s="357"/>
      <c r="N59" s="357"/>
      <c r="O59" s="373"/>
      <c r="P59" s="358"/>
      <c r="Q59" s="357"/>
      <c r="R59" s="357"/>
      <c r="S59" s="357"/>
      <c r="T59" s="357"/>
      <c r="U59" s="373"/>
      <c r="V59" s="358"/>
      <c r="W59" s="357"/>
      <c r="X59" s="357"/>
      <c r="Y59" s="357"/>
      <c r="Z59" s="357"/>
      <c r="AA59" s="373"/>
      <c r="AB59" s="358"/>
      <c r="AC59" s="357"/>
      <c r="AD59" s="357"/>
      <c r="AE59" s="357"/>
      <c r="AF59" s="357"/>
      <c r="AG59" s="373"/>
      <c r="AH59" s="358"/>
      <c r="AI59" s="357"/>
      <c r="AJ59" s="357"/>
      <c r="AK59" s="357"/>
      <c r="AL59" s="357"/>
      <c r="AM59" s="373"/>
      <c r="AN59" s="69"/>
      <c r="AO59" s="69"/>
      <c r="AP59" s="69"/>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row>
    <row r="60" spans="1:80" x14ac:dyDescent="0.25">
      <c r="A60" s="69"/>
      <c r="B60" s="69"/>
      <c r="C60" s="69"/>
      <c r="D60" s="69"/>
      <c r="E60" s="69"/>
      <c r="F60" s="69"/>
      <c r="G60" s="69"/>
      <c r="H60" s="69"/>
      <c r="I60" s="69"/>
      <c r="J60" s="358"/>
      <c r="K60" s="357"/>
      <c r="L60" s="357"/>
      <c r="M60" s="357"/>
      <c r="N60" s="357"/>
      <c r="O60" s="373"/>
      <c r="P60" s="358"/>
      <c r="Q60" s="357"/>
      <c r="R60" s="357"/>
      <c r="S60" s="357"/>
      <c r="T60" s="357"/>
      <c r="U60" s="373"/>
      <c r="V60" s="358"/>
      <c r="W60" s="357"/>
      <c r="X60" s="357"/>
      <c r="Y60" s="357"/>
      <c r="Z60" s="357"/>
      <c r="AA60" s="373"/>
      <c r="AB60" s="358"/>
      <c r="AC60" s="357"/>
      <c r="AD60" s="357"/>
      <c r="AE60" s="357"/>
      <c r="AF60" s="357"/>
      <c r="AG60" s="373"/>
      <c r="AH60" s="358"/>
      <c r="AI60" s="357"/>
      <c r="AJ60" s="357"/>
      <c r="AK60" s="357"/>
      <c r="AL60" s="357"/>
      <c r="AM60" s="373"/>
      <c r="AN60" s="69"/>
      <c r="AO60" s="69"/>
      <c r="AP60" s="69"/>
      <c r="AQ60" s="69"/>
      <c r="AR60" s="69"/>
      <c r="AS60" s="69"/>
      <c r="AT60" s="69"/>
      <c r="AU60" s="69"/>
      <c r="AV60" s="69"/>
      <c r="AW60" s="69"/>
      <c r="AX60" s="69"/>
      <c r="AY60" s="69"/>
      <c r="AZ60" s="69"/>
      <c r="BA60" s="69"/>
      <c r="BB60" s="69"/>
      <c r="BC60" s="69"/>
      <c r="BD60" s="69"/>
      <c r="BE60" s="69"/>
      <c r="BF60" s="69"/>
      <c r="BG60" s="69"/>
      <c r="BH60" s="69"/>
      <c r="BI60" s="69"/>
      <c r="BJ60" s="69"/>
      <c r="BK60" s="69"/>
      <c r="BL60" s="69"/>
      <c r="BM60" s="69"/>
      <c r="BN60" s="69"/>
      <c r="BO60" s="69"/>
      <c r="BP60" s="69"/>
      <c r="BQ60" s="69"/>
      <c r="BR60" s="69"/>
      <c r="BS60" s="69"/>
      <c r="BT60" s="69"/>
      <c r="BU60" s="69"/>
      <c r="BV60" s="69"/>
      <c r="BW60" s="69"/>
      <c r="BX60" s="69"/>
      <c r="BY60" s="69"/>
      <c r="BZ60" s="69"/>
      <c r="CA60" s="69"/>
      <c r="CB60" s="69"/>
    </row>
    <row r="61" spans="1:80" ht="15.75" thickBot="1" x14ac:dyDescent="0.3">
      <c r="A61" s="69"/>
      <c r="B61" s="69"/>
      <c r="C61" s="69"/>
      <c r="D61" s="69"/>
      <c r="E61" s="69"/>
      <c r="F61" s="69"/>
      <c r="G61" s="69"/>
      <c r="H61" s="69"/>
      <c r="I61" s="69"/>
      <c r="J61" s="359"/>
      <c r="K61" s="360"/>
      <c r="L61" s="360"/>
      <c r="M61" s="360"/>
      <c r="N61" s="360"/>
      <c r="O61" s="374"/>
      <c r="P61" s="359"/>
      <c r="Q61" s="360"/>
      <c r="R61" s="360"/>
      <c r="S61" s="360"/>
      <c r="T61" s="360"/>
      <c r="U61" s="374"/>
      <c r="V61" s="359"/>
      <c r="W61" s="360"/>
      <c r="X61" s="360"/>
      <c r="Y61" s="360"/>
      <c r="Z61" s="360"/>
      <c r="AA61" s="374"/>
      <c r="AB61" s="359"/>
      <c r="AC61" s="360"/>
      <c r="AD61" s="360"/>
      <c r="AE61" s="360"/>
      <c r="AF61" s="360"/>
      <c r="AG61" s="374"/>
      <c r="AH61" s="359"/>
      <c r="AI61" s="360"/>
      <c r="AJ61" s="360"/>
      <c r="AK61" s="360"/>
      <c r="AL61" s="360"/>
      <c r="AM61" s="374"/>
      <c r="AN61" s="69"/>
      <c r="AO61" s="69"/>
      <c r="AP61" s="69"/>
      <c r="AQ61" s="69"/>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69"/>
      <c r="BS61" s="69"/>
      <c r="BT61" s="69"/>
      <c r="BU61" s="69"/>
      <c r="BV61" s="69"/>
      <c r="BW61" s="69"/>
      <c r="BX61" s="69"/>
      <c r="BY61" s="69"/>
      <c r="BZ61" s="69"/>
      <c r="CA61" s="69"/>
      <c r="CB61" s="69"/>
    </row>
    <row r="62" spans="1:80" x14ac:dyDescent="0.25">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c r="BB62" s="69"/>
      <c r="BC62" s="69"/>
      <c r="BD62" s="69"/>
      <c r="BE62" s="69"/>
      <c r="BF62" s="69"/>
      <c r="BG62" s="69"/>
      <c r="BH62" s="69"/>
    </row>
    <row r="63" spans="1:80" ht="15" customHeight="1" x14ac:dyDescent="0.25">
      <c r="A63" s="69"/>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69"/>
      <c r="AV63" s="69"/>
      <c r="AW63" s="69"/>
      <c r="AX63" s="69"/>
      <c r="AY63" s="69"/>
      <c r="AZ63" s="69"/>
      <c r="BA63" s="69"/>
      <c r="BB63" s="69"/>
      <c r="BC63" s="69"/>
      <c r="BD63" s="69"/>
      <c r="BE63" s="69"/>
      <c r="BF63" s="69"/>
      <c r="BG63" s="69"/>
      <c r="BH63" s="69"/>
    </row>
    <row r="64" spans="1:80" ht="15" customHeight="1" x14ac:dyDescent="0.25">
      <c r="A64" s="69"/>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69"/>
      <c r="AV64" s="69"/>
      <c r="AW64" s="69"/>
      <c r="AX64" s="69"/>
      <c r="AY64" s="69"/>
      <c r="AZ64" s="69"/>
      <c r="BA64" s="69"/>
      <c r="BB64" s="69"/>
      <c r="BC64" s="69"/>
      <c r="BD64" s="69"/>
      <c r="BE64" s="69"/>
      <c r="BF64" s="69"/>
      <c r="BG64" s="69"/>
      <c r="BH64" s="69"/>
    </row>
    <row r="65" spans="1:60" x14ac:dyDescent="0.2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row>
    <row r="66" spans="1:60" x14ac:dyDescent="0.25">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row>
    <row r="67" spans="1:60" x14ac:dyDescent="0.25">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row>
    <row r="68" spans="1:60" x14ac:dyDescent="0.25">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row>
    <row r="69" spans="1:60" x14ac:dyDescent="0.25">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row>
    <row r="70" spans="1:60" x14ac:dyDescent="0.25">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row>
    <row r="71" spans="1:60" x14ac:dyDescent="0.25">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c r="BH71" s="69"/>
    </row>
    <row r="72" spans="1:60" x14ac:dyDescent="0.25">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69"/>
    </row>
    <row r="73" spans="1:60" x14ac:dyDescent="0.25">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row>
    <row r="74" spans="1:60" x14ac:dyDescent="0.25">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row>
    <row r="75" spans="1:60" x14ac:dyDescent="0.2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c r="BH75" s="69"/>
    </row>
    <row r="76" spans="1:60" x14ac:dyDescent="0.25">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c r="BC76" s="69"/>
      <c r="BD76" s="69"/>
      <c r="BE76" s="69"/>
      <c r="BF76" s="69"/>
      <c r="BG76" s="69"/>
      <c r="BH76" s="69"/>
    </row>
    <row r="77" spans="1:60" x14ac:dyDescent="0.25">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c r="AZ77" s="69"/>
      <c r="BA77" s="69"/>
      <c r="BB77" s="69"/>
      <c r="BC77" s="69"/>
      <c r="BD77" s="69"/>
      <c r="BE77" s="69"/>
      <c r="BF77" s="69"/>
      <c r="BG77" s="69"/>
      <c r="BH77" s="69"/>
    </row>
    <row r="78" spans="1:60" x14ac:dyDescent="0.25">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c r="BB78" s="69"/>
      <c r="BC78" s="69"/>
      <c r="BD78" s="69"/>
      <c r="BE78" s="69"/>
      <c r="BF78" s="69"/>
      <c r="BG78" s="69"/>
      <c r="BH78" s="69"/>
    </row>
    <row r="79" spans="1:60" x14ac:dyDescent="0.25">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c r="BB79" s="69"/>
      <c r="BC79" s="69"/>
      <c r="BD79" s="69"/>
      <c r="BE79" s="69"/>
      <c r="BF79" s="69"/>
      <c r="BG79" s="69"/>
      <c r="BH79" s="69"/>
    </row>
    <row r="80" spans="1:60" x14ac:dyDescent="0.25">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69"/>
      <c r="BB80" s="69"/>
      <c r="BC80" s="69"/>
      <c r="BD80" s="69"/>
      <c r="BE80" s="69"/>
      <c r="BF80" s="69"/>
      <c r="BG80" s="69"/>
      <c r="BH80" s="69"/>
    </row>
    <row r="81" spans="1:60" x14ac:dyDescent="0.25">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69"/>
      <c r="BB81" s="69"/>
      <c r="BC81" s="69"/>
      <c r="BD81" s="69"/>
      <c r="BE81" s="69"/>
      <c r="BF81" s="69"/>
      <c r="BG81" s="69"/>
      <c r="BH81" s="69"/>
    </row>
    <row r="82" spans="1:60" x14ac:dyDescent="0.25">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69"/>
      <c r="BA82" s="69"/>
      <c r="BB82" s="69"/>
      <c r="BC82" s="69"/>
      <c r="BD82" s="69"/>
      <c r="BE82" s="69"/>
      <c r="BF82" s="69"/>
      <c r="BG82" s="69"/>
      <c r="BH82" s="69"/>
    </row>
    <row r="83" spans="1:60" x14ac:dyDescent="0.25">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c r="AZ83" s="69"/>
      <c r="BA83" s="69"/>
      <c r="BB83" s="69"/>
      <c r="BC83" s="69"/>
      <c r="BD83" s="69"/>
      <c r="BE83" s="69"/>
      <c r="BF83" s="69"/>
      <c r="BG83" s="69"/>
      <c r="BH83" s="69"/>
    </row>
    <row r="84" spans="1:60" x14ac:dyDescent="0.25">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c r="AZ84" s="69"/>
      <c r="BA84" s="69"/>
      <c r="BB84" s="69"/>
      <c r="BC84" s="69"/>
      <c r="BD84" s="69"/>
      <c r="BE84" s="69"/>
      <c r="BF84" s="69"/>
      <c r="BG84" s="69"/>
      <c r="BH84" s="69"/>
    </row>
    <row r="85" spans="1:60" x14ac:dyDescent="0.2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c r="BA85" s="69"/>
      <c r="BB85" s="69"/>
      <c r="BC85" s="69"/>
      <c r="BD85" s="69"/>
      <c r="BE85" s="69"/>
      <c r="BF85" s="69"/>
      <c r="BG85" s="69"/>
      <c r="BH85" s="69"/>
    </row>
    <row r="86" spans="1:60" x14ac:dyDescent="0.25">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c r="BC86" s="69"/>
      <c r="BD86" s="69"/>
      <c r="BE86" s="69"/>
      <c r="BF86" s="69"/>
      <c r="BG86" s="69"/>
      <c r="BH86" s="69"/>
    </row>
    <row r="87" spans="1:60" x14ac:dyDescent="0.25">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69"/>
      <c r="BF87" s="69"/>
      <c r="BG87" s="69"/>
      <c r="BH87" s="69"/>
    </row>
    <row r="88" spans="1:60" x14ac:dyDescent="0.25">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row>
    <row r="89" spans="1:60" x14ac:dyDescent="0.25">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c r="BB89" s="69"/>
      <c r="BC89" s="69"/>
      <c r="BD89" s="69"/>
      <c r="BE89" s="69"/>
      <c r="BF89" s="69"/>
      <c r="BG89" s="69"/>
      <c r="BH89" s="69"/>
    </row>
    <row r="90" spans="1:60" x14ac:dyDescent="0.25">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c r="BC90" s="69"/>
      <c r="BD90" s="69"/>
      <c r="BE90" s="69"/>
      <c r="BF90" s="69"/>
      <c r="BG90" s="69"/>
      <c r="BH90" s="69"/>
    </row>
    <row r="91" spans="1:60" x14ac:dyDescent="0.25">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c r="BC91" s="69"/>
      <c r="BD91" s="69"/>
      <c r="BE91" s="69"/>
      <c r="BF91" s="69"/>
      <c r="BG91" s="69"/>
      <c r="BH91" s="69"/>
    </row>
    <row r="92" spans="1:60" x14ac:dyDescent="0.25">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69"/>
      <c r="BB92" s="69"/>
      <c r="BC92" s="69"/>
      <c r="BD92" s="69"/>
      <c r="BE92" s="69"/>
      <c r="BF92" s="69"/>
      <c r="BG92" s="69"/>
      <c r="BH92" s="69"/>
    </row>
    <row r="93" spans="1:60" x14ac:dyDescent="0.25">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c r="AZ93" s="69"/>
      <c r="BA93" s="69"/>
      <c r="BB93" s="69"/>
      <c r="BC93" s="69"/>
      <c r="BD93" s="69"/>
      <c r="BE93" s="69"/>
      <c r="BF93" s="69"/>
      <c r="BG93" s="69"/>
      <c r="BH93" s="69"/>
    </row>
    <row r="94" spans="1:60" x14ac:dyDescent="0.25">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c r="BA94" s="69"/>
      <c r="BB94" s="69"/>
      <c r="BC94" s="69"/>
      <c r="BD94" s="69"/>
      <c r="BE94" s="69"/>
      <c r="BF94" s="69"/>
      <c r="BG94" s="69"/>
      <c r="BH94" s="69"/>
    </row>
    <row r="95" spans="1:60" x14ac:dyDescent="0.2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c r="BC95" s="69"/>
      <c r="BD95" s="69"/>
      <c r="BE95" s="69"/>
      <c r="BF95" s="69"/>
      <c r="BG95" s="69"/>
      <c r="BH95" s="69"/>
    </row>
    <row r="96" spans="1:60" x14ac:dyDescent="0.25">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c r="BC96" s="69"/>
      <c r="BD96" s="69"/>
      <c r="BE96" s="69"/>
      <c r="BF96" s="69"/>
      <c r="BG96" s="69"/>
      <c r="BH96" s="69"/>
    </row>
    <row r="97" spans="1:60" x14ac:dyDescent="0.25">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c r="BA97" s="69"/>
      <c r="BB97" s="69"/>
      <c r="BC97" s="69"/>
      <c r="BD97" s="69"/>
      <c r="BE97" s="69"/>
      <c r="BF97" s="69"/>
      <c r="BG97" s="69"/>
      <c r="BH97" s="69"/>
    </row>
    <row r="98" spans="1:60" x14ac:dyDescent="0.25">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69"/>
      <c r="BB98" s="69"/>
      <c r="BC98" s="69"/>
      <c r="BD98" s="69"/>
      <c r="BE98" s="69"/>
      <c r="BF98" s="69"/>
      <c r="BG98" s="69"/>
      <c r="BH98" s="69"/>
    </row>
    <row r="99" spans="1:60" x14ac:dyDescent="0.25">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c r="AZ99" s="69"/>
      <c r="BA99" s="69"/>
      <c r="BB99" s="69"/>
      <c r="BC99" s="69"/>
      <c r="BD99" s="69"/>
      <c r="BE99" s="69"/>
      <c r="BF99" s="69"/>
      <c r="BG99" s="69"/>
      <c r="BH99" s="69"/>
    </row>
    <row r="100" spans="1:60" x14ac:dyDescent="0.25">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69"/>
      <c r="BB100" s="69"/>
      <c r="BC100" s="69"/>
      <c r="BD100" s="69"/>
      <c r="BE100" s="69"/>
      <c r="BF100" s="69"/>
      <c r="BG100" s="69"/>
      <c r="BH100" s="69"/>
    </row>
    <row r="101" spans="1:60" x14ac:dyDescent="0.25">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c r="BC101" s="69"/>
      <c r="BD101" s="69"/>
      <c r="BE101" s="69"/>
      <c r="BF101" s="69"/>
      <c r="BG101" s="69"/>
      <c r="BH101" s="69"/>
    </row>
    <row r="102" spans="1:60" x14ac:dyDescent="0.25">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69"/>
      <c r="BF102" s="69"/>
      <c r="BG102" s="69"/>
      <c r="BH102" s="69"/>
    </row>
    <row r="103" spans="1:60" x14ac:dyDescent="0.25">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69"/>
      <c r="BF103" s="69"/>
      <c r="BG103" s="69"/>
      <c r="BH103" s="69"/>
    </row>
    <row r="104" spans="1:60" x14ac:dyDescent="0.25">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c r="BC104" s="69"/>
      <c r="BD104" s="69"/>
      <c r="BE104" s="69"/>
      <c r="BF104" s="69"/>
      <c r="BG104" s="69"/>
      <c r="BH104" s="69"/>
    </row>
    <row r="105" spans="1:60" x14ac:dyDescent="0.2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c r="BB105" s="69"/>
      <c r="BC105" s="69"/>
      <c r="BD105" s="69"/>
      <c r="BE105" s="69"/>
      <c r="BF105" s="69"/>
      <c r="BG105" s="69"/>
      <c r="BH105" s="69"/>
    </row>
    <row r="106" spans="1:60" x14ac:dyDescent="0.25">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c r="BA106" s="69"/>
      <c r="BB106" s="69"/>
      <c r="BC106" s="69"/>
      <c r="BD106" s="69"/>
      <c r="BE106" s="69"/>
      <c r="BF106" s="69"/>
      <c r="BG106" s="69"/>
      <c r="BH106" s="69"/>
    </row>
    <row r="107" spans="1:60" x14ac:dyDescent="0.25">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c r="BA107" s="69"/>
      <c r="BB107" s="69"/>
      <c r="BC107" s="69"/>
      <c r="BD107" s="69"/>
      <c r="BE107" s="69"/>
      <c r="BF107" s="69"/>
      <c r="BG107" s="69"/>
      <c r="BH107" s="69"/>
    </row>
    <row r="108" spans="1:60" x14ac:dyDescent="0.25">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c r="BB108" s="69"/>
      <c r="BC108" s="69"/>
      <c r="BD108" s="69"/>
      <c r="BE108" s="69"/>
      <c r="BF108" s="69"/>
      <c r="BG108" s="69"/>
      <c r="BH108" s="69"/>
    </row>
    <row r="109" spans="1:60" x14ac:dyDescent="0.25">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69"/>
      <c r="BA109" s="69"/>
      <c r="BB109" s="69"/>
      <c r="BC109" s="69"/>
      <c r="BD109" s="69"/>
      <c r="BE109" s="69"/>
      <c r="BF109" s="69"/>
      <c r="BG109" s="69"/>
      <c r="BH109" s="69"/>
    </row>
    <row r="110" spans="1:60" x14ac:dyDescent="0.25">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row>
    <row r="111" spans="1:60" x14ac:dyDescent="0.25">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row>
    <row r="112" spans="1:60" x14ac:dyDescent="0.25">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c r="AZ112" s="69"/>
      <c r="BA112" s="69"/>
      <c r="BB112" s="69"/>
      <c r="BC112" s="69"/>
      <c r="BD112" s="69"/>
      <c r="BE112" s="69"/>
      <c r="BF112" s="69"/>
      <c r="BG112" s="69"/>
      <c r="BH112" s="69"/>
    </row>
    <row r="113" spans="1:60" x14ac:dyDescent="0.25">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c r="AZ113" s="69"/>
      <c r="BA113" s="69"/>
      <c r="BB113" s="69"/>
      <c r="BC113" s="69"/>
      <c r="BD113" s="69"/>
      <c r="BE113" s="69"/>
      <c r="BF113" s="69"/>
      <c r="BG113" s="69"/>
      <c r="BH113" s="69"/>
    </row>
    <row r="114" spans="1:60" x14ac:dyDescent="0.25">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69"/>
      <c r="BA114" s="69"/>
      <c r="BB114" s="69"/>
      <c r="BC114" s="69"/>
      <c r="BD114" s="69"/>
      <c r="BE114" s="69"/>
      <c r="BF114" s="69"/>
      <c r="BG114" s="69"/>
      <c r="BH114" s="69"/>
    </row>
    <row r="115" spans="1:60" x14ac:dyDescent="0.2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c r="AZ115" s="69"/>
      <c r="BA115" s="69"/>
      <c r="BB115" s="69"/>
      <c r="BC115" s="69"/>
      <c r="BD115" s="69"/>
      <c r="BE115" s="69"/>
      <c r="BF115" s="69"/>
      <c r="BG115" s="69"/>
      <c r="BH115" s="69"/>
    </row>
    <row r="116" spans="1:60" x14ac:dyDescent="0.25">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c r="BA116" s="69"/>
      <c r="BB116" s="69"/>
      <c r="BC116" s="69"/>
      <c r="BD116" s="69"/>
      <c r="BE116" s="69"/>
      <c r="BF116" s="69"/>
      <c r="BG116" s="69"/>
      <c r="BH116" s="69"/>
    </row>
    <row r="117" spans="1:60" x14ac:dyDescent="0.25">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c r="AZ117" s="69"/>
      <c r="BA117" s="69"/>
      <c r="BB117" s="69"/>
      <c r="BC117" s="69"/>
      <c r="BD117" s="69"/>
      <c r="BE117" s="69"/>
      <c r="BF117" s="69"/>
      <c r="BG117" s="69"/>
      <c r="BH117" s="69"/>
    </row>
    <row r="118" spans="1:60" x14ac:dyDescent="0.25">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9"/>
      <c r="AY118" s="69"/>
      <c r="AZ118" s="69"/>
      <c r="BA118" s="69"/>
      <c r="BB118" s="69"/>
      <c r="BC118" s="69"/>
      <c r="BD118" s="69"/>
      <c r="BE118" s="69"/>
      <c r="BF118" s="69"/>
      <c r="BG118" s="69"/>
      <c r="BH118" s="69"/>
    </row>
    <row r="119" spans="1:60" x14ac:dyDescent="0.25">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69"/>
      <c r="BA119" s="69"/>
      <c r="BB119" s="69"/>
      <c r="BC119" s="69"/>
      <c r="BD119" s="69"/>
      <c r="BE119" s="69"/>
      <c r="BF119" s="69"/>
      <c r="BG119" s="69"/>
      <c r="BH119" s="69"/>
    </row>
    <row r="120" spans="1:60" x14ac:dyDescent="0.25">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c r="BA120" s="69"/>
      <c r="BB120" s="69"/>
      <c r="BC120" s="69"/>
      <c r="BD120" s="69"/>
      <c r="BE120" s="69"/>
      <c r="BF120" s="69"/>
      <c r="BG120" s="69"/>
      <c r="BH120" s="69"/>
    </row>
    <row r="121" spans="1:60" x14ac:dyDescent="0.25">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c r="BC121" s="69"/>
      <c r="BD121" s="69"/>
      <c r="BE121" s="69"/>
      <c r="BF121" s="69"/>
      <c r="BG121" s="69"/>
      <c r="BH121" s="69"/>
    </row>
    <row r="122" spans="1:60" x14ac:dyDescent="0.25">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c r="AZ122" s="69"/>
      <c r="BA122" s="69"/>
      <c r="BB122" s="69"/>
      <c r="BC122" s="69"/>
      <c r="BD122" s="69"/>
      <c r="BE122" s="69"/>
      <c r="BF122" s="69"/>
      <c r="BG122" s="69"/>
      <c r="BH122" s="69"/>
    </row>
    <row r="123" spans="1:60" x14ac:dyDescent="0.25">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9"/>
      <c r="AY123" s="69"/>
      <c r="AZ123" s="69"/>
      <c r="BA123" s="69"/>
      <c r="BB123" s="69"/>
      <c r="BC123" s="69"/>
      <c r="BD123" s="69"/>
      <c r="BE123" s="69"/>
      <c r="BF123" s="69"/>
      <c r="BG123" s="69"/>
      <c r="BH123" s="69"/>
    </row>
    <row r="124" spans="1:60" x14ac:dyDescent="0.25">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9"/>
      <c r="AY124" s="69"/>
      <c r="AZ124" s="69"/>
      <c r="BA124" s="69"/>
      <c r="BB124" s="69"/>
      <c r="BC124" s="69"/>
      <c r="BD124" s="69"/>
      <c r="BE124" s="69"/>
      <c r="BF124" s="69"/>
      <c r="BG124" s="69"/>
      <c r="BH124" s="69"/>
    </row>
    <row r="125" spans="1:60" x14ac:dyDescent="0.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69"/>
      <c r="BA125" s="69"/>
      <c r="BB125" s="69"/>
      <c r="BC125" s="69"/>
      <c r="BD125" s="69"/>
      <c r="BE125" s="69"/>
      <c r="BF125" s="69"/>
      <c r="BG125" s="69"/>
      <c r="BH125" s="69"/>
    </row>
    <row r="126" spans="1:60" x14ac:dyDescent="0.25">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c r="BA126" s="69"/>
      <c r="BB126" s="69"/>
      <c r="BC126" s="69"/>
      <c r="BD126" s="69"/>
      <c r="BE126" s="69"/>
      <c r="BF126" s="69"/>
      <c r="BG126" s="69"/>
      <c r="BH126" s="69"/>
    </row>
    <row r="127" spans="1:60" x14ac:dyDescent="0.25">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9"/>
      <c r="AY127" s="69"/>
      <c r="AZ127" s="69"/>
      <c r="BA127" s="69"/>
      <c r="BB127" s="69"/>
      <c r="BC127" s="69"/>
      <c r="BD127" s="69"/>
      <c r="BE127" s="69"/>
      <c r="BF127" s="69"/>
      <c r="BG127" s="69"/>
      <c r="BH127" s="69"/>
    </row>
    <row r="128" spans="1:60" x14ac:dyDescent="0.25">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9"/>
      <c r="AY128" s="69"/>
      <c r="AZ128" s="69"/>
      <c r="BA128" s="69"/>
      <c r="BB128" s="69"/>
      <c r="BC128" s="69"/>
      <c r="BD128" s="69"/>
      <c r="BE128" s="69"/>
      <c r="BF128" s="69"/>
      <c r="BG128" s="69"/>
      <c r="BH128" s="69"/>
    </row>
    <row r="129" spans="1:60" x14ac:dyDescent="0.25">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9"/>
      <c r="AY129" s="69"/>
      <c r="AZ129" s="69"/>
      <c r="BA129" s="69"/>
      <c r="BB129" s="69"/>
      <c r="BC129" s="69"/>
      <c r="BD129" s="69"/>
      <c r="BE129" s="69"/>
      <c r="BF129" s="69"/>
      <c r="BG129" s="69"/>
      <c r="BH129" s="69"/>
    </row>
    <row r="130" spans="1:60" x14ac:dyDescent="0.25">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9"/>
      <c r="AY130" s="69"/>
      <c r="AZ130" s="69"/>
      <c r="BA130" s="69"/>
      <c r="BB130" s="69"/>
      <c r="BC130" s="69"/>
      <c r="BD130" s="69"/>
      <c r="BE130" s="69"/>
      <c r="BF130" s="69"/>
      <c r="BG130" s="69"/>
      <c r="BH130" s="69"/>
    </row>
    <row r="131" spans="1:60" x14ac:dyDescent="0.25">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9"/>
      <c r="AY131" s="69"/>
      <c r="AZ131" s="69"/>
      <c r="BA131" s="69"/>
      <c r="BB131" s="69"/>
      <c r="BC131" s="69"/>
      <c r="BD131" s="69"/>
      <c r="BE131" s="69"/>
      <c r="BF131" s="69"/>
      <c r="BG131" s="69"/>
      <c r="BH131" s="69"/>
    </row>
    <row r="132" spans="1:60" x14ac:dyDescent="0.25">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9"/>
      <c r="AY132" s="69"/>
      <c r="AZ132" s="69"/>
      <c r="BA132" s="69"/>
      <c r="BB132" s="69"/>
      <c r="BC132" s="69"/>
      <c r="BD132" s="69"/>
      <c r="BE132" s="69"/>
      <c r="BF132" s="69"/>
      <c r="BG132" s="69"/>
      <c r="BH132" s="69"/>
    </row>
    <row r="133" spans="1:60" x14ac:dyDescent="0.25">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9"/>
      <c r="AY133" s="69"/>
      <c r="AZ133" s="69"/>
      <c r="BA133" s="69"/>
      <c r="BB133" s="69"/>
      <c r="BC133" s="69"/>
      <c r="BD133" s="69"/>
      <c r="BE133" s="69"/>
      <c r="BF133" s="69"/>
      <c r="BG133" s="69"/>
      <c r="BH133" s="69"/>
    </row>
    <row r="134" spans="1:60" x14ac:dyDescent="0.25">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c r="BB134" s="69"/>
      <c r="BC134" s="69"/>
      <c r="BD134" s="69"/>
      <c r="BE134" s="69"/>
      <c r="BF134" s="69"/>
      <c r="BG134" s="69"/>
      <c r="BH134" s="69"/>
    </row>
    <row r="135" spans="1:60" x14ac:dyDescent="0.2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9"/>
      <c r="AY135" s="69"/>
      <c r="AZ135" s="69"/>
      <c r="BA135" s="69"/>
      <c r="BB135" s="69"/>
      <c r="BC135" s="69"/>
      <c r="BD135" s="69"/>
      <c r="BE135" s="69"/>
      <c r="BF135" s="69"/>
      <c r="BG135" s="69"/>
      <c r="BH135" s="69"/>
    </row>
    <row r="136" spans="1:60" x14ac:dyDescent="0.25">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c r="BA136" s="69"/>
      <c r="BB136" s="69"/>
      <c r="BC136" s="69"/>
      <c r="BD136" s="69"/>
      <c r="BE136" s="69"/>
      <c r="BF136" s="69"/>
      <c r="BG136" s="69"/>
      <c r="BH136" s="69"/>
    </row>
    <row r="137" spans="1:60" x14ac:dyDescent="0.25">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c r="AH137" s="69"/>
      <c r="AI137" s="69"/>
      <c r="AJ137" s="69"/>
      <c r="AK137" s="69"/>
      <c r="AL137" s="69"/>
      <c r="AM137" s="69"/>
      <c r="AN137" s="69"/>
      <c r="AO137" s="69"/>
      <c r="AP137" s="69"/>
      <c r="AQ137" s="69"/>
      <c r="AR137" s="69"/>
      <c r="AS137" s="69"/>
      <c r="AT137" s="69"/>
      <c r="AU137" s="69"/>
      <c r="AV137" s="69"/>
      <c r="AW137" s="69"/>
      <c r="AX137" s="69"/>
      <c r="AY137" s="69"/>
      <c r="AZ137" s="69"/>
      <c r="BA137" s="69"/>
      <c r="BB137" s="69"/>
      <c r="BC137" s="69"/>
      <c r="BD137" s="69"/>
      <c r="BE137" s="69"/>
      <c r="BF137" s="69"/>
      <c r="BG137" s="69"/>
      <c r="BH137" s="69"/>
    </row>
    <row r="138" spans="1:60" x14ac:dyDescent="0.25">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c r="AH138" s="69"/>
      <c r="AI138" s="69"/>
      <c r="AJ138" s="69"/>
      <c r="AK138" s="69"/>
      <c r="AL138" s="69"/>
      <c r="AM138" s="69"/>
      <c r="AN138" s="69"/>
      <c r="AO138" s="69"/>
      <c r="AP138" s="69"/>
      <c r="AQ138" s="69"/>
      <c r="AR138" s="69"/>
      <c r="AS138" s="69"/>
      <c r="AT138" s="69"/>
      <c r="AU138" s="69"/>
      <c r="AV138" s="69"/>
      <c r="AW138" s="69"/>
      <c r="AX138" s="69"/>
      <c r="AY138" s="69"/>
      <c r="AZ138" s="69"/>
      <c r="BA138" s="69"/>
      <c r="BB138" s="69"/>
      <c r="BC138" s="69"/>
      <c r="BD138" s="69"/>
      <c r="BE138" s="69"/>
      <c r="BF138" s="69"/>
      <c r="BG138" s="69"/>
      <c r="BH138" s="69"/>
    </row>
    <row r="139" spans="1:60" x14ac:dyDescent="0.25">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c r="AG139" s="69"/>
      <c r="AH139" s="69"/>
      <c r="AI139" s="69"/>
      <c r="AJ139" s="69"/>
      <c r="AK139" s="69"/>
      <c r="AL139" s="69"/>
      <c r="AM139" s="69"/>
      <c r="AN139" s="69"/>
      <c r="AO139" s="69"/>
      <c r="AP139" s="69"/>
      <c r="AQ139" s="69"/>
      <c r="AR139" s="69"/>
      <c r="AS139" s="69"/>
      <c r="AT139" s="69"/>
      <c r="AU139" s="69"/>
      <c r="AV139" s="69"/>
      <c r="AW139" s="69"/>
      <c r="AX139" s="69"/>
      <c r="AY139" s="69"/>
      <c r="AZ139" s="69"/>
      <c r="BA139" s="69"/>
      <c r="BB139" s="69"/>
      <c r="BC139" s="69"/>
      <c r="BD139" s="69"/>
      <c r="BE139" s="69"/>
      <c r="BF139" s="69"/>
      <c r="BG139" s="69"/>
      <c r="BH139" s="69"/>
    </row>
    <row r="140" spans="1:60" x14ac:dyDescent="0.25">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c r="AH140" s="69"/>
      <c r="AI140" s="69"/>
      <c r="AJ140" s="69"/>
      <c r="AK140" s="69"/>
      <c r="AL140" s="69"/>
      <c r="AM140" s="69"/>
      <c r="AN140" s="69"/>
      <c r="AO140" s="69"/>
      <c r="AP140" s="69"/>
      <c r="AQ140" s="69"/>
      <c r="AR140" s="69"/>
      <c r="AS140" s="69"/>
      <c r="AT140" s="69"/>
      <c r="AU140" s="69"/>
      <c r="AV140" s="69"/>
      <c r="AW140" s="69"/>
      <c r="AX140" s="69"/>
      <c r="AY140" s="69"/>
      <c r="AZ140" s="69"/>
      <c r="BA140" s="69"/>
      <c r="BB140" s="69"/>
      <c r="BC140" s="69"/>
      <c r="BD140" s="69"/>
      <c r="BE140" s="69"/>
      <c r="BF140" s="69"/>
      <c r="BG140" s="69"/>
      <c r="BH140" s="69"/>
    </row>
    <row r="141" spans="1:60" x14ac:dyDescent="0.25">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c r="AG141" s="69"/>
      <c r="AH141" s="69"/>
      <c r="AI141" s="69"/>
      <c r="AJ141" s="69"/>
      <c r="AK141" s="69"/>
      <c r="AL141" s="69"/>
      <c r="AM141" s="69"/>
      <c r="AN141" s="69"/>
      <c r="AO141" s="69"/>
      <c r="AP141" s="69"/>
      <c r="AQ141" s="69"/>
      <c r="AR141" s="69"/>
      <c r="AS141" s="69"/>
      <c r="AT141" s="69"/>
      <c r="AU141" s="69"/>
      <c r="AV141" s="69"/>
      <c r="AW141" s="69"/>
      <c r="AX141" s="69"/>
      <c r="AY141" s="69"/>
      <c r="AZ141" s="69"/>
      <c r="BA141" s="69"/>
      <c r="BB141" s="69"/>
      <c r="BC141" s="69"/>
      <c r="BD141" s="69"/>
      <c r="BE141" s="69"/>
      <c r="BF141" s="69"/>
      <c r="BG141" s="69"/>
      <c r="BH141" s="69"/>
    </row>
    <row r="142" spans="1:60" x14ac:dyDescent="0.25">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c r="AN142" s="69"/>
      <c r="AO142" s="69"/>
      <c r="AP142" s="69"/>
      <c r="AQ142" s="69"/>
      <c r="AR142" s="69"/>
      <c r="AS142" s="69"/>
      <c r="AT142" s="69"/>
      <c r="AU142" s="69"/>
      <c r="AV142" s="69"/>
      <c r="AW142" s="69"/>
      <c r="AX142" s="69"/>
      <c r="AY142" s="69"/>
      <c r="AZ142" s="69"/>
      <c r="BA142" s="69"/>
      <c r="BB142" s="69"/>
      <c r="BC142" s="69"/>
      <c r="BD142" s="69"/>
      <c r="BE142" s="69"/>
      <c r="BF142" s="69"/>
      <c r="BG142" s="69"/>
      <c r="BH142" s="69"/>
    </row>
    <row r="143" spans="1:60" x14ac:dyDescent="0.25">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c r="AH143" s="69"/>
      <c r="AI143" s="69"/>
      <c r="AJ143" s="69"/>
      <c r="AK143" s="69"/>
      <c r="AL143" s="69"/>
      <c r="AM143" s="69"/>
      <c r="AN143" s="69"/>
      <c r="AO143" s="69"/>
      <c r="AP143" s="69"/>
      <c r="AQ143" s="69"/>
      <c r="AR143" s="69"/>
      <c r="AS143" s="69"/>
      <c r="AT143" s="69"/>
      <c r="AU143" s="69"/>
      <c r="AV143" s="69"/>
      <c r="AW143" s="69"/>
      <c r="AX143" s="69"/>
      <c r="AY143" s="69"/>
      <c r="AZ143" s="69"/>
      <c r="BA143" s="69"/>
      <c r="BB143" s="69"/>
      <c r="BC143" s="69"/>
      <c r="BD143" s="69"/>
      <c r="BE143" s="69"/>
      <c r="BF143" s="69"/>
      <c r="BG143" s="69"/>
      <c r="BH143" s="69"/>
    </row>
    <row r="144" spans="1:60" x14ac:dyDescent="0.25">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c r="AG144" s="69"/>
      <c r="AH144" s="69"/>
      <c r="AI144" s="69"/>
      <c r="AJ144" s="69"/>
      <c r="AK144" s="69"/>
      <c r="AL144" s="69"/>
      <c r="AM144" s="69"/>
      <c r="AN144" s="69"/>
      <c r="AO144" s="69"/>
      <c r="AP144" s="69"/>
      <c r="AQ144" s="69"/>
      <c r="AR144" s="69"/>
      <c r="AS144" s="69"/>
      <c r="AT144" s="69"/>
      <c r="AU144" s="69"/>
      <c r="AV144" s="69"/>
      <c r="AW144" s="69"/>
      <c r="AX144" s="69"/>
      <c r="AY144" s="69"/>
      <c r="AZ144" s="69"/>
      <c r="BA144" s="69"/>
      <c r="BB144" s="69"/>
      <c r="BC144" s="69"/>
      <c r="BD144" s="69"/>
      <c r="BE144" s="69"/>
      <c r="BF144" s="69"/>
      <c r="BG144" s="69"/>
      <c r="BH144" s="69"/>
    </row>
    <row r="145" spans="1:60" x14ac:dyDescent="0.2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c r="AG145" s="69"/>
      <c r="AH145" s="69"/>
      <c r="AI145" s="69"/>
      <c r="AJ145" s="69"/>
      <c r="AK145" s="69"/>
      <c r="AL145" s="69"/>
      <c r="AM145" s="69"/>
      <c r="AN145" s="69"/>
      <c r="AO145" s="69"/>
      <c r="AP145" s="69"/>
      <c r="AQ145" s="69"/>
      <c r="AR145" s="69"/>
      <c r="AS145" s="69"/>
      <c r="AT145" s="69"/>
      <c r="AU145" s="69"/>
      <c r="AV145" s="69"/>
      <c r="AW145" s="69"/>
      <c r="AX145" s="69"/>
      <c r="AY145" s="69"/>
      <c r="AZ145" s="69"/>
      <c r="BA145" s="69"/>
      <c r="BB145" s="69"/>
      <c r="BC145" s="69"/>
      <c r="BD145" s="69"/>
      <c r="BE145" s="69"/>
      <c r="BF145" s="69"/>
      <c r="BG145" s="69"/>
      <c r="BH145" s="69"/>
    </row>
    <row r="146" spans="1:60" x14ac:dyDescent="0.25">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c r="AG146" s="69"/>
      <c r="AH146" s="69"/>
      <c r="AI146" s="69"/>
      <c r="AJ146" s="69"/>
      <c r="AK146" s="69"/>
      <c r="AL146" s="69"/>
      <c r="AM146" s="69"/>
      <c r="AN146" s="69"/>
      <c r="AO146" s="69"/>
      <c r="AP146" s="69"/>
      <c r="AQ146" s="69"/>
      <c r="AR146" s="69"/>
      <c r="AS146" s="69"/>
      <c r="AT146" s="69"/>
      <c r="AU146" s="69"/>
      <c r="AV146" s="69"/>
      <c r="AW146" s="69"/>
      <c r="AX146" s="69"/>
      <c r="AY146" s="69"/>
      <c r="AZ146" s="69"/>
      <c r="BA146" s="69"/>
      <c r="BB146" s="69"/>
      <c r="BC146" s="69"/>
      <c r="BD146" s="69"/>
      <c r="BE146" s="69"/>
      <c r="BF146" s="69"/>
      <c r="BG146" s="69"/>
      <c r="BH146" s="69"/>
    </row>
    <row r="147" spans="1:60" x14ac:dyDescent="0.25">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c r="AF147" s="69"/>
      <c r="AG147" s="69"/>
      <c r="AH147" s="69"/>
      <c r="AI147" s="69"/>
      <c r="AJ147" s="69"/>
      <c r="AK147" s="69"/>
      <c r="AL147" s="69"/>
      <c r="AM147" s="69"/>
      <c r="AN147" s="69"/>
      <c r="AO147" s="69"/>
      <c r="AP147" s="69"/>
      <c r="AQ147" s="69"/>
      <c r="AR147" s="69"/>
      <c r="AS147" s="69"/>
      <c r="AT147" s="69"/>
      <c r="AU147" s="69"/>
      <c r="AV147" s="69"/>
      <c r="AW147" s="69"/>
      <c r="AX147" s="69"/>
      <c r="AY147" s="69"/>
      <c r="AZ147" s="69"/>
      <c r="BA147" s="69"/>
      <c r="BB147" s="69"/>
      <c r="BC147" s="69"/>
      <c r="BD147" s="69"/>
      <c r="BE147" s="69"/>
      <c r="BF147" s="69"/>
      <c r="BG147" s="69"/>
      <c r="BH147" s="69"/>
    </row>
    <row r="148" spans="1:60" x14ac:dyDescent="0.25">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c r="AF148" s="69"/>
      <c r="AG148" s="69"/>
      <c r="AH148" s="69"/>
      <c r="AI148" s="69"/>
      <c r="AJ148" s="69"/>
      <c r="AK148" s="69"/>
      <c r="AL148" s="69"/>
      <c r="AM148" s="69"/>
      <c r="AN148" s="69"/>
      <c r="AO148" s="69"/>
      <c r="AP148" s="69"/>
      <c r="AQ148" s="69"/>
      <c r="AR148" s="69"/>
      <c r="AS148" s="69"/>
      <c r="AT148" s="69"/>
      <c r="AU148" s="69"/>
      <c r="AV148" s="69"/>
      <c r="AW148" s="69"/>
      <c r="AX148" s="69"/>
      <c r="AY148" s="69"/>
      <c r="AZ148" s="69"/>
      <c r="BA148" s="69"/>
      <c r="BB148" s="69"/>
      <c r="BC148" s="69"/>
      <c r="BD148" s="69"/>
      <c r="BE148" s="69"/>
      <c r="BF148" s="69"/>
      <c r="BG148" s="69"/>
      <c r="BH148" s="69"/>
    </row>
    <row r="149" spans="1:60" x14ac:dyDescent="0.25">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c r="AG149" s="69"/>
      <c r="AH149" s="69"/>
      <c r="AI149" s="69"/>
      <c r="AJ149" s="69"/>
      <c r="AK149" s="69"/>
      <c r="AL149" s="69"/>
      <c r="AM149" s="69"/>
      <c r="AN149" s="69"/>
      <c r="AO149" s="69"/>
      <c r="AP149" s="69"/>
      <c r="AQ149" s="69"/>
      <c r="AR149" s="69"/>
      <c r="AS149" s="69"/>
      <c r="AT149" s="69"/>
      <c r="AU149" s="69"/>
      <c r="AV149" s="69"/>
      <c r="AW149" s="69"/>
      <c r="AX149" s="69"/>
      <c r="AY149" s="69"/>
      <c r="AZ149" s="69"/>
      <c r="BA149" s="69"/>
      <c r="BB149" s="69"/>
      <c r="BC149" s="69"/>
      <c r="BD149" s="69"/>
      <c r="BE149" s="69"/>
      <c r="BF149" s="69"/>
      <c r="BG149" s="69"/>
      <c r="BH149" s="69"/>
    </row>
    <row r="150" spans="1:60" x14ac:dyDescent="0.25">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c r="AG150" s="69"/>
      <c r="AH150" s="69"/>
      <c r="AI150" s="69"/>
      <c r="AJ150" s="69"/>
      <c r="AK150" s="69"/>
      <c r="AL150" s="69"/>
      <c r="AM150" s="69"/>
      <c r="AN150" s="69"/>
      <c r="AO150" s="69"/>
      <c r="AP150" s="69"/>
      <c r="AQ150" s="69"/>
      <c r="AR150" s="69"/>
      <c r="AS150" s="69"/>
      <c r="AT150" s="69"/>
      <c r="AU150" s="69"/>
      <c r="AV150" s="69"/>
      <c r="AW150" s="69"/>
      <c r="AX150" s="69"/>
      <c r="AY150" s="69"/>
      <c r="AZ150" s="69"/>
      <c r="BA150" s="69"/>
      <c r="BB150" s="69"/>
      <c r="BC150" s="69"/>
      <c r="BD150" s="69"/>
      <c r="BE150" s="69"/>
      <c r="BF150" s="69"/>
      <c r="BG150" s="69"/>
      <c r="BH150" s="69"/>
    </row>
    <row r="151" spans="1:60" x14ac:dyDescent="0.25">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c r="AH151" s="69"/>
      <c r="AI151" s="69"/>
      <c r="AJ151" s="69"/>
      <c r="AK151" s="69"/>
      <c r="AL151" s="69"/>
      <c r="AM151" s="69"/>
      <c r="AN151" s="69"/>
      <c r="AO151" s="69"/>
      <c r="AP151" s="69"/>
      <c r="AQ151" s="69"/>
      <c r="AR151" s="69"/>
      <c r="AS151" s="69"/>
      <c r="AT151" s="69"/>
      <c r="AU151" s="69"/>
      <c r="AV151" s="69"/>
      <c r="AW151" s="69"/>
      <c r="AX151" s="69"/>
      <c r="AY151" s="69"/>
      <c r="AZ151" s="69"/>
      <c r="BA151" s="69"/>
      <c r="BB151" s="69"/>
      <c r="BC151" s="69"/>
      <c r="BD151" s="69"/>
      <c r="BE151" s="69"/>
      <c r="BF151" s="69"/>
      <c r="BG151" s="69"/>
      <c r="BH151" s="69"/>
    </row>
    <row r="152" spans="1:60" x14ac:dyDescent="0.25">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c r="AF152" s="69"/>
      <c r="AG152" s="69"/>
      <c r="AH152" s="69"/>
      <c r="AI152" s="69"/>
      <c r="AJ152" s="69"/>
      <c r="AK152" s="69"/>
      <c r="AL152" s="69"/>
      <c r="AM152" s="69"/>
      <c r="AN152" s="69"/>
      <c r="AO152" s="69"/>
      <c r="AP152" s="69"/>
      <c r="AQ152" s="69"/>
      <c r="AR152" s="69"/>
      <c r="AS152" s="69"/>
      <c r="AT152" s="69"/>
      <c r="AU152" s="69"/>
      <c r="AV152" s="69"/>
      <c r="AW152" s="69"/>
      <c r="AX152" s="69"/>
      <c r="AY152" s="69"/>
      <c r="AZ152" s="69"/>
      <c r="BA152" s="69"/>
      <c r="BB152" s="69"/>
      <c r="BC152" s="69"/>
      <c r="BD152" s="69"/>
      <c r="BE152" s="69"/>
      <c r="BF152" s="69"/>
      <c r="BG152" s="69"/>
      <c r="BH152" s="69"/>
    </row>
    <row r="153" spans="1:60" x14ac:dyDescent="0.25">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c r="AG153" s="69"/>
      <c r="AH153" s="69"/>
      <c r="AI153" s="69"/>
      <c r="AJ153" s="69"/>
      <c r="AK153" s="69"/>
      <c r="AL153" s="69"/>
      <c r="AM153" s="69"/>
      <c r="AN153" s="69"/>
      <c r="AO153" s="69"/>
      <c r="AP153" s="69"/>
      <c r="AQ153" s="69"/>
      <c r="AR153" s="69"/>
      <c r="AS153" s="69"/>
      <c r="AT153" s="69"/>
      <c r="AU153" s="69"/>
      <c r="AV153" s="69"/>
      <c r="AW153" s="69"/>
      <c r="AX153" s="69"/>
      <c r="AY153" s="69"/>
      <c r="AZ153" s="69"/>
      <c r="BA153" s="69"/>
      <c r="BB153" s="69"/>
      <c r="BC153" s="69"/>
      <c r="BD153" s="69"/>
      <c r="BE153" s="69"/>
      <c r="BF153" s="69"/>
      <c r="BG153" s="69"/>
      <c r="BH153" s="69"/>
    </row>
    <row r="154" spans="1:60" x14ac:dyDescent="0.25">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9"/>
      <c r="AH154" s="69"/>
      <c r="AI154" s="69"/>
      <c r="AJ154" s="69"/>
      <c r="AK154" s="69"/>
      <c r="AL154" s="69"/>
      <c r="AM154" s="69"/>
      <c r="AN154" s="69"/>
      <c r="AO154" s="69"/>
      <c r="AP154" s="69"/>
      <c r="AQ154" s="69"/>
      <c r="AR154" s="69"/>
      <c r="AS154" s="69"/>
      <c r="AT154" s="69"/>
      <c r="AU154" s="69"/>
      <c r="AV154" s="69"/>
      <c r="AW154" s="69"/>
      <c r="AX154" s="69"/>
      <c r="AY154" s="69"/>
      <c r="AZ154" s="69"/>
      <c r="BA154" s="69"/>
      <c r="BB154" s="69"/>
      <c r="BC154" s="69"/>
      <c r="BD154" s="69"/>
      <c r="BE154" s="69"/>
      <c r="BF154" s="69"/>
      <c r="BG154" s="69"/>
      <c r="BH154" s="69"/>
    </row>
    <row r="155" spans="1:60" x14ac:dyDescent="0.2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c r="AM155" s="69"/>
      <c r="AN155" s="69"/>
      <c r="AO155" s="69"/>
      <c r="AP155" s="69"/>
      <c r="AQ155" s="69"/>
      <c r="AR155" s="69"/>
      <c r="AS155" s="69"/>
      <c r="AT155" s="69"/>
      <c r="AU155" s="69"/>
      <c r="AV155" s="69"/>
      <c r="AW155" s="69"/>
      <c r="AX155" s="69"/>
      <c r="AY155" s="69"/>
      <c r="AZ155" s="69"/>
      <c r="BA155" s="69"/>
      <c r="BB155" s="69"/>
      <c r="BC155" s="69"/>
      <c r="BD155" s="69"/>
      <c r="BE155" s="69"/>
      <c r="BF155" s="69"/>
      <c r="BG155" s="69"/>
      <c r="BH155" s="69"/>
    </row>
    <row r="156" spans="1:60" x14ac:dyDescent="0.25">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c r="AH156" s="69"/>
      <c r="AI156" s="69"/>
      <c r="AJ156" s="69"/>
      <c r="AK156" s="69"/>
      <c r="AL156" s="69"/>
      <c r="AM156" s="69"/>
      <c r="AN156" s="69"/>
      <c r="AO156" s="69"/>
      <c r="AP156" s="69"/>
      <c r="AQ156" s="69"/>
      <c r="AR156" s="69"/>
      <c r="AS156" s="69"/>
      <c r="AT156" s="69"/>
      <c r="AU156" s="69"/>
      <c r="AV156" s="69"/>
      <c r="AW156" s="69"/>
      <c r="AX156" s="69"/>
      <c r="AY156" s="69"/>
      <c r="AZ156" s="69"/>
      <c r="BA156" s="69"/>
      <c r="BB156" s="69"/>
      <c r="BC156" s="69"/>
      <c r="BD156" s="69"/>
      <c r="BE156" s="69"/>
      <c r="BF156" s="69"/>
      <c r="BG156" s="69"/>
      <c r="BH156" s="69"/>
    </row>
    <row r="157" spans="1:60" x14ac:dyDescent="0.25">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c r="AH157" s="69"/>
      <c r="AI157" s="69"/>
      <c r="AJ157" s="69"/>
      <c r="AK157" s="69"/>
      <c r="AL157" s="69"/>
      <c r="AM157" s="69"/>
      <c r="AN157" s="69"/>
      <c r="AO157" s="69"/>
      <c r="AP157" s="69"/>
      <c r="AQ157" s="69"/>
      <c r="AR157" s="69"/>
      <c r="AS157" s="69"/>
      <c r="AT157" s="69"/>
      <c r="AU157" s="69"/>
      <c r="AV157" s="69"/>
      <c r="AW157" s="69"/>
      <c r="AX157" s="69"/>
      <c r="AY157" s="69"/>
      <c r="AZ157" s="69"/>
      <c r="BA157" s="69"/>
      <c r="BB157" s="69"/>
      <c r="BC157" s="69"/>
      <c r="BD157" s="69"/>
      <c r="BE157" s="69"/>
      <c r="BF157" s="69"/>
      <c r="BG157" s="69"/>
      <c r="BH157" s="69"/>
    </row>
    <row r="158" spans="1:60" x14ac:dyDescent="0.25">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c r="AH158" s="69"/>
      <c r="AI158" s="69"/>
      <c r="AJ158" s="69"/>
      <c r="AK158" s="69"/>
      <c r="AL158" s="69"/>
      <c r="AM158" s="69"/>
      <c r="AN158" s="69"/>
      <c r="AO158" s="69"/>
      <c r="AP158" s="69"/>
      <c r="AQ158" s="69"/>
      <c r="AR158" s="69"/>
      <c r="AS158" s="69"/>
      <c r="AT158" s="69"/>
      <c r="AU158" s="69"/>
      <c r="AV158" s="69"/>
      <c r="AW158" s="69"/>
      <c r="AX158" s="69"/>
      <c r="AY158" s="69"/>
      <c r="AZ158" s="69"/>
      <c r="BA158" s="69"/>
      <c r="BB158" s="69"/>
      <c r="BC158" s="69"/>
      <c r="BD158" s="69"/>
      <c r="BE158" s="69"/>
      <c r="BF158" s="69"/>
      <c r="BG158" s="69"/>
      <c r="BH158" s="69"/>
    </row>
    <row r="159" spans="1:60" x14ac:dyDescent="0.25">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c r="AH159" s="69"/>
      <c r="AI159" s="69"/>
      <c r="AJ159" s="69"/>
      <c r="AK159" s="69"/>
      <c r="AL159" s="69"/>
      <c r="AM159" s="69"/>
      <c r="AN159" s="69"/>
      <c r="AO159" s="69"/>
      <c r="AP159" s="69"/>
      <c r="AQ159" s="69"/>
      <c r="AR159" s="69"/>
      <c r="AS159" s="69"/>
      <c r="AT159" s="69"/>
      <c r="AU159" s="69"/>
      <c r="AV159" s="69"/>
      <c r="AW159" s="69"/>
      <c r="AX159" s="69"/>
      <c r="AY159" s="69"/>
      <c r="AZ159" s="69"/>
      <c r="BA159" s="69"/>
      <c r="BB159" s="69"/>
      <c r="BC159" s="69"/>
      <c r="BD159" s="69"/>
      <c r="BE159" s="69"/>
      <c r="BF159" s="69"/>
      <c r="BG159" s="69"/>
      <c r="BH159" s="69"/>
    </row>
    <row r="160" spans="1:60" x14ac:dyDescent="0.25">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c r="AN160" s="69"/>
      <c r="AO160" s="69"/>
      <c r="AP160" s="69"/>
      <c r="AQ160" s="69"/>
      <c r="AR160" s="69"/>
      <c r="AS160" s="69"/>
      <c r="AT160" s="69"/>
      <c r="AU160" s="69"/>
      <c r="AV160" s="69"/>
      <c r="AW160" s="69"/>
      <c r="AX160" s="69"/>
      <c r="AY160" s="69"/>
      <c r="AZ160" s="69"/>
      <c r="BA160" s="69"/>
      <c r="BB160" s="69"/>
      <c r="BC160" s="69"/>
      <c r="BD160" s="69"/>
      <c r="BE160" s="69"/>
      <c r="BF160" s="69"/>
      <c r="BG160" s="69"/>
      <c r="BH160" s="69"/>
    </row>
    <row r="161" spans="1:60" x14ac:dyDescent="0.25">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c r="AV161" s="69"/>
      <c r="AW161" s="69"/>
      <c r="AX161" s="69"/>
      <c r="AY161" s="69"/>
      <c r="AZ161" s="69"/>
      <c r="BA161" s="69"/>
      <c r="BB161" s="69"/>
      <c r="BC161" s="69"/>
      <c r="BD161" s="69"/>
      <c r="BE161" s="69"/>
      <c r="BF161" s="69"/>
      <c r="BG161" s="69"/>
      <c r="BH161" s="69"/>
    </row>
    <row r="162" spans="1:60" x14ac:dyDescent="0.25">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69"/>
      <c r="AO162" s="69"/>
      <c r="AP162" s="69"/>
      <c r="AQ162" s="69"/>
      <c r="AR162" s="69"/>
      <c r="AS162" s="69"/>
      <c r="AT162" s="69"/>
      <c r="AU162" s="69"/>
      <c r="AV162" s="69"/>
      <c r="AW162" s="69"/>
      <c r="AX162" s="69"/>
      <c r="AY162" s="69"/>
      <c r="AZ162" s="69"/>
      <c r="BA162" s="69"/>
      <c r="BB162" s="69"/>
      <c r="BC162" s="69"/>
      <c r="BD162" s="69"/>
      <c r="BE162" s="69"/>
      <c r="BF162" s="69"/>
      <c r="BG162" s="69"/>
      <c r="BH162" s="69"/>
    </row>
    <row r="163" spans="1:60" x14ac:dyDescent="0.25">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c r="AZ163" s="69"/>
      <c r="BA163" s="69"/>
      <c r="BB163" s="69"/>
      <c r="BC163" s="69"/>
      <c r="BD163" s="69"/>
      <c r="BE163" s="69"/>
      <c r="BF163" s="69"/>
      <c r="BG163" s="69"/>
      <c r="BH163" s="69"/>
    </row>
    <row r="164" spans="1:60" x14ac:dyDescent="0.25">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9"/>
      <c r="AP164" s="69"/>
      <c r="AQ164" s="69"/>
      <c r="AR164" s="69"/>
      <c r="AS164" s="69"/>
      <c r="AT164" s="69"/>
      <c r="AU164" s="69"/>
      <c r="AV164" s="69"/>
      <c r="AW164" s="69"/>
      <c r="AX164" s="69"/>
      <c r="AY164" s="69"/>
      <c r="AZ164" s="69"/>
      <c r="BA164" s="69"/>
      <c r="BB164" s="69"/>
      <c r="BC164" s="69"/>
      <c r="BD164" s="69"/>
      <c r="BE164" s="69"/>
      <c r="BF164" s="69"/>
      <c r="BG164" s="69"/>
      <c r="BH164" s="69"/>
    </row>
    <row r="165" spans="1:60" x14ac:dyDescent="0.2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c r="AP165" s="69"/>
      <c r="AQ165" s="69"/>
      <c r="AR165" s="69"/>
      <c r="AS165" s="69"/>
      <c r="AT165" s="69"/>
      <c r="AU165" s="69"/>
      <c r="AV165" s="69"/>
      <c r="AW165" s="69"/>
      <c r="AX165" s="69"/>
      <c r="AY165" s="69"/>
      <c r="AZ165" s="69"/>
      <c r="BA165" s="69"/>
      <c r="BB165" s="69"/>
      <c r="BC165" s="69"/>
      <c r="BD165" s="69"/>
      <c r="BE165" s="69"/>
      <c r="BF165" s="69"/>
      <c r="BG165" s="69"/>
      <c r="BH165" s="69"/>
    </row>
    <row r="166" spans="1:60" x14ac:dyDescent="0.25">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c r="AP166" s="69"/>
      <c r="AQ166" s="69"/>
      <c r="AR166" s="69"/>
      <c r="AS166" s="69"/>
      <c r="AT166" s="69"/>
      <c r="AU166" s="69"/>
      <c r="AV166" s="69"/>
      <c r="AW166" s="69"/>
      <c r="AX166" s="69"/>
      <c r="AY166" s="69"/>
      <c r="AZ166" s="69"/>
      <c r="BA166" s="69"/>
      <c r="BB166" s="69"/>
      <c r="BC166" s="69"/>
      <c r="BD166" s="69"/>
      <c r="BE166" s="69"/>
      <c r="BF166" s="69"/>
      <c r="BG166" s="69"/>
      <c r="BH166" s="69"/>
    </row>
    <row r="167" spans="1:60" x14ac:dyDescent="0.25">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9"/>
      <c r="AP167" s="69"/>
      <c r="AQ167" s="69"/>
      <c r="AR167" s="69"/>
      <c r="AS167" s="69"/>
      <c r="AT167" s="69"/>
      <c r="AU167" s="69"/>
      <c r="AV167" s="69"/>
      <c r="AW167" s="69"/>
      <c r="AX167" s="69"/>
      <c r="AY167" s="69"/>
      <c r="AZ167" s="69"/>
      <c r="BA167" s="69"/>
      <c r="BB167" s="69"/>
      <c r="BC167" s="69"/>
      <c r="BD167" s="69"/>
      <c r="BE167" s="69"/>
      <c r="BF167" s="69"/>
      <c r="BG167" s="69"/>
      <c r="BH167" s="69"/>
    </row>
    <row r="168" spans="1:60" x14ac:dyDescent="0.25">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9"/>
      <c r="AP168" s="69"/>
      <c r="AQ168" s="69"/>
      <c r="AR168" s="69"/>
      <c r="AS168" s="69"/>
      <c r="AT168" s="69"/>
      <c r="AU168" s="69"/>
      <c r="AV168" s="69"/>
      <c r="AW168" s="69"/>
      <c r="AX168" s="69"/>
      <c r="AY168" s="69"/>
      <c r="AZ168" s="69"/>
      <c r="BA168" s="69"/>
      <c r="BB168" s="69"/>
      <c r="BC168" s="69"/>
      <c r="BD168" s="69"/>
      <c r="BE168" s="69"/>
      <c r="BF168" s="69"/>
      <c r="BG168" s="69"/>
      <c r="BH168" s="69"/>
    </row>
    <row r="169" spans="1:60" x14ac:dyDescent="0.25">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c r="AP169" s="69"/>
      <c r="AQ169" s="69"/>
      <c r="AR169" s="69"/>
      <c r="AS169" s="69"/>
      <c r="AT169" s="69"/>
      <c r="AU169" s="69"/>
      <c r="AV169" s="69"/>
      <c r="AW169" s="69"/>
      <c r="AX169" s="69"/>
      <c r="AY169" s="69"/>
      <c r="AZ169" s="69"/>
      <c r="BA169" s="69"/>
      <c r="BB169" s="69"/>
      <c r="BC169" s="69"/>
      <c r="BD169" s="69"/>
      <c r="BE169" s="69"/>
      <c r="BF169" s="69"/>
      <c r="BG169" s="69"/>
      <c r="BH169" s="69"/>
    </row>
    <row r="170" spans="1:60" x14ac:dyDescent="0.25">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9"/>
      <c r="AP170" s="69"/>
      <c r="AQ170" s="69"/>
      <c r="AR170" s="69"/>
      <c r="AS170" s="69"/>
      <c r="AT170" s="69"/>
      <c r="AU170" s="69"/>
      <c r="AV170" s="69"/>
      <c r="AW170" s="69"/>
      <c r="AX170" s="69"/>
      <c r="AY170" s="69"/>
      <c r="AZ170" s="69"/>
      <c r="BA170" s="69"/>
      <c r="BB170" s="69"/>
      <c r="BC170" s="69"/>
      <c r="BD170" s="69"/>
      <c r="BE170" s="69"/>
      <c r="BF170" s="69"/>
      <c r="BG170" s="69"/>
      <c r="BH170" s="69"/>
    </row>
    <row r="171" spans="1:60" x14ac:dyDescent="0.25">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c r="AZ171" s="69"/>
      <c r="BA171" s="69"/>
      <c r="BB171" s="69"/>
      <c r="BC171" s="69"/>
      <c r="BD171" s="69"/>
      <c r="BE171" s="69"/>
      <c r="BF171" s="69"/>
      <c r="BG171" s="69"/>
      <c r="BH171" s="69"/>
    </row>
    <row r="172" spans="1:60" x14ac:dyDescent="0.25">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row>
    <row r="173" spans="1:60" x14ac:dyDescent="0.25">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row>
    <row r="174" spans="1:60" x14ac:dyDescent="0.25">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row>
    <row r="175" spans="1:60" x14ac:dyDescent="0.2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9"/>
      <c r="AP175" s="69"/>
      <c r="AQ175" s="69"/>
      <c r="AR175" s="69"/>
      <c r="AS175" s="69"/>
      <c r="AT175" s="69"/>
      <c r="AU175" s="69"/>
      <c r="AV175" s="69"/>
      <c r="AW175" s="69"/>
      <c r="AX175" s="69"/>
      <c r="AY175" s="69"/>
      <c r="AZ175" s="69"/>
      <c r="BA175" s="69"/>
      <c r="BB175" s="69"/>
      <c r="BC175" s="69"/>
      <c r="BD175" s="69"/>
      <c r="BE175" s="69"/>
      <c r="BF175" s="69"/>
      <c r="BG175" s="69"/>
      <c r="BH175" s="69"/>
    </row>
    <row r="176" spans="1:60" x14ac:dyDescent="0.25">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c r="AZ176" s="69"/>
      <c r="BA176" s="69"/>
      <c r="BB176" s="69"/>
      <c r="BC176" s="69"/>
      <c r="BD176" s="69"/>
      <c r="BE176" s="69"/>
      <c r="BF176" s="69"/>
      <c r="BG176" s="69"/>
      <c r="BH176" s="69"/>
    </row>
    <row r="177" spans="1:60" x14ac:dyDescent="0.25">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69"/>
      <c r="AO177" s="69"/>
      <c r="AP177" s="69"/>
      <c r="AQ177" s="69"/>
      <c r="AR177" s="69"/>
      <c r="AS177" s="69"/>
      <c r="AT177" s="69"/>
      <c r="AU177" s="69"/>
      <c r="AV177" s="69"/>
      <c r="AW177" s="69"/>
      <c r="AX177" s="69"/>
      <c r="AY177" s="69"/>
      <c r="AZ177" s="69"/>
      <c r="BA177" s="69"/>
      <c r="BB177" s="69"/>
      <c r="BC177" s="69"/>
      <c r="BD177" s="69"/>
      <c r="BE177" s="69"/>
      <c r="BF177" s="69"/>
      <c r="BG177" s="69"/>
      <c r="BH177" s="69"/>
    </row>
    <row r="178" spans="1:60" x14ac:dyDescent="0.25">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9"/>
      <c r="AP178" s="69"/>
      <c r="AQ178" s="69"/>
      <c r="AR178" s="69"/>
      <c r="AS178" s="69"/>
      <c r="AT178" s="69"/>
      <c r="AU178" s="69"/>
      <c r="AV178" s="69"/>
      <c r="AW178" s="69"/>
      <c r="AX178" s="69"/>
      <c r="AY178" s="69"/>
      <c r="AZ178" s="69"/>
      <c r="BA178" s="69"/>
      <c r="BB178" s="69"/>
      <c r="BC178" s="69"/>
      <c r="BD178" s="69"/>
      <c r="BE178" s="69"/>
      <c r="BF178" s="69"/>
      <c r="BG178" s="69"/>
      <c r="BH178" s="69"/>
    </row>
    <row r="179" spans="1:60" x14ac:dyDescent="0.25">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69"/>
      <c r="AO179" s="69"/>
      <c r="AP179" s="69"/>
      <c r="AQ179" s="69"/>
      <c r="AR179" s="69"/>
      <c r="AS179" s="69"/>
      <c r="AT179" s="69"/>
      <c r="AU179" s="69"/>
      <c r="AV179" s="69"/>
      <c r="AW179" s="69"/>
      <c r="AX179" s="69"/>
      <c r="AY179" s="69"/>
      <c r="AZ179" s="69"/>
      <c r="BA179" s="69"/>
      <c r="BB179" s="69"/>
      <c r="BC179" s="69"/>
      <c r="BD179" s="69"/>
      <c r="BE179" s="69"/>
      <c r="BF179" s="69"/>
      <c r="BG179" s="69"/>
      <c r="BH179" s="69"/>
    </row>
    <row r="180" spans="1:60" x14ac:dyDescent="0.25">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c r="AP180" s="69"/>
      <c r="AQ180" s="69"/>
      <c r="AR180" s="69"/>
      <c r="AS180" s="69"/>
      <c r="AT180" s="69"/>
      <c r="AU180" s="69"/>
      <c r="AV180" s="69"/>
      <c r="AW180" s="69"/>
      <c r="AX180" s="69"/>
      <c r="AY180" s="69"/>
      <c r="AZ180" s="69"/>
      <c r="BA180" s="69"/>
      <c r="BB180" s="69"/>
      <c r="BC180" s="69"/>
      <c r="BD180" s="69"/>
      <c r="BE180" s="69"/>
      <c r="BF180" s="69"/>
      <c r="BG180" s="69"/>
      <c r="BH180" s="69"/>
    </row>
    <row r="181" spans="1:60" x14ac:dyDescent="0.25">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69"/>
      <c r="AO181" s="69"/>
      <c r="AP181" s="69"/>
      <c r="AQ181" s="69"/>
      <c r="AR181" s="69"/>
      <c r="AS181" s="69"/>
      <c r="AT181" s="69"/>
      <c r="AU181" s="69"/>
      <c r="AV181" s="69"/>
      <c r="AW181" s="69"/>
      <c r="AX181" s="69"/>
      <c r="AY181" s="69"/>
      <c r="AZ181" s="69"/>
      <c r="BA181" s="69"/>
      <c r="BB181" s="69"/>
      <c r="BC181" s="69"/>
      <c r="BD181" s="69"/>
      <c r="BE181" s="69"/>
      <c r="BF181" s="69"/>
      <c r="BG181" s="69"/>
      <c r="BH181" s="69"/>
    </row>
    <row r="182" spans="1:60" x14ac:dyDescent="0.25">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9"/>
      <c r="AP182" s="69"/>
      <c r="AQ182" s="69"/>
      <c r="AR182" s="69"/>
      <c r="AS182" s="69"/>
      <c r="AT182" s="69"/>
      <c r="AU182" s="69"/>
      <c r="AV182" s="69"/>
      <c r="AW182" s="69"/>
      <c r="AX182" s="69"/>
      <c r="AY182" s="69"/>
      <c r="AZ182" s="69"/>
      <c r="BA182" s="69"/>
      <c r="BB182" s="69"/>
      <c r="BC182" s="69"/>
      <c r="BD182" s="69"/>
      <c r="BE182" s="69"/>
      <c r="BF182" s="69"/>
      <c r="BG182" s="69"/>
      <c r="BH182" s="69"/>
    </row>
    <row r="183" spans="1:60" x14ac:dyDescent="0.25">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69"/>
      <c r="AO183" s="69"/>
      <c r="AP183" s="69"/>
      <c r="AQ183" s="69"/>
      <c r="AR183" s="69"/>
      <c r="AS183" s="69"/>
      <c r="AT183" s="69"/>
      <c r="AU183" s="69"/>
      <c r="AV183" s="69"/>
      <c r="AW183" s="69"/>
      <c r="AX183" s="69"/>
      <c r="AY183" s="69"/>
      <c r="AZ183" s="69"/>
      <c r="BA183" s="69"/>
      <c r="BB183" s="69"/>
      <c r="BC183" s="69"/>
      <c r="BD183" s="69"/>
      <c r="BE183" s="69"/>
      <c r="BF183" s="69"/>
      <c r="BG183" s="69"/>
      <c r="BH183" s="69"/>
    </row>
    <row r="184" spans="1:60" x14ac:dyDescent="0.25">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c r="AZ184" s="69"/>
      <c r="BA184" s="69"/>
      <c r="BB184" s="69"/>
      <c r="BC184" s="69"/>
      <c r="BD184" s="69"/>
      <c r="BE184" s="69"/>
      <c r="BF184" s="69"/>
      <c r="BG184" s="69"/>
      <c r="BH184" s="69"/>
    </row>
    <row r="185" spans="1:60" x14ac:dyDescent="0.2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c r="AP185" s="69"/>
      <c r="AQ185" s="69"/>
      <c r="AR185" s="69"/>
      <c r="AS185" s="69"/>
      <c r="AT185" s="69"/>
      <c r="AU185" s="69"/>
      <c r="AV185" s="69"/>
      <c r="AW185" s="69"/>
      <c r="AX185" s="69"/>
      <c r="AY185" s="69"/>
      <c r="AZ185" s="69"/>
      <c r="BA185" s="69"/>
      <c r="BB185" s="69"/>
      <c r="BC185" s="69"/>
      <c r="BD185" s="69"/>
      <c r="BE185" s="69"/>
      <c r="BF185" s="69"/>
      <c r="BG185" s="69"/>
      <c r="BH185" s="69"/>
    </row>
    <row r="186" spans="1:60" x14ac:dyDescent="0.25">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c r="AN186" s="69"/>
      <c r="AO186" s="69"/>
      <c r="AP186" s="69"/>
      <c r="AQ186" s="69"/>
      <c r="AR186" s="69"/>
      <c r="AS186" s="69"/>
      <c r="AT186" s="69"/>
      <c r="AU186" s="69"/>
      <c r="AV186" s="69"/>
      <c r="AW186" s="69"/>
      <c r="AX186" s="69"/>
      <c r="AY186" s="69"/>
      <c r="AZ186" s="69"/>
      <c r="BA186" s="69"/>
      <c r="BB186" s="69"/>
      <c r="BC186" s="69"/>
      <c r="BD186" s="69"/>
      <c r="BE186" s="69"/>
      <c r="BF186" s="69"/>
      <c r="BG186" s="69"/>
      <c r="BH186" s="69"/>
    </row>
    <row r="187" spans="1:60" x14ac:dyDescent="0.25">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c r="AP187" s="69"/>
      <c r="AQ187" s="69"/>
      <c r="AR187" s="69"/>
      <c r="AS187" s="69"/>
      <c r="AT187" s="69"/>
      <c r="AU187" s="69"/>
      <c r="AV187" s="69"/>
      <c r="AW187" s="69"/>
      <c r="AX187" s="69"/>
      <c r="AY187" s="69"/>
      <c r="AZ187" s="69"/>
      <c r="BA187" s="69"/>
      <c r="BB187" s="69"/>
      <c r="BC187" s="69"/>
      <c r="BD187" s="69"/>
      <c r="BE187" s="69"/>
      <c r="BF187" s="69"/>
      <c r="BG187" s="69"/>
      <c r="BH187" s="69"/>
    </row>
    <row r="188" spans="1:60" x14ac:dyDescent="0.25">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c r="AZ188" s="69"/>
      <c r="BA188" s="69"/>
      <c r="BB188" s="69"/>
      <c r="BC188" s="69"/>
      <c r="BD188" s="69"/>
      <c r="BE188" s="69"/>
      <c r="BF188" s="69"/>
      <c r="BG188" s="69"/>
      <c r="BH188" s="69"/>
    </row>
    <row r="189" spans="1:60" x14ac:dyDescent="0.25">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9"/>
      <c r="AP189" s="69"/>
      <c r="AQ189" s="69"/>
      <c r="AR189" s="69"/>
      <c r="AS189" s="69"/>
      <c r="AT189" s="69"/>
      <c r="AU189" s="69"/>
      <c r="AV189" s="69"/>
      <c r="AW189" s="69"/>
      <c r="AX189" s="69"/>
      <c r="AY189" s="69"/>
      <c r="AZ189" s="69"/>
      <c r="BA189" s="69"/>
      <c r="BB189" s="69"/>
      <c r="BC189" s="69"/>
      <c r="BD189" s="69"/>
      <c r="BE189" s="69"/>
      <c r="BF189" s="69"/>
      <c r="BG189" s="69"/>
      <c r="BH189" s="69"/>
    </row>
    <row r="190" spans="1:60" x14ac:dyDescent="0.25">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row>
    <row r="191" spans="1:60" x14ac:dyDescent="0.25">
      <c r="A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row>
    <row r="192" spans="1:60" x14ac:dyDescent="0.25">
      <c r="A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c r="AZ192" s="69"/>
      <c r="BA192" s="69"/>
      <c r="BB192" s="69"/>
      <c r="BC192" s="69"/>
      <c r="BD192" s="69"/>
      <c r="BE192" s="69"/>
      <c r="BF192" s="69"/>
      <c r="BG192" s="69"/>
      <c r="BH192" s="69"/>
    </row>
    <row r="193" spans="1:60" x14ac:dyDescent="0.25">
      <c r="A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c r="AZ193" s="69"/>
      <c r="BA193" s="69"/>
      <c r="BB193" s="69"/>
      <c r="BC193" s="69"/>
      <c r="BD193" s="69"/>
      <c r="BE193" s="69"/>
      <c r="BF193" s="69"/>
      <c r="BG193" s="69"/>
      <c r="BH193" s="69"/>
    </row>
    <row r="194" spans="1:60" x14ac:dyDescent="0.25">
      <c r="A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c r="AZ194" s="69"/>
      <c r="BA194" s="69"/>
      <c r="BB194" s="69"/>
      <c r="BC194" s="69"/>
      <c r="BD194" s="69"/>
      <c r="BE194" s="69"/>
      <c r="BF194" s="69"/>
      <c r="BG194" s="69"/>
      <c r="BH194" s="69"/>
    </row>
    <row r="195" spans="1:60" x14ac:dyDescent="0.25">
      <c r="A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69"/>
      <c r="AO195" s="69"/>
      <c r="AP195" s="69"/>
      <c r="AQ195" s="69"/>
      <c r="AR195" s="69"/>
      <c r="AS195" s="69"/>
      <c r="AT195" s="69"/>
      <c r="AU195" s="69"/>
      <c r="AV195" s="69"/>
      <c r="AW195" s="69"/>
      <c r="AX195" s="69"/>
      <c r="AY195" s="69"/>
      <c r="AZ195" s="69"/>
      <c r="BA195" s="69"/>
      <c r="BB195" s="69"/>
      <c r="BC195" s="69"/>
      <c r="BD195" s="69"/>
      <c r="BE195" s="69"/>
      <c r="BF195" s="69"/>
      <c r="BG195" s="69"/>
      <c r="BH195" s="69"/>
    </row>
    <row r="196" spans="1:60" x14ac:dyDescent="0.25">
      <c r="A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c r="AZ196" s="69"/>
      <c r="BA196" s="69"/>
      <c r="BB196" s="69"/>
      <c r="BC196" s="69"/>
      <c r="BD196" s="69"/>
      <c r="BE196" s="69"/>
      <c r="BF196" s="69"/>
      <c r="BG196" s="69"/>
      <c r="BH196" s="69"/>
    </row>
    <row r="197" spans="1:60" x14ac:dyDescent="0.25">
      <c r="A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9"/>
      <c r="AP197" s="69"/>
      <c r="AQ197" s="69"/>
      <c r="AR197" s="69"/>
      <c r="AS197" s="69"/>
      <c r="AT197" s="69"/>
      <c r="AU197" s="69"/>
      <c r="AV197" s="69"/>
      <c r="AW197" s="69"/>
      <c r="AX197" s="69"/>
      <c r="AY197" s="69"/>
      <c r="AZ197" s="69"/>
      <c r="BA197" s="69"/>
      <c r="BB197" s="69"/>
      <c r="BC197" s="69"/>
      <c r="BD197" s="69"/>
      <c r="BE197" s="69"/>
      <c r="BF197" s="69"/>
      <c r="BG197" s="69"/>
      <c r="BH197" s="69"/>
    </row>
    <row r="198" spans="1:60" x14ac:dyDescent="0.25">
      <c r="A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c r="AP198" s="69"/>
      <c r="AQ198" s="69"/>
      <c r="AR198" s="69"/>
      <c r="AS198" s="69"/>
      <c r="AT198" s="69"/>
      <c r="AU198" s="69"/>
      <c r="AV198" s="69"/>
      <c r="AW198" s="69"/>
      <c r="AX198" s="69"/>
      <c r="AY198" s="69"/>
      <c r="AZ198" s="69"/>
      <c r="BA198" s="69"/>
      <c r="BB198" s="69"/>
      <c r="BC198" s="69"/>
      <c r="BD198" s="69"/>
      <c r="BE198" s="69"/>
      <c r="BF198" s="69"/>
      <c r="BG198" s="69"/>
      <c r="BH198" s="69"/>
    </row>
    <row r="199" spans="1:60" x14ac:dyDescent="0.25">
      <c r="A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c r="AZ199" s="69"/>
      <c r="BA199" s="69"/>
      <c r="BB199" s="69"/>
      <c r="BC199" s="69"/>
      <c r="BD199" s="69"/>
      <c r="BE199" s="69"/>
      <c r="BF199" s="69"/>
      <c r="BG199" s="69"/>
      <c r="BH199" s="69"/>
    </row>
    <row r="200" spans="1:60" x14ac:dyDescent="0.25">
      <c r="A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c r="AZ200" s="69"/>
      <c r="BA200" s="69"/>
      <c r="BB200" s="69"/>
      <c r="BC200" s="69"/>
      <c r="BD200" s="69"/>
      <c r="BE200" s="69"/>
      <c r="BF200" s="69"/>
      <c r="BG200" s="69"/>
      <c r="BH200" s="69"/>
    </row>
    <row r="201" spans="1:60" x14ac:dyDescent="0.25">
      <c r="A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c r="AZ201" s="69"/>
      <c r="BA201" s="69"/>
      <c r="BB201" s="69"/>
      <c r="BC201" s="69"/>
      <c r="BD201" s="69"/>
      <c r="BE201" s="69"/>
      <c r="BF201" s="69"/>
      <c r="BG201" s="69"/>
      <c r="BH201" s="69"/>
    </row>
    <row r="202" spans="1:60" x14ac:dyDescent="0.25">
      <c r="A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c r="AP202" s="69"/>
      <c r="AQ202" s="69"/>
      <c r="AR202" s="69"/>
      <c r="AS202" s="69"/>
      <c r="AT202" s="69"/>
      <c r="AU202" s="69"/>
      <c r="AV202" s="69"/>
      <c r="AW202" s="69"/>
      <c r="AX202" s="69"/>
      <c r="AY202" s="69"/>
      <c r="AZ202" s="69"/>
      <c r="BA202" s="69"/>
      <c r="BB202" s="69"/>
      <c r="BC202" s="69"/>
      <c r="BD202" s="69"/>
      <c r="BE202" s="69"/>
      <c r="BF202" s="69"/>
      <c r="BG202" s="69"/>
      <c r="BH202" s="69"/>
    </row>
    <row r="203" spans="1:60" x14ac:dyDescent="0.25">
      <c r="A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c r="AN203" s="69"/>
      <c r="AO203" s="69"/>
      <c r="AP203" s="69"/>
      <c r="AQ203" s="69"/>
      <c r="AR203" s="69"/>
      <c r="AS203" s="69"/>
      <c r="AT203" s="69"/>
      <c r="AU203" s="69"/>
      <c r="AV203" s="69"/>
      <c r="AW203" s="69"/>
      <c r="AX203" s="69"/>
      <c r="AY203" s="69"/>
      <c r="AZ203" s="69"/>
      <c r="BA203" s="69"/>
      <c r="BB203" s="69"/>
      <c r="BC203" s="69"/>
      <c r="BD203" s="69"/>
      <c r="BE203" s="69"/>
      <c r="BF203" s="69"/>
      <c r="BG203" s="69"/>
      <c r="BH203" s="69"/>
    </row>
    <row r="204" spans="1:60" x14ac:dyDescent="0.25">
      <c r="A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c r="AP204" s="69"/>
      <c r="AQ204" s="69"/>
      <c r="AR204" s="69"/>
      <c r="AS204" s="69"/>
      <c r="AT204" s="69"/>
      <c r="AU204" s="69"/>
      <c r="AV204" s="69"/>
      <c r="AW204" s="69"/>
      <c r="AX204" s="69"/>
      <c r="AY204" s="69"/>
      <c r="AZ204" s="69"/>
      <c r="BA204" s="69"/>
      <c r="BB204" s="69"/>
      <c r="BC204" s="69"/>
      <c r="BD204" s="69"/>
      <c r="BE204" s="69"/>
      <c r="BF204" s="69"/>
      <c r="BG204" s="69"/>
      <c r="BH204" s="69"/>
    </row>
    <row r="205" spans="1:60" x14ac:dyDescent="0.25">
      <c r="A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c r="AH205" s="69"/>
      <c r="AI205" s="69"/>
      <c r="AJ205" s="69"/>
      <c r="AK205" s="69"/>
      <c r="AL205" s="69"/>
      <c r="AM205" s="69"/>
      <c r="AN205" s="69"/>
      <c r="AO205" s="69"/>
      <c r="AP205" s="69"/>
      <c r="AQ205" s="69"/>
      <c r="AR205" s="69"/>
      <c r="AS205" s="69"/>
      <c r="AT205" s="69"/>
      <c r="AU205" s="69"/>
      <c r="AV205" s="69"/>
      <c r="AW205" s="69"/>
      <c r="AX205" s="69"/>
      <c r="AY205" s="69"/>
      <c r="AZ205" s="69"/>
      <c r="BA205" s="69"/>
      <c r="BB205" s="69"/>
      <c r="BC205" s="69"/>
      <c r="BD205" s="69"/>
      <c r="BE205" s="69"/>
      <c r="BF205" s="69"/>
      <c r="BG205" s="69"/>
      <c r="BH205" s="69"/>
    </row>
    <row r="206" spans="1:60" x14ac:dyDescent="0.25">
      <c r="A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c r="AN206" s="69"/>
      <c r="AO206" s="69"/>
      <c r="AP206" s="69"/>
      <c r="AQ206" s="69"/>
      <c r="AR206" s="69"/>
      <c r="AS206" s="69"/>
      <c r="AT206" s="69"/>
      <c r="AU206" s="69"/>
      <c r="AV206" s="69"/>
      <c r="AW206" s="69"/>
      <c r="AX206" s="69"/>
      <c r="AY206" s="69"/>
      <c r="AZ206" s="69"/>
      <c r="BA206" s="69"/>
      <c r="BB206" s="69"/>
      <c r="BC206" s="69"/>
      <c r="BD206" s="69"/>
      <c r="BE206" s="69"/>
      <c r="BF206" s="69"/>
      <c r="BG206" s="69"/>
      <c r="BH206" s="69"/>
    </row>
    <row r="207" spans="1:60" x14ac:dyDescent="0.25">
      <c r="A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c r="AN207" s="69"/>
      <c r="AO207" s="69"/>
      <c r="AP207" s="69"/>
      <c r="AQ207" s="69"/>
      <c r="AR207" s="69"/>
      <c r="AS207" s="69"/>
      <c r="AT207" s="69"/>
      <c r="AU207" s="69"/>
      <c r="AV207" s="69"/>
      <c r="AW207" s="69"/>
      <c r="AX207" s="69"/>
      <c r="AY207" s="69"/>
      <c r="AZ207" s="69"/>
      <c r="BA207" s="69"/>
      <c r="BB207" s="69"/>
      <c r="BC207" s="69"/>
      <c r="BD207" s="69"/>
      <c r="BE207" s="69"/>
      <c r="BF207" s="69"/>
      <c r="BG207" s="69"/>
      <c r="BH207" s="69"/>
    </row>
    <row r="208" spans="1:60" x14ac:dyDescent="0.25">
      <c r="A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c r="AH208" s="69"/>
      <c r="AI208" s="69"/>
      <c r="AJ208" s="69"/>
      <c r="AK208" s="69"/>
      <c r="AL208" s="69"/>
      <c r="AM208" s="69"/>
      <c r="AN208" s="69"/>
      <c r="AO208" s="69"/>
      <c r="AP208" s="69"/>
      <c r="AQ208" s="69"/>
      <c r="AR208" s="69"/>
      <c r="AS208" s="69"/>
      <c r="AT208" s="69"/>
      <c r="AU208" s="69"/>
      <c r="AV208" s="69"/>
      <c r="AW208" s="69"/>
      <c r="AX208" s="69"/>
      <c r="AY208" s="69"/>
      <c r="AZ208" s="69"/>
      <c r="BA208" s="69"/>
      <c r="BB208" s="69"/>
      <c r="BC208" s="69"/>
      <c r="BD208" s="69"/>
      <c r="BE208" s="69"/>
      <c r="BF208" s="69"/>
      <c r="BG208" s="69"/>
      <c r="BH208" s="69"/>
    </row>
    <row r="209" spans="1:60" x14ac:dyDescent="0.25">
      <c r="A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c r="AH209" s="69"/>
      <c r="AI209" s="69"/>
      <c r="AJ209" s="69"/>
      <c r="AK209" s="69"/>
      <c r="AL209" s="69"/>
      <c r="AM209" s="69"/>
      <c r="AN209" s="69"/>
      <c r="AO209" s="69"/>
      <c r="AP209" s="69"/>
      <c r="AQ209" s="69"/>
      <c r="AR209" s="69"/>
      <c r="AS209" s="69"/>
      <c r="AT209" s="69"/>
      <c r="AU209" s="69"/>
      <c r="AV209" s="69"/>
      <c r="AW209" s="69"/>
      <c r="AX209" s="69"/>
      <c r="AY209" s="69"/>
      <c r="AZ209" s="69"/>
      <c r="BA209" s="69"/>
      <c r="BB209" s="69"/>
      <c r="BC209" s="69"/>
      <c r="BD209" s="69"/>
      <c r="BE209" s="69"/>
      <c r="BF209" s="69"/>
      <c r="BG209" s="69"/>
      <c r="BH209" s="69"/>
    </row>
    <row r="210" spans="1:60" x14ac:dyDescent="0.25">
      <c r="A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c r="AH210" s="69"/>
      <c r="AI210" s="69"/>
      <c r="AJ210" s="69"/>
      <c r="AK210" s="69"/>
      <c r="AL210" s="69"/>
      <c r="AM210" s="69"/>
      <c r="AN210" s="69"/>
      <c r="AO210" s="69"/>
      <c r="AP210" s="69"/>
      <c r="AQ210" s="69"/>
      <c r="AR210" s="69"/>
      <c r="AS210" s="69"/>
      <c r="AT210" s="69"/>
      <c r="AU210" s="69"/>
      <c r="AV210" s="69"/>
      <c r="AW210" s="69"/>
      <c r="AX210" s="69"/>
      <c r="AY210" s="69"/>
      <c r="AZ210" s="69"/>
      <c r="BA210" s="69"/>
      <c r="BB210" s="69"/>
      <c r="BC210" s="69"/>
      <c r="BD210" s="69"/>
      <c r="BE210" s="69"/>
      <c r="BF210" s="69"/>
      <c r="BG210" s="69"/>
      <c r="BH210" s="69"/>
    </row>
    <row r="211" spans="1:60" x14ac:dyDescent="0.25">
      <c r="A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c r="AH211" s="69"/>
      <c r="AI211" s="69"/>
      <c r="AJ211" s="69"/>
      <c r="AK211" s="69"/>
      <c r="AL211" s="69"/>
      <c r="AM211" s="69"/>
      <c r="AN211" s="69"/>
      <c r="AO211" s="69"/>
      <c r="AP211" s="69"/>
      <c r="AQ211" s="69"/>
      <c r="AR211" s="69"/>
      <c r="AS211" s="69"/>
      <c r="AT211" s="69"/>
      <c r="AU211" s="69"/>
      <c r="AV211" s="69"/>
      <c r="AW211" s="69"/>
      <c r="AX211" s="69"/>
      <c r="AY211" s="69"/>
      <c r="AZ211" s="69"/>
      <c r="BA211" s="69"/>
      <c r="BB211" s="69"/>
      <c r="BC211" s="69"/>
      <c r="BD211" s="69"/>
      <c r="BE211" s="69"/>
      <c r="BF211" s="69"/>
      <c r="BG211" s="69"/>
      <c r="BH211" s="69"/>
    </row>
    <row r="212" spans="1:60" x14ac:dyDescent="0.25">
      <c r="A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c r="AH212" s="69"/>
      <c r="AI212" s="69"/>
      <c r="AJ212" s="69"/>
      <c r="AK212" s="69"/>
      <c r="AL212" s="69"/>
      <c r="AM212" s="69"/>
      <c r="AN212" s="69"/>
      <c r="AO212" s="69"/>
      <c r="AP212" s="69"/>
      <c r="AQ212" s="69"/>
      <c r="AR212" s="69"/>
      <c r="AS212" s="69"/>
      <c r="AT212" s="69"/>
      <c r="AU212" s="69"/>
      <c r="AV212" s="69"/>
      <c r="AW212" s="69"/>
      <c r="AX212" s="69"/>
      <c r="AY212" s="69"/>
      <c r="AZ212" s="69"/>
      <c r="BA212" s="69"/>
      <c r="BB212" s="69"/>
      <c r="BC212" s="69"/>
      <c r="BD212" s="69"/>
      <c r="BE212" s="69"/>
      <c r="BF212" s="69"/>
      <c r="BG212" s="69"/>
      <c r="BH212" s="69"/>
    </row>
    <row r="213" spans="1:60" x14ac:dyDescent="0.25">
      <c r="A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c r="AN213" s="69"/>
      <c r="AO213" s="69"/>
      <c r="AP213" s="69"/>
      <c r="AQ213" s="69"/>
      <c r="AR213" s="69"/>
      <c r="AS213" s="69"/>
      <c r="AT213" s="69"/>
      <c r="AU213" s="69"/>
      <c r="AV213" s="69"/>
      <c r="AW213" s="69"/>
      <c r="AX213" s="69"/>
      <c r="AY213" s="69"/>
      <c r="AZ213" s="69"/>
      <c r="BA213" s="69"/>
      <c r="BB213" s="69"/>
      <c r="BC213" s="69"/>
      <c r="BD213" s="69"/>
      <c r="BE213" s="69"/>
      <c r="BF213" s="69"/>
      <c r="BG213" s="69"/>
      <c r="BH213" s="69"/>
    </row>
    <row r="214" spans="1:60" x14ac:dyDescent="0.25">
      <c r="A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c r="AZ214" s="69"/>
      <c r="BA214" s="69"/>
      <c r="BB214" s="69"/>
      <c r="BC214" s="69"/>
      <c r="BD214" s="69"/>
      <c r="BE214" s="69"/>
      <c r="BF214" s="69"/>
      <c r="BG214" s="69"/>
      <c r="BH214" s="69"/>
    </row>
    <row r="215" spans="1:60" x14ac:dyDescent="0.25">
      <c r="A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c r="AN215" s="69"/>
      <c r="AO215" s="69"/>
      <c r="AP215" s="69"/>
      <c r="AQ215" s="69"/>
      <c r="AR215" s="69"/>
      <c r="AS215" s="69"/>
      <c r="AT215" s="69"/>
      <c r="AU215" s="69"/>
      <c r="AV215" s="69"/>
      <c r="AW215" s="69"/>
      <c r="AX215" s="69"/>
      <c r="AY215" s="69"/>
      <c r="AZ215" s="69"/>
      <c r="BA215" s="69"/>
      <c r="BB215" s="69"/>
      <c r="BC215" s="69"/>
      <c r="BD215" s="69"/>
      <c r="BE215" s="69"/>
      <c r="BF215" s="69"/>
      <c r="BG215" s="69"/>
      <c r="BH215" s="69"/>
    </row>
    <row r="216" spans="1:60" x14ac:dyDescent="0.25">
      <c r="A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69"/>
      <c r="AO216" s="69"/>
      <c r="AP216" s="69"/>
      <c r="AQ216" s="69"/>
      <c r="AR216" s="69"/>
      <c r="AS216" s="69"/>
      <c r="AT216" s="69"/>
      <c r="AU216" s="69"/>
      <c r="AV216" s="69"/>
      <c r="AW216" s="69"/>
      <c r="AX216" s="69"/>
      <c r="AY216" s="69"/>
      <c r="AZ216" s="69"/>
      <c r="BA216" s="69"/>
      <c r="BB216" s="69"/>
      <c r="BC216" s="69"/>
      <c r="BD216" s="69"/>
      <c r="BE216" s="69"/>
      <c r="BF216" s="69"/>
      <c r="BG216" s="69"/>
      <c r="BH216" s="69"/>
    </row>
    <row r="217" spans="1:60" x14ac:dyDescent="0.25">
      <c r="A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c r="AN217" s="69"/>
      <c r="AO217" s="69"/>
      <c r="AP217" s="69"/>
      <c r="AQ217" s="69"/>
      <c r="AR217" s="69"/>
      <c r="AS217" s="69"/>
      <c r="AT217" s="69"/>
      <c r="AU217" s="69"/>
      <c r="AV217" s="69"/>
      <c r="AW217" s="69"/>
      <c r="AX217" s="69"/>
      <c r="AY217" s="69"/>
      <c r="AZ217" s="69"/>
      <c r="BA217" s="69"/>
      <c r="BB217" s="69"/>
      <c r="BC217" s="69"/>
      <c r="BD217" s="69"/>
      <c r="BE217" s="69"/>
      <c r="BF217" s="69"/>
      <c r="BG217" s="69"/>
      <c r="BH217" s="69"/>
    </row>
    <row r="218" spans="1:60" x14ac:dyDescent="0.25">
      <c r="A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c r="AZ218" s="69"/>
      <c r="BA218" s="69"/>
      <c r="BB218" s="69"/>
      <c r="BC218" s="69"/>
      <c r="BD218" s="69"/>
      <c r="BE218" s="69"/>
      <c r="BF218" s="69"/>
      <c r="BG218" s="69"/>
      <c r="BH218" s="69"/>
    </row>
    <row r="219" spans="1:60" x14ac:dyDescent="0.25">
      <c r="A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c r="AN219" s="69"/>
      <c r="AO219" s="69"/>
      <c r="AP219" s="69"/>
      <c r="AQ219" s="69"/>
      <c r="AR219" s="69"/>
      <c r="AS219" s="69"/>
      <c r="AT219" s="69"/>
      <c r="AU219" s="69"/>
      <c r="AV219" s="69"/>
      <c r="AW219" s="69"/>
      <c r="AX219" s="69"/>
      <c r="AY219" s="69"/>
      <c r="AZ219" s="69"/>
      <c r="BA219" s="69"/>
      <c r="BB219" s="69"/>
      <c r="BC219" s="69"/>
      <c r="BD219" s="69"/>
      <c r="BE219" s="69"/>
      <c r="BF219" s="69"/>
      <c r="BG219" s="69"/>
      <c r="BH219" s="69"/>
    </row>
    <row r="220" spans="1:60" x14ac:dyDescent="0.25">
      <c r="A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c r="AZ220" s="69"/>
      <c r="BA220" s="69"/>
      <c r="BB220" s="69"/>
      <c r="BC220" s="69"/>
      <c r="BD220" s="69"/>
      <c r="BE220" s="69"/>
      <c r="BF220" s="69"/>
      <c r="BG220" s="69"/>
      <c r="BH220" s="69"/>
    </row>
    <row r="221" spans="1:60" x14ac:dyDescent="0.25">
      <c r="A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c r="AN221" s="69"/>
      <c r="AO221" s="69"/>
      <c r="AP221" s="69"/>
      <c r="AQ221" s="69"/>
      <c r="AR221" s="69"/>
      <c r="AS221" s="69"/>
      <c r="AT221" s="69"/>
      <c r="AU221" s="69"/>
      <c r="AV221" s="69"/>
      <c r="AW221" s="69"/>
      <c r="AX221" s="69"/>
      <c r="AY221" s="69"/>
      <c r="AZ221" s="69"/>
      <c r="BA221" s="69"/>
      <c r="BB221" s="69"/>
      <c r="BC221" s="69"/>
      <c r="BD221" s="69"/>
      <c r="BE221" s="69"/>
      <c r="BF221" s="69"/>
      <c r="BG221" s="69"/>
      <c r="BH221" s="69"/>
    </row>
    <row r="222" spans="1:60" x14ac:dyDescent="0.25">
      <c r="A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c r="AH222" s="69"/>
      <c r="AI222" s="69"/>
      <c r="AJ222" s="69"/>
      <c r="AK222" s="69"/>
      <c r="AL222" s="69"/>
      <c r="AM222" s="69"/>
      <c r="AN222" s="69"/>
      <c r="AO222" s="69"/>
      <c r="AP222" s="69"/>
      <c r="AQ222" s="69"/>
      <c r="AR222" s="69"/>
      <c r="AS222" s="69"/>
      <c r="AT222" s="69"/>
      <c r="AU222" s="69"/>
      <c r="AV222" s="69"/>
      <c r="AW222" s="69"/>
      <c r="AX222" s="69"/>
      <c r="AY222" s="69"/>
      <c r="AZ222" s="69"/>
      <c r="BA222" s="69"/>
      <c r="BB222" s="69"/>
      <c r="BC222" s="69"/>
      <c r="BD222" s="69"/>
      <c r="BE222" s="69"/>
      <c r="BF222" s="69"/>
      <c r="BG222" s="69"/>
      <c r="BH222" s="69"/>
    </row>
    <row r="223" spans="1:60" x14ac:dyDescent="0.25">
      <c r="A223" s="69"/>
      <c r="J223" s="69"/>
      <c r="K223" s="69"/>
      <c r="L223" s="69"/>
      <c r="M223" s="69"/>
      <c r="N223" s="69"/>
      <c r="O223" s="69"/>
      <c r="P223" s="69"/>
      <c r="Q223" s="69"/>
      <c r="R223" s="69"/>
      <c r="S223" s="69"/>
      <c r="T223" s="69"/>
      <c r="U223" s="69"/>
      <c r="V223" s="69"/>
      <c r="W223" s="69"/>
      <c r="X223" s="69"/>
      <c r="Y223" s="69"/>
      <c r="Z223" s="69"/>
      <c r="AA223" s="69"/>
      <c r="AB223" s="69"/>
      <c r="AC223" s="69"/>
      <c r="AD223" s="69"/>
      <c r="AE223" s="69"/>
      <c r="AF223" s="69"/>
      <c r="AG223" s="69"/>
      <c r="AH223" s="69"/>
      <c r="AI223" s="69"/>
      <c r="AJ223" s="69"/>
      <c r="AK223" s="69"/>
      <c r="AL223" s="69"/>
      <c r="AM223" s="69"/>
      <c r="AN223" s="69"/>
      <c r="AO223" s="69"/>
      <c r="AP223" s="69"/>
      <c r="AQ223" s="69"/>
      <c r="AR223" s="69"/>
      <c r="AS223" s="69"/>
      <c r="AT223" s="69"/>
      <c r="AU223" s="69"/>
      <c r="AV223" s="69"/>
      <c r="AW223" s="69"/>
      <c r="AX223" s="69"/>
      <c r="AY223" s="69"/>
      <c r="AZ223" s="69"/>
      <c r="BA223" s="69"/>
      <c r="BB223" s="69"/>
      <c r="BC223" s="69"/>
      <c r="BD223" s="69"/>
      <c r="BE223" s="69"/>
      <c r="BF223" s="69"/>
      <c r="BG223" s="69"/>
      <c r="BH223" s="69"/>
    </row>
    <row r="224" spans="1:60" x14ac:dyDescent="0.25">
      <c r="A224" s="69"/>
      <c r="J224" s="69"/>
      <c r="K224" s="69"/>
      <c r="L224" s="69"/>
      <c r="M224" s="69"/>
      <c r="N224" s="69"/>
      <c r="O224" s="69"/>
      <c r="P224" s="69"/>
      <c r="Q224" s="69"/>
      <c r="R224" s="69"/>
      <c r="S224" s="69"/>
      <c r="T224" s="69"/>
      <c r="U224" s="69"/>
      <c r="V224" s="69"/>
      <c r="W224" s="69"/>
      <c r="X224" s="69"/>
      <c r="Y224" s="69"/>
      <c r="Z224" s="69"/>
      <c r="AA224" s="69"/>
      <c r="AB224" s="69"/>
      <c r="AC224" s="69"/>
      <c r="AD224" s="69"/>
      <c r="AE224" s="69"/>
      <c r="AF224" s="69"/>
      <c r="AG224" s="69"/>
      <c r="AH224" s="69"/>
      <c r="AI224" s="69"/>
      <c r="AJ224" s="69"/>
      <c r="AK224" s="69"/>
      <c r="AL224" s="69"/>
      <c r="AM224" s="69"/>
      <c r="AN224" s="69"/>
      <c r="AO224" s="69"/>
      <c r="AP224" s="69"/>
      <c r="AQ224" s="69"/>
      <c r="AR224" s="69"/>
      <c r="AS224" s="69"/>
      <c r="AT224" s="69"/>
      <c r="AU224" s="69"/>
      <c r="AV224" s="69"/>
      <c r="AW224" s="69"/>
      <c r="AX224" s="69"/>
      <c r="AY224" s="69"/>
      <c r="AZ224" s="69"/>
      <c r="BA224" s="69"/>
      <c r="BB224" s="69"/>
      <c r="BC224" s="69"/>
      <c r="BD224" s="69"/>
      <c r="BE224" s="69"/>
      <c r="BF224" s="69"/>
      <c r="BG224" s="69"/>
      <c r="BH224" s="69"/>
    </row>
    <row r="225" spans="1:60" x14ac:dyDescent="0.25">
      <c r="A225" s="69"/>
      <c r="J225" s="69"/>
      <c r="K225" s="69"/>
      <c r="L225" s="69"/>
      <c r="M225" s="69"/>
      <c r="N225" s="69"/>
      <c r="O225" s="69"/>
      <c r="P225" s="69"/>
      <c r="Q225" s="69"/>
      <c r="R225" s="69"/>
      <c r="S225" s="69"/>
      <c r="T225" s="69"/>
      <c r="U225" s="69"/>
      <c r="V225" s="69"/>
      <c r="W225" s="69"/>
      <c r="X225" s="69"/>
      <c r="Y225" s="69"/>
      <c r="Z225" s="69"/>
      <c r="AA225" s="69"/>
      <c r="AB225" s="69"/>
      <c r="AC225" s="69"/>
      <c r="AD225" s="69"/>
      <c r="AE225" s="69"/>
      <c r="AF225" s="69"/>
      <c r="AG225" s="69"/>
      <c r="AH225" s="69"/>
      <c r="AI225" s="69"/>
      <c r="AJ225" s="69"/>
      <c r="AK225" s="69"/>
      <c r="AL225" s="69"/>
      <c r="AM225" s="69"/>
      <c r="AN225" s="69"/>
      <c r="AO225" s="69"/>
      <c r="AP225" s="69"/>
      <c r="AQ225" s="69"/>
      <c r="AR225" s="69"/>
      <c r="AS225" s="69"/>
      <c r="AT225" s="69"/>
      <c r="AU225" s="69"/>
      <c r="AV225" s="69"/>
      <c r="AW225" s="69"/>
      <c r="AX225" s="69"/>
      <c r="AY225" s="69"/>
      <c r="AZ225" s="69"/>
      <c r="BA225" s="69"/>
      <c r="BB225" s="69"/>
      <c r="BC225" s="69"/>
      <c r="BD225" s="69"/>
      <c r="BE225" s="69"/>
      <c r="BF225" s="69"/>
      <c r="BG225" s="69"/>
      <c r="BH225" s="69"/>
    </row>
    <row r="226" spans="1:60" x14ac:dyDescent="0.25">
      <c r="A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c r="AG226" s="69"/>
      <c r="AH226" s="69"/>
      <c r="AI226" s="69"/>
      <c r="AJ226" s="69"/>
      <c r="AK226" s="69"/>
      <c r="AL226" s="69"/>
      <c r="AM226" s="69"/>
      <c r="AN226" s="69"/>
      <c r="AO226" s="69"/>
      <c r="AP226" s="69"/>
      <c r="AQ226" s="69"/>
      <c r="AR226" s="69"/>
      <c r="AS226" s="69"/>
      <c r="AT226" s="69"/>
      <c r="AU226" s="69"/>
      <c r="AV226" s="69"/>
      <c r="AW226" s="69"/>
      <c r="AX226" s="69"/>
      <c r="AY226" s="69"/>
      <c r="AZ226" s="69"/>
      <c r="BA226" s="69"/>
      <c r="BB226" s="69"/>
      <c r="BC226" s="69"/>
      <c r="BD226" s="69"/>
      <c r="BE226" s="69"/>
      <c r="BF226" s="69"/>
      <c r="BG226" s="69"/>
      <c r="BH226" s="69"/>
    </row>
    <row r="227" spans="1:60" x14ac:dyDescent="0.25">
      <c r="A227" s="69"/>
      <c r="J227" s="69"/>
      <c r="K227" s="69"/>
      <c r="L227" s="69"/>
      <c r="M227" s="69"/>
      <c r="N227" s="69"/>
      <c r="O227" s="69"/>
      <c r="P227" s="69"/>
      <c r="Q227" s="69"/>
      <c r="R227" s="69"/>
      <c r="S227" s="69"/>
      <c r="T227" s="69"/>
      <c r="U227" s="69"/>
      <c r="V227" s="69"/>
      <c r="W227" s="69"/>
      <c r="X227" s="69"/>
      <c r="Y227" s="69"/>
      <c r="Z227" s="69"/>
      <c r="AA227" s="69"/>
      <c r="AB227" s="69"/>
      <c r="AC227" s="69"/>
      <c r="AD227" s="69"/>
      <c r="AE227" s="69"/>
      <c r="AF227" s="69"/>
      <c r="AG227" s="69"/>
      <c r="AH227" s="69"/>
      <c r="AI227" s="69"/>
      <c r="AJ227" s="69"/>
      <c r="AK227" s="69"/>
      <c r="AL227" s="69"/>
      <c r="AM227" s="69"/>
      <c r="AN227" s="69"/>
      <c r="AO227" s="69"/>
      <c r="AP227" s="69"/>
      <c r="AQ227" s="69"/>
      <c r="AR227" s="69"/>
      <c r="AS227" s="69"/>
      <c r="AT227" s="69"/>
      <c r="AU227" s="69"/>
      <c r="AV227" s="69"/>
      <c r="AW227" s="69"/>
      <c r="AX227" s="69"/>
      <c r="AY227" s="69"/>
      <c r="AZ227" s="69"/>
      <c r="BA227" s="69"/>
      <c r="BB227" s="69"/>
      <c r="BC227" s="69"/>
      <c r="BD227" s="69"/>
      <c r="BE227" s="69"/>
      <c r="BF227" s="69"/>
      <c r="BG227" s="69"/>
      <c r="BH227" s="69"/>
    </row>
    <row r="228" spans="1:60" x14ac:dyDescent="0.25">
      <c r="A228" s="69"/>
      <c r="J228" s="69"/>
      <c r="K228" s="69"/>
      <c r="L228" s="69"/>
      <c r="M228" s="69"/>
      <c r="N228" s="69"/>
      <c r="O228" s="69"/>
      <c r="P228" s="69"/>
      <c r="Q228" s="69"/>
      <c r="R228" s="69"/>
      <c r="S228" s="69"/>
      <c r="T228" s="69"/>
      <c r="U228" s="69"/>
      <c r="V228" s="69"/>
      <c r="W228" s="69"/>
      <c r="X228" s="69"/>
      <c r="Y228" s="69"/>
      <c r="Z228" s="69"/>
      <c r="AA228" s="69"/>
      <c r="AB228" s="69"/>
      <c r="AC228" s="69"/>
      <c r="AD228" s="69"/>
      <c r="AE228" s="69"/>
      <c r="AF228" s="69"/>
      <c r="AG228" s="69"/>
      <c r="AH228" s="69"/>
      <c r="AI228" s="69"/>
      <c r="AJ228" s="69"/>
      <c r="AK228" s="69"/>
      <c r="AL228" s="69"/>
      <c r="AM228" s="69"/>
      <c r="AN228" s="69"/>
      <c r="AO228" s="69"/>
      <c r="AP228" s="69"/>
      <c r="AQ228" s="69"/>
      <c r="AR228" s="69"/>
      <c r="AS228" s="69"/>
      <c r="AT228" s="69"/>
      <c r="AU228" s="69"/>
      <c r="AV228" s="69"/>
      <c r="AW228" s="69"/>
      <c r="AX228" s="69"/>
      <c r="AY228" s="69"/>
      <c r="AZ228" s="69"/>
      <c r="BA228" s="69"/>
      <c r="BB228" s="69"/>
      <c r="BC228" s="69"/>
      <c r="BD228" s="69"/>
      <c r="BE228" s="69"/>
      <c r="BF228" s="69"/>
      <c r="BG228" s="69"/>
      <c r="BH228" s="69"/>
    </row>
    <row r="229" spans="1:60" x14ac:dyDescent="0.25">
      <c r="A229" s="69"/>
      <c r="J229" s="69"/>
      <c r="K229" s="69"/>
      <c r="L229" s="69"/>
      <c r="M229" s="69"/>
      <c r="N229" s="69"/>
      <c r="O229" s="69"/>
      <c r="P229" s="69"/>
      <c r="Q229" s="69"/>
      <c r="R229" s="69"/>
      <c r="S229" s="69"/>
      <c r="T229" s="69"/>
      <c r="U229" s="69"/>
      <c r="V229" s="69"/>
      <c r="W229" s="69"/>
      <c r="X229" s="69"/>
      <c r="Y229" s="69"/>
      <c r="Z229" s="69"/>
      <c r="AA229" s="69"/>
      <c r="AB229" s="69"/>
      <c r="AC229" s="69"/>
      <c r="AD229" s="69"/>
      <c r="AE229" s="69"/>
      <c r="AF229" s="69"/>
      <c r="AG229" s="69"/>
      <c r="AH229" s="69"/>
      <c r="AI229" s="69"/>
      <c r="AJ229" s="69"/>
      <c r="AK229" s="69"/>
      <c r="AL229" s="69"/>
      <c r="AM229" s="69"/>
      <c r="AN229" s="69"/>
      <c r="AO229" s="69"/>
      <c r="AP229" s="69"/>
      <c r="AQ229" s="69"/>
      <c r="AR229" s="69"/>
      <c r="AS229" s="69"/>
      <c r="AT229" s="69"/>
      <c r="AU229" s="69"/>
      <c r="AV229" s="69"/>
      <c r="AW229" s="69"/>
      <c r="AX229" s="69"/>
      <c r="AY229" s="69"/>
      <c r="AZ229" s="69"/>
      <c r="BA229" s="69"/>
      <c r="BB229" s="69"/>
      <c r="BC229" s="69"/>
      <c r="BD229" s="69"/>
      <c r="BE229" s="69"/>
      <c r="BF229" s="69"/>
      <c r="BG229" s="69"/>
      <c r="BH229" s="69"/>
    </row>
    <row r="230" spans="1:60" x14ac:dyDescent="0.25">
      <c r="A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c r="AG230" s="69"/>
      <c r="AH230" s="69"/>
      <c r="AI230" s="69"/>
      <c r="AJ230" s="69"/>
      <c r="AK230" s="69"/>
      <c r="AL230" s="69"/>
      <c r="AM230" s="69"/>
      <c r="AN230" s="69"/>
      <c r="AO230" s="69"/>
      <c r="AP230" s="69"/>
      <c r="AQ230" s="69"/>
      <c r="AR230" s="69"/>
      <c r="AS230" s="69"/>
      <c r="AT230" s="69"/>
      <c r="AU230" s="69"/>
      <c r="AV230" s="69"/>
      <c r="AW230" s="69"/>
      <c r="AX230" s="69"/>
      <c r="AY230" s="69"/>
      <c r="AZ230" s="69"/>
      <c r="BA230" s="69"/>
      <c r="BB230" s="69"/>
      <c r="BC230" s="69"/>
      <c r="BD230" s="69"/>
      <c r="BE230" s="69"/>
      <c r="BF230" s="69"/>
      <c r="BG230" s="69"/>
      <c r="BH230" s="69"/>
    </row>
    <row r="231" spans="1:60" x14ac:dyDescent="0.25">
      <c r="A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c r="AN231" s="69"/>
      <c r="AO231" s="69"/>
      <c r="AP231" s="69"/>
      <c r="AQ231" s="69"/>
      <c r="AR231" s="69"/>
      <c r="AS231" s="69"/>
      <c r="AT231" s="69"/>
      <c r="AU231" s="69"/>
      <c r="AV231" s="69"/>
      <c r="AW231" s="69"/>
      <c r="AX231" s="69"/>
      <c r="AY231" s="69"/>
      <c r="AZ231" s="69"/>
      <c r="BA231" s="69"/>
      <c r="BB231" s="69"/>
      <c r="BC231" s="69"/>
      <c r="BD231" s="69"/>
      <c r="BE231" s="69"/>
      <c r="BF231" s="69"/>
      <c r="BG231" s="69"/>
      <c r="BH231" s="69"/>
    </row>
    <row r="232" spans="1:60" x14ac:dyDescent="0.25">
      <c r="A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c r="AN232" s="69"/>
      <c r="AO232" s="69"/>
      <c r="AP232" s="69"/>
      <c r="AQ232" s="69"/>
      <c r="AR232" s="69"/>
      <c r="AS232" s="69"/>
      <c r="AT232" s="69"/>
      <c r="AU232" s="69"/>
      <c r="AV232" s="69"/>
      <c r="AW232" s="69"/>
      <c r="AX232" s="69"/>
      <c r="AY232" s="69"/>
      <c r="AZ232" s="69"/>
      <c r="BA232" s="69"/>
      <c r="BB232" s="69"/>
      <c r="BC232" s="69"/>
      <c r="BD232" s="69"/>
      <c r="BE232" s="69"/>
      <c r="BF232" s="69"/>
      <c r="BG232" s="69"/>
      <c r="BH232" s="69"/>
    </row>
    <row r="233" spans="1:60" x14ac:dyDescent="0.25">
      <c r="A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c r="AN233" s="69"/>
      <c r="AO233" s="69"/>
      <c r="AP233" s="69"/>
      <c r="AQ233" s="69"/>
      <c r="AR233" s="69"/>
      <c r="AS233" s="69"/>
      <c r="AT233" s="69"/>
      <c r="AU233" s="69"/>
      <c r="AV233" s="69"/>
      <c r="AW233" s="69"/>
      <c r="AX233" s="69"/>
      <c r="AY233" s="69"/>
      <c r="AZ233" s="69"/>
      <c r="BA233" s="69"/>
      <c r="BB233" s="69"/>
      <c r="BC233" s="69"/>
      <c r="BD233" s="69"/>
      <c r="BE233" s="69"/>
      <c r="BF233" s="69"/>
      <c r="BG233" s="69"/>
      <c r="BH233" s="69"/>
    </row>
    <row r="234" spans="1:60" x14ac:dyDescent="0.25">
      <c r="A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c r="AG234" s="69"/>
      <c r="AH234" s="69"/>
      <c r="AI234" s="69"/>
      <c r="AJ234" s="69"/>
      <c r="AK234" s="69"/>
      <c r="AL234" s="69"/>
      <c r="AM234" s="69"/>
      <c r="AN234" s="69"/>
      <c r="AO234" s="69"/>
      <c r="AP234" s="69"/>
      <c r="AQ234" s="69"/>
      <c r="AR234" s="69"/>
      <c r="AS234" s="69"/>
      <c r="AT234" s="69"/>
      <c r="AU234" s="69"/>
      <c r="AV234" s="69"/>
      <c r="AW234" s="69"/>
      <c r="AX234" s="69"/>
      <c r="AY234" s="69"/>
      <c r="AZ234" s="69"/>
      <c r="BA234" s="69"/>
      <c r="BB234" s="69"/>
      <c r="BC234" s="69"/>
      <c r="BD234" s="69"/>
      <c r="BE234" s="69"/>
      <c r="BF234" s="69"/>
      <c r="BG234" s="69"/>
      <c r="BH234" s="69"/>
    </row>
    <row r="235" spans="1:60" x14ac:dyDescent="0.25">
      <c r="A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c r="AG235" s="69"/>
      <c r="AH235" s="69"/>
      <c r="AI235" s="69"/>
      <c r="AJ235" s="69"/>
      <c r="AK235" s="69"/>
      <c r="AL235" s="69"/>
      <c r="AM235" s="69"/>
      <c r="AN235" s="69"/>
      <c r="AO235" s="69"/>
      <c r="AP235" s="69"/>
      <c r="AQ235" s="69"/>
      <c r="AR235" s="69"/>
      <c r="AS235" s="69"/>
      <c r="AT235" s="69"/>
      <c r="AU235" s="69"/>
      <c r="AV235" s="69"/>
      <c r="AW235" s="69"/>
      <c r="AX235" s="69"/>
      <c r="AY235" s="69"/>
      <c r="AZ235" s="69"/>
      <c r="BA235" s="69"/>
      <c r="BB235" s="69"/>
      <c r="BC235" s="69"/>
      <c r="BD235" s="69"/>
      <c r="BE235" s="69"/>
      <c r="BF235" s="69"/>
      <c r="BG235" s="69"/>
      <c r="BH235" s="69"/>
    </row>
    <row r="236" spans="1:60" x14ac:dyDescent="0.25">
      <c r="A236" s="69"/>
      <c r="J236" s="69"/>
      <c r="K236" s="69"/>
      <c r="L236" s="69"/>
      <c r="M236" s="69"/>
      <c r="N236" s="69"/>
      <c r="O236" s="69"/>
      <c r="P236" s="69"/>
      <c r="Q236" s="69"/>
      <c r="R236" s="69"/>
      <c r="S236" s="69"/>
      <c r="T236" s="69"/>
      <c r="U236" s="69"/>
      <c r="V236" s="69"/>
      <c r="W236" s="69"/>
      <c r="X236" s="69"/>
      <c r="Y236" s="69"/>
      <c r="Z236" s="69"/>
      <c r="AA236" s="69"/>
      <c r="AB236" s="69"/>
      <c r="AC236" s="69"/>
      <c r="AD236" s="69"/>
      <c r="AE236" s="69"/>
      <c r="AF236" s="69"/>
      <c r="AG236" s="69"/>
      <c r="AH236" s="69"/>
      <c r="AI236" s="69"/>
      <c r="AJ236" s="69"/>
      <c r="AK236" s="69"/>
      <c r="AL236" s="69"/>
      <c r="AM236" s="69"/>
      <c r="AN236" s="69"/>
      <c r="AO236" s="69"/>
      <c r="AP236" s="69"/>
      <c r="AQ236" s="69"/>
      <c r="AR236" s="69"/>
      <c r="AS236" s="69"/>
      <c r="AT236" s="69"/>
      <c r="AU236" s="69"/>
      <c r="AV236" s="69"/>
      <c r="AW236" s="69"/>
      <c r="AX236" s="69"/>
      <c r="AY236" s="69"/>
      <c r="AZ236" s="69"/>
      <c r="BA236" s="69"/>
      <c r="BB236" s="69"/>
      <c r="BC236" s="69"/>
      <c r="BD236" s="69"/>
      <c r="BE236" s="69"/>
      <c r="BF236" s="69"/>
      <c r="BG236" s="69"/>
      <c r="BH236" s="69"/>
    </row>
    <row r="237" spans="1:60" x14ac:dyDescent="0.25">
      <c r="A237" s="69"/>
      <c r="J237" s="69"/>
      <c r="K237" s="69"/>
      <c r="L237" s="69"/>
      <c r="M237" s="69"/>
      <c r="N237" s="69"/>
      <c r="O237" s="69"/>
      <c r="P237" s="69"/>
      <c r="Q237" s="69"/>
      <c r="R237" s="69"/>
      <c r="S237" s="69"/>
      <c r="T237" s="69"/>
      <c r="U237" s="69"/>
      <c r="V237" s="69"/>
      <c r="W237" s="69"/>
      <c r="X237" s="69"/>
      <c r="Y237" s="69"/>
      <c r="Z237" s="69"/>
      <c r="AA237" s="69"/>
      <c r="AB237" s="69"/>
      <c r="AC237" s="69"/>
      <c r="AD237" s="69"/>
      <c r="AE237" s="69"/>
      <c r="AF237" s="69"/>
      <c r="AG237" s="69"/>
      <c r="AH237" s="69"/>
      <c r="AI237" s="69"/>
      <c r="AJ237" s="69"/>
      <c r="AK237" s="69"/>
      <c r="AL237" s="69"/>
      <c r="AM237" s="69"/>
      <c r="AN237" s="69"/>
      <c r="AO237" s="69"/>
      <c r="AP237" s="69"/>
      <c r="AQ237" s="69"/>
      <c r="AR237" s="69"/>
      <c r="AS237" s="69"/>
      <c r="AT237" s="69"/>
      <c r="AU237" s="69"/>
      <c r="AV237" s="69"/>
      <c r="AW237" s="69"/>
      <c r="AX237" s="69"/>
      <c r="AY237" s="69"/>
      <c r="AZ237" s="69"/>
      <c r="BA237" s="69"/>
      <c r="BB237" s="69"/>
      <c r="BC237" s="69"/>
      <c r="BD237" s="69"/>
      <c r="BE237" s="69"/>
      <c r="BF237" s="69"/>
      <c r="BG237" s="69"/>
      <c r="BH237" s="69"/>
    </row>
    <row r="238" spans="1:60" x14ac:dyDescent="0.25">
      <c r="A238" s="69"/>
      <c r="J238" s="69"/>
      <c r="K238" s="69"/>
      <c r="L238" s="69"/>
      <c r="M238" s="69"/>
      <c r="N238" s="69"/>
      <c r="O238" s="69"/>
      <c r="P238" s="69"/>
      <c r="Q238" s="69"/>
      <c r="R238" s="69"/>
      <c r="S238" s="69"/>
      <c r="T238" s="69"/>
      <c r="U238" s="69"/>
      <c r="V238" s="69"/>
      <c r="W238" s="69"/>
      <c r="X238" s="69"/>
      <c r="Y238" s="69"/>
      <c r="Z238" s="69"/>
      <c r="AA238" s="69"/>
      <c r="AB238" s="69"/>
      <c r="AC238" s="69"/>
      <c r="AD238" s="69"/>
      <c r="AE238" s="69"/>
      <c r="AF238" s="69"/>
      <c r="AG238" s="69"/>
      <c r="AH238" s="69"/>
      <c r="AI238" s="69"/>
      <c r="AJ238" s="69"/>
      <c r="AK238" s="69"/>
      <c r="AL238" s="69"/>
      <c r="AM238" s="69"/>
      <c r="AN238" s="69"/>
      <c r="AO238" s="69"/>
      <c r="AP238" s="69"/>
      <c r="AQ238" s="69"/>
      <c r="AR238" s="69"/>
      <c r="AS238" s="69"/>
      <c r="AT238" s="69"/>
      <c r="AU238" s="69"/>
      <c r="AV238" s="69"/>
      <c r="AW238" s="69"/>
      <c r="AX238" s="69"/>
      <c r="AY238" s="69"/>
      <c r="AZ238" s="69"/>
      <c r="BA238" s="69"/>
      <c r="BB238" s="69"/>
      <c r="BC238" s="69"/>
      <c r="BD238" s="69"/>
      <c r="BE238" s="69"/>
      <c r="BF238" s="69"/>
      <c r="BG238" s="69"/>
      <c r="BH238" s="69"/>
    </row>
    <row r="239" spans="1:60" x14ac:dyDescent="0.25">
      <c r="A239" s="69"/>
      <c r="J239" s="69"/>
      <c r="K239" s="69"/>
      <c r="L239" s="69"/>
      <c r="M239" s="69"/>
      <c r="N239" s="69"/>
      <c r="O239" s="69"/>
      <c r="P239" s="69"/>
      <c r="Q239" s="69"/>
      <c r="R239" s="69"/>
      <c r="S239" s="69"/>
      <c r="T239" s="69"/>
      <c r="U239" s="69"/>
      <c r="V239" s="69"/>
      <c r="W239" s="69"/>
      <c r="X239" s="69"/>
      <c r="Y239" s="69"/>
      <c r="Z239" s="69"/>
      <c r="AA239" s="69"/>
      <c r="AB239" s="69"/>
      <c r="AC239" s="69"/>
      <c r="AD239" s="69"/>
      <c r="AE239" s="69"/>
      <c r="AF239" s="69"/>
      <c r="AG239" s="69"/>
      <c r="AH239" s="69"/>
      <c r="AI239" s="69"/>
      <c r="AJ239" s="69"/>
      <c r="AK239" s="69"/>
      <c r="AL239" s="69"/>
      <c r="AM239" s="69"/>
      <c r="AN239" s="69"/>
      <c r="AO239" s="69"/>
      <c r="AP239" s="69"/>
      <c r="AQ239" s="69"/>
      <c r="AR239" s="69"/>
      <c r="AS239" s="69"/>
      <c r="AT239" s="69"/>
      <c r="AU239" s="69"/>
      <c r="AV239" s="69"/>
      <c r="AW239" s="69"/>
      <c r="AX239" s="69"/>
      <c r="AY239" s="69"/>
      <c r="AZ239" s="69"/>
      <c r="BA239" s="69"/>
      <c r="BB239" s="69"/>
      <c r="BC239" s="69"/>
      <c r="BD239" s="69"/>
      <c r="BE239" s="69"/>
      <c r="BF239" s="69"/>
      <c r="BG239" s="69"/>
      <c r="BH239" s="69"/>
    </row>
    <row r="240" spans="1:60" x14ac:dyDescent="0.25">
      <c r="A240" s="69"/>
      <c r="J240" s="69"/>
      <c r="K240" s="69"/>
      <c r="L240" s="69"/>
      <c r="M240" s="69"/>
      <c r="N240" s="69"/>
      <c r="O240" s="69"/>
      <c r="P240" s="69"/>
      <c r="Q240" s="69"/>
      <c r="R240" s="69"/>
      <c r="S240" s="69"/>
      <c r="T240" s="69"/>
      <c r="U240" s="69"/>
      <c r="V240" s="69"/>
      <c r="W240" s="69"/>
      <c r="X240" s="69"/>
      <c r="Y240" s="69"/>
      <c r="Z240" s="69"/>
      <c r="AA240" s="69"/>
      <c r="AB240" s="69"/>
      <c r="AC240" s="69"/>
      <c r="AD240" s="69"/>
      <c r="AE240" s="69"/>
      <c r="AF240" s="69"/>
      <c r="AG240" s="69"/>
      <c r="AH240" s="69"/>
      <c r="AI240" s="69"/>
      <c r="AJ240" s="69"/>
      <c r="AK240" s="69"/>
      <c r="AL240" s="69"/>
      <c r="AM240" s="69"/>
      <c r="AN240" s="69"/>
      <c r="AO240" s="69"/>
      <c r="AP240" s="69"/>
      <c r="AQ240" s="69"/>
      <c r="AR240" s="69"/>
      <c r="AS240" s="69"/>
      <c r="AT240" s="69"/>
      <c r="AU240" s="69"/>
      <c r="AV240" s="69"/>
      <c r="AW240" s="69"/>
      <c r="AX240" s="69"/>
      <c r="AY240" s="69"/>
      <c r="AZ240" s="69"/>
      <c r="BA240" s="69"/>
      <c r="BB240" s="69"/>
      <c r="BC240" s="69"/>
      <c r="BD240" s="69"/>
      <c r="BE240" s="69"/>
      <c r="BF240" s="69"/>
      <c r="BG240" s="69"/>
      <c r="BH240" s="69"/>
    </row>
    <row r="241" spans="1:60" x14ac:dyDescent="0.25">
      <c r="A241" s="69"/>
      <c r="J241" s="69"/>
      <c r="K241" s="69"/>
      <c r="L241" s="69"/>
      <c r="M241" s="69"/>
      <c r="N241" s="69"/>
      <c r="O241" s="69"/>
      <c r="P241" s="69"/>
      <c r="Q241" s="69"/>
      <c r="R241" s="69"/>
      <c r="S241" s="69"/>
      <c r="T241" s="69"/>
      <c r="U241" s="69"/>
      <c r="V241" s="69"/>
      <c r="W241" s="69"/>
      <c r="X241" s="69"/>
      <c r="Y241" s="69"/>
      <c r="Z241" s="69"/>
      <c r="AA241" s="69"/>
      <c r="AB241" s="69"/>
      <c r="AC241" s="69"/>
      <c r="AD241" s="69"/>
      <c r="AE241" s="69"/>
      <c r="AF241" s="69"/>
      <c r="AG241" s="69"/>
      <c r="AH241" s="69"/>
      <c r="AI241" s="69"/>
      <c r="AJ241" s="69"/>
      <c r="AK241" s="69"/>
      <c r="AL241" s="69"/>
      <c r="AM241" s="69"/>
      <c r="AN241" s="69"/>
      <c r="AO241" s="69"/>
      <c r="AP241" s="69"/>
      <c r="AQ241" s="69"/>
      <c r="AR241" s="69"/>
      <c r="AS241" s="69"/>
      <c r="AT241" s="69"/>
      <c r="AU241" s="69"/>
      <c r="AV241" s="69"/>
      <c r="AW241" s="69"/>
      <c r="AX241" s="69"/>
      <c r="AY241" s="69"/>
      <c r="AZ241" s="69"/>
      <c r="BA241" s="69"/>
      <c r="BB241" s="69"/>
      <c r="BC241" s="69"/>
      <c r="BD241" s="69"/>
      <c r="BE241" s="69"/>
      <c r="BF241" s="69"/>
      <c r="BG241" s="69"/>
      <c r="BH241" s="69"/>
    </row>
    <row r="242" spans="1:60" x14ac:dyDescent="0.25">
      <c r="A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c r="AG242" s="69"/>
      <c r="AH242" s="69"/>
      <c r="AI242" s="69"/>
      <c r="AJ242" s="69"/>
      <c r="AK242" s="69"/>
      <c r="AL242" s="69"/>
      <c r="AM242" s="69"/>
      <c r="AN242" s="69"/>
      <c r="AO242" s="69"/>
      <c r="AP242" s="69"/>
      <c r="AQ242" s="69"/>
      <c r="AR242" s="69"/>
      <c r="AS242" s="69"/>
      <c r="AT242" s="69"/>
      <c r="AU242" s="69"/>
      <c r="AV242" s="69"/>
      <c r="AW242" s="69"/>
      <c r="AX242" s="69"/>
      <c r="AY242" s="69"/>
      <c r="AZ242" s="69"/>
      <c r="BA242" s="69"/>
      <c r="BB242" s="69"/>
      <c r="BC242" s="69"/>
      <c r="BD242" s="69"/>
      <c r="BE242" s="69"/>
      <c r="BF242" s="69"/>
      <c r="BG242" s="69"/>
      <c r="BH242" s="69"/>
    </row>
    <row r="243" spans="1:60" x14ac:dyDescent="0.25">
      <c r="A243" s="69"/>
      <c r="J243" s="69"/>
      <c r="K243" s="69"/>
      <c r="L243" s="69"/>
      <c r="M243" s="69"/>
      <c r="N243" s="69"/>
      <c r="O243" s="69"/>
      <c r="P243" s="69"/>
      <c r="Q243" s="69"/>
      <c r="R243" s="69"/>
      <c r="S243" s="69"/>
      <c r="T243" s="69"/>
      <c r="U243" s="69"/>
      <c r="V243" s="69"/>
      <c r="W243" s="69"/>
      <c r="X243" s="69"/>
      <c r="Y243" s="69"/>
      <c r="Z243" s="69"/>
      <c r="AA243" s="69"/>
      <c r="AB243" s="69"/>
      <c r="AC243" s="69"/>
      <c r="AD243" s="69"/>
      <c r="AE243" s="69"/>
      <c r="AF243" s="69"/>
      <c r="AG243" s="69"/>
      <c r="AH243" s="69"/>
      <c r="AI243" s="69"/>
      <c r="AJ243" s="69"/>
      <c r="AK243" s="69"/>
      <c r="AL243" s="69"/>
      <c r="AM243" s="69"/>
      <c r="AN243" s="69"/>
      <c r="AO243" s="69"/>
      <c r="AP243" s="69"/>
      <c r="AQ243" s="69"/>
      <c r="AR243" s="69"/>
      <c r="AS243" s="69"/>
      <c r="AT243" s="69"/>
      <c r="AU243" s="69"/>
      <c r="AV243" s="69"/>
      <c r="AW243" s="69"/>
      <c r="AX243" s="69"/>
      <c r="AY243" s="69"/>
      <c r="AZ243" s="69"/>
      <c r="BA243" s="69"/>
      <c r="BB243" s="69"/>
      <c r="BC243" s="69"/>
      <c r="BD243" s="69"/>
      <c r="BE243" s="69"/>
      <c r="BF243" s="69"/>
      <c r="BG243" s="69"/>
      <c r="BH243" s="69"/>
    </row>
    <row r="244" spans="1:60" x14ac:dyDescent="0.25">
      <c r="A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c r="AG244" s="69"/>
      <c r="AH244" s="69"/>
      <c r="AI244" s="69"/>
      <c r="AJ244" s="69"/>
      <c r="AK244" s="69"/>
      <c r="AL244" s="69"/>
      <c r="AM244" s="69"/>
      <c r="AN244" s="69"/>
      <c r="AO244" s="69"/>
      <c r="AP244" s="69"/>
      <c r="AQ244" s="69"/>
      <c r="AR244" s="69"/>
      <c r="AS244" s="69"/>
      <c r="AT244" s="69"/>
      <c r="AU244" s="69"/>
      <c r="AV244" s="69"/>
      <c r="AW244" s="69"/>
      <c r="AX244" s="69"/>
      <c r="AY244" s="69"/>
      <c r="AZ244" s="69"/>
      <c r="BA244" s="69"/>
      <c r="BB244" s="69"/>
      <c r="BC244" s="69"/>
      <c r="BD244" s="69"/>
      <c r="BE244" s="69"/>
      <c r="BF244" s="69"/>
      <c r="BG244" s="69"/>
      <c r="BH244" s="69"/>
    </row>
    <row r="245" spans="1:60" x14ac:dyDescent="0.25">
      <c r="A245" s="69"/>
    </row>
    <row r="246" spans="1:60" x14ac:dyDescent="0.25">
      <c r="A246" s="69"/>
    </row>
    <row r="247" spans="1:60" x14ac:dyDescent="0.25">
      <c r="A247" s="69"/>
    </row>
    <row r="248" spans="1:60" x14ac:dyDescent="0.25">
      <c r="A248" s="69"/>
    </row>
  </sheetData>
  <mergeCells count="17">
    <mergeCell ref="J56:O61"/>
    <mergeCell ref="P56:U61"/>
    <mergeCell ref="V56:AA61"/>
    <mergeCell ref="AB56:AG61"/>
    <mergeCell ref="AH56:AM61"/>
    <mergeCell ref="AO16:AT25"/>
    <mergeCell ref="E16:I25"/>
    <mergeCell ref="AO6:AT15"/>
    <mergeCell ref="B2:I4"/>
    <mergeCell ref="J2:AM4"/>
    <mergeCell ref="B6:D55"/>
    <mergeCell ref="E6:I15"/>
    <mergeCell ref="E46:I55"/>
    <mergeCell ref="AO36:AT45"/>
    <mergeCell ref="E36:I45"/>
    <mergeCell ref="AO26:AT35"/>
    <mergeCell ref="E26:I3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K55"/>
  <sheetViews>
    <sheetView zoomScale="90" zoomScaleNormal="90" workbookViewId="0">
      <selection activeCell="B6" sqref="B6:D6"/>
    </sheetView>
  </sheetViews>
  <sheetFormatPr baseColWidth="10" defaultRowHeight="15" x14ac:dyDescent="0.25"/>
  <cols>
    <col min="2" max="2" width="24.140625" customWidth="1" collapsed="1"/>
    <col min="3" max="3" width="70.140625" customWidth="1" collapsed="1"/>
    <col min="4" max="4" width="29.85546875" customWidth="1" collapsed="1"/>
  </cols>
  <sheetData>
    <row r="1" spans="1:37" ht="23.25" x14ac:dyDescent="0.25">
      <c r="A1" s="69"/>
      <c r="B1" s="394" t="s">
        <v>53</v>
      </c>
      <c r="C1" s="394"/>
      <c r="D1" s="394"/>
      <c r="E1" s="69"/>
      <c r="F1" s="69"/>
      <c r="G1" s="69"/>
      <c r="H1" s="69"/>
      <c r="I1" s="69"/>
      <c r="J1" s="69"/>
      <c r="K1" s="69"/>
      <c r="L1" s="69"/>
      <c r="M1" s="69"/>
      <c r="N1" s="69"/>
      <c r="O1" s="69"/>
      <c r="P1" s="69"/>
      <c r="Q1" s="69"/>
      <c r="R1" s="69"/>
      <c r="S1" s="69"/>
      <c r="T1" s="69"/>
      <c r="U1" s="69"/>
      <c r="V1" s="69"/>
      <c r="W1" s="69"/>
      <c r="X1" s="69"/>
      <c r="Y1" s="69"/>
      <c r="Z1" s="69"/>
      <c r="AA1" s="69"/>
      <c r="AB1" s="69"/>
      <c r="AC1" s="69"/>
      <c r="AD1" s="69"/>
      <c r="AE1" s="69"/>
    </row>
    <row r="2" spans="1:37" x14ac:dyDescent="0.25">
      <c r="A2" s="69"/>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69"/>
      <c r="AD2" s="69"/>
      <c r="AE2" s="69"/>
    </row>
    <row r="3" spans="1:37" ht="25.5" x14ac:dyDescent="0.25">
      <c r="A3" s="69"/>
      <c r="B3" s="3"/>
      <c r="C3" s="4" t="s">
        <v>50</v>
      </c>
      <c r="D3" s="4" t="s">
        <v>4</v>
      </c>
      <c r="E3" s="69"/>
      <c r="F3" s="69"/>
      <c r="G3" s="69"/>
      <c r="H3" s="69"/>
      <c r="I3" s="69"/>
      <c r="J3" s="69"/>
      <c r="K3" s="69"/>
      <c r="L3" s="69"/>
      <c r="M3" s="69"/>
      <c r="N3" s="69"/>
      <c r="O3" s="69"/>
      <c r="P3" s="69"/>
      <c r="Q3" s="69"/>
      <c r="R3" s="69"/>
      <c r="S3" s="69"/>
      <c r="T3" s="69"/>
      <c r="U3" s="69"/>
      <c r="V3" s="69"/>
      <c r="W3" s="69"/>
      <c r="X3" s="69"/>
      <c r="Y3" s="69"/>
      <c r="Z3" s="69"/>
      <c r="AA3" s="69"/>
      <c r="AB3" s="69"/>
      <c r="AC3" s="69"/>
      <c r="AD3" s="69"/>
      <c r="AE3" s="69"/>
    </row>
    <row r="4" spans="1:37" ht="51" x14ac:dyDescent="0.25">
      <c r="A4" s="69"/>
      <c r="B4" s="5" t="s">
        <v>49</v>
      </c>
      <c r="C4" s="6" t="s">
        <v>100</v>
      </c>
      <c r="D4" s="7">
        <v>0.2</v>
      </c>
      <c r="E4" s="69"/>
      <c r="F4" s="69"/>
      <c r="G4" s="69"/>
      <c r="H4" s="69"/>
      <c r="I4" s="69"/>
      <c r="J4" s="69"/>
      <c r="K4" s="69"/>
      <c r="L4" s="69"/>
      <c r="M4" s="69"/>
      <c r="N4" s="69"/>
      <c r="O4" s="69"/>
      <c r="P4" s="69"/>
      <c r="Q4" s="69"/>
      <c r="R4" s="69"/>
      <c r="S4" s="69"/>
      <c r="T4" s="69"/>
      <c r="U4" s="69"/>
      <c r="V4" s="69"/>
      <c r="W4" s="69"/>
      <c r="X4" s="69"/>
      <c r="Y4" s="69"/>
      <c r="Z4" s="69"/>
      <c r="AA4" s="69"/>
      <c r="AB4" s="69"/>
      <c r="AC4" s="69"/>
      <c r="AD4" s="69"/>
      <c r="AE4" s="69"/>
    </row>
    <row r="5" spans="1:37" ht="51" x14ac:dyDescent="0.25">
      <c r="A5" s="69"/>
      <c r="B5" s="8" t="s">
        <v>51</v>
      </c>
      <c r="C5" s="9" t="s">
        <v>101</v>
      </c>
      <c r="D5" s="10">
        <v>0.4</v>
      </c>
      <c r="E5" s="69"/>
      <c r="F5" s="69"/>
      <c r="G5" s="69"/>
      <c r="H5" s="69"/>
      <c r="I5" s="69"/>
      <c r="J5" s="69"/>
      <c r="K5" s="69"/>
      <c r="L5" s="69"/>
      <c r="M5" s="69"/>
      <c r="N5" s="69"/>
      <c r="O5" s="69"/>
      <c r="P5" s="69"/>
      <c r="Q5" s="69"/>
      <c r="R5" s="69"/>
      <c r="S5" s="69"/>
      <c r="T5" s="69"/>
      <c r="U5" s="69"/>
      <c r="V5" s="69"/>
      <c r="W5" s="69"/>
      <c r="X5" s="69"/>
      <c r="Y5" s="69"/>
      <c r="Z5" s="69"/>
      <c r="AA5" s="69"/>
      <c r="AB5" s="69"/>
      <c r="AC5" s="69"/>
      <c r="AD5" s="69"/>
      <c r="AE5" s="69"/>
    </row>
    <row r="6" spans="1:37" ht="51" x14ac:dyDescent="0.25">
      <c r="A6" s="69"/>
      <c r="B6" s="11" t="s">
        <v>105</v>
      </c>
      <c r="C6" s="9" t="s">
        <v>102</v>
      </c>
      <c r="D6" s="10">
        <v>0.6</v>
      </c>
      <c r="E6" s="69"/>
      <c r="F6" s="69"/>
      <c r="G6" s="69"/>
      <c r="H6" s="69"/>
      <c r="I6" s="69"/>
      <c r="J6" s="69"/>
      <c r="K6" s="69"/>
      <c r="L6" s="69"/>
      <c r="M6" s="69"/>
      <c r="N6" s="69"/>
      <c r="O6" s="69"/>
      <c r="P6" s="69"/>
      <c r="Q6" s="69"/>
      <c r="R6" s="69"/>
      <c r="S6" s="69"/>
      <c r="T6" s="69"/>
      <c r="U6" s="69"/>
      <c r="V6" s="69"/>
      <c r="W6" s="69"/>
      <c r="X6" s="69"/>
      <c r="Y6" s="69"/>
      <c r="Z6" s="69"/>
      <c r="AA6" s="69"/>
      <c r="AB6" s="69"/>
      <c r="AC6" s="69"/>
      <c r="AD6" s="69"/>
      <c r="AE6" s="69"/>
    </row>
    <row r="7" spans="1:37" ht="76.5" x14ac:dyDescent="0.25">
      <c r="A7" s="69"/>
      <c r="B7" s="12" t="s">
        <v>6</v>
      </c>
      <c r="C7" s="9" t="s">
        <v>103</v>
      </c>
      <c r="D7" s="10">
        <v>0.8</v>
      </c>
      <c r="E7" s="69"/>
      <c r="F7" s="69"/>
      <c r="G7" s="69"/>
      <c r="H7" s="69"/>
      <c r="I7" s="69"/>
      <c r="J7" s="69"/>
      <c r="K7" s="69"/>
      <c r="L7" s="69"/>
      <c r="M7" s="69"/>
      <c r="N7" s="69"/>
      <c r="O7" s="69"/>
      <c r="P7" s="69"/>
      <c r="Q7" s="69"/>
      <c r="R7" s="69"/>
      <c r="S7" s="69"/>
      <c r="T7" s="69"/>
      <c r="U7" s="69"/>
      <c r="V7" s="69"/>
      <c r="W7" s="69"/>
      <c r="X7" s="69"/>
      <c r="Y7" s="69"/>
      <c r="Z7" s="69"/>
      <c r="AA7" s="69"/>
      <c r="AB7" s="69"/>
      <c r="AC7" s="69"/>
      <c r="AD7" s="69"/>
      <c r="AE7" s="69"/>
    </row>
    <row r="8" spans="1:37" ht="51" x14ac:dyDescent="0.25">
      <c r="A8" s="69"/>
      <c r="B8" s="13" t="s">
        <v>52</v>
      </c>
      <c r="C8" s="9" t="s">
        <v>104</v>
      </c>
      <c r="D8" s="10">
        <v>1</v>
      </c>
      <c r="E8" s="69"/>
      <c r="F8" s="69"/>
      <c r="G8" s="69"/>
      <c r="H8" s="69"/>
      <c r="I8" s="69"/>
      <c r="J8" s="69"/>
      <c r="K8" s="69"/>
      <c r="L8" s="69"/>
      <c r="M8" s="69"/>
      <c r="N8" s="69"/>
      <c r="O8" s="69"/>
      <c r="P8" s="69"/>
      <c r="Q8" s="69"/>
      <c r="R8" s="69"/>
      <c r="S8" s="69"/>
      <c r="T8" s="69"/>
      <c r="U8" s="69"/>
      <c r="V8" s="69"/>
      <c r="W8" s="69"/>
      <c r="X8" s="69"/>
      <c r="Y8" s="69"/>
      <c r="Z8" s="69"/>
      <c r="AA8" s="69"/>
      <c r="AB8" s="69"/>
      <c r="AC8" s="69"/>
      <c r="AD8" s="69"/>
      <c r="AE8" s="69"/>
    </row>
    <row r="9" spans="1:37" x14ac:dyDescent="0.25">
      <c r="A9" s="69"/>
      <c r="B9" s="93"/>
      <c r="C9" s="93"/>
      <c r="D9" s="93"/>
      <c r="E9" s="69"/>
      <c r="F9" s="69"/>
      <c r="G9" s="69"/>
      <c r="H9" s="69"/>
      <c r="I9" s="69"/>
      <c r="J9" s="69"/>
      <c r="K9" s="69"/>
      <c r="L9" s="69"/>
      <c r="M9" s="69"/>
      <c r="N9" s="69"/>
      <c r="O9" s="69"/>
      <c r="P9" s="69"/>
      <c r="Q9" s="69"/>
      <c r="R9" s="69"/>
      <c r="S9" s="69"/>
      <c r="T9" s="69"/>
      <c r="U9" s="69"/>
      <c r="V9" s="69"/>
      <c r="W9" s="69"/>
      <c r="X9" s="69"/>
      <c r="Y9" s="69"/>
      <c r="Z9" s="69"/>
      <c r="AA9" s="69"/>
      <c r="AB9" s="69"/>
      <c r="AC9" s="69"/>
      <c r="AD9" s="69"/>
      <c r="AE9" s="69"/>
      <c r="AF9" s="69"/>
      <c r="AG9" s="69"/>
      <c r="AH9" s="69"/>
      <c r="AI9" s="69"/>
      <c r="AJ9" s="69"/>
      <c r="AK9" s="69"/>
    </row>
    <row r="10" spans="1:37" ht="16.5" x14ac:dyDescent="0.25">
      <c r="A10" s="69"/>
      <c r="B10" s="94"/>
      <c r="C10" s="93"/>
      <c r="D10" s="93"/>
      <c r="E10" s="69"/>
      <c r="F10" s="69"/>
      <c r="G10" s="69"/>
      <c r="H10" s="69"/>
      <c r="I10" s="69"/>
      <c r="J10" s="69"/>
      <c r="K10" s="69"/>
      <c r="L10" s="69"/>
      <c r="M10" s="69"/>
      <c r="N10" s="69"/>
      <c r="O10" s="69"/>
      <c r="P10" s="69"/>
      <c r="Q10" s="69"/>
      <c r="R10" s="69"/>
      <c r="S10" s="69"/>
      <c r="T10" s="69"/>
      <c r="U10" s="69"/>
      <c r="V10" s="69"/>
      <c r="W10" s="69"/>
      <c r="X10" s="69"/>
      <c r="Y10" s="69"/>
      <c r="Z10" s="69"/>
      <c r="AA10" s="69"/>
      <c r="AB10" s="69"/>
      <c r="AC10" s="69"/>
      <c r="AD10" s="69"/>
      <c r="AE10" s="69"/>
      <c r="AF10" s="69"/>
      <c r="AG10" s="69"/>
      <c r="AH10" s="69"/>
      <c r="AI10" s="69"/>
      <c r="AJ10" s="69"/>
      <c r="AK10" s="69"/>
    </row>
    <row r="11" spans="1:37" x14ac:dyDescent="0.25">
      <c r="A11" s="69"/>
      <c r="B11" s="93"/>
      <c r="C11" s="93"/>
      <c r="D11" s="93"/>
      <c r="E11" s="69"/>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69"/>
    </row>
    <row r="12" spans="1:37" x14ac:dyDescent="0.25">
      <c r="A12" s="69"/>
      <c r="B12" s="93"/>
      <c r="C12" s="93"/>
      <c r="D12" s="93"/>
      <c r="E12" s="69"/>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row>
    <row r="13" spans="1:37" x14ac:dyDescent="0.25">
      <c r="A13" s="69"/>
      <c r="B13" s="93"/>
      <c r="C13" s="93"/>
      <c r="D13" s="93"/>
      <c r="E13" s="69"/>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69"/>
    </row>
    <row r="14" spans="1:37" x14ac:dyDescent="0.25">
      <c r="A14" s="69"/>
      <c r="B14" s="93"/>
      <c r="C14" s="93"/>
      <c r="D14" s="93"/>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row>
    <row r="15" spans="1:37" x14ac:dyDescent="0.25">
      <c r="A15" s="69"/>
      <c r="B15" s="93"/>
      <c r="C15" s="93"/>
      <c r="D15" s="93"/>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row>
    <row r="16" spans="1:37" x14ac:dyDescent="0.25">
      <c r="A16" s="69"/>
      <c r="B16" s="93"/>
      <c r="C16" s="93"/>
      <c r="D16" s="93"/>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row>
    <row r="17" spans="1:37" x14ac:dyDescent="0.25">
      <c r="A17" s="69"/>
      <c r="B17" s="93"/>
      <c r="C17" s="93"/>
      <c r="D17" s="93"/>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row>
    <row r="18" spans="1:37" x14ac:dyDescent="0.25">
      <c r="A18" s="69"/>
      <c r="B18" s="93"/>
      <c r="C18" s="93"/>
      <c r="D18" s="93"/>
      <c r="E18" s="69"/>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row>
    <row r="19" spans="1:37" x14ac:dyDescent="0.25">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row>
    <row r="20" spans="1:37" x14ac:dyDescent="0.25">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row>
    <row r="21" spans="1:37" x14ac:dyDescent="0.25">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row>
    <row r="22" spans="1:37" x14ac:dyDescent="0.25">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69"/>
    </row>
    <row r="23" spans="1:37" x14ac:dyDescent="0.25">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row>
    <row r="24" spans="1:37" x14ac:dyDescent="0.25">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69"/>
    </row>
    <row r="25" spans="1:37" x14ac:dyDescent="0.25">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row>
    <row r="26" spans="1:37" x14ac:dyDescent="0.25">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row>
    <row r="27" spans="1:37" x14ac:dyDescent="0.25">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row>
    <row r="28" spans="1:37" x14ac:dyDescent="0.25">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row>
    <row r="29" spans="1:37" x14ac:dyDescent="0.25">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row>
    <row r="30" spans="1:37" x14ac:dyDescent="0.25">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69"/>
    </row>
    <row r="31" spans="1:37" x14ac:dyDescent="0.25">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row>
    <row r="32" spans="1:37" x14ac:dyDescent="0.25">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69"/>
      <c r="AF32" s="69"/>
      <c r="AG32" s="69"/>
      <c r="AH32" s="69"/>
      <c r="AI32" s="69"/>
      <c r="AJ32" s="69"/>
      <c r="AK32" s="69"/>
    </row>
    <row r="33" spans="1:31" x14ac:dyDescent="0.25">
      <c r="A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69"/>
    </row>
    <row r="34" spans="1:31" x14ac:dyDescent="0.25">
      <c r="A34" s="69"/>
      <c r="E34" s="69"/>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c r="AE34" s="69"/>
    </row>
    <row r="35" spans="1:31" x14ac:dyDescent="0.25">
      <c r="A35" s="69"/>
    </row>
    <row r="36" spans="1:31" x14ac:dyDescent="0.25">
      <c r="A36" s="69"/>
    </row>
    <row r="37" spans="1:31" x14ac:dyDescent="0.25">
      <c r="A37" s="69"/>
    </row>
    <row r="38" spans="1:31" x14ac:dyDescent="0.25">
      <c r="A38" s="69"/>
    </row>
    <row r="39" spans="1:31" x14ac:dyDescent="0.25">
      <c r="A39" s="69"/>
    </row>
    <row r="40" spans="1:31" x14ac:dyDescent="0.25">
      <c r="A40" s="69"/>
    </row>
    <row r="41" spans="1:31" x14ac:dyDescent="0.25">
      <c r="A41" s="69"/>
    </row>
    <row r="42" spans="1:31" x14ac:dyDescent="0.25">
      <c r="A42" s="69"/>
    </row>
    <row r="43" spans="1:31" x14ac:dyDescent="0.25">
      <c r="A43" s="69"/>
    </row>
    <row r="44" spans="1:31" x14ac:dyDescent="0.25">
      <c r="A44" s="69"/>
    </row>
    <row r="45" spans="1:31" x14ac:dyDescent="0.25">
      <c r="A45" s="69"/>
    </row>
    <row r="46" spans="1:31" x14ac:dyDescent="0.25">
      <c r="A46" s="69"/>
    </row>
    <row r="47" spans="1:31" x14ac:dyDescent="0.25">
      <c r="A47" s="69"/>
    </row>
    <row r="48" spans="1:31" x14ac:dyDescent="0.25">
      <c r="A48" s="69"/>
    </row>
    <row r="49" spans="1:1" x14ac:dyDescent="0.25">
      <c r="A49" s="69"/>
    </row>
    <row r="50" spans="1:1" x14ac:dyDescent="0.25">
      <c r="A50" s="69"/>
    </row>
    <row r="51" spans="1:1" x14ac:dyDescent="0.25">
      <c r="A51" s="69"/>
    </row>
    <row r="52" spans="1:1" x14ac:dyDescent="0.25">
      <c r="A52" s="69"/>
    </row>
    <row r="53" spans="1:1" x14ac:dyDescent="0.25">
      <c r="A53" s="69"/>
    </row>
    <row r="54" spans="1:1" x14ac:dyDescent="0.25">
      <c r="A54" s="69"/>
    </row>
    <row r="55" spans="1:1" x14ac:dyDescent="0.25">
      <c r="A55" s="69"/>
    </row>
  </sheetData>
  <mergeCells count="1">
    <mergeCell ref="B1:D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249977111117893"/>
  </sheetPr>
  <dimension ref="A1:U232"/>
  <sheetViews>
    <sheetView zoomScale="60" zoomScaleNormal="60" workbookViewId="0">
      <selection activeCell="D30" sqref="D30"/>
    </sheetView>
  </sheetViews>
  <sheetFormatPr baseColWidth="10" defaultRowHeight="15" x14ac:dyDescent="0.25"/>
  <cols>
    <col min="2" max="2" width="40.42578125" customWidth="1" collapsed="1"/>
    <col min="3" max="3" width="74.85546875" customWidth="1" collapsed="1"/>
    <col min="4" max="4" width="135" bestFit="1" customWidth="1" collapsed="1"/>
    <col min="5" max="5" width="144.7109375" bestFit="1" customWidth="1" collapsed="1"/>
  </cols>
  <sheetData>
    <row r="1" spans="1:21" ht="33.75" x14ac:dyDescent="0.25">
      <c r="A1" s="69"/>
      <c r="B1" s="395" t="s">
        <v>61</v>
      </c>
      <c r="C1" s="395"/>
      <c r="D1" s="395"/>
      <c r="E1" s="69"/>
      <c r="F1" s="69"/>
      <c r="G1" s="69"/>
      <c r="H1" s="69"/>
      <c r="I1" s="69"/>
      <c r="J1" s="69"/>
      <c r="K1" s="69"/>
      <c r="L1" s="69"/>
      <c r="M1" s="69"/>
      <c r="N1" s="69"/>
      <c r="O1" s="69"/>
      <c r="P1" s="69"/>
      <c r="Q1" s="69"/>
      <c r="R1" s="69"/>
      <c r="S1" s="69"/>
      <c r="T1" s="69"/>
      <c r="U1" s="69"/>
    </row>
    <row r="2" spans="1:21" x14ac:dyDescent="0.25">
      <c r="A2" s="69"/>
      <c r="B2" s="69"/>
      <c r="C2" s="69"/>
      <c r="D2" s="69"/>
      <c r="E2" s="69"/>
      <c r="F2" s="69"/>
      <c r="G2" s="69"/>
      <c r="H2" s="69"/>
      <c r="I2" s="69"/>
      <c r="J2" s="69"/>
      <c r="K2" s="69"/>
      <c r="L2" s="69"/>
      <c r="M2" s="69"/>
      <c r="N2" s="69"/>
      <c r="O2" s="69"/>
      <c r="P2" s="69"/>
      <c r="Q2" s="69"/>
      <c r="R2" s="69"/>
      <c r="S2" s="69"/>
      <c r="T2" s="69"/>
      <c r="U2" s="69"/>
    </row>
    <row r="3" spans="1:21" ht="60" x14ac:dyDescent="0.25">
      <c r="A3" s="69"/>
      <c r="B3" s="90"/>
      <c r="C3" s="22" t="s">
        <v>54</v>
      </c>
      <c r="D3" s="22" t="s">
        <v>55</v>
      </c>
      <c r="E3" s="69"/>
      <c r="F3" s="69"/>
      <c r="G3" s="69"/>
      <c r="H3" s="69"/>
      <c r="I3" s="69"/>
      <c r="J3" s="69"/>
      <c r="K3" s="69"/>
      <c r="L3" s="69"/>
      <c r="M3" s="69"/>
      <c r="N3" s="69"/>
      <c r="O3" s="69"/>
      <c r="P3" s="69"/>
      <c r="Q3" s="69"/>
      <c r="R3" s="69"/>
      <c r="S3" s="69"/>
      <c r="T3" s="69"/>
      <c r="U3" s="69"/>
    </row>
    <row r="4" spans="1:21" ht="33.75" x14ac:dyDescent="0.25">
      <c r="A4" s="89" t="s">
        <v>81</v>
      </c>
      <c r="B4" s="25" t="s">
        <v>99</v>
      </c>
      <c r="C4" s="30" t="s">
        <v>154</v>
      </c>
      <c r="D4" s="23" t="s">
        <v>95</v>
      </c>
      <c r="E4" s="69"/>
      <c r="F4" s="69"/>
      <c r="G4" s="69"/>
      <c r="H4" s="69"/>
      <c r="I4" s="69"/>
      <c r="J4" s="69"/>
      <c r="K4" s="69"/>
      <c r="L4" s="69"/>
      <c r="M4" s="69"/>
      <c r="N4" s="69"/>
      <c r="O4" s="69"/>
      <c r="P4" s="69"/>
      <c r="Q4" s="69"/>
      <c r="R4" s="69"/>
      <c r="S4" s="69"/>
      <c r="T4" s="69"/>
      <c r="U4" s="69"/>
    </row>
    <row r="5" spans="1:21" ht="101.25" x14ac:dyDescent="0.25">
      <c r="A5" s="89" t="s">
        <v>82</v>
      </c>
      <c r="B5" s="26" t="s">
        <v>57</v>
      </c>
      <c r="C5" s="31" t="s">
        <v>91</v>
      </c>
      <c r="D5" s="24" t="s">
        <v>96</v>
      </c>
      <c r="E5" s="69"/>
      <c r="F5" s="69"/>
      <c r="G5" s="69"/>
      <c r="H5" s="69"/>
      <c r="I5" s="69"/>
      <c r="J5" s="69"/>
      <c r="K5" s="69"/>
      <c r="L5" s="69"/>
      <c r="M5" s="69"/>
      <c r="N5" s="69"/>
      <c r="O5" s="69"/>
      <c r="P5" s="69"/>
      <c r="Q5" s="69"/>
      <c r="R5" s="69"/>
      <c r="S5" s="69"/>
      <c r="T5" s="69"/>
      <c r="U5" s="69"/>
    </row>
    <row r="6" spans="1:21" ht="67.5" x14ac:dyDescent="0.25">
      <c r="A6" s="89" t="s">
        <v>79</v>
      </c>
      <c r="B6" s="27" t="s">
        <v>58</v>
      </c>
      <c r="C6" s="31" t="s">
        <v>92</v>
      </c>
      <c r="D6" s="24" t="s">
        <v>98</v>
      </c>
      <c r="E6" s="69"/>
      <c r="F6" s="69"/>
      <c r="G6" s="69"/>
      <c r="H6" s="69"/>
      <c r="I6" s="69"/>
      <c r="J6" s="69"/>
      <c r="K6" s="69"/>
      <c r="L6" s="69"/>
      <c r="M6" s="69"/>
      <c r="N6" s="69"/>
      <c r="O6" s="69"/>
      <c r="P6" s="69"/>
      <c r="Q6" s="69"/>
      <c r="R6" s="69"/>
      <c r="S6" s="69"/>
      <c r="T6" s="69"/>
      <c r="U6" s="69"/>
    </row>
    <row r="7" spans="1:21" ht="101.25" x14ac:dyDescent="0.25">
      <c r="A7" s="89" t="s">
        <v>7</v>
      </c>
      <c r="B7" s="28" t="s">
        <v>59</v>
      </c>
      <c r="C7" s="31" t="s">
        <v>93</v>
      </c>
      <c r="D7" s="24" t="s">
        <v>97</v>
      </c>
      <c r="E7" s="69"/>
      <c r="F7" s="69"/>
      <c r="G7" s="69"/>
      <c r="H7" s="69"/>
      <c r="I7" s="69"/>
      <c r="J7" s="69"/>
      <c r="K7" s="69"/>
      <c r="L7" s="69"/>
      <c r="M7" s="69"/>
      <c r="N7" s="69"/>
      <c r="O7" s="69"/>
      <c r="P7" s="69"/>
      <c r="Q7" s="69"/>
      <c r="R7" s="69"/>
      <c r="S7" s="69"/>
      <c r="T7" s="69"/>
      <c r="U7" s="69"/>
    </row>
    <row r="8" spans="1:21" ht="67.5" x14ac:dyDescent="0.25">
      <c r="A8" s="89" t="s">
        <v>83</v>
      </c>
      <c r="B8" s="29" t="s">
        <v>60</v>
      </c>
      <c r="C8" s="31" t="s">
        <v>94</v>
      </c>
      <c r="D8" s="24" t="s">
        <v>116</v>
      </c>
      <c r="E8" s="69"/>
      <c r="F8" s="69"/>
      <c r="G8" s="69"/>
      <c r="H8" s="69"/>
      <c r="I8" s="69"/>
      <c r="J8" s="69"/>
      <c r="K8" s="69"/>
      <c r="L8" s="69"/>
      <c r="M8" s="69"/>
      <c r="N8" s="69"/>
      <c r="O8" s="69"/>
      <c r="P8" s="69"/>
      <c r="Q8" s="69"/>
      <c r="R8" s="69"/>
      <c r="S8" s="69"/>
      <c r="T8" s="69"/>
      <c r="U8" s="69"/>
    </row>
    <row r="9" spans="1:21" ht="20.25" x14ac:dyDescent="0.25">
      <c r="A9" s="89"/>
      <c r="B9" s="89"/>
      <c r="C9" s="91"/>
      <c r="D9" s="91"/>
      <c r="E9" s="69"/>
      <c r="F9" s="69"/>
      <c r="G9" s="69"/>
      <c r="H9" s="69"/>
      <c r="I9" s="69"/>
      <c r="J9" s="69"/>
      <c r="K9" s="69"/>
      <c r="L9" s="69"/>
      <c r="M9" s="69"/>
      <c r="N9" s="69"/>
      <c r="O9" s="69"/>
      <c r="P9" s="69"/>
      <c r="Q9" s="69"/>
      <c r="R9" s="69"/>
      <c r="S9" s="69"/>
      <c r="T9" s="69"/>
      <c r="U9" s="69"/>
    </row>
    <row r="10" spans="1:21" ht="16.5" x14ac:dyDescent="0.25">
      <c r="A10" s="89"/>
      <c r="B10" s="92"/>
      <c r="C10" s="92"/>
      <c r="D10" s="92"/>
      <c r="E10" s="69"/>
      <c r="F10" s="69"/>
      <c r="G10" s="69"/>
      <c r="H10" s="69"/>
      <c r="I10" s="69"/>
      <c r="J10" s="69"/>
      <c r="K10" s="69"/>
      <c r="L10" s="69"/>
      <c r="M10" s="69"/>
      <c r="N10" s="69"/>
      <c r="O10" s="69"/>
      <c r="P10" s="69"/>
      <c r="Q10" s="69"/>
      <c r="R10" s="69"/>
      <c r="S10" s="69"/>
      <c r="T10" s="69"/>
      <c r="U10" s="69"/>
    </row>
    <row r="11" spans="1:21" x14ac:dyDescent="0.25">
      <c r="A11" s="89"/>
      <c r="B11" s="89" t="s">
        <v>89</v>
      </c>
      <c r="C11" s="89" t="s">
        <v>142</v>
      </c>
      <c r="D11" s="89" t="s">
        <v>149</v>
      </c>
      <c r="E11" s="69"/>
      <c r="F11" s="69"/>
      <c r="G11" s="69"/>
      <c r="H11" s="69"/>
      <c r="I11" s="69"/>
      <c r="J11" s="69"/>
      <c r="K11" s="69"/>
      <c r="L11" s="69"/>
      <c r="M11" s="69"/>
      <c r="N11" s="69"/>
      <c r="O11" s="69"/>
      <c r="P11" s="69"/>
      <c r="Q11" s="69"/>
      <c r="R11" s="69"/>
      <c r="S11" s="69"/>
      <c r="T11" s="69"/>
      <c r="U11" s="69"/>
    </row>
    <row r="12" spans="1:21" x14ac:dyDescent="0.25">
      <c r="A12" s="89"/>
      <c r="B12" s="89" t="s">
        <v>87</v>
      </c>
      <c r="C12" s="89" t="s">
        <v>146</v>
      </c>
      <c r="D12" s="89" t="s">
        <v>150</v>
      </c>
      <c r="E12" s="69"/>
      <c r="F12" s="69"/>
      <c r="G12" s="69"/>
      <c r="H12" s="69"/>
      <c r="I12" s="69"/>
      <c r="J12" s="69"/>
      <c r="K12" s="69"/>
      <c r="L12" s="69"/>
      <c r="M12" s="69"/>
      <c r="N12" s="69"/>
      <c r="O12" s="69"/>
      <c r="P12" s="69"/>
      <c r="Q12" s="69"/>
      <c r="R12" s="69"/>
      <c r="S12" s="69"/>
      <c r="T12" s="69"/>
      <c r="U12" s="69"/>
    </row>
    <row r="13" spans="1:21" x14ac:dyDescent="0.25">
      <c r="A13" s="89"/>
      <c r="B13" s="89"/>
      <c r="C13" s="89" t="s">
        <v>145</v>
      </c>
      <c r="D13" s="89" t="s">
        <v>151</v>
      </c>
      <c r="E13" s="69"/>
      <c r="F13" s="69"/>
      <c r="G13" s="69"/>
      <c r="H13" s="69"/>
      <c r="I13" s="69"/>
      <c r="J13" s="69"/>
      <c r="K13" s="69"/>
      <c r="L13" s="69"/>
      <c r="M13" s="69"/>
      <c r="N13" s="69"/>
      <c r="O13" s="69"/>
      <c r="P13" s="69"/>
      <c r="Q13" s="69"/>
      <c r="R13" s="69"/>
      <c r="S13" s="69"/>
      <c r="T13" s="69"/>
      <c r="U13" s="69"/>
    </row>
    <row r="14" spans="1:21" x14ac:dyDescent="0.25">
      <c r="A14" s="89"/>
      <c r="B14" s="89"/>
      <c r="C14" s="89" t="s">
        <v>147</v>
      </c>
      <c r="D14" s="89" t="s">
        <v>152</v>
      </c>
      <c r="E14" s="69"/>
      <c r="F14" s="69"/>
      <c r="G14" s="69"/>
      <c r="H14" s="69"/>
      <c r="I14" s="69"/>
      <c r="J14" s="69"/>
      <c r="K14" s="69"/>
      <c r="L14" s="69"/>
      <c r="M14" s="69"/>
      <c r="N14" s="69"/>
      <c r="O14" s="69"/>
      <c r="P14" s="69"/>
      <c r="Q14" s="69"/>
      <c r="R14" s="69"/>
      <c r="S14" s="69"/>
      <c r="T14" s="69"/>
      <c r="U14" s="69"/>
    </row>
    <row r="15" spans="1:21" x14ac:dyDescent="0.25">
      <c r="A15" s="89"/>
      <c r="B15" s="89"/>
      <c r="C15" s="89" t="s">
        <v>148</v>
      </c>
      <c r="D15" s="89" t="s">
        <v>153</v>
      </c>
      <c r="E15" s="69"/>
      <c r="F15" s="69"/>
      <c r="G15" s="69"/>
      <c r="H15" s="69"/>
      <c r="I15" s="69"/>
      <c r="J15" s="69"/>
      <c r="K15" s="69"/>
      <c r="L15" s="69"/>
      <c r="M15" s="69"/>
      <c r="N15" s="69"/>
      <c r="O15" s="69"/>
      <c r="P15" s="69"/>
      <c r="Q15" s="69"/>
      <c r="R15" s="69"/>
      <c r="S15" s="69"/>
      <c r="T15" s="69"/>
      <c r="U15" s="69"/>
    </row>
    <row r="16" spans="1:21" x14ac:dyDescent="0.25">
      <c r="A16" s="89"/>
      <c r="B16" s="89"/>
      <c r="C16" s="89"/>
      <c r="D16" s="89"/>
      <c r="E16" s="69"/>
      <c r="F16" s="69"/>
      <c r="G16" s="69"/>
      <c r="H16" s="69"/>
      <c r="I16" s="69"/>
      <c r="J16" s="69"/>
      <c r="K16" s="69"/>
      <c r="L16" s="69"/>
      <c r="M16" s="69"/>
      <c r="N16" s="69"/>
      <c r="O16" s="69"/>
    </row>
    <row r="17" spans="1:15" x14ac:dyDescent="0.25">
      <c r="A17" s="89"/>
      <c r="B17" s="89"/>
      <c r="C17" s="89"/>
      <c r="D17" s="89"/>
      <c r="E17" s="69"/>
      <c r="F17" s="69"/>
      <c r="G17" s="69"/>
      <c r="H17" s="69"/>
      <c r="I17" s="69"/>
      <c r="J17" s="69"/>
      <c r="K17" s="69"/>
      <c r="L17" s="69"/>
      <c r="M17" s="69"/>
      <c r="N17" s="69"/>
      <c r="O17" s="69"/>
    </row>
    <row r="18" spans="1:15" x14ac:dyDescent="0.25">
      <c r="A18" s="89"/>
      <c r="B18" s="93"/>
      <c r="C18" s="93"/>
      <c r="D18" s="93"/>
      <c r="E18" s="69"/>
      <c r="F18" s="69"/>
      <c r="G18" s="69"/>
      <c r="H18" s="69"/>
      <c r="I18" s="69"/>
      <c r="J18" s="69"/>
      <c r="K18" s="69"/>
      <c r="L18" s="69"/>
      <c r="M18" s="69"/>
      <c r="N18" s="69"/>
      <c r="O18" s="69"/>
    </row>
    <row r="19" spans="1:15" x14ac:dyDescent="0.25">
      <c r="A19" s="89"/>
      <c r="B19" s="93"/>
      <c r="C19" s="93"/>
      <c r="D19" s="93"/>
      <c r="E19" s="69"/>
      <c r="F19" s="69"/>
      <c r="G19" s="69"/>
      <c r="H19" s="69"/>
      <c r="I19" s="69"/>
      <c r="J19" s="69"/>
      <c r="K19" s="69"/>
      <c r="L19" s="69"/>
      <c r="M19" s="69"/>
      <c r="N19" s="69"/>
      <c r="O19" s="69"/>
    </row>
    <row r="20" spans="1:15" x14ac:dyDescent="0.25">
      <c r="A20" s="89"/>
      <c r="B20" s="93"/>
      <c r="C20" s="93"/>
      <c r="D20" s="93"/>
      <c r="E20" s="69"/>
      <c r="F20" s="69"/>
      <c r="G20" s="69"/>
      <c r="H20" s="69"/>
      <c r="I20" s="69"/>
      <c r="J20" s="69"/>
      <c r="K20" s="69"/>
      <c r="L20" s="69"/>
      <c r="M20" s="69"/>
      <c r="N20" s="69"/>
      <c r="O20" s="69"/>
    </row>
    <row r="21" spans="1:15" x14ac:dyDescent="0.25">
      <c r="A21" s="89"/>
      <c r="B21" s="93"/>
      <c r="C21" s="93"/>
      <c r="D21" s="93"/>
      <c r="E21" s="69"/>
      <c r="F21" s="69"/>
      <c r="G21" s="69"/>
      <c r="H21" s="69"/>
      <c r="I21" s="69"/>
      <c r="J21" s="69"/>
      <c r="K21" s="69"/>
      <c r="L21" s="69"/>
      <c r="M21" s="69"/>
      <c r="N21" s="69"/>
      <c r="O21" s="69"/>
    </row>
    <row r="22" spans="1:15" ht="20.25" x14ac:dyDescent="0.25">
      <c r="A22" s="89"/>
      <c r="B22" s="89"/>
      <c r="C22" s="91"/>
      <c r="D22" s="91"/>
      <c r="E22" s="69"/>
      <c r="F22" s="69"/>
      <c r="G22" s="69"/>
      <c r="H22" s="69"/>
      <c r="I22" s="69"/>
      <c r="J22" s="69"/>
      <c r="K22" s="69"/>
      <c r="L22" s="69"/>
      <c r="M22" s="69"/>
      <c r="N22" s="69"/>
      <c r="O22" s="69"/>
    </row>
    <row r="23" spans="1:15" ht="20.25" x14ac:dyDescent="0.25">
      <c r="A23" s="89"/>
      <c r="B23" s="89"/>
      <c r="C23" s="91"/>
      <c r="D23" s="91"/>
      <c r="E23" s="69"/>
      <c r="F23" s="69"/>
      <c r="G23" s="69"/>
      <c r="H23" s="69"/>
      <c r="I23" s="69"/>
      <c r="J23" s="69"/>
      <c r="K23" s="69"/>
      <c r="L23" s="69"/>
      <c r="M23" s="69"/>
      <c r="N23" s="69"/>
      <c r="O23" s="69"/>
    </row>
    <row r="24" spans="1:15" ht="20.25" x14ac:dyDescent="0.25">
      <c r="A24" s="89"/>
      <c r="B24" s="89"/>
      <c r="C24" s="91"/>
      <c r="D24" s="91"/>
      <c r="E24" s="69"/>
      <c r="F24" s="69"/>
      <c r="G24" s="69"/>
      <c r="H24" s="69"/>
      <c r="I24" s="69"/>
      <c r="J24" s="69"/>
      <c r="K24" s="69"/>
      <c r="L24" s="69"/>
      <c r="M24" s="69"/>
      <c r="N24" s="69"/>
      <c r="O24" s="69"/>
    </row>
    <row r="25" spans="1:15" ht="20.25" x14ac:dyDescent="0.25">
      <c r="A25" s="89"/>
      <c r="B25" s="89"/>
      <c r="C25" s="91"/>
      <c r="D25" s="91"/>
      <c r="E25" s="69"/>
      <c r="F25" s="69"/>
      <c r="G25" s="69"/>
      <c r="H25" s="69"/>
      <c r="I25" s="69"/>
      <c r="J25" s="69"/>
      <c r="K25" s="69"/>
      <c r="L25" s="69"/>
      <c r="M25" s="69"/>
      <c r="N25" s="69"/>
      <c r="O25" s="69"/>
    </row>
    <row r="26" spans="1:15" ht="20.25" x14ac:dyDescent="0.25">
      <c r="A26" s="89"/>
      <c r="B26" s="89"/>
      <c r="C26" s="91"/>
      <c r="D26" s="91"/>
      <c r="E26" s="69"/>
      <c r="F26" s="69"/>
      <c r="G26" s="69"/>
      <c r="H26" s="69"/>
      <c r="I26" s="69"/>
      <c r="J26" s="69"/>
      <c r="K26" s="69"/>
      <c r="L26" s="69"/>
      <c r="M26" s="69"/>
      <c r="N26" s="69"/>
      <c r="O26" s="69"/>
    </row>
    <row r="27" spans="1:15" ht="20.25" x14ac:dyDescent="0.25">
      <c r="A27" s="89"/>
      <c r="B27" s="89"/>
      <c r="C27" s="91"/>
      <c r="D27" s="91"/>
      <c r="E27" s="69"/>
      <c r="F27" s="69"/>
      <c r="G27" s="69"/>
      <c r="H27" s="69"/>
      <c r="I27" s="69"/>
      <c r="J27" s="69"/>
      <c r="K27" s="69"/>
      <c r="L27" s="69"/>
      <c r="M27" s="69"/>
      <c r="N27" s="69"/>
      <c r="O27" s="69"/>
    </row>
    <row r="28" spans="1:15" ht="20.25" x14ac:dyDescent="0.25">
      <c r="A28" s="89"/>
      <c r="B28" s="89"/>
      <c r="C28" s="91"/>
      <c r="D28" s="91"/>
      <c r="E28" s="69"/>
      <c r="F28" s="69"/>
      <c r="G28" s="69"/>
      <c r="H28" s="69"/>
      <c r="I28" s="69"/>
      <c r="J28" s="69"/>
      <c r="K28" s="69"/>
      <c r="L28" s="69"/>
      <c r="M28" s="69"/>
      <c r="N28" s="69"/>
      <c r="O28" s="69"/>
    </row>
    <row r="29" spans="1:15" ht="20.25" x14ac:dyDescent="0.25">
      <c r="A29" s="89"/>
      <c r="B29" s="89"/>
      <c r="C29" s="91"/>
      <c r="D29" s="91"/>
      <c r="E29" s="69"/>
      <c r="F29" s="69"/>
      <c r="G29" s="69"/>
      <c r="H29" s="69"/>
      <c r="I29" s="69"/>
      <c r="J29" s="69"/>
      <c r="K29" s="69"/>
      <c r="L29" s="69"/>
      <c r="M29" s="69"/>
      <c r="N29" s="69"/>
      <c r="O29" s="69"/>
    </row>
    <row r="30" spans="1:15" ht="20.25" x14ac:dyDescent="0.25">
      <c r="A30" s="89"/>
      <c r="B30" s="89"/>
      <c r="C30" s="91"/>
      <c r="D30" s="91"/>
      <c r="E30" s="69"/>
      <c r="F30" s="69"/>
      <c r="G30" s="69"/>
      <c r="H30" s="69"/>
      <c r="I30" s="69"/>
      <c r="J30" s="69"/>
      <c r="K30" s="69"/>
      <c r="L30" s="69"/>
      <c r="M30" s="69"/>
      <c r="N30" s="69"/>
      <c r="O30" s="69"/>
    </row>
    <row r="31" spans="1:15" ht="20.25" x14ac:dyDescent="0.25">
      <c r="A31" s="89"/>
      <c r="B31" s="89"/>
      <c r="C31" s="91"/>
      <c r="D31" s="91"/>
      <c r="E31" s="69"/>
      <c r="F31" s="69"/>
      <c r="G31" s="69"/>
      <c r="H31" s="69"/>
      <c r="I31" s="69"/>
      <c r="J31" s="69"/>
      <c r="K31" s="69"/>
      <c r="L31" s="69"/>
      <c r="M31" s="69"/>
      <c r="N31" s="69"/>
      <c r="O31" s="69"/>
    </row>
    <row r="32" spans="1:15" ht="20.25" x14ac:dyDescent="0.25">
      <c r="A32" s="89"/>
      <c r="B32" s="89"/>
      <c r="C32" s="91"/>
      <c r="D32" s="91"/>
      <c r="E32" s="69"/>
      <c r="F32" s="69"/>
      <c r="G32" s="69"/>
      <c r="H32" s="69"/>
      <c r="I32" s="69"/>
      <c r="J32" s="69"/>
      <c r="K32" s="69"/>
      <c r="L32" s="69"/>
      <c r="M32" s="69"/>
      <c r="N32" s="69"/>
      <c r="O32" s="69"/>
    </row>
    <row r="33" spans="1:15" ht="20.25" x14ac:dyDescent="0.25">
      <c r="A33" s="89"/>
      <c r="B33" s="89"/>
      <c r="C33" s="91"/>
      <c r="D33" s="91"/>
      <c r="E33" s="69"/>
      <c r="F33" s="69"/>
      <c r="G33" s="69"/>
      <c r="H33" s="69"/>
      <c r="I33" s="69"/>
      <c r="J33" s="69"/>
      <c r="K33" s="69"/>
      <c r="L33" s="69"/>
      <c r="M33" s="69"/>
      <c r="N33" s="69"/>
      <c r="O33" s="69"/>
    </row>
    <row r="34" spans="1:15" ht="20.25" x14ac:dyDescent="0.25">
      <c r="A34" s="89"/>
      <c r="B34" s="89"/>
      <c r="C34" s="91"/>
      <c r="D34" s="91"/>
      <c r="E34" s="69"/>
      <c r="F34" s="69"/>
      <c r="G34" s="69"/>
      <c r="H34" s="69"/>
      <c r="I34" s="69"/>
      <c r="J34" s="69"/>
      <c r="K34" s="69"/>
      <c r="L34" s="69"/>
      <c r="M34" s="69"/>
      <c r="N34" s="69"/>
      <c r="O34" s="69"/>
    </row>
    <row r="35" spans="1:15" ht="20.25" x14ac:dyDescent="0.25">
      <c r="A35" s="89"/>
      <c r="B35" s="89"/>
      <c r="C35" s="91"/>
      <c r="D35" s="91"/>
      <c r="E35" s="69"/>
      <c r="F35" s="69"/>
      <c r="G35" s="69"/>
      <c r="H35" s="69"/>
      <c r="I35" s="69"/>
      <c r="J35" s="69"/>
      <c r="K35" s="69"/>
      <c r="L35" s="69"/>
      <c r="M35" s="69"/>
      <c r="N35" s="69"/>
      <c r="O35" s="69"/>
    </row>
    <row r="36" spans="1:15" ht="20.25" x14ac:dyDescent="0.25">
      <c r="A36" s="89"/>
      <c r="B36" s="89"/>
      <c r="C36" s="91"/>
      <c r="D36" s="91"/>
      <c r="E36" s="69"/>
      <c r="F36" s="69"/>
      <c r="G36" s="69"/>
      <c r="H36" s="69"/>
      <c r="I36" s="69"/>
      <c r="J36" s="69"/>
      <c r="K36" s="69"/>
      <c r="L36" s="69"/>
      <c r="M36" s="69"/>
      <c r="N36" s="69"/>
      <c r="O36" s="69"/>
    </row>
    <row r="37" spans="1:15" ht="20.25" x14ac:dyDescent="0.25">
      <c r="A37" s="89"/>
      <c r="B37" s="89"/>
      <c r="C37" s="91"/>
      <c r="D37" s="91"/>
      <c r="E37" s="69"/>
      <c r="F37" s="69"/>
      <c r="G37" s="69"/>
      <c r="H37" s="69"/>
      <c r="I37" s="69"/>
      <c r="J37" s="69"/>
      <c r="K37" s="69"/>
      <c r="L37" s="69"/>
      <c r="M37" s="69"/>
      <c r="N37" s="69"/>
      <c r="O37" s="69"/>
    </row>
    <row r="38" spans="1:15" ht="20.25" x14ac:dyDescent="0.25">
      <c r="A38" s="89"/>
      <c r="B38" s="89"/>
      <c r="C38" s="91"/>
      <c r="D38" s="91"/>
      <c r="E38" s="69"/>
      <c r="F38" s="69"/>
      <c r="G38" s="69"/>
      <c r="H38" s="69"/>
      <c r="I38" s="69"/>
      <c r="J38" s="69"/>
      <c r="K38" s="69"/>
      <c r="L38" s="69"/>
      <c r="M38" s="69"/>
      <c r="N38" s="69"/>
      <c r="O38" s="69"/>
    </row>
    <row r="39" spans="1:15" ht="20.25" x14ac:dyDescent="0.25">
      <c r="A39" s="89"/>
      <c r="B39" s="89"/>
      <c r="C39" s="91"/>
      <c r="D39" s="91"/>
      <c r="E39" s="69"/>
      <c r="F39" s="69"/>
      <c r="G39" s="69"/>
      <c r="H39" s="69"/>
      <c r="I39" s="69"/>
      <c r="J39" s="69"/>
      <c r="K39" s="69"/>
      <c r="L39" s="69"/>
      <c r="M39" s="69"/>
      <c r="N39" s="69"/>
      <c r="O39" s="69"/>
    </row>
    <row r="40" spans="1:15" ht="20.25" x14ac:dyDescent="0.25">
      <c r="A40" s="89"/>
      <c r="B40" s="89"/>
      <c r="C40" s="91"/>
      <c r="D40" s="91"/>
      <c r="E40" s="69"/>
      <c r="F40" s="69"/>
      <c r="G40" s="69"/>
      <c r="H40" s="69"/>
      <c r="I40" s="69"/>
      <c r="J40" s="69"/>
      <c r="K40" s="69"/>
      <c r="L40" s="69"/>
      <c r="M40" s="69"/>
      <c r="N40" s="69"/>
      <c r="O40" s="69"/>
    </row>
    <row r="41" spans="1:15" ht="20.25" x14ac:dyDescent="0.25">
      <c r="A41" s="89"/>
      <c r="B41" s="89"/>
      <c r="C41" s="91"/>
      <c r="D41" s="91"/>
      <c r="E41" s="69"/>
      <c r="F41" s="69"/>
      <c r="G41" s="69"/>
      <c r="H41" s="69"/>
      <c r="I41" s="69"/>
      <c r="J41" s="69"/>
      <c r="K41" s="69"/>
      <c r="L41" s="69"/>
      <c r="M41" s="69"/>
      <c r="N41" s="69"/>
      <c r="O41" s="69"/>
    </row>
    <row r="42" spans="1:15" ht="20.25" x14ac:dyDescent="0.25">
      <c r="A42" s="89"/>
      <c r="B42" s="89"/>
      <c r="C42" s="91"/>
      <c r="D42" s="91"/>
      <c r="E42" s="69"/>
      <c r="F42" s="69"/>
      <c r="G42" s="69"/>
      <c r="H42" s="69"/>
      <c r="I42" s="69"/>
      <c r="J42" s="69"/>
      <c r="K42" s="69"/>
      <c r="L42" s="69"/>
      <c r="M42" s="69"/>
      <c r="N42" s="69"/>
      <c r="O42" s="69"/>
    </row>
    <row r="43" spans="1:15" ht="20.25" x14ac:dyDescent="0.25">
      <c r="A43" s="89"/>
      <c r="B43" s="89"/>
      <c r="C43" s="91"/>
      <c r="D43" s="91"/>
      <c r="E43" s="69"/>
      <c r="F43" s="69"/>
      <c r="G43" s="69"/>
      <c r="H43" s="69"/>
      <c r="I43" s="69"/>
      <c r="J43" s="69"/>
      <c r="K43" s="69"/>
      <c r="L43" s="69"/>
      <c r="M43" s="69"/>
      <c r="N43" s="69"/>
      <c r="O43" s="69"/>
    </row>
    <row r="44" spans="1:15" ht="20.25" x14ac:dyDescent="0.25">
      <c r="A44" s="89"/>
      <c r="B44" s="89"/>
      <c r="C44" s="91"/>
      <c r="D44" s="91"/>
      <c r="E44" s="69"/>
      <c r="F44" s="69"/>
      <c r="G44" s="69"/>
      <c r="H44" s="69"/>
      <c r="I44" s="69"/>
      <c r="J44" s="69"/>
      <c r="K44" s="69"/>
      <c r="L44" s="69"/>
      <c r="M44" s="69"/>
      <c r="N44" s="69"/>
      <c r="O44" s="69"/>
    </row>
    <row r="45" spans="1:15" ht="20.25" x14ac:dyDescent="0.25">
      <c r="A45" s="89"/>
      <c r="B45" s="89"/>
      <c r="C45" s="91"/>
      <c r="D45" s="91"/>
      <c r="E45" s="69"/>
      <c r="F45" s="69"/>
      <c r="G45" s="69"/>
      <c r="H45" s="69"/>
      <c r="I45" s="69"/>
      <c r="J45" s="69"/>
      <c r="K45" s="69"/>
      <c r="L45" s="69"/>
      <c r="M45" s="69"/>
      <c r="N45" s="69"/>
      <c r="O45" s="69"/>
    </row>
    <row r="46" spans="1:15" ht="20.25" x14ac:dyDescent="0.25">
      <c r="A46" s="89"/>
      <c r="B46" s="89"/>
      <c r="C46" s="91"/>
      <c r="D46" s="91"/>
      <c r="E46" s="69"/>
      <c r="F46" s="69"/>
      <c r="G46" s="69"/>
      <c r="H46" s="69"/>
      <c r="I46" s="69"/>
      <c r="J46" s="69"/>
      <c r="K46" s="69"/>
      <c r="L46" s="69"/>
      <c r="M46" s="69"/>
      <c r="N46" s="69"/>
      <c r="O46" s="69"/>
    </row>
    <row r="47" spans="1:15" ht="20.25" x14ac:dyDescent="0.25">
      <c r="A47" s="89"/>
      <c r="B47" s="89"/>
      <c r="C47" s="91"/>
      <c r="D47" s="91"/>
      <c r="E47" s="69"/>
      <c r="F47" s="69"/>
      <c r="G47" s="69"/>
      <c r="H47" s="69"/>
      <c r="I47" s="69"/>
      <c r="J47" s="69"/>
      <c r="K47" s="69"/>
      <c r="L47" s="69"/>
      <c r="M47" s="69"/>
      <c r="N47" s="69"/>
      <c r="O47" s="69"/>
    </row>
    <row r="48" spans="1:15" ht="20.25" x14ac:dyDescent="0.25">
      <c r="A48" s="89"/>
      <c r="B48" s="89"/>
      <c r="C48" s="91"/>
      <c r="D48" s="91"/>
      <c r="E48" s="69"/>
      <c r="F48" s="69"/>
      <c r="G48" s="69"/>
      <c r="H48" s="69"/>
      <c r="I48" s="69"/>
      <c r="J48" s="69"/>
      <c r="K48" s="69"/>
      <c r="L48" s="69"/>
      <c r="M48" s="69"/>
      <c r="N48" s="69"/>
      <c r="O48" s="69"/>
    </row>
    <row r="49" spans="1:15" ht="20.25" x14ac:dyDescent="0.25">
      <c r="A49" s="89"/>
      <c r="B49" s="89"/>
      <c r="C49" s="91"/>
      <c r="D49" s="91"/>
      <c r="E49" s="69"/>
      <c r="F49" s="69"/>
      <c r="G49" s="69"/>
      <c r="H49" s="69"/>
      <c r="I49" s="69"/>
      <c r="J49" s="69"/>
      <c r="K49" s="69"/>
      <c r="L49" s="69"/>
      <c r="M49" s="69"/>
      <c r="N49" s="69"/>
      <c r="O49" s="69"/>
    </row>
    <row r="50" spans="1:15" ht="20.25" x14ac:dyDescent="0.25">
      <c r="A50" s="89"/>
      <c r="B50" s="89"/>
      <c r="C50" s="91"/>
      <c r="D50" s="91"/>
      <c r="E50" s="69"/>
      <c r="F50" s="69"/>
      <c r="G50" s="69"/>
      <c r="H50" s="69"/>
      <c r="I50" s="69"/>
      <c r="J50" s="69"/>
      <c r="K50" s="69"/>
      <c r="L50" s="69"/>
      <c r="M50" s="69"/>
      <c r="N50" s="69"/>
      <c r="O50" s="69"/>
    </row>
    <row r="51" spans="1:15" ht="20.25" x14ac:dyDescent="0.25">
      <c r="A51" s="89"/>
      <c r="B51" s="89"/>
      <c r="C51" s="91"/>
      <c r="D51" s="91"/>
      <c r="E51" s="69"/>
      <c r="F51" s="69"/>
      <c r="G51" s="69"/>
      <c r="H51" s="69"/>
      <c r="I51" s="69"/>
      <c r="J51" s="69"/>
      <c r="K51" s="69"/>
      <c r="L51" s="69"/>
      <c r="M51" s="69"/>
      <c r="N51" s="69"/>
      <c r="O51" s="69"/>
    </row>
    <row r="52" spans="1:15" ht="20.25" x14ac:dyDescent="0.25">
      <c r="A52" s="89"/>
      <c r="B52" s="15"/>
      <c r="C52" s="20"/>
      <c r="D52" s="20"/>
    </row>
    <row r="53" spans="1:15" ht="20.25" x14ac:dyDescent="0.25">
      <c r="A53" s="89"/>
      <c r="B53" s="15"/>
      <c r="C53" s="20"/>
      <c r="D53" s="20"/>
    </row>
    <row r="54" spans="1:15" ht="20.25" x14ac:dyDescent="0.25">
      <c r="A54" s="89"/>
      <c r="B54" s="15"/>
      <c r="C54" s="20"/>
      <c r="D54" s="20"/>
    </row>
    <row r="55" spans="1:15" ht="20.25" x14ac:dyDescent="0.25">
      <c r="A55" s="89"/>
      <c r="B55" s="15"/>
      <c r="C55" s="20"/>
      <c r="D55" s="20"/>
    </row>
    <row r="56" spans="1:15" ht="20.25" x14ac:dyDescent="0.25">
      <c r="A56" s="89"/>
      <c r="B56" s="15"/>
      <c r="C56" s="20"/>
      <c r="D56" s="20"/>
    </row>
    <row r="57" spans="1:15" ht="20.25" x14ac:dyDescent="0.25">
      <c r="A57" s="89"/>
      <c r="B57" s="15"/>
      <c r="C57" s="20"/>
      <c r="D57" s="20"/>
    </row>
    <row r="58" spans="1:15" ht="20.25" x14ac:dyDescent="0.25">
      <c r="A58" s="89"/>
      <c r="B58" s="15"/>
      <c r="C58" s="20"/>
      <c r="D58" s="20"/>
    </row>
    <row r="59" spans="1:15" ht="20.25" x14ac:dyDescent="0.25">
      <c r="A59" s="89"/>
      <c r="B59" s="15"/>
      <c r="C59" s="20"/>
      <c r="D59" s="20"/>
    </row>
    <row r="60" spans="1:15" ht="20.25" x14ac:dyDescent="0.25">
      <c r="A60" s="89"/>
      <c r="B60" s="15"/>
      <c r="C60" s="20"/>
      <c r="D60" s="20"/>
    </row>
    <row r="61" spans="1:15" ht="20.25" x14ac:dyDescent="0.25">
      <c r="A61" s="89"/>
      <c r="B61" s="15"/>
      <c r="C61" s="20"/>
      <c r="D61" s="20"/>
    </row>
    <row r="62" spans="1:15" ht="20.25" x14ac:dyDescent="0.25">
      <c r="A62" s="89"/>
      <c r="B62" s="15"/>
      <c r="C62" s="20"/>
      <c r="D62" s="20"/>
    </row>
    <row r="63" spans="1:15" ht="20.25" x14ac:dyDescent="0.25">
      <c r="A63" s="89"/>
      <c r="B63" s="15"/>
      <c r="C63" s="20"/>
      <c r="D63" s="20"/>
    </row>
    <row r="64" spans="1:15" ht="20.25" x14ac:dyDescent="0.25">
      <c r="A64" s="89"/>
      <c r="B64" s="15"/>
      <c r="C64" s="20"/>
      <c r="D64" s="20"/>
    </row>
    <row r="65" spans="1:4" ht="20.25" x14ac:dyDescent="0.25">
      <c r="A65" s="89"/>
      <c r="B65" s="15"/>
      <c r="C65" s="20"/>
      <c r="D65" s="20"/>
    </row>
    <row r="66" spans="1:4" ht="20.25" x14ac:dyDescent="0.25">
      <c r="A66" s="89"/>
      <c r="B66" s="15"/>
      <c r="C66" s="20"/>
      <c r="D66" s="20"/>
    </row>
    <row r="67" spans="1:4" ht="20.25" x14ac:dyDescent="0.25">
      <c r="A67" s="89"/>
      <c r="B67" s="15"/>
      <c r="C67" s="20"/>
      <c r="D67" s="20"/>
    </row>
    <row r="68" spans="1:4" ht="20.25" x14ac:dyDescent="0.25">
      <c r="A68" s="89"/>
      <c r="B68" s="15"/>
      <c r="C68" s="20"/>
      <c r="D68" s="20"/>
    </row>
    <row r="69" spans="1:4" ht="20.25" x14ac:dyDescent="0.25">
      <c r="A69" s="89"/>
      <c r="B69" s="15"/>
      <c r="C69" s="20"/>
      <c r="D69" s="20"/>
    </row>
    <row r="70" spans="1:4" ht="20.25" x14ac:dyDescent="0.25">
      <c r="A70" s="89"/>
      <c r="B70" s="15"/>
      <c r="C70" s="20"/>
      <c r="D70" s="20"/>
    </row>
    <row r="71" spans="1:4" ht="20.25" x14ac:dyDescent="0.25">
      <c r="A71" s="89"/>
      <c r="B71" s="15"/>
      <c r="C71" s="20"/>
      <c r="D71" s="20"/>
    </row>
    <row r="72" spans="1:4" ht="20.25" x14ac:dyDescent="0.25">
      <c r="A72" s="89"/>
      <c r="B72" s="15"/>
      <c r="C72" s="20"/>
      <c r="D72" s="20"/>
    </row>
    <row r="73" spans="1:4" ht="20.25" x14ac:dyDescent="0.25">
      <c r="A73" s="89"/>
      <c r="B73" s="15"/>
      <c r="C73" s="20"/>
      <c r="D73" s="20"/>
    </row>
    <row r="74" spans="1:4" ht="20.25" x14ac:dyDescent="0.25">
      <c r="A74" s="89"/>
      <c r="B74" s="15"/>
      <c r="C74" s="20"/>
      <c r="D74" s="20"/>
    </row>
    <row r="75" spans="1:4" ht="20.25" x14ac:dyDescent="0.25">
      <c r="A75" s="89"/>
      <c r="B75" s="15"/>
      <c r="C75" s="20"/>
      <c r="D75" s="20"/>
    </row>
    <row r="76" spans="1:4" ht="20.25" x14ac:dyDescent="0.25">
      <c r="A76" s="89"/>
      <c r="B76" s="15"/>
      <c r="C76" s="20"/>
      <c r="D76" s="20"/>
    </row>
    <row r="77" spans="1:4" ht="20.25" x14ac:dyDescent="0.25">
      <c r="A77" s="89"/>
      <c r="B77" s="15"/>
      <c r="C77" s="20"/>
      <c r="D77" s="20"/>
    </row>
    <row r="78" spans="1:4" ht="20.25" x14ac:dyDescent="0.25">
      <c r="A78" s="89"/>
      <c r="B78" s="15"/>
      <c r="C78" s="20"/>
      <c r="D78" s="20"/>
    </row>
    <row r="79" spans="1:4" ht="20.25" x14ac:dyDescent="0.25">
      <c r="A79" s="89"/>
      <c r="B79" s="15"/>
      <c r="C79" s="20"/>
      <c r="D79" s="20"/>
    </row>
    <row r="80" spans="1:4" ht="20.25" x14ac:dyDescent="0.25">
      <c r="A80" s="89"/>
      <c r="B80" s="15"/>
      <c r="C80" s="20"/>
      <c r="D80" s="20"/>
    </row>
    <row r="81" spans="1:4" ht="20.25" x14ac:dyDescent="0.25">
      <c r="A81" s="89"/>
      <c r="B81" s="15"/>
      <c r="C81" s="20"/>
      <c r="D81" s="20"/>
    </row>
    <row r="82" spans="1:4" ht="20.25" x14ac:dyDescent="0.25">
      <c r="A82" s="89"/>
      <c r="B82" s="15"/>
      <c r="C82" s="20"/>
      <c r="D82" s="20"/>
    </row>
    <row r="83" spans="1:4" ht="20.25" x14ac:dyDescent="0.25">
      <c r="A83" s="89"/>
      <c r="B83" s="15"/>
      <c r="C83" s="20"/>
      <c r="D83" s="20"/>
    </row>
    <row r="84" spans="1:4" ht="20.25" x14ac:dyDescent="0.25">
      <c r="A84" s="89"/>
      <c r="B84" s="15"/>
      <c r="C84" s="20"/>
      <c r="D84" s="20"/>
    </row>
    <row r="85" spans="1:4" ht="20.25" x14ac:dyDescent="0.25">
      <c r="A85" s="89"/>
      <c r="B85" s="15"/>
      <c r="C85" s="20"/>
      <c r="D85" s="20"/>
    </row>
    <row r="86" spans="1:4" ht="20.25" x14ac:dyDescent="0.25">
      <c r="A86" s="89"/>
      <c r="B86" s="15"/>
      <c r="C86" s="20"/>
      <c r="D86" s="20"/>
    </row>
    <row r="87" spans="1:4" ht="20.25" x14ac:dyDescent="0.25">
      <c r="A87" s="89"/>
      <c r="B87" s="15"/>
      <c r="C87" s="20"/>
      <c r="D87" s="20"/>
    </row>
    <row r="88" spans="1:4" ht="20.25" x14ac:dyDescent="0.25">
      <c r="A88" s="89"/>
      <c r="B88" s="15"/>
      <c r="C88" s="20"/>
      <c r="D88" s="20"/>
    </row>
    <row r="89" spans="1:4" ht="20.25" x14ac:dyDescent="0.25">
      <c r="A89" s="89"/>
      <c r="B89" s="15"/>
      <c r="C89" s="20"/>
      <c r="D89" s="20"/>
    </row>
    <row r="90" spans="1:4" ht="20.25" x14ac:dyDescent="0.25">
      <c r="A90" s="89"/>
      <c r="B90" s="15"/>
      <c r="C90" s="20"/>
      <c r="D90" s="20"/>
    </row>
    <row r="91" spans="1:4" ht="20.25" x14ac:dyDescent="0.25">
      <c r="A91" s="89"/>
      <c r="B91" s="15"/>
      <c r="C91" s="20"/>
      <c r="D91" s="20"/>
    </row>
    <row r="92" spans="1:4" ht="20.25" x14ac:dyDescent="0.25">
      <c r="A92" s="89"/>
      <c r="B92" s="15"/>
      <c r="C92" s="20"/>
      <c r="D92" s="20"/>
    </row>
    <row r="93" spans="1:4" ht="20.25" x14ac:dyDescent="0.25">
      <c r="A93" s="89"/>
      <c r="B93" s="15"/>
      <c r="C93" s="20"/>
      <c r="D93" s="20"/>
    </row>
    <row r="94" spans="1:4" ht="20.25" x14ac:dyDescent="0.25">
      <c r="A94" s="89"/>
      <c r="B94" s="15"/>
      <c r="C94" s="20"/>
      <c r="D94" s="20"/>
    </row>
    <row r="95" spans="1:4" ht="20.25" x14ac:dyDescent="0.25">
      <c r="A95" s="89"/>
      <c r="B95" s="15"/>
      <c r="C95" s="20"/>
      <c r="D95" s="20"/>
    </row>
    <row r="96" spans="1:4" ht="20.25" x14ac:dyDescent="0.25">
      <c r="A96" s="89"/>
      <c r="B96" s="15"/>
      <c r="C96" s="20"/>
      <c r="D96" s="20"/>
    </row>
    <row r="97" spans="1:4" ht="20.25" x14ac:dyDescent="0.25">
      <c r="A97" s="89"/>
      <c r="B97" s="15"/>
      <c r="C97" s="20"/>
      <c r="D97" s="20"/>
    </row>
    <row r="98" spans="1:4" ht="20.25" x14ac:dyDescent="0.25">
      <c r="A98" s="89"/>
      <c r="B98" s="15"/>
      <c r="C98" s="20"/>
      <c r="D98" s="20"/>
    </row>
    <row r="99" spans="1:4" ht="20.25" x14ac:dyDescent="0.25">
      <c r="A99" s="89"/>
      <c r="B99" s="15"/>
      <c r="C99" s="20"/>
      <c r="D99" s="20"/>
    </row>
    <row r="100" spans="1:4" ht="20.25" x14ac:dyDescent="0.25">
      <c r="A100" s="89"/>
      <c r="B100" s="15"/>
      <c r="C100" s="20"/>
      <c r="D100" s="20"/>
    </row>
    <row r="101" spans="1:4" ht="20.25" x14ac:dyDescent="0.25">
      <c r="A101" s="89"/>
      <c r="B101" s="15"/>
      <c r="C101" s="20"/>
      <c r="D101" s="20"/>
    </row>
    <row r="102" spans="1:4" ht="20.25" x14ac:dyDescent="0.25">
      <c r="A102" s="89"/>
      <c r="B102" s="15"/>
      <c r="C102" s="20"/>
      <c r="D102" s="20"/>
    </row>
    <row r="103" spans="1:4" ht="20.25" x14ac:dyDescent="0.25">
      <c r="A103" s="89"/>
      <c r="B103" s="15"/>
      <c r="C103" s="20"/>
      <c r="D103" s="20"/>
    </row>
    <row r="104" spans="1:4" ht="20.25" x14ac:dyDescent="0.25">
      <c r="A104" s="89"/>
      <c r="B104" s="15"/>
      <c r="C104" s="20"/>
      <c r="D104" s="20"/>
    </row>
    <row r="105" spans="1:4" ht="20.25" x14ac:dyDescent="0.25">
      <c r="A105" s="89"/>
      <c r="B105" s="15"/>
      <c r="C105" s="20"/>
      <c r="D105" s="20"/>
    </row>
    <row r="106" spans="1:4" ht="20.25" x14ac:dyDescent="0.25">
      <c r="A106" s="89"/>
      <c r="B106" s="15"/>
      <c r="C106" s="20"/>
      <c r="D106" s="20"/>
    </row>
    <row r="107" spans="1:4" ht="20.25" x14ac:dyDescent="0.25">
      <c r="A107" s="89"/>
      <c r="B107" s="15"/>
      <c r="C107" s="20"/>
      <c r="D107" s="20"/>
    </row>
    <row r="108" spans="1:4" ht="20.25" x14ac:dyDescent="0.25">
      <c r="A108" s="89"/>
      <c r="B108" s="15"/>
      <c r="C108" s="20"/>
      <c r="D108" s="20"/>
    </row>
    <row r="109" spans="1:4" ht="20.25" x14ac:dyDescent="0.25">
      <c r="A109" s="89"/>
      <c r="B109" s="15"/>
      <c r="C109" s="20"/>
      <c r="D109" s="20"/>
    </row>
    <row r="110" spans="1:4" ht="20.25" x14ac:dyDescent="0.25">
      <c r="A110" s="89"/>
      <c r="B110" s="15"/>
      <c r="C110" s="20"/>
      <c r="D110" s="20"/>
    </row>
    <row r="111" spans="1:4" ht="20.25" x14ac:dyDescent="0.25">
      <c r="A111" s="89"/>
      <c r="B111" s="15"/>
      <c r="C111" s="20"/>
      <c r="D111" s="20"/>
    </row>
    <row r="112" spans="1:4" ht="20.25" x14ac:dyDescent="0.25">
      <c r="A112" s="89"/>
      <c r="B112" s="15"/>
      <c r="C112" s="20"/>
      <c r="D112" s="20"/>
    </row>
    <row r="113" spans="1:4" ht="20.25" x14ac:dyDescent="0.25">
      <c r="A113" s="89"/>
      <c r="B113" s="15"/>
      <c r="C113" s="20"/>
      <c r="D113" s="20"/>
    </row>
    <row r="114" spans="1:4" ht="20.25" x14ac:dyDescent="0.25">
      <c r="A114" s="89"/>
      <c r="B114" s="15"/>
      <c r="C114" s="20"/>
      <c r="D114" s="20"/>
    </row>
    <row r="115" spans="1:4" ht="20.25" x14ac:dyDescent="0.25">
      <c r="A115" s="89"/>
      <c r="B115" s="15"/>
      <c r="C115" s="20"/>
      <c r="D115" s="20"/>
    </row>
    <row r="116" spans="1:4" ht="20.25" x14ac:dyDescent="0.25">
      <c r="A116" s="89"/>
      <c r="B116" s="15"/>
      <c r="C116" s="20"/>
      <c r="D116" s="20"/>
    </row>
    <row r="117" spans="1:4" ht="20.25" x14ac:dyDescent="0.25">
      <c r="A117" s="89"/>
      <c r="B117" s="15"/>
      <c r="C117" s="20"/>
      <c r="D117" s="20"/>
    </row>
    <row r="118" spans="1:4" ht="20.25" x14ac:dyDescent="0.25">
      <c r="A118" s="89"/>
      <c r="B118" s="15"/>
      <c r="C118" s="20"/>
      <c r="D118" s="20"/>
    </row>
    <row r="119" spans="1:4" ht="20.25" x14ac:dyDescent="0.25">
      <c r="A119" s="89"/>
      <c r="B119" s="15"/>
      <c r="C119" s="20"/>
      <c r="D119" s="20"/>
    </row>
    <row r="120" spans="1:4" ht="20.25" x14ac:dyDescent="0.25">
      <c r="A120" s="89"/>
      <c r="B120" s="15"/>
      <c r="C120" s="20"/>
      <c r="D120" s="20"/>
    </row>
    <row r="121" spans="1:4" ht="20.25" x14ac:dyDescent="0.25">
      <c r="A121" s="89"/>
      <c r="B121" s="15"/>
      <c r="C121" s="20"/>
      <c r="D121" s="20"/>
    </row>
    <row r="122" spans="1:4" ht="20.25" x14ac:dyDescent="0.25">
      <c r="A122" s="89"/>
      <c r="B122" s="15"/>
      <c r="C122" s="20"/>
      <c r="D122" s="20"/>
    </row>
    <row r="123" spans="1:4" ht="20.25" x14ac:dyDescent="0.25">
      <c r="A123" s="89"/>
      <c r="B123" s="15"/>
      <c r="C123" s="20"/>
      <c r="D123" s="20"/>
    </row>
    <row r="124" spans="1:4" ht="20.25" x14ac:dyDescent="0.25">
      <c r="A124" s="89"/>
      <c r="B124" s="15"/>
      <c r="C124" s="20"/>
      <c r="D124" s="20"/>
    </row>
    <row r="125" spans="1:4" ht="20.25" x14ac:dyDescent="0.25">
      <c r="A125" s="89"/>
      <c r="B125" s="15"/>
      <c r="C125" s="20"/>
      <c r="D125" s="20"/>
    </row>
    <row r="126" spans="1:4" ht="20.25" x14ac:dyDescent="0.25">
      <c r="A126" s="89"/>
      <c r="B126" s="15"/>
      <c r="C126" s="20"/>
      <c r="D126" s="20"/>
    </row>
    <row r="127" spans="1:4" ht="20.25" x14ac:dyDescent="0.25">
      <c r="A127" s="89"/>
      <c r="B127" s="15"/>
      <c r="C127" s="20"/>
      <c r="D127" s="20"/>
    </row>
    <row r="128" spans="1:4" ht="20.25" x14ac:dyDescent="0.25">
      <c r="A128" s="89"/>
      <c r="B128" s="15"/>
      <c r="C128" s="20"/>
      <c r="D128" s="20"/>
    </row>
    <row r="129" spans="1:4" ht="20.25" x14ac:dyDescent="0.25">
      <c r="A129" s="89"/>
      <c r="B129" s="15"/>
      <c r="C129" s="20"/>
      <c r="D129" s="20"/>
    </row>
    <row r="130" spans="1:4" ht="20.25" x14ac:dyDescent="0.25">
      <c r="A130" s="89"/>
      <c r="B130" s="15"/>
      <c r="C130" s="20"/>
      <c r="D130" s="20"/>
    </row>
    <row r="131" spans="1:4" ht="20.25" x14ac:dyDescent="0.25">
      <c r="A131" s="89"/>
      <c r="B131" s="15"/>
      <c r="C131" s="20"/>
      <c r="D131" s="20"/>
    </row>
    <row r="132" spans="1:4" ht="20.25" x14ac:dyDescent="0.25">
      <c r="A132" s="89"/>
      <c r="B132" s="15"/>
      <c r="C132" s="20"/>
      <c r="D132" s="20"/>
    </row>
    <row r="133" spans="1:4" ht="20.25" x14ac:dyDescent="0.25">
      <c r="A133" s="89"/>
      <c r="B133" s="15"/>
      <c r="C133" s="20"/>
      <c r="D133" s="20"/>
    </row>
    <row r="134" spans="1:4" ht="20.25" x14ac:dyDescent="0.25">
      <c r="A134" s="89"/>
      <c r="B134" s="15"/>
      <c r="C134" s="20"/>
      <c r="D134" s="20"/>
    </row>
    <row r="135" spans="1:4" ht="20.25" x14ac:dyDescent="0.25">
      <c r="A135" s="89"/>
      <c r="B135" s="15"/>
      <c r="C135" s="20"/>
      <c r="D135" s="20"/>
    </row>
    <row r="136" spans="1:4" ht="20.25" x14ac:dyDescent="0.25">
      <c r="A136" s="89"/>
      <c r="B136" s="15"/>
      <c r="C136" s="20"/>
      <c r="D136" s="20"/>
    </row>
    <row r="137" spans="1:4" ht="20.25" x14ac:dyDescent="0.25">
      <c r="A137" s="89"/>
      <c r="B137" s="15"/>
      <c r="C137" s="20"/>
      <c r="D137" s="20"/>
    </row>
    <row r="138" spans="1:4" ht="20.25" x14ac:dyDescent="0.25">
      <c r="A138" s="89"/>
      <c r="B138" s="15"/>
      <c r="C138" s="20"/>
      <c r="D138" s="20"/>
    </row>
    <row r="139" spans="1:4" ht="20.25" x14ac:dyDescent="0.25">
      <c r="A139" s="89"/>
      <c r="B139" s="15"/>
      <c r="C139" s="20"/>
      <c r="D139" s="20"/>
    </row>
    <row r="140" spans="1:4" ht="20.25" x14ac:dyDescent="0.25">
      <c r="A140" s="89"/>
      <c r="B140" s="15"/>
      <c r="C140" s="20"/>
      <c r="D140" s="20"/>
    </row>
    <row r="141" spans="1:4" ht="20.25" x14ac:dyDescent="0.25">
      <c r="A141" s="89"/>
      <c r="B141" s="15"/>
      <c r="C141" s="20"/>
      <c r="D141" s="20"/>
    </row>
    <row r="142" spans="1:4" ht="20.25" x14ac:dyDescent="0.25">
      <c r="A142" s="89"/>
      <c r="B142" s="15"/>
      <c r="C142" s="20"/>
      <c r="D142" s="20"/>
    </row>
    <row r="143" spans="1:4" ht="20.25" x14ac:dyDescent="0.25">
      <c r="A143" s="89"/>
      <c r="B143" s="15"/>
      <c r="C143" s="20"/>
      <c r="D143" s="20"/>
    </row>
    <row r="144" spans="1:4" ht="20.25" x14ac:dyDescent="0.25">
      <c r="A144" s="89"/>
      <c r="B144" s="15"/>
      <c r="C144" s="20"/>
      <c r="D144" s="20"/>
    </row>
    <row r="145" spans="1:4" ht="20.25" x14ac:dyDescent="0.25">
      <c r="A145" s="89"/>
      <c r="B145" s="15"/>
      <c r="C145" s="20"/>
      <c r="D145" s="20"/>
    </row>
    <row r="146" spans="1:4" ht="20.25" x14ac:dyDescent="0.25">
      <c r="A146" s="89"/>
      <c r="B146" s="15"/>
      <c r="C146" s="20"/>
      <c r="D146" s="20"/>
    </row>
    <row r="147" spans="1:4" ht="20.25" x14ac:dyDescent="0.25">
      <c r="A147" s="89"/>
      <c r="B147" s="15"/>
      <c r="C147" s="20"/>
      <c r="D147" s="20"/>
    </row>
    <row r="148" spans="1:4" ht="20.25" x14ac:dyDescent="0.25">
      <c r="A148" s="89"/>
      <c r="B148" s="15"/>
      <c r="C148" s="20"/>
      <c r="D148" s="20"/>
    </row>
    <row r="149" spans="1:4" ht="20.25" x14ac:dyDescent="0.25">
      <c r="A149" s="89"/>
      <c r="B149" s="15"/>
      <c r="C149" s="20"/>
      <c r="D149" s="20"/>
    </row>
    <row r="150" spans="1:4" ht="20.25" x14ac:dyDescent="0.25">
      <c r="A150" s="89"/>
      <c r="B150" s="15"/>
      <c r="C150" s="20"/>
      <c r="D150" s="20"/>
    </row>
    <row r="151" spans="1:4" ht="20.25" x14ac:dyDescent="0.25">
      <c r="A151" s="89"/>
      <c r="B151" s="15"/>
      <c r="C151" s="20"/>
      <c r="D151" s="20"/>
    </row>
    <row r="152" spans="1:4" ht="20.25" x14ac:dyDescent="0.25">
      <c r="A152" s="89"/>
      <c r="B152" s="15"/>
      <c r="C152" s="20"/>
      <c r="D152" s="20"/>
    </row>
    <row r="153" spans="1:4" ht="20.25" x14ac:dyDescent="0.25">
      <c r="A153" s="89"/>
      <c r="B153" s="15"/>
      <c r="C153" s="20"/>
      <c r="D153" s="20"/>
    </row>
    <row r="154" spans="1:4" ht="20.25" x14ac:dyDescent="0.25">
      <c r="A154" s="89"/>
      <c r="B154" s="15"/>
      <c r="C154" s="20"/>
      <c r="D154" s="20"/>
    </row>
    <row r="155" spans="1:4" ht="20.25" x14ac:dyDescent="0.25">
      <c r="A155" s="89"/>
      <c r="B155" s="15"/>
      <c r="C155" s="20"/>
      <c r="D155" s="20"/>
    </row>
    <row r="156" spans="1:4" ht="20.25" x14ac:dyDescent="0.25">
      <c r="A156" s="89"/>
      <c r="B156" s="15"/>
      <c r="C156" s="20"/>
      <c r="D156" s="20"/>
    </row>
    <row r="157" spans="1:4" ht="20.25" x14ac:dyDescent="0.25">
      <c r="A157" s="89"/>
      <c r="B157" s="15"/>
      <c r="C157" s="20"/>
      <c r="D157" s="20"/>
    </row>
    <row r="158" spans="1:4" ht="20.25" x14ac:dyDescent="0.25">
      <c r="A158" s="89"/>
      <c r="B158" s="15"/>
      <c r="C158" s="20"/>
      <c r="D158" s="20"/>
    </row>
    <row r="159" spans="1:4" ht="20.25" x14ac:dyDescent="0.25">
      <c r="A159" s="89"/>
      <c r="B159" s="15"/>
      <c r="C159" s="20"/>
      <c r="D159" s="20"/>
    </row>
    <row r="160" spans="1:4" ht="20.25" x14ac:dyDescent="0.25">
      <c r="A160" s="89"/>
      <c r="B160" s="15"/>
      <c r="C160" s="20"/>
      <c r="D160" s="20"/>
    </row>
    <row r="161" spans="1:4" ht="20.25" x14ac:dyDescent="0.25">
      <c r="A161" s="89"/>
      <c r="B161" s="15"/>
      <c r="C161" s="20"/>
      <c r="D161" s="20"/>
    </row>
    <row r="162" spans="1:4" ht="20.25" x14ac:dyDescent="0.25">
      <c r="A162" s="89"/>
      <c r="B162" s="15"/>
      <c r="C162" s="20"/>
      <c r="D162" s="20"/>
    </row>
    <row r="163" spans="1:4" ht="20.25" x14ac:dyDescent="0.25">
      <c r="A163" s="89"/>
      <c r="B163" s="15"/>
      <c r="C163" s="20"/>
      <c r="D163" s="20"/>
    </row>
    <row r="164" spans="1:4" ht="20.25" x14ac:dyDescent="0.25">
      <c r="A164" s="89"/>
      <c r="B164" s="15"/>
      <c r="C164" s="20"/>
      <c r="D164" s="20"/>
    </row>
    <row r="165" spans="1:4" ht="20.25" x14ac:dyDescent="0.25">
      <c r="A165" s="89"/>
      <c r="B165" s="15"/>
      <c r="C165" s="20"/>
      <c r="D165" s="20"/>
    </row>
    <row r="166" spans="1:4" ht="20.25" x14ac:dyDescent="0.25">
      <c r="A166" s="89"/>
      <c r="B166" s="15"/>
      <c r="C166" s="20"/>
      <c r="D166" s="20"/>
    </row>
    <row r="167" spans="1:4" ht="20.25" x14ac:dyDescent="0.25">
      <c r="A167" s="89"/>
      <c r="B167" s="15"/>
      <c r="C167" s="20"/>
      <c r="D167" s="20"/>
    </row>
    <row r="168" spans="1:4" ht="20.25" x14ac:dyDescent="0.25">
      <c r="A168" s="89"/>
      <c r="B168" s="15"/>
      <c r="C168" s="20"/>
      <c r="D168" s="20"/>
    </row>
    <row r="169" spans="1:4" ht="20.25" x14ac:dyDescent="0.25">
      <c r="A169" s="89"/>
      <c r="B169" s="15"/>
      <c r="C169" s="20"/>
      <c r="D169" s="20"/>
    </row>
    <row r="170" spans="1:4" ht="20.25" x14ac:dyDescent="0.25">
      <c r="A170" s="89"/>
      <c r="B170" s="15"/>
      <c r="C170" s="20"/>
      <c r="D170" s="20"/>
    </row>
    <row r="171" spans="1:4" ht="20.25" x14ac:dyDescent="0.25">
      <c r="A171" s="89"/>
      <c r="B171" s="15"/>
      <c r="C171" s="20"/>
      <c r="D171" s="20"/>
    </row>
    <row r="172" spans="1:4" ht="20.25" x14ac:dyDescent="0.25">
      <c r="A172" s="89"/>
      <c r="B172" s="15"/>
      <c r="C172" s="20"/>
      <c r="D172" s="20"/>
    </row>
    <row r="173" spans="1:4" ht="20.25" x14ac:dyDescent="0.25">
      <c r="A173" s="89"/>
      <c r="B173" s="15"/>
      <c r="C173" s="20"/>
      <c r="D173" s="20"/>
    </row>
    <row r="174" spans="1:4" ht="20.25" x14ac:dyDescent="0.25">
      <c r="A174" s="89"/>
      <c r="B174" s="15"/>
      <c r="C174" s="20"/>
      <c r="D174" s="20"/>
    </row>
    <row r="175" spans="1:4" ht="20.25" x14ac:dyDescent="0.25">
      <c r="A175" s="89"/>
      <c r="B175" s="15"/>
      <c r="C175" s="20"/>
      <c r="D175" s="20"/>
    </row>
    <row r="176" spans="1:4" ht="20.25" x14ac:dyDescent="0.25">
      <c r="A176" s="89"/>
      <c r="B176" s="15"/>
      <c r="C176" s="20"/>
      <c r="D176" s="20"/>
    </row>
    <row r="177" spans="1:4" ht="20.25" x14ac:dyDescent="0.25">
      <c r="A177" s="89"/>
      <c r="B177" s="15"/>
      <c r="C177" s="20"/>
      <c r="D177" s="20"/>
    </row>
    <row r="178" spans="1:4" ht="20.25" x14ac:dyDescent="0.25">
      <c r="A178" s="89"/>
      <c r="B178" s="15"/>
      <c r="C178" s="20"/>
      <c r="D178" s="20"/>
    </row>
    <row r="179" spans="1:4" ht="20.25" x14ac:dyDescent="0.25">
      <c r="A179" s="89"/>
      <c r="B179" s="15"/>
      <c r="C179" s="20"/>
      <c r="D179" s="20"/>
    </row>
    <row r="180" spans="1:4" ht="20.25" x14ac:dyDescent="0.25">
      <c r="A180" s="89"/>
      <c r="B180" s="15"/>
      <c r="C180" s="20"/>
      <c r="D180" s="20"/>
    </row>
    <row r="181" spans="1:4" ht="20.25" x14ac:dyDescent="0.25">
      <c r="A181" s="89"/>
      <c r="B181" s="15"/>
      <c r="C181" s="20"/>
      <c r="D181" s="20"/>
    </row>
    <row r="182" spans="1:4" ht="20.25" x14ac:dyDescent="0.25">
      <c r="A182" s="89"/>
      <c r="B182" s="15"/>
      <c r="C182" s="20"/>
      <c r="D182" s="20"/>
    </row>
    <row r="183" spans="1:4" ht="20.25" x14ac:dyDescent="0.25">
      <c r="A183" s="89"/>
      <c r="B183" s="15"/>
      <c r="C183" s="20"/>
      <c r="D183" s="20"/>
    </row>
    <row r="184" spans="1:4" ht="20.25" x14ac:dyDescent="0.25">
      <c r="A184" s="89"/>
      <c r="B184" s="15"/>
      <c r="C184" s="20"/>
      <c r="D184" s="20"/>
    </row>
    <row r="185" spans="1:4" ht="20.25" x14ac:dyDescent="0.25">
      <c r="A185" s="89"/>
      <c r="B185" s="15"/>
      <c r="C185" s="20"/>
      <c r="D185" s="20"/>
    </row>
    <row r="186" spans="1:4" ht="20.25" x14ac:dyDescent="0.25">
      <c r="A186" s="89"/>
      <c r="B186" s="15"/>
      <c r="C186" s="20"/>
      <c r="D186" s="20"/>
    </row>
    <row r="187" spans="1:4" ht="20.25" x14ac:dyDescent="0.25">
      <c r="A187" s="89"/>
      <c r="B187" s="15"/>
      <c r="C187" s="20"/>
      <c r="D187" s="20"/>
    </row>
    <row r="188" spans="1:4" ht="20.25" x14ac:dyDescent="0.25">
      <c r="A188" s="89"/>
      <c r="B188" s="15"/>
      <c r="C188" s="20"/>
      <c r="D188" s="20"/>
    </row>
    <row r="189" spans="1:4" ht="20.25" x14ac:dyDescent="0.25">
      <c r="A189" s="89"/>
      <c r="B189" s="15"/>
      <c r="C189" s="20"/>
      <c r="D189" s="20"/>
    </row>
    <row r="190" spans="1:4" ht="20.25" x14ac:dyDescent="0.25">
      <c r="A190" s="89"/>
      <c r="B190" s="15"/>
      <c r="C190" s="20"/>
      <c r="D190" s="20"/>
    </row>
    <row r="191" spans="1:4" ht="20.25" x14ac:dyDescent="0.25">
      <c r="A191" s="89"/>
      <c r="B191" s="15"/>
      <c r="C191" s="20"/>
      <c r="D191" s="20"/>
    </row>
    <row r="192" spans="1:4" ht="20.25" x14ac:dyDescent="0.25">
      <c r="A192" s="89"/>
      <c r="B192" s="15"/>
      <c r="C192" s="20"/>
      <c r="D192" s="20"/>
    </row>
    <row r="193" spans="1:4" ht="20.25" x14ac:dyDescent="0.25">
      <c r="A193" s="89"/>
      <c r="B193" s="15"/>
      <c r="C193" s="20"/>
      <c r="D193" s="20"/>
    </row>
    <row r="194" spans="1:4" ht="20.25" x14ac:dyDescent="0.25">
      <c r="A194" s="89"/>
      <c r="B194" s="15"/>
      <c r="C194" s="20"/>
      <c r="D194" s="20"/>
    </row>
    <row r="195" spans="1:4" ht="20.25" x14ac:dyDescent="0.25">
      <c r="A195" s="89"/>
      <c r="B195" s="15"/>
      <c r="C195" s="20"/>
      <c r="D195" s="20"/>
    </row>
    <row r="196" spans="1:4" ht="20.25" x14ac:dyDescent="0.25">
      <c r="A196" s="89"/>
      <c r="B196" s="15"/>
      <c r="C196" s="20"/>
      <c r="D196" s="20"/>
    </row>
    <row r="197" spans="1:4" ht="20.25" x14ac:dyDescent="0.25">
      <c r="A197" s="89"/>
      <c r="B197" s="15"/>
      <c r="C197" s="20"/>
      <c r="D197" s="20"/>
    </row>
    <row r="198" spans="1:4" ht="20.25" x14ac:dyDescent="0.25">
      <c r="A198" s="89"/>
      <c r="B198" s="15"/>
      <c r="C198" s="20"/>
      <c r="D198" s="20"/>
    </row>
    <row r="199" spans="1:4" ht="20.25" x14ac:dyDescent="0.25">
      <c r="A199" s="89"/>
      <c r="B199" s="15"/>
      <c r="C199" s="20"/>
      <c r="D199" s="20"/>
    </row>
    <row r="200" spans="1:4" ht="20.25" x14ac:dyDescent="0.25">
      <c r="A200" s="89"/>
      <c r="B200" s="15"/>
      <c r="C200" s="20"/>
      <c r="D200" s="20"/>
    </row>
    <row r="201" spans="1:4" ht="20.25" x14ac:dyDescent="0.25">
      <c r="A201" s="89"/>
      <c r="B201" s="15"/>
      <c r="C201" s="20"/>
      <c r="D201" s="20"/>
    </row>
    <row r="202" spans="1:4" ht="20.25" x14ac:dyDescent="0.25">
      <c r="A202" s="89"/>
      <c r="B202" s="15"/>
      <c r="C202" s="20"/>
      <c r="D202" s="20"/>
    </row>
    <row r="203" spans="1:4" ht="20.25" x14ac:dyDescent="0.25">
      <c r="A203" s="89"/>
      <c r="B203" s="15"/>
      <c r="C203" s="20"/>
      <c r="D203" s="20"/>
    </row>
    <row r="204" spans="1:4" ht="20.25" x14ac:dyDescent="0.25">
      <c r="A204" s="89"/>
      <c r="B204" s="15"/>
      <c r="C204" s="20"/>
      <c r="D204" s="20"/>
    </row>
    <row r="205" spans="1:4" ht="20.25" x14ac:dyDescent="0.25">
      <c r="A205" s="89"/>
      <c r="B205" s="15"/>
      <c r="C205" s="20"/>
      <c r="D205" s="20"/>
    </row>
    <row r="206" spans="1:4" ht="20.25" x14ac:dyDescent="0.25">
      <c r="A206" s="89"/>
      <c r="B206" s="15"/>
      <c r="C206" s="20"/>
      <c r="D206" s="20"/>
    </row>
    <row r="207" spans="1:4" ht="20.25" x14ac:dyDescent="0.25">
      <c r="A207" s="89"/>
      <c r="B207" s="15"/>
      <c r="C207" s="20"/>
      <c r="D207" s="20"/>
    </row>
    <row r="208" spans="1:4" x14ac:dyDescent="0.25">
      <c r="A208" s="69"/>
      <c r="B208" s="15"/>
      <c r="C208" s="15"/>
      <c r="D208" s="15"/>
    </row>
    <row r="209" spans="1:8" ht="20.25" x14ac:dyDescent="0.25">
      <c r="A209" s="69"/>
      <c r="B209" s="16" t="s">
        <v>86</v>
      </c>
      <c r="C209" s="16" t="s">
        <v>141</v>
      </c>
      <c r="D209" s="19" t="s">
        <v>86</v>
      </c>
      <c r="E209" s="19" t="s">
        <v>141</v>
      </c>
    </row>
    <row r="210" spans="1:8" ht="21" x14ac:dyDescent="0.35">
      <c r="A210" s="69"/>
      <c r="B210" s="17" t="s">
        <v>88</v>
      </c>
      <c r="C210" s="17" t="s">
        <v>56</v>
      </c>
      <c r="D210" t="s">
        <v>88</v>
      </c>
      <c r="F210" t="str">
        <f>IF(NOT(ISBLANK(D210)),D210,IF(NOT(ISBLANK(E210)),"     "&amp;E210,FALSE))</f>
        <v>Afectación Económica o presupuestal</v>
      </c>
      <c r="G210" t="s">
        <v>88</v>
      </c>
      <c r="H210" t="str">
        <f>IF(NOT(ISERROR(MATCH(G210,_xlfn.ANCHORARRAY(B221),0))),F223&amp;"Por favor no seleccionar los criterios de impacto",G210)</f>
        <v>❌Por favor no seleccionar los criterios de impacto</v>
      </c>
    </row>
    <row r="211" spans="1:8" ht="21" x14ac:dyDescent="0.35">
      <c r="A211" s="69"/>
      <c r="B211" s="17" t="s">
        <v>88</v>
      </c>
      <c r="C211" s="17" t="s">
        <v>91</v>
      </c>
      <c r="E211" t="s">
        <v>56</v>
      </c>
      <c r="F211" t="str">
        <f t="shared" ref="F211:F221" si="0">IF(NOT(ISBLANK(D211)),D211,IF(NOT(ISBLANK(E211)),"     "&amp;E211,FALSE))</f>
        <v xml:space="preserve">     Afectación menor a 10 SMLMV .</v>
      </c>
    </row>
    <row r="212" spans="1:8" ht="21" x14ac:dyDescent="0.35">
      <c r="A212" s="69"/>
      <c r="B212" s="17" t="s">
        <v>88</v>
      </c>
      <c r="C212" s="17" t="s">
        <v>92</v>
      </c>
      <c r="E212" t="s">
        <v>91</v>
      </c>
      <c r="F212" t="str">
        <f t="shared" si="0"/>
        <v xml:space="preserve">     Entre 10 y 50 SMLMV </v>
      </c>
    </row>
    <row r="213" spans="1:8" ht="21" x14ac:dyDescent="0.35">
      <c r="A213" s="69"/>
      <c r="B213" s="17" t="s">
        <v>88</v>
      </c>
      <c r="C213" s="17" t="s">
        <v>93</v>
      </c>
      <c r="E213" t="s">
        <v>92</v>
      </c>
      <c r="F213" t="str">
        <f t="shared" si="0"/>
        <v xml:space="preserve">     Entre 50 y 100 SMLMV </v>
      </c>
    </row>
    <row r="214" spans="1:8" ht="21" x14ac:dyDescent="0.35">
      <c r="A214" s="69"/>
      <c r="B214" s="17" t="s">
        <v>88</v>
      </c>
      <c r="C214" s="17" t="s">
        <v>94</v>
      </c>
      <c r="E214" t="s">
        <v>93</v>
      </c>
      <c r="F214" t="str">
        <f t="shared" si="0"/>
        <v xml:space="preserve">     Entre 100 y 500 SMLMV </v>
      </c>
    </row>
    <row r="215" spans="1:8" ht="21" x14ac:dyDescent="0.35">
      <c r="A215" s="69"/>
      <c r="B215" s="17" t="s">
        <v>55</v>
      </c>
      <c r="C215" s="17" t="s">
        <v>95</v>
      </c>
      <c r="E215" t="s">
        <v>94</v>
      </c>
      <c r="F215" t="str">
        <f t="shared" si="0"/>
        <v xml:space="preserve">     Mayor a 500 SMLMV </v>
      </c>
    </row>
    <row r="216" spans="1:8" ht="21" x14ac:dyDescent="0.35">
      <c r="A216" s="69"/>
      <c r="B216" s="17" t="s">
        <v>55</v>
      </c>
      <c r="C216" s="17" t="s">
        <v>96</v>
      </c>
      <c r="D216" t="s">
        <v>55</v>
      </c>
      <c r="F216" t="str">
        <f t="shared" si="0"/>
        <v>Pérdida Reputacional</v>
      </c>
    </row>
    <row r="217" spans="1:8" ht="21" x14ac:dyDescent="0.35">
      <c r="A217" s="69"/>
      <c r="B217" s="17" t="s">
        <v>55</v>
      </c>
      <c r="C217" s="17" t="s">
        <v>98</v>
      </c>
      <c r="E217" t="s">
        <v>95</v>
      </c>
      <c r="F217" t="str">
        <f t="shared" si="0"/>
        <v xml:space="preserve">     El riesgo afecta la imagen de alguna área de la organización</v>
      </c>
    </row>
    <row r="218" spans="1:8" ht="21" x14ac:dyDescent="0.35">
      <c r="A218" s="69"/>
      <c r="B218" s="17" t="s">
        <v>55</v>
      </c>
      <c r="C218" s="17" t="s">
        <v>97</v>
      </c>
      <c r="E218" t="s">
        <v>96</v>
      </c>
      <c r="F218" t="str">
        <f t="shared" si="0"/>
        <v xml:space="preserve">     El riesgo afecta la imagen de la entidad internamente, de conocimiento general, nivel interno, de junta dircetiva y accionistas y/o de provedores</v>
      </c>
    </row>
    <row r="219" spans="1:8" ht="21" x14ac:dyDescent="0.35">
      <c r="A219" s="69"/>
      <c r="B219" s="17" t="s">
        <v>55</v>
      </c>
      <c r="C219" s="17" t="s">
        <v>116</v>
      </c>
      <c r="E219" t="s">
        <v>98</v>
      </c>
      <c r="F219" t="str">
        <f t="shared" si="0"/>
        <v xml:space="preserve">     El riesgo afecta la imagen de la entidad con algunos usuarios de relevancia frente al logro de los objetivos</v>
      </c>
    </row>
    <row r="220" spans="1:8" x14ac:dyDescent="0.25">
      <c r="A220" s="69"/>
      <c r="B220" s="18"/>
      <c r="C220" s="18"/>
      <c r="E220" t="s">
        <v>97</v>
      </c>
      <c r="F220" t="str">
        <f t="shared" si="0"/>
        <v xml:space="preserve">     El riesgo afecta la imagen de de la entidad con efecto publicitario sostenido a nivel de sector administrativo, nivel departamental o municipal</v>
      </c>
    </row>
    <row r="221" spans="1:8" x14ac:dyDescent="0.25">
      <c r="A221" s="69"/>
      <c r="B221" s="18" t="str" cm="1">
        <f t="array" ref="B221:B223">_xlfn.UNIQUE(Tabla1[[#All],[Criterios]])</f>
        <v>Criterios</v>
      </c>
      <c r="C221" s="18"/>
      <c r="E221" t="s">
        <v>116</v>
      </c>
      <c r="F221" t="str">
        <f t="shared" si="0"/>
        <v xml:space="preserve">     El riesgo afecta la imagen de la entidad a nivel nacional, con efecto publicitarios sostenible a nivel país</v>
      </c>
    </row>
    <row r="222" spans="1:8" x14ac:dyDescent="0.25">
      <c r="A222" s="69"/>
      <c r="B222" s="18" t="str">
        <v>Afectación Económica o presupuestal</v>
      </c>
      <c r="C222" s="18"/>
    </row>
    <row r="223" spans="1:8" x14ac:dyDescent="0.25">
      <c r="B223" s="18" t="str">
        <v>Pérdida Reputacional</v>
      </c>
      <c r="C223" s="18"/>
      <c r="F223" s="21" t="s">
        <v>143</v>
      </c>
    </row>
    <row r="224" spans="1:8" x14ac:dyDescent="0.25">
      <c r="B224" s="14"/>
      <c r="C224" s="14"/>
      <c r="F224" s="21" t="s">
        <v>144</v>
      </c>
    </row>
    <row r="225" spans="2:4" x14ac:dyDescent="0.25">
      <c r="B225" s="14"/>
      <c r="C225" s="14"/>
    </row>
    <row r="226" spans="2:4" x14ac:dyDescent="0.25">
      <c r="B226" s="14"/>
      <c r="C226" s="14"/>
    </row>
    <row r="227" spans="2:4" x14ac:dyDescent="0.25">
      <c r="B227" s="14"/>
      <c r="C227" s="14"/>
      <c r="D227" s="14"/>
    </row>
    <row r="228" spans="2:4" x14ac:dyDescent="0.25">
      <c r="B228" s="14"/>
      <c r="C228" s="14"/>
      <c r="D228" s="14"/>
    </row>
    <row r="229" spans="2:4" x14ac:dyDescent="0.25">
      <c r="B229" s="14"/>
      <c r="C229" s="14"/>
      <c r="D229" s="14"/>
    </row>
    <row r="230" spans="2:4" x14ac:dyDescent="0.25">
      <c r="B230" s="14"/>
      <c r="C230" s="14"/>
      <c r="D230" s="14"/>
    </row>
    <row r="231" spans="2:4" x14ac:dyDescent="0.25">
      <c r="B231" s="14"/>
      <c r="C231" s="14"/>
      <c r="D231" s="14"/>
    </row>
    <row r="232" spans="2:4" x14ac:dyDescent="0.25">
      <c r="B232" s="14"/>
      <c r="C232" s="14"/>
      <c r="D232" s="14"/>
    </row>
  </sheetData>
  <mergeCells count="1">
    <mergeCell ref="B1:D1"/>
  </mergeCells>
  <dataValidations disablePrompts="1" count="1">
    <dataValidation type="list" allowBlank="1" showInputMessage="1" showErrorMessage="1" sqref="G210" xr:uid="{00000000-0002-0000-0500-000000000000}">
      <formula1>$F$210:$F$221</formula1>
    </dataValidation>
  </dataValidations>
  <pageMargins left="0.7" right="0.7" top="0.75" bottom="0.75" header="0.3" footer="0.3"/>
  <pageSetup orientation="portrait"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249977111117893"/>
  </sheetPr>
  <dimension ref="B1:F16"/>
  <sheetViews>
    <sheetView workbookViewId="0">
      <selection activeCell="F9" sqref="F9"/>
    </sheetView>
  </sheetViews>
  <sheetFormatPr baseColWidth="10" defaultColWidth="14.28515625" defaultRowHeight="12.75" x14ac:dyDescent="0.2"/>
  <cols>
    <col min="1" max="2" width="14.28515625" style="74" collapsed="1"/>
    <col min="3" max="3" width="17" style="74" customWidth="1" collapsed="1"/>
    <col min="4" max="4" width="14.28515625" style="74" collapsed="1"/>
    <col min="5" max="5" width="46" style="74" customWidth="1" collapsed="1"/>
    <col min="6" max="16384" width="14.28515625" style="74" collapsed="1"/>
  </cols>
  <sheetData>
    <row r="1" spans="2:6" ht="24" customHeight="1" thickBot="1" x14ac:dyDescent="0.25">
      <c r="B1" s="396" t="s">
        <v>76</v>
      </c>
      <c r="C1" s="397"/>
      <c r="D1" s="397"/>
      <c r="E1" s="397"/>
      <c r="F1" s="398"/>
    </row>
    <row r="2" spans="2:6" ht="16.5" thickBot="1" x14ac:dyDescent="0.3">
      <c r="B2" s="75"/>
      <c r="C2" s="75"/>
      <c r="D2" s="75"/>
      <c r="E2" s="75"/>
      <c r="F2" s="75"/>
    </row>
    <row r="3" spans="2:6" ht="16.5" thickBot="1" x14ac:dyDescent="0.25">
      <c r="B3" s="400" t="s">
        <v>62</v>
      </c>
      <c r="C3" s="401"/>
      <c r="D3" s="401"/>
      <c r="E3" s="87" t="s">
        <v>63</v>
      </c>
      <c r="F3" s="88" t="s">
        <v>64</v>
      </c>
    </row>
    <row r="4" spans="2:6" ht="31.5" x14ac:dyDescent="0.2">
      <c r="B4" s="402" t="s">
        <v>65</v>
      </c>
      <c r="C4" s="404" t="s">
        <v>13</v>
      </c>
      <c r="D4" s="76" t="s">
        <v>14</v>
      </c>
      <c r="E4" s="77" t="s">
        <v>66</v>
      </c>
      <c r="F4" s="78">
        <v>0.25</v>
      </c>
    </row>
    <row r="5" spans="2:6" ht="47.25" x14ac:dyDescent="0.2">
      <c r="B5" s="403"/>
      <c r="C5" s="405"/>
      <c r="D5" s="79" t="s">
        <v>15</v>
      </c>
      <c r="E5" s="80" t="s">
        <v>67</v>
      </c>
      <c r="F5" s="81">
        <v>0.15</v>
      </c>
    </row>
    <row r="6" spans="2:6" ht="47.25" x14ac:dyDescent="0.2">
      <c r="B6" s="403"/>
      <c r="C6" s="405"/>
      <c r="D6" s="79" t="s">
        <v>16</v>
      </c>
      <c r="E6" s="80" t="s">
        <v>68</v>
      </c>
      <c r="F6" s="81">
        <v>0.1</v>
      </c>
    </row>
    <row r="7" spans="2:6" ht="63" x14ac:dyDescent="0.2">
      <c r="B7" s="403"/>
      <c r="C7" s="405" t="s">
        <v>17</v>
      </c>
      <c r="D7" s="79" t="s">
        <v>10</v>
      </c>
      <c r="E7" s="80" t="s">
        <v>69</v>
      </c>
      <c r="F7" s="81">
        <v>0.25</v>
      </c>
    </row>
    <row r="8" spans="2:6" ht="31.5" x14ac:dyDescent="0.2">
      <c r="B8" s="403"/>
      <c r="C8" s="405"/>
      <c r="D8" s="79" t="s">
        <v>9</v>
      </c>
      <c r="E8" s="80" t="s">
        <v>70</v>
      </c>
      <c r="F8" s="81">
        <v>0.15</v>
      </c>
    </row>
    <row r="9" spans="2:6" ht="47.25" x14ac:dyDescent="0.2">
      <c r="B9" s="403" t="s">
        <v>158</v>
      </c>
      <c r="C9" s="405" t="s">
        <v>18</v>
      </c>
      <c r="D9" s="79" t="s">
        <v>19</v>
      </c>
      <c r="E9" s="80" t="s">
        <v>71</v>
      </c>
      <c r="F9" s="82" t="s">
        <v>72</v>
      </c>
    </row>
    <row r="10" spans="2:6" ht="63" x14ac:dyDescent="0.2">
      <c r="B10" s="403"/>
      <c r="C10" s="405"/>
      <c r="D10" s="79" t="s">
        <v>20</v>
      </c>
      <c r="E10" s="80" t="s">
        <v>73</v>
      </c>
      <c r="F10" s="82" t="s">
        <v>72</v>
      </c>
    </row>
    <row r="11" spans="2:6" ht="47.25" x14ac:dyDescent="0.2">
      <c r="B11" s="403"/>
      <c r="C11" s="405" t="s">
        <v>21</v>
      </c>
      <c r="D11" s="79" t="s">
        <v>22</v>
      </c>
      <c r="E11" s="80" t="s">
        <v>74</v>
      </c>
      <c r="F11" s="82" t="s">
        <v>72</v>
      </c>
    </row>
    <row r="12" spans="2:6" ht="47.25" x14ac:dyDescent="0.2">
      <c r="B12" s="403"/>
      <c r="C12" s="405"/>
      <c r="D12" s="79" t="s">
        <v>23</v>
      </c>
      <c r="E12" s="80" t="s">
        <v>75</v>
      </c>
      <c r="F12" s="82" t="s">
        <v>72</v>
      </c>
    </row>
    <row r="13" spans="2:6" ht="31.5" x14ac:dyDescent="0.2">
      <c r="B13" s="403"/>
      <c r="C13" s="405" t="s">
        <v>24</v>
      </c>
      <c r="D13" s="79" t="s">
        <v>117</v>
      </c>
      <c r="E13" s="80" t="s">
        <v>120</v>
      </c>
      <c r="F13" s="82" t="s">
        <v>72</v>
      </c>
    </row>
    <row r="14" spans="2:6" ht="32.25" thickBot="1" x14ac:dyDescent="0.25">
      <c r="B14" s="406"/>
      <c r="C14" s="407"/>
      <c r="D14" s="83" t="s">
        <v>118</v>
      </c>
      <c r="E14" s="84" t="s">
        <v>119</v>
      </c>
      <c r="F14" s="85" t="s">
        <v>72</v>
      </c>
    </row>
    <row r="15" spans="2:6" ht="49.5" customHeight="1" x14ac:dyDescent="0.2">
      <c r="B15" s="399" t="s">
        <v>155</v>
      </c>
      <c r="C15" s="399"/>
      <c r="D15" s="399"/>
      <c r="E15" s="399"/>
      <c r="F15" s="399"/>
    </row>
    <row r="16" spans="2:6" ht="27" customHeight="1" x14ac:dyDescent="0.25">
      <c r="B16" s="86"/>
    </row>
  </sheetData>
  <mergeCells count="10">
    <mergeCell ref="B1:F1"/>
    <mergeCell ref="B15:F15"/>
    <mergeCell ref="B3:D3"/>
    <mergeCell ref="B4:B8"/>
    <mergeCell ref="C4:C6"/>
    <mergeCell ref="C7:C8"/>
    <mergeCell ref="B9:B14"/>
    <mergeCell ref="C9:C10"/>
    <mergeCell ref="C11:C12"/>
    <mergeCell ref="C13:C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9"/>
  <sheetViews>
    <sheetView topLeftCell="A4" workbookViewId="0">
      <selection activeCell="B13" sqref="B13:B19"/>
    </sheetView>
  </sheetViews>
  <sheetFormatPr baseColWidth="10" defaultRowHeight="15" x14ac:dyDescent="0.25"/>
  <sheetData>
    <row r="2" spans="2:5" x14ac:dyDescent="0.25">
      <c r="B2" t="s">
        <v>31</v>
      </c>
      <c r="E2" t="s">
        <v>130</v>
      </c>
    </row>
    <row r="3" spans="2:5" x14ac:dyDescent="0.25">
      <c r="B3" t="s">
        <v>32</v>
      </c>
      <c r="E3" t="s">
        <v>129</v>
      </c>
    </row>
    <row r="4" spans="2:5" x14ac:dyDescent="0.25">
      <c r="B4" t="s">
        <v>134</v>
      </c>
      <c r="E4" t="s">
        <v>131</v>
      </c>
    </row>
    <row r="5" spans="2:5" x14ac:dyDescent="0.25">
      <c r="B5" t="s">
        <v>133</v>
      </c>
    </row>
    <row r="8" spans="2:5" x14ac:dyDescent="0.25">
      <c r="B8" t="s">
        <v>84</v>
      </c>
    </row>
    <row r="9" spans="2:5" x14ac:dyDescent="0.25">
      <c r="B9" t="s">
        <v>38</v>
      </c>
    </row>
    <row r="10" spans="2:5" x14ac:dyDescent="0.25">
      <c r="B10" t="s">
        <v>39</v>
      </c>
    </row>
    <row r="13" spans="2:5" x14ac:dyDescent="0.25">
      <c r="B13" t="s">
        <v>127</v>
      </c>
    </row>
    <row r="14" spans="2:5" x14ac:dyDescent="0.25">
      <c r="B14" t="s">
        <v>121</v>
      </c>
    </row>
    <row r="15" spans="2:5" x14ac:dyDescent="0.25">
      <c r="B15" t="s">
        <v>124</v>
      </c>
    </row>
    <row r="16" spans="2:5" x14ac:dyDescent="0.25">
      <c r="B16" t="s">
        <v>122</v>
      </c>
    </row>
    <row r="17" spans="2:2" x14ac:dyDescent="0.25">
      <c r="B17" t="s">
        <v>123</v>
      </c>
    </row>
    <row r="18" spans="2:2" x14ac:dyDescent="0.25">
      <c r="B18" t="s">
        <v>125</v>
      </c>
    </row>
    <row r="19" spans="2:2" x14ac:dyDescent="0.25">
      <c r="B19" t="s">
        <v>126</v>
      </c>
    </row>
  </sheetData>
  <sortState xmlns:xlrd2="http://schemas.microsoft.com/office/spreadsheetml/2017/richdata2" ref="B2:B5">
    <sortCondition ref="B2:B5"/>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A21"/>
  <sheetViews>
    <sheetView workbookViewId="0">
      <selection activeCell="A19" sqref="A19"/>
    </sheetView>
  </sheetViews>
  <sheetFormatPr baseColWidth="10" defaultColWidth="11.42578125" defaultRowHeight="12.75" x14ac:dyDescent="0.2"/>
  <cols>
    <col min="1" max="1" width="32.85546875" style="1" customWidth="1" collapsed="1"/>
    <col min="2" max="16384" width="11.42578125" style="1" collapsed="1"/>
  </cols>
  <sheetData>
    <row r="3" spans="1:1" x14ac:dyDescent="0.2">
      <c r="A3" s="2" t="s">
        <v>14</v>
      </c>
    </row>
    <row r="4" spans="1:1" x14ac:dyDescent="0.2">
      <c r="A4" s="2" t="s">
        <v>15</v>
      </c>
    </row>
    <row r="5" spans="1:1" x14ac:dyDescent="0.2">
      <c r="A5" s="2" t="s">
        <v>16</v>
      </c>
    </row>
    <row r="6" spans="1:1" x14ac:dyDescent="0.2">
      <c r="A6" s="2" t="s">
        <v>10</v>
      </c>
    </row>
    <row r="7" spans="1:1" x14ac:dyDescent="0.2">
      <c r="A7" s="2" t="s">
        <v>9</v>
      </c>
    </row>
    <row r="8" spans="1:1" x14ac:dyDescent="0.2">
      <c r="A8" s="2" t="s">
        <v>19</v>
      </c>
    </row>
    <row r="9" spans="1:1" x14ac:dyDescent="0.2">
      <c r="A9" s="2" t="s">
        <v>20</v>
      </c>
    </row>
    <row r="10" spans="1:1" x14ac:dyDescent="0.2">
      <c r="A10" s="2" t="s">
        <v>22</v>
      </c>
    </row>
    <row r="11" spans="1:1" x14ac:dyDescent="0.2">
      <c r="A11" s="2" t="s">
        <v>23</v>
      </c>
    </row>
    <row r="12" spans="1:1" x14ac:dyDescent="0.2">
      <c r="A12" s="2" t="s">
        <v>25</v>
      </c>
    </row>
    <row r="13" spans="1:1" x14ac:dyDescent="0.2">
      <c r="A13" s="2" t="s">
        <v>26</v>
      </c>
    </row>
    <row r="14" spans="1:1" x14ac:dyDescent="0.2">
      <c r="A14" s="2" t="s">
        <v>27</v>
      </c>
    </row>
    <row r="16" spans="1:1" x14ac:dyDescent="0.2">
      <c r="A16" s="2" t="s">
        <v>30</v>
      </c>
    </row>
    <row r="17" spans="1:1" x14ac:dyDescent="0.2">
      <c r="A17" s="2" t="s">
        <v>31</v>
      </c>
    </row>
    <row r="18" spans="1:1" x14ac:dyDescent="0.2">
      <c r="A18" s="2" t="s">
        <v>32</v>
      </c>
    </row>
    <row r="20" spans="1:1" x14ac:dyDescent="0.2">
      <c r="A20" s="2" t="s">
        <v>38</v>
      </c>
    </row>
    <row r="21" spans="1:1" x14ac:dyDescent="0.2">
      <c r="A21" s="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Intructivo</vt:lpstr>
      <vt:lpstr>Mapa final</vt:lpstr>
      <vt:lpstr>Matriz Calor Inherente</vt:lpstr>
      <vt:lpstr>Matriz Calor Residual</vt:lpstr>
      <vt:lpstr>Tabla probabilidad</vt:lpstr>
      <vt:lpstr>Tabla Impacto</vt:lpstr>
      <vt:lpstr>Tabla Valoración controles</vt:lpstr>
      <vt:lpstr>Opciones Tratamiento</vt:lpstr>
      <vt:lpstr>Hoja1</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concejo chia</cp:lastModifiedBy>
  <cp:lastPrinted>2020-05-13T01:12:22Z</cp:lastPrinted>
  <dcterms:created xsi:type="dcterms:W3CDTF">2020-03-24T23:12:47Z</dcterms:created>
  <dcterms:modified xsi:type="dcterms:W3CDTF">2025-09-11T13:36:31Z</dcterms:modified>
</cp:coreProperties>
</file>