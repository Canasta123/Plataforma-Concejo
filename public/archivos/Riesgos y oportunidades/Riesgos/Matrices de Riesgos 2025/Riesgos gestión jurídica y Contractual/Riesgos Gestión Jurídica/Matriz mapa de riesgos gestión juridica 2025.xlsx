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30.30.30.51\compartida\SGC CONCEJO CHIA 2025\6. Riesgos y oportunidades\Riesgos gestión jurídica y Contractual\Riesgos Gestión Jurídica\"/>
    </mc:Choice>
  </mc:AlternateContent>
  <xr:revisionPtr revIDLastSave="0" documentId="13_ncr:1_{09BE03E4-D2C6-4BC4-B405-72A811BA174F}" xr6:coauthVersionLast="47" xr6:coauthVersionMax="47" xr10:uidLastSave="{00000000-0000-0000-0000-000000000000}"/>
  <bookViews>
    <workbookView xWindow="-120" yWindow="-120" windowWidth="29040" windowHeight="15720" tabRatio="882" firstSheet="1" activeTab="1" xr2:uid="{00000000-000D-0000-FFFF-FFFF00000000}"/>
  </bookViews>
  <sheets>
    <sheet name="Intructivo" sheetId="20" r:id="rId1"/>
    <sheet name="Mapa final" sheetId="1" r:id="rId2"/>
    <sheet name="Matriz Calor Inherente" sheetId="18" r:id="rId3"/>
    <sheet name="Matriz Calor Residual" sheetId="19" r:id="rId4"/>
    <sheet name="Tabla probabilidad" sheetId="12" r:id="rId5"/>
    <sheet name="Tabla Impacto" sheetId="13" r:id="rId6"/>
    <sheet name="Tabla Valoración controles" sheetId="15" r:id="rId7"/>
    <sheet name="Opciones Tratamiento" sheetId="16" state="hidden" r:id="rId8"/>
    <sheet name="Hoja1" sheetId="11" state="hidden" r:id="rId9"/>
  </sheet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1" l="1"/>
  <c r="K17" i="1"/>
  <c r="K16" i="1"/>
  <c r="K15" i="1"/>
  <c r="K14" i="1"/>
  <c r="K13" i="1"/>
  <c r="L13" i="1" s="1"/>
  <c r="M13" i="1" s="1"/>
  <c r="H13" i="1"/>
  <c r="AB14" i="1"/>
  <c r="AA14" i="1" s="1"/>
  <c r="T14" i="1"/>
  <c r="N13" i="1" l="1"/>
  <c r="I13" i="1"/>
  <c r="F221" i="13"/>
  <c r="F211" i="13"/>
  <c r="F212" i="13"/>
  <c r="F213" i="13"/>
  <c r="F214" i="13"/>
  <c r="F215" i="13"/>
  <c r="F216" i="13"/>
  <c r="F217" i="13"/>
  <c r="F218" i="13"/>
  <c r="F219" i="13"/>
  <c r="F220" i="13"/>
  <c r="F210" i="13"/>
  <c r="B221" i="13" a="1"/>
  <c r="B221" i="13" l="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T15" i="1" l="1"/>
  <c r="T13" i="1"/>
  <c r="Q13" i="1"/>
  <c r="X13" i="1" l="1"/>
  <c r="Y13" i="1" l="1"/>
  <c r="Z13" i="1"/>
  <c r="X14" i="1" s="1"/>
  <c r="Z14" i="1" s="1"/>
  <c r="X15" i="1" s="1"/>
  <c r="Y15" i="1" s="1"/>
  <c r="Y14" i="1" l="1"/>
  <c r="Z15" i="1"/>
  <c r="T52" i="19"/>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X17" i="1" l="1"/>
  <c r="X16" i="1"/>
  <c r="X18" i="1" l="1"/>
  <c r="J11" i="19" l="1"/>
  <c r="V11" i="19"/>
  <c r="AB21" i="19"/>
  <c r="P31" i="19"/>
  <c r="J31" i="19"/>
  <c r="AB41" i="19"/>
  <c r="AH41" i="19"/>
  <c r="P41" i="19"/>
  <c r="J21" i="19"/>
  <c r="AB31" i="19"/>
  <c r="AB51" i="19"/>
  <c r="P21" i="19"/>
  <c r="V41" i="19"/>
  <c r="V31" i="19"/>
  <c r="AH21" i="19"/>
  <c r="AB11" i="19"/>
  <c r="P51" i="19"/>
  <c r="V21" i="19"/>
  <c r="AH31" i="19"/>
  <c r="V51" i="19"/>
  <c r="J51" i="19"/>
  <c r="AH51" i="19"/>
  <c r="AH11" i="19"/>
  <c r="J41" i="19"/>
  <c r="P11"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AB15" i="1"/>
  <c r="W37" i="19" l="1"/>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AA15" i="1"/>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AC14" i="1"/>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C15" i="1"/>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X6" i="18" l="1"/>
  <c r="AJ30" i="18"/>
  <c r="R22" i="18"/>
  <c r="AJ6" i="18"/>
  <c r="L6" i="18"/>
  <c r="R30" i="18"/>
  <c r="X22" i="18"/>
  <c r="AD38" i="18"/>
  <c r="AD22" i="18"/>
  <c r="L30" i="18"/>
  <c r="R38" i="18"/>
  <c r="AJ14" i="18"/>
  <c r="R14" i="18"/>
  <c r="L38" i="18"/>
  <c r="AD30" i="18"/>
  <c r="AJ38" i="18"/>
  <c r="AJ22" i="18"/>
  <c r="X30" i="18"/>
  <c r="L14" i="18"/>
  <c r="AD6" i="18"/>
  <c r="X38" i="18"/>
  <c r="L22" i="18"/>
  <c r="R6" i="18"/>
  <c r="X14" i="18"/>
  <c r="AD14" i="18"/>
  <c r="P14" i="18"/>
  <c r="V22" i="18"/>
  <c r="V14" i="18"/>
  <c r="AH22" i="18"/>
  <c r="AH14" i="18"/>
  <c r="AH38" i="18"/>
  <c r="J14" i="18"/>
  <c r="AB22" i="18"/>
  <c r="V30" i="18"/>
  <c r="AB14" i="18"/>
  <c r="J30" i="18"/>
  <c r="P38" i="18"/>
  <c r="AB6" i="18"/>
  <c r="P6" i="18"/>
  <c r="J38" i="18"/>
  <c r="AH6" i="18"/>
  <c r="V6" i="18"/>
  <c r="P30" i="18"/>
  <c r="AB38" i="18"/>
  <c r="P22" i="18"/>
  <c r="AB30" i="18"/>
  <c r="J6" i="18"/>
  <c r="AH30" i="18"/>
  <c r="J22" i="18"/>
  <c r="V38" i="18"/>
  <c r="T14" i="18"/>
  <c r="AL38" i="18"/>
  <c r="N14" i="18"/>
  <c r="Z14" i="18"/>
  <c r="T38" i="18"/>
  <c r="T22" i="18"/>
  <c r="AL14" i="18"/>
  <c r="N22" i="18"/>
  <c r="AF22" i="18"/>
  <c r="N6" i="18"/>
  <c r="AF6" i="18"/>
  <c r="AF38" i="18"/>
  <c r="N38" i="18"/>
  <c r="AL30" i="18"/>
  <c r="AL22" i="18"/>
  <c r="T6" i="18"/>
  <c r="AL6" i="18"/>
  <c r="AF30" i="18"/>
  <c r="Z22" i="18"/>
  <c r="T30" i="18"/>
  <c r="Z38" i="18"/>
  <c r="Z6" i="18"/>
  <c r="AF14" i="18"/>
  <c r="Z30" i="18"/>
  <c r="N30" i="18"/>
  <c r="L16" i="18"/>
  <c r="R24" i="18"/>
  <c r="L8" i="18"/>
  <c r="AJ40" i="18"/>
  <c r="R32" i="18"/>
  <c r="AJ16" i="18"/>
  <c r="R8" i="18"/>
  <c r="AJ32" i="18"/>
  <c r="AD8" i="18"/>
  <c r="X40" i="18"/>
  <c r="L32" i="18"/>
  <c r="X8" i="18"/>
  <c r="R40" i="18"/>
  <c r="L40" i="18"/>
  <c r="X16" i="18"/>
  <c r="AD40" i="18"/>
  <c r="AD32" i="18"/>
  <c r="AD24" i="18"/>
  <c r="L24" i="18"/>
  <c r="X24" i="18"/>
  <c r="R16" i="18"/>
  <c r="AJ8" i="18"/>
  <c r="AJ24" i="18"/>
  <c r="AD16" i="18"/>
  <c r="X32" i="18"/>
  <c r="J40" i="19" l="1"/>
  <c r="J50" i="19"/>
  <c r="J10" i="19"/>
  <c r="V40" i="19"/>
  <c r="V20" i="19"/>
  <c r="AH10" i="19"/>
  <c r="P10" i="19"/>
  <c r="V30" i="19"/>
  <c r="AB40" i="19"/>
  <c r="AB20" i="19"/>
  <c r="AB30" i="19"/>
  <c r="V50" i="19"/>
  <c r="AB10" i="19"/>
  <c r="AH30" i="19"/>
  <c r="AB50" i="19"/>
  <c r="AH40" i="19"/>
  <c r="P40" i="19"/>
  <c r="AH20" i="19"/>
  <c r="P30" i="19"/>
  <c r="AH50" i="19"/>
  <c r="J30" i="19"/>
  <c r="P50" i="19"/>
  <c r="V10" i="19"/>
  <c r="P20" i="19"/>
  <c r="J20" i="19"/>
  <c r="J28" i="19"/>
  <c r="V28" i="19"/>
  <c r="P28" i="19"/>
  <c r="V38" i="19"/>
  <c r="AB38" i="19"/>
  <c r="P8" i="19"/>
  <c r="AB28" i="19"/>
  <c r="AH38" i="19"/>
  <c r="AB18" i="19"/>
  <c r="J18" i="19"/>
  <c r="AH8" i="19"/>
  <c r="V8" i="19"/>
  <c r="AH18" i="19"/>
  <c r="J38" i="19"/>
  <c r="P18" i="19"/>
  <c r="J48" i="19"/>
  <c r="AB8" i="19"/>
  <c r="AH28" i="19"/>
  <c r="P38" i="19"/>
  <c r="P48" i="19"/>
  <c r="J8" i="19"/>
  <c r="V48" i="19"/>
  <c r="AB48" i="19"/>
  <c r="AH48" i="19"/>
  <c r="V18" i="19"/>
  <c r="V47" i="19"/>
  <c r="AB7" i="19"/>
  <c r="AH17" i="19"/>
  <c r="J37" i="19"/>
  <c r="P17" i="19"/>
  <c r="P7" i="19"/>
  <c r="J47" i="19"/>
  <c r="V17" i="19"/>
  <c r="AH27" i="19"/>
  <c r="P47" i="19"/>
  <c r="V27" i="19"/>
  <c r="AB37" i="19"/>
  <c r="AH47" i="19"/>
  <c r="AB47" i="19"/>
  <c r="V7" i="19"/>
  <c r="AH7" i="19"/>
  <c r="J27" i="19"/>
  <c r="P37" i="19"/>
  <c r="AB27" i="19"/>
  <c r="AH37" i="19"/>
  <c r="J7" i="19"/>
  <c r="J17" i="19"/>
  <c r="P27" i="19"/>
  <c r="V37" i="19"/>
  <c r="AB17" i="19"/>
  <c r="P16" i="19"/>
  <c r="P6" i="19"/>
  <c r="AH6" i="19"/>
  <c r="V46" i="19"/>
  <c r="AH46" i="19"/>
  <c r="AB46" i="19"/>
  <c r="V36" i="19"/>
  <c r="J6" i="19"/>
  <c r="P46" i="19"/>
  <c r="AB26" i="19"/>
  <c r="AB16" i="19"/>
  <c r="AH26" i="19"/>
  <c r="J16" i="19"/>
  <c r="V16" i="19"/>
  <c r="V26" i="19"/>
  <c r="AH36" i="19"/>
  <c r="P26" i="19"/>
  <c r="AB36" i="19"/>
  <c r="AB6" i="19"/>
  <c r="P36" i="19"/>
  <c r="J36" i="19"/>
  <c r="AH16" i="19"/>
  <c r="J26" i="19"/>
  <c r="V6" i="19"/>
  <c r="J46" i="19"/>
  <c r="Z42" i="18" l="1"/>
  <c r="AF18" i="18"/>
  <c r="T34" i="18"/>
  <c r="Z10" i="18"/>
  <c r="Z34" i="18"/>
  <c r="AF42" i="18"/>
  <c r="N34" i="18"/>
  <c r="AF10" i="18"/>
  <c r="N10" i="18"/>
  <c r="T18" i="18"/>
  <c r="AF26" i="18"/>
  <c r="Z26" i="18"/>
  <c r="T42" i="18"/>
  <c r="AF34" i="18"/>
  <c r="AL34" i="18"/>
  <c r="N18" i="18"/>
  <c r="T26" i="18"/>
  <c r="Z18" i="18"/>
  <c r="N26" i="18"/>
  <c r="AL18" i="18"/>
  <c r="AL42" i="18"/>
  <c r="T10" i="18"/>
  <c r="N42" i="18"/>
  <c r="AL10" i="18"/>
  <c r="AL26" i="18"/>
  <c r="AH20" i="18"/>
  <c r="V12" i="18"/>
  <c r="J12" i="18"/>
  <c r="AB28" i="18"/>
  <c r="P28" i="18"/>
  <c r="AB44" i="18"/>
  <c r="V44" i="18"/>
  <c r="AH28" i="18"/>
  <c r="AH12" i="18"/>
  <c r="P44" i="18"/>
  <c r="V28" i="18"/>
  <c r="AH36" i="18"/>
  <c r="J20" i="18"/>
  <c r="AH44" i="18"/>
  <c r="J36" i="18"/>
  <c r="V36" i="18"/>
  <c r="V20" i="18"/>
  <c r="P36" i="18"/>
  <c r="J28" i="18"/>
  <c r="AB36" i="18"/>
  <c r="AB12" i="18"/>
  <c r="J44" i="18"/>
  <c r="AB20" i="18"/>
  <c r="P20" i="18"/>
  <c r="P12" i="18"/>
  <c r="P10" i="18"/>
  <c r="J26" i="18"/>
  <c r="AB34" i="18"/>
  <c r="J10" i="18"/>
  <c r="P34" i="18"/>
  <c r="AB10" i="18"/>
  <c r="AB18" i="18"/>
  <c r="J18" i="18"/>
  <c r="AH10" i="18"/>
  <c r="V26" i="18"/>
  <c r="V34" i="18"/>
  <c r="AH18" i="18"/>
  <c r="AB42" i="18"/>
  <c r="J42" i="18"/>
  <c r="P26" i="18"/>
  <c r="V10" i="18"/>
  <c r="AB26" i="18"/>
  <c r="AH34" i="18"/>
  <c r="V18" i="18"/>
  <c r="P42" i="18"/>
  <c r="J34" i="18"/>
  <c r="V42" i="18"/>
  <c r="P18" i="18"/>
  <c r="AH42" i="18"/>
  <c r="AH26" i="18"/>
  <c r="AJ18" i="18"/>
  <c r="AJ34" i="18"/>
  <c r="R10" i="18"/>
  <c r="X18" i="18"/>
  <c r="AD26" i="18"/>
  <c r="R18" i="18"/>
  <c r="X42" i="18"/>
  <c r="R34" i="18"/>
  <c r="L34" i="18"/>
  <c r="R42" i="18"/>
  <c r="L42" i="18"/>
  <c r="R26" i="18"/>
  <c r="AJ26" i="18"/>
  <c r="L26" i="18"/>
  <c r="L18" i="18"/>
  <c r="X10" i="18"/>
  <c r="AJ10" i="18"/>
  <c r="AD18" i="18"/>
  <c r="AD42" i="18"/>
  <c r="X34" i="18"/>
  <c r="X26" i="18"/>
  <c r="AD34" i="18"/>
  <c r="L10" i="18"/>
  <c r="AD10" i="18"/>
  <c r="AJ42" i="18"/>
  <c r="AB24" i="18"/>
  <c r="V32" i="18"/>
  <c r="AH16" i="18"/>
  <c r="J40" i="18"/>
  <c r="V40" i="18"/>
  <c r="AB40" i="18"/>
  <c r="AH40" i="18"/>
  <c r="P40" i="18"/>
  <c r="J16" i="18"/>
  <c r="J24" i="18"/>
  <c r="V16" i="18"/>
  <c r="P32" i="18"/>
  <c r="V8" i="18"/>
  <c r="AH24" i="18"/>
  <c r="P24" i="18"/>
  <c r="AB16" i="18"/>
  <c r="P8" i="18"/>
  <c r="P16" i="18"/>
  <c r="AB8" i="18"/>
  <c r="J32" i="18"/>
  <c r="V24" i="18"/>
  <c r="AB13" i="1"/>
  <c r="AA13" i="1" s="1"/>
  <c r="AH8" i="18"/>
  <c r="J8" i="18"/>
  <c r="AB32" i="18"/>
  <c r="AH32" i="18"/>
  <c r="AL32" i="18"/>
  <c r="N16" i="18"/>
  <c r="T8" i="18"/>
  <c r="N8" i="18"/>
  <c r="AF8" i="18"/>
  <c r="T16" i="18"/>
  <c r="T24" i="18"/>
  <c r="N40" i="18"/>
  <c r="Z8" i="18"/>
  <c r="AL40" i="18"/>
  <c r="Z40" i="18"/>
  <c r="AL16" i="18"/>
  <c r="AF16" i="18"/>
  <c r="AL8" i="18"/>
  <c r="AF24" i="18"/>
  <c r="T32" i="18"/>
  <c r="AF32" i="18"/>
  <c r="T40" i="18"/>
  <c r="AF40" i="18"/>
  <c r="Z32" i="18"/>
  <c r="N32" i="18"/>
  <c r="N24" i="18"/>
  <c r="Z16" i="18"/>
  <c r="Z24" i="18"/>
  <c r="AL24" i="18"/>
  <c r="AH55" i="19" l="1"/>
  <c r="J25" i="19"/>
  <c r="P25" i="19"/>
  <c r="V25" i="19"/>
  <c r="J55" i="19"/>
  <c r="J35" i="19"/>
  <c r="AB15" i="19"/>
  <c r="AB35" i="19"/>
  <c r="P35" i="19"/>
  <c r="AH25" i="19"/>
  <c r="P15" i="19"/>
  <c r="AB55" i="19"/>
  <c r="AH35" i="19"/>
  <c r="AB25" i="19"/>
  <c r="AH15" i="19"/>
  <c r="V55" i="19"/>
  <c r="V15" i="19"/>
  <c r="AB45" i="19"/>
  <c r="J45" i="19"/>
  <c r="V45" i="19"/>
  <c r="P45" i="19"/>
  <c r="V35" i="19"/>
  <c r="P55" i="19"/>
  <c r="J15" i="19"/>
  <c r="AH45" i="19"/>
  <c r="V9" i="19"/>
  <c r="J29" i="19"/>
  <c r="P9" i="19"/>
  <c r="AH39" i="19"/>
  <c r="AB9" i="19"/>
  <c r="P49" i="19"/>
  <c r="P19" i="19"/>
  <c r="P29" i="19"/>
  <c r="AB49" i="19"/>
  <c r="AB19" i="19"/>
  <c r="AH49" i="19"/>
  <c r="V19" i="19"/>
  <c r="AH19" i="19"/>
  <c r="J39" i="19"/>
  <c r="J19" i="19"/>
  <c r="J9" i="19"/>
  <c r="AB39" i="19"/>
  <c r="V39" i="19"/>
  <c r="AH9" i="19"/>
  <c r="V49" i="19"/>
  <c r="AB29" i="19"/>
  <c r="J49" i="19"/>
  <c r="P39" i="19"/>
  <c r="AH29" i="19"/>
  <c r="V29" i="19"/>
  <c r="AC1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<sst xmlns="http://schemas.openxmlformats.org/spreadsheetml/2006/main" count="385" uniqueCount="250">
  <si>
    <t xml:space="preserve">Referencia </t>
  </si>
  <si>
    <t>Descripción del Riesgo</t>
  </si>
  <si>
    <t>Impacto</t>
  </si>
  <si>
    <t>Causa Inmediata</t>
  </si>
  <si>
    <t>Probabilidad</t>
  </si>
  <si>
    <t>%</t>
  </si>
  <si>
    <t>Alta</t>
  </si>
  <si>
    <t>Mayor</t>
  </si>
  <si>
    <t>Atributos</t>
  </si>
  <si>
    <t>Manual</t>
  </si>
  <si>
    <t>Automático</t>
  </si>
  <si>
    <t>No. Control</t>
  </si>
  <si>
    <t>Afectación</t>
  </si>
  <si>
    <t>Tipo</t>
  </si>
  <si>
    <t>Preventivo</t>
  </si>
  <si>
    <t>Detectivo</t>
  </si>
  <si>
    <t>Correctivo</t>
  </si>
  <si>
    <t>Implementación</t>
  </si>
  <si>
    <t>Documentación</t>
  </si>
  <si>
    <t>Documentado</t>
  </si>
  <si>
    <t>Sin Documentar</t>
  </si>
  <si>
    <t>Frecuencia</t>
  </si>
  <si>
    <t>Continua</t>
  </si>
  <si>
    <t>Aleatoria</t>
  </si>
  <si>
    <t>Evidencia</t>
  </si>
  <si>
    <t>Registro Sustancial</t>
  </si>
  <si>
    <t>Registro Material</t>
  </si>
  <si>
    <t>Sin registro</t>
  </si>
  <si>
    <t>Calificación</t>
  </si>
  <si>
    <t>Tratamiento</t>
  </si>
  <si>
    <t>Reducir</t>
  </si>
  <si>
    <t>Aceptar</t>
  </si>
  <si>
    <t>Evitar</t>
  </si>
  <si>
    <t>Probabilidad Inherente</t>
  </si>
  <si>
    <t>Plan de Acción</t>
  </si>
  <si>
    <t>Responsable</t>
  </si>
  <si>
    <t>Fecha Implementación</t>
  </si>
  <si>
    <t>Seguimiento</t>
  </si>
  <si>
    <t>Fecha Seguimiento</t>
  </si>
  <si>
    <t>Estado</t>
  </si>
  <si>
    <t>Finalizado</t>
  </si>
  <si>
    <t>En curso</t>
  </si>
  <si>
    <t>Causa Raíz</t>
  </si>
  <si>
    <t>Proceso:</t>
  </si>
  <si>
    <t>Alcance:</t>
  </si>
  <si>
    <t>Impacto 
Inherente</t>
  </si>
  <si>
    <t>Probabilidad Residual Final</t>
  </si>
  <si>
    <t>Impacto Residual Final</t>
  </si>
  <si>
    <t>Zona de Riesgo Inherente</t>
  </si>
  <si>
    <t>Zona de Riesgo Final</t>
  </si>
  <si>
    <t>Clasificación del Riesgo</t>
  </si>
  <si>
    <t>Muy Baja</t>
  </si>
  <si>
    <t>Frecuencia de la Actividad</t>
  </si>
  <si>
    <t>Baja</t>
  </si>
  <si>
    <t>Muy Alta</t>
  </si>
  <si>
    <t>Tabla Criterios para definir el nivel de probabilidad</t>
  </si>
  <si>
    <t>Afectación Económica (o presupuestal)</t>
  </si>
  <si>
    <t>Pérdida Reputacional</t>
  </si>
  <si>
    <t>Afectación menor a 10 SMLMV .</t>
  </si>
  <si>
    <t xml:space="preserve">Menor-40% </t>
  </si>
  <si>
    <t>Moderado 60%</t>
  </si>
  <si>
    <t>Mayor 80%</t>
  </si>
  <si>
    <t>Catastrófico 100%</t>
  </si>
  <si>
    <t>Tabla Criterios para definir el nivel de impacto</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</si>
  <si>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</si>
  <si>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</si>
  <si>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</si>
  <si>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</si>
  <si>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</si>
  <si>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</si>
  <si>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</si>
  <si>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</si>
  <si>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</si>
  <si>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t>Controles que están documentados en el proceso, ya sea en manuales, procedimientos, flujogramas o cualquier otro documento propio del proceso.</t>
  </si>
  <si>
    <t>-</t>
  </si>
  <si>
    <t>Identifica a los controles que pese a que se ejecutan en el proceso no se encuentran documentados en ningún documento propio del proceso</t>
  </si>
  <si>
    <t>Este atributo identifica a los controles que se ejecutan siempre que se realiza la actividad originadora del riesgo.</t>
  </si>
  <si>
    <t>Este atributo identifica a los controles que no siempre se ejecutan cuando se realiza la actividad originadora del riesgo</t>
  </si>
  <si>
    <t>Tabla Atributos de para el diseño del control</t>
  </si>
  <si>
    <t>Extremo</t>
  </si>
  <si>
    <t>Alto</t>
  </si>
  <si>
    <t>Moderado</t>
  </si>
  <si>
    <t>Bajo</t>
  </si>
  <si>
    <t>Insignificante</t>
  </si>
  <si>
    <t>Menor</t>
  </si>
  <si>
    <t>Catastrófico</t>
  </si>
  <si>
    <t>Plan de accion (solo para la opción reducir)</t>
  </si>
  <si>
    <t>Criterios de impacto</t>
  </si>
  <si>
    <t>Criterios</t>
  </si>
  <si>
    <t>Pérdida_Reputacional</t>
  </si>
  <si>
    <t>Afectación Económica o presupuestal</t>
  </si>
  <si>
    <t>Afectación_Económica_o_presupuestal</t>
  </si>
  <si>
    <t>Observación de criterio</t>
  </si>
  <si>
    <t xml:space="preserve">Entre 10 y 50 SMLMV </t>
  </si>
  <si>
    <t xml:space="preserve">Entre 50 y 100 SMLMV </t>
  </si>
  <si>
    <t xml:space="preserve">Entre 100 y 500 SMLMV </t>
  </si>
  <si>
    <t xml:space="preserve">Mayor a 500 SMLMV </t>
  </si>
  <si>
    <t>El riesgo afecta la imagen de alguna área de la organización</t>
  </si>
  <si>
    <t>El riesgo afecta la imagen de la entidad internamente, de conocimiento general, nivel interno, de junta dircetiva y accionistas y/o de provedores</t>
  </si>
  <si>
    <t>El riesgo afecta la imagen de de la entidad con efecto publicitario sostenido a nivel de sector administrativo, nivel departamental o municipal</t>
  </si>
  <si>
    <t>El riesgo afecta la imagen de la entidad con algunos usuarios de relevancia frente al logro de los objetivos</t>
  </si>
  <si>
    <t>Leve 20%</t>
  </si>
  <si>
    <t>La actividad que conlleva el riesgo se ejecuta como máximos 2 veces por año</t>
  </si>
  <si>
    <t>La actividad que conlleva el riesgo se ejecuta de 3 a 24 veces por año</t>
  </si>
  <si>
    <t>La actividad que conlleva el riesgo se ejecuta de 24 a 500 veces por año</t>
  </si>
  <si>
    <t>La actividad que conlleva el riesgo se ejecuta mínimo 500 veces al año y máximo 5000 veces por año</t>
  </si>
  <si>
    <t>La actividad que conlleva el riesgo se ejecuta más de 5000 veces por año</t>
  </si>
  <si>
    <t>Media</t>
  </si>
  <si>
    <t>Catastrófico
100%</t>
  </si>
  <si>
    <t>Mayor
80%</t>
  </si>
  <si>
    <t>Moderado
60%</t>
  </si>
  <si>
    <t>Menor
40%</t>
  </si>
  <si>
    <t>Leve
20%</t>
  </si>
  <si>
    <t>Muy Baja
20%</t>
  </si>
  <si>
    <t>Baja
40%</t>
  </si>
  <si>
    <t>Alta
80%</t>
  </si>
  <si>
    <t>Muy Alta
100%</t>
  </si>
  <si>
    <t>Media
60%</t>
  </si>
  <si>
    <t>El riesgo afecta la imagen de la entidad a nivel nacional, con efecto publicitarios sostenible a nivel país</t>
  </si>
  <si>
    <t>Con Registro</t>
  </si>
  <si>
    <t>Sin Registro</t>
  </si>
  <si>
    <t>El control no deja registro de la ejecución del control</t>
  </si>
  <si>
    <t>El control deja un registro que permite evidenciar la ejecución del control</t>
  </si>
  <si>
    <t>Ejecucion y Administracion de procesos</t>
  </si>
  <si>
    <t>Fraude Externo</t>
  </si>
  <si>
    <t>Fraude Interno</t>
  </si>
  <si>
    <t>Fallas Tecnologicas</t>
  </si>
  <si>
    <t>Relaciones Laborales</t>
  </si>
  <si>
    <t>Usuarios, productos y practicas , organizacionales</t>
  </si>
  <si>
    <t>Daños Activos Fisicos</t>
  </si>
  <si>
    <t>Objetivo:</t>
  </si>
  <si>
    <t>Reputacional</t>
  </si>
  <si>
    <t>Económico</t>
  </si>
  <si>
    <t>Económico y Reputacional</t>
  </si>
  <si>
    <t>Frecuencia con la cual se realiza la actividad</t>
  </si>
  <si>
    <t>Reducir (mitigar)</t>
  </si>
  <si>
    <t>Reducir (compartir)</t>
  </si>
  <si>
    <t>Probabilidad Residual</t>
  </si>
  <si>
    <t>Identificación del riesgo</t>
  </si>
  <si>
    <t>Análisis del riesgo inherente</t>
  </si>
  <si>
    <t>Evaluación del riesgo - Valoración de los controles</t>
  </si>
  <si>
    <t>Evaluación del riesgo - Nivel del riesgo residual</t>
  </si>
  <si>
    <t>Fuente:  Adaptado de Curso Riesgo Operativo Universidad del Rosario por Dirección de Gestión y Desempeño Institucional de Función Pública,  2020.</t>
  </si>
  <si>
    <t>Subcriterios</t>
  </si>
  <si>
    <t xml:space="preserve">     Afectación menor a 10 SMLMV .</t>
  </si>
  <si>
    <t>❌</t>
  </si>
  <si>
    <t>✔</t>
  </si>
  <si>
    <t xml:space="preserve">     Entre 50 y 100 SMLMV </t>
  </si>
  <si>
    <t xml:space="preserve">     Entre 10 y 50 SMLMV </t>
  </si>
  <si>
    <t xml:space="preserve">     Entre 100 y 500 SMLMV </t>
  </si>
  <si>
    <t xml:space="preserve">     Mayor a 500 SMLMV </t>
  </si>
  <si>
    <t xml:space="preserve">     El riesgo afecta la imagen de alguna área de la organización</t>
  </si>
  <si>
    <t xml:space="preserve">     El riesgo afecta la imagen de la entidad internamente, de conocimiento general, nivel interno, de junta dircetiva y accionistas y/o de provedores</t>
  </si>
  <si>
    <t xml:space="preserve">     El riesgo afecta la imagen de la entidad con algunos usuarios de relevancia frente al logro de los objetivos</t>
  </si>
  <si>
    <t xml:space="preserve">     El riesgo afecta la imagen de de la entidad con efecto publicitario sostenido a nivel de sector administrativo, nivel departamental o municipal</t>
  </si>
  <si>
    <t xml:space="preserve">     El riesgo afecta la imagen de la entidad a nivel nacional, con efecto publicitarios sostenible a nivel país</t>
  </si>
  <si>
    <t xml:space="preserve">Afectación menor a 10 SMLMV </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</si>
  <si>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</si>
  <si>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 xml:space="preserve"> Matriz de Calor Residual</t>
  </si>
  <si>
    <t>Matriz de Calor Inherente</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</si>
  <si>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</si>
  <si>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Descripción del Control</t>
  </si>
  <si>
    <t>Orientaciones Generales</t>
  </si>
  <si>
    <t>Columna</t>
  </si>
  <si>
    <t>Matriz Mapa de Riesgos</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</si>
  <si>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</si>
  <si>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</si>
  <si>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</si>
  <si>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t>Frecuencia con la cual se lleva a cabo la actividad</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</si>
  <si>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</si>
  <si>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</si>
  <si>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</si>
  <si>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</si>
  <si>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Teniendo en cuenta que ingresó la información de PROBABILIDAD e IMPACTO, la matriz automáticamente hará el cálculo para la zona de riesgo inherente (Columna N)</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</si>
  <si>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</si>
  <si>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Esta casilla no se diligencia, depende de la selección en la columna R.</t>
  </si>
  <si>
    <t>Utilice la lista de despligue que se encuentra parametrizada, le aparecerán las opciones: i)Preventivo, ii)Detectivo, iii)Correctivo.</t>
  </si>
  <si>
    <t>Utilice la lista de despligue que se encuentra parametrizada, le aparecerán las opciones: i)Automático, ii)Manual.</t>
  </si>
  <si>
    <t xml:space="preserve">La matriz automáticamente hará el cálculo para el control analizado (Columna T) </t>
  </si>
  <si>
    <r>
      <t xml:space="preserve">ATRIBUTOS EFICIENCIA
</t>
    </r>
    <r>
      <rPr>
        <sz val="9"/>
        <rFont val="Arial Narrow"/>
        <family val="2"/>
      </rPr>
      <t>Tipo</t>
    </r>
  </si>
  <si>
    <r>
      <t xml:space="preserve">ATRIBUTOS EFICIENCIA
</t>
    </r>
    <r>
      <rPr>
        <sz val="9"/>
        <rFont val="Arial Narrow"/>
        <family val="2"/>
      </rPr>
      <t>Implementación</t>
    </r>
  </si>
  <si>
    <r>
      <t xml:space="preserve">ATRIBUTOS EFICIENCIA
</t>
    </r>
    <r>
      <rPr>
        <sz val="9"/>
        <rFont val="Arial Narrow"/>
        <family val="2"/>
      </rPr>
      <t>Calificación</t>
    </r>
  </si>
  <si>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</si>
  <si>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</si>
  <si>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</si>
  <si>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</si>
  <si>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</si>
  <si>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</si>
  <si>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</si>
  <si>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</si>
  <si>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Utilice la lista de despligue que se encuentra parametrizada, le aparecerán las opciones: i)Aceptar, ii)Evitar, iii)Reducir (compartir), iv)Reducir (mitigar).</t>
  </si>
  <si>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</si>
  <si>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r>
      <t xml:space="preserve">Plan de Acción
</t>
    </r>
    <r>
      <rPr>
        <sz val="9"/>
        <rFont val="Arial Narrow"/>
        <family val="2"/>
      </rPr>
      <t xml:space="preserve">Responsable, fecha implementación, fecha seguimiento, seguimiento. </t>
    </r>
  </si>
  <si>
    <t>Utilice la lista de despligue que se encuentra parametrizada, le aparecerán las opciones: i)Finalizado, ii)En curso, la selección en este caso dependerá de las acciones del plan que se hayan establecido en cada caso.</t>
  </si>
  <si>
    <t>Proceso</t>
  </si>
  <si>
    <t>Objetivo</t>
  </si>
  <si>
    <t>Alcance</t>
  </si>
  <si>
    <t>Diligencie el objetivo del proceso.</t>
  </si>
  <si>
    <t>Diligencie el alcance del proceso.</t>
  </si>
  <si>
    <t>Diligencie el nombre del proceso al cual se le identificarán y valorarán los riesgos.</t>
  </si>
  <si>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</si>
  <si>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Descripción - Lineamientos para el diligenciamiento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</si>
  <si>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</si>
  <si>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</si>
  <si>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</si>
  <si>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</si>
  <si>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</si>
  <si>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</si>
  <si>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Analice las consecuencias que puede ocasionar a la organización la materialización del riesgo, redacte de la forma más concreta posible.</t>
  </si>
  <si>
    <t>Circunstancias bajo las cuales se presenta el riesgo, es la situación más evidente frente al riesgo, redacte de la forma más concreta posible.</t>
  </si>
  <si>
    <t>Causa  principal  o básica, corresponde a las razones por la cuales se puede presentar  el riesgo, redacte de la forma más concreta posible.</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</si>
  <si>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</si>
  <si>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r>
      <rPr>
        <b/>
        <sz val="11"/>
        <color theme="9" tint="-0.249977111117893"/>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</si>
  <si>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SISTEMA DE GESTIÓN DE CALIDAD</t>
  </si>
  <si>
    <t xml:space="preserve">GESTIÓN DE CALIDAD </t>
  </si>
  <si>
    <t>Página 1 de 1</t>
  </si>
  <si>
    <t xml:space="preserve">MAPA DE RIESGOS </t>
  </si>
  <si>
    <t>Realizar seguimiento diario de la expedicion de actos administrativos</t>
  </si>
  <si>
    <t xml:space="preserve">Profesional Universitario </t>
  </si>
  <si>
    <t>GESTION JURIDICA</t>
  </si>
  <si>
    <t xml:space="preserve">
Asistir, apoyar, y asesorar jurídicamente a la Corporación de manera oportuna y efectiva en los procesos judiciales, administrativos, consultas internas y externas con el fin de dar cumplimiento.</t>
  </si>
  <si>
    <t xml:space="preserve">
Inicia con la formulación del Plan de Acción del proceso, la recepción, priorización de las solicitudes realizadas que requieran un apoyo jurídico y finaliza con los seguimientos al cumplimiento de requisitos de procesos jurídicos y al cumplimiento oportuno de las solicitudes y requerimientos realizados al proceso jurídico. </t>
  </si>
  <si>
    <t>El area juridica debe realizar la revision juridica de los actos administrativos (Resoluciones) que expida el Presidente y/o Mesa directiva antes de su perfeccionamiento.</t>
  </si>
  <si>
    <t>Estado del Plan de Acción</t>
  </si>
  <si>
    <t xml:space="preserve">Estado del Plan de Acción </t>
  </si>
  <si>
    <t xml:space="preserve">El Profesional Universitario del area Juridica realiza seguimiento anualmente a la actualización del normograma </t>
  </si>
  <si>
    <t>El profesional Universitario del Area juridica realiza seguimiento a la oportunidad y cumplimiento de las asesorias juridicas, revision de actos administrativos, Derechos de Peticion - Procesos Judiciales - Procesos Disciplinarios</t>
  </si>
  <si>
    <t xml:space="preserve">Anual </t>
  </si>
  <si>
    <t>Cuatrimestral</t>
  </si>
  <si>
    <t xml:space="preserve">Realizar anualmente la recopilacion de actualizacion del normograma de la corporacion </t>
  </si>
  <si>
    <r>
      <t xml:space="preserve">VERSIÓN: </t>
    </r>
    <r>
      <rPr>
        <sz val="11"/>
        <color rgb="FF000000"/>
        <rFont val="Arial"/>
        <family val="2"/>
      </rPr>
      <t>05</t>
    </r>
  </si>
  <si>
    <t>I SEGUIMIENTO 2025
Corte 30 Abril 2025</t>
  </si>
  <si>
    <t>II SEGUIMIENTO 2025
Corte 31 Agosto 2025</t>
  </si>
  <si>
    <t>III SEGUIMIENTO 2025
Corte 31 Diciembre 2025</t>
  </si>
  <si>
    <t>Investigaciones administrativas, fiscales y judiciales</t>
  </si>
  <si>
    <t xml:space="preserve">Conceptos, Asesorias Juridicas y Expedición de actos administrativos fuera de los requisitos legales y procedimentales establecidos en la normatividad vigente. </t>
  </si>
  <si>
    <t>Posibilidad de afectación reputacional por investigaciones administrativas, fiscales y judiciales, debido a la expedición de actos administrativos fuera de los requisitos legales y procedimentales establecidos en la normatividad.</t>
  </si>
  <si>
    <r>
      <t xml:space="preserve">FECHA:  </t>
    </r>
    <r>
      <rPr>
        <sz val="11"/>
        <color rgb="FF000000"/>
        <rFont val="Arial"/>
        <family val="2"/>
      </rPr>
      <t>07-05-2025</t>
    </r>
  </si>
  <si>
    <t xml:space="preserve">No se ha materializado el riesgo toda vez que las diferentes areas han enviado los actos administrativos correspondientes, para la respectiva verificacion Juridica a la fecha un total de 41 actos adminsitrativos , los cuales se revisaron en su totalidad remitendo los ajustes que esta area considere necesario.  </t>
  </si>
  <si>
    <t xml:space="preserve">Cumplido </t>
  </si>
  <si>
    <t xml:space="preserve">No se ha materializado el riesgo toda vez que existe asesoria permanente a la plenaria y a la parte adminsitrativa de la Corporacion y la  misma se registra en el seguimiento de manera oportuna . </t>
  </si>
  <si>
    <t xml:space="preserve">No se ha materializado el riesgo toda vez que las diferentes areas han enviado los actos administrativos correspondientes, para la respectiva verificacion Juridica a la fecha un total de 79 actos adminsitrativos , los cuales se revisaron en su totalidad remitendo los ajustes que esta area considere necesario.  </t>
  </si>
  <si>
    <t>Realizar seguimiento diario, a traves de listado de asesorias que se genera en el area juridica</t>
  </si>
  <si>
    <t xml:space="preserve">No se ha materializado el riesgo toda vez que existe asesoria permanente a la plenaria y a la parte adminsitrativa de la Corporacion y la  misma se registra en el seguimiento de manera oportuna .
De igual forma se ha realizado seguimiento en el sisteema de correspondencia y en el punto de control con el que cuenta el area para seguimiento y control de PQRSDF </t>
  </si>
  <si>
    <t xml:space="preserve">Se realizo la actualizacion del Normograma el cual se encuentra en la carpeta correspondiente con su formato de actualizacion. </t>
  </si>
  <si>
    <t xml:space="preserve">Se solicito a todas las areas, revision de la normatividad aplicable y se consolido por parte del area jurídica, estableciendo una propuesta para actualización. </t>
  </si>
  <si>
    <t>05/01/2026</t>
  </si>
  <si>
    <t xml:space="preserve">No se ha materializado el riesgo toda vez que las diferentes areas han enviado los actos administrativos correspondientes, para la respectiva verificacion Juridica a la fecha un total de 121 actos adminsitrativos , los cuales se revisaron en su totalidad remitendo los ajustes que esta area considere necesario.  </t>
  </si>
  <si>
    <t xml:space="preserve">en el segundo seguimiento se informó que se realizó la actualizacion del Normograma de manera efectiva, el cual se encuentra en la carpeta correspondiente con su formato de actualizacion. Adicionalmente se Actualizó el reglamento interno de la Corporacion mediente Acuerdo Municipal 246 de 2025. </t>
  </si>
  <si>
    <t xml:space="preserve">No se ha materializado el riesgo toda vez que existe asesoria permanente a la plenaria y a la parte adminsitrativa de la Corporacion y la  misma se registra en el seguimiento de manera oportuna .
De igual forma se ha realizado seguimiento en el aplicativo de correspondencia y en el punto de control con el que cuenta el area para seguimiento y control de PQRSDF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</si>
</sst>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67" x14ac:knownFonts="1">
    <font>
      <sz val="11"/>
      <color theme="1"/>
      <name val="Calibri"/>
      <family val="2"/>
      <scheme val="minor"/>
    </font>
    <font>
      <sz val="11"/>
      <name val="Arial Narrow"/>
      <family val="2"/>
    </font>
    <font>
      <sz val="10"/>
      <color rgb="FF000000"/>
      <name val="Arial Narrow"/>
      <family val="2"/>
    </font>
    <font>
      <b/>
      <sz val="11"/>
      <color theme="1"/>
      <name val="Arial Narrow"/>
      <family val="2"/>
    </font>
    <font>
      <sz val="10"/>
      <color theme="1"/>
      <name val="Calibri"/>
      <family val="2"/>
      <scheme val="minor"/>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b/>
      <sz val="22"/>
      <color theme="1"/>
      <name val="Arial"/>
      <family val="2"/>
    </font>
    <font>
      <sz val="11"/>
      <color theme="1"/>
      <name val="Arial"/>
      <family val="2"/>
    </font>
    <font>
      <b/>
      <sz val="11"/>
      <color theme="1"/>
      <name val="Arial"/>
      <family val="2"/>
    </font>
    <font>
      <sz val="11"/>
      <name val="Arial"/>
      <family val="2"/>
    </font>
    <font>
      <sz val="10"/>
      <color theme="1"/>
      <name val="Arial"/>
      <family val="2"/>
    </font>
    <font>
      <b/>
      <sz val="11"/>
      <color theme="9" tint="-0.249977111117893"/>
      <name val="Arial"/>
      <family val="2"/>
    </font>
    <font>
      <sz val="8"/>
      <name val="Times New Roman"/>
      <family val="1"/>
    </font>
    <font>
      <b/>
      <sz val="8"/>
      <color rgb="FF000000"/>
      <name val="Arial"/>
      <family val="2"/>
    </font>
    <font>
      <b/>
      <sz val="10"/>
      <color theme="1"/>
      <name val="Arial"/>
      <family val="2"/>
    </font>
    <font>
      <b/>
      <sz val="11"/>
      <name val="Arial"/>
      <family val="2"/>
    </font>
    <font>
      <b/>
      <sz val="11"/>
      <color rgb="FF000000"/>
      <name val="Arial"/>
      <family val="2"/>
    </font>
    <font>
      <sz val="11"/>
      <color rgb="FF000000"/>
      <name val="Arial"/>
      <family val="2"/>
    </font>
  </fonts>
  <fills count="24">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0F0"/>
        <bgColor indexed="64"/>
      </patternFill>
    </fill>
    <fill>
      <patternFill patternType="solid">
        <fgColor theme="0"/>
        <bgColor theme="0"/>
      </patternFill>
    </fill>
    <fill>
      <patternFill patternType="solid">
        <fgColor theme="8"/>
        <bgColor indexed="64"/>
      </patternFill>
    </fill>
    <fill>
      <patternFill patternType="solid">
        <fgColor theme="4"/>
        <bgColor indexed="64"/>
      </patternFill>
    </fill>
    <fill>
      <patternFill patternType="solid">
        <fgColor theme="8"/>
        <bgColor rgb="FF92D050"/>
      </patternFill>
    </fill>
    <fill>
      <patternFill patternType="solid">
        <fgColor theme="4"/>
        <bgColor rgb="FF92D050"/>
      </patternFill>
    </fill>
  </fills>
  <borders count="72">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s>
  <cellStyleXfs count="5">
    <xf numFmtId="0" fontId="0" fillId="0" borderId="0"/>
    <xf numFmtId="9" fontId="12" fillId="0" borderId="0" applyFont="0" applyFill="0" applyBorder="0" applyAlignment="0" applyProtection="0"/>
    <xf numFmtId="0" fontId="44" fillId="0" borderId="0"/>
    <xf numFmtId="0" fontId="45" fillId="0" borderId="0"/>
    <xf numFmtId="0" fontId="4" fillId="0" borderId="0"/>
  </cellStyleXfs>
  <cellXfs count="406">
    <xf numFmtId="0" fontId="0" fillId="0" borderId="0" xfId="0"/>
    <xf numFmtId="0" fontId="4" fillId="0" borderId="0" xfId="0" applyFont="1"/>
    <xf numFmtId="0" fontId="2" fillId="0" borderId="1" xfId="0" applyFont="1" applyBorder="1" applyAlignment="1">
      <alignment horizontal="left" vertical="center" wrapText="1" indent="1" readingOrder="1"/>
    </xf>
    <xf numFmtId="0" fontId="6" fillId="0" borderId="0" xfId="0" applyFont="1" applyAlignment="1">
      <alignment horizontal="center" vertical="center" wrapText="1"/>
    </xf>
    <xf numFmtId="0" fontId="7" fillId="6" borderId="0" xfId="0" applyFont="1" applyFill="1" applyAlignment="1">
      <alignment horizontal="center" vertical="center" wrapText="1" readingOrder="1"/>
    </xf>
    <xf numFmtId="0" fontId="8" fillId="5" borderId="2" xfId="0" applyFont="1" applyFill="1" applyBorder="1" applyAlignment="1">
      <alignment horizontal="center" vertical="center" wrapText="1" readingOrder="1"/>
    </xf>
    <xf numFmtId="0" fontId="8" fillId="0" borderId="2" xfId="0" applyFont="1" applyBorder="1" applyAlignment="1">
      <alignment horizontal="justify" vertical="center" wrapText="1" readingOrder="1"/>
    </xf>
    <xf numFmtId="9" fontId="8" fillId="0" borderId="2" xfId="0" applyNumberFormat="1" applyFont="1" applyBorder="1" applyAlignment="1">
      <alignment horizontal="center" vertical="center" wrapText="1" readingOrder="1"/>
    </xf>
    <xf numFmtId="0" fontId="8" fillId="7" borderId="1" xfId="0" applyFont="1" applyFill="1" applyBorder="1" applyAlignment="1">
      <alignment horizontal="center" vertical="center" wrapText="1" readingOrder="1"/>
    </xf>
    <xf numFmtId="0" fontId="8" fillId="0" borderId="1" xfId="0" applyFont="1" applyBorder="1" applyAlignment="1">
      <alignment horizontal="justify" vertical="center" wrapText="1" readingOrder="1"/>
    </xf>
    <xf numFmtId="9" fontId="8" fillId="0" borderId="1" xfId="0" applyNumberFormat="1" applyFont="1" applyBorder="1" applyAlignment="1">
      <alignment horizontal="center" vertical="center" wrapText="1" readingOrder="1"/>
    </xf>
    <xf numFmtId="0" fontId="8" fillId="4" borderId="1" xfId="0" applyFont="1" applyFill="1" applyBorder="1" applyAlignment="1">
      <alignment horizontal="center" vertical="center" wrapText="1" readingOrder="1"/>
    </xf>
    <xf numFmtId="0" fontId="8" fillId="8" borderId="1" xfId="0" applyFont="1" applyFill="1" applyBorder="1" applyAlignment="1">
      <alignment horizontal="center" vertical="center" wrapText="1" readingOrder="1"/>
    </xf>
    <xf numFmtId="0" fontId="9" fillId="9" borderId="1" xfId="0" applyFont="1" applyFill="1" applyBorder="1" applyAlignment="1">
      <alignment horizontal="center" vertical="center" wrapText="1" readingOrder="1"/>
    </xf>
    <xf numFmtId="0" fontId="13" fillId="0" borderId="0" xfId="0" applyFont="1"/>
    <xf numFmtId="0" fontId="11" fillId="0" borderId="0" xfId="0" applyFont="1"/>
    <xf numFmtId="0" fontId="25" fillId="0" borderId="0" xfId="0" applyFont="1" applyAlignment="1">
      <alignment vertical="center"/>
    </xf>
    <xf numFmtId="0" fontId="26" fillId="0" borderId="0" xfId="0" applyFont="1"/>
    <xf numFmtId="0" fontId="24" fillId="0" borderId="0" xfId="0" applyFont="1"/>
    <xf numFmtId="0" fontId="0" fillId="0" borderId="0" xfId="0" pivotButton="1"/>
    <xf numFmtId="0" fontId="10" fillId="0" borderId="0" xfId="0" applyFont="1" applyAlignment="1">
      <alignment horizontal="justify" vertical="center" wrapText="1" readingOrder="1"/>
    </xf>
    <xf numFmtId="0" fontId="27" fillId="0" borderId="0" xfId="0" applyFont="1"/>
    <xf numFmtId="0" fontId="29" fillId="6" borderId="0" xfId="0" applyFont="1" applyFill="1" applyAlignment="1">
      <alignment horizontal="center" vertical="center" wrapText="1" readingOrder="1"/>
    </xf>
    <xf numFmtId="0" fontId="30" fillId="0" borderId="2" xfId="0" applyFont="1" applyBorder="1" applyAlignment="1">
      <alignment horizontal="justify" vertical="center" wrapText="1" readingOrder="1"/>
    </xf>
    <xf numFmtId="0" fontId="30" fillId="0" borderId="1" xfId="0" applyFont="1" applyBorder="1" applyAlignment="1">
      <alignment horizontal="justify" vertical="center" wrapText="1" readingOrder="1"/>
    </xf>
    <xf numFmtId="0" fontId="30" fillId="5" borderId="2" xfId="0" applyFont="1" applyFill="1" applyBorder="1" applyAlignment="1">
      <alignment horizontal="center" vertical="center" wrapText="1" readingOrder="1"/>
    </xf>
    <xf numFmtId="0" fontId="30" fillId="7" borderId="1" xfId="0" applyFont="1" applyFill="1" applyBorder="1" applyAlignment="1">
      <alignment horizontal="center" vertical="center" wrapText="1" readingOrder="1"/>
    </xf>
    <xf numFmtId="0" fontId="30" fillId="4" borderId="1" xfId="0" applyFont="1" applyFill="1" applyBorder="1" applyAlignment="1">
      <alignment horizontal="center" vertical="center" wrapText="1" readingOrder="1"/>
    </xf>
    <xf numFmtId="0" fontId="30" fillId="8" borderId="1" xfId="0" applyFont="1" applyFill="1" applyBorder="1" applyAlignment="1">
      <alignment horizontal="center" vertical="center" wrapText="1" readingOrder="1"/>
    </xf>
    <xf numFmtId="0" fontId="31" fillId="9" borderId="1" xfId="0" applyFont="1" applyFill="1" applyBorder="1" applyAlignment="1">
      <alignment horizontal="center" vertical="center" wrapText="1" readingOrder="1"/>
    </xf>
    <xf numFmtId="0" fontId="30" fillId="0" borderId="2"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17" fillId="11" borderId="3" xfId="0" applyFont="1" applyFill="1" applyBorder="1" applyAlignment="1" applyProtection="1">
      <alignment horizontal="center" vertical="center" wrapText="1" readingOrder="1"/>
      <protection hidden="1"/>
    </xf>
    <xf numFmtId="0" fontId="17" fillId="11" borderId="10" xfId="0" applyFont="1" applyFill="1" applyBorder="1" applyAlignment="1" applyProtection="1">
      <alignment horizontal="center" vertical="center" wrapText="1" readingOrder="1"/>
      <protection hidden="1"/>
    </xf>
    <xf numFmtId="0" fontId="17" fillId="11" borderId="4" xfId="0" applyFont="1" applyFill="1" applyBorder="1" applyAlignment="1" applyProtection="1">
      <alignment horizontal="center" vertical="center" wrapText="1" readingOrder="1"/>
      <protection hidden="1"/>
    </xf>
    <xf numFmtId="0" fontId="17" fillId="12" borderId="3" xfId="0" applyFont="1" applyFill="1" applyBorder="1" applyAlignment="1" applyProtection="1">
      <alignment horizontal="center" wrapText="1" readingOrder="1"/>
      <protection hidden="1"/>
    </xf>
    <xf numFmtId="0" fontId="17" fillId="12" borderId="10" xfId="0" applyFont="1" applyFill="1" applyBorder="1" applyAlignment="1" applyProtection="1">
      <alignment horizontal="center" wrapText="1" readingOrder="1"/>
      <protection hidden="1"/>
    </xf>
    <xf numFmtId="0" fontId="17" fillId="12" borderId="4" xfId="0" applyFont="1" applyFill="1" applyBorder="1" applyAlignment="1" applyProtection="1">
      <alignment horizontal="center" wrapText="1" readingOrder="1"/>
      <protection hidden="1"/>
    </xf>
    <xf numFmtId="0" fontId="17" fillId="11" borderId="5" xfId="0" applyFont="1" applyFill="1" applyBorder="1" applyAlignment="1" applyProtection="1">
      <alignment horizontal="center" vertical="center" wrapText="1" readingOrder="1"/>
      <protection hidden="1"/>
    </xf>
    <xf numFmtId="0" fontId="17" fillId="11" borderId="0" xfId="0" applyFont="1" applyFill="1" applyAlignment="1" applyProtection="1">
      <alignment horizontal="center" vertical="center" wrapText="1" readingOrder="1"/>
      <protection hidden="1"/>
    </xf>
    <xf numFmtId="0" fontId="17" fillId="11" borderId="6" xfId="0" applyFont="1" applyFill="1" applyBorder="1" applyAlignment="1" applyProtection="1">
      <alignment horizontal="center" vertical="center" wrapText="1" readingOrder="1"/>
      <protection hidden="1"/>
    </xf>
    <xf numFmtId="0" fontId="17" fillId="12" borderId="5" xfId="0" applyFont="1" applyFill="1" applyBorder="1" applyAlignment="1" applyProtection="1">
      <alignment horizontal="center" wrapText="1" readingOrder="1"/>
      <protection hidden="1"/>
    </xf>
    <xf numFmtId="0" fontId="17" fillId="12" borderId="0" xfId="0" applyFont="1" applyFill="1" applyAlignment="1" applyProtection="1">
      <alignment horizontal="center" wrapText="1" readingOrder="1"/>
      <protection hidden="1"/>
    </xf>
    <xf numFmtId="0" fontId="17" fillId="12" borderId="6" xfId="0" applyFont="1" applyFill="1" applyBorder="1" applyAlignment="1" applyProtection="1">
      <alignment horizontal="center" wrapText="1" readingOrder="1"/>
      <protection hidden="1"/>
    </xf>
    <xf numFmtId="0" fontId="17" fillId="11" borderId="7" xfId="0" applyFont="1" applyFill="1" applyBorder="1" applyAlignment="1" applyProtection="1">
      <alignment horizontal="center" vertical="center" wrapText="1" readingOrder="1"/>
      <protection hidden="1"/>
    </xf>
    <xf numFmtId="0" fontId="17" fillId="11" borderId="9" xfId="0" applyFont="1" applyFill="1" applyBorder="1" applyAlignment="1" applyProtection="1">
      <alignment horizontal="center" vertical="center" wrapText="1" readingOrder="1"/>
      <protection hidden="1"/>
    </xf>
    <xf numFmtId="0" fontId="17" fillId="11" borderId="8" xfId="0" applyFont="1" applyFill="1" applyBorder="1" applyAlignment="1" applyProtection="1">
      <alignment horizontal="center" vertical="center" wrapText="1" readingOrder="1"/>
      <protection hidden="1"/>
    </xf>
    <xf numFmtId="0" fontId="17" fillId="12" borderId="7" xfId="0" applyFont="1" applyFill="1" applyBorder="1" applyAlignment="1" applyProtection="1">
      <alignment horizontal="center" wrapText="1" readingOrder="1"/>
      <protection hidden="1"/>
    </xf>
    <xf numFmtId="0" fontId="17" fillId="12" borderId="9" xfId="0" applyFont="1" applyFill="1" applyBorder="1" applyAlignment="1" applyProtection="1">
      <alignment horizontal="center" wrapText="1" readingOrder="1"/>
      <protection hidden="1"/>
    </xf>
    <xf numFmtId="0" fontId="17" fillId="12" borderId="8" xfId="0" applyFont="1" applyFill="1" applyBorder="1" applyAlignment="1" applyProtection="1">
      <alignment horizontal="center" wrapText="1" readingOrder="1"/>
      <protection hidden="1"/>
    </xf>
    <xf numFmtId="0" fontId="17" fillId="13" borderId="3" xfId="0" applyFont="1" applyFill="1" applyBorder="1" applyAlignment="1" applyProtection="1">
      <alignment horizontal="center" wrapText="1" readingOrder="1"/>
      <protection hidden="1"/>
    </xf>
    <xf numFmtId="0" fontId="17" fillId="13" borderId="10" xfId="0" applyFont="1" applyFill="1" applyBorder="1" applyAlignment="1" applyProtection="1">
      <alignment horizontal="center" wrapText="1" readingOrder="1"/>
      <protection hidden="1"/>
    </xf>
    <xf numFmtId="0" fontId="17" fillId="13" borderId="4" xfId="0" applyFont="1" applyFill="1" applyBorder="1" applyAlignment="1" applyProtection="1">
      <alignment horizontal="center" wrapText="1" readingOrder="1"/>
      <protection hidden="1"/>
    </xf>
    <xf numFmtId="0" fontId="17" fillId="13" borderId="5" xfId="0" applyFont="1" applyFill="1" applyBorder="1" applyAlignment="1" applyProtection="1">
      <alignment horizontal="center" wrapText="1" readingOrder="1"/>
      <protection hidden="1"/>
    </xf>
    <xf numFmtId="0" fontId="17" fillId="13" borderId="0" xfId="0" applyFont="1" applyFill="1" applyAlignment="1" applyProtection="1">
      <alignment horizontal="center" wrapText="1" readingOrder="1"/>
      <protection hidden="1"/>
    </xf>
    <xf numFmtId="0" fontId="17" fillId="13" borderId="6" xfId="0" applyFont="1" applyFill="1" applyBorder="1" applyAlignment="1" applyProtection="1">
      <alignment horizontal="center" wrapText="1" readingOrder="1"/>
      <protection hidden="1"/>
    </xf>
    <xf numFmtId="0" fontId="17" fillId="13" borderId="7" xfId="0" applyFont="1" applyFill="1" applyBorder="1" applyAlignment="1" applyProtection="1">
      <alignment horizontal="center" wrapText="1" readingOrder="1"/>
      <protection hidden="1"/>
    </xf>
    <xf numFmtId="0" fontId="17" fillId="13" borderId="9" xfId="0" applyFont="1" applyFill="1" applyBorder="1" applyAlignment="1" applyProtection="1">
      <alignment horizontal="center" wrapText="1" readingOrder="1"/>
      <protection hidden="1"/>
    </xf>
    <xf numFmtId="0" fontId="17" fillId="13" borderId="8" xfId="0" applyFont="1" applyFill="1" applyBorder="1" applyAlignment="1" applyProtection="1">
      <alignment horizontal="center" wrapText="1" readingOrder="1"/>
      <protection hidden="1"/>
    </xf>
    <xf numFmtId="0" fontId="17" fillId="5" borderId="3" xfId="0" applyFont="1" applyFill="1" applyBorder="1" applyAlignment="1" applyProtection="1">
      <alignment horizontal="center" wrapText="1" readingOrder="1"/>
      <protection hidden="1"/>
    </xf>
    <xf numFmtId="0" fontId="17" fillId="5" borderId="10" xfId="0" applyFont="1" applyFill="1" applyBorder="1" applyAlignment="1" applyProtection="1">
      <alignment horizontal="center" wrapText="1" readingOrder="1"/>
      <protection hidden="1"/>
    </xf>
    <xf numFmtId="0" fontId="17" fillId="5" borderId="4" xfId="0" applyFont="1" applyFill="1" applyBorder="1" applyAlignment="1" applyProtection="1">
      <alignment horizontal="center" wrapText="1" readingOrder="1"/>
      <protection hidden="1"/>
    </xf>
    <xf numFmtId="0" fontId="17" fillId="5" borderId="5" xfId="0" applyFont="1" applyFill="1" applyBorder="1" applyAlignment="1" applyProtection="1">
      <alignment horizontal="center" wrapText="1" readingOrder="1"/>
      <protection hidden="1"/>
    </xf>
    <xf numFmtId="0" fontId="17" fillId="5" borderId="0" xfId="0" applyFont="1" applyFill="1" applyAlignment="1" applyProtection="1">
      <alignment horizontal="center" wrapText="1" readingOrder="1"/>
      <protection hidden="1"/>
    </xf>
    <xf numFmtId="0" fontId="17" fillId="5" borderId="6" xfId="0" applyFont="1" applyFill="1" applyBorder="1" applyAlignment="1" applyProtection="1">
      <alignment horizontal="center" wrapText="1" readingOrder="1"/>
      <protection hidden="1"/>
    </xf>
    <xf numFmtId="0" fontId="17" fillId="5" borderId="7" xfId="0" applyFont="1" applyFill="1" applyBorder="1" applyAlignment="1" applyProtection="1">
      <alignment horizontal="center" wrapText="1" readingOrder="1"/>
      <protection hidden="1"/>
    </xf>
    <xf numFmtId="0" fontId="17" fillId="5" borderId="9" xfId="0" applyFont="1" applyFill="1" applyBorder="1" applyAlignment="1" applyProtection="1">
      <alignment horizontal="center" wrapText="1" readingOrder="1"/>
      <protection hidden="1"/>
    </xf>
    <xf numFmtId="0" fontId="17" fillId="5" borderId="8" xfId="0" applyFont="1" applyFill="1" applyBorder="1" applyAlignment="1" applyProtection="1">
      <alignment horizontal="center" wrapText="1" readingOrder="1"/>
      <protection hidden="1"/>
    </xf>
    <xf numFmtId="0" fontId="21" fillId="13" borderId="10" xfId="0" applyFont="1" applyFill="1" applyBorder="1" applyAlignment="1" applyProtection="1">
      <alignment horizontal="center" wrapText="1" readingOrder="1"/>
      <protection hidden="1"/>
    </xf>
    <xf numFmtId="0" fontId="0" fillId="3" borderId="0" xfId="0" applyFill="1"/>
    <xf numFmtId="0" fontId="46" fillId="3" borderId="37" xfId="2" applyFont="1" applyFill="1" applyBorder="1"/>
    <xf numFmtId="0" fontId="46" fillId="3" borderId="38" xfId="2" applyFont="1" applyFill="1" applyBorder="1"/>
    <xf numFmtId="0" fontId="46" fillId="3" borderId="39" xfId="2" applyFont="1" applyFill="1" applyBorder="1"/>
    <xf numFmtId="0" fontId="14" fillId="3" borderId="0" xfId="0" applyFont="1" applyFill="1" applyAlignment="1">
      <alignment vertical="center"/>
    </xf>
    <xf numFmtId="0" fontId="4" fillId="3" borderId="0" xfId="0" applyFont="1" applyFill="1"/>
    <xf numFmtId="0" fontId="33" fillId="3" borderId="0" xfId="0" applyFont="1" applyFill="1"/>
    <xf numFmtId="0" fontId="34" fillId="3" borderId="20" xfId="0" applyFont="1" applyFill="1" applyBorder="1" applyAlignment="1">
      <alignment horizontal="center" vertical="center" wrapText="1" readingOrder="1"/>
    </xf>
    <xf numFmtId="0" fontId="35" fillId="3" borderId="20" xfId="0" applyFont="1" applyFill="1" applyBorder="1" applyAlignment="1">
      <alignment horizontal="justify" vertical="center" wrapText="1" readingOrder="1"/>
    </xf>
    <xf numFmtId="9" fontId="34" fillId="3" borderId="29" xfId="0" applyNumberFormat="1" applyFont="1" applyFill="1" applyBorder="1" applyAlignment="1">
      <alignment horizontal="center" vertical="center" wrapText="1" readingOrder="1"/>
    </xf>
    <xf numFmtId="0" fontId="34" fillId="3" borderId="19" xfId="0" applyFont="1" applyFill="1" applyBorder="1" applyAlignment="1">
      <alignment horizontal="center" vertical="center" wrapText="1" readingOrder="1"/>
    </xf>
    <xf numFmtId="0" fontId="35" fillId="3" borderId="19" xfId="0" applyFont="1" applyFill="1" applyBorder="1" applyAlignment="1">
      <alignment horizontal="justify" vertical="center" wrapText="1" readingOrder="1"/>
    </xf>
    <xf numFmtId="9" fontId="34" fillId="3" borderId="24" xfId="0" applyNumberFormat="1" applyFont="1" applyFill="1" applyBorder="1" applyAlignment="1">
      <alignment horizontal="center" vertical="center" wrapText="1" readingOrder="1"/>
    </xf>
    <xf numFmtId="0" fontId="35" fillId="3" borderId="24" xfId="0" applyFont="1" applyFill="1" applyBorder="1" applyAlignment="1">
      <alignment horizontal="center" vertical="center" wrapText="1" readingOrder="1"/>
    </xf>
    <xf numFmtId="0" fontId="34" fillId="3" borderId="26" xfId="0" applyFont="1" applyFill="1" applyBorder="1" applyAlignment="1">
      <alignment horizontal="center" vertical="center" wrapText="1" readingOrder="1"/>
    </xf>
    <xf numFmtId="0" fontId="35" fillId="3" borderId="26" xfId="0" applyFont="1" applyFill="1" applyBorder="1" applyAlignment="1">
      <alignment horizontal="justify" vertical="center" wrapText="1" readingOrder="1"/>
    </xf>
    <xf numFmtId="0" fontId="35" fillId="3" borderId="27" xfId="0" applyFont="1" applyFill="1" applyBorder="1" applyAlignment="1">
      <alignment horizontal="center" vertical="center" wrapText="1" readingOrder="1"/>
    </xf>
    <xf numFmtId="0" fontId="43" fillId="3" borderId="0" xfId="0" applyFont="1" applyFill="1"/>
    <xf numFmtId="0" fontId="34" fillId="15" borderId="31" xfId="0" applyFont="1" applyFill="1" applyBorder="1" applyAlignment="1">
      <alignment horizontal="center" vertical="center" wrapText="1" readingOrder="1"/>
    </xf>
    <xf numFmtId="0" fontId="34" fillId="15" borderId="32" xfId="0" applyFont="1" applyFill="1" applyBorder="1" applyAlignment="1">
      <alignment horizontal="center" vertical="center" wrapText="1" readingOrder="1"/>
    </xf>
    <xf numFmtId="0" fontId="11" fillId="3" borderId="0" xfId="0" applyFont="1" applyFill="1"/>
    <xf numFmtId="0" fontId="28" fillId="3" borderId="0" xfId="0" applyFont="1" applyFill="1" applyAlignment="1">
      <alignment horizontal="center" vertical="center" wrapText="1"/>
    </xf>
    <xf numFmtId="0" fontId="10" fillId="3" borderId="0" xfId="0" applyFont="1" applyFill="1" applyAlignment="1">
      <alignment horizontal="justify" vertical="center" wrapText="1" readingOrder="1"/>
    </xf>
    <xf numFmtId="0" fontId="3" fillId="3" borderId="0" xfId="0" applyFont="1" applyFill="1" applyAlignment="1">
      <alignment vertical="center"/>
    </xf>
    <xf numFmtId="0" fontId="13" fillId="3" borderId="0" xfId="0" applyFont="1" applyFill="1"/>
    <xf numFmtId="0" fontId="3" fillId="3" borderId="0" xfId="0" applyFont="1" applyFill="1" applyAlignment="1">
      <alignment horizontal="left" vertical="center"/>
    </xf>
    <xf numFmtId="0" fontId="46" fillId="3" borderId="5" xfId="2" applyFont="1" applyFill="1" applyBorder="1"/>
    <xf numFmtId="0" fontId="51" fillId="3" borderId="0" xfId="0" applyFont="1" applyFill="1" applyAlignment="1">
      <alignment horizontal="left" vertical="center" wrapText="1"/>
    </xf>
    <xf numFmtId="0" fontId="52" fillId="3" borderId="0" xfId="0" applyFont="1" applyFill="1" applyAlignment="1">
      <alignment horizontal="left" vertical="top" wrapText="1"/>
    </xf>
    <xf numFmtId="0" fontId="46" fillId="3" borderId="0" xfId="2" applyFont="1" applyFill="1"/>
    <xf numFmtId="0" fontId="46" fillId="3" borderId="6" xfId="2" applyFont="1" applyFill="1" applyBorder="1"/>
    <xf numFmtId="0" fontId="46" fillId="3" borderId="7" xfId="2" applyFont="1" applyFill="1" applyBorder="1"/>
    <xf numFmtId="0" fontId="46" fillId="3" borderId="9" xfId="2" applyFont="1" applyFill="1" applyBorder="1"/>
    <xf numFmtId="0" fontId="46" fillId="3" borderId="8" xfId="2" applyFont="1" applyFill="1" applyBorder="1"/>
    <xf numFmtId="0" fontId="50" fillId="3" borderId="0" xfId="2" applyFont="1" applyFill="1" applyAlignment="1">
      <alignment horizontal="left" vertical="center" wrapText="1"/>
    </xf>
    <xf numFmtId="0" fontId="46" fillId="3" borderId="0" xfId="2" applyFont="1" applyFill="1" applyAlignment="1">
      <alignment horizontal="left" vertical="center" wrapText="1"/>
    </xf>
    <xf numFmtId="0" fontId="46" fillId="3" borderId="0" xfId="2" quotePrefix="1" applyFont="1" applyFill="1" applyAlignment="1">
      <alignment horizontal="left" vertical="center" wrapText="1"/>
    </xf>
    <xf numFmtId="0" fontId="48" fillId="3" borderId="5" xfId="2" quotePrefix="1" applyFont="1" applyFill="1" applyBorder="1" applyAlignment="1">
      <alignment horizontal="left" vertical="top" wrapText="1"/>
    </xf>
    <xf numFmtId="0" fontId="49" fillId="3" borderId="0" xfId="2" quotePrefix="1" applyFont="1" applyFill="1" applyAlignment="1">
      <alignment horizontal="left" vertical="top" wrapText="1"/>
    </xf>
    <xf numFmtId="0" fontId="49" fillId="3" borderId="6" xfId="2" quotePrefix="1" applyFont="1" applyFill="1" applyBorder="1" applyAlignment="1">
      <alignment horizontal="left" vertical="top" wrapText="1"/>
    </xf>
    <xf numFmtId="0" fontId="56" fillId="3" borderId="0" xfId="0" applyFont="1" applyFill="1"/>
    <xf numFmtId="0" fontId="56" fillId="0" borderId="0" xfId="0" applyFont="1"/>
    <xf numFmtId="0" fontId="57" fillId="3" borderId="0" xfId="0" applyFont="1" applyFill="1" applyAlignment="1">
      <alignment horizontal="center" vertical="center"/>
    </xf>
    <xf numFmtId="0" fontId="57" fillId="2" borderId="0" xfId="0" applyFont="1" applyFill="1" applyAlignment="1">
      <alignment horizontal="center" vertical="center"/>
    </xf>
    <xf numFmtId="0" fontId="57" fillId="0" borderId="0" xfId="0" applyFont="1" applyAlignment="1">
      <alignment horizontal="left" vertical="center"/>
    </xf>
    <xf numFmtId="0" fontId="56" fillId="0" borderId="0" xfId="0" applyFont="1" applyAlignment="1">
      <alignment horizontal="center" vertical="center"/>
    </xf>
    <xf numFmtId="0" fontId="56" fillId="0" borderId="0" xfId="0" applyFont="1" applyAlignment="1">
      <alignment horizontal="center"/>
    </xf>
    <xf numFmtId="0" fontId="56" fillId="0" borderId="19" xfId="0" applyFont="1" applyBorder="1" applyAlignment="1">
      <alignment horizontal="center" vertical="center"/>
    </xf>
    <xf numFmtId="0" fontId="59" fillId="0" borderId="19" xfId="0" applyFont="1" applyBorder="1" applyAlignment="1" applyProtection="1">
      <alignment horizontal="justify" vertical="center" wrapText="1"/>
      <protection locked="0"/>
    </xf>
    <xf numFmtId="0" fontId="56" fillId="0" borderId="19" xfId="0" applyFont="1" applyBorder="1" applyAlignment="1" applyProtection="1">
      <alignment horizontal="center" vertical="center"/>
      <protection hidden="1"/>
    </xf>
    <xf numFmtId="0" fontId="56" fillId="0" borderId="19" xfId="0" applyFont="1" applyBorder="1" applyAlignment="1" applyProtection="1">
      <alignment horizontal="center" vertical="center" textRotation="90"/>
      <protection locked="0"/>
    </xf>
    <xf numFmtId="9" fontId="56" fillId="0" borderId="19" xfId="0" applyNumberFormat="1" applyFont="1" applyBorder="1" applyAlignment="1" applyProtection="1">
      <alignment horizontal="center" vertical="center"/>
      <protection hidden="1"/>
    </xf>
    <xf numFmtId="164" fontId="56" fillId="0" borderId="19" xfId="1" applyNumberFormat="1" applyFont="1" applyBorder="1" applyAlignment="1">
      <alignment horizontal="center" vertical="center"/>
    </xf>
    <xf numFmtId="0" fontId="57" fillId="0" borderId="19" xfId="0" applyFont="1" applyBorder="1" applyAlignment="1" applyProtection="1">
      <alignment horizontal="center" vertical="center" textRotation="90" wrapText="1"/>
      <protection hidden="1"/>
    </xf>
    <xf numFmtId="0" fontId="57" fillId="0" borderId="19" xfId="0" applyFont="1" applyBorder="1" applyAlignment="1" applyProtection="1">
      <alignment horizontal="center" vertical="center" textRotation="90"/>
      <protection hidden="1"/>
    </xf>
    <xf numFmtId="0" fontId="56" fillId="0" borderId="19" xfId="0" applyFont="1" applyBorder="1" applyAlignment="1" applyProtection="1">
      <alignment horizontal="center" vertical="center" wrapText="1"/>
      <protection locked="0"/>
    </xf>
    <xf numFmtId="14" fontId="56" fillId="0" borderId="19" xfId="0" applyNumberFormat="1" applyFont="1" applyBorder="1" applyAlignment="1" applyProtection="1">
      <alignment horizontal="center" vertical="center"/>
      <protection locked="0"/>
    </xf>
    <xf numFmtId="164" fontId="56" fillId="9" borderId="19" xfId="1" applyNumberFormat="1" applyFont="1" applyFill="1" applyBorder="1" applyAlignment="1">
      <alignment horizontal="center" vertical="center"/>
    </xf>
    <xf numFmtId="0" fontId="57" fillId="18" borderId="19" xfId="0" applyFont="1" applyFill="1" applyBorder="1" applyAlignment="1">
      <alignment horizontal="center" vertical="center" textRotation="90"/>
    </xf>
    <xf numFmtId="0" fontId="55" fillId="3" borderId="0" xfId="0" applyFont="1" applyFill="1" applyAlignment="1">
      <alignment vertical="center"/>
    </xf>
    <xf numFmtId="0" fontId="61" fillId="0" borderId="55" xfId="0" applyFont="1" applyBorder="1" applyAlignment="1">
      <alignment vertical="center"/>
    </xf>
    <xf numFmtId="0" fontId="62" fillId="0" borderId="55" xfId="0" applyFont="1" applyBorder="1" applyAlignment="1">
      <alignment horizontal="center" vertical="center" wrapText="1"/>
    </xf>
    <xf numFmtId="0" fontId="56" fillId="3" borderId="55" xfId="0" applyFont="1" applyFill="1" applyBorder="1"/>
    <xf numFmtId="0" fontId="59" fillId="3" borderId="0" xfId="0" applyFont="1" applyFill="1"/>
    <xf numFmtId="0" fontId="59" fillId="0" borderId="0" xfId="0" applyFont="1"/>
    <xf numFmtId="0" fontId="55" fillId="19" borderId="0" xfId="0" applyFont="1" applyFill="1" applyAlignment="1">
      <alignment vertical="center"/>
    </xf>
    <xf numFmtId="0" fontId="0" fillId="19" borderId="0" xfId="0" applyFill="1"/>
    <xf numFmtId="0" fontId="56" fillId="0" borderId="67" xfId="0" applyFont="1" applyBorder="1" applyAlignment="1">
      <alignment horizontal="center" vertical="center" wrapText="1"/>
    </xf>
    <xf numFmtId="0" fontId="0" fillId="0" borderId="67" xfId="0" applyBorder="1" applyAlignment="1">
      <alignment horizontal="center" vertical="center" wrapText="1"/>
    </xf>
    <xf numFmtId="0" fontId="0" fillId="3" borderId="67" xfId="0" applyFill="1" applyBorder="1" applyAlignment="1">
      <alignment horizontal="center" vertical="center"/>
    </xf>
    <xf numFmtId="0" fontId="0" fillId="0" borderId="67" xfId="0" applyBorder="1" applyAlignment="1">
      <alignment horizontal="center" vertical="center"/>
    </xf>
    <xf numFmtId="165" fontId="0" fillId="0" borderId="67" xfId="0" applyNumberFormat="1" applyBorder="1" applyAlignment="1">
      <alignment horizontal="center" vertical="center"/>
    </xf>
    <xf numFmtId="14" fontId="56" fillId="0" borderId="67" xfId="0" applyNumberFormat="1" applyFont="1" applyBorder="1" applyAlignment="1">
      <alignment horizontal="center" vertical="center" wrapText="1"/>
    </xf>
    <xf numFmtId="0" fontId="65" fillId="0" borderId="55" xfId="0" applyFont="1" applyBorder="1" applyAlignment="1">
      <alignment horizontal="center" vertical="center" wrapText="1"/>
    </xf>
    <xf numFmtId="0" fontId="64" fillId="0" borderId="55" xfId="0" applyFont="1" applyBorder="1" applyAlignment="1">
      <alignment horizontal="center" vertical="center" wrapText="1"/>
    </xf>
    <xf numFmtId="0" fontId="47" fillId="14" borderId="34" xfId="2" applyFont="1" applyFill="1" applyBorder="1" applyAlignment="1">
      <alignment horizontal="center" vertical="center" wrapText="1"/>
    </xf>
    <xf numFmtId="0" fontId="47" fillId="14" borderId="35" xfId="2" applyFont="1" applyFill="1" applyBorder="1" applyAlignment="1">
      <alignment horizontal="center" vertical="center" wrapText="1"/>
    </xf>
    <xf numFmtId="0" fontId="47" fillId="14" borderId="36" xfId="2" applyFont="1" applyFill="1" applyBorder="1" applyAlignment="1">
      <alignment horizontal="center" vertical="center" wrapText="1"/>
    </xf>
    <xf numFmtId="0" fontId="46" fillId="0" borderId="5" xfId="2" quotePrefix="1" applyFont="1" applyBorder="1" applyAlignment="1">
      <alignment horizontal="left" vertical="center" wrapText="1"/>
    </xf>
    <xf numFmtId="0" fontId="46" fillId="0" borderId="0" xfId="2" quotePrefix="1" applyFont="1" applyAlignment="1">
      <alignment horizontal="left" vertical="center" wrapText="1"/>
    </xf>
    <xf numFmtId="0" fontId="46" fillId="0" borderId="6" xfId="2" quotePrefix="1" applyFont="1" applyBorder="1" applyAlignment="1">
      <alignment horizontal="left" vertical="center" wrapText="1"/>
    </xf>
    <xf numFmtId="0" fontId="46" fillId="0" borderId="54" xfId="2" quotePrefix="1" applyFont="1" applyBorder="1" applyAlignment="1">
      <alignment horizontal="left" vertical="center" wrapText="1"/>
    </xf>
    <xf numFmtId="0" fontId="46" fillId="0" borderId="55" xfId="2" quotePrefix="1" applyFont="1" applyBorder="1" applyAlignment="1">
      <alignment horizontal="left" vertical="center" wrapText="1"/>
    </xf>
    <xf numFmtId="0" fontId="46" fillId="0" borderId="56" xfId="2" quotePrefix="1" applyFont="1" applyBorder="1" applyAlignment="1">
      <alignment horizontal="left" vertical="center" wrapText="1"/>
    </xf>
    <xf numFmtId="0" fontId="48" fillId="3" borderId="37" xfId="2" quotePrefix="1" applyFont="1" applyFill="1" applyBorder="1" applyAlignment="1">
      <alignment horizontal="left" vertical="top" wrapText="1"/>
    </xf>
    <xf numFmtId="0" fontId="49" fillId="3" borderId="38" xfId="2" quotePrefix="1" applyFont="1" applyFill="1" applyBorder="1" applyAlignment="1">
      <alignment horizontal="left" vertical="top" wrapText="1"/>
    </xf>
    <xf numFmtId="0" fontId="49" fillId="3" borderId="39" xfId="2" quotePrefix="1" applyFont="1" applyFill="1" applyBorder="1" applyAlignment="1">
      <alignment horizontal="left" vertical="top" wrapText="1"/>
    </xf>
    <xf numFmtId="0" fontId="46" fillId="0" borderId="5" xfId="2" quotePrefix="1" applyFont="1" applyBorder="1" applyAlignment="1">
      <alignment horizontal="left" vertical="top" wrapText="1"/>
    </xf>
    <xf numFmtId="0" fontId="46" fillId="0" borderId="0" xfId="2" quotePrefix="1" applyFont="1" applyAlignment="1">
      <alignment horizontal="left" vertical="top" wrapText="1"/>
    </xf>
    <xf numFmtId="0" fontId="46" fillId="0" borderId="6" xfId="2" quotePrefix="1" applyFont="1" applyBorder="1" applyAlignment="1">
      <alignment horizontal="left" vertical="top" wrapText="1"/>
    </xf>
    <xf numFmtId="0" fontId="51" fillId="14" borderId="40" xfId="3" applyFont="1" applyFill="1" applyBorder="1" applyAlignment="1">
      <alignment horizontal="center" vertical="center" wrapText="1"/>
    </xf>
    <xf numFmtId="0" fontId="51" fillId="14" borderId="41" xfId="3" applyFont="1" applyFill="1" applyBorder="1" applyAlignment="1">
      <alignment horizontal="center" vertical="center" wrapText="1"/>
    </xf>
    <xf numFmtId="0" fontId="51" fillId="14" borderId="42" xfId="2" applyFont="1" applyFill="1" applyBorder="1" applyAlignment="1">
      <alignment horizontal="center" vertical="center"/>
    </xf>
    <xf numFmtId="0" fontId="51" fillId="14" borderId="43" xfId="2" applyFont="1" applyFill="1" applyBorder="1" applyAlignment="1">
      <alignment horizontal="center" vertical="center"/>
    </xf>
    <xf numFmtId="0" fontId="1" fillId="3" borderId="54" xfId="2" quotePrefix="1" applyFont="1" applyFill="1" applyBorder="1" applyAlignment="1">
      <alignment horizontal="justify" vertical="center" wrapText="1"/>
    </xf>
    <xf numFmtId="0" fontId="1" fillId="3" borderId="55" xfId="2" quotePrefix="1" applyFont="1" applyFill="1" applyBorder="1" applyAlignment="1">
      <alignment horizontal="justify" vertical="center" wrapText="1"/>
    </xf>
    <xf numFmtId="0" fontId="1" fillId="3" borderId="56" xfId="2" quotePrefix="1" applyFont="1" applyFill="1" applyBorder="1" applyAlignment="1">
      <alignment horizontal="justify" vertical="center" wrapText="1"/>
    </xf>
    <xf numFmtId="0" fontId="51" fillId="3" borderId="44" xfId="3" applyFont="1" applyFill="1" applyBorder="1" applyAlignment="1">
      <alignment horizontal="left" vertical="top" wrapText="1" readingOrder="1"/>
    </xf>
    <xf numFmtId="0" fontId="51" fillId="3" borderId="45" xfId="3" applyFont="1" applyFill="1" applyBorder="1" applyAlignment="1">
      <alignment horizontal="left" vertical="top" wrapText="1" readingOrder="1"/>
    </xf>
    <xf numFmtId="0" fontId="52" fillId="3" borderId="46" xfId="2" applyFont="1" applyFill="1" applyBorder="1" applyAlignment="1">
      <alignment horizontal="justify" vertical="center" wrapText="1"/>
    </xf>
    <xf numFmtId="0" fontId="52" fillId="3" borderId="47" xfId="2" applyFont="1" applyFill="1" applyBorder="1" applyAlignment="1">
      <alignment horizontal="justify" vertical="center" wrapText="1"/>
    </xf>
    <xf numFmtId="0" fontId="51" fillId="3" borderId="48" xfId="0" applyFont="1" applyFill="1" applyBorder="1" applyAlignment="1">
      <alignment horizontal="left" vertical="center" wrapText="1"/>
    </xf>
    <xf numFmtId="0" fontId="51" fillId="3" borderId="49" xfId="0" applyFont="1" applyFill="1" applyBorder="1" applyAlignment="1">
      <alignment horizontal="left" vertical="center" wrapText="1"/>
    </xf>
    <xf numFmtId="0" fontId="52" fillId="3" borderId="50" xfId="2" applyFont="1" applyFill="1" applyBorder="1" applyAlignment="1">
      <alignment horizontal="justify" vertical="center" wrapText="1"/>
    </xf>
    <xf numFmtId="0" fontId="52" fillId="3" borderId="51" xfId="2" applyFont="1" applyFill="1" applyBorder="1" applyAlignment="1">
      <alignment horizontal="justify" vertical="center" wrapText="1"/>
    </xf>
    <xf numFmtId="0" fontId="46" fillId="3" borderId="5" xfId="2" applyFont="1" applyFill="1" applyBorder="1" applyAlignment="1">
      <alignment horizontal="left" vertical="top" wrapText="1"/>
    </xf>
    <xf numFmtId="0" fontId="46" fillId="3" borderId="0" xfId="2" applyFont="1" applyFill="1" applyAlignment="1">
      <alignment horizontal="left" vertical="top" wrapText="1"/>
    </xf>
    <xf numFmtId="0" fontId="46" fillId="3" borderId="6" xfId="2" applyFont="1" applyFill="1" applyBorder="1" applyAlignment="1">
      <alignment horizontal="left" vertical="top" wrapText="1"/>
    </xf>
    <xf numFmtId="0" fontId="51" fillId="3" borderId="57" xfId="0" applyFont="1" applyFill="1" applyBorder="1" applyAlignment="1">
      <alignment horizontal="left" vertical="center" wrapText="1"/>
    </xf>
    <xf numFmtId="0" fontId="51" fillId="3" borderId="58" xfId="0" applyFont="1" applyFill="1" applyBorder="1" applyAlignment="1">
      <alignment horizontal="left" vertical="center" wrapText="1"/>
    </xf>
    <xf numFmtId="0" fontId="51" fillId="3" borderId="59" xfId="0" applyFont="1" applyFill="1" applyBorder="1" applyAlignment="1">
      <alignment horizontal="left" vertical="center" wrapText="1"/>
    </xf>
    <xf numFmtId="0" fontId="51" fillId="3" borderId="60" xfId="0" applyFont="1" applyFill="1" applyBorder="1" applyAlignment="1">
      <alignment horizontal="left" vertical="center" wrapText="1"/>
    </xf>
    <xf numFmtId="0" fontId="52" fillId="3" borderId="52" xfId="0" applyFont="1" applyFill="1" applyBorder="1" applyAlignment="1">
      <alignment horizontal="justify" vertical="center" wrapText="1"/>
    </xf>
    <xf numFmtId="0" fontId="52" fillId="3" borderId="53" xfId="0" applyFont="1" applyFill="1" applyBorder="1" applyAlignment="1">
      <alignment horizontal="justify" vertical="center" wrapText="1"/>
    </xf>
    <xf numFmtId="0" fontId="59" fillId="3" borderId="0" xfId="0" applyFont="1" applyFill="1" applyAlignment="1">
      <alignment horizontal="left" vertical="center"/>
    </xf>
    <xf numFmtId="0" fontId="61" fillId="0" borderId="19" xfId="0" applyFont="1" applyBorder="1" applyAlignment="1">
      <alignment horizontal="center" vertical="center"/>
    </xf>
    <xf numFmtId="0" fontId="65" fillId="3" borderId="19" xfId="0" applyFont="1" applyFill="1" applyBorder="1" applyAlignment="1">
      <alignment horizontal="center" vertical="center" wrapText="1"/>
    </xf>
    <xf numFmtId="0" fontId="64" fillId="0" borderId="19" xfId="0" applyFont="1" applyBorder="1" applyAlignment="1">
      <alignment horizontal="center" vertical="center" wrapText="1"/>
    </xf>
    <xf numFmtId="0" fontId="65" fillId="0" borderId="19" xfId="0" applyFont="1" applyBorder="1" applyAlignment="1">
      <alignment horizontal="center" vertical="center" wrapText="1"/>
    </xf>
    <xf numFmtId="0" fontId="63" fillId="3" borderId="19" xfId="0" applyFont="1" applyFill="1" applyBorder="1" applyAlignment="1" applyProtection="1">
      <alignment horizontal="left" vertical="center"/>
      <protection locked="0"/>
    </xf>
    <xf numFmtId="0" fontId="63" fillId="16" borderId="19" xfId="0" applyFont="1" applyFill="1" applyBorder="1" applyAlignment="1">
      <alignment horizontal="left" vertical="center"/>
    </xf>
    <xf numFmtId="0" fontId="57" fillId="18" borderId="19" xfId="0" applyFont="1" applyFill="1" applyBorder="1" applyAlignment="1">
      <alignment horizontal="center" vertical="center" wrapText="1"/>
    </xf>
    <xf numFmtId="9" fontId="56" fillId="0" borderId="19" xfId="0" applyNumberFormat="1" applyFont="1" applyBorder="1" applyAlignment="1" applyProtection="1">
      <alignment horizontal="center" vertical="center" wrapText="1"/>
      <protection locked="0"/>
    </xf>
    <xf numFmtId="9" fontId="56" fillId="0" borderId="19" xfId="0" applyNumberFormat="1" applyFont="1" applyBorder="1" applyAlignment="1" applyProtection="1">
      <alignment horizontal="center" vertical="center" wrapText="1"/>
      <protection hidden="1"/>
    </xf>
    <xf numFmtId="0" fontId="57" fillId="0" borderId="19" xfId="0" applyFont="1" applyBorder="1" applyAlignment="1" applyProtection="1">
      <alignment horizontal="center" vertical="center" wrapText="1"/>
      <protection hidden="1"/>
    </xf>
    <xf numFmtId="0" fontId="57" fillId="0" borderId="19" xfId="0" applyFont="1" applyBorder="1" applyAlignment="1" applyProtection="1">
      <alignment horizontal="center" vertical="center"/>
      <protection hidden="1"/>
    </xf>
    <xf numFmtId="0" fontId="57" fillId="17" borderId="19" xfId="0" applyFont="1" applyFill="1" applyBorder="1" applyAlignment="1">
      <alignment horizontal="center" vertical="center" textRotation="90" wrapText="1"/>
    </xf>
    <xf numFmtId="0" fontId="57" fillId="0" borderId="61" xfId="0" applyFont="1" applyBorder="1" applyAlignment="1" applyProtection="1">
      <alignment horizontal="center" vertical="center" textRotation="90" wrapText="1"/>
      <protection hidden="1"/>
    </xf>
    <xf numFmtId="0" fontId="57" fillId="0" borderId="68" xfId="0" applyFont="1" applyBorder="1" applyAlignment="1" applyProtection="1">
      <alignment horizontal="center" vertical="center" textRotation="90" wrapText="1"/>
      <protection hidden="1"/>
    </xf>
    <xf numFmtId="0" fontId="57" fillId="0" borderId="20" xfId="0" applyFont="1" applyBorder="1" applyAlignment="1" applyProtection="1">
      <alignment horizontal="center" vertical="center" textRotation="90" wrapText="1"/>
      <protection hidden="1"/>
    </xf>
    <xf numFmtId="0" fontId="57" fillId="18" borderId="19" xfId="0" applyFont="1" applyFill="1" applyBorder="1" applyAlignment="1">
      <alignment horizontal="center" vertical="center" textRotation="90" wrapText="1"/>
    </xf>
    <xf numFmtId="0" fontId="63" fillId="16" borderId="61" xfId="0" applyFont="1" applyFill="1" applyBorder="1" applyAlignment="1">
      <alignment horizontal="left" vertical="center"/>
    </xf>
    <xf numFmtId="0" fontId="63" fillId="3" borderId="19" xfId="0" applyFont="1" applyFill="1" applyBorder="1" applyAlignment="1">
      <alignment horizontal="center" vertical="center" textRotation="90"/>
    </xf>
    <xf numFmtId="0" fontId="57" fillId="3" borderId="19" xfId="0" applyFont="1" applyFill="1" applyBorder="1" applyAlignment="1">
      <alignment horizontal="center" vertical="center" wrapText="1"/>
    </xf>
    <xf numFmtId="0" fontId="57" fillId="3" borderId="19" xfId="0" applyFont="1" applyFill="1" applyBorder="1" applyAlignment="1">
      <alignment horizontal="center" vertical="center"/>
    </xf>
    <xf numFmtId="0" fontId="59" fillId="3" borderId="19" xfId="0" applyFont="1" applyFill="1" applyBorder="1" applyAlignment="1" applyProtection="1">
      <alignment horizontal="left" vertical="center" wrapText="1"/>
      <protection locked="0"/>
    </xf>
    <xf numFmtId="0" fontId="59" fillId="3" borderId="19" xfId="0" applyFont="1" applyFill="1" applyBorder="1" applyAlignment="1" applyProtection="1">
      <alignment horizontal="left" vertical="center"/>
      <protection locked="0"/>
    </xf>
    <xf numFmtId="0" fontId="59" fillId="3" borderId="61" xfId="0" applyFont="1" applyFill="1" applyBorder="1" applyAlignment="1" applyProtection="1">
      <alignment horizontal="left" vertical="center" wrapText="1"/>
      <protection locked="0"/>
    </xf>
    <xf numFmtId="0" fontId="57" fillId="5" borderId="19" xfId="0" applyFont="1" applyFill="1" applyBorder="1" applyAlignment="1">
      <alignment horizontal="center" vertical="center"/>
    </xf>
    <xf numFmtId="0" fontId="56" fillId="0" borderId="19" xfId="0" applyFont="1" applyBorder="1" applyAlignment="1">
      <alignment horizontal="left" vertical="center" wrapText="1"/>
    </xf>
    <xf numFmtId="0" fontId="57" fillId="5" borderId="19" xfId="0" applyFont="1" applyFill="1" applyBorder="1" applyAlignment="1">
      <alignment horizontal="center" vertical="center" wrapText="1"/>
    </xf>
    <xf numFmtId="0" fontId="56" fillId="0" borderId="61" xfId="0" applyFont="1" applyBorder="1" applyAlignment="1">
      <alignment horizontal="center" vertical="center"/>
    </xf>
    <xf numFmtId="0" fontId="56" fillId="0" borderId="68" xfId="0" applyFont="1" applyBorder="1" applyAlignment="1">
      <alignment horizontal="center" vertical="center"/>
    </xf>
    <xf numFmtId="0" fontId="56" fillId="0" borderId="20" xfId="0" applyFont="1" applyBorder="1" applyAlignment="1">
      <alignment horizontal="center" vertical="center"/>
    </xf>
    <xf numFmtId="0" fontId="56" fillId="0" borderId="61" xfId="0" applyFont="1" applyBorder="1" applyAlignment="1" applyProtection="1">
      <alignment horizontal="center" vertical="center" wrapText="1"/>
      <protection locked="0"/>
    </xf>
    <xf numFmtId="0" fontId="56" fillId="0" borderId="68" xfId="0" applyFont="1" applyBorder="1" applyAlignment="1" applyProtection="1">
      <alignment horizontal="center" vertical="center" wrapText="1"/>
      <protection locked="0"/>
    </xf>
    <xf numFmtId="0" fontId="56" fillId="0" borderId="20" xfId="0" applyFont="1" applyBorder="1" applyAlignment="1" applyProtection="1">
      <alignment horizontal="center" vertical="center" wrapText="1"/>
      <protection locked="0"/>
    </xf>
    <xf numFmtId="0" fontId="56" fillId="0" borderId="61" xfId="0" applyFont="1" applyBorder="1" applyAlignment="1" applyProtection="1">
      <alignment horizontal="center" vertical="center"/>
      <protection hidden="1"/>
    </xf>
    <xf numFmtId="0" fontId="56" fillId="0" borderId="68" xfId="0" applyFont="1" applyBorder="1" applyAlignment="1" applyProtection="1">
      <alignment horizontal="center" vertical="center"/>
      <protection hidden="1"/>
    </xf>
    <xf numFmtId="0" fontId="56" fillId="0" borderId="20" xfId="0" applyFont="1" applyBorder="1" applyAlignment="1" applyProtection="1">
      <alignment horizontal="center" vertical="center"/>
      <protection hidden="1"/>
    </xf>
    <xf numFmtId="0" fontId="56" fillId="0" borderId="61" xfId="0" applyFont="1" applyBorder="1" applyAlignment="1" applyProtection="1">
      <alignment horizontal="center" vertical="center" textRotation="90"/>
      <protection locked="0"/>
    </xf>
    <xf numFmtId="0" fontId="56" fillId="0" borderId="68" xfId="0" applyFont="1" applyBorder="1" applyAlignment="1" applyProtection="1">
      <alignment horizontal="center" vertical="center" textRotation="90"/>
      <protection locked="0"/>
    </xf>
    <xf numFmtId="0" fontId="56" fillId="0" borderId="20" xfId="0" applyFont="1" applyBorder="1" applyAlignment="1" applyProtection="1">
      <alignment horizontal="center" vertical="center" textRotation="90"/>
      <protection locked="0"/>
    </xf>
    <xf numFmtId="9" fontId="56" fillId="0" borderId="61" xfId="0" applyNumberFormat="1" applyFont="1" applyBorder="1" applyAlignment="1" applyProtection="1">
      <alignment horizontal="center" vertical="center"/>
      <protection hidden="1"/>
    </xf>
    <xf numFmtId="9" fontId="56" fillId="0" borderId="68" xfId="0" applyNumberFormat="1" applyFont="1" applyBorder="1" applyAlignment="1" applyProtection="1">
      <alignment horizontal="center" vertical="center"/>
      <protection hidden="1"/>
    </xf>
    <xf numFmtId="9" fontId="56" fillId="0" borderId="20" xfId="0" applyNumberFormat="1" applyFont="1" applyBorder="1" applyAlignment="1" applyProtection="1">
      <alignment horizontal="center" vertical="center"/>
      <protection hidden="1"/>
    </xf>
    <xf numFmtId="0" fontId="57" fillId="0" borderId="61" xfId="0" applyFont="1" applyBorder="1" applyAlignment="1" applyProtection="1">
      <alignment horizontal="center" vertical="center" textRotation="90"/>
      <protection hidden="1"/>
    </xf>
    <xf numFmtId="0" fontId="57" fillId="0" borderId="68" xfId="0" applyFont="1" applyBorder="1" applyAlignment="1" applyProtection="1">
      <alignment horizontal="center" vertical="center" textRotation="90"/>
      <protection hidden="1"/>
    </xf>
    <xf numFmtId="0" fontId="57" fillId="0" borderId="20" xfId="0" applyFont="1" applyBorder="1" applyAlignment="1" applyProtection="1">
      <alignment horizontal="center" vertical="center" textRotation="90"/>
      <protection hidden="1"/>
    </xf>
    <xf numFmtId="0" fontId="57" fillId="18" borderId="19" xfId="0" applyFont="1" applyFill="1" applyBorder="1" applyAlignment="1">
      <alignment horizontal="center" vertical="center"/>
    </xf>
    <xf numFmtId="0" fontId="57" fillId="17" borderId="19" xfId="0" applyFont="1" applyFill="1" applyBorder="1" applyAlignment="1">
      <alignment horizontal="center" vertical="center"/>
    </xf>
    <xf numFmtId="0" fontId="56" fillId="0" borderId="19" xfId="0" applyFont="1" applyBorder="1" applyAlignment="1">
      <alignment horizontal="center" vertical="center"/>
    </xf>
    <xf numFmtId="0" fontId="56" fillId="0" borderId="19" xfId="0" applyFont="1" applyBorder="1" applyAlignment="1" applyProtection="1">
      <alignment horizontal="center" vertical="center" wrapText="1"/>
      <protection locked="0"/>
    </xf>
    <xf numFmtId="0" fontId="58" fillId="0" borderId="19" xfId="0" applyFont="1" applyBorder="1" applyAlignment="1" applyProtection="1">
      <alignment horizontal="center" vertical="center" wrapText="1"/>
      <protection locked="0"/>
    </xf>
    <xf numFmtId="0" fontId="56" fillId="0" borderId="19" xfId="0" applyFont="1" applyBorder="1" applyAlignment="1" applyProtection="1">
      <alignment horizontal="center" vertical="center"/>
      <protection locked="0"/>
    </xf>
    <xf numFmtId="0" fontId="64" fillId="20" borderId="62" xfId="4" applyFont="1" applyFill="1" applyBorder="1" applyAlignment="1">
      <alignment horizontal="center" wrapText="1"/>
    </xf>
    <xf numFmtId="0" fontId="64" fillId="20" borderId="62" xfId="4" applyFont="1" applyFill="1" applyBorder="1" applyAlignment="1">
      <alignment horizontal="center"/>
    </xf>
    <xf numFmtId="0" fontId="64" fillId="20" borderId="63" xfId="4" applyFont="1" applyFill="1" applyBorder="1" applyAlignment="1">
      <alignment horizontal="center"/>
    </xf>
    <xf numFmtId="0" fontId="64" fillId="21" borderId="62" xfId="4" applyFont="1" applyFill="1" applyBorder="1" applyAlignment="1">
      <alignment horizontal="center" wrapText="1"/>
    </xf>
    <xf numFmtId="0" fontId="64" fillId="21" borderId="62" xfId="4" applyFont="1" applyFill="1" applyBorder="1" applyAlignment="1">
      <alignment horizontal="center"/>
    </xf>
    <xf numFmtId="0" fontId="64" fillId="21" borderId="63" xfId="4" applyFont="1" applyFill="1" applyBorder="1" applyAlignment="1">
      <alignment horizontal="center"/>
    </xf>
    <xf numFmtId="0" fontId="57" fillId="22" borderId="64" xfId="4" applyFont="1" applyFill="1" applyBorder="1" applyAlignment="1">
      <alignment horizontal="center" vertical="center" wrapText="1"/>
    </xf>
    <xf numFmtId="0" fontId="58" fillId="20" borderId="65" xfId="4" applyFont="1" applyFill="1" applyBorder="1"/>
    <xf numFmtId="0" fontId="57" fillId="23" borderId="64" xfId="4" applyFont="1" applyFill="1" applyBorder="1" applyAlignment="1">
      <alignment horizontal="center" vertical="center" wrapText="1"/>
    </xf>
    <xf numFmtId="0" fontId="58" fillId="21" borderId="65" xfId="4" applyFont="1" applyFill="1" applyBorder="1"/>
    <xf numFmtId="0" fontId="58" fillId="20" borderId="66" xfId="4" applyFont="1" applyFill="1" applyBorder="1"/>
    <xf numFmtId="0" fontId="56" fillId="0" borderId="64" xfId="0" applyFont="1" applyBorder="1" applyAlignment="1">
      <alignment horizontal="center" vertical="center" wrapText="1"/>
    </xf>
    <xf numFmtId="0" fontId="56" fillId="0" borderId="66" xfId="0" applyFont="1" applyBorder="1" applyAlignment="1">
      <alignment horizontal="center" vertical="center" wrapText="1"/>
    </xf>
    <xf numFmtId="0" fontId="56" fillId="0" borderId="65" xfId="0" applyFont="1" applyBorder="1" applyAlignment="1">
      <alignment horizontal="center" vertical="center" wrapText="1"/>
    </xf>
    <xf numFmtId="14" fontId="56" fillId="0" borderId="61" xfId="0" applyNumberFormat="1" applyFont="1" applyBorder="1" applyAlignment="1" applyProtection="1">
      <alignment horizontal="center" vertical="center"/>
      <protection locked="0"/>
    </xf>
    <xf numFmtId="14" fontId="56" fillId="0" borderId="68" xfId="0" applyNumberFormat="1" applyFont="1" applyBorder="1" applyAlignment="1" applyProtection="1">
      <alignment horizontal="center" vertical="center"/>
      <protection locked="0"/>
    </xf>
    <xf numFmtId="14" fontId="56" fillId="0" borderId="20" xfId="0" applyNumberFormat="1" applyFont="1" applyBorder="1" applyAlignment="1" applyProtection="1">
      <alignment horizontal="center" vertical="center"/>
      <protection locked="0"/>
    </xf>
    <xf numFmtId="14" fontId="56" fillId="0" borderId="69" xfId="0" applyNumberFormat="1" applyFont="1" applyBorder="1" applyAlignment="1" applyProtection="1">
      <alignment horizontal="center" vertical="center"/>
      <protection locked="0"/>
    </xf>
    <xf numFmtId="14" fontId="56" fillId="0" borderId="70" xfId="0" applyNumberFormat="1" applyFont="1" applyBorder="1" applyAlignment="1" applyProtection="1">
      <alignment horizontal="center" vertical="center"/>
      <protection locked="0"/>
    </xf>
    <xf numFmtId="14" fontId="56" fillId="0" borderId="71" xfId="0" applyNumberFormat="1" applyFont="1" applyBorder="1" applyAlignment="1" applyProtection="1">
      <alignment horizontal="center" vertical="center"/>
      <protection locked="0"/>
    </xf>
    <xf numFmtId="14" fontId="56" fillId="0" borderId="64" xfId="0" applyNumberFormat="1" applyFont="1" applyBorder="1" applyAlignment="1">
      <alignment horizontal="center" vertical="center" wrapText="1"/>
    </xf>
    <xf numFmtId="14" fontId="56" fillId="0" borderId="66" xfId="0" applyNumberFormat="1" applyFont="1" applyBorder="1" applyAlignment="1">
      <alignment horizontal="center" vertical="center" wrapText="1"/>
    </xf>
    <xf numFmtId="14" fontId="56" fillId="0" borderId="65" xfId="0" applyNumberFormat="1" applyFont="1" applyBorder="1" applyAlignment="1">
      <alignment horizontal="center" vertical="center" wrapText="1"/>
    </xf>
    <xf numFmtId="0" fontId="23" fillId="0" borderId="0" xfId="0" applyFont="1" applyAlignment="1">
      <alignment horizontal="center" vertical="center" wrapText="1"/>
    </xf>
    <xf numFmtId="0" fontId="18" fillId="5" borderId="5" xfId="0" applyFont="1" applyFill="1" applyBorder="1" applyAlignment="1" applyProtection="1">
      <alignment horizontal="center" wrapText="1" readingOrder="1"/>
      <protection hidden="1"/>
    </xf>
    <xf numFmtId="0" fontId="18" fillId="5" borderId="0" xfId="0" applyFont="1" applyFill="1" applyAlignment="1" applyProtection="1">
      <alignment horizontal="center" wrapText="1" readingOrder="1"/>
      <protection hidden="1"/>
    </xf>
    <xf numFmtId="0" fontId="18" fillId="5" borderId="6" xfId="0" applyFont="1" applyFill="1" applyBorder="1" applyAlignment="1" applyProtection="1">
      <alignment horizontal="center" wrapText="1" readingOrder="1"/>
      <protection hidden="1"/>
    </xf>
    <xf numFmtId="0" fontId="18" fillId="5" borderId="7" xfId="0" applyFont="1" applyFill="1" applyBorder="1" applyAlignment="1" applyProtection="1">
      <alignment horizontal="center" wrapText="1" readingOrder="1"/>
      <protection hidden="1"/>
    </xf>
    <xf numFmtId="0" fontId="18" fillId="5" borderId="9" xfId="0" applyFont="1" applyFill="1" applyBorder="1" applyAlignment="1" applyProtection="1">
      <alignment horizontal="center" wrapText="1" readingOrder="1"/>
      <protection hidden="1"/>
    </xf>
    <xf numFmtId="0" fontId="18" fillId="5" borderId="8" xfId="0" applyFont="1" applyFill="1" applyBorder="1" applyAlignment="1" applyProtection="1">
      <alignment horizontal="center" wrapText="1" readingOrder="1"/>
      <protection hidden="1"/>
    </xf>
    <xf numFmtId="0" fontId="18" fillId="5" borderId="3" xfId="0" applyFont="1" applyFill="1" applyBorder="1" applyAlignment="1" applyProtection="1">
      <alignment horizontal="center" wrapText="1" readingOrder="1"/>
      <protection hidden="1"/>
    </xf>
    <xf numFmtId="0" fontId="18" fillId="5" borderId="10" xfId="0" applyFont="1" applyFill="1" applyBorder="1" applyAlignment="1" applyProtection="1">
      <alignment horizontal="center" wrapText="1" readingOrder="1"/>
      <protection hidden="1"/>
    </xf>
    <xf numFmtId="0" fontId="18" fillId="5" borderId="4" xfId="0" applyFont="1" applyFill="1" applyBorder="1" applyAlignment="1" applyProtection="1">
      <alignment horizontal="center" wrapText="1" readingOrder="1"/>
      <protection hidden="1"/>
    </xf>
    <xf numFmtId="0" fontId="18" fillId="13" borderId="5" xfId="0" applyFont="1" applyFill="1" applyBorder="1" applyAlignment="1" applyProtection="1">
      <alignment horizontal="center" wrapText="1" readingOrder="1"/>
      <protection hidden="1"/>
    </xf>
    <xf numFmtId="0" fontId="18" fillId="13" borderId="0" xfId="0" applyFont="1" applyFill="1" applyAlignment="1" applyProtection="1">
      <alignment horizontal="center" wrapText="1" readingOrder="1"/>
      <protection hidden="1"/>
    </xf>
    <xf numFmtId="0" fontId="18" fillId="13" borderId="6" xfId="0" applyFont="1" applyFill="1" applyBorder="1" applyAlignment="1" applyProtection="1">
      <alignment horizontal="center" wrapText="1" readingOrder="1"/>
      <protection hidden="1"/>
    </xf>
    <xf numFmtId="0" fontId="18" fillId="13" borderId="7" xfId="0" applyFont="1" applyFill="1" applyBorder="1" applyAlignment="1" applyProtection="1">
      <alignment horizontal="center" wrapText="1" readingOrder="1"/>
      <protection hidden="1"/>
    </xf>
    <xf numFmtId="0" fontId="18" fillId="13" borderId="9" xfId="0" applyFont="1" applyFill="1" applyBorder="1" applyAlignment="1" applyProtection="1">
      <alignment horizontal="center" wrapText="1" readingOrder="1"/>
      <protection hidden="1"/>
    </xf>
    <xf numFmtId="0" fontId="18" fillId="13" borderId="8" xfId="0" applyFont="1" applyFill="1" applyBorder="1" applyAlignment="1" applyProtection="1">
      <alignment horizontal="center" wrapText="1" readingOrder="1"/>
      <protection hidden="1"/>
    </xf>
    <xf numFmtId="0" fontId="18" fillId="13" borderId="3" xfId="0" applyFont="1" applyFill="1" applyBorder="1" applyAlignment="1" applyProtection="1">
      <alignment horizontal="center" wrapText="1" readingOrder="1"/>
      <protection hidden="1"/>
    </xf>
    <xf numFmtId="0" fontId="18" fillId="13" borderId="10" xfId="0" applyFont="1" applyFill="1" applyBorder="1" applyAlignment="1" applyProtection="1">
      <alignment horizontal="center" wrapText="1" readingOrder="1"/>
      <protection hidden="1"/>
    </xf>
    <xf numFmtId="0" fontId="18" fillId="13" borderId="4" xfId="0" applyFont="1" applyFill="1" applyBorder="1" applyAlignment="1" applyProtection="1">
      <alignment horizontal="center" wrapText="1" readingOrder="1"/>
      <protection hidden="1"/>
    </xf>
    <xf numFmtId="0" fontId="18" fillId="12" borderId="5" xfId="0" applyFont="1" applyFill="1" applyBorder="1" applyAlignment="1" applyProtection="1">
      <alignment horizontal="center" wrapText="1" readingOrder="1"/>
      <protection hidden="1"/>
    </xf>
    <xf numFmtId="0" fontId="18" fillId="12" borderId="0" xfId="0" applyFont="1" applyFill="1" applyAlignment="1" applyProtection="1">
      <alignment horizontal="center" wrapText="1" readingOrder="1"/>
      <protection hidden="1"/>
    </xf>
    <xf numFmtId="0" fontId="18" fillId="12" borderId="6" xfId="0" applyFont="1" applyFill="1" applyBorder="1" applyAlignment="1" applyProtection="1">
      <alignment horizontal="center" wrapText="1" readingOrder="1"/>
      <protection hidden="1"/>
    </xf>
    <xf numFmtId="0" fontId="18" fillId="12" borderId="7" xfId="0" applyFont="1" applyFill="1" applyBorder="1" applyAlignment="1" applyProtection="1">
      <alignment horizontal="center" wrapText="1" readingOrder="1"/>
      <protection hidden="1"/>
    </xf>
    <xf numFmtId="0" fontId="18" fillId="12" borderId="9" xfId="0" applyFont="1" applyFill="1" applyBorder="1" applyAlignment="1" applyProtection="1">
      <alignment horizontal="center" wrapText="1" readingOrder="1"/>
      <protection hidden="1"/>
    </xf>
    <xf numFmtId="0" fontId="18" fillId="12" borderId="8" xfId="0" applyFont="1" applyFill="1" applyBorder="1" applyAlignment="1" applyProtection="1">
      <alignment horizontal="center" wrapText="1" readingOrder="1"/>
      <protection hidden="1"/>
    </xf>
    <xf numFmtId="0" fontId="18" fillId="12" borderId="3" xfId="0" applyFont="1" applyFill="1" applyBorder="1" applyAlignment="1" applyProtection="1">
      <alignment horizontal="center" wrapText="1" readingOrder="1"/>
      <protection hidden="1"/>
    </xf>
    <xf numFmtId="0" fontId="18" fillId="12" borderId="10" xfId="0" applyFont="1" applyFill="1" applyBorder="1" applyAlignment="1" applyProtection="1">
      <alignment horizontal="center" wrapText="1" readingOrder="1"/>
      <protection hidden="1"/>
    </xf>
    <xf numFmtId="0" fontId="18" fillId="12" borderId="4" xfId="0" applyFont="1" applyFill="1" applyBorder="1" applyAlignment="1" applyProtection="1">
      <alignment horizontal="center" wrapText="1" readingOrder="1"/>
      <protection hidden="1"/>
    </xf>
    <xf numFmtId="0" fontId="18" fillId="11" borderId="5" xfId="0" applyFont="1" applyFill="1" applyBorder="1" applyAlignment="1" applyProtection="1">
      <alignment horizontal="center" vertical="center" wrapText="1" readingOrder="1"/>
      <protection hidden="1"/>
    </xf>
    <xf numFmtId="0" fontId="18" fillId="11" borderId="0" xfId="0" applyFont="1" applyFill="1" applyAlignment="1" applyProtection="1">
      <alignment horizontal="center" vertical="center" wrapText="1" readingOrder="1"/>
      <protection hidden="1"/>
    </xf>
    <xf numFmtId="0" fontId="18" fillId="11" borderId="6" xfId="0" applyFont="1" applyFill="1" applyBorder="1" applyAlignment="1" applyProtection="1">
      <alignment horizontal="center" vertical="center" wrapText="1" readingOrder="1"/>
      <protection hidden="1"/>
    </xf>
    <xf numFmtId="0" fontId="18" fillId="11" borderId="7" xfId="0" applyFont="1" applyFill="1" applyBorder="1" applyAlignment="1" applyProtection="1">
      <alignment horizontal="center" vertical="center" wrapText="1" readingOrder="1"/>
      <protection hidden="1"/>
    </xf>
    <xf numFmtId="0" fontId="18" fillId="11" borderId="9" xfId="0" applyFont="1" applyFill="1" applyBorder="1" applyAlignment="1" applyProtection="1">
      <alignment horizontal="center" vertical="center" wrapText="1" readingOrder="1"/>
      <protection hidden="1"/>
    </xf>
    <xf numFmtId="0" fontId="18" fillId="11" borderId="8" xfId="0" applyFont="1" applyFill="1" applyBorder="1" applyAlignment="1" applyProtection="1">
      <alignment horizontal="center" vertical="center" wrapText="1" readingOrder="1"/>
      <protection hidden="1"/>
    </xf>
    <xf numFmtId="0" fontId="18" fillId="11" borderId="3" xfId="0" applyFont="1" applyFill="1" applyBorder="1" applyAlignment="1" applyProtection="1">
      <alignment horizontal="center" vertical="center" wrapText="1" readingOrder="1"/>
      <protection hidden="1"/>
    </xf>
    <xf numFmtId="0" fontId="18" fillId="11" borderId="10" xfId="0" applyFont="1" applyFill="1" applyBorder="1" applyAlignment="1" applyProtection="1">
      <alignment horizontal="center" vertical="center" wrapText="1" readingOrder="1"/>
      <protection hidden="1"/>
    </xf>
    <xf numFmtId="0" fontId="18" fillId="11" borderId="4" xfId="0" applyFont="1" applyFill="1" applyBorder="1" applyAlignment="1" applyProtection="1">
      <alignment horizontal="center" vertical="center" wrapText="1" readingOrder="1"/>
      <protection hidden="1"/>
    </xf>
    <xf numFmtId="0" fontId="16" fillId="10" borderId="0" xfId="0" applyFont="1" applyFill="1" applyAlignment="1">
      <alignment horizontal="center" vertical="center" wrapText="1" readingOrder="1"/>
    </xf>
    <xf numFmtId="0" fontId="15" fillId="0" borderId="3" xfId="0" applyFont="1" applyBorder="1" applyAlignment="1">
      <alignment horizontal="center" vertical="center" wrapText="1"/>
    </xf>
    <xf numFmtId="0" fontId="15" fillId="0" borderId="10"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9" xfId="0" applyFont="1" applyBorder="1" applyAlignment="1">
      <alignment horizontal="center" vertical="center"/>
    </xf>
    <xf numFmtId="0" fontId="15" fillId="0" borderId="8" xfId="0" applyFont="1" applyBorder="1" applyAlignment="1">
      <alignment horizontal="center" vertical="center"/>
    </xf>
    <xf numFmtId="0" fontId="15" fillId="0" borderId="10" xfId="0" applyFont="1" applyBorder="1" applyAlignment="1">
      <alignment horizontal="center" vertical="center" wrapText="1"/>
    </xf>
    <xf numFmtId="0" fontId="16" fillId="10" borderId="0" xfId="0" applyFont="1" applyFill="1" applyAlignment="1">
      <alignment horizontal="center" vertical="center" textRotation="90" wrapText="1" readingOrder="1"/>
    </xf>
    <xf numFmtId="0" fontId="16" fillId="10" borderId="6" xfId="0" applyFont="1" applyFill="1" applyBorder="1" applyAlignment="1">
      <alignment horizontal="center" vertical="center" textRotation="90" wrapText="1" readingOrder="1"/>
    </xf>
    <xf numFmtId="0" fontId="19" fillId="12" borderId="11" xfId="0" applyFont="1" applyFill="1" applyBorder="1" applyAlignment="1">
      <alignment horizontal="center" vertical="center" wrapText="1" readingOrder="1"/>
    </xf>
    <xf numFmtId="0" fontId="19" fillId="12" borderId="12" xfId="0" applyFont="1" applyFill="1" applyBorder="1" applyAlignment="1">
      <alignment horizontal="center" vertical="center" wrapText="1" readingOrder="1"/>
    </xf>
    <xf numFmtId="0" fontId="19" fillId="12" borderId="13" xfId="0" applyFont="1" applyFill="1" applyBorder="1" applyAlignment="1">
      <alignment horizontal="center" vertical="center" wrapText="1" readingOrder="1"/>
    </xf>
    <xf numFmtId="0" fontId="19" fillId="12" borderId="14" xfId="0" applyFont="1" applyFill="1" applyBorder="1" applyAlignment="1">
      <alignment horizontal="center" vertical="center" wrapText="1" readingOrder="1"/>
    </xf>
    <xf numFmtId="0" fontId="19" fillId="12" borderId="0" xfId="0" applyFont="1" applyFill="1" applyAlignment="1">
      <alignment horizontal="center" vertical="center" wrapText="1" readingOrder="1"/>
    </xf>
    <xf numFmtId="0" fontId="19" fillId="12" borderId="15" xfId="0" applyFont="1" applyFill="1" applyBorder="1" applyAlignment="1">
      <alignment horizontal="center" vertical="center" wrapText="1" readingOrder="1"/>
    </xf>
    <xf numFmtId="0" fontId="19" fillId="12" borderId="16" xfId="0" applyFont="1" applyFill="1" applyBorder="1" applyAlignment="1">
      <alignment horizontal="center" vertical="center" wrapText="1" readingOrder="1"/>
    </xf>
    <xf numFmtId="0" fontId="19" fillId="12" borderId="17" xfId="0" applyFont="1" applyFill="1" applyBorder="1" applyAlignment="1">
      <alignment horizontal="center" vertical="center" wrapText="1" readingOrder="1"/>
    </xf>
    <xf numFmtId="0" fontId="19" fillId="12" borderId="18" xfId="0" applyFont="1" applyFill="1" applyBorder="1" applyAlignment="1">
      <alignment horizontal="center" vertical="center" wrapText="1" readingOrder="1"/>
    </xf>
    <xf numFmtId="0" fontId="19" fillId="11" borderId="11" xfId="0" applyFont="1" applyFill="1" applyBorder="1" applyAlignment="1">
      <alignment horizontal="center" vertical="center" wrapText="1" readingOrder="1"/>
    </xf>
    <xf numFmtId="0" fontId="19" fillId="11" borderId="12" xfId="0" applyFont="1" applyFill="1" applyBorder="1" applyAlignment="1">
      <alignment horizontal="center" vertical="center" wrapText="1" readingOrder="1"/>
    </xf>
    <xf numFmtId="0" fontId="19" fillId="11" borderId="13" xfId="0" applyFont="1" applyFill="1" applyBorder="1" applyAlignment="1">
      <alignment horizontal="center" vertical="center" wrapText="1" readingOrder="1"/>
    </xf>
    <xf numFmtId="0" fontId="19" fillId="11" borderId="14" xfId="0" applyFont="1" applyFill="1" applyBorder="1" applyAlignment="1">
      <alignment horizontal="center" vertical="center" wrapText="1" readingOrder="1"/>
    </xf>
    <xf numFmtId="0" fontId="19" fillId="11" borderId="0" xfId="0" applyFont="1" applyFill="1" applyAlignment="1">
      <alignment horizontal="center" vertical="center" wrapText="1" readingOrder="1"/>
    </xf>
    <xf numFmtId="0" fontId="19" fillId="11" borderId="15" xfId="0" applyFont="1" applyFill="1" applyBorder="1" applyAlignment="1">
      <alignment horizontal="center" vertical="center" wrapText="1" readingOrder="1"/>
    </xf>
    <xf numFmtId="0" fontId="19" fillId="11" borderId="16" xfId="0" applyFont="1" applyFill="1" applyBorder="1" applyAlignment="1">
      <alignment horizontal="center" vertical="center" wrapText="1" readingOrder="1"/>
    </xf>
    <xf numFmtId="0" fontId="19" fillId="11" borderId="17" xfId="0" applyFont="1" applyFill="1" applyBorder="1" applyAlignment="1">
      <alignment horizontal="center" vertical="center" wrapText="1" readingOrder="1"/>
    </xf>
    <xf numFmtId="0" fontId="19" fillId="11" borderId="18" xfId="0" applyFont="1" applyFill="1" applyBorder="1" applyAlignment="1">
      <alignment horizontal="center" vertical="center" wrapText="1" readingOrder="1"/>
    </xf>
    <xf numFmtId="0" fontId="19" fillId="13" borderId="11" xfId="0" applyFont="1" applyFill="1" applyBorder="1" applyAlignment="1">
      <alignment horizontal="center" vertical="center" wrapText="1" readingOrder="1"/>
    </xf>
    <xf numFmtId="0" fontId="19" fillId="13" borderId="12" xfId="0" applyFont="1" applyFill="1" applyBorder="1" applyAlignment="1">
      <alignment horizontal="center" vertical="center" wrapText="1" readingOrder="1"/>
    </xf>
    <xf numFmtId="0" fontId="19" fillId="13" borderId="13" xfId="0" applyFont="1" applyFill="1" applyBorder="1" applyAlignment="1">
      <alignment horizontal="center" vertical="center" wrapText="1" readingOrder="1"/>
    </xf>
    <xf numFmtId="0" fontId="19" fillId="13" borderId="14" xfId="0" applyFont="1" applyFill="1" applyBorder="1" applyAlignment="1">
      <alignment horizontal="center" vertical="center" wrapText="1" readingOrder="1"/>
    </xf>
    <xf numFmtId="0" fontId="19" fillId="13" borderId="0" xfId="0" applyFont="1" applyFill="1" applyAlignment="1">
      <alignment horizontal="center" vertical="center" wrapText="1" readingOrder="1"/>
    </xf>
    <xf numFmtId="0" fontId="19" fillId="13" borderId="15" xfId="0" applyFont="1" applyFill="1" applyBorder="1" applyAlignment="1">
      <alignment horizontal="center" vertical="center" wrapText="1" readingOrder="1"/>
    </xf>
    <xf numFmtId="0" fontId="19" fillId="13" borderId="16" xfId="0" applyFont="1" applyFill="1" applyBorder="1" applyAlignment="1">
      <alignment horizontal="center" vertical="center" wrapText="1" readingOrder="1"/>
    </xf>
    <xf numFmtId="0" fontId="19" fillId="13" borderId="17" xfId="0" applyFont="1" applyFill="1" applyBorder="1" applyAlignment="1">
      <alignment horizontal="center" vertical="center" wrapText="1" readingOrder="1"/>
    </xf>
    <xf numFmtId="0" fontId="19" fillId="13" borderId="18" xfId="0" applyFont="1" applyFill="1" applyBorder="1" applyAlignment="1">
      <alignment horizontal="center" vertical="center" wrapText="1" readingOrder="1"/>
    </xf>
    <xf numFmtId="0" fontId="19" fillId="5" borderId="11" xfId="0" applyFont="1" applyFill="1" applyBorder="1" applyAlignment="1">
      <alignment horizontal="center" vertical="center" wrapText="1" readingOrder="1"/>
    </xf>
    <xf numFmtId="0" fontId="19" fillId="5" borderId="12" xfId="0" applyFont="1" applyFill="1" applyBorder="1" applyAlignment="1">
      <alignment horizontal="center" vertical="center" wrapText="1" readingOrder="1"/>
    </xf>
    <xf numFmtId="0" fontId="19" fillId="5" borderId="13" xfId="0" applyFont="1" applyFill="1" applyBorder="1" applyAlignment="1">
      <alignment horizontal="center" vertical="center" wrapText="1" readingOrder="1"/>
    </xf>
    <xf numFmtId="0" fontId="19" fillId="5" borderId="14" xfId="0" applyFont="1" applyFill="1" applyBorder="1" applyAlignment="1">
      <alignment horizontal="center" vertical="center" wrapText="1" readingOrder="1"/>
    </xf>
    <xf numFmtId="0" fontId="19" fillId="5" borderId="0" xfId="0" applyFont="1" applyFill="1" applyAlignment="1">
      <alignment horizontal="center" vertical="center" wrapText="1" readingOrder="1"/>
    </xf>
    <xf numFmtId="0" fontId="19" fillId="5" borderId="15" xfId="0" applyFont="1" applyFill="1" applyBorder="1" applyAlignment="1">
      <alignment horizontal="center" vertical="center" wrapText="1" readingOrder="1"/>
    </xf>
    <xf numFmtId="0" fontId="19" fillId="5" borderId="16" xfId="0" applyFont="1" applyFill="1" applyBorder="1" applyAlignment="1">
      <alignment horizontal="center" vertical="center" wrapText="1" readingOrder="1"/>
    </xf>
    <xf numFmtId="0" fontId="19" fillId="5" borderId="17" xfId="0" applyFont="1" applyFill="1" applyBorder="1" applyAlignment="1">
      <alignment horizontal="center" vertical="center" wrapText="1" readingOrder="1"/>
    </xf>
    <xf numFmtId="0" fontId="19" fillId="5" borderId="18" xfId="0" applyFont="1" applyFill="1" applyBorder="1" applyAlignment="1">
      <alignment horizontal="center" vertical="center" wrapText="1" readingOrder="1"/>
    </xf>
    <xf numFmtId="0" fontId="40" fillId="0" borderId="3" xfId="0" applyFont="1" applyBorder="1" applyAlignment="1">
      <alignment horizontal="center" vertical="center" wrapText="1"/>
    </xf>
    <xf numFmtId="0" fontId="40" fillId="0" borderId="10" xfId="0" applyFont="1" applyBorder="1" applyAlignment="1">
      <alignment horizontal="center" vertical="center"/>
    </xf>
    <xf numFmtId="0" fontId="40" fillId="0" borderId="4" xfId="0" applyFont="1" applyBorder="1" applyAlignment="1">
      <alignment horizontal="center" vertical="center"/>
    </xf>
    <xf numFmtId="0" fontId="40" fillId="0" borderId="5" xfId="0" applyFont="1" applyBorder="1" applyAlignment="1">
      <alignment horizontal="center" vertical="center"/>
    </xf>
    <xf numFmtId="0" fontId="40" fillId="0" borderId="0" xfId="0" applyFont="1" applyAlignment="1">
      <alignment horizontal="center" vertical="center"/>
    </xf>
    <xf numFmtId="0" fontId="40" fillId="0" borderId="6" xfId="0" applyFont="1" applyBorder="1" applyAlignment="1">
      <alignment horizontal="center" vertical="center"/>
    </xf>
    <xf numFmtId="0" fontId="40" fillId="0" borderId="7" xfId="0" applyFont="1" applyBorder="1" applyAlignment="1">
      <alignment horizontal="center" vertical="center"/>
    </xf>
    <xf numFmtId="0" fontId="40" fillId="0" borderId="9" xfId="0" applyFont="1" applyBorder="1" applyAlignment="1">
      <alignment horizontal="center" vertical="center"/>
    </xf>
    <xf numFmtId="0" fontId="40" fillId="0" borderId="8" xfId="0" applyFont="1" applyBorder="1" applyAlignment="1">
      <alignment horizontal="center" vertical="center"/>
    </xf>
    <xf numFmtId="0" fontId="40" fillId="0" borderId="10" xfId="0" applyFont="1" applyBorder="1" applyAlignment="1">
      <alignment horizontal="center" vertical="center" wrapText="1"/>
    </xf>
    <xf numFmtId="0" fontId="39" fillId="11" borderId="11" xfId="0" applyFont="1" applyFill="1" applyBorder="1" applyAlignment="1">
      <alignment horizontal="center" vertical="center" wrapText="1" readingOrder="1"/>
    </xf>
    <xf numFmtId="0" fontId="39" fillId="11" borderId="12" xfId="0" applyFont="1" applyFill="1" applyBorder="1" applyAlignment="1">
      <alignment horizontal="center" vertical="center" wrapText="1" readingOrder="1"/>
    </xf>
    <xf numFmtId="0" fontId="39" fillId="11" borderId="13" xfId="0" applyFont="1" applyFill="1" applyBorder="1" applyAlignment="1">
      <alignment horizontal="center" vertical="center" wrapText="1" readingOrder="1"/>
    </xf>
    <xf numFmtId="0" fontId="39" fillId="11" borderId="14" xfId="0" applyFont="1" applyFill="1" applyBorder="1" applyAlignment="1">
      <alignment horizontal="center" vertical="center" wrapText="1" readingOrder="1"/>
    </xf>
    <xf numFmtId="0" fontId="39" fillId="11" borderId="0" xfId="0" applyFont="1" applyFill="1" applyAlignment="1">
      <alignment horizontal="center" vertical="center" wrapText="1" readingOrder="1"/>
    </xf>
    <xf numFmtId="0" fontId="39" fillId="11" borderId="15" xfId="0" applyFont="1" applyFill="1" applyBorder="1" applyAlignment="1">
      <alignment horizontal="center" vertical="center" wrapText="1" readingOrder="1"/>
    </xf>
    <xf numFmtId="0" fontId="39" fillId="11" borderId="16" xfId="0" applyFont="1" applyFill="1" applyBorder="1" applyAlignment="1">
      <alignment horizontal="center" vertical="center" wrapText="1" readingOrder="1"/>
    </xf>
    <xf numFmtId="0" fontId="39" fillId="11" borderId="17" xfId="0" applyFont="1" applyFill="1" applyBorder="1" applyAlignment="1">
      <alignment horizontal="center" vertical="center" wrapText="1" readingOrder="1"/>
    </xf>
    <xf numFmtId="0" fontId="39" fillId="11" borderId="18" xfId="0" applyFont="1" applyFill="1" applyBorder="1" applyAlignment="1">
      <alignment horizontal="center" vertical="center" wrapText="1" readingOrder="1"/>
    </xf>
    <xf numFmtId="0" fontId="40" fillId="0" borderId="5" xfId="0" applyFont="1" applyBorder="1" applyAlignment="1">
      <alignment horizontal="center" vertical="center" wrapText="1"/>
    </xf>
    <xf numFmtId="0" fontId="39" fillId="12" borderId="11" xfId="0" applyFont="1" applyFill="1" applyBorder="1" applyAlignment="1">
      <alignment horizontal="center" vertical="center" wrapText="1" readingOrder="1"/>
    </xf>
    <xf numFmtId="0" fontId="39" fillId="12" borderId="12" xfId="0" applyFont="1" applyFill="1" applyBorder="1" applyAlignment="1">
      <alignment horizontal="center" vertical="center" wrapText="1" readingOrder="1"/>
    </xf>
    <xf numFmtId="0" fontId="39" fillId="12" borderId="13" xfId="0" applyFont="1" applyFill="1" applyBorder="1" applyAlignment="1">
      <alignment horizontal="center" vertical="center" wrapText="1" readingOrder="1"/>
    </xf>
    <xf numFmtId="0" fontId="39" fillId="12" borderId="14" xfId="0" applyFont="1" applyFill="1" applyBorder="1" applyAlignment="1">
      <alignment horizontal="center" vertical="center" wrapText="1" readingOrder="1"/>
    </xf>
    <xf numFmtId="0" fontId="39" fillId="12" borderId="0" xfId="0" applyFont="1" applyFill="1" applyAlignment="1">
      <alignment horizontal="center" vertical="center" wrapText="1" readingOrder="1"/>
    </xf>
    <xf numFmtId="0" fontId="39" fillId="12" borderId="15" xfId="0" applyFont="1" applyFill="1" applyBorder="1" applyAlignment="1">
      <alignment horizontal="center" vertical="center" wrapText="1" readingOrder="1"/>
    </xf>
    <xf numFmtId="0" fontId="39" fillId="12" borderId="16" xfId="0" applyFont="1" applyFill="1" applyBorder="1" applyAlignment="1">
      <alignment horizontal="center" vertical="center" wrapText="1" readingOrder="1"/>
    </xf>
    <xf numFmtId="0" fontId="39" fillId="12" borderId="17" xfId="0" applyFont="1" applyFill="1" applyBorder="1" applyAlignment="1">
      <alignment horizontal="center" vertical="center" wrapText="1" readingOrder="1"/>
    </xf>
    <xf numFmtId="0" fontId="39" fillId="12" borderId="18" xfId="0" applyFont="1" applyFill="1" applyBorder="1" applyAlignment="1">
      <alignment horizontal="center" vertical="center" wrapText="1" readingOrder="1"/>
    </xf>
    <xf numFmtId="0" fontId="38" fillId="0" borderId="0" xfId="0" applyFont="1" applyAlignment="1">
      <alignment horizontal="center" vertical="center" wrapText="1"/>
    </xf>
    <xf numFmtId="0" fontId="20" fillId="0" borderId="0" xfId="0" applyFont="1" applyAlignment="1">
      <alignment horizontal="center" vertical="center" wrapText="1"/>
    </xf>
    <xf numFmtId="0" fontId="39" fillId="5" borderId="11" xfId="0" applyFont="1" applyFill="1" applyBorder="1" applyAlignment="1">
      <alignment horizontal="center" vertical="center" wrapText="1" readingOrder="1"/>
    </xf>
    <xf numFmtId="0" fontId="39" fillId="5" borderId="12" xfId="0" applyFont="1" applyFill="1" applyBorder="1" applyAlignment="1">
      <alignment horizontal="center" vertical="center" wrapText="1" readingOrder="1"/>
    </xf>
    <xf numFmtId="0" fontId="39" fillId="5" borderId="13" xfId="0" applyFont="1" applyFill="1" applyBorder="1" applyAlignment="1">
      <alignment horizontal="center" vertical="center" wrapText="1" readingOrder="1"/>
    </xf>
    <xf numFmtId="0" fontId="39" fillId="5" borderId="14" xfId="0" applyFont="1" applyFill="1" applyBorder="1" applyAlignment="1">
      <alignment horizontal="center" vertical="center" wrapText="1" readingOrder="1"/>
    </xf>
    <xf numFmtId="0" fontId="39" fillId="5" borderId="0" xfId="0" applyFont="1" applyFill="1" applyAlignment="1">
      <alignment horizontal="center" vertical="center" wrapText="1" readingOrder="1"/>
    </xf>
    <xf numFmtId="0" fontId="39" fillId="5" borderId="15" xfId="0" applyFont="1" applyFill="1" applyBorder="1" applyAlignment="1">
      <alignment horizontal="center" vertical="center" wrapText="1" readingOrder="1"/>
    </xf>
    <xf numFmtId="0" fontId="39" fillId="5" borderId="16" xfId="0" applyFont="1" applyFill="1" applyBorder="1" applyAlignment="1">
      <alignment horizontal="center" vertical="center" wrapText="1" readingOrder="1"/>
    </xf>
    <xf numFmtId="0" fontId="39" fillId="5" borderId="17" xfId="0" applyFont="1" applyFill="1" applyBorder="1" applyAlignment="1">
      <alignment horizontal="center" vertical="center" wrapText="1" readingOrder="1"/>
    </xf>
    <xf numFmtId="0" fontId="39" fillId="5" borderId="18" xfId="0" applyFont="1" applyFill="1" applyBorder="1" applyAlignment="1">
      <alignment horizontal="center" vertical="center" wrapText="1" readingOrder="1"/>
    </xf>
    <xf numFmtId="0" fontId="39" fillId="13" borderId="11" xfId="0" applyFont="1" applyFill="1" applyBorder="1" applyAlignment="1">
      <alignment horizontal="center" vertical="center" wrapText="1" readingOrder="1"/>
    </xf>
    <xf numFmtId="0" fontId="39" fillId="13" borderId="12" xfId="0" applyFont="1" applyFill="1" applyBorder="1" applyAlignment="1">
      <alignment horizontal="center" vertical="center" wrapText="1" readingOrder="1"/>
    </xf>
    <xf numFmtId="0" fontId="39" fillId="13" borderId="13" xfId="0" applyFont="1" applyFill="1" applyBorder="1" applyAlignment="1">
      <alignment horizontal="center" vertical="center" wrapText="1" readingOrder="1"/>
    </xf>
    <xf numFmtId="0" fontId="39" fillId="13" borderId="14" xfId="0" applyFont="1" applyFill="1" applyBorder="1" applyAlignment="1">
      <alignment horizontal="center" vertical="center" wrapText="1" readingOrder="1"/>
    </xf>
    <xf numFmtId="0" fontId="39" fillId="13" borderId="0" xfId="0" applyFont="1" applyFill="1" applyAlignment="1">
      <alignment horizontal="center" vertical="center" wrapText="1" readingOrder="1"/>
    </xf>
    <xf numFmtId="0" fontId="39" fillId="13" borderId="15" xfId="0" applyFont="1" applyFill="1" applyBorder="1" applyAlignment="1">
      <alignment horizontal="center" vertical="center" wrapText="1" readingOrder="1"/>
    </xf>
    <xf numFmtId="0" fontId="39" fillId="13" borderId="16" xfId="0" applyFont="1" applyFill="1" applyBorder="1" applyAlignment="1">
      <alignment horizontal="center" vertical="center" wrapText="1" readingOrder="1"/>
    </xf>
    <xf numFmtId="0" fontId="39" fillId="13" borderId="17" xfId="0" applyFont="1" applyFill="1" applyBorder="1" applyAlignment="1">
      <alignment horizontal="center" vertical="center" wrapText="1" readingOrder="1"/>
    </xf>
    <xf numFmtId="0" fontId="39" fillId="13" borderId="18" xfId="0" applyFont="1" applyFill="1" applyBorder="1" applyAlignment="1">
      <alignment horizontal="center" vertical="center" wrapText="1" readingOrder="1"/>
    </xf>
    <xf numFmtId="0" fontId="22" fillId="0" borderId="0" xfId="0" applyFont="1" applyAlignment="1">
      <alignment horizontal="center" vertical="center"/>
    </xf>
    <xf numFmtId="0" fontId="42" fillId="0" borderId="0" xfId="0" applyFont="1" applyAlignment="1">
      <alignment horizontal="center" vertical="center"/>
    </xf>
    <xf numFmtId="0" fontId="37" fillId="15" borderId="21" xfId="0" applyFont="1" applyFill="1" applyBorder="1" applyAlignment="1">
      <alignment horizontal="center" vertical="center" wrapText="1" readingOrder="1"/>
    </xf>
    <xf numFmtId="0" fontId="37" fillId="15" borderId="22" xfId="0" applyFont="1" applyFill="1" applyBorder="1" applyAlignment="1">
      <alignment horizontal="center" vertical="center" wrapText="1" readingOrder="1"/>
    </xf>
    <xf numFmtId="0" fontId="37" fillId="15" borderId="33" xfId="0" applyFont="1" applyFill="1" applyBorder="1" applyAlignment="1">
      <alignment horizontal="center" vertical="center" wrapText="1" readingOrder="1"/>
    </xf>
    <xf numFmtId="0" fontId="32" fillId="3" borderId="0" xfId="0" applyFont="1" applyFill="1" applyAlignment="1">
      <alignment horizontal="justify" vertical="center" wrapText="1"/>
    </xf>
    <xf numFmtId="0" fontId="34" fillId="15" borderId="30" xfId="0" applyFont="1" applyFill="1" applyBorder="1" applyAlignment="1">
      <alignment horizontal="center" vertical="center" wrapText="1" readingOrder="1"/>
    </xf>
    <xf numFmtId="0" fontId="34" fillId="15" borderId="31" xfId="0" applyFont="1" applyFill="1" applyBorder="1" applyAlignment="1">
      <alignment horizontal="center" vertical="center" wrapText="1" readingOrder="1"/>
    </xf>
    <xf numFmtId="0" fontId="34" fillId="3" borderId="28" xfId="0" applyFont="1" applyFill="1" applyBorder="1" applyAlignment="1">
      <alignment horizontal="center" vertical="center" wrapText="1" readingOrder="1"/>
    </xf>
    <xf numFmtId="0" fontId="34" fillId="3" borderId="23" xfId="0" applyFont="1" applyFill="1" applyBorder="1" applyAlignment="1">
      <alignment horizontal="center" vertical="center" wrapText="1" readingOrder="1"/>
    </xf>
    <xf numFmtId="0" fontId="34" fillId="3" borderId="20" xfId="0" applyFont="1" applyFill="1" applyBorder="1" applyAlignment="1">
      <alignment horizontal="center" vertical="center" wrapText="1" readingOrder="1"/>
    </xf>
    <xf numFmtId="0" fontId="34" fillId="3" borderId="19" xfId="0" applyFont="1" applyFill="1" applyBorder="1" applyAlignment="1">
      <alignment horizontal="center" vertical="center" wrapText="1" readingOrder="1"/>
    </xf>
    <xf numFmtId="0" fontId="34" fillId="3" borderId="25" xfId="0" applyFont="1" applyFill="1" applyBorder="1" applyAlignment="1">
      <alignment horizontal="center" vertical="center" wrapText="1" readingOrder="1"/>
    </xf>
    <xf numFmtId="0" fontId="34" fillId="3" borderId="26" xfId="0" applyFont="1" applyFill="1" applyBorder="1" applyAlignment="1">
      <alignment horizontal="center" vertical="center" wrapText="1" readingOrder="1"/>
    </xf>
  </cellXfs>
  <cellStyles count="5">
    <cellStyle name="Normal" xfId="0" builtinId="0"/>
    <cellStyle name="Normal - Style1 2" xfId="2" xr:uid="{00000000-0005-0000-0000-000001000000}"/>
    <cellStyle name="Normal 2" xfId="4" xr:uid="{00000000-0005-0000-0000-000002000000}"/>
    <cellStyle name="Normal 2 2" xfId="3" xr:uid="{00000000-0005-0000-0000-000003000000}"/>
    <cellStyle name="Porcentaje" xfId="1" builtinId="5"/>
  </cellStyles>
  <dxfs count="33">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rgb="FF9C0006"/>
      </font>
      <fill>
        <patternFill>
          <bgColor rgb="FFFFC7CE"/>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s>
  <tableStyles count="0" defaultTableStyle="TableStyleMedium2" defaultPivotStyle="PivotStyleLight16"/>
  <colors>
    <mruColors>
      <color rgb="FFFFFF66"/>
      <color rgb="FFFFCC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217714</xdr:colOff>
      <xdr:row>1</xdr:row>
      <xdr:rowOff>54429</xdr:rowOff>
    </xdr:from>
    <xdr:to>
      <xdr:col>2</xdr:col>
      <xdr:colOff>816063</xdr:colOff>
      <xdr:row>3</xdr:row>
      <xdr:rowOff>337223</xdr:rowOff>
    </xdr:to>
    <xdr:pic>
      <xdr:nvPicPr>
        <xdr:cNvPr id="3" name="Imagen 2">
          <a:extLst>
            <a:ext uri="{FF2B5EF4-FFF2-40B4-BE49-F238E27FC236}">
              <a16:creationId xmlns:a16="http://schemas.microsoft.com/office/drawing/2014/main" id="{E8CE4DAE-E0C3-4A2D-81A3-CAE91A463BF1}"/>
            </a:ext>
          </a:extLst>
        </xdr:cNvPr>
        <xdr:cNvPicPr>
          <a:picLocks noChangeAspect="1"/>
        </xdr:cNvPicPr>
      </xdr:nvPicPr>
      <xdr:blipFill>
        <a:blip xmlns:r="http://schemas.openxmlformats.org/officeDocument/2006/relationships" r:embed="rId1"/>
        <a:stretch>
          <a:fillRect/>
        </a:stretch>
      </xdr:blipFill>
      <xdr:spPr>
        <a:xfrm>
          <a:off x="217714" y="258536"/>
          <a:ext cx="1809385" cy="69100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Marin" refreshedDate="44186.276661689815" createdVersion="6" refreshedVersion="6" minRefreshableVersion="3" recordCount="10" xr:uid="{00000000-000A-0000-FFFF-FFFF0100000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aDinámica1"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09:C219" totalsRowShown="0" headerRowDxfId="32" dataDxfId="31">
  <autoFilter ref="B209:C219" xr:uid="{00000000-0009-0000-0100-000001000000}"/>
  <tableColumns count="2">
    <tableColumn id="1" xr3:uid="{00000000-0010-0000-0000-000001000000}" name="Criterios" dataDxfId="30"/>
    <tableColumn id="2" xr3:uid="{00000000-0010-0000-0000-000002000000}" name="Subcriterios" dataDxfId="29"/>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5"/>
  <sheetViews>
    <sheetView zoomScale="110" zoomScaleNormal="110" workbookViewId="0">
      <selection activeCell="B4" sqref="B4:H5"/>
    </sheetView>
  </sheetViews>
  <sheetFormatPr baseColWidth="10" defaultColWidth="11.42578125" defaultRowHeight="15" x14ac:dyDescent="0.25"/>
  <cols>
    <col min="1" max="1" width="2.85546875" style="69" customWidth="1" collapsed="1"/>
    <col min="2" max="3" width="24.7109375" style="69" customWidth="1" collapsed="1"/>
    <col min="4" max="4" width="16" style="69" customWidth="1" collapsed="1"/>
    <col min="5" max="5" width="24.7109375" style="69" customWidth="1" collapsed="1"/>
    <col min="6" max="6" width="27.7109375" style="69" customWidth="1" collapsed="1"/>
    <col min="7" max="8" width="24.7109375" style="69" customWidth="1" collapsed="1"/>
    <col min="9" max="16384" width="11.42578125" style="69" collapsed="1"/>
  </cols>
  <sheetData>
    <row r="1" spans="2:8" ht="15.75" thickBot="1" x14ac:dyDescent="0.3"/>
    <row r="2" spans="2:8" ht="18" x14ac:dyDescent="0.25">
      <c r="B2" s="144" t="s">
        <v>164</v>
      </c>
      <c r="C2" s="145"/>
      <c r="D2" s="145"/>
      <c r="E2" s="145"/>
      <c r="F2" s="145"/>
      <c r="G2" s="145"/>
      <c r="H2" s="146"/>
    </row>
    <row r="3" spans="2:8" x14ac:dyDescent="0.25">
      <c r="B3" s="70"/>
      <c r="C3" s="71"/>
      <c r="D3" s="71"/>
      <c r="E3" s="71"/>
      <c r="F3" s="71"/>
      <c r="G3" s="71"/>
      <c r="H3" s="72"/>
    </row>
    <row r="4" spans="2:8" ht="63" customHeight="1" x14ac:dyDescent="0.25">
      <c r="B4" s="147" t="s">
        <v>207</v>
      </c>
      <c r="C4" s="148"/>
      <c r="D4" s="148"/>
      <c r="E4" s="148"/>
      <c r="F4" s="148"/>
      <c r="G4" s="148"/>
      <c r="H4" s="149"/>
    </row>
    <row r="5" spans="2:8" ht="63" customHeight="1" x14ac:dyDescent="0.25">
      <c r="B5" s="150"/>
      <c r="C5" s="151"/>
      <c r="D5" s="151"/>
      <c r="E5" s="151"/>
      <c r="F5" s="151"/>
      <c r="G5" s="151"/>
      <c r="H5" s="152"/>
    </row>
    <row r="6" spans="2:8" ht="16.5" x14ac:dyDescent="0.25">
      <c r="B6" s="153" t="s">
        <v>162</v>
      </c>
      <c r="C6" s="154"/>
      <c r="D6" s="154"/>
      <c r="E6" s="154"/>
      <c r="F6" s="154"/>
      <c r="G6" s="154"/>
      <c r="H6" s="155"/>
    </row>
    <row r="7" spans="2:8" ht="95.25" customHeight="1" x14ac:dyDescent="0.25">
      <c r="B7" s="163" t="s">
        <v>167</v>
      </c>
      <c r="C7" s="164"/>
      <c r="D7" s="164"/>
      <c r="E7" s="164"/>
      <c r="F7" s="164"/>
      <c r="G7" s="164"/>
      <c r="H7" s="165"/>
    </row>
    <row r="8" spans="2:8" ht="16.5" x14ac:dyDescent="0.25">
      <c r="B8" s="106"/>
      <c r="C8" s="107"/>
      <c r="D8" s="107"/>
      <c r="E8" s="107"/>
      <c r="F8" s="107"/>
      <c r="G8" s="107"/>
      <c r="H8" s="108"/>
    </row>
    <row r="9" spans="2:8" ht="16.5" customHeight="1" x14ac:dyDescent="0.25">
      <c r="B9" s="156" t="s">
        <v>200</v>
      </c>
      <c r="C9" s="157"/>
      <c r="D9" s="157"/>
      <c r="E9" s="157"/>
      <c r="F9" s="157"/>
      <c r="G9" s="157"/>
      <c r="H9" s="158"/>
    </row>
    <row r="10" spans="2:8" ht="44.25" customHeight="1" x14ac:dyDescent="0.25">
      <c r="B10" s="156"/>
      <c r="C10" s="157"/>
      <c r="D10" s="157"/>
      <c r="E10" s="157"/>
      <c r="F10" s="157"/>
      <c r="G10" s="157"/>
      <c r="H10" s="158"/>
    </row>
    <row r="11" spans="2:8" ht="15.75" thickBot="1" x14ac:dyDescent="0.3">
      <c r="B11" s="95"/>
      <c r="C11" s="98"/>
      <c r="D11" s="103"/>
      <c r="E11" s="104"/>
      <c r="F11" s="104"/>
      <c r="G11" s="105"/>
      <c r="H11" s="99"/>
    </row>
    <row r="12" spans="2:8" ht="15.75" thickTop="1" x14ac:dyDescent="0.25">
      <c r="B12" s="95"/>
      <c r="C12" s="159" t="s">
        <v>163</v>
      </c>
      <c r="D12" s="160"/>
      <c r="E12" s="161" t="s">
        <v>201</v>
      </c>
      <c r="F12" s="162"/>
      <c r="G12" s="98"/>
      <c r="H12" s="99"/>
    </row>
    <row r="13" spans="2:8" ht="35.25" customHeight="1" x14ac:dyDescent="0.25">
      <c r="B13" s="95"/>
      <c r="C13" s="166" t="s">
        <v>194</v>
      </c>
      <c r="D13" s="167"/>
      <c r="E13" s="168" t="s">
        <v>199</v>
      </c>
      <c r="F13" s="169"/>
      <c r="G13" s="98"/>
      <c r="H13" s="99"/>
    </row>
    <row r="14" spans="2:8" ht="17.25" customHeight="1" x14ac:dyDescent="0.25">
      <c r="B14" s="95"/>
      <c r="C14" s="166" t="s">
        <v>195</v>
      </c>
      <c r="D14" s="167"/>
      <c r="E14" s="168" t="s">
        <v>197</v>
      </c>
      <c r="F14" s="169"/>
      <c r="G14" s="98"/>
      <c r="H14" s="99"/>
    </row>
    <row r="15" spans="2:8" ht="19.5" customHeight="1" x14ac:dyDescent="0.25">
      <c r="B15" s="95"/>
      <c r="C15" s="166" t="s">
        <v>196</v>
      </c>
      <c r="D15" s="167"/>
      <c r="E15" s="168" t="s">
        <v>198</v>
      </c>
      <c r="F15" s="169"/>
      <c r="G15" s="98"/>
      <c r="H15" s="99"/>
    </row>
    <row r="16" spans="2:8" ht="69.75" customHeight="1" x14ac:dyDescent="0.25">
      <c r="B16" s="95"/>
      <c r="C16" s="166" t="s">
        <v>165</v>
      </c>
      <c r="D16" s="167"/>
      <c r="E16" s="168" t="s">
        <v>166</v>
      </c>
      <c r="F16" s="169"/>
      <c r="G16" s="98"/>
      <c r="H16" s="99"/>
    </row>
    <row r="17" spans="2:8" ht="34.5" customHeight="1" x14ac:dyDescent="0.25">
      <c r="B17" s="95"/>
      <c r="C17" s="170" t="s">
        <v>2</v>
      </c>
      <c r="D17" s="171"/>
      <c r="E17" s="172" t="s">
        <v>208</v>
      </c>
      <c r="F17" s="173"/>
      <c r="G17" s="98"/>
      <c r="H17" s="99"/>
    </row>
    <row r="18" spans="2:8" ht="27.75" customHeight="1" x14ac:dyDescent="0.25">
      <c r="B18" s="95"/>
      <c r="C18" s="170" t="s">
        <v>3</v>
      </c>
      <c r="D18" s="171"/>
      <c r="E18" s="172" t="s">
        <v>209</v>
      </c>
      <c r="F18" s="173"/>
      <c r="G18" s="98"/>
      <c r="H18" s="99"/>
    </row>
    <row r="19" spans="2:8" ht="28.5" customHeight="1" x14ac:dyDescent="0.25">
      <c r="B19" s="95"/>
      <c r="C19" s="170" t="s">
        <v>42</v>
      </c>
      <c r="D19" s="171"/>
      <c r="E19" s="172" t="s">
        <v>210</v>
      </c>
      <c r="F19" s="173"/>
      <c r="G19" s="98"/>
      <c r="H19" s="99"/>
    </row>
    <row r="20" spans="2:8" ht="72.75" customHeight="1" x14ac:dyDescent="0.25">
      <c r="B20" s="95"/>
      <c r="C20" s="170" t="s">
        <v>1</v>
      </c>
      <c r="D20" s="171"/>
      <c r="E20" s="172" t="s">
        <v>211</v>
      </c>
      <c r="F20" s="173"/>
      <c r="G20" s="98"/>
      <c r="H20" s="99"/>
    </row>
    <row r="21" spans="2:8" ht="64.5" customHeight="1" x14ac:dyDescent="0.25">
      <c r="B21" s="95"/>
      <c r="C21" s="170" t="s">
        <v>50</v>
      </c>
      <c r="D21" s="171"/>
      <c r="E21" s="172" t="s">
        <v>169</v>
      </c>
      <c r="F21" s="173"/>
      <c r="G21" s="98"/>
      <c r="H21" s="99"/>
    </row>
    <row r="22" spans="2:8" ht="71.25" customHeight="1" x14ac:dyDescent="0.25">
      <c r="B22" s="95"/>
      <c r="C22" s="170" t="s">
        <v>168</v>
      </c>
      <c r="D22" s="171"/>
      <c r="E22" s="172" t="s">
        <v>170</v>
      </c>
      <c r="F22" s="173"/>
      <c r="G22" s="98"/>
      <c r="H22" s="99"/>
    </row>
    <row r="23" spans="2:8" ht="55.5" customHeight="1" x14ac:dyDescent="0.25">
      <c r="B23" s="95"/>
      <c r="C23" s="177" t="s">
        <v>171</v>
      </c>
      <c r="D23" s="178"/>
      <c r="E23" s="172" t="s">
        <v>172</v>
      </c>
      <c r="F23" s="173"/>
      <c r="G23" s="98"/>
      <c r="H23" s="99"/>
    </row>
    <row r="24" spans="2:8" ht="42" customHeight="1" x14ac:dyDescent="0.25">
      <c r="B24" s="95"/>
      <c r="C24" s="177" t="s">
        <v>48</v>
      </c>
      <c r="D24" s="178"/>
      <c r="E24" s="172" t="s">
        <v>173</v>
      </c>
      <c r="F24" s="173"/>
      <c r="G24" s="98"/>
      <c r="H24" s="99"/>
    </row>
    <row r="25" spans="2:8" ht="59.25" customHeight="1" x14ac:dyDescent="0.25">
      <c r="B25" s="95"/>
      <c r="C25" s="177" t="s">
        <v>161</v>
      </c>
      <c r="D25" s="178"/>
      <c r="E25" s="172" t="s">
        <v>174</v>
      </c>
      <c r="F25" s="173"/>
      <c r="G25" s="98"/>
      <c r="H25" s="99"/>
    </row>
    <row r="26" spans="2:8" ht="23.25" customHeight="1" x14ac:dyDescent="0.25">
      <c r="B26" s="95"/>
      <c r="C26" s="177" t="s">
        <v>12</v>
      </c>
      <c r="D26" s="178"/>
      <c r="E26" s="172" t="s">
        <v>175</v>
      </c>
      <c r="F26" s="173"/>
      <c r="G26" s="98"/>
      <c r="H26" s="99"/>
    </row>
    <row r="27" spans="2:8" ht="30.75" customHeight="1" x14ac:dyDescent="0.25">
      <c r="B27" s="95"/>
      <c r="C27" s="177" t="s">
        <v>179</v>
      </c>
      <c r="D27" s="178"/>
      <c r="E27" s="172" t="s">
        <v>176</v>
      </c>
      <c r="F27" s="173"/>
      <c r="G27" s="98"/>
      <c r="H27" s="99"/>
    </row>
    <row r="28" spans="2:8" ht="35.25" customHeight="1" x14ac:dyDescent="0.25">
      <c r="B28" s="95"/>
      <c r="C28" s="177" t="s">
        <v>180</v>
      </c>
      <c r="D28" s="178"/>
      <c r="E28" s="172" t="s">
        <v>177</v>
      </c>
      <c r="F28" s="173"/>
      <c r="G28" s="98"/>
      <c r="H28" s="99"/>
    </row>
    <row r="29" spans="2:8" ht="33" customHeight="1" x14ac:dyDescent="0.25">
      <c r="B29" s="95"/>
      <c r="C29" s="177" t="s">
        <v>180</v>
      </c>
      <c r="D29" s="178"/>
      <c r="E29" s="172" t="s">
        <v>177</v>
      </c>
      <c r="F29" s="173"/>
      <c r="G29" s="98"/>
      <c r="H29" s="99"/>
    </row>
    <row r="30" spans="2:8" ht="30" customHeight="1" x14ac:dyDescent="0.25">
      <c r="B30" s="95"/>
      <c r="C30" s="177" t="s">
        <v>181</v>
      </c>
      <c r="D30" s="178"/>
      <c r="E30" s="172" t="s">
        <v>178</v>
      </c>
      <c r="F30" s="173"/>
      <c r="G30" s="98"/>
      <c r="H30" s="99"/>
    </row>
    <row r="31" spans="2:8" ht="35.25" customHeight="1" x14ac:dyDescent="0.25">
      <c r="B31" s="95"/>
      <c r="C31" s="177" t="s">
        <v>182</v>
      </c>
      <c r="D31" s="178"/>
      <c r="E31" s="172" t="s">
        <v>183</v>
      </c>
      <c r="F31" s="173"/>
      <c r="G31" s="98"/>
      <c r="H31" s="99"/>
    </row>
    <row r="32" spans="2:8" ht="31.5" customHeight="1" x14ac:dyDescent="0.25">
      <c r="B32" s="95"/>
      <c r="C32" s="177" t="s">
        <v>184</v>
      </c>
      <c r="D32" s="178"/>
      <c r="E32" s="172" t="s">
        <v>185</v>
      </c>
      <c r="F32" s="173"/>
      <c r="G32" s="98"/>
      <c r="H32" s="99"/>
    </row>
    <row r="33" spans="2:8" ht="35.25" customHeight="1" x14ac:dyDescent="0.25">
      <c r="B33" s="95"/>
      <c r="C33" s="177" t="s">
        <v>186</v>
      </c>
      <c r="D33" s="178"/>
      <c r="E33" s="172" t="s">
        <v>187</v>
      </c>
      <c r="F33" s="173"/>
      <c r="G33" s="98"/>
      <c r="H33" s="99"/>
    </row>
    <row r="34" spans="2:8" ht="59.25" customHeight="1" x14ac:dyDescent="0.25">
      <c r="B34" s="95"/>
      <c r="C34" s="177" t="s">
        <v>188</v>
      </c>
      <c r="D34" s="178"/>
      <c r="E34" s="172" t="s">
        <v>189</v>
      </c>
      <c r="F34" s="173"/>
      <c r="G34" s="98"/>
      <c r="H34" s="99"/>
    </row>
    <row r="35" spans="2:8" ht="29.25" customHeight="1" x14ac:dyDescent="0.25">
      <c r="B35" s="95"/>
      <c r="C35" s="177" t="s">
        <v>29</v>
      </c>
      <c r="D35" s="178"/>
      <c r="E35" s="172" t="s">
        <v>190</v>
      </c>
      <c r="F35" s="173"/>
      <c r="G35" s="98"/>
      <c r="H35" s="99"/>
    </row>
    <row r="36" spans="2:8" ht="82.5" customHeight="1" x14ac:dyDescent="0.25">
      <c r="B36" s="95"/>
      <c r="C36" s="177" t="s">
        <v>192</v>
      </c>
      <c r="D36" s="178"/>
      <c r="E36" s="172" t="s">
        <v>191</v>
      </c>
      <c r="F36" s="173"/>
      <c r="G36" s="98"/>
      <c r="H36" s="99"/>
    </row>
    <row r="37" spans="2:8" ht="46.5" customHeight="1" x14ac:dyDescent="0.25">
      <c r="B37" s="95"/>
      <c r="C37" s="177" t="s">
        <v>39</v>
      </c>
      <c r="D37" s="178"/>
      <c r="E37" s="172" t="s">
        <v>193</v>
      </c>
      <c r="F37" s="173"/>
      <c r="G37" s="98"/>
      <c r="H37" s="99"/>
    </row>
    <row r="38" spans="2:8" ht="6.75" customHeight="1" thickBot="1" x14ac:dyDescent="0.3">
      <c r="B38" s="95"/>
      <c r="C38" s="179"/>
      <c r="D38" s="180"/>
      <c r="E38" s="181"/>
      <c r="F38" s="182"/>
      <c r="G38" s="98"/>
      <c r="H38" s="99"/>
    </row>
    <row r="39" spans="2:8" ht="15.75" thickTop="1" x14ac:dyDescent="0.25">
      <c r="B39" s="95"/>
      <c r="C39" s="96"/>
      <c r="D39" s="96"/>
      <c r="E39" s="97"/>
      <c r="F39" s="97"/>
      <c r="G39" s="98"/>
      <c r="H39" s="99"/>
    </row>
    <row r="40" spans="2:8" ht="21" customHeight="1" x14ac:dyDescent="0.25">
      <c r="B40" s="174" t="s">
        <v>202</v>
      </c>
      <c r="C40" s="175"/>
      <c r="D40" s="175"/>
      <c r="E40" s="175"/>
      <c r="F40" s="175"/>
      <c r="G40" s="175"/>
      <c r="H40" s="176"/>
    </row>
    <row r="41" spans="2:8" ht="20.25" customHeight="1" x14ac:dyDescent="0.25">
      <c r="B41" s="174" t="s">
        <v>203</v>
      </c>
      <c r="C41" s="175"/>
      <c r="D41" s="175"/>
      <c r="E41" s="175"/>
      <c r="F41" s="175"/>
      <c r="G41" s="175"/>
      <c r="H41" s="176"/>
    </row>
    <row r="42" spans="2:8" ht="20.25" customHeight="1" x14ac:dyDescent="0.25">
      <c r="B42" s="174" t="s">
        <v>204</v>
      </c>
      <c r="C42" s="175"/>
      <c r="D42" s="175"/>
      <c r="E42" s="175"/>
      <c r="F42" s="175"/>
      <c r="G42" s="175"/>
      <c r="H42" s="176"/>
    </row>
    <row r="43" spans="2:8" ht="20.25" customHeight="1" x14ac:dyDescent="0.25">
      <c r="B43" s="174" t="s">
        <v>205</v>
      </c>
      <c r="C43" s="175"/>
      <c r="D43" s="175"/>
      <c r="E43" s="175"/>
      <c r="F43" s="175"/>
      <c r="G43" s="175"/>
      <c r="H43" s="176"/>
    </row>
    <row r="44" spans="2:8" x14ac:dyDescent="0.25">
      <c r="B44" s="174" t="s">
        <v>206</v>
      </c>
      <c r="C44" s="175"/>
      <c r="D44" s="175"/>
      <c r="E44" s="175"/>
      <c r="F44" s="175"/>
      <c r="G44" s="175"/>
      <c r="H44" s="176"/>
    </row>
    <row r="45" spans="2:8" ht="15.75" thickBot="1" x14ac:dyDescent="0.3">
      <c r="B45" s="100"/>
      <c r="C45" s="101"/>
      <c r="D45" s="101"/>
      <c r="E45" s="101"/>
      <c r="F45" s="101"/>
      <c r="G45" s="101"/>
      <c r="H45" s="102"/>
    </row>
  </sheetData>
  <mergeCells count="64">
    <mergeCell ref="E28:F28"/>
    <mergeCell ref="C28:D28"/>
    <mergeCell ref="C16:D16"/>
    <mergeCell ref="E16:F16"/>
    <mergeCell ref="C14:D14"/>
    <mergeCell ref="E14:F14"/>
    <mergeCell ref="C15:D15"/>
    <mergeCell ref="E15:F15"/>
    <mergeCell ref="E22:F22"/>
    <mergeCell ref="C22:D22"/>
    <mergeCell ref="C25:D25"/>
    <mergeCell ref="E25:F25"/>
    <mergeCell ref="B41:H41"/>
    <mergeCell ref="C38:D38"/>
    <mergeCell ref="E38:F38"/>
    <mergeCell ref="C37:D37"/>
    <mergeCell ref="E37:F37"/>
    <mergeCell ref="C33:D33"/>
    <mergeCell ref="B40:H40"/>
    <mergeCell ref="C29:D29"/>
    <mergeCell ref="E29:F29"/>
    <mergeCell ref="C30:D30"/>
    <mergeCell ref="E30:F30"/>
    <mergeCell ref="E33:F33"/>
    <mergeCell ref="C34:D34"/>
    <mergeCell ref="C35:D35"/>
    <mergeCell ref="E35:F35"/>
    <mergeCell ref="C36:D36"/>
    <mergeCell ref="E36:F36"/>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13:D13"/>
    <mergeCell ref="E13:F13"/>
    <mergeCell ref="C17:D17"/>
    <mergeCell ref="E17:F17"/>
    <mergeCell ref="C21:D21"/>
    <mergeCell ref="C18:D18"/>
    <mergeCell ref="C19:D19"/>
    <mergeCell ref="C20:D20"/>
    <mergeCell ref="E18:F18"/>
    <mergeCell ref="E19:F19"/>
    <mergeCell ref="E20:F20"/>
    <mergeCell ref="E21:F21"/>
    <mergeCell ref="B2:H2"/>
    <mergeCell ref="B4:H5"/>
    <mergeCell ref="B6:H6"/>
    <mergeCell ref="B9:H10"/>
    <mergeCell ref="C12:D12"/>
    <mergeCell ref="E12:F12"/>
    <mergeCell ref="B7:H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Y37"/>
  <sheetViews>
    <sheetView showGridLines="0" tabSelected="1" topLeftCell="AF9" zoomScale="80" zoomScaleNormal="80" workbookViewId="0">
      <selection activeCell="AT20" sqref="AT20"/>
    </sheetView>
  </sheetViews>
  <sheetFormatPr baseColWidth="10" defaultColWidth="11.42578125" defaultRowHeight="15" x14ac:dyDescent="0.25"/>
  <cols>
    <col min="1" max="1" width="4" style="114" bestFit="1" customWidth="1" collapsed="1"/>
    <col min="2" max="2" width="14.140625" style="114" customWidth="1" collapsed="1"/>
    <col min="3" max="3" width="17.28515625" style="114" customWidth="1" collapsed="1"/>
    <col min="4" max="4" width="23.140625" style="114" customWidth="1" collapsed="1"/>
    <col min="5" max="5" width="32.42578125" style="110" customWidth="1" collapsed="1"/>
    <col min="6" max="6" width="19" style="115" customWidth="1" collapsed="1"/>
    <col min="7" max="7" width="17.85546875" style="110" customWidth="1" collapsed="1"/>
    <col min="8" max="8" width="22.28515625" style="110" customWidth="1" collapsed="1"/>
    <col min="9" max="9" width="10.140625" style="110" customWidth="1" collapsed="1"/>
    <col min="10" max="10" width="27.28515625" style="110" bestFit="1" customWidth="1" collapsed="1"/>
    <col min="11" max="11" width="30.5703125" style="110" hidden="1" customWidth="1" collapsed="1"/>
    <col min="12" max="12" width="20.85546875" style="110" customWidth="1" collapsed="1"/>
    <col min="13" max="13" width="9.85546875" style="110" customWidth="1" collapsed="1"/>
    <col min="14" max="14" width="16" style="110" customWidth="1" collapsed="1"/>
    <col min="15" max="15" width="5.85546875" style="110" customWidth="1" collapsed="1"/>
    <col min="16" max="16" width="31" style="110" customWidth="1" collapsed="1"/>
    <col min="17" max="17" width="15.140625" style="110" bestFit="1" customWidth="1" collapsed="1"/>
    <col min="18" max="18" width="6.85546875" style="110" customWidth="1" collapsed="1"/>
    <col min="19" max="19" width="5" style="110" customWidth="1" collapsed="1"/>
    <col min="20" max="20" width="5.5703125" style="110" customWidth="1" collapsed="1"/>
    <col min="21" max="21" width="7.140625" style="110" customWidth="1" collapsed="1"/>
    <col min="22" max="22" width="6.7109375" style="110" customWidth="1" collapsed="1"/>
    <col min="23" max="23" width="7.5703125" style="110" customWidth="1" collapsed="1"/>
    <col min="24" max="24" width="38.28515625" style="110" hidden="1" customWidth="1" collapsed="1"/>
    <col min="25" max="25" width="8.7109375" style="110" customWidth="1" collapsed="1"/>
    <col min="26" max="26" width="10.42578125" style="110" customWidth="1" collapsed="1"/>
    <col min="27" max="27" width="9.28515625" style="110" customWidth="1" collapsed="1"/>
    <col min="28" max="28" width="9.140625" style="110" customWidth="1" collapsed="1"/>
    <col min="29" max="29" width="8.42578125" style="110" customWidth="1" collapsed="1"/>
    <col min="30" max="30" width="7.28515625" style="110" customWidth="1" collapsed="1"/>
    <col min="31" max="31" width="23" style="110" customWidth="1" collapsed="1"/>
    <col min="32" max="32" width="18.85546875" style="110" customWidth="1" collapsed="1"/>
    <col min="33" max="33" width="19.42578125" style="110" customWidth="1" collapsed="1"/>
    <col min="34" max="34" width="14.85546875" style="110" customWidth="1" collapsed="1"/>
    <col min="35" max="35" width="20.85546875" customWidth="1"/>
    <col min="36" max="36" width="34.140625" customWidth="1"/>
    <col min="37" max="37" width="21" customWidth="1"/>
    <col min="38" max="38" width="20.85546875" customWidth="1"/>
    <col min="39" max="39" width="33.28515625" customWidth="1"/>
    <col min="40" max="40" width="21" customWidth="1"/>
    <col min="41" max="41" width="16.85546875" customWidth="1"/>
    <col min="42" max="42" width="43.140625" customWidth="1"/>
    <col min="43" max="43" width="18.5703125" customWidth="1"/>
    <col min="44" max="75" width="11.42578125" style="110" collapsed="1"/>
    <col min="76" max="77" width="11.42578125" style="110"/>
    <col min="78" max="16384" width="11.42578125" style="110" collapsed="1"/>
  </cols>
  <sheetData>
    <row r="1" spans="1:75" ht="16.5" customHeight="1" x14ac:dyDescent="0.2">
      <c r="A1" s="184"/>
      <c r="B1" s="184"/>
      <c r="C1" s="184"/>
      <c r="D1" s="185" t="s">
        <v>213</v>
      </c>
      <c r="E1" s="185"/>
      <c r="F1" s="185"/>
      <c r="G1" s="185"/>
      <c r="H1" s="185"/>
      <c r="I1" s="185"/>
      <c r="J1" s="185"/>
      <c r="K1" s="185"/>
      <c r="L1" s="185"/>
      <c r="M1" s="185"/>
      <c r="N1" s="185"/>
      <c r="O1" s="128"/>
      <c r="P1" s="128"/>
      <c r="Q1" s="128"/>
      <c r="R1" s="128"/>
      <c r="S1" s="128"/>
      <c r="T1" s="128"/>
      <c r="U1" s="128"/>
      <c r="V1" s="128"/>
      <c r="W1" s="128"/>
      <c r="X1" s="128"/>
      <c r="Y1" s="128"/>
      <c r="Z1" s="128"/>
      <c r="AA1" s="128"/>
      <c r="AB1" s="128"/>
      <c r="AC1" s="128"/>
      <c r="AD1" s="128"/>
      <c r="AE1" s="128"/>
      <c r="AF1" s="128"/>
      <c r="AG1" s="128"/>
      <c r="AH1" s="128"/>
      <c r="AI1" s="134"/>
      <c r="AJ1" s="134"/>
      <c r="AK1" s="134"/>
      <c r="AL1" s="134"/>
      <c r="AM1" s="134"/>
      <c r="AN1" s="134"/>
      <c r="AO1" s="134"/>
      <c r="AP1" s="134"/>
      <c r="AQ1" s="134"/>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c r="BQ1" s="109"/>
      <c r="BR1" s="109"/>
      <c r="BS1" s="109"/>
      <c r="BT1" s="109"/>
      <c r="BU1" s="109"/>
      <c r="BV1" s="109"/>
      <c r="BW1" s="109"/>
    </row>
    <row r="2" spans="1:75" ht="16.5" customHeight="1" x14ac:dyDescent="0.2">
      <c r="A2" s="184"/>
      <c r="B2" s="184"/>
      <c r="C2" s="184"/>
      <c r="D2" s="185"/>
      <c r="E2" s="185"/>
      <c r="F2" s="185"/>
      <c r="G2" s="185"/>
      <c r="H2" s="185"/>
      <c r="I2" s="185"/>
      <c r="J2" s="185"/>
      <c r="K2" s="185"/>
      <c r="L2" s="185"/>
      <c r="M2" s="185"/>
      <c r="N2" s="185"/>
      <c r="O2" s="128"/>
      <c r="P2" s="128"/>
      <c r="Q2" s="128"/>
      <c r="R2" s="128"/>
      <c r="S2" s="128"/>
      <c r="T2" s="128"/>
      <c r="U2" s="128"/>
      <c r="V2" s="128"/>
      <c r="W2" s="128"/>
      <c r="X2" s="128"/>
      <c r="Y2" s="128"/>
      <c r="Z2" s="128"/>
      <c r="AA2" s="128"/>
      <c r="AB2" s="128"/>
      <c r="AC2" s="128"/>
      <c r="AD2" s="128"/>
      <c r="AE2" s="128"/>
      <c r="AF2" s="128"/>
      <c r="AG2" s="128"/>
      <c r="AH2" s="128"/>
      <c r="AI2" s="134"/>
      <c r="AJ2" s="134"/>
      <c r="AK2" s="134"/>
      <c r="AL2" s="134"/>
      <c r="AM2" s="134"/>
      <c r="AN2" s="134"/>
      <c r="AO2" s="134"/>
      <c r="AP2" s="134"/>
      <c r="AQ2" s="134"/>
      <c r="AR2" s="109"/>
      <c r="AS2" s="109"/>
      <c r="AT2" s="109"/>
      <c r="AU2" s="109"/>
      <c r="AV2" s="109"/>
      <c r="AW2" s="109"/>
      <c r="AX2" s="109"/>
      <c r="AY2" s="109"/>
      <c r="AZ2" s="109"/>
      <c r="BA2" s="109"/>
      <c r="BB2" s="109"/>
      <c r="BC2" s="109"/>
      <c r="BD2" s="109"/>
      <c r="BE2" s="109"/>
      <c r="BF2" s="109"/>
      <c r="BG2" s="109"/>
      <c r="BH2" s="109"/>
      <c r="BI2" s="109"/>
      <c r="BJ2" s="109"/>
      <c r="BK2" s="109"/>
      <c r="BL2" s="109"/>
      <c r="BM2" s="109"/>
      <c r="BN2" s="109"/>
      <c r="BO2" s="109"/>
      <c r="BP2" s="109"/>
      <c r="BQ2" s="109"/>
      <c r="BR2" s="109"/>
      <c r="BS2" s="109"/>
      <c r="BT2" s="109"/>
      <c r="BU2" s="109"/>
      <c r="BV2" s="109"/>
      <c r="BW2" s="109"/>
    </row>
    <row r="3" spans="1:75" ht="16.5" customHeight="1" x14ac:dyDescent="0.2">
      <c r="A3" s="184"/>
      <c r="B3" s="184"/>
      <c r="C3" s="184"/>
      <c r="D3" s="186" t="s">
        <v>214</v>
      </c>
      <c r="E3" s="186"/>
      <c r="F3" s="186"/>
      <c r="G3" s="186"/>
      <c r="H3" s="186"/>
      <c r="I3" s="186"/>
      <c r="J3" s="186"/>
      <c r="K3" s="186"/>
      <c r="L3" s="186"/>
      <c r="M3" s="186"/>
      <c r="N3" s="186"/>
      <c r="O3" s="128"/>
      <c r="P3" s="128"/>
      <c r="Q3" s="128"/>
      <c r="R3" s="128"/>
      <c r="S3" s="128"/>
      <c r="T3" s="128"/>
      <c r="U3" s="128"/>
      <c r="V3" s="128"/>
      <c r="W3" s="128"/>
      <c r="X3" s="128"/>
      <c r="Y3" s="128"/>
      <c r="Z3" s="128"/>
      <c r="AA3" s="128"/>
      <c r="AB3" s="128"/>
      <c r="AC3" s="128"/>
      <c r="AD3" s="128"/>
      <c r="AE3" s="128"/>
      <c r="AF3" s="128"/>
      <c r="AG3" s="128"/>
      <c r="AH3" s="128"/>
      <c r="AI3" s="134"/>
      <c r="AJ3" s="134"/>
      <c r="AK3" s="134"/>
      <c r="AL3" s="134"/>
      <c r="AM3" s="134"/>
      <c r="AN3" s="134"/>
      <c r="AO3" s="134"/>
      <c r="AP3" s="134"/>
      <c r="AQ3" s="134"/>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09"/>
      <c r="BR3" s="109"/>
      <c r="BS3" s="109"/>
      <c r="BT3" s="109"/>
      <c r="BU3" s="109"/>
      <c r="BV3" s="109"/>
      <c r="BW3" s="109"/>
    </row>
    <row r="4" spans="1:75" ht="27.75" x14ac:dyDescent="0.2">
      <c r="A4" s="184"/>
      <c r="B4" s="184"/>
      <c r="C4" s="184"/>
      <c r="D4" s="186" t="s">
        <v>216</v>
      </c>
      <c r="E4" s="186"/>
      <c r="F4" s="186"/>
      <c r="G4" s="186"/>
      <c r="H4" s="186"/>
      <c r="I4" s="186"/>
      <c r="J4" s="186"/>
      <c r="K4" s="186"/>
      <c r="L4" s="186"/>
      <c r="M4" s="186"/>
      <c r="N4" s="186"/>
      <c r="O4" s="128"/>
      <c r="P4" s="128"/>
      <c r="Q4" s="128"/>
      <c r="R4" s="128"/>
      <c r="S4" s="128"/>
      <c r="T4" s="128"/>
      <c r="U4" s="128"/>
      <c r="V4" s="128"/>
      <c r="W4" s="128"/>
      <c r="X4" s="128"/>
      <c r="Y4" s="128"/>
      <c r="Z4" s="128"/>
      <c r="AA4" s="128"/>
      <c r="AB4" s="128"/>
      <c r="AC4" s="128"/>
      <c r="AD4" s="128"/>
      <c r="AE4" s="128"/>
      <c r="AF4" s="128"/>
      <c r="AG4" s="128"/>
      <c r="AH4" s="128"/>
      <c r="AI4" s="134"/>
      <c r="AJ4" s="134"/>
      <c r="AK4" s="134"/>
      <c r="AL4" s="134"/>
      <c r="AM4" s="134"/>
      <c r="AN4" s="134"/>
      <c r="AO4" s="134"/>
      <c r="AP4" s="134"/>
      <c r="AQ4" s="134"/>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c r="BW4" s="109"/>
    </row>
    <row r="5" spans="1:75" x14ac:dyDescent="0.25">
      <c r="A5" s="184"/>
      <c r="B5" s="184"/>
      <c r="C5" s="184"/>
      <c r="D5" s="187" t="s">
        <v>230</v>
      </c>
      <c r="E5" s="187"/>
      <c r="F5" s="187"/>
      <c r="G5" s="187" t="s">
        <v>237</v>
      </c>
      <c r="H5" s="187"/>
      <c r="I5" s="187"/>
      <c r="J5" s="186" t="s">
        <v>215</v>
      </c>
      <c r="K5" s="186"/>
      <c r="L5" s="186"/>
      <c r="M5" s="186"/>
      <c r="N5" s="186"/>
      <c r="O5" s="109"/>
      <c r="P5" s="109"/>
      <c r="Q5" s="109"/>
      <c r="R5" s="109"/>
      <c r="S5" s="109"/>
      <c r="T5" s="109"/>
      <c r="U5" s="109"/>
      <c r="V5" s="109"/>
      <c r="W5" s="109"/>
      <c r="X5" s="109"/>
      <c r="Y5" s="109"/>
      <c r="Z5" s="109"/>
      <c r="AA5" s="109"/>
      <c r="AB5" s="109"/>
      <c r="AC5" s="109"/>
      <c r="AD5" s="109"/>
      <c r="AE5" s="109"/>
      <c r="AF5" s="109"/>
      <c r="AG5" s="109"/>
      <c r="AH5" s="109"/>
      <c r="AI5" s="135"/>
      <c r="AJ5" s="135"/>
      <c r="AK5" s="135"/>
      <c r="AL5" s="135"/>
      <c r="AM5" s="135"/>
      <c r="AN5" s="135"/>
      <c r="AO5" s="135"/>
      <c r="AP5" s="135"/>
      <c r="AQ5" s="135"/>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c r="BW5" s="109"/>
    </row>
    <row r="6" spans="1:75" x14ac:dyDescent="0.25">
      <c r="A6" s="129"/>
      <c r="B6" s="130"/>
      <c r="C6" s="130"/>
      <c r="D6" s="142"/>
      <c r="E6" s="142"/>
      <c r="F6" s="142"/>
      <c r="G6" s="142"/>
      <c r="H6" s="143"/>
      <c r="I6" s="131"/>
      <c r="J6" s="131"/>
      <c r="K6" s="131"/>
      <c r="L6" s="131"/>
      <c r="M6" s="109"/>
      <c r="N6" s="109"/>
      <c r="O6" s="109"/>
      <c r="P6" s="109"/>
      <c r="Q6" s="109"/>
      <c r="R6" s="109"/>
      <c r="S6" s="109"/>
      <c r="T6" s="109"/>
      <c r="U6" s="109"/>
      <c r="V6" s="109"/>
      <c r="W6" s="109"/>
      <c r="X6" s="109"/>
      <c r="Y6" s="109"/>
      <c r="Z6" s="109"/>
      <c r="AA6" s="109"/>
      <c r="AB6" s="109"/>
      <c r="AC6" s="109"/>
      <c r="AD6" s="109"/>
      <c r="AE6" s="109"/>
      <c r="AF6" s="109"/>
      <c r="AG6" s="109"/>
      <c r="AH6" s="109"/>
      <c r="AI6" s="135"/>
      <c r="AJ6" s="135"/>
      <c r="AK6" s="135"/>
      <c r="AL6" s="135"/>
      <c r="AM6" s="135"/>
      <c r="AN6" s="135"/>
      <c r="AO6" s="135"/>
      <c r="AP6" s="135"/>
      <c r="AQ6" s="135"/>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c r="BR6" s="109"/>
      <c r="BS6" s="109"/>
      <c r="BT6" s="109"/>
      <c r="BU6" s="109"/>
      <c r="BV6" s="109"/>
      <c r="BW6" s="109"/>
    </row>
    <row r="7" spans="1:75" s="133" customFormat="1" ht="28.5" customHeight="1" x14ac:dyDescent="0.25">
      <c r="A7" s="189" t="s">
        <v>43</v>
      </c>
      <c r="B7" s="189"/>
      <c r="C7" s="188" t="s">
        <v>219</v>
      </c>
      <c r="D7" s="188"/>
      <c r="E7" s="188"/>
      <c r="F7" s="188"/>
      <c r="G7" s="188"/>
      <c r="H7" s="188"/>
      <c r="I7" s="188"/>
      <c r="J7" s="188"/>
      <c r="K7" s="188"/>
      <c r="L7" s="188"/>
      <c r="M7" s="188"/>
      <c r="N7" s="188"/>
      <c r="O7" s="183"/>
      <c r="P7" s="183"/>
      <c r="Q7" s="183"/>
      <c r="R7" s="132"/>
      <c r="S7" s="132"/>
      <c r="T7" s="132"/>
      <c r="U7" s="132"/>
      <c r="V7" s="132"/>
      <c r="W7" s="132"/>
      <c r="X7" s="132"/>
      <c r="Y7" s="132"/>
      <c r="Z7" s="132"/>
      <c r="AA7" s="132"/>
      <c r="AB7" s="132"/>
      <c r="AC7" s="132"/>
      <c r="AD7" s="132"/>
      <c r="AE7" s="132"/>
      <c r="AF7" s="132"/>
      <c r="AG7" s="132"/>
      <c r="AH7" s="132"/>
      <c r="AI7" s="135"/>
      <c r="AJ7" s="135"/>
      <c r="AK7" s="135"/>
      <c r="AL7" s="135"/>
      <c r="AM7" s="135"/>
      <c r="AN7" s="135"/>
      <c r="AO7" s="135"/>
      <c r="AP7" s="135"/>
      <c r="AQ7" s="135"/>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c r="BP7" s="132"/>
      <c r="BQ7" s="132"/>
      <c r="BR7" s="132"/>
      <c r="BS7" s="132"/>
      <c r="BT7" s="132"/>
      <c r="BU7" s="132"/>
      <c r="BV7" s="132"/>
      <c r="BW7" s="132"/>
    </row>
    <row r="8" spans="1:75" s="133" customFormat="1" ht="32.25" customHeight="1" x14ac:dyDescent="0.25">
      <c r="A8" s="189" t="s">
        <v>130</v>
      </c>
      <c r="B8" s="189"/>
      <c r="C8" s="204" t="s">
        <v>220</v>
      </c>
      <c r="D8" s="205"/>
      <c r="E8" s="205"/>
      <c r="F8" s="205"/>
      <c r="G8" s="205"/>
      <c r="H8" s="205"/>
      <c r="I8" s="205"/>
      <c r="J8" s="205"/>
      <c r="K8" s="205"/>
      <c r="L8" s="205"/>
      <c r="M8" s="205"/>
      <c r="N8" s="205"/>
      <c r="O8" s="132"/>
      <c r="P8" s="132"/>
      <c r="Q8" s="132"/>
      <c r="R8" s="132"/>
      <c r="S8" s="132"/>
      <c r="T8" s="132"/>
      <c r="U8" s="132"/>
      <c r="V8" s="132"/>
      <c r="W8" s="132"/>
      <c r="X8" s="132"/>
      <c r="Y8" s="132"/>
      <c r="Z8" s="132"/>
      <c r="AA8" s="132"/>
      <c r="AB8" s="132"/>
      <c r="AC8" s="132"/>
      <c r="AD8" s="132"/>
      <c r="AE8" s="132"/>
      <c r="AF8" s="132"/>
      <c r="AG8" s="132"/>
      <c r="AH8" s="132"/>
      <c r="AI8" s="135"/>
      <c r="AJ8" s="135"/>
      <c r="AK8" s="135"/>
      <c r="AL8" s="135"/>
      <c r="AM8" s="135"/>
      <c r="AN8" s="135"/>
      <c r="AO8" s="135"/>
      <c r="AP8" s="135"/>
      <c r="AQ8" s="135"/>
      <c r="AR8" s="132"/>
      <c r="AS8" s="132"/>
      <c r="AT8" s="132"/>
      <c r="AU8" s="132"/>
      <c r="AV8" s="132"/>
      <c r="AW8" s="132"/>
      <c r="AX8" s="132"/>
      <c r="AY8" s="132"/>
      <c r="AZ8" s="132"/>
      <c r="BA8" s="132"/>
      <c r="BB8" s="132"/>
      <c r="BC8" s="132"/>
      <c r="BD8" s="132"/>
      <c r="BE8" s="132"/>
      <c r="BF8" s="132"/>
      <c r="BG8" s="132"/>
      <c r="BH8" s="132"/>
      <c r="BI8" s="132"/>
      <c r="BJ8" s="132"/>
      <c r="BK8" s="132"/>
      <c r="BL8" s="132"/>
      <c r="BM8" s="132"/>
      <c r="BN8" s="132"/>
      <c r="BO8" s="132"/>
      <c r="BP8" s="132"/>
      <c r="BQ8" s="132"/>
      <c r="BR8" s="132"/>
      <c r="BS8" s="132"/>
      <c r="BT8" s="132"/>
      <c r="BU8" s="132"/>
      <c r="BV8" s="132"/>
      <c r="BW8" s="132"/>
    </row>
    <row r="9" spans="1:75" s="133" customFormat="1" ht="38.25" customHeight="1" x14ac:dyDescent="0.25">
      <c r="A9" s="200" t="s">
        <v>44</v>
      </c>
      <c r="B9" s="200"/>
      <c r="C9" s="206" t="s">
        <v>221</v>
      </c>
      <c r="D9" s="206"/>
      <c r="E9" s="206"/>
      <c r="F9" s="206"/>
      <c r="G9" s="206"/>
      <c r="H9" s="206"/>
      <c r="I9" s="206"/>
      <c r="J9" s="206"/>
      <c r="K9" s="206"/>
      <c r="L9" s="206"/>
      <c r="M9" s="206"/>
      <c r="N9" s="206"/>
      <c r="O9" s="132"/>
      <c r="P9" s="132"/>
      <c r="Q9" s="132"/>
      <c r="R9" s="132"/>
      <c r="S9" s="132"/>
      <c r="T9" s="132"/>
      <c r="U9" s="132"/>
      <c r="V9" s="132"/>
      <c r="W9" s="132"/>
      <c r="X9" s="132"/>
      <c r="Y9" s="132"/>
      <c r="Z9" s="132"/>
      <c r="AA9" s="132"/>
      <c r="AB9" s="132"/>
      <c r="AC9" s="132"/>
      <c r="AD9" s="132"/>
      <c r="AE9" s="132"/>
      <c r="AF9" s="132"/>
      <c r="AG9" s="132"/>
      <c r="AH9" s="132"/>
      <c r="AI9" s="135"/>
      <c r="AJ9" s="135"/>
      <c r="AK9" s="135"/>
      <c r="AL9" s="135"/>
      <c r="AM9" s="135"/>
      <c r="AN9" s="135"/>
      <c r="AO9" s="135"/>
      <c r="AP9" s="135"/>
      <c r="AQ9" s="135"/>
      <c r="AR9" s="132"/>
      <c r="AS9" s="132"/>
      <c r="AT9" s="132"/>
      <c r="AU9" s="132"/>
      <c r="AV9" s="132"/>
      <c r="AW9" s="132"/>
      <c r="AX9" s="132"/>
      <c r="AY9" s="132"/>
      <c r="AZ9" s="132"/>
      <c r="BA9" s="132"/>
      <c r="BB9" s="132"/>
      <c r="BC9" s="132"/>
      <c r="BD9" s="132"/>
      <c r="BE9" s="132"/>
      <c r="BF9" s="132"/>
      <c r="BG9" s="132"/>
      <c r="BH9" s="132"/>
      <c r="BI9" s="132"/>
      <c r="BJ9" s="132"/>
      <c r="BK9" s="132"/>
      <c r="BL9" s="132"/>
      <c r="BM9" s="132"/>
      <c r="BN9" s="132"/>
      <c r="BO9" s="132"/>
      <c r="BP9" s="132"/>
      <c r="BQ9" s="132"/>
      <c r="BR9" s="132"/>
      <c r="BS9" s="132"/>
      <c r="BT9" s="132"/>
      <c r="BU9" s="132"/>
      <c r="BV9" s="132"/>
      <c r="BW9" s="132"/>
    </row>
    <row r="10" spans="1:75" ht="36" customHeight="1" x14ac:dyDescent="0.25">
      <c r="A10" s="203" t="s">
        <v>138</v>
      </c>
      <c r="B10" s="203"/>
      <c r="C10" s="203"/>
      <c r="D10" s="203"/>
      <c r="E10" s="203"/>
      <c r="F10" s="203"/>
      <c r="G10" s="203"/>
      <c r="H10" s="203" t="s">
        <v>139</v>
      </c>
      <c r="I10" s="203"/>
      <c r="J10" s="203"/>
      <c r="K10" s="203"/>
      <c r="L10" s="203"/>
      <c r="M10" s="203"/>
      <c r="N10" s="203"/>
      <c r="O10" s="228" t="s">
        <v>140</v>
      </c>
      <c r="P10" s="228"/>
      <c r="Q10" s="228"/>
      <c r="R10" s="228"/>
      <c r="S10" s="228"/>
      <c r="T10" s="228"/>
      <c r="U10" s="228"/>
      <c r="V10" s="228"/>
      <c r="W10" s="228"/>
      <c r="X10" s="229" t="s">
        <v>141</v>
      </c>
      <c r="Y10" s="229"/>
      <c r="Z10" s="229"/>
      <c r="AA10" s="229"/>
      <c r="AB10" s="229"/>
      <c r="AC10" s="229"/>
      <c r="AD10" s="229"/>
      <c r="AE10" s="207" t="s">
        <v>34</v>
      </c>
      <c r="AF10" s="207"/>
      <c r="AG10" s="207"/>
      <c r="AH10" s="207"/>
      <c r="AI10" s="234" t="s">
        <v>231</v>
      </c>
      <c r="AJ10" s="235"/>
      <c r="AK10" s="236"/>
      <c r="AL10" s="237" t="s">
        <v>232</v>
      </c>
      <c r="AM10" s="238"/>
      <c r="AN10" s="239"/>
      <c r="AO10" s="234" t="s">
        <v>233</v>
      </c>
      <c r="AP10" s="235"/>
      <c r="AQ10" s="236"/>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c r="BW10" s="109"/>
    </row>
    <row r="11" spans="1:75" ht="16.5" customHeight="1" x14ac:dyDescent="0.2">
      <c r="A11" s="201" t="s">
        <v>0</v>
      </c>
      <c r="B11" s="203" t="s">
        <v>2</v>
      </c>
      <c r="C11" s="202" t="s">
        <v>3</v>
      </c>
      <c r="D11" s="202" t="s">
        <v>42</v>
      </c>
      <c r="E11" s="203" t="s">
        <v>1</v>
      </c>
      <c r="F11" s="202" t="s">
        <v>50</v>
      </c>
      <c r="G11" s="202" t="s">
        <v>134</v>
      </c>
      <c r="H11" s="202" t="s">
        <v>33</v>
      </c>
      <c r="I11" s="203" t="s">
        <v>5</v>
      </c>
      <c r="J11" s="202" t="s">
        <v>87</v>
      </c>
      <c r="K11" s="202" t="s">
        <v>92</v>
      </c>
      <c r="L11" s="202" t="s">
        <v>45</v>
      </c>
      <c r="M11" s="203" t="s">
        <v>5</v>
      </c>
      <c r="N11" s="202" t="s">
        <v>48</v>
      </c>
      <c r="O11" s="199" t="s">
        <v>11</v>
      </c>
      <c r="P11" s="190" t="s">
        <v>161</v>
      </c>
      <c r="Q11" s="190" t="s">
        <v>12</v>
      </c>
      <c r="R11" s="190" t="s">
        <v>8</v>
      </c>
      <c r="S11" s="190"/>
      <c r="T11" s="190"/>
      <c r="U11" s="190"/>
      <c r="V11" s="190"/>
      <c r="W11" s="190"/>
      <c r="X11" s="195" t="s">
        <v>137</v>
      </c>
      <c r="Y11" s="195" t="s">
        <v>46</v>
      </c>
      <c r="Z11" s="195" t="s">
        <v>5</v>
      </c>
      <c r="AA11" s="195" t="s">
        <v>47</v>
      </c>
      <c r="AB11" s="195" t="s">
        <v>5</v>
      </c>
      <c r="AC11" s="195" t="s">
        <v>49</v>
      </c>
      <c r="AD11" s="195" t="s">
        <v>29</v>
      </c>
      <c r="AE11" s="209" t="s">
        <v>34</v>
      </c>
      <c r="AF11" s="209" t="s">
        <v>35</v>
      </c>
      <c r="AG11" s="209" t="s">
        <v>36</v>
      </c>
      <c r="AH11" s="209" t="s">
        <v>38</v>
      </c>
      <c r="AI11" s="240" t="s">
        <v>38</v>
      </c>
      <c r="AJ11" s="240" t="s">
        <v>37</v>
      </c>
      <c r="AK11" s="240" t="s">
        <v>223</v>
      </c>
      <c r="AL11" s="242" t="s">
        <v>38</v>
      </c>
      <c r="AM11" s="242" t="s">
        <v>37</v>
      </c>
      <c r="AN11" s="242" t="s">
        <v>223</v>
      </c>
      <c r="AO11" s="240" t="s">
        <v>38</v>
      </c>
      <c r="AP11" s="240" t="s">
        <v>37</v>
      </c>
      <c r="AQ11" s="240" t="s">
        <v>224</v>
      </c>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c r="BR11" s="109"/>
      <c r="BS11" s="109"/>
      <c r="BT11" s="109"/>
      <c r="BU11" s="109"/>
      <c r="BV11" s="109"/>
      <c r="BW11" s="109"/>
    </row>
    <row r="12" spans="1:75" s="112" customFormat="1" ht="43.5" customHeight="1" x14ac:dyDescent="0.25">
      <c r="A12" s="201"/>
      <c r="B12" s="203"/>
      <c r="C12" s="202"/>
      <c r="D12" s="202"/>
      <c r="E12" s="203"/>
      <c r="F12" s="202"/>
      <c r="G12" s="202"/>
      <c r="H12" s="202"/>
      <c r="I12" s="203"/>
      <c r="J12" s="202"/>
      <c r="K12" s="202"/>
      <c r="L12" s="203"/>
      <c r="M12" s="203"/>
      <c r="N12" s="202"/>
      <c r="O12" s="199"/>
      <c r="P12" s="190"/>
      <c r="Q12" s="190"/>
      <c r="R12" s="127" t="s">
        <v>13</v>
      </c>
      <c r="S12" s="127" t="s">
        <v>17</v>
      </c>
      <c r="T12" s="127" t="s">
        <v>28</v>
      </c>
      <c r="U12" s="127" t="s">
        <v>18</v>
      </c>
      <c r="V12" s="127" t="s">
        <v>21</v>
      </c>
      <c r="W12" s="127" t="s">
        <v>24</v>
      </c>
      <c r="X12" s="195"/>
      <c r="Y12" s="195"/>
      <c r="Z12" s="195"/>
      <c r="AA12" s="195"/>
      <c r="AB12" s="195"/>
      <c r="AC12" s="195"/>
      <c r="AD12" s="195"/>
      <c r="AE12" s="209"/>
      <c r="AF12" s="209"/>
      <c r="AG12" s="209"/>
      <c r="AH12" s="209"/>
      <c r="AI12" s="241"/>
      <c r="AJ12" s="241"/>
      <c r="AK12" s="241"/>
      <c r="AL12" s="243"/>
      <c r="AM12" s="243"/>
      <c r="AN12" s="243"/>
      <c r="AO12" s="244"/>
      <c r="AP12" s="244"/>
      <c r="AQ12" s="244"/>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row>
    <row r="13" spans="1:75" ht="158.25" customHeight="1" x14ac:dyDescent="0.2">
      <c r="A13" s="230">
        <v>1</v>
      </c>
      <c r="B13" s="231" t="s">
        <v>131</v>
      </c>
      <c r="C13" s="231" t="s">
        <v>234</v>
      </c>
      <c r="D13" s="231" t="s">
        <v>235</v>
      </c>
      <c r="E13" s="232" t="s">
        <v>236</v>
      </c>
      <c r="F13" s="231" t="s">
        <v>123</v>
      </c>
      <c r="G13" s="233">
        <v>116</v>
      </c>
      <c r="H13" s="193" t="str">
        <f>IF(G13&lt;=0,"",IF(G13&lt;=2,"Muy Baja",IF(G13&lt;=24,"Baja",IF(G13&lt;=500,"Media",IF(G13&lt;=5000,"Alta","Muy Alta")))))</f>
        <v>Media</v>
      </c>
      <c r="I13" s="192">
        <f>IF(H13="","",IF(H13="Muy Baja",0.2,IF(H13="Baja",0.4,IF(H13="Media",0.6,IF(H13="Alta",0.8,IF(H13="Muy Alta",1,))))))</f>
        <v>0.6</v>
      </c>
      <c r="J13" s="191" t="s">
        <v>152</v>
      </c>
      <c r="K13" s="192" t="str">
        <f>IF(NOT(ISERROR(MATCH(J13,#REF!,0))),#REF!&amp;"Por favor no seleccionar los criterios de impacto(Afectación Económica o presupuestal y Pérdida Reputacional)",J13)</f>
        <v xml:space="preserve">     El riesgo afecta la imagen de la entidad internamente, de conocimiento general, nivel interno, de junta dircetiva y accionistas y/o de provedores</v>
      </c>
      <c r="L13" s="193" t="e">
        <f>IF(OR(K13=#REF!,K13=#REF!),"Leve",IF(OR(K13=#REF!,K13=#REF!),"Menor",IF(OR(K13=#REF!,K13=#REF!),"Moderado",IF(OR(K13=#REF!,K13=#REF!),"Mayor",IF(OR(K13=#REF!,K13=#REF!),"Catastrófico","")))))</f>
        <v>#REF!</v>
      </c>
      <c r="M13" s="192" t="e">
        <f>IF(L13="","",IF(L13="Leve",0.2,IF(L13="Menor",0.4,IF(L13="Moderado",0.6,IF(L13="Mayor",0.8,IF(L13="Catastrófico",1,))))))</f>
        <v>#REF!</v>
      </c>
      <c r="N13" s="194" t="e">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#REF!</v>
      </c>
      <c r="O13" s="116">
        <v>1</v>
      </c>
      <c r="P13" s="117" t="s">
        <v>222</v>
      </c>
      <c r="Q13" s="118" t="str">
        <f>IF(OR(R13="Preventivo",R13="Detectivo"),"Probabilidad",IF(R13="Correctivo","Impacto",""))</f>
        <v>Probabilidad</v>
      </c>
      <c r="R13" s="119" t="s">
        <v>14</v>
      </c>
      <c r="S13" s="119" t="s">
        <v>9</v>
      </c>
      <c r="T13" s="120" t="str">
        <f>IF(AND(R13="Preventivo",S13="Automático"),"50%",IF(AND(R13="Preventivo",S13="Manual"),"40%",IF(AND(R13="Detectivo",S13="Automático"),"40%",IF(AND(R13="Detectivo",S13="Manual"),"30%",IF(AND(R13="Correctivo",S13="Automático"),"35%",IF(AND(R13="Correctivo",S13="Manual"),"25%",""))))))</f>
        <v>40%</v>
      </c>
      <c r="U13" s="119" t="s">
        <v>19</v>
      </c>
      <c r="V13" s="119" t="s">
        <v>22</v>
      </c>
      <c r="W13" s="119" t="s">
        <v>119</v>
      </c>
      <c r="X13" s="121">
        <f>IFERROR(IF(Q13="Probabilidad",(I13-(+I13*T13)),IF(Q13="Impacto",I13,"")),"")</f>
        <v>0.36</v>
      </c>
      <c r="Y13" s="122" t="str">
        <f>IFERROR(IF(X13="","",IF(X13&lt;=0.2,"Muy Baja",IF(X13&lt;=0.4,"Baja",IF(X13&lt;=0.6,"Media",IF(X13&lt;=0.8,"Alta","Muy Alta"))))),"")</f>
        <v>Baja</v>
      </c>
      <c r="Z13" s="120">
        <f>+X13</f>
        <v>0.36</v>
      </c>
      <c r="AA13" s="122" t="str">
        <f>IFERROR(IF(AB13="","",IF(AB13&lt;=0.2,"Leve",IF(AB13&lt;=0.4,"Menor",IF(AB13&lt;=0.6,"Moderado",IF(AB13&lt;=0.8,"Mayor","Catastrófico"))))),"")</f>
        <v/>
      </c>
      <c r="AB13" s="120" t="str">
        <f>IFERROR(IF(Q13="Impacto",(M13-(+M13*T13)),IF(Q13="Probabilidad",M13,"")),"")</f>
        <v/>
      </c>
      <c r="AC13" s="123" t="str">
        <f>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
      </c>
      <c r="AD13" s="119" t="s">
        <v>135</v>
      </c>
      <c r="AE13" s="124" t="s">
        <v>217</v>
      </c>
      <c r="AF13" s="124" t="s">
        <v>218</v>
      </c>
      <c r="AG13" s="125" t="s">
        <v>228</v>
      </c>
      <c r="AH13" s="125" t="s">
        <v>228</v>
      </c>
      <c r="AI13" s="141">
        <v>45775</v>
      </c>
      <c r="AJ13" s="136" t="s">
        <v>238</v>
      </c>
      <c r="AK13" s="136" t="s">
        <v>239</v>
      </c>
      <c r="AL13" s="141">
        <v>45894</v>
      </c>
      <c r="AM13" s="136" t="s">
        <v>241</v>
      </c>
      <c r="AN13" s="136" t="s">
        <v>239</v>
      </c>
      <c r="AO13" s="141" t="s">
        <v>246</v>
      </c>
      <c r="AP13" s="136" t="s">
        <v>247</v>
      </c>
      <c r="AQ13" s="136" t="s">
        <v>239</v>
      </c>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c r="BR13" s="109"/>
      <c r="BS13" s="109"/>
      <c r="BT13" s="109"/>
      <c r="BU13" s="109"/>
      <c r="BV13" s="109"/>
      <c r="BW13" s="109"/>
    </row>
    <row r="14" spans="1:75" ht="114" customHeight="1" x14ac:dyDescent="0.2">
      <c r="A14" s="230"/>
      <c r="B14" s="231"/>
      <c r="C14" s="231"/>
      <c r="D14" s="231"/>
      <c r="E14" s="232"/>
      <c r="F14" s="231"/>
      <c r="G14" s="233"/>
      <c r="H14" s="193"/>
      <c r="I14" s="192"/>
      <c r="J14" s="191"/>
      <c r="K14" s="192">
        <f>IF(NOT(ISERROR(MATCH(J14,_xlfn.ANCHORARRAY(E19),0))),I21&amp;"Por favor no seleccionar los criterios de impacto",J14)</f>
        <v>0</v>
      </c>
      <c r="L14" s="193"/>
      <c r="M14" s="192"/>
      <c r="N14" s="194"/>
      <c r="O14" s="116">
        <v>2</v>
      </c>
      <c r="P14" s="117" t="s">
        <v>225</v>
      </c>
      <c r="Q14" s="118" t="s">
        <v>4</v>
      </c>
      <c r="R14" s="119" t="s">
        <v>14</v>
      </c>
      <c r="S14" s="119" t="s">
        <v>9</v>
      </c>
      <c r="T14" s="120" t="str">
        <f>IF(AND(R14="Preventivo",S14="Automático"),"50%",IF(AND(R14="Preventivo",S14="Manual"),"40%",IF(AND(R14="Detectivo",S14="Automático"),"40%",IF(AND(R14="Detectivo",S14="Manual"),"30%",IF(AND(R14="Correctivo",S14="Automático"),"35%",IF(AND(R14="Correctivo",S14="Manual"),"25%",""))))))</f>
        <v>40%</v>
      </c>
      <c r="U14" s="119" t="s">
        <v>19</v>
      </c>
      <c r="V14" s="119" t="s">
        <v>22</v>
      </c>
      <c r="W14" s="119" t="s">
        <v>119</v>
      </c>
      <c r="X14" s="121">
        <f>IFERROR(IF(AND(Q13="Probabilidad",Q14="Probabilidad"),(Z13-(+Z13*T14)),IF(Q14="Probabilidad",(I13-(+I13*T14)),IF(Q14="Impacto",Z13,""))),"")</f>
        <v>0.216</v>
      </c>
      <c r="Y14" s="122" t="str">
        <f t="shared" ref="Y14:Y15" si="0">IFERROR(IF(X14="","",IF(X14&lt;=0.2,"Muy Baja",IF(X14&lt;=0.4,"Baja",IF(X14&lt;=0.6,"Media",IF(X14&lt;=0.8,"Alta","Muy Alta"))))),"")</f>
        <v>Baja</v>
      </c>
      <c r="Z14" s="120">
        <f t="shared" ref="Z14:Z15" si="1">+X14</f>
        <v>0.216</v>
      </c>
      <c r="AA14" s="122" t="str">
        <f>IFERROR(IF(AB14="","",IF(AB14&lt;=0.2,"Leve",IF(AB14&lt;=0.4,"Menor",IF(AB14&lt;=0.6,"Moderado",IF(AB14&lt;=0.8,"Mayor","Catastrófico"))))),"")</f>
        <v>Leve</v>
      </c>
      <c r="AB14" s="120">
        <f>IFERROR(IF(Q14="Impacto",(M14-(+M14*T14)),IF(Q14="Probabilidad",M14,"")),"")</f>
        <v>0</v>
      </c>
      <c r="AC14" s="123" t="str">
        <f t="shared" ref="AC14:AC15" si="2">IFERROR(IF(OR(AND(Y14="Muy Baja",AA14="Leve"),AND(Y14="Muy Baja",AA14="Menor"),AND(Y14="Baja",AA14="Leve")),"Bajo",IF(OR(AND(Y14="Muy baja",AA14="Moderado"),AND(Y14="Baja",AA14="Menor"),AND(Y14="Baja",AA14="Moderado"),AND(Y14="Media",AA14="Leve"),AND(Y14="Media",AA14="Menor"),AND(Y14="Media",AA14="Moderado"),AND(Y14="Alta",AA14="Leve"),AND(Y14="Alta",AA14="Menor")),"Moderado",IF(OR(AND(Y14="Muy Baja",AA14="Mayor"),AND(Y14="Baja",AA14="Mayor"),AND(Y14="Media",AA14="Mayor"),AND(Y14="Alta",AA14="Moderado"),AND(Y14="Alta",AA14="Mayor"),AND(Y14="Muy Alta",AA14="Leve"),AND(Y14="Muy Alta",AA14="Menor"),AND(Y14="Muy Alta",AA14="Moderado"),AND(Y14="Muy Alta",AA14="Mayor")),"Alto",IF(OR(AND(Y14="Muy Baja",AA14="Catastrófico"),AND(Y14="Baja",AA14="Catastrófico"),AND(Y14="Media",AA14="Catastrófico"),AND(Y14="Alta",AA14="Catastrófico"),AND(Y14="Muy Alta",AA14="Catastrófico")),"Extremo","")))),"")</f>
        <v>Bajo</v>
      </c>
      <c r="AD14" s="119" t="s">
        <v>135</v>
      </c>
      <c r="AE14" s="124" t="s">
        <v>229</v>
      </c>
      <c r="AF14" s="124" t="s">
        <v>218</v>
      </c>
      <c r="AG14" s="125" t="s">
        <v>227</v>
      </c>
      <c r="AH14" s="125" t="s">
        <v>227</v>
      </c>
      <c r="AI14" s="141">
        <v>45775</v>
      </c>
      <c r="AJ14" s="136" t="s">
        <v>245</v>
      </c>
      <c r="AK14" s="136" t="s">
        <v>239</v>
      </c>
      <c r="AL14" s="141">
        <v>45900</v>
      </c>
      <c r="AM14" s="136" t="s">
        <v>244</v>
      </c>
      <c r="AN14" s="136" t="s">
        <v>239</v>
      </c>
      <c r="AO14" s="136" t="s">
        <v>246</v>
      </c>
      <c r="AP14" s="136" t="s">
        <v>248</v>
      </c>
      <c r="AQ14" s="136" t="s">
        <v>239</v>
      </c>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c r="BW14" s="109"/>
    </row>
    <row r="15" spans="1:75" ht="15" customHeight="1" x14ac:dyDescent="0.2">
      <c r="A15" s="230"/>
      <c r="B15" s="231"/>
      <c r="C15" s="231"/>
      <c r="D15" s="231"/>
      <c r="E15" s="232"/>
      <c r="F15" s="231"/>
      <c r="G15" s="233"/>
      <c r="H15" s="193"/>
      <c r="I15" s="192"/>
      <c r="J15" s="191"/>
      <c r="K15" s="192">
        <f>IF(NOT(ISERROR(MATCH(J15,_xlfn.ANCHORARRAY(E20),0))),I22&amp;"Por favor no seleccionar los criterios de impacto",J15)</f>
        <v>0</v>
      </c>
      <c r="L15" s="193"/>
      <c r="M15" s="192"/>
      <c r="N15" s="194"/>
      <c r="O15" s="210">
        <v>3</v>
      </c>
      <c r="P15" s="213" t="s">
        <v>226</v>
      </c>
      <c r="Q15" s="216" t="s">
        <v>4</v>
      </c>
      <c r="R15" s="219" t="s">
        <v>14</v>
      </c>
      <c r="S15" s="219" t="s">
        <v>9</v>
      </c>
      <c r="T15" s="222" t="str">
        <f t="shared" ref="T15" si="3">IF(AND(R15="Preventivo",S15="Automático"),"50%",IF(AND(R15="Preventivo",S15="Manual"),"40%",IF(AND(R15="Detectivo",S15="Automático"),"40%",IF(AND(R15="Detectivo",S15="Manual"),"30%",IF(AND(R15="Correctivo",S15="Automático"),"35%",IF(AND(R15="Correctivo",S15="Manual"),"25%",""))))))</f>
        <v>40%</v>
      </c>
      <c r="U15" s="219" t="s">
        <v>19</v>
      </c>
      <c r="V15" s="219" t="s">
        <v>22</v>
      </c>
      <c r="W15" s="219" t="s">
        <v>119</v>
      </c>
      <c r="X15" s="121">
        <f>IFERROR(IF(AND(Q14="Probabilidad",Q15="Probabilidad"),(Z14-(+Z14*T15)),IF(AND(Q14="Impacto",Q15="Probabilidad"),(Z13-(+Z13*T15)),IF(Q15="Impacto",Z14,""))),"")</f>
        <v>0.12959999999999999</v>
      </c>
      <c r="Y15" s="196" t="str">
        <f t="shared" si="0"/>
        <v>Muy Baja</v>
      </c>
      <c r="Z15" s="222">
        <f t="shared" si="1"/>
        <v>0.12959999999999999</v>
      </c>
      <c r="AA15" s="196" t="str">
        <f t="shared" ref="AA15" si="4">IFERROR(IF(AB15="","",IF(AB15&lt;=0.2,"Leve",IF(AB15&lt;=0.4,"Menor",IF(AB15&lt;=0.6,"Moderado",IF(AB15&lt;=0.8,"Mayor","Catastrófico"))))),"")</f>
        <v>Leve</v>
      </c>
      <c r="AB15" s="222">
        <f>IFERROR(IF(AND(Q14="Impacto",Q15="Impacto"),(AB14-(+AB14*T15)),IF(AND(Q14="Probabilidad",Q15="Impacto"),(AB13-(+AB13*T15)),IF(Q15="Probabilidad",AB14,""))),"")</f>
        <v>0</v>
      </c>
      <c r="AC15" s="225" t="str">
        <f t="shared" si="2"/>
        <v>Bajo</v>
      </c>
      <c r="AD15" s="219" t="s">
        <v>135</v>
      </c>
      <c r="AE15" s="213" t="s">
        <v>242</v>
      </c>
      <c r="AF15" s="213" t="s">
        <v>218</v>
      </c>
      <c r="AG15" s="248" t="s">
        <v>228</v>
      </c>
      <c r="AH15" s="251" t="s">
        <v>228</v>
      </c>
      <c r="AI15" s="254">
        <v>45777</v>
      </c>
      <c r="AJ15" s="245" t="s">
        <v>240</v>
      </c>
      <c r="AK15" s="245" t="s">
        <v>239</v>
      </c>
      <c r="AL15" s="254">
        <v>45902</v>
      </c>
      <c r="AM15" s="245" t="s">
        <v>243</v>
      </c>
      <c r="AN15" s="245" t="s">
        <v>239</v>
      </c>
      <c r="AO15" s="245" t="s">
        <v>246</v>
      </c>
      <c r="AP15" s="245" t="s">
        <v>249</v>
      </c>
      <c r="AQ15" s="245" t="s">
        <v>239</v>
      </c>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c r="BW15" s="109"/>
    </row>
    <row r="16" spans="1:75" ht="14.25" customHeight="1" x14ac:dyDescent="0.2">
      <c r="A16" s="230"/>
      <c r="B16" s="231"/>
      <c r="C16" s="231"/>
      <c r="D16" s="231"/>
      <c r="E16" s="232"/>
      <c r="F16" s="231"/>
      <c r="G16" s="233"/>
      <c r="H16" s="193"/>
      <c r="I16" s="192"/>
      <c r="J16" s="191"/>
      <c r="K16" s="192">
        <f>IF(NOT(ISERROR(MATCH(J16,_xlfn.ANCHORARRAY(E21),0))),I23&amp;"Por favor no seleccionar los criterios de impacto",J16)</f>
        <v>0</v>
      </c>
      <c r="L16" s="193"/>
      <c r="M16" s="192"/>
      <c r="N16" s="194"/>
      <c r="O16" s="211"/>
      <c r="P16" s="214"/>
      <c r="Q16" s="217"/>
      <c r="R16" s="220"/>
      <c r="S16" s="220"/>
      <c r="T16" s="223"/>
      <c r="U16" s="220"/>
      <c r="V16" s="220"/>
      <c r="W16" s="220"/>
      <c r="X16" s="121" t="str">
        <f t="shared" ref="X16:X18" si="5">IFERROR(IF(AND(Q15="Probabilidad",Q16="Probabilidad"),(Z15-(+Z15*T16)),IF(AND(Q15="Impacto",Q16="Probabilidad"),(Z14-(+Z14*T16)),IF(Q16="Impacto",Z15,""))),"")</f>
        <v/>
      </c>
      <c r="Y16" s="197"/>
      <c r="Z16" s="223"/>
      <c r="AA16" s="197"/>
      <c r="AB16" s="223"/>
      <c r="AC16" s="226"/>
      <c r="AD16" s="220"/>
      <c r="AE16" s="214"/>
      <c r="AF16" s="214"/>
      <c r="AG16" s="249"/>
      <c r="AH16" s="252"/>
      <c r="AI16" s="255"/>
      <c r="AJ16" s="246"/>
      <c r="AK16" s="246"/>
      <c r="AL16" s="255"/>
      <c r="AM16" s="246"/>
      <c r="AN16" s="246"/>
      <c r="AO16" s="246"/>
      <c r="AP16" s="246"/>
      <c r="AQ16" s="246"/>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c r="BW16" s="109"/>
    </row>
    <row r="17" spans="1:75" ht="14.25" customHeight="1" x14ac:dyDescent="0.2">
      <c r="A17" s="230"/>
      <c r="B17" s="231"/>
      <c r="C17" s="231"/>
      <c r="D17" s="231"/>
      <c r="E17" s="232"/>
      <c r="F17" s="231"/>
      <c r="G17" s="233"/>
      <c r="H17" s="193"/>
      <c r="I17" s="192"/>
      <c r="J17" s="191"/>
      <c r="K17" s="192">
        <f>IF(NOT(ISERROR(MATCH(J17,_xlfn.ANCHORARRAY(E22),0))),I24&amp;"Por favor no seleccionar los criterios de impacto",J17)</f>
        <v>0</v>
      </c>
      <c r="L17" s="193"/>
      <c r="M17" s="192"/>
      <c r="N17" s="194"/>
      <c r="O17" s="211"/>
      <c r="P17" s="214"/>
      <c r="Q17" s="217"/>
      <c r="R17" s="220"/>
      <c r="S17" s="220"/>
      <c r="T17" s="223"/>
      <c r="U17" s="220"/>
      <c r="V17" s="220"/>
      <c r="W17" s="220"/>
      <c r="X17" s="126" t="str">
        <f t="shared" si="5"/>
        <v/>
      </c>
      <c r="Y17" s="197"/>
      <c r="Z17" s="223"/>
      <c r="AA17" s="197"/>
      <c r="AB17" s="223"/>
      <c r="AC17" s="226"/>
      <c r="AD17" s="220"/>
      <c r="AE17" s="214"/>
      <c r="AF17" s="214"/>
      <c r="AG17" s="249"/>
      <c r="AH17" s="252"/>
      <c r="AI17" s="255"/>
      <c r="AJ17" s="246"/>
      <c r="AK17" s="246"/>
      <c r="AL17" s="255"/>
      <c r="AM17" s="246"/>
      <c r="AN17" s="246"/>
      <c r="AO17" s="246"/>
      <c r="AP17" s="246"/>
      <c r="AQ17" s="246"/>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c r="BW17" s="109"/>
    </row>
    <row r="18" spans="1:75" ht="165" customHeight="1" x14ac:dyDescent="0.2">
      <c r="A18" s="230"/>
      <c r="B18" s="231"/>
      <c r="C18" s="231"/>
      <c r="D18" s="231"/>
      <c r="E18" s="232"/>
      <c r="F18" s="231"/>
      <c r="G18" s="233"/>
      <c r="H18" s="193"/>
      <c r="I18" s="192"/>
      <c r="J18" s="191"/>
      <c r="K18" s="192">
        <f>IF(NOT(ISERROR(MATCH(J18,_xlfn.ANCHORARRAY(E23),0))),I25&amp;"Por favor no seleccionar los criterios de impacto",J18)</f>
        <v>0</v>
      </c>
      <c r="L18" s="193"/>
      <c r="M18" s="192"/>
      <c r="N18" s="194"/>
      <c r="O18" s="212"/>
      <c r="P18" s="215"/>
      <c r="Q18" s="218"/>
      <c r="R18" s="221"/>
      <c r="S18" s="221"/>
      <c r="T18" s="224"/>
      <c r="U18" s="221"/>
      <c r="V18" s="221"/>
      <c r="W18" s="221"/>
      <c r="X18" s="121" t="str">
        <f t="shared" si="5"/>
        <v/>
      </c>
      <c r="Y18" s="198"/>
      <c r="Z18" s="224"/>
      <c r="AA18" s="198"/>
      <c r="AB18" s="224"/>
      <c r="AC18" s="227"/>
      <c r="AD18" s="221"/>
      <c r="AE18" s="215"/>
      <c r="AF18" s="215"/>
      <c r="AG18" s="250"/>
      <c r="AH18" s="253"/>
      <c r="AI18" s="256"/>
      <c r="AJ18" s="247"/>
      <c r="AK18" s="247"/>
      <c r="AL18" s="256"/>
      <c r="AM18" s="247"/>
      <c r="AN18" s="247"/>
      <c r="AO18" s="247"/>
      <c r="AP18" s="247"/>
      <c r="AQ18" s="247"/>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c r="BV18" s="109"/>
      <c r="BW18" s="109"/>
    </row>
    <row r="19" spans="1:75" ht="49.5" customHeight="1" x14ac:dyDescent="0.25">
      <c r="A19" s="116"/>
      <c r="B19" s="208" t="s">
        <v>212</v>
      </c>
      <c r="C19" s="208"/>
      <c r="D19" s="208"/>
      <c r="E19" s="208"/>
      <c r="F19" s="208"/>
      <c r="G19" s="208"/>
      <c r="H19" s="208"/>
      <c r="I19" s="208"/>
      <c r="J19" s="208"/>
      <c r="K19" s="208"/>
      <c r="L19" s="208"/>
      <c r="M19" s="208"/>
      <c r="N19" s="208"/>
      <c r="O19" s="208"/>
      <c r="P19" s="208"/>
      <c r="Q19" s="208"/>
      <c r="R19" s="208"/>
      <c r="S19" s="208"/>
      <c r="T19" s="208"/>
      <c r="U19" s="208"/>
      <c r="V19" s="208"/>
      <c r="W19" s="208"/>
      <c r="X19" s="208"/>
      <c r="Y19" s="208"/>
      <c r="Z19" s="208"/>
      <c r="AA19" s="208"/>
      <c r="AB19" s="208"/>
      <c r="AC19" s="208"/>
      <c r="AD19" s="208"/>
      <c r="AE19" s="208"/>
      <c r="AF19" s="208"/>
      <c r="AG19" s="208"/>
      <c r="AH19" s="208"/>
      <c r="AI19" s="137"/>
      <c r="AJ19" s="139"/>
      <c r="AK19" s="140"/>
      <c r="AL19" s="137"/>
      <c r="AM19" s="139"/>
      <c r="AN19" s="140"/>
      <c r="AO19" s="137"/>
      <c r="AP19" s="135"/>
      <c r="AQ19" s="138"/>
    </row>
    <row r="20" spans="1:75" x14ac:dyDescent="0.25">
      <c r="AI20" s="137"/>
      <c r="AJ20" s="139"/>
      <c r="AK20" s="140"/>
      <c r="AL20" s="137"/>
      <c r="AM20" s="139"/>
      <c r="AN20" s="140"/>
      <c r="AO20" s="137"/>
      <c r="AP20" s="135"/>
      <c r="AQ20" s="138"/>
    </row>
    <row r="21" spans="1:75" x14ac:dyDescent="0.25">
      <c r="A21" s="110"/>
      <c r="B21" s="113" t="s">
        <v>142</v>
      </c>
      <c r="C21" s="110"/>
      <c r="D21" s="110"/>
      <c r="F21" s="110"/>
      <c r="AI21" s="137"/>
      <c r="AJ21" s="139"/>
      <c r="AK21" s="140"/>
      <c r="AL21" s="137"/>
      <c r="AM21" s="139"/>
      <c r="AN21" s="140"/>
      <c r="AO21" s="137"/>
      <c r="AP21" s="135"/>
      <c r="AQ21" s="138"/>
    </row>
    <row r="22" spans="1:75" x14ac:dyDescent="0.25">
      <c r="AI22" s="137"/>
      <c r="AJ22" s="139"/>
      <c r="AK22" s="140"/>
      <c r="AL22" s="137"/>
      <c r="AM22" s="139"/>
      <c r="AN22" s="140"/>
      <c r="AO22" s="137"/>
      <c r="AP22" s="135"/>
      <c r="AQ22" s="138"/>
    </row>
    <row r="23" spans="1:75" x14ac:dyDescent="0.25">
      <c r="AI23" s="137"/>
      <c r="AJ23" s="139"/>
      <c r="AK23" s="140"/>
      <c r="AL23" s="137"/>
      <c r="AM23" s="139"/>
      <c r="AN23" s="140"/>
      <c r="AO23" s="137"/>
      <c r="AP23" s="135"/>
      <c r="AQ23" s="138"/>
    </row>
    <row r="24" spans="1:75" x14ac:dyDescent="0.25">
      <c r="AI24" s="137"/>
      <c r="AJ24" s="139"/>
      <c r="AK24" s="140"/>
      <c r="AL24" s="137"/>
      <c r="AM24" s="139"/>
      <c r="AN24" s="140"/>
      <c r="AO24" s="137"/>
      <c r="AP24" s="135"/>
      <c r="AQ24" s="138"/>
    </row>
    <row r="25" spans="1:75" x14ac:dyDescent="0.25">
      <c r="AI25" s="137"/>
      <c r="AJ25" s="139"/>
      <c r="AK25" s="140"/>
      <c r="AL25" s="137"/>
      <c r="AM25" s="139"/>
      <c r="AN25" s="140"/>
      <c r="AO25" s="137"/>
      <c r="AP25" s="135"/>
      <c r="AQ25" s="138"/>
    </row>
    <row r="26" spans="1:75" x14ac:dyDescent="0.25">
      <c r="AI26" s="137"/>
      <c r="AJ26" s="139"/>
      <c r="AK26" s="140"/>
      <c r="AL26" s="137"/>
      <c r="AM26" s="139"/>
      <c r="AN26" s="140"/>
      <c r="AO26" s="137"/>
      <c r="AP26" s="135"/>
      <c r="AQ26" s="138"/>
    </row>
    <row r="27" spans="1:75" x14ac:dyDescent="0.25">
      <c r="AI27" s="137"/>
      <c r="AJ27" s="139"/>
      <c r="AK27" s="140"/>
      <c r="AL27" s="137"/>
      <c r="AM27" s="139"/>
      <c r="AN27" s="140"/>
      <c r="AO27" s="137"/>
      <c r="AP27" s="135"/>
      <c r="AQ27" s="138"/>
    </row>
    <row r="28" spans="1:75" x14ac:dyDescent="0.25">
      <c r="AI28" s="137"/>
      <c r="AJ28" s="139"/>
      <c r="AK28" s="140"/>
      <c r="AL28" s="137"/>
      <c r="AM28" s="139"/>
      <c r="AN28" s="140"/>
      <c r="AO28" s="137"/>
      <c r="AP28" s="135"/>
      <c r="AQ28" s="138"/>
    </row>
    <row r="29" spans="1:75" x14ac:dyDescent="0.25">
      <c r="AI29" s="137"/>
      <c r="AJ29" s="139"/>
      <c r="AK29" s="140"/>
      <c r="AL29" s="137"/>
      <c r="AM29" s="139"/>
      <c r="AN29" s="140"/>
      <c r="AO29" s="137"/>
      <c r="AP29" s="135"/>
      <c r="AQ29" s="138"/>
    </row>
    <row r="30" spans="1:75" x14ac:dyDescent="0.25">
      <c r="AI30" s="137"/>
      <c r="AJ30" s="139"/>
      <c r="AK30" s="140"/>
      <c r="AL30" s="137"/>
      <c r="AM30" s="139"/>
      <c r="AN30" s="140"/>
      <c r="AO30" s="137"/>
      <c r="AP30" s="135"/>
      <c r="AQ30" s="138"/>
    </row>
    <row r="31" spans="1:75" x14ac:dyDescent="0.25">
      <c r="AI31" s="137"/>
      <c r="AJ31" s="139"/>
      <c r="AK31" s="140"/>
      <c r="AL31" s="137"/>
      <c r="AM31" s="139"/>
      <c r="AN31" s="140"/>
      <c r="AO31" s="137"/>
      <c r="AP31" s="135"/>
      <c r="AQ31" s="138"/>
    </row>
    <row r="32" spans="1:75" x14ac:dyDescent="0.25">
      <c r="AI32" s="137"/>
      <c r="AJ32" s="139"/>
      <c r="AK32" s="140"/>
      <c r="AL32" s="137"/>
      <c r="AM32" s="139"/>
      <c r="AN32" s="140"/>
      <c r="AO32" s="137"/>
      <c r="AQ32" s="138"/>
    </row>
    <row r="33" spans="35:43" x14ac:dyDescent="0.25">
      <c r="AI33" s="137"/>
      <c r="AJ33" s="139"/>
      <c r="AK33" s="140"/>
      <c r="AL33" s="137"/>
      <c r="AM33" s="139"/>
      <c r="AN33" s="140"/>
      <c r="AO33" s="137"/>
      <c r="AQ33" s="138"/>
    </row>
    <row r="34" spans="35:43" x14ac:dyDescent="0.25">
      <c r="AI34" s="137"/>
      <c r="AJ34" s="139"/>
      <c r="AK34" s="140"/>
      <c r="AL34" s="137"/>
      <c r="AM34" s="139"/>
      <c r="AN34" s="140"/>
      <c r="AO34" s="137"/>
      <c r="AQ34" s="138"/>
    </row>
    <row r="35" spans="35:43" x14ac:dyDescent="0.25">
      <c r="AI35" s="137"/>
      <c r="AJ35" s="139"/>
      <c r="AK35" s="140"/>
      <c r="AL35" s="137"/>
      <c r="AM35" s="139"/>
      <c r="AN35" s="140"/>
      <c r="AO35" s="137"/>
      <c r="AQ35" s="138"/>
    </row>
    <row r="36" spans="35:43" x14ac:dyDescent="0.25">
      <c r="AI36" s="137"/>
      <c r="AJ36" s="139"/>
      <c r="AK36" s="140"/>
      <c r="AL36" s="137"/>
      <c r="AM36" s="139"/>
      <c r="AN36" s="140"/>
      <c r="AO36" s="137"/>
      <c r="AQ36" s="138"/>
    </row>
    <row r="37" spans="35:43" x14ac:dyDescent="0.25">
      <c r="AI37" s="110"/>
      <c r="AJ37" s="110"/>
      <c r="AK37" s="110"/>
      <c r="AL37" s="110"/>
      <c r="AM37" s="110"/>
      <c r="AN37" s="110"/>
    </row>
  </sheetData>
  <dataConsolidate/>
  <mergeCells count="103">
    <mergeCell ref="AN15:AN18"/>
    <mergeCell ref="AO15:AO18"/>
    <mergeCell ref="AP15:AP18"/>
    <mergeCell ref="AQ15:AQ18"/>
    <mergeCell ref="AE15:AE18"/>
    <mergeCell ref="AF15:AF18"/>
    <mergeCell ref="AG15:AG18"/>
    <mergeCell ref="AH15:AH18"/>
    <mergeCell ref="AI15:AI18"/>
    <mergeCell ref="AJ15:AJ18"/>
    <mergeCell ref="AK15:AK18"/>
    <mergeCell ref="AL15:AL18"/>
    <mergeCell ref="AM15:AM18"/>
    <mergeCell ref="AI10:AK10"/>
    <mergeCell ref="AL10:AN10"/>
    <mergeCell ref="AO10:AQ10"/>
    <mergeCell ref="AI11:AI12"/>
    <mergeCell ref="AJ11:AJ12"/>
    <mergeCell ref="AK11:AK12"/>
    <mergeCell ref="AL11:AL12"/>
    <mergeCell ref="AM11:AM12"/>
    <mergeCell ref="AN11:AN12"/>
    <mergeCell ref="AO11:AO12"/>
    <mergeCell ref="AP11:AP12"/>
    <mergeCell ref="AQ11:AQ12"/>
    <mergeCell ref="A13:A18"/>
    <mergeCell ref="B13:B18"/>
    <mergeCell ref="C13:C18"/>
    <mergeCell ref="D13:D18"/>
    <mergeCell ref="E13:E18"/>
    <mergeCell ref="F13:F18"/>
    <mergeCell ref="G13:G18"/>
    <mergeCell ref="H13:H18"/>
    <mergeCell ref="I13:I18"/>
    <mergeCell ref="AE10:AH10"/>
    <mergeCell ref="B19:AH19"/>
    <mergeCell ref="AE11:AE12"/>
    <mergeCell ref="AH11:AH12"/>
    <mergeCell ref="AG11:AG12"/>
    <mergeCell ref="AF11:AF12"/>
    <mergeCell ref="AD11:AD12"/>
    <mergeCell ref="R11:W11"/>
    <mergeCell ref="O15:O18"/>
    <mergeCell ref="P15:P18"/>
    <mergeCell ref="Q15:Q18"/>
    <mergeCell ref="R15:R18"/>
    <mergeCell ref="S15:S18"/>
    <mergeCell ref="T15:T18"/>
    <mergeCell ref="U15:U18"/>
    <mergeCell ref="Z15:Z18"/>
    <mergeCell ref="AA15:AA18"/>
    <mergeCell ref="AB15:AB18"/>
    <mergeCell ref="AC15:AC18"/>
    <mergeCell ref="AD15:AD18"/>
    <mergeCell ref="O10:W10"/>
    <mergeCell ref="V15:V18"/>
    <mergeCell ref="W15:W18"/>
    <mergeCell ref="X10:AD10"/>
    <mergeCell ref="A8:B8"/>
    <mergeCell ref="A9:B9"/>
    <mergeCell ref="A11:A12"/>
    <mergeCell ref="F11:F12"/>
    <mergeCell ref="E11:E12"/>
    <mergeCell ref="D11:D12"/>
    <mergeCell ref="C11:C12"/>
    <mergeCell ref="C8:N8"/>
    <mergeCell ref="C9:N9"/>
    <mergeCell ref="A10:G10"/>
    <mergeCell ref="H10:N10"/>
    <mergeCell ref="M11:M12"/>
    <mergeCell ref="G11:G12"/>
    <mergeCell ref="H11:H12"/>
    <mergeCell ref="I11:I12"/>
    <mergeCell ref="L11:L12"/>
    <mergeCell ref="B11:B12"/>
    <mergeCell ref="N11:N12"/>
    <mergeCell ref="J11:J12"/>
    <mergeCell ref="K11:K12"/>
    <mergeCell ref="Q11:Q12"/>
    <mergeCell ref="J13:J18"/>
    <mergeCell ref="K13:K18"/>
    <mergeCell ref="L13:L18"/>
    <mergeCell ref="M13:M18"/>
    <mergeCell ref="N13:N18"/>
    <mergeCell ref="AC11:AC12"/>
    <mergeCell ref="AB11:AB12"/>
    <mergeCell ref="X11:X12"/>
    <mergeCell ref="P11:P12"/>
    <mergeCell ref="AA11:AA12"/>
    <mergeCell ref="Y11:Y12"/>
    <mergeCell ref="Z11:Z12"/>
    <mergeCell ref="Y15:Y18"/>
    <mergeCell ref="O11:O12"/>
    <mergeCell ref="O7:Q7"/>
    <mergeCell ref="A1:C5"/>
    <mergeCell ref="D1:N2"/>
    <mergeCell ref="D3:N3"/>
    <mergeCell ref="D4:N4"/>
    <mergeCell ref="D5:F5"/>
    <mergeCell ref="G5:I5"/>
    <mergeCell ref="J5:N5"/>
    <mergeCell ref="C7:N7"/>
    <mergeCell ref="A7:B7"/>
  </mergeCells>
  <conditionalFormatting sqref="H13">
    <cfRule type="cellIs" dxfId="28" priority="6" operator="equal">
      <formula>"Muy Alta"</formula>
    </cfRule>
    <cfRule type="cellIs" dxfId="27" priority="7" operator="equal">
      <formula>"Alta"</formula>
    </cfRule>
    <cfRule type="cellIs" dxfId="26" priority="8" operator="equal">
      <formula>"Media"</formula>
    </cfRule>
    <cfRule type="cellIs" dxfId="25" priority="9" operator="equal">
      <formula>"Baja"</formula>
    </cfRule>
    <cfRule type="cellIs" dxfId="24" priority="10" operator="equal">
      <formula>"Muy Baja"</formula>
    </cfRule>
  </conditionalFormatting>
  <conditionalFormatting sqref="K13:K18">
    <cfRule type="containsText" dxfId="23" priority="1" operator="containsText" text="❌">
      <formula>NOT(ISERROR(SEARCH("❌",K13)))</formula>
    </cfRule>
  </conditionalFormatting>
  <conditionalFormatting sqref="L13">
    <cfRule type="cellIs" dxfId="22" priority="11" operator="equal">
      <formula>"Catastrófico"</formula>
    </cfRule>
    <cfRule type="cellIs" dxfId="21" priority="12" operator="equal">
      <formula>"Mayor"</formula>
    </cfRule>
    <cfRule type="cellIs" dxfId="20" priority="13" operator="equal">
      <formula>"Moderado"</formula>
    </cfRule>
    <cfRule type="cellIs" dxfId="19" priority="14" operator="equal">
      <formula>"Menor"</formula>
    </cfRule>
    <cfRule type="cellIs" dxfId="18" priority="15" operator="equal">
      <formula>"Leve"</formula>
    </cfRule>
  </conditionalFormatting>
  <conditionalFormatting sqref="N13">
    <cfRule type="cellIs" dxfId="17" priority="2" operator="equal">
      <formula>"Extremo"</formula>
    </cfRule>
    <cfRule type="cellIs" dxfId="16" priority="3" operator="equal">
      <formula>"Alto"</formula>
    </cfRule>
    <cfRule type="cellIs" dxfId="15" priority="4" operator="equal">
      <formula>"Moderado"</formula>
    </cfRule>
    <cfRule type="cellIs" dxfId="14" priority="5" operator="equal">
      <formula>"Bajo"</formula>
    </cfRule>
  </conditionalFormatting>
  <conditionalFormatting sqref="Y13:Y15">
    <cfRule type="cellIs" dxfId="13" priority="31" operator="equal">
      <formula>"Muy Alta"</formula>
    </cfRule>
    <cfRule type="cellIs" dxfId="12" priority="32" operator="equal">
      <formula>"Alta"</formula>
    </cfRule>
    <cfRule type="cellIs" dxfId="11" priority="33" operator="equal">
      <formula>"Media"</formula>
    </cfRule>
    <cfRule type="cellIs" dxfId="10" priority="34" operator="equal">
      <formula>"Baja"</formula>
    </cfRule>
    <cfRule type="cellIs" dxfId="9" priority="35" operator="equal">
      <formula>"Muy Baja"</formula>
    </cfRule>
  </conditionalFormatting>
  <conditionalFormatting sqref="AA13:AA15">
    <cfRule type="cellIs" dxfId="8" priority="16" operator="equal">
      <formula>"Catastrófico"</formula>
    </cfRule>
    <cfRule type="cellIs" dxfId="7" priority="17" operator="equal">
      <formula>"Mayor"</formula>
    </cfRule>
    <cfRule type="cellIs" dxfId="6" priority="18" operator="equal">
      <formula>"Moderado"</formula>
    </cfRule>
    <cfRule type="cellIs" dxfId="5" priority="19" operator="equal">
      <formula>"Menor"</formula>
    </cfRule>
    <cfRule type="cellIs" dxfId="4" priority="20" operator="equal">
      <formula>"Leve"</formula>
    </cfRule>
  </conditionalFormatting>
  <conditionalFormatting sqref="AC13:AC15">
    <cfRule type="cellIs" dxfId="3" priority="22" operator="equal">
      <formula>"Extremo"</formula>
    </cfRule>
    <cfRule type="cellIs" dxfId="2" priority="23" operator="equal">
      <formula>"Alto"</formula>
    </cfRule>
    <cfRule type="cellIs" dxfId="1" priority="24" operator="equal">
      <formula>"Moderado"</formula>
    </cfRule>
    <cfRule type="cellIs" dxfId="0" priority="25" operator="equal">
      <formula>"Bajo"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9DDA2B8-95B9-4DC3-91BD-17AC54BAA802}">
          <x14:formula1>
            <xm:f>'Tabla Valoración controles'!$D$4:$D$6</xm:f>
          </x14:formula1>
          <xm:sqref>R13:R15</xm:sqref>
        </x14:dataValidation>
        <x14:dataValidation type="list" allowBlank="1" showInputMessage="1" showErrorMessage="1" xr:uid="{1BB47AD9-0A38-4A06-9919-3945C722A1D9}">
          <x14:formula1>
            <xm:f>'Tabla Valoración controles'!$D$7:$D$8</xm:f>
          </x14:formula1>
          <xm:sqref>S13:S15</xm:sqref>
        </x14:dataValidation>
        <x14:dataValidation type="list" allowBlank="1" showInputMessage="1" showErrorMessage="1" xr:uid="{B107C3DF-D10F-41D9-BF40-6F3D478DAFE0}">
          <x14:formula1>
            <xm:f>'Tabla Valoración controles'!$D$9:$D$10</xm:f>
          </x14:formula1>
          <xm:sqref>U13:U15</xm:sqref>
        </x14:dataValidation>
        <x14:dataValidation type="list" allowBlank="1" showInputMessage="1" showErrorMessage="1" xr:uid="{5C8D217E-4246-4914-A859-442082B53307}">
          <x14:formula1>
            <xm:f>'Tabla Valoración controles'!$D$11:$D$12</xm:f>
          </x14:formula1>
          <xm:sqref>V13:V15</xm:sqref>
        </x14:dataValidation>
        <x14:dataValidation type="list" allowBlank="1" showInputMessage="1" showErrorMessage="1" xr:uid="{B5532EFB-4E3C-4A59-949C-C3D40BC4E0C8}">
          <x14:formula1>
            <xm:f>'Tabla Valoración controles'!$D$13:$D$14</xm:f>
          </x14:formula1>
          <xm:sqref>W13:W15</xm:sqref>
        </x14:dataValidation>
        <x14:dataValidation type="list" allowBlank="1" showInputMessage="1" showErrorMessage="1" xr:uid="{E09F1767-4372-4CD8-8230-640CF9AE09E4}">
          <x14:formula1>
            <xm:f>'Opciones Tratamiento'!$B$2:$B$5</xm:f>
          </x14:formula1>
          <xm:sqref>AD13:AD15</xm:sqref>
        </x14:dataValidation>
        <x14:dataValidation type="custom" allowBlank="1" showInputMessage="1" showErrorMessage="1" error="Recuerde que las acciones se generan bajo la medida de mitigar el riesgo" xr:uid="{509F8EA7-E33F-4A8C-864C-6235CBDE9BEE}">
          <x14:formula1>
            <xm:f>IF(OR(AD13='Opciones Tratamiento'!$B$2,AD13='Opciones Tratamiento'!$B$3,AD13='Opciones Tratamiento'!$B$4),ISBLANK(AD13),ISTEXT(AD13))</xm:f>
          </x14:formula1>
          <xm:sqref>AE13:AE15</xm:sqref>
        </x14:dataValidation>
        <x14:dataValidation type="custom" allowBlank="1" showInputMessage="1" showErrorMessage="1" error="Recuerde que las acciones se generan bajo la medida de mitigar el riesgo" xr:uid="{4A961AF6-7E76-4C20-8096-375D203F2716}">
          <x14:formula1>
            <xm:f>IF(OR(AD13='Opciones Tratamiento'!$B$2,AD13='Opciones Tratamiento'!$B$3,AD13='Opciones Tratamiento'!$B$4),ISBLANK(AD13),ISTEXT(AD13))</xm:f>
          </x14:formula1>
          <xm:sqref>AF13:AF15</xm:sqref>
        </x14:dataValidation>
        <x14:dataValidation type="custom" allowBlank="1" showInputMessage="1" showErrorMessage="1" error="Recuerde que las acciones se generan bajo la medida de mitigar el riesgo" xr:uid="{BCE2A2EC-0B34-4ECA-8C9E-3ECFBA07FA04}">
          <x14:formula1>
            <xm:f>IF(OR(AD13='Opciones Tratamiento'!$B$2,AD13='Opciones Tratamiento'!$B$3,AD13='Opciones Tratamiento'!$B$4),ISBLANK(AD13),ISTEXT(AD13))</xm:f>
          </x14:formula1>
          <xm:sqref>AH14 AG13:AG15</xm:sqref>
        </x14:dataValidation>
        <x14:dataValidation type="custom" allowBlank="1" showInputMessage="1" showErrorMessage="1" error="Recuerde que las acciones se generan bajo la medida de mitigar el riesgo" xr:uid="{18B7C91F-575E-409B-BE24-A85E4C3AA08C}">
          <x14:formula1>
            <xm:f>IF(OR(AD13='Opciones Tratamiento'!$B$2,AD13='Opciones Tratamiento'!$B$3,AD13='Opciones Tratamiento'!$B$4),ISBLANK(AD13),ISTEXT(AD13))</xm:f>
          </x14:formula1>
          <xm:sqref>AH13 AH15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U140"/>
  <sheetViews>
    <sheetView zoomScale="50" zoomScaleNormal="50" workbookViewId="0">
      <selection activeCell="AF68" sqref="AF68"/>
    </sheetView>
  </sheetViews>
  <sheetFormatPr baseColWidth="10" defaultRowHeight="15" x14ac:dyDescent="0.25"/>
  <cols>
    <col min="2" max="39" width="5.7109375" customWidth="1" collapsed="1"/>
    <col min="41" max="46" width="5.7109375" customWidth="1" collapsed="1"/>
  </cols>
  <sheetData>
    <row r="1" spans="1:99"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row>
    <row r="2" spans="1:99" ht="18" customHeight="1" x14ac:dyDescent="0.25">
      <c r="A2" s="69"/>
      <c r="B2" s="257" t="s">
        <v>159</v>
      </c>
      <c r="C2" s="257"/>
      <c r="D2" s="257"/>
      <c r="E2" s="257"/>
      <c r="F2" s="257"/>
      <c r="G2" s="257"/>
      <c r="H2" s="257"/>
      <c r="I2" s="257"/>
      <c r="J2" s="294" t="s">
        <v>2</v>
      </c>
      <c r="K2" s="294"/>
      <c r="L2" s="294"/>
      <c r="M2" s="294"/>
      <c r="N2" s="294"/>
      <c r="O2" s="294"/>
      <c r="P2" s="294"/>
      <c r="Q2" s="294"/>
      <c r="R2" s="294"/>
      <c r="S2" s="294"/>
      <c r="T2" s="294"/>
      <c r="U2" s="294"/>
      <c r="V2" s="294"/>
      <c r="W2" s="294"/>
      <c r="X2" s="294"/>
      <c r="Y2" s="294"/>
      <c r="Z2" s="294"/>
      <c r="AA2" s="294"/>
      <c r="AB2" s="294"/>
      <c r="AC2" s="294"/>
      <c r="AD2" s="294"/>
      <c r="AE2" s="294"/>
      <c r="AF2" s="294"/>
      <c r="AG2" s="294"/>
      <c r="AH2" s="294"/>
      <c r="AI2" s="294"/>
      <c r="AJ2" s="294"/>
      <c r="AK2" s="294"/>
      <c r="AL2" s="294"/>
      <c r="AM2" s="294"/>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row>
    <row r="3" spans="1:99" ht="18.75" customHeight="1" x14ac:dyDescent="0.25">
      <c r="A3" s="69"/>
      <c r="B3" s="257"/>
      <c r="C3" s="257"/>
      <c r="D3" s="257"/>
      <c r="E3" s="257"/>
      <c r="F3" s="257"/>
      <c r="G3" s="257"/>
      <c r="H3" s="257"/>
      <c r="I3" s="257"/>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94"/>
      <c r="AI3" s="294"/>
      <c r="AJ3" s="294"/>
      <c r="AK3" s="294"/>
      <c r="AL3" s="294"/>
      <c r="AM3" s="294"/>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row>
    <row r="4" spans="1:99" ht="15" customHeight="1" x14ac:dyDescent="0.25">
      <c r="A4" s="69"/>
      <c r="B4" s="257"/>
      <c r="C4" s="257"/>
      <c r="D4" s="257"/>
      <c r="E4" s="257"/>
      <c r="F4" s="257"/>
      <c r="G4" s="257"/>
      <c r="H4" s="257"/>
      <c r="I4" s="257"/>
      <c r="J4" s="294"/>
      <c r="K4" s="294"/>
      <c r="L4" s="294"/>
      <c r="M4" s="294"/>
      <c r="N4" s="294"/>
      <c r="O4" s="294"/>
      <c r="P4" s="294"/>
      <c r="Q4" s="294"/>
      <c r="R4" s="294"/>
      <c r="S4" s="294"/>
      <c r="T4" s="294"/>
      <c r="U4" s="294"/>
      <c r="V4" s="294"/>
      <c r="W4" s="294"/>
      <c r="X4" s="294"/>
      <c r="Y4" s="294"/>
      <c r="Z4" s="294"/>
      <c r="AA4" s="294"/>
      <c r="AB4" s="294"/>
      <c r="AC4" s="294"/>
      <c r="AD4" s="294"/>
      <c r="AE4" s="294"/>
      <c r="AF4" s="294"/>
      <c r="AG4" s="294"/>
      <c r="AH4" s="294"/>
      <c r="AI4" s="294"/>
      <c r="AJ4" s="294"/>
      <c r="AK4" s="294"/>
      <c r="AL4" s="294"/>
      <c r="AM4" s="294"/>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row>
    <row r="5" spans="1:99" ht="15.75" thickBot="1" x14ac:dyDescent="0.3">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69"/>
      <c r="BY5" s="69"/>
      <c r="BZ5" s="69"/>
      <c r="CA5" s="69"/>
      <c r="CB5" s="69"/>
      <c r="CC5" s="69"/>
      <c r="CD5" s="69"/>
      <c r="CE5" s="69"/>
      <c r="CF5" s="69"/>
      <c r="CG5" s="69"/>
      <c r="CH5" s="69"/>
      <c r="CI5" s="69"/>
      <c r="CJ5" s="69"/>
      <c r="CK5" s="69"/>
      <c r="CL5" s="69"/>
      <c r="CM5" s="69"/>
      <c r="CN5" s="69"/>
      <c r="CO5" s="69"/>
      <c r="CP5" s="69"/>
      <c r="CQ5" s="69"/>
      <c r="CR5" s="69"/>
      <c r="CS5" s="69"/>
      <c r="CT5" s="69"/>
      <c r="CU5" s="69"/>
    </row>
    <row r="6" spans="1:99" ht="15" customHeight="1" x14ac:dyDescent="0.25">
      <c r="A6" s="69"/>
      <c r="B6" s="305" t="s">
        <v>4</v>
      </c>
      <c r="C6" s="305"/>
      <c r="D6" s="306"/>
      <c r="E6" s="295" t="s">
        <v>116</v>
      </c>
      <c r="F6" s="296"/>
      <c r="G6" s="296"/>
      <c r="H6" s="296"/>
      <c r="I6" s="297"/>
      <c r="J6" s="291" t="e">
        <f>IF(AND('Mapa final'!#REF!="Muy Alta",'Mapa final'!#REF!="Leve"),CONCATENATE("R",'Mapa final'!#REF!),"")</f>
        <v>#REF!</v>
      </c>
      <c r="K6" s="292"/>
      <c r="L6" s="292" t="e">
        <f>IF(AND('Mapa final'!#REF!="Muy Alta",'Mapa final'!#REF!="Leve"),CONCATENATE("R",'Mapa final'!#REF!),"")</f>
        <v>#REF!</v>
      </c>
      <c r="M6" s="292"/>
      <c r="N6" s="292" t="e">
        <f>IF(AND('Mapa final'!#REF!="Muy Alta",'Mapa final'!#REF!="Leve"),CONCATENATE("R",'Mapa final'!#REF!),"")</f>
        <v>#REF!</v>
      </c>
      <c r="O6" s="293"/>
      <c r="P6" s="291" t="e">
        <f>IF(AND('Mapa final'!#REF!="Muy Alta",'Mapa final'!#REF!="Menor"),CONCATENATE("R",'Mapa final'!#REF!),"")</f>
        <v>#REF!</v>
      </c>
      <c r="Q6" s="292"/>
      <c r="R6" s="292" t="e">
        <f>IF(AND('Mapa final'!#REF!="Muy Alta",'Mapa final'!#REF!="Menor"),CONCATENATE("R",'Mapa final'!#REF!),"")</f>
        <v>#REF!</v>
      </c>
      <c r="S6" s="292"/>
      <c r="T6" s="292" t="e">
        <f>IF(AND('Mapa final'!#REF!="Muy Alta",'Mapa final'!#REF!="Menor"),CONCATENATE("R",'Mapa final'!#REF!),"")</f>
        <v>#REF!</v>
      </c>
      <c r="U6" s="293"/>
      <c r="V6" s="291" t="e">
        <f>IF(AND('Mapa final'!#REF!="Muy Alta",'Mapa final'!#REF!="Moderado"),CONCATENATE("R",'Mapa final'!#REF!),"")</f>
        <v>#REF!</v>
      </c>
      <c r="W6" s="292"/>
      <c r="X6" s="292" t="e">
        <f>IF(AND('Mapa final'!#REF!="Muy Alta",'Mapa final'!#REF!="Moderado"),CONCATENATE("R",'Mapa final'!#REF!),"")</f>
        <v>#REF!</v>
      </c>
      <c r="Y6" s="292"/>
      <c r="Z6" s="292" t="e">
        <f>IF(AND('Mapa final'!#REF!="Muy Alta",'Mapa final'!#REF!="Moderado"),CONCATENATE("R",'Mapa final'!#REF!),"")</f>
        <v>#REF!</v>
      </c>
      <c r="AA6" s="293"/>
      <c r="AB6" s="291" t="e">
        <f>IF(AND('Mapa final'!#REF!="Muy Alta",'Mapa final'!#REF!="Mayor"),CONCATENATE("R",'Mapa final'!#REF!),"")</f>
        <v>#REF!</v>
      </c>
      <c r="AC6" s="292"/>
      <c r="AD6" s="292" t="e">
        <f>IF(AND('Mapa final'!#REF!="Muy Alta",'Mapa final'!#REF!="Mayor"),CONCATENATE("R",'Mapa final'!#REF!),"")</f>
        <v>#REF!</v>
      </c>
      <c r="AE6" s="292"/>
      <c r="AF6" s="292" t="e">
        <f>IF(AND('Mapa final'!#REF!="Muy Alta",'Mapa final'!#REF!="Mayor"),CONCATENATE("R",'Mapa final'!#REF!),"")</f>
        <v>#REF!</v>
      </c>
      <c r="AG6" s="293"/>
      <c r="AH6" s="282" t="e">
        <f>IF(AND('Mapa final'!#REF!="Muy Alta",'Mapa final'!#REF!="Catastrófico"),CONCATENATE("R",'Mapa final'!#REF!),"")</f>
        <v>#REF!</v>
      </c>
      <c r="AI6" s="283"/>
      <c r="AJ6" s="283" t="e">
        <f>IF(AND('Mapa final'!#REF!="Muy Alta",'Mapa final'!#REF!="Catastrófico"),CONCATENATE("R",'Mapa final'!#REF!),"")</f>
        <v>#REF!</v>
      </c>
      <c r="AK6" s="283"/>
      <c r="AL6" s="283" t="e">
        <f>IF(AND('Mapa final'!#REF!="Muy Alta",'Mapa final'!#REF!="Catastrófico"),CONCATENATE("R",'Mapa final'!#REF!),"")</f>
        <v>#REF!</v>
      </c>
      <c r="AM6" s="284"/>
      <c r="AO6" s="307" t="s">
        <v>79</v>
      </c>
      <c r="AP6" s="308"/>
      <c r="AQ6" s="308"/>
      <c r="AR6" s="308"/>
      <c r="AS6" s="308"/>
      <c r="AT6" s="309"/>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c r="BY6" s="69"/>
      <c r="BZ6" s="69"/>
      <c r="CA6" s="69"/>
      <c r="CB6" s="69"/>
    </row>
    <row r="7" spans="1:99" ht="15" customHeight="1" x14ac:dyDescent="0.25">
      <c r="A7" s="69"/>
      <c r="B7" s="305"/>
      <c r="C7" s="305"/>
      <c r="D7" s="306"/>
      <c r="E7" s="298"/>
      <c r="F7" s="299"/>
      <c r="G7" s="299"/>
      <c r="H7" s="299"/>
      <c r="I7" s="300"/>
      <c r="J7" s="285"/>
      <c r="K7" s="286"/>
      <c r="L7" s="286"/>
      <c r="M7" s="286"/>
      <c r="N7" s="286"/>
      <c r="O7" s="287"/>
      <c r="P7" s="285"/>
      <c r="Q7" s="286"/>
      <c r="R7" s="286"/>
      <c r="S7" s="286"/>
      <c r="T7" s="286"/>
      <c r="U7" s="287"/>
      <c r="V7" s="285"/>
      <c r="W7" s="286"/>
      <c r="X7" s="286"/>
      <c r="Y7" s="286"/>
      <c r="Z7" s="286"/>
      <c r="AA7" s="287"/>
      <c r="AB7" s="285"/>
      <c r="AC7" s="286"/>
      <c r="AD7" s="286"/>
      <c r="AE7" s="286"/>
      <c r="AF7" s="286"/>
      <c r="AG7" s="287"/>
      <c r="AH7" s="276"/>
      <c r="AI7" s="277"/>
      <c r="AJ7" s="277"/>
      <c r="AK7" s="277"/>
      <c r="AL7" s="277"/>
      <c r="AM7" s="278"/>
      <c r="AN7" s="69"/>
      <c r="AO7" s="310"/>
      <c r="AP7" s="311"/>
      <c r="AQ7" s="311"/>
      <c r="AR7" s="311"/>
      <c r="AS7" s="311"/>
      <c r="AT7" s="312"/>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c r="BY7" s="69"/>
      <c r="BZ7" s="69"/>
      <c r="CA7" s="69"/>
      <c r="CB7" s="69"/>
    </row>
    <row r="8" spans="1:99" ht="15" customHeight="1" x14ac:dyDescent="0.25">
      <c r="A8" s="69"/>
      <c r="B8" s="305"/>
      <c r="C8" s="305"/>
      <c r="D8" s="306"/>
      <c r="E8" s="298"/>
      <c r="F8" s="299"/>
      <c r="G8" s="299"/>
      <c r="H8" s="299"/>
      <c r="I8" s="300"/>
      <c r="J8" s="285" t="e">
        <f>IF(AND('Mapa final'!$H$13="Muy Alta",'Mapa final'!$L$13="Leve"),CONCATENATE("R",'Mapa final'!$A$13),"")</f>
        <v>#REF!</v>
      </c>
      <c r="K8" s="286"/>
      <c r="L8" s="286" t="e">
        <f>IF(AND('Mapa final'!#REF!="Muy Alta",'Mapa final'!#REF!="Leve"),CONCATENATE("R",'Mapa final'!#REF!),"")</f>
        <v>#REF!</v>
      </c>
      <c r="M8" s="286"/>
      <c r="N8" s="286" t="e">
        <f>IF(AND('Mapa final'!#REF!="Muy Alta",'Mapa final'!#REF!="Leve"),CONCATENATE("R",'Mapa final'!#REF!),"")</f>
        <v>#REF!</v>
      </c>
      <c r="O8" s="287"/>
      <c r="P8" s="285" t="e">
        <f>IF(AND('Mapa final'!$H$13="Muy Alta",'Mapa final'!$L$13="Menor"),CONCATENATE("R",'Mapa final'!$A$13),"")</f>
        <v>#REF!</v>
      </c>
      <c r="Q8" s="286"/>
      <c r="R8" s="286" t="e">
        <f>IF(AND('Mapa final'!#REF!="Muy Alta",'Mapa final'!#REF!="Menor"),CONCATENATE("R",'Mapa final'!#REF!),"")</f>
        <v>#REF!</v>
      </c>
      <c r="S8" s="286"/>
      <c r="T8" s="286" t="e">
        <f>IF(AND('Mapa final'!#REF!="Muy Alta",'Mapa final'!#REF!="Menor"),CONCATENATE("R",'Mapa final'!#REF!),"")</f>
        <v>#REF!</v>
      </c>
      <c r="U8" s="287"/>
      <c r="V8" s="285" t="e">
        <f>IF(AND('Mapa final'!$H$13="Muy Alta",'Mapa final'!$L$13="Moderado"),CONCATENATE("R",'Mapa final'!$A$13),"")</f>
        <v>#REF!</v>
      </c>
      <c r="W8" s="286"/>
      <c r="X8" s="286" t="e">
        <f>IF(AND('Mapa final'!#REF!="Muy Alta",'Mapa final'!#REF!="Moderado"),CONCATENATE("R",'Mapa final'!#REF!),"")</f>
        <v>#REF!</v>
      </c>
      <c r="Y8" s="286"/>
      <c r="Z8" s="286" t="e">
        <f>IF(AND('Mapa final'!#REF!="Muy Alta",'Mapa final'!#REF!="Moderado"),CONCATENATE("R",'Mapa final'!#REF!),"")</f>
        <v>#REF!</v>
      </c>
      <c r="AA8" s="287"/>
      <c r="AB8" s="285" t="e">
        <f>IF(AND('Mapa final'!$H$13="Muy Alta",'Mapa final'!$L$13="Mayor"),CONCATENATE("R",'Mapa final'!$A$13),"")</f>
        <v>#REF!</v>
      </c>
      <c r="AC8" s="286"/>
      <c r="AD8" s="286" t="e">
        <f>IF(AND('Mapa final'!#REF!="Muy Alta",'Mapa final'!#REF!="Mayor"),CONCATENATE("R",'Mapa final'!#REF!),"")</f>
        <v>#REF!</v>
      </c>
      <c r="AE8" s="286"/>
      <c r="AF8" s="286" t="e">
        <f>IF(AND('Mapa final'!#REF!="Muy Alta",'Mapa final'!#REF!="Mayor"),CONCATENATE("R",'Mapa final'!#REF!),"")</f>
        <v>#REF!</v>
      </c>
      <c r="AG8" s="287"/>
      <c r="AH8" s="276" t="e">
        <f>IF(AND('Mapa final'!$H$13="Muy Alta",'Mapa final'!$L$13="Catastrófico"),CONCATENATE("R",'Mapa final'!$A$13),"")</f>
        <v>#REF!</v>
      </c>
      <c r="AI8" s="277"/>
      <c r="AJ8" s="277" t="e">
        <f>IF(AND('Mapa final'!#REF!="Muy Alta",'Mapa final'!#REF!="Catastrófico"),CONCATENATE("R",'Mapa final'!#REF!),"")</f>
        <v>#REF!</v>
      </c>
      <c r="AK8" s="277"/>
      <c r="AL8" s="277" t="e">
        <f>IF(AND('Mapa final'!#REF!="Muy Alta",'Mapa final'!#REF!="Catastrófico"),CONCATENATE("R",'Mapa final'!#REF!),"")</f>
        <v>#REF!</v>
      </c>
      <c r="AM8" s="278"/>
      <c r="AN8" s="69"/>
      <c r="AO8" s="310"/>
      <c r="AP8" s="311"/>
      <c r="AQ8" s="311"/>
      <c r="AR8" s="311"/>
      <c r="AS8" s="311"/>
      <c r="AT8" s="312"/>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row>
    <row r="9" spans="1:99" ht="15" customHeight="1" x14ac:dyDescent="0.25">
      <c r="A9" s="69"/>
      <c r="B9" s="305"/>
      <c r="C9" s="305"/>
      <c r="D9" s="306"/>
      <c r="E9" s="298"/>
      <c r="F9" s="299"/>
      <c r="G9" s="299"/>
      <c r="H9" s="299"/>
      <c r="I9" s="300"/>
      <c r="J9" s="285"/>
      <c r="K9" s="286"/>
      <c r="L9" s="286"/>
      <c r="M9" s="286"/>
      <c r="N9" s="286"/>
      <c r="O9" s="287"/>
      <c r="P9" s="285"/>
      <c r="Q9" s="286"/>
      <c r="R9" s="286"/>
      <c r="S9" s="286"/>
      <c r="T9" s="286"/>
      <c r="U9" s="287"/>
      <c r="V9" s="285"/>
      <c r="W9" s="286"/>
      <c r="X9" s="286"/>
      <c r="Y9" s="286"/>
      <c r="Z9" s="286"/>
      <c r="AA9" s="287"/>
      <c r="AB9" s="285"/>
      <c r="AC9" s="286"/>
      <c r="AD9" s="286"/>
      <c r="AE9" s="286"/>
      <c r="AF9" s="286"/>
      <c r="AG9" s="287"/>
      <c r="AH9" s="276"/>
      <c r="AI9" s="277"/>
      <c r="AJ9" s="277"/>
      <c r="AK9" s="277"/>
      <c r="AL9" s="277"/>
      <c r="AM9" s="278"/>
      <c r="AN9" s="69"/>
      <c r="AO9" s="310"/>
      <c r="AP9" s="311"/>
      <c r="AQ9" s="311"/>
      <c r="AR9" s="311"/>
      <c r="AS9" s="311"/>
      <c r="AT9" s="312"/>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c r="BY9" s="69"/>
      <c r="BZ9" s="69"/>
      <c r="CA9" s="69"/>
      <c r="CB9" s="69"/>
    </row>
    <row r="10" spans="1:99" ht="15" customHeight="1" x14ac:dyDescent="0.25">
      <c r="A10" s="69"/>
      <c r="B10" s="305"/>
      <c r="C10" s="305"/>
      <c r="D10" s="306"/>
      <c r="E10" s="298"/>
      <c r="F10" s="299"/>
      <c r="G10" s="299"/>
      <c r="H10" s="299"/>
      <c r="I10" s="300"/>
      <c r="J10" s="285" t="e">
        <f>IF(AND('Mapa final'!#REF!="Muy Alta",'Mapa final'!#REF!="Leve"),CONCATENATE("R",'Mapa final'!#REF!),"")</f>
        <v>#REF!</v>
      </c>
      <c r="K10" s="286"/>
      <c r="L10" s="286" t="e">
        <f>IF(AND('Mapa final'!#REF!="Muy Alta",'Mapa final'!#REF!="Leve"),CONCATENATE("R",'Mapa final'!#REF!),"")</f>
        <v>#REF!</v>
      </c>
      <c r="M10" s="286"/>
      <c r="N10" s="286" t="e">
        <f>IF(AND('Mapa final'!#REF!="Muy Alta",'Mapa final'!#REF!="Leve"),CONCATENATE("R",'Mapa final'!#REF!),"")</f>
        <v>#REF!</v>
      </c>
      <c r="O10" s="287"/>
      <c r="P10" s="285" t="e">
        <f>IF(AND('Mapa final'!#REF!="Muy Alta",'Mapa final'!#REF!="Menor"),CONCATENATE("R",'Mapa final'!#REF!),"")</f>
        <v>#REF!</v>
      </c>
      <c r="Q10" s="286"/>
      <c r="R10" s="286" t="e">
        <f>IF(AND('Mapa final'!#REF!="Muy Alta",'Mapa final'!#REF!="Menor"),CONCATENATE("R",'Mapa final'!#REF!),"")</f>
        <v>#REF!</v>
      </c>
      <c r="S10" s="286"/>
      <c r="T10" s="286" t="e">
        <f>IF(AND('Mapa final'!#REF!="Muy Alta",'Mapa final'!#REF!="Menor"),CONCATENATE("R",'Mapa final'!#REF!),"")</f>
        <v>#REF!</v>
      </c>
      <c r="U10" s="287"/>
      <c r="V10" s="285" t="e">
        <f>IF(AND('Mapa final'!#REF!="Muy Alta",'Mapa final'!#REF!="Moderado"),CONCATENATE("R",'Mapa final'!#REF!),"")</f>
        <v>#REF!</v>
      </c>
      <c r="W10" s="286"/>
      <c r="X10" s="286" t="e">
        <f>IF(AND('Mapa final'!#REF!="Muy Alta",'Mapa final'!#REF!="Moderado"),CONCATENATE("R",'Mapa final'!#REF!),"")</f>
        <v>#REF!</v>
      </c>
      <c r="Y10" s="286"/>
      <c r="Z10" s="286" t="e">
        <f>IF(AND('Mapa final'!#REF!="Muy Alta",'Mapa final'!#REF!="Moderado"),CONCATENATE("R",'Mapa final'!#REF!),"")</f>
        <v>#REF!</v>
      </c>
      <c r="AA10" s="287"/>
      <c r="AB10" s="285" t="e">
        <f>IF(AND('Mapa final'!#REF!="Muy Alta",'Mapa final'!#REF!="Mayor"),CONCATENATE("R",'Mapa final'!#REF!),"")</f>
        <v>#REF!</v>
      </c>
      <c r="AC10" s="286"/>
      <c r="AD10" s="286" t="e">
        <f>IF(AND('Mapa final'!#REF!="Muy Alta",'Mapa final'!#REF!="Mayor"),CONCATENATE("R",'Mapa final'!#REF!),"")</f>
        <v>#REF!</v>
      </c>
      <c r="AE10" s="286"/>
      <c r="AF10" s="286" t="e">
        <f>IF(AND('Mapa final'!#REF!="Muy Alta",'Mapa final'!#REF!="Mayor"),CONCATENATE("R",'Mapa final'!#REF!),"")</f>
        <v>#REF!</v>
      </c>
      <c r="AG10" s="287"/>
      <c r="AH10" s="276" t="e">
        <f>IF(AND('Mapa final'!#REF!="Muy Alta",'Mapa final'!#REF!="Catastrófico"),CONCATENATE("R",'Mapa final'!#REF!),"")</f>
        <v>#REF!</v>
      </c>
      <c r="AI10" s="277"/>
      <c r="AJ10" s="277" t="e">
        <f>IF(AND('Mapa final'!#REF!="Muy Alta",'Mapa final'!#REF!="Catastrófico"),CONCATENATE("R",'Mapa final'!#REF!),"")</f>
        <v>#REF!</v>
      </c>
      <c r="AK10" s="277"/>
      <c r="AL10" s="277" t="e">
        <f>IF(AND('Mapa final'!#REF!="Muy Alta",'Mapa final'!#REF!="Catastrófico"),CONCATENATE("R",'Mapa final'!#REF!),"")</f>
        <v>#REF!</v>
      </c>
      <c r="AM10" s="278"/>
      <c r="AN10" s="69"/>
      <c r="AO10" s="310"/>
      <c r="AP10" s="311"/>
      <c r="AQ10" s="311"/>
      <c r="AR10" s="311"/>
      <c r="AS10" s="311"/>
      <c r="AT10" s="312"/>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row>
    <row r="11" spans="1:99" ht="15" customHeight="1" x14ac:dyDescent="0.25">
      <c r="A11" s="69"/>
      <c r="B11" s="305"/>
      <c r="C11" s="305"/>
      <c r="D11" s="306"/>
      <c r="E11" s="298"/>
      <c r="F11" s="299"/>
      <c r="G11" s="299"/>
      <c r="H11" s="299"/>
      <c r="I11" s="300"/>
      <c r="J11" s="285"/>
      <c r="K11" s="286"/>
      <c r="L11" s="286"/>
      <c r="M11" s="286"/>
      <c r="N11" s="286"/>
      <c r="O11" s="287"/>
      <c r="P11" s="285"/>
      <c r="Q11" s="286"/>
      <c r="R11" s="286"/>
      <c r="S11" s="286"/>
      <c r="T11" s="286"/>
      <c r="U11" s="287"/>
      <c r="V11" s="285"/>
      <c r="W11" s="286"/>
      <c r="X11" s="286"/>
      <c r="Y11" s="286"/>
      <c r="Z11" s="286"/>
      <c r="AA11" s="287"/>
      <c r="AB11" s="285"/>
      <c r="AC11" s="286"/>
      <c r="AD11" s="286"/>
      <c r="AE11" s="286"/>
      <c r="AF11" s="286"/>
      <c r="AG11" s="287"/>
      <c r="AH11" s="276"/>
      <c r="AI11" s="277"/>
      <c r="AJ11" s="277"/>
      <c r="AK11" s="277"/>
      <c r="AL11" s="277"/>
      <c r="AM11" s="278"/>
      <c r="AN11" s="69"/>
      <c r="AO11" s="310"/>
      <c r="AP11" s="311"/>
      <c r="AQ11" s="311"/>
      <c r="AR11" s="311"/>
      <c r="AS11" s="311"/>
      <c r="AT11" s="312"/>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c r="BY11" s="69"/>
      <c r="BZ11" s="69"/>
      <c r="CA11" s="69"/>
      <c r="CB11" s="69"/>
    </row>
    <row r="12" spans="1:99" ht="15" customHeight="1" x14ac:dyDescent="0.25">
      <c r="A12" s="69"/>
      <c r="B12" s="305"/>
      <c r="C12" s="305"/>
      <c r="D12" s="306"/>
      <c r="E12" s="298"/>
      <c r="F12" s="299"/>
      <c r="G12" s="299"/>
      <c r="H12" s="299"/>
      <c r="I12" s="300"/>
      <c r="J12" s="285" t="e">
        <f>IF(AND('Mapa final'!#REF!="Muy Alta",'Mapa final'!#REF!="Leve"),CONCATENATE("R",'Mapa final'!#REF!),"")</f>
        <v>#REF!</v>
      </c>
      <c r="K12" s="286"/>
      <c r="L12" s="286" t="str">
        <f>IF(AND('Mapa final'!$H$19="Muy Alta",'Mapa final'!$L$19="Leve"),CONCATENATE("R",'Mapa final'!$A$19),"")</f>
        <v/>
      </c>
      <c r="M12" s="286"/>
      <c r="N12" s="286" t="str">
        <f>IF(AND('Mapa final'!$H$25="Muy Alta",'Mapa final'!$L$25="Leve"),CONCATENATE("R",'Mapa final'!$A$25),"")</f>
        <v/>
      </c>
      <c r="O12" s="287"/>
      <c r="P12" s="285" t="e">
        <f>IF(AND('Mapa final'!#REF!="Muy Alta",'Mapa final'!#REF!="Menor"),CONCATENATE("R",'Mapa final'!#REF!),"")</f>
        <v>#REF!</v>
      </c>
      <c r="Q12" s="286"/>
      <c r="R12" s="286" t="str">
        <f>IF(AND('Mapa final'!$H$19="Muy Alta",'Mapa final'!$L$19="Menor"),CONCATENATE("R",'Mapa final'!$A$19),"")</f>
        <v/>
      </c>
      <c r="S12" s="286"/>
      <c r="T12" s="286" t="str">
        <f>IF(AND('Mapa final'!$H$25="Muy Alta",'Mapa final'!$L$25="Menor"),CONCATENATE("R",'Mapa final'!$A$25),"")</f>
        <v/>
      </c>
      <c r="U12" s="287"/>
      <c r="V12" s="285" t="e">
        <f>IF(AND('Mapa final'!#REF!="Muy Alta",'Mapa final'!#REF!="Moderado"),CONCATENATE("R",'Mapa final'!#REF!),"")</f>
        <v>#REF!</v>
      </c>
      <c r="W12" s="286"/>
      <c r="X12" s="286" t="str">
        <f>IF(AND('Mapa final'!$H$19="Muy Alta",'Mapa final'!$L$19="Moderado"),CONCATENATE("R",'Mapa final'!$A$19),"")</f>
        <v/>
      </c>
      <c r="Y12" s="286"/>
      <c r="Z12" s="286" t="str">
        <f>IF(AND('Mapa final'!$H$25="Muy Alta",'Mapa final'!$L$25="Moderado"),CONCATENATE("R",'Mapa final'!$A$25),"")</f>
        <v/>
      </c>
      <c r="AA12" s="287"/>
      <c r="AB12" s="285" t="e">
        <f>IF(AND('Mapa final'!#REF!="Muy Alta",'Mapa final'!#REF!="Mayor"),CONCATENATE("R",'Mapa final'!#REF!),"")</f>
        <v>#REF!</v>
      </c>
      <c r="AC12" s="286"/>
      <c r="AD12" s="286" t="str">
        <f>IF(AND('Mapa final'!$H$19="Muy Alta",'Mapa final'!$L$19="Mayor"),CONCATENATE("R",'Mapa final'!$A$19),"")</f>
        <v/>
      </c>
      <c r="AE12" s="286"/>
      <c r="AF12" s="286" t="str">
        <f>IF(AND('Mapa final'!$H$25="Muy Alta",'Mapa final'!$L$25="Mayor"),CONCATENATE("R",'Mapa final'!$A$25),"")</f>
        <v/>
      </c>
      <c r="AG12" s="287"/>
      <c r="AH12" s="276" t="e">
        <f>IF(AND('Mapa final'!#REF!="Muy Alta",'Mapa final'!#REF!="Catastrófico"),CONCATENATE("R",'Mapa final'!#REF!),"")</f>
        <v>#REF!</v>
      </c>
      <c r="AI12" s="277"/>
      <c r="AJ12" s="277" t="str">
        <f>IF(AND('Mapa final'!$H$19="Muy Alta",'Mapa final'!$L$19="Catastrófico"),CONCATENATE("R",'Mapa final'!$A$19),"")</f>
        <v/>
      </c>
      <c r="AK12" s="277"/>
      <c r="AL12" s="277" t="str">
        <f>IF(AND('Mapa final'!$H$25="Muy Alta",'Mapa final'!$L$25="Catastrófico"),CONCATENATE("R",'Mapa final'!$A$25),"")</f>
        <v/>
      </c>
      <c r="AM12" s="278"/>
      <c r="AN12" s="69"/>
      <c r="AO12" s="310"/>
      <c r="AP12" s="311"/>
      <c r="AQ12" s="311"/>
      <c r="AR12" s="311"/>
      <c r="AS12" s="311"/>
      <c r="AT12" s="312"/>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row>
    <row r="13" spans="1:99" ht="15.75" customHeight="1" thickBot="1" x14ac:dyDescent="0.3">
      <c r="A13" s="69"/>
      <c r="B13" s="305"/>
      <c r="C13" s="305"/>
      <c r="D13" s="306"/>
      <c r="E13" s="301"/>
      <c r="F13" s="302"/>
      <c r="G13" s="302"/>
      <c r="H13" s="302"/>
      <c r="I13" s="303"/>
      <c r="J13" s="285"/>
      <c r="K13" s="286"/>
      <c r="L13" s="286"/>
      <c r="M13" s="286"/>
      <c r="N13" s="286"/>
      <c r="O13" s="287"/>
      <c r="P13" s="285"/>
      <c r="Q13" s="286"/>
      <c r="R13" s="286"/>
      <c r="S13" s="286"/>
      <c r="T13" s="286"/>
      <c r="U13" s="287"/>
      <c r="V13" s="285"/>
      <c r="W13" s="286"/>
      <c r="X13" s="286"/>
      <c r="Y13" s="286"/>
      <c r="Z13" s="286"/>
      <c r="AA13" s="287"/>
      <c r="AB13" s="285"/>
      <c r="AC13" s="286"/>
      <c r="AD13" s="286"/>
      <c r="AE13" s="286"/>
      <c r="AF13" s="286"/>
      <c r="AG13" s="287"/>
      <c r="AH13" s="279"/>
      <c r="AI13" s="280"/>
      <c r="AJ13" s="280"/>
      <c r="AK13" s="280"/>
      <c r="AL13" s="280"/>
      <c r="AM13" s="281"/>
      <c r="AN13" s="69"/>
      <c r="AO13" s="313"/>
      <c r="AP13" s="314"/>
      <c r="AQ13" s="314"/>
      <c r="AR13" s="314"/>
      <c r="AS13" s="314"/>
      <c r="AT13" s="315"/>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row>
    <row r="14" spans="1:99" ht="15" customHeight="1" x14ac:dyDescent="0.25">
      <c r="A14" s="69"/>
      <c r="B14" s="305"/>
      <c r="C14" s="305"/>
      <c r="D14" s="306"/>
      <c r="E14" s="295" t="s">
        <v>115</v>
      </c>
      <c r="F14" s="296"/>
      <c r="G14" s="296"/>
      <c r="H14" s="296"/>
      <c r="I14" s="296"/>
      <c r="J14" s="273" t="e">
        <f>IF(AND('Mapa final'!#REF!="Alta",'Mapa final'!#REF!="Leve"),CONCATENATE("R",'Mapa final'!#REF!),"")</f>
        <v>#REF!</v>
      </c>
      <c r="K14" s="274"/>
      <c r="L14" s="274" t="e">
        <f>IF(AND('Mapa final'!#REF!="Alta",'Mapa final'!#REF!="Leve"),CONCATENATE("R",'Mapa final'!#REF!),"")</f>
        <v>#REF!</v>
      </c>
      <c r="M14" s="274"/>
      <c r="N14" s="274" t="e">
        <f>IF(AND('Mapa final'!#REF!="Alta",'Mapa final'!#REF!="Leve"),CONCATENATE("R",'Mapa final'!#REF!),"")</f>
        <v>#REF!</v>
      </c>
      <c r="O14" s="275"/>
      <c r="P14" s="273" t="e">
        <f>IF(AND('Mapa final'!#REF!="Alta",'Mapa final'!#REF!="Menor"),CONCATENATE("R",'Mapa final'!#REF!),"")</f>
        <v>#REF!</v>
      </c>
      <c r="Q14" s="274"/>
      <c r="R14" s="274" t="e">
        <f>IF(AND('Mapa final'!#REF!="Alta",'Mapa final'!#REF!="Menor"),CONCATENATE("R",'Mapa final'!#REF!),"")</f>
        <v>#REF!</v>
      </c>
      <c r="S14" s="274"/>
      <c r="T14" s="274" t="e">
        <f>IF(AND('Mapa final'!#REF!="Alta",'Mapa final'!#REF!="Menor"),CONCATENATE("R",'Mapa final'!#REF!),"")</f>
        <v>#REF!</v>
      </c>
      <c r="U14" s="275"/>
      <c r="V14" s="291" t="e">
        <f>IF(AND('Mapa final'!#REF!="Alta",'Mapa final'!#REF!="Moderado"),CONCATENATE("R",'Mapa final'!#REF!),"")</f>
        <v>#REF!</v>
      </c>
      <c r="W14" s="292"/>
      <c r="X14" s="292" t="e">
        <f>IF(AND('Mapa final'!#REF!="Alta",'Mapa final'!#REF!="Moderado"),CONCATENATE("R",'Mapa final'!#REF!),"")</f>
        <v>#REF!</v>
      </c>
      <c r="Y14" s="292"/>
      <c r="Z14" s="292" t="e">
        <f>IF(AND('Mapa final'!#REF!="Alta",'Mapa final'!#REF!="Moderado"),CONCATENATE("R",'Mapa final'!#REF!),"")</f>
        <v>#REF!</v>
      </c>
      <c r="AA14" s="293"/>
      <c r="AB14" s="291" t="e">
        <f>IF(AND('Mapa final'!#REF!="Alta",'Mapa final'!#REF!="Mayor"),CONCATENATE("R",'Mapa final'!#REF!),"")</f>
        <v>#REF!</v>
      </c>
      <c r="AC14" s="292"/>
      <c r="AD14" s="292" t="e">
        <f>IF(AND('Mapa final'!#REF!="Alta",'Mapa final'!#REF!="Mayor"),CONCATENATE("R",'Mapa final'!#REF!),"")</f>
        <v>#REF!</v>
      </c>
      <c r="AE14" s="292"/>
      <c r="AF14" s="292" t="e">
        <f>IF(AND('Mapa final'!#REF!="Alta",'Mapa final'!#REF!="Mayor"),CONCATENATE("R",'Mapa final'!#REF!),"")</f>
        <v>#REF!</v>
      </c>
      <c r="AG14" s="293"/>
      <c r="AH14" s="282" t="e">
        <f>IF(AND('Mapa final'!#REF!="Alta",'Mapa final'!#REF!="Catastrófico"),CONCATENATE("R",'Mapa final'!#REF!),"")</f>
        <v>#REF!</v>
      </c>
      <c r="AI14" s="283"/>
      <c r="AJ14" s="283" t="e">
        <f>IF(AND('Mapa final'!#REF!="Alta",'Mapa final'!#REF!="Catastrófico"),CONCATENATE("R",'Mapa final'!#REF!),"")</f>
        <v>#REF!</v>
      </c>
      <c r="AK14" s="283"/>
      <c r="AL14" s="283" t="e">
        <f>IF(AND('Mapa final'!#REF!="Alta",'Mapa final'!#REF!="Catastrófico"),CONCATENATE("R",'Mapa final'!#REF!),"")</f>
        <v>#REF!</v>
      </c>
      <c r="AM14" s="284"/>
      <c r="AN14" s="69"/>
      <c r="AO14" s="316" t="s">
        <v>80</v>
      </c>
      <c r="AP14" s="317"/>
      <c r="AQ14" s="317"/>
      <c r="AR14" s="317"/>
      <c r="AS14" s="317"/>
      <c r="AT14" s="318"/>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row>
    <row r="15" spans="1:99" ht="15" customHeight="1" x14ac:dyDescent="0.25">
      <c r="A15" s="69"/>
      <c r="B15" s="305"/>
      <c r="C15" s="305"/>
      <c r="D15" s="306"/>
      <c r="E15" s="298"/>
      <c r="F15" s="299"/>
      <c r="G15" s="299"/>
      <c r="H15" s="299"/>
      <c r="I15" s="299"/>
      <c r="J15" s="267"/>
      <c r="K15" s="268"/>
      <c r="L15" s="268"/>
      <c r="M15" s="268"/>
      <c r="N15" s="268"/>
      <c r="O15" s="269"/>
      <c r="P15" s="267"/>
      <c r="Q15" s="268"/>
      <c r="R15" s="268"/>
      <c r="S15" s="268"/>
      <c r="T15" s="268"/>
      <c r="U15" s="269"/>
      <c r="V15" s="285"/>
      <c r="W15" s="286"/>
      <c r="X15" s="286"/>
      <c r="Y15" s="286"/>
      <c r="Z15" s="286"/>
      <c r="AA15" s="287"/>
      <c r="AB15" s="285"/>
      <c r="AC15" s="286"/>
      <c r="AD15" s="286"/>
      <c r="AE15" s="286"/>
      <c r="AF15" s="286"/>
      <c r="AG15" s="287"/>
      <c r="AH15" s="276"/>
      <c r="AI15" s="277"/>
      <c r="AJ15" s="277"/>
      <c r="AK15" s="277"/>
      <c r="AL15" s="277"/>
      <c r="AM15" s="278"/>
      <c r="AN15" s="69"/>
      <c r="AO15" s="319"/>
      <c r="AP15" s="320"/>
      <c r="AQ15" s="320"/>
      <c r="AR15" s="320"/>
      <c r="AS15" s="320"/>
      <c r="AT15" s="321"/>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c r="BY15" s="69"/>
      <c r="BZ15" s="69"/>
      <c r="CA15" s="69"/>
      <c r="CB15" s="69"/>
    </row>
    <row r="16" spans="1:99" ht="15" customHeight="1" x14ac:dyDescent="0.25">
      <c r="A16" s="69"/>
      <c r="B16" s="305"/>
      <c r="C16" s="305"/>
      <c r="D16" s="306"/>
      <c r="E16" s="298"/>
      <c r="F16" s="299"/>
      <c r="G16" s="299"/>
      <c r="H16" s="299"/>
      <c r="I16" s="299"/>
      <c r="J16" s="267" t="e">
        <f>IF(AND('Mapa final'!$H$13="Alta",'Mapa final'!$L$13="Leve"),CONCATENATE("R",'Mapa final'!$A$13),"")</f>
        <v>#REF!</v>
      </c>
      <c r="K16" s="268"/>
      <c r="L16" s="268" t="e">
        <f>IF(AND('Mapa final'!#REF!="Alta",'Mapa final'!#REF!="Leve"),CONCATENATE("R",'Mapa final'!#REF!),"")</f>
        <v>#REF!</v>
      </c>
      <c r="M16" s="268"/>
      <c r="N16" s="268" t="e">
        <f>IF(AND('Mapa final'!#REF!="Alta",'Mapa final'!#REF!="Leve"),CONCATENATE("R",'Mapa final'!#REF!),"")</f>
        <v>#REF!</v>
      </c>
      <c r="O16" s="269"/>
      <c r="P16" s="267" t="e">
        <f>IF(AND('Mapa final'!$H$13="Alta",'Mapa final'!$L$13="Menor"),CONCATENATE("R",'Mapa final'!$A$13),"")</f>
        <v>#REF!</v>
      </c>
      <c r="Q16" s="268"/>
      <c r="R16" s="268" t="e">
        <f>IF(AND('Mapa final'!#REF!="Alta",'Mapa final'!#REF!="Menor"),CONCATENATE("R",'Mapa final'!#REF!),"")</f>
        <v>#REF!</v>
      </c>
      <c r="S16" s="268"/>
      <c r="T16" s="268" t="e">
        <f>IF(AND('Mapa final'!#REF!="Alta",'Mapa final'!#REF!="Menor"),CONCATENATE("R",'Mapa final'!#REF!),"")</f>
        <v>#REF!</v>
      </c>
      <c r="U16" s="269"/>
      <c r="V16" s="285" t="e">
        <f>IF(AND('Mapa final'!$H$13="Alta",'Mapa final'!$L$13="Moderado"),CONCATENATE("R",'Mapa final'!$A$13),"")</f>
        <v>#REF!</v>
      </c>
      <c r="W16" s="286"/>
      <c r="X16" s="286" t="e">
        <f>IF(AND('Mapa final'!#REF!="Alta",'Mapa final'!#REF!="Moderado"),CONCATENATE("R",'Mapa final'!#REF!),"")</f>
        <v>#REF!</v>
      </c>
      <c r="Y16" s="286"/>
      <c r="Z16" s="286" t="e">
        <f>IF(AND('Mapa final'!#REF!="Alta",'Mapa final'!#REF!="Moderado"),CONCATENATE("R",'Mapa final'!#REF!),"")</f>
        <v>#REF!</v>
      </c>
      <c r="AA16" s="287"/>
      <c r="AB16" s="285" t="e">
        <f>IF(AND('Mapa final'!$H$13="Alta",'Mapa final'!$L$13="Mayor"),CONCATENATE("R",'Mapa final'!$A$13),"")</f>
        <v>#REF!</v>
      </c>
      <c r="AC16" s="286"/>
      <c r="AD16" s="286" t="e">
        <f>IF(AND('Mapa final'!#REF!="Alta",'Mapa final'!#REF!="Mayor"),CONCATENATE("R",'Mapa final'!#REF!),"")</f>
        <v>#REF!</v>
      </c>
      <c r="AE16" s="286"/>
      <c r="AF16" s="286" t="e">
        <f>IF(AND('Mapa final'!#REF!="Alta",'Mapa final'!#REF!="Mayor"),CONCATENATE("R",'Mapa final'!#REF!),"")</f>
        <v>#REF!</v>
      </c>
      <c r="AG16" s="287"/>
      <c r="AH16" s="276" t="e">
        <f>IF(AND('Mapa final'!$H$13="Alta",'Mapa final'!$L$13="Catastrófico"),CONCATENATE("R",'Mapa final'!$A$13),"")</f>
        <v>#REF!</v>
      </c>
      <c r="AI16" s="277"/>
      <c r="AJ16" s="277" t="e">
        <f>IF(AND('Mapa final'!#REF!="Alta",'Mapa final'!#REF!="Catastrófico"),CONCATENATE("R",'Mapa final'!#REF!),"")</f>
        <v>#REF!</v>
      </c>
      <c r="AK16" s="277"/>
      <c r="AL16" s="277" t="e">
        <f>IF(AND('Mapa final'!#REF!="Alta",'Mapa final'!#REF!="Catastrófico"),CONCATENATE("R",'Mapa final'!#REF!),"")</f>
        <v>#REF!</v>
      </c>
      <c r="AM16" s="278"/>
      <c r="AN16" s="69"/>
      <c r="AO16" s="319"/>
      <c r="AP16" s="320"/>
      <c r="AQ16" s="320"/>
      <c r="AR16" s="320"/>
      <c r="AS16" s="320"/>
      <c r="AT16" s="321"/>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row>
    <row r="17" spans="1:80" ht="15" customHeight="1" x14ac:dyDescent="0.25">
      <c r="A17" s="69"/>
      <c r="B17" s="305"/>
      <c r="C17" s="305"/>
      <c r="D17" s="306"/>
      <c r="E17" s="298"/>
      <c r="F17" s="299"/>
      <c r="G17" s="299"/>
      <c r="H17" s="299"/>
      <c r="I17" s="299"/>
      <c r="J17" s="267"/>
      <c r="K17" s="268"/>
      <c r="L17" s="268"/>
      <c r="M17" s="268"/>
      <c r="N17" s="268"/>
      <c r="O17" s="269"/>
      <c r="P17" s="267"/>
      <c r="Q17" s="268"/>
      <c r="R17" s="268"/>
      <c r="S17" s="268"/>
      <c r="T17" s="268"/>
      <c r="U17" s="269"/>
      <c r="V17" s="285"/>
      <c r="W17" s="286"/>
      <c r="X17" s="286"/>
      <c r="Y17" s="286"/>
      <c r="Z17" s="286"/>
      <c r="AA17" s="287"/>
      <c r="AB17" s="285"/>
      <c r="AC17" s="286"/>
      <c r="AD17" s="286"/>
      <c r="AE17" s="286"/>
      <c r="AF17" s="286"/>
      <c r="AG17" s="287"/>
      <c r="AH17" s="276"/>
      <c r="AI17" s="277"/>
      <c r="AJ17" s="277"/>
      <c r="AK17" s="277"/>
      <c r="AL17" s="277"/>
      <c r="AM17" s="278"/>
      <c r="AN17" s="69"/>
      <c r="AO17" s="319"/>
      <c r="AP17" s="320"/>
      <c r="AQ17" s="320"/>
      <c r="AR17" s="320"/>
      <c r="AS17" s="320"/>
      <c r="AT17" s="321"/>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c r="BY17" s="69"/>
      <c r="BZ17" s="69"/>
      <c r="CA17" s="69"/>
      <c r="CB17" s="69"/>
    </row>
    <row r="18" spans="1:80" ht="15" customHeight="1" x14ac:dyDescent="0.25">
      <c r="A18" s="69"/>
      <c r="B18" s="305"/>
      <c r="C18" s="305"/>
      <c r="D18" s="306"/>
      <c r="E18" s="298"/>
      <c r="F18" s="299"/>
      <c r="G18" s="299"/>
      <c r="H18" s="299"/>
      <c r="I18" s="299"/>
      <c r="J18" s="267" t="e">
        <f>IF(AND('Mapa final'!#REF!="Alta",'Mapa final'!#REF!="Leve"),CONCATENATE("R",'Mapa final'!#REF!),"")</f>
        <v>#REF!</v>
      </c>
      <c r="K18" s="268"/>
      <c r="L18" s="268" t="e">
        <f>IF(AND('Mapa final'!#REF!="Alta",'Mapa final'!#REF!="Leve"),CONCATENATE("R",'Mapa final'!#REF!),"")</f>
        <v>#REF!</v>
      </c>
      <c r="M18" s="268"/>
      <c r="N18" s="268" t="e">
        <f>IF(AND('Mapa final'!#REF!="Alta",'Mapa final'!#REF!="Leve"),CONCATENATE("R",'Mapa final'!#REF!),"")</f>
        <v>#REF!</v>
      </c>
      <c r="O18" s="269"/>
      <c r="P18" s="267" t="e">
        <f>IF(AND('Mapa final'!#REF!="Alta",'Mapa final'!#REF!="Menor"),CONCATENATE("R",'Mapa final'!#REF!),"")</f>
        <v>#REF!</v>
      </c>
      <c r="Q18" s="268"/>
      <c r="R18" s="268" t="e">
        <f>IF(AND('Mapa final'!#REF!="Alta",'Mapa final'!#REF!="Menor"),CONCATENATE("R",'Mapa final'!#REF!),"")</f>
        <v>#REF!</v>
      </c>
      <c r="S18" s="268"/>
      <c r="T18" s="268" t="e">
        <f>IF(AND('Mapa final'!#REF!="Alta",'Mapa final'!#REF!="Menor"),CONCATENATE("R",'Mapa final'!#REF!),"")</f>
        <v>#REF!</v>
      </c>
      <c r="U18" s="269"/>
      <c r="V18" s="285" t="e">
        <f>IF(AND('Mapa final'!#REF!="Alta",'Mapa final'!#REF!="Moderado"),CONCATENATE("R",'Mapa final'!#REF!),"")</f>
        <v>#REF!</v>
      </c>
      <c r="W18" s="286"/>
      <c r="X18" s="286" t="e">
        <f>IF(AND('Mapa final'!#REF!="Alta",'Mapa final'!#REF!="Moderado"),CONCATENATE("R",'Mapa final'!#REF!),"")</f>
        <v>#REF!</v>
      </c>
      <c r="Y18" s="286"/>
      <c r="Z18" s="286" t="e">
        <f>IF(AND('Mapa final'!#REF!="Alta",'Mapa final'!#REF!="Moderado"),CONCATENATE("R",'Mapa final'!#REF!),"")</f>
        <v>#REF!</v>
      </c>
      <c r="AA18" s="287"/>
      <c r="AB18" s="285" t="e">
        <f>IF(AND('Mapa final'!#REF!="Alta",'Mapa final'!#REF!="Mayor"),CONCATENATE("R",'Mapa final'!#REF!),"")</f>
        <v>#REF!</v>
      </c>
      <c r="AC18" s="286"/>
      <c r="AD18" s="286" t="e">
        <f>IF(AND('Mapa final'!#REF!="Alta",'Mapa final'!#REF!="Mayor"),CONCATENATE("R",'Mapa final'!#REF!),"")</f>
        <v>#REF!</v>
      </c>
      <c r="AE18" s="286"/>
      <c r="AF18" s="286" t="e">
        <f>IF(AND('Mapa final'!#REF!="Alta",'Mapa final'!#REF!="Mayor"),CONCATENATE("R",'Mapa final'!#REF!),"")</f>
        <v>#REF!</v>
      </c>
      <c r="AG18" s="287"/>
      <c r="AH18" s="276" t="e">
        <f>IF(AND('Mapa final'!#REF!="Alta",'Mapa final'!#REF!="Catastrófico"),CONCATENATE("R",'Mapa final'!#REF!),"")</f>
        <v>#REF!</v>
      </c>
      <c r="AI18" s="277"/>
      <c r="AJ18" s="277" t="e">
        <f>IF(AND('Mapa final'!#REF!="Alta",'Mapa final'!#REF!="Catastrófico"),CONCATENATE("R",'Mapa final'!#REF!),"")</f>
        <v>#REF!</v>
      </c>
      <c r="AK18" s="277"/>
      <c r="AL18" s="277" t="e">
        <f>IF(AND('Mapa final'!#REF!="Alta",'Mapa final'!#REF!="Catastrófico"),CONCATENATE("R",'Mapa final'!#REF!),"")</f>
        <v>#REF!</v>
      </c>
      <c r="AM18" s="278"/>
      <c r="AN18" s="69"/>
      <c r="AO18" s="319"/>
      <c r="AP18" s="320"/>
      <c r="AQ18" s="320"/>
      <c r="AR18" s="320"/>
      <c r="AS18" s="320"/>
      <c r="AT18" s="321"/>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row>
    <row r="19" spans="1:80" ht="15" customHeight="1" x14ac:dyDescent="0.25">
      <c r="A19" s="69"/>
      <c r="B19" s="305"/>
      <c r="C19" s="305"/>
      <c r="D19" s="306"/>
      <c r="E19" s="298"/>
      <c r="F19" s="299"/>
      <c r="G19" s="299"/>
      <c r="H19" s="299"/>
      <c r="I19" s="299"/>
      <c r="J19" s="267"/>
      <c r="K19" s="268"/>
      <c r="L19" s="268"/>
      <c r="M19" s="268"/>
      <c r="N19" s="268"/>
      <c r="O19" s="269"/>
      <c r="P19" s="267"/>
      <c r="Q19" s="268"/>
      <c r="R19" s="268"/>
      <c r="S19" s="268"/>
      <c r="T19" s="268"/>
      <c r="U19" s="269"/>
      <c r="V19" s="285"/>
      <c r="W19" s="286"/>
      <c r="X19" s="286"/>
      <c r="Y19" s="286"/>
      <c r="Z19" s="286"/>
      <c r="AA19" s="287"/>
      <c r="AB19" s="285"/>
      <c r="AC19" s="286"/>
      <c r="AD19" s="286"/>
      <c r="AE19" s="286"/>
      <c r="AF19" s="286"/>
      <c r="AG19" s="287"/>
      <c r="AH19" s="276"/>
      <c r="AI19" s="277"/>
      <c r="AJ19" s="277"/>
      <c r="AK19" s="277"/>
      <c r="AL19" s="277"/>
      <c r="AM19" s="278"/>
      <c r="AN19" s="69"/>
      <c r="AO19" s="319"/>
      <c r="AP19" s="320"/>
      <c r="AQ19" s="320"/>
      <c r="AR19" s="320"/>
      <c r="AS19" s="320"/>
      <c r="AT19" s="321"/>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row>
    <row r="20" spans="1:80" ht="15" customHeight="1" x14ac:dyDescent="0.25">
      <c r="A20" s="69"/>
      <c r="B20" s="305"/>
      <c r="C20" s="305"/>
      <c r="D20" s="306"/>
      <c r="E20" s="298"/>
      <c r="F20" s="299"/>
      <c r="G20" s="299"/>
      <c r="H20" s="299"/>
      <c r="I20" s="299"/>
      <c r="J20" s="267" t="e">
        <f>IF(AND('Mapa final'!#REF!="Alta",'Mapa final'!#REF!="Leve"),CONCATENATE("R",'Mapa final'!#REF!),"")</f>
        <v>#REF!</v>
      </c>
      <c r="K20" s="268"/>
      <c r="L20" s="268" t="str">
        <f>IF(AND('Mapa final'!$H$19="Alta",'Mapa final'!$L$19="Leve"),CONCATENATE("R",'Mapa final'!$A$19),"")</f>
        <v/>
      </c>
      <c r="M20" s="268"/>
      <c r="N20" s="268" t="str">
        <f>IF(AND('Mapa final'!$H$25="Alta",'Mapa final'!$L$25="Leve"),CONCATENATE("R",'Mapa final'!$A$25),"")</f>
        <v/>
      </c>
      <c r="O20" s="269"/>
      <c r="P20" s="267" t="e">
        <f>IF(AND('Mapa final'!#REF!="Alta",'Mapa final'!#REF!="Menor"),CONCATENATE("R",'Mapa final'!#REF!),"")</f>
        <v>#REF!</v>
      </c>
      <c r="Q20" s="268"/>
      <c r="R20" s="268" t="str">
        <f>IF(AND('Mapa final'!$H$19="Alta",'Mapa final'!$L$19="Menor"),CONCATENATE("R",'Mapa final'!$A$19),"")</f>
        <v/>
      </c>
      <c r="S20" s="268"/>
      <c r="T20" s="268" t="str">
        <f>IF(AND('Mapa final'!$H$25="Alta",'Mapa final'!$L$25="Menor"),CONCATENATE("R",'Mapa final'!$A$25),"")</f>
        <v/>
      </c>
      <c r="U20" s="269"/>
      <c r="V20" s="285" t="e">
        <f>IF(AND('Mapa final'!#REF!="Alta",'Mapa final'!#REF!="Moderado"),CONCATENATE("R",'Mapa final'!#REF!),"")</f>
        <v>#REF!</v>
      </c>
      <c r="W20" s="286"/>
      <c r="X20" s="286" t="str">
        <f>IF(AND('Mapa final'!$H$19="Alta",'Mapa final'!$L$19="Moderado"),CONCATENATE("R",'Mapa final'!$A$19),"")</f>
        <v/>
      </c>
      <c r="Y20" s="286"/>
      <c r="Z20" s="286" t="str">
        <f>IF(AND('Mapa final'!$H$25="Alta",'Mapa final'!$L$25="Moderado"),CONCATENATE("R",'Mapa final'!$A$25),"")</f>
        <v/>
      </c>
      <c r="AA20" s="287"/>
      <c r="AB20" s="285" t="e">
        <f>IF(AND('Mapa final'!#REF!="Alta",'Mapa final'!#REF!="Mayor"),CONCATENATE("R",'Mapa final'!#REF!),"")</f>
        <v>#REF!</v>
      </c>
      <c r="AC20" s="286"/>
      <c r="AD20" s="286" t="str">
        <f>IF(AND('Mapa final'!$H$19="Alta",'Mapa final'!$L$19="Mayor"),CONCATENATE("R",'Mapa final'!$A$19),"")</f>
        <v/>
      </c>
      <c r="AE20" s="286"/>
      <c r="AF20" s="286" t="str">
        <f>IF(AND('Mapa final'!$H$25="Alta",'Mapa final'!$L$25="Mayor"),CONCATENATE("R",'Mapa final'!$A$25),"")</f>
        <v/>
      </c>
      <c r="AG20" s="287"/>
      <c r="AH20" s="276" t="e">
        <f>IF(AND('Mapa final'!#REF!="Alta",'Mapa final'!#REF!="Catastrófico"),CONCATENATE("R",'Mapa final'!#REF!),"")</f>
        <v>#REF!</v>
      </c>
      <c r="AI20" s="277"/>
      <c r="AJ20" s="277" t="str">
        <f>IF(AND('Mapa final'!$H$19="Alta",'Mapa final'!$L$19="Catastrófico"),CONCATENATE("R",'Mapa final'!$A$19),"")</f>
        <v/>
      </c>
      <c r="AK20" s="277"/>
      <c r="AL20" s="277" t="str">
        <f>IF(AND('Mapa final'!$H$25="Alta",'Mapa final'!$L$25="Catastrófico"),CONCATENATE("R",'Mapa final'!$A$25),"")</f>
        <v/>
      </c>
      <c r="AM20" s="278"/>
      <c r="AN20" s="69"/>
      <c r="AO20" s="319"/>
      <c r="AP20" s="320"/>
      <c r="AQ20" s="320"/>
      <c r="AR20" s="320"/>
      <c r="AS20" s="320"/>
      <c r="AT20" s="321"/>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c r="BY20" s="69"/>
      <c r="BZ20" s="69"/>
      <c r="CA20" s="69"/>
      <c r="CB20" s="69"/>
    </row>
    <row r="21" spans="1:80" ht="15.75" customHeight="1" thickBot="1" x14ac:dyDescent="0.3">
      <c r="A21" s="69"/>
      <c r="B21" s="305"/>
      <c r="C21" s="305"/>
      <c r="D21" s="306"/>
      <c r="E21" s="301"/>
      <c r="F21" s="302"/>
      <c r="G21" s="302"/>
      <c r="H21" s="302"/>
      <c r="I21" s="302"/>
      <c r="J21" s="270"/>
      <c r="K21" s="271"/>
      <c r="L21" s="271"/>
      <c r="M21" s="271"/>
      <c r="N21" s="271"/>
      <c r="O21" s="272"/>
      <c r="P21" s="270"/>
      <c r="Q21" s="271"/>
      <c r="R21" s="271"/>
      <c r="S21" s="271"/>
      <c r="T21" s="271"/>
      <c r="U21" s="272"/>
      <c r="V21" s="288"/>
      <c r="W21" s="289"/>
      <c r="X21" s="289"/>
      <c r="Y21" s="289"/>
      <c r="Z21" s="289"/>
      <c r="AA21" s="290"/>
      <c r="AB21" s="288"/>
      <c r="AC21" s="289"/>
      <c r="AD21" s="289"/>
      <c r="AE21" s="289"/>
      <c r="AF21" s="289"/>
      <c r="AG21" s="290"/>
      <c r="AH21" s="279"/>
      <c r="AI21" s="280"/>
      <c r="AJ21" s="280"/>
      <c r="AK21" s="280"/>
      <c r="AL21" s="280"/>
      <c r="AM21" s="281"/>
      <c r="AN21" s="69"/>
      <c r="AO21" s="322"/>
      <c r="AP21" s="323"/>
      <c r="AQ21" s="323"/>
      <c r="AR21" s="323"/>
      <c r="AS21" s="323"/>
      <c r="AT21" s="324"/>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c r="BY21" s="69"/>
      <c r="BZ21" s="69"/>
      <c r="CA21" s="69"/>
      <c r="CB21" s="69"/>
    </row>
    <row r="22" spans="1:80" x14ac:dyDescent="0.25">
      <c r="A22" s="69"/>
      <c r="B22" s="305"/>
      <c r="C22" s="305"/>
      <c r="D22" s="306"/>
      <c r="E22" s="295" t="s">
        <v>117</v>
      </c>
      <c r="F22" s="296"/>
      <c r="G22" s="296"/>
      <c r="H22" s="296"/>
      <c r="I22" s="297"/>
      <c r="J22" s="273" t="e">
        <f>IF(AND('Mapa final'!#REF!="Media",'Mapa final'!#REF!="Leve"),CONCATENATE("R",'Mapa final'!#REF!),"")</f>
        <v>#REF!</v>
      </c>
      <c r="K22" s="274"/>
      <c r="L22" s="274" t="e">
        <f>IF(AND('Mapa final'!#REF!="Media",'Mapa final'!#REF!="Leve"),CONCATENATE("R",'Mapa final'!#REF!),"")</f>
        <v>#REF!</v>
      </c>
      <c r="M22" s="274"/>
      <c r="N22" s="274" t="e">
        <f>IF(AND('Mapa final'!#REF!="Media",'Mapa final'!#REF!="Leve"),CONCATENATE("R",'Mapa final'!#REF!),"")</f>
        <v>#REF!</v>
      </c>
      <c r="O22" s="275"/>
      <c r="P22" s="273" t="e">
        <f>IF(AND('Mapa final'!#REF!="Media",'Mapa final'!#REF!="Menor"),CONCATENATE("R",'Mapa final'!#REF!),"")</f>
        <v>#REF!</v>
      </c>
      <c r="Q22" s="274"/>
      <c r="R22" s="274" t="e">
        <f>IF(AND('Mapa final'!#REF!="Media",'Mapa final'!#REF!="Menor"),CONCATENATE("R",'Mapa final'!#REF!),"")</f>
        <v>#REF!</v>
      </c>
      <c r="S22" s="274"/>
      <c r="T22" s="274" t="e">
        <f>IF(AND('Mapa final'!#REF!="Media",'Mapa final'!#REF!="Menor"),CONCATENATE("R",'Mapa final'!#REF!),"")</f>
        <v>#REF!</v>
      </c>
      <c r="U22" s="275"/>
      <c r="V22" s="273" t="e">
        <f>IF(AND('Mapa final'!#REF!="Media",'Mapa final'!#REF!="Moderado"),CONCATENATE("R",'Mapa final'!#REF!),"")</f>
        <v>#REF!</v>
      </c>
      <c r="W22" s="274"/>
      <c r="X22" s="274" t="e">
        <f>IF(AND('Mapa final'!#REF!="Media",'Mapa final'!#REF!="Moderado"),CONCATENATE("R",'Mapa final'!#REF!),"")</f>
        <v>#REF!</v>
      </c>
      <c r="Y22" s="274"/>
      <c r="Z22" s="274" t="e">
        <f>IF(AND('Mapa final'!#REF!="Media",'Mapa final'!#REF!="Moderado"),CONCATENATE("R",'Mapa final'!#REF!),"")</f>
        <v>#REF!</v>
      </c>
      <c r="AA22" s="275"/>
      <c r="AB22" s="291" t="e">
        <f>IF(AND('Mapa final'!#REF!="Media",'Mapa final'!#REF!="Mayor"),CONCATENATE("R",'Mapa final'!#REF!),"")</f>
        <v>#REF!</v>
      </c>
      <c r="AC22" s="292"/>
      <c r="AD22" s="292" t="e">
        <f>IF(AND('Mapa final'!#REF!="Media",'Mapa final'!#REF!="Mayor"),CONCATENATE("R",'Mapa final'!#REF!),"")</f>
        <v>#REF!</v>
      </c>
      <c r="AE22" s="292"/>
      <c r="AF22" s="292" t="e">
        <f>IF(AND('Mapa final'!#REF!="Media",'Mapa final'!#REF!="Mayor"),CONCATENATE("R",'Mapa final'!#REF!),"")</f>
        <v>#REF!</v>
      </c>
      <c r="AG22" s="293"/>
      <c r="AH22" s="282" t="e">
        <f>IF(AND('Mapa final'!#REF!="Media",'Mapa final'!#REF!="Catastrófico"),CONCATENATE("R",'Mapa final'!#REF!),"")</f>
        <v>#REF!</v>
      </c>
      <c r="AI22" s="283"/>
      <c r="AJ22" s="283" t="e">
        <f>IF(AND('Mapa final'!#REF!="Media",'Mapa final'!#REF!="Catastrófico"),CONCATENATE("R",'Mapa final'!#REF!),"")</f>
        <v>#REF!</v>
      </c>
      <c r="AK22" s="283"/>
      <c r="AL22" s="283" t="e">
        <f>IF(AND('Mapa final'!#REF!="Media",'Mapa final'!#REF!="Catastrófico"),CONCATENATE("R",'Mapa final'!#REF!),"")</f>
        <v>#REF!</v>
      </c>
      <c r="AM22" s="284"/>
      <c r="AN22" s="69"/>
      <c r="AO22" s="325" t="s">
        <v>81</v>
      </c>
      <c r="AP22" s="326"/>
      <c r="AQ22" s="326"/>
      <c r="AR22" s="326"/>
      <c r="AS22" s="326"/>
      <c r="AT22" s="327"/>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c r="BY22" s="69"/>
      <c r="BZ22" s="69"/>
      <c r="CA22" s="69"/>
      <c r="CB22" s="69"/>
    </row>
    <row r="23" spans="1:80" x14ac:dyDescent="0.25">
      <c r="A23" s="69"/>
      <c r="B23" s="305"/>
      <c r="C23" s="305"/>
      <c r="D23" s="306"/>
      <c r="E23" s="298"/>
      <c r="F23" s="299"/>
      <c r="G23" s="299"/>
      <c r="H23" s="299"/>
      <c r="I23" s="300"/>
      <c r="J23" s="267"/>
      <c r="K23" s="268"/>
      <c r="L23" s="268"/>
      <c r="M23" s="268"/>
      <c r="N23" s="268"/>
      <c r="O23" s="269"/>
      <c r="P23" s="267"/>
      <c r="Q23" s="268"/>
      <c r="R23" s="268"/>
      <c r="S23" s="268"/>
      <c r="T23" s="268"/>
      <c r="U23" s="269"/>
      <c r="V23" s="267"/>
      <c r="W23" s="268"/>
      <c r="X23" s="268"/>
      <c r="Y23" s="268"/>
      <c r="Z23" s="268"/>
      <c r="AA23" s="269"/>
      <c r="AB23" s="285"/>
      <c r="AC23" s="286"/>
      <c r="AD23" s="286"/>
      <c r="AE23" s="286"/>
      <c r="AF23" s="286"/>
      <c r="AG23" s="287"/>
      <c r="AH23" s="276"/>
      <c r="AI23" s="277"/>
      <c r="AJ23" s="277"/>
      <c r="AK23" s="277"/>
      <c r="AL23" s="277"/>
      <c r="AM23" s="278"/>
      <c r="AN23" s="69"/>
      <c r="AO23" s="328"/>
      <c r="AP23" s="329"/>
      <c r="AQ23" s="329"/>
      <c r="AR23" s="329"/>
      <c r="AS23" s="329"/>
      <c r="AT23" s="330"/>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c r="BY23" s="69"/>
      <c r="BZ23" s="69"/>
      <c r="CA23" s="69"/>
      <c r="CB23" s="69"/>
    </row>
    <row r="24" spans="1:80" x14ac:dyDescent="0.25">
      <c r="A24" s="69"/>
      <c r="B24" s="305"/>
      <c r="C24" s="305"/>
      <c r="D24" s="306"/>
      <c r="E24" s="298"/>
      <c r="F24" s="299"/>
      <c r="G24" s="299"/>
      <c r="H24" s="299"/>
      <c r="I24" s="300"/>
      <c r="J24" s="267" t="e">
        <f>IF(AND('Mapa final'!$H$13="Media",'Mapa final'!$L$13="Leve"),CONCATENATE("R",'Mapa final'!$A$13),"")</f>
        <v>#REF!</v>
      </c>
      <c r="K24" s="268"/>
      <c r="L24" s="268" t="e">
        <f>IF(AND('Mapa final'!#REF!="Media",'Mapa final'!#REF!="Leve"),CONCATENATE("R",'Mapa final'!#REF!),"")</f>
        <v>#REF!</v>
      </c>
      <c r="M24" s="268"/>
      <c r="N24" s="268" t="e">
        <f>IF(AND('Mapa final'!#REF!="Media",'Mapa final'!#REF!="Leve"),CONCATENATE("R",'Mapa final'!#REF!),"")</f>
        <v>#REF!</v>
      </c>
      <c r="O24" s="269"/>
      <c r="P24" s="267" t="e">
        <f>IF(AND('Mapa final'!$H$13="Media",'Mapa final'!$L$13="Menor"),CONCATENATE("R",'Mapa final'!$A$13),"")</f>
        <v>#REF!</v>
      </c>
      <c r="Q24" s="268"/>
      <c r="R24" s="268" t="e">
        <f>IF(AND('Mapa final'!#REF!="Media",'Mapa final'!#REF!="Menor"),CONCATENATE("R",'Mapa final'!#REF!),"")</f>
        <v>#REF!</v>
      </c>
      <c r="S24" s="268"/>
      <c r="T24" s="268" t="e">
        <f>IF(AND('Mapa final'!#REF!="Media",'Mapa final'!#REF!="Menor"),CONCATENATE("R",'Mapa final'!#REF!),"")</f>
        <v>#REF!</v>
      </c>
      <c r="U24" s="269"/>
      <c r="V24" s="267" t="e">
        <f>IF(AND('Mapa final'!$H$13="Media",'Mapa final'!$L$13="Moderado"),CONCATENATE("R",'Mapa final'!$A$13),"")</f>
        <v>#REF!</v>
      </c>
      <c r="W24" s="268"/>
      <c r="X24" s="268" t="e">
        <f>IF(AND('Mapa final'!#REF!="Media",'Mapa final'!#REF!="Moderado"),CONCATENATE("R",'Mapa final'!#REF!),"")</f>
        <v>#REF!</v>
      </c>
      <c r="Y24" s="268"/>
      <c r="Z24" s="268" t="e">
        <f>IF(AND('Mapa final'!#REF!="Media",'Mapa final'!#REF!="Moderado"),CONCATENATE("R",'Mapa final'!#REF!),"")</f>
        <v>#REF!</v>
      </c>
      <c r="AA24" s="269"/>
      <c r="AB24" s="285" t="e">
        <f>IF(AND('Mapa final'!$H$13="Media",'Mapa final'!$L$13="Mayor"),CONCATENATE("R",'Mapa final'!$A$13),"")</f>
        <v>#REF!</v>
      </c>
      <c r="AC24" s="286"/>
      <c r="AD24" s="286" t="e">
        <f>IF(AND('Mapa final'!#REF!="Media",'Mapa final'!#REF!="Mayor"),CONCATENATE("R",'Mapa final'!#REF!),"")</f>
        <v>#REF!</v>
      </c>
      <c r="AE24" s="286"/>
      <c r="AF24" s="286" t="e">
        <f>IF(AND('Mapa final'!#REF!="Media",'Mapa final'!#REF!="Mayor"),CONCATENATE("R",'Mapa final'!#REF!),"")</f>
        <v>#REF!</v>
      </c>
      <c r="AG24" s="287"/>
      <c r="AH24" s="276" t="e">
        <f>IF(AND('Mapa final'!$H$13="Media",'Mapa final'!$L$13="Catastrófico"),CONCATENATE("R",'Mapa final'!$A$13),"")</f>
        <v>#REF!</v>
      </c>
      <c r="AI24" s="277"/>
      <c r="AJ24" s="277" t="e">
        <f>IF(AND('Mapa final'!#REF!="Media",'Mapa final'!#REF!="Catastrófico"),CONCATENATE("R",'Mapa final'!#REF!),"")</f>
        <v>#REF!</v>
      </c>
      <c r="AK24" s="277"/>
      <c r="AL24" s="277" t="e">
        <f>IF(AND('Mapa final'!#REF!="Media",'Mapa final'!#REF!="Catastrófico"),CONCATENATE("R",'Mapa final'!#REF!),"")</f>
        <v>#REF!</v>
      </c>
      <c r="AM24" s="278"/>
      <c r="AN24" s="69"/>
      <c r="AO24" s="328"/>
      <c r="AP24" s="329"/>
      <c r="AQ24" s="329"/>
      <c r="AR24" s="329"/>
      <c r="AS24" s="329"/>
      <c r="AT24" s="330"/>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c r="BY24" s="69"/>
      <c r="BZ24" s="69"/>
      <c r="CA24" s="69"/>
      <c r="CB24" s="69"/>
    </row>
    <row r="25" spans="1:80" x14ac:dyDescent="0.25">
      <c r="A25" s="69"/>
      <c r="B25" s="305"/>
      <c r="C25" s="305"/>
      <c r="D25" s="306"/>
      <c r="E25" s="298"/>
      <c r="F25" s="299"/>
      <c r="G25" s="299"/>
      <c r="H25" s="299"/>
      <c r="I25" s="300"/>
      <c r="J25" s="267"/>
      <c r="K25" s="268"/>
      <c r="L25" s="268"/>
      <c r="M25" s="268"/>
      <c r="N25" s="268"/>
      <c r="O25" s="269"/>
      <c r="P25" s="267"/>
      <c r="Q25" s="268"/>
      <c r="R25" s="268"/>
      <c r="S25" s="268"/>
      <c r="T25" s="268"/>
      <c r="U25" s="269"/>
      <c r="V25" s="267"/>
      <c r="W25" s="268"/>
      <c r="X25" s="268"/>
      <c r="Y25" s="268"/>
      <c r="Z25" s="268"/>
      <c r="AA25" s="269"/>
      <c r="AB25" s="285"/>
      <c r="AC25" s="286"/>
      <c r="AD25" s="286"/>
      <c r="AE25" s="286"/>
      <c r="AF25" s="286"/>
      <c r="AG25" s="287"/>
      <c r="AH25" s="276"/>
      <c r="AI25" s="277"/>
      <c r="AJ25" s="277"/>
      <c r="AK25" s="277"/>
      <c r="AL25" s="277"/>
      <c r="AM25" s="278"/>
      <c r="AN25" s="69"/>
      <c r="AO25" s="328"/>
      <c r="AP25" s="329"/>
      <c r="AQ25" s="329"/>
      <c r="AR25" s="329"/>
      <c r="AS25" s="329"/>
      <c r="AT25" s="330"/>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c r="BY25" s="69"/>
      <c r="BZ25" s="69"/>
      <c r="CA25" s="69"/>
      <c r="CB25" s="69"/>
    </row>
    <row r="26" spans="1:80" x14ac:dyDescent="0.25">
      <c r="A26" s="69"/>
      <c r="B26" s="305"/>
      <c r="C26" s="305"/>
      <c r="D26" s="306"/>
      <c r="E26" s="298"/>
      <c r="F26" s="299"/>
      <c r="G26" s="299"/>
      <c r="H26" s="299"/>
      <c r="I26" s="300"/>
      <c r="J26" s="267" t="e">
        <f>IF(AND('Mapa final'!#REF!="Media",'Mapa final'!#REF!="Leve"),CONCATENATE("R",'Mapa final'!#REF!),"")</f>
        <v>#REF!</v>
      </c>
      <c r="K26" s="268"/>
      <c r="L26" s="268" t="e">
        <f>IF(AND('Mapa final'!#REF!="Media",'Mapa final'!#REF!="Leve"),CONCATENATE("R",'Mapa final'!#REF!),"")</f>
        <v>#REF!</v>
      </c>
      <c r="M26" s="268"/>
      <c r="N26" s="268" t="e">
        <f>IF(AND('Mapa final'!#REF!="Media",'Mapa final'!#REF!="Leve"),CONCATENATE("R",'Mapa final'!#REF!),"")</f>
        <v>#REF!</v>
      </c>
      <c r="O26" s="269"/>
      <c r="P26" s="267" t="e">
        <f>IF(AND('Mapa final'!#REF!="Media",'Mapa final'!#REF!="Menor"),CONCATENATE("R",'Mapa final'!#REF!),"")</f>
        <v>#REF!</v>
      </c>
      <c r="Q26" s="268"/>
      <c r="R26" s="268" t="e">
        <f>IF(AND('Mapa final'!#REF!="Media",'Mapa final'!#REF!="Menor"),CONCATENATE("R",'Mapa final'!#REF!),"")</f>
        <v>#REF!</v>
      </c>
      <c r="S26" s="268"/>
      <c r="T26" s="268" t="e">
        <f>IF(AND('Mapa final'!#REF!="Media",'Mapa final'!#REF!="Menor"),CONCATENATE("R",'Mapa final'!#REF!),"")</f>
        <v>#REF!</v>
      </c>
      <c r="U26" s="269"/>
      <c r="V26" s="267" t="e">
        <f>IF(AND('Mapa final'!#REF!="Media",'Mapa final'!#REF!="Moderado"),CONCATENATE("R",'Mapa final'!#REF!),"")</f>
        <v>#REF!</v>
      </c>
      <c r="W26" s="268"/>
      <c r="X26" s="268" t="e">
        <f>IF(AND('Mapa final'!#REF!="Media",'Mapa final'!#REF!="Moderado"),CONCATENATE("R",'Mapa final'!#REF!),"")</f>
        <v>#REF!</v>
      </c>
      <c r="Y26" s="268"/>
      <c r="Z26" s="268" t="e">
        <f>IF(AND('Mapa final'!#REF!="Media",'Mapa final'!#REF!="Moderado"),CONCATENATE("R",'Mapa final'!#REF!),"")</f>
        <v>#REF!</v>
      </c>
      <c r="AA26" s="269"/>
      <c r="AB26" s="285" t="e">
        <f>IF(AND('Mapa final'!#REF!="Media",'Mapa final'!#REF!="Mayor"),CONCATENATE("R",'Mapa final'!#REF!),"")</f>
        <v>#REF!</v>
      </c>
      <c r="AC26" s="286"/>
      <c r="AD26" s="286" t="e">
        <f>IF(AND('Mapa final'!#REF!="Media",'Mapa final'!#REF!="Mayor"),CONCATENATE("R",'Mapa final'!#REF!),"")</f>
        <v>#REF!</v>
      </c>
      <c r="AE26" s="286"/>
      <c r="AF26" s="286" t="e">
        <f>IF(AND('Mapa final'!#REF!="Media",'Mapa final'!#REF!="Mayor"),CONCATENATE("R",'Mapa final'!#REF!),"")</f>
        <v>#REF!</v>
      </c>
      <c r="AG26" s="287"/>
      <c r="AH26" s="276" t="e">
        <f>IF(AND('Mapa final'!#REF!="Media",'Mapa final'!#REF!="Catastrófico"),CONCATENATE("R",'Mapa final'!#REF!),"")</f>
        <v>#REF!</v>
      </c>
      <c r="AI26" s="277"/>
      <c r="AJ26" s="277" t="e">
        <f>IF(AND('Mapa final'!#REF!="Media",'Mapa final'!#REF!="Catastrófico"),CONCATENATE("R",'Mapa final'!#REF!),"")</f>
        <v>#REF!</v>
      </c>
      <c r="AK26" s="277"/>
      <c r="AL26" s="277" t="e">
        <f>IF(AND('Mapa final'!#REF!="Media",'Mapa final'!#REF!="Catastrófico"),CONCATENATE("R",'Mapa final'!#REF!),"")</f>
        <v>#REF!</v>
      </c>
      <c r="AM26" s="278"/>
      <c r="AN26" s="69"/>
      <c r="AO26" s="328"/>
      <c r="AP26" s="329"/>
      <c r="AQ26" s="329"/>
      <c r="AR26" s="329"/>
      <c r="AS26" s="329"/>
      <c r="AT26" s="330"/>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c r="BY26" s="69"/>
      <c r="BZ26" s="69"/>
      <c r="CA26" s="69"/>
      <c r="CB26" s="69"/>
    </row>
    <row r="27" spans="1:80" x14ac:dyDescent="0.25">
      <c r="A27" s="69"/>
      <c r="B27" s="305"/>
      <c r="C27" s="305"/>
      <c r="D27" s="306"/>
      <c r="E27" s="298"/>
      <c r="F27" s="299"/>
      <c r="G27" s="299"/>
      <c r="H27" s="299"/>
      <c r="I27" s="300"/>
      <c r="J27" s="267"/>
      <c r="K27" s="268"/>
      <c r="L27" s="268"/>
      <c r="M27" s="268"/>
      <c r="N27" s="268"/>
      <c r="O27" s="269"/>
      <c r="P27" s="267"/>
      <c r="Q27" s="268"/>
      <c r="R27" s="268"/>
      <c r="S27" s="268"/>
      <c r="T27" s="268"/>
      <c r="U27" s="269"/>
      <c r="V27" s="267"/>
      <c r="W27" s="268"/>
      <c r="X27" s="268"/>
      <c r="Y27" s="268"/>
      <c r="Z27" s="268"/>
      <c r="AA27" s="269"/>
      <c r="AB27" s="285"/>
      <c r="AC27" s="286"/>
      <c r="AD27" s="286"/>
      <c r="AE27" s="286"/>
      <c r="AF27" s="286"/>
      <c r="AG27" s="287"/>
      <c r="AH27" s="276"/>
      <c r="AI27" s="277"/>
      <c r="AJ27" s="277"/>
      <c r="AK27" s="277"/>
      <c r="AL27" s="277"/>
      <c r="AM27" s="278"/>
      <c r="AN27" s="69"/>
      <c r="AO27" s="328"/>
      <c r="AP27" s="329"/>
      <c r="AQ27" s="329"/>
      <c r="AR27" s="329"/>
      <c r="AS27" s="329"/>
      <c r="AT27" s="330"/>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c r="BY27" s="69"/>
      <c r="BZ27" s="69"/>
      <c r="CA27" s="69"/>
      <c r="CB27" s="69"/>
    </row>
    <row r="28" spans="1:80" x14ac:dyDescent="0.25">
      <c r="A28" s="69"/>
      <c r="B28" s="305"/>
      <c r="C28" s="305"/>
      <c r="D28" s="306"/>
      <c r="E28" s="298"/>
      <c r="F28" s="299"/>
      <c r="G28" s="299"/>
      <c r="H28" s="299"/>
      <c r="I28" s="300"/>
      <c r="J28" s="267" t="e">
        <f>IF(AND('Mapa final'!#REF!="Media",'Mapa final'!#REF!="Leve"),CONCATENATE("R",'Mapa final'!#REF!),"")</f>
        <v>#REF!</v>
      </c>
      <c r="K28" s="268"/>
      <c r="L28" s="268" t="str">
        <f>IF(AND('Mapa final'!$H$19="Media",'Mapa final'!$L$19="Leve"),CONCATENATE("R",'Mapa final'!$A$19),"")</f>
        <v/>
      </c>
      <c r="M28" s="268"/>
      <c r="N28" s="268" t="str">
        <f>IF(AND('Mapa final'!$H$25="Media",'Mapa final'!$L$25="Leve"),CONCATENATE("R",'Mapa final'!$A$25),"")</f>
        <v/>
      </c>
      <c r="O28" s="269"/>
      <c r="P28" s="267" t="e">
        <f>IF(AND('Mapa final'!#REF!="Media",'Mapa final'!#REF!="Menor"),CONCATENATE("R",'Mapa final'!#REF!),"")</f>
        <v>#REF!</v>
      </c>
      <c r="Q28" s="268"/>
      <c r="R28" s="268" t="str">
        <f>IF(AND('Mapa final'!$H$19="Media",'Mapa final'!$L$19="Menor"),CONCATENATE("R",'Mapa final'!$A$19),"")</f>
        <v/>
      </c>
      <c r="S28" s="268"/>
      <c r="T28" s="268" t="str">
        <f>IF(AND('Mapa final'!$H$25="Media",'Mapa final'!$L$25="Menor"),CONCATENATE("R",'Mapa final'!$A$25),"")</f>
        <v/>
      </c>
      <c r="U28" s="269"/>
      <c r="V28" s="267" t="e">
        <f>IF(AND('Mapa final'!#REF!="Media",'Mapa final'!#REF!="Moderado"),CONCATENATE("R",'Mapa final'!#REF!),"")</f>
        <v>#REF!</v>
      </c>
      <c r="W28" s="268"/>
      <c r="X28" s="268" t="str">
        <f>IF(AND('Mapa final'!$H$19="Media",'Mapa final'!$L$19="Moderado"),CONCATENATE("R",'Mapa final'!$A$19),"")</f>
        <v/>
      </c>
      <c r="Y28" s="268"/>
      <c r="Z28" s="268" t="str">
        <f>IF(AND('Mapa final'!$H$25="Media",'Mapa final'!$L$25="Moderado"),CONCATENATE("R",'Mapa final'!$A$25),"")</f>
        <v/>
      </c>
      <c r="AA28" s="269"/>
      <c r="AB28" s="285" t="e">
        <f>IF(AND('Mapa final'!#REF!="Media",'Mapa final'!#REF!="Mayor"),CONCATENATE("R",'Mapa final'!#REF!),"")</f>
        <v>#REF!</v>
      </c>
      <c r="AC28" s="286"/>
      <c r="AD28" s="286" t="str">
        <f>IF(AND('Mapa final'!$H$19="Media",'Mapa final'!$L$19="Mayor"),CONCATENATE("R",'Mapa final'!$A$19),"")</f>
        <v/>
      </c>
      <c r="AE28" s="286"/>
      <c r="AF28" s="286" t="str">
        <f>IF(AND('Mapa final'!$H$25="Media",'Mapa final'!$L$25="Mayor"),CONCATENATE("R",'Mapa final'!$A$25),"")</f>
        <v/>
      </c>
      <c r="AG28" s="287"/>
      <c r="AH28" s="276" t="e">
        <f>IF(AND('Mapa final'!#REF!="Media",'Mapa final'!#REF!="Catastrófico"),CONCATENATE("R",'Mapa final'!#REF!),"")</f>
        <v>#REF!</v>
      </c>
      <c r="AI28" s="277"/>
      <c r="AJ28" s="277" t="str">
        <f>IF(AND('Mapa final'!$H$19="Media",'Mapa final'!$L$19="Catastrófico"),CONCATENATE("R",'Mapa final'!$A$19),"")</f>
        <v/>
      </c>
      <c r="AK28" s="277"/>
      <c r="AL28" s="277" t="str">
        <f>IF(AND('Mapa final'!$H$25="Media",'Mapa final'!$L$25="Catastrófico"),CONCATENATE("R",'Mapa final'!$A$25),"")</f>
        <v/>
      </c>
      <c r="AM28" s="278"/>
      <c r="AN28" s="69"/>
      <c r="AO28" s="328"/>
      <c r="AP28" s="329"/>
      <c r="AQ28" s="329"/>
      <c r="AR28" s="329"/>
      <c r="AS28" s="329"/>
      <c r="AT28" s="330"/>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c r="BY28" s="69"/>
      <c r="BZ28" s="69"/>
      <c r="CA28" s="69"/>
      <c r="CB28" s="69"/>
    </row>
    <row r="29" spans="1:80" ht="15.75" thickBot="1" x14ac:dyDescent="0.3">
      <c r="A29" s="69"/>
      <c r="B29" s="305"/>
      <c r="C29" s="305"/>
      <c r="D29" s="306"/>
      <c r="E29" s="301"/>
      <c r="F29" s="302"/>
      <c r="G29" s="302"/>
      <c r="H29" s="302"/>
      <c r="I29" s="303"/>
      <c r="J29" s="267"/>
      <c r="K29" s="268"/>
      <c r="L29" s="268"/>
      <c r="M29" s="268"/>
      <c r="N29" s="268"/>
      <c r="O29" s="269"/>
      <c r="P29" s="270"/>
      <c r="Q29" s="271"/>
      <c r="R29" s="271"/>
      <c r="S29" s="271"/>
      <c r="T29" s="271"/>
      <c r="U29" s="272"/>
      <c r="V29" s="270"/>
      <c r="W29" s="271"/>
      <c r="X29" s="271"/>
      <c r="Y29" s="271"/>
      <c r="Z29" s="271"/>
      <c r="AA29" s="272"/>
      <c r="AB29" s="288"/>
      <c r="AC29" s="289"/>
      <c r="AD29" s="289"/>
      <c r="AE29" s="289"/>
      <c r="AF29" s="289"/>
      <c r="AG29" s="290"/>
      <c r="AH29" s="279"/>
      <c r="AI29" s="280"/>
      <c r="AJ29" s="280"/>
      <c r="AK29" s="280"/>
      <c r="AL29" s="280"/>
      <c r="AM29" s="281"/>
      <c r="AN29" s="69"/>
      <c r="AO29" s="331"/>
      <c r="AP29" s="332"/>
      <c r="AQ29" s="332"/>
      <c r="AR29" s="332"/>
      <c r="AS29" s="332"/>
      <c r="AT29" s="333"/>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row>
    <row r="30" spans="1:80" x14ac:dyDescent="0.25">
      <c r="A30" s="69"/>
      <c r="B30" s="305"/>
      <c r="C30" s="305"/>
      <c r="D30" s="306"/>
      <c r="E30" s="295" t="s">
        <v>114</v>
      </c>
      <c r="F30" s="296"/>
      <c r="G30" s="296"/>
      <c r="H30" s="296"/>
      <c r="I30" s="296"/>
      <c r="J30" s="264" t="e">
        <f>IF(AND('Mapa final'!#REF!="Baja",'Mapa final'!#REF!="Leve"),CONCATENATE("R",'Mapa final'!#REF!),"")</f>
        <v>#REF!</v>
      </c>
      <c r="K30" s="265"/>
      <c r="L30" s="265" t="e">
        <f>IF(AND('Mapa final'!#REF!="Baja",'Mapa final'!#REF!="Leve"),CONCATENATE("R",'Mapa final'!#REF!),"")</f>
        <v>#REF!</v>
      </c>
      <c r="M30" s="265"/>
      <c r="N30" s="265" t="e">
        <f>IF(AND('Mapa final'!#REF!="Baja",'Mapa final'!#REF!="Leve"),CONCATENATE("R",'Mapa final'!#REF!),"")</f>
        <v>#REF!</v>
      </c>
      <c r="O30" s="266"/>
      <c r="P30" s="274" t="e">
        <f>IF(AND('Mapa final'!#REF!="Baja",'Mapa final'!#REF!="Menor"),CONCATENATE("R",'Mapa final'!#REF!),"")</f>
        <v>#REF!</v>
      </c>
      <c r="Q30" s="274"/>
      <c r="R30" s="274" t="e">
        <f>IF(AND('Mapa final'!#REF!="Baja",'Mapa final'!#REF!="Menor"),CONCATENATE("R",'Mapa final'!#REF!),"")</f>
        <v>#REF!</v>
      </c>
      <c r="S30" s="274"/>
      <c r="T30" s="274" t="e">
        <f>IF(AND('Mapa final'!#REF!="Baja",'Mapa final'!#REF!="Menor"),CONCATENATE("R",'Mapa final'!#REF!),"")</f>
        <v>#REF!</v>
      </c>
      <c r="U30" s="275"/>
      <c r="V30" s="273" t="e">
        <f>IF(AND('Mapa final'!#REF!="Baja",'Mapa final'!#REF!="Moderado"),CONCATENATE("R",'Mapa final'!#REF!),"")</f>
        <v>#REF!</v>
      </c>
      <c r="W30" s="274"/>
      <c r="X30" s="274" t="e">
        <f>IF(AND('Mapa final'!#REF!="Baja",'Mapa final'!#REF!="Moderado"),CONCATENATE("R",'Mapa final'!#REF!),"")</f>
        <v>#REF!</v>
      </c>
      <c r="Y30" s="274"/>
      <c r="Z30" s="274" t="e">
        <f>IF(AND('Mapa final'!#REF!="Baja",'Mapa final'!#REF!="Moderado"),CONCATENATE("R",'Mapa final'!#REF!),"")</f>
        <v>#REF!</v>
      </c>
      <c r="AA30" s="275"/>
      <c r="AB30" s="291" t="e">
        <f>IF(AND('Mapa final'!#REF!="Baja",'Mapa final'!#REF!="Mayor"),CONCATENATE("R",'Mapa final'!#REF!),"")</f>
        <v>#REF!</v>
      </c>
      <c r="AC30" s="292"/>
      <c r="AD30" s="292" t="e">
        <f>IF(AND('Mapa final'!#REF!="Baja",'Mapa final'!#REF!="Mayor"),CONCATENATE("R",'Mapa final'!#REF!),"")</f>
        <v>#REF!</v>
      </c>
      <c r="AE30" s="292"/>
      <c r="AF30" s="292" t="e">
        <f>IF(AND('Mapa final'!#REF!="Baja",'Mapa final'!#REF!="Mayor"),CONCATENATE("R",'Mapa final'!#REF!),"")</f>
        <v>#REF!</v>
      </c>
      <c r="AG30" s="293"/>
      <c r="AH30" s="282" t="e">
        <f>IF(AND('Mapa final'!#REF!="Baja",'Mapa final'!#REF!="Catastrófico"),CONCATENATE("R",'Mapa final'!#REF!),"")</f>
        <v>#REF!</v>
      </c>
      <c r="AI30" s="283"/>
      <c r="AJ30" s="283" t="e">
        <f>IF(AND('Mapa final'!#REF!="Baja",'Mapa final'!#REF!="Catastrófico"),CONCATENATE("R",'Mapa final'!#REF!),"")</f>
        <v>#REF!</v>
      </c>
      <c r="AK30" s="283"/>
      <c r="AL30" s="283" t="e">
        <f>IF(AND('Mapa final'!#REF!="Baja",'Mapa final'!#REF!="Catastrófico"),CONCATENATE("R",'Mapa final'!#REF!),"")</f>
        <v>#REF!</v>
      </c>
      <c r="AM30" s="284"/>
      <c r="AN30" s="69"/>
      <c r="AO30" s="334" t="s">
        <v>82</v>
      </c>
      <c r="AP30" s="335"/>
      <c r="AQ30" s="335"/>
      <c r="AR30" s="335"/>
      <c r="AS30" s="335"/>
      <c r="AT30" s="336"/>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c r="BY30" s="69"/>
      <c r="BZ30" s="69"/>
      <c r="CA30" s="69"/>
      <c r="CB30" s="69"/>
    </row>
    <row r="31" spans="1:80" x14ac:dyDescent="0.25">
      <c r="A31" s="69"/>
      <c r="B31" s="305"/>
      <c r="C31" s="305"/>
      <c r="D31" s="306"/>
      <c r="E31" s="298"/>
      <c r="F31" s="299"/>
      <c r="G31" s="299"/>
      <c r="H31" s="299"/>
      <c r="I31" s="299"/>
      <c r="J31" s="258"/>
      <c r="K31" s="259"/>
      <c r="L31" s="259"/>
      <c r="M31" s="259"/>
      <c r="N31" s="259"/>
      <c r="O31" s="260"/>
      <c r="P31" s="268"/>
      <c r="Q31" s="268"/>
      <c r="R31" s="268"/>
      <c r="S31" s="268"/>
      <c r="T31" s="268"/>
      <c r="U31" s="269"/>
      <c r="V31" s="267"/>
      <c r="W31" s="268"/>
      <c r="X31" s="268"/>
      <c r="Y31" s="268"/>
      <c r="Z31" s="268"/>
      <c r="AA31" s="269"/>
      <c r="AB31" s="285"/>
      <c r="AC31" s="286"/>
      <c r="AD31" s="286"/>
      <c r="AE31" s="286"/>
      <c r="AF31" s="286"/>
      <c r="AG31" s="287"/>
      <c r="AH31" s="276"/>
      <c r="AI31" s="277"/>
      <c r="AJ31" s="277"/>
      <c r="AK31" s="277"/>
      <c r="AL31" s="277"/>
      <c r="AM31" s="278"/>
      <c r="AN31" s="69"/>
      <c r="AO31" s="337"/>
      <c r="AP31" s="338"/>
      <c r="AQ31" s="338"/>
      <c r="AR31" s="338"/>
      <c r="AS31" s="338"/>
      <c r="AT31" s="339"/>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c r="BY31" s="69"/>
      <c r="BZ31" s="69"/>
      <c r="CA31" s="69"/>
      <c r="CB31" s="69"/>
    </row>
    <row r="32" spans="1:80" x14ac:dyDescent="0.25">
      <c r="A32" s="69"/>
      <c r="B32" s="305"/>
      <c r="C32" s="305"/>
      <c r="D32" s="306"/>
      <c r="E32" s="298"/>
      <c r="F32" s="299"/>
      <c r="G32" s="299"/>
      <c r="H32" s="299"/>
      <c r="I32" s="299"/>
      <c r="J32" s="258" t="e">
        <f>IF(AND('Mapa final'!$H$13="Baja",'Mapa final'!$L$13="Leve"),CONCATENATE("R",'Mapa final'!$A$13),"")</f>
        <v>#REF!</v>
      </c>
      <c r="K32" s="259"/>
      <c r="L32" s="259" t="e">
        <f>IF(AND('Mapa final'!#REF!="Baja",'Mapa final'!#REF!="Leve"),CONCATENATE("R",'Mapa final'!#REF!),"")</f>
        <v>#REF!</v>
      </c>
      <c r="M32" s="259"/>
      <c r="N32" s="259" t="e">
        <f>IF(AND('Mapa final'!#REF!="Baja",'Mapa final'!#REF!="Leve"),CONCATENATE("R",'Mapa final'!#REF!),"")</f>
        <v>#REF!</v>
      </c>
      <c r="O32" s="260"/>
      <c r="P32" s="268" t="e">
        <f>IF(AND('Mapa final'!$H$13="Baja",'Mapa final'!$L$13="Menor"),CONCATENATE("R",'Mapa final'!$A$13),"")</f>
        <v>#REF!</v>
      </c>
      <c r="Q32" s="268"/>
      <c r="R32" s="268" t="e">
        <f>IF(AND('Mapa final'!#REF!="Baja",'Mapa final'!#REF!="Menor"),CONCATENATE("R",'Mapa final'!#REF!),"")</f>
        <v>#REF!</v>
      </c>
      <c r="S32" s="268"/>
      <c r="T32" s="268" t="e">
        <f>IF(AND('Mapa final'!#REF!="Baja",'Mapa final'!#REF!="Menor"),CONCATENATE("R",'Mapa final'!#REF!),"")</f>
        <v>#REF!</v>
      </c>
      <c r="U32" s="269"/>
      <c r="V32" s="267" t="e">
        <f>IF(AND('Mapa final'!$H$13="Baja",'Mapa final'!$L$13="Moderado"),CONCATENATE("R",'Mapa final'!$A$13),"")</f>
        <v>#REF!</v>
      </c>
      <c r="W32" s="268"/>
      <c r="X32" s="268" t="e">
        <f>IF(AND('Mapa final'!#REF!="Baja",'Mapa final'!#REF!="Moderado"),CONCATENATE("R",'Mapa final'!#REF!),"")</f>
        <v>#REF!</v>
      </c>
      <c r="Y32" s="268"/>
      <c r="Z32" s="268" t="e">
        <f>IF(AND('Mapa final'!#REF!="Baja",'Mapa final'!#REF!="Moderado"),CONCATENATE("R",'Mapa final'!#REF!),"")</f>
        <v>#REF!</v>
      </c>
      <c r="AA32" s="269"/>
      <c r="AB32" s="285" t="e">
        <f>IF(AND('Mapa final'!$H$13="Baja",'Mapa final'!$L$13="Mayor"),CONCATENATE("R",'Mapa final'!$A$13),"")</f>
        <v>#REF!</v>
      </c>
      <c r="AC32" s="286"/>
      <c r="AD32" s="286" t="e">
        <f>IF(AND('Mapa final'!#REF!="Baja",'Mapa final'!#REF!="Mayor"),CONCATENATE("R",'Mapa final'!#REF!),"")</f>
        <v>#REF!</v>
      </c>
      <c r="AE32" s="286"/>
      <c r="AF32" s="286" t="e">
        <f>IF(AND('Mapa final'!#REF!="Baja",'Mapa final'!#REF!="Mayor"),CONCATENATE("R",'Mapa final'!#REF!),"")</f>
        <v>#REF!</v>
      </c>
      <c r="AG32" s="287"/>
      <c r="AH32" s="276" t="e">
        <f>IF(AND('Mapa final'!$H$13="Baja",'Mapa final'!$L$13="Catastrófico"),CONCATENATE("R",'Mapa final'!$A$13),"")</f>
        <v>#REF!</v>
      </c>
      <c r="AI32" s="277"/>
      <c r="AJ32" s="277" t="e">
        <f>IF(AND('Mapa final'!#REF!="Baja",'Mapa final'!#REF!="Catastrófico"),CONCATENATE("R",'Mapa final'!#REF!),"")</f>
        <v>#REF!</v>
      </c>
      <c r="AK32" s="277"/>
      <c r="AL32" s="277" t="e">
        <f>IF(AND('Mapa final'!#REF!="Baja",'Mapa final'!#REF!="Catastrófico"),CONCATENATE("R",'Mapa final'!#REF!),"")</f>
        <v>#REF!</v>
      </c>
      <c r="AM32" s="278"/>
      <c r="AN32" s="69"/>
      <c r="AO32" s="337"/>
      <c r="AP32" s="338"/>
      <c r="AQ32" s="338"/>
      <c r="AR32" s="338"/>
      <c r="AS32" s="338"/>
      <c r="AT32" s="339"/>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c r="BY32" s="69"/>
      <c r="BZ32" s="69"/>
      <c r="CA32" s="69"/>
      <c r="CB32" s="69"/>
    </row>
    <row r="33" spans="1:80" x14ac:dyDescent="0.25">
      <c r="A33" s="69"/>
      <c r="B33" s="305"/>
      <c r="C33" s="305"/>
      <c r="D33" s="306"/>
      <c r="E33" s="298"/>
      <c r="F33" s="299"/>
      <c r="G33" s="299"/>
      <c r="H33" s="299"/>
      <c r="I33" s="299"/>
      <c r="J33" s="258"/>
      <c r="K33" s="259"/>
      <c r="L33" s="259"/>
      <c r="M33" s="259"/>
      <c r="N33" s="259"/>
      <c r="O33" s="260"/>
      <c r="P33" s="268"/>
      <c r="Q33" s="268"/>
      <c r="R33" s="268"/>
      <c r="S33" s="268"/>
      <c r="T33" s="268"/>
      <c r="U33" s="269"/>
      <c r="V33" s="267"/>
      <c r="W33" s="268"/>
      <c r="X33" s="268"/>
      <c r="Y33" s="268"/>
      <c r="Z33" s="268"/>
      <c r="AA33" s="269"/>
      <c r="AB33" s="285"/>
      <c r="AC33" s="286"/>
      <c r="AD33" s="286"/>
      <c r="AE33" s="286"/>
      <c r="AF33" s="286"/>
      <c r="AG33" s="287"/>
      <c r="AH33" s="276"/>
      <c r="AI33" s="277"/>
      <c r="AJ33" s="277"/>
      <c r="AK33" s="277"/>
      <c r="AL33" s="277"/>
      <c r="AM33" s="278"/>
      <c r="AN33" s="69"/>
      <c r="AO33" s="337"/>
      <c r="AP33" s="338"/>
      <c r="AQ33" s="338"/>
      <c r="AR33" s="338"/>
      <c r="AS33" s="338"/>
      <c r="AT33" s="339"/>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9"/>
      <c r="CA33" s="69"/>
      <c r="CB33" s="69"/>
    </row>
    <row r="34" spans="1:80" x14ac:dyDescent="0.25">
      <c r="A34" s="69"/>
      <c r="B34" s="305"/>
      <c r="C34" s="305"/>
      <c r="D34" s="306"/>
      <c r="E34" s="298"/>
      <c r="F34" s="299"/>
      <c r="G34" s="299"/>
      <c r="H34" s="299"/>
      <c r="I34" s="299"/>
      <c r="J34" s="258" t="e">
        <f>IF(AND('Mapa final'!#REF!="Baja",'Mapa final'!#REF!="Leve"),CONCATENATE("R",'Mapa final'!#REF!),"")</f>
        <v>#REF!</v>
      </c>
      <c r="K34" s="259"/>
      <c r="L34" s="259" t="e">
        <f>IF(AND('Mapa final'!#REF!="Baja",'Mapa final'!#REF!="Leve"),CONCATENATE("R",'Mapa final'!#REF!),"")</f>
        <v>#REF!</v>
      </c>
      <c r="M34" s="259"/>
      <c r="N34" s="259" t="e">
        <f>IF(AND('Mapa final'!#REF!="Baja",'Mapa final'!#REF!="Leve"),CONCATENATE("R",'Mapa final'!#REF!),"")</f>
        <v>#REF!</v>
      </c>
      <c r="O34" s="260"/>
      <c r="P34" s="268" t="e">
        <f>IF(AND('Mapa final'!#REF!="Baja",'Mapa final'!#REF!="Menor"),CONCATENATE("R",'Mapa final'!#REF!),"")</f>
        <v>#REF!</v>
      </c>
      <c r="Q34" s="268"/>
      <c r="R34" s="268" t="e">
        <f>IF(AND('Mapa final'!#REF!="Baja",'Mapa final'!#REF!="Menor"),CONCATENATE("R",'Mapa final'!#REF!),"")</f>
        <v>#REF!</v>
      </c>
      <c r="S34" s="268"/>
      <c r="T34" s="268" t="e">
        <f>IF(AND('Mapa final'!#REF!="Baja",'Mapa final'!#REF!="Menor"),CONCATENATE("R",'Mapa final'!#REF!),"")</f>
        <v>#REF!</v>
      </c>
      <c r="U34" s="269"/>
      <c r="V34" s="267" t="e">
        <f>IF(AND('Mapa final'!#REF!="Baja",'Mapa final'!#REF!="Moderado"),CONCATENATE("R",'Mapa final'!#REF!),"")</f>
        <v>#REF!</v>
      </c>
      <c r="W34" s="268"/>
      <c r="X34" s="268" t="e">
        <f>IF(AND('Mapa final'!#REF!="Baja",'Mapa final'!#REF!="Moderado"),CONCATENATE("R",'Mapa final'!#REF!),"")</f>
        <v>#REF!</v>
      </c>
      <c r="Y34" s="268"/>
      <c r="Z34" s="268" t="e">
        <f>IF(AND('Mapa final'!#REF!="Baja",'Mapa final'!#REF!="Moderado"),CONCATENATE("R",'Mapa final'!#REF!),"")</f>
        <v>#REF!</v>
      </c>
      <c r="AA34" s="269"/>
      <c r="AB34" s="285" t="e">
        <f>IF(AND('Mapa final'!#REF!="Baja",'Mapa final'!#REF!="Mayor"),CONCATENATE("R",'Mapa final'!#REF!),"")</f>
        <v>#REF!</v>
      </c>
      <c r="AC34" s="286"/>
      <c r="AD34" s="286" t="e">
        <f>IF(AND('Mapa final'!#REF!="Baja",'Mapa final'!#REF!="Mayor"),CONCATENATE("R",'Mapa final'!#REF!),"")</f>
        <v>#REF!</v>
      </c>
      <c r="AE34" s="286"/>
      <c r="AF34" s="286" t="e">
        <f>IF(AND('Mapa final'!#REF!="Baja",'Mapa final'!#REF!="Mayor"),CONCATENATE("R",'Mapa final'!#REF!),"")</f>
        <v>#REF!</v>
      </c>
      <c r="AG34" s="287"/>
      <c r="AH34" s="276" t="e">
        <f>IF(AND('Mapa final'!#REF!="Baja",'Mapa final'!#REF!="Catastrófico"),CONCATENATE("R",'Mapa final'!#REF!),"")</f>
        <v>#REF!</v>
      </c>
      <c r="AI34" s="277"/>
      <c r="AJ34" s="277" t="e">
        <f>IF(AND('Mapa final'!#REF!="Baja",'Mapa final'!#REF!="Catastrófico"),CONCATENATE("R",'Mapa final'!#REF!),"")</f>
        <v>#REF!</v>
      </c>
      <c r="AK34" s="277"/>
      <c r="AL34" s="277" t="e">
        <f>IF(AND('Mapa final'!#REF!="Baja",'Mapa final'!#REF!="Catastrófico"),CONCATENATE("R",'Mapa final'!#REF!),"")</f>
        <v>#REF!</v>
      </c>
      <c r="AM34" s="278"/>
      <c r="AN34" s="69"/>
      <c r="AO34" s="337"/>
      <c r="AP34" s="338"/>
      <c r="AQ34" s="338"/>
      <c r="AR34" s="338"/>
      <c r="AS34" s="338"/>
      <c r="AT34" s="339"/>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c r="BY34" s="69"/>
      <c r="BZ34" s="69"/>
      <c r="CA34" s="69"/>
      <c r="CB34" s="69"/>
    </row>
    <row r="35" spans="1:80" x14ac:dyDescent="0.25">
      <c r="A35" s="69"/>
      <c r="B35" s="305"/>
      <c r="C35" s="305"/>
      <c r="D35" s="306"/>
      <c r="E35" s="298"/>
      <c r="F35" s="299"/>
      <c r="G35" s="299"/>
      <c r="H35" s="299"/>
      <c r="I35" s="299"/>
      <c r="J35" s="258"/>
      <c r="K35" s="259"/>
      <c r="L35" s="259"/>
      <c r="M35" s="259"/>
      <c r="N35" s="259"/>
      <c r="O35" s="260"/>
      <c r="P35" s="268"/>
      <c r="Q35" s="268"/>
      <c r="R35" s="268"/>
      <c r="S35" s="268"/>
      <c r="T35" s="268"/>
      <c r="U35" s="269"/>
      <c r="V35" s="267"/>
      <c r="W35" s="268"/>
      <c r="X35" s="268"/>
      <c r="Y35" s="268"/>
      <c r="Z35" s="268"/>
      <c r="AA35" s="269"/>
      <c r="AB35" s="285"/>
      <c r="AC35" s="286"/>
      <c r="AD35" s="286"/>
      <c r="AE35" s="286"/>
      <c r="AF35" s="286"/>
      <c r="AG35" s="287"/>
      <c r="AH35" s="276"/>
      <c r="AI35" s="277"/>
      <c r="AJ35" s="277"/>
      <c r="AK35" s="277"/>
      <c r="AL35" s="277"/>
      <c r="AM35" s="278"/>
      <c r="AN35" s="69"/>
      <c r="AO35" s="337"/>
      <c r="AP35" s="338"/>
      <c r="AQ35" s="338"/>
      <c r="AR35" s="338"/>
      <c r="AS35" s="338"/>
      <c r="AT35" s="339"/>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c r="BY35" s="69"/>
      <c r="BZ35" s="69"/>
      <c r="CA35" s="69"/>
      <c r="CB35" s="69"/>
    </row>
    <row r="36" spans="1:80" x14ac:dyDescent="0.25">
      <c r="A36" s="69"/>
      <c r="B36" s="305"/>
      <c r="C36" s="305"/>
      <c r="D36" s="306"/>
      <c r="E36" s="298"/>
      <c r="F36" s="299"/>
      <c r="G36" s="299"/>
      <c r="H36" s="299"/>
      <c r="I36" s="299"/>
      <c r="J36" s="258" t="e">
        <f>IF(AND('Mapa final'!#REF!="Baja",'Mapa final'!#REF!="Leve"),CONCATENATE("R",'Mapa final'!#REF!),"")</f>
        <v>#REF!</v>
      </c>
      <c r="K36" s="259"/>
      <c r="L36" s="259" t="str">
        <f>IF(AND('Mapa final'!$H$19="Baja",'Mapa final'!$L$19="Leve"),CONCATENATE("R",'Mapa final'!$A$19),"")</f>
        <v/>
      </c>
      <c r="M36" s="259"/>
      <c r="N36" s="259" t="str">
        <f>IF(AND('Mapa final'!$H$25="Baja",'Mapa final'!$L$25="Leve"),CONCATENATE("R",'Mapa final'!$A$25),"")</f>
        <v/>
      </c>
      <c r="O36" s="260"/>
      <c r="P36" s="268" t="e">
        <f>IF(AND('Mapa final'!#REF!="Baja",'Mapa final'!#REF!="Menor"),CONCATENATE("R",'Mapa final'!#REF!),"")</f>
        <v>#REF!</v>
      </c>
      <c r="Q36" s="268"/>
      <c r="R36" s="268" t="str">
        <f>IF(AND('Mapa final'!$H$19="Baja",'Mapa final'!$L$19="Menor"),CONCATENATE("R",'Mapa final'!$A$19),"")</f>
        <v/>
      </c>
      <c r="S36" s="268"/>
      <c r="T36" s="268" t="str">
        <f>IF(AND('Mapa final'!$H$25="Baja",'Mapa final'!$L$25="Menor"),CONCATENATE("R",'Mapa final'!$A$25),"")</f>
        <v/>
      </c>
      <c r="U36" s="269"/>
      <c r="V36" s="267" t="e">
        <f>IF(AND('Mapa final'!#REF!="Baja",'Mapa final'!#REF!="Moderado"),CONCATENATE("R",'Mapa final'!#REF!),"")</f>
        <v>#REF!</v>
      </c>
      <c r="W36" s="268"/>
      <c r="X36" s="268" t="str">
        <f>IF(AND('Mapa final'!$H$19="Baja",'Mapa final'!$L$19="Moderado"),CONCATENATE("R",'Mapa final'!$A$19),"")</f>
        <v/>
      </c>
      <c r="Y36" s="268"/>
      <c r="Z36" s="268" t="str">
        <f>IF(AND('Mapa final'!$H$25="Baja",'Mapa final'!$L$25="Moderado"),CONCATENATE("R",'Mapa final'!$A$25),"")</f>
        <v/>
      </c>
      <c r="AA36" s="269"/>
      <c r="AB36" s="285" t="e">
        <f>IF(AND('Mapa final'!#REF!="Baja",'Mapa final'!#REF!="Mayor"),CONCATENATE("R",'Mapa final'!#REF!),"")</f>
        <v>#REF!</v>
      </c>
      <c r="AC36" s="286"/>
      <c r="AD36" s="286" t="str">
        <f>IF(AND('Mapa final'!$H$19="Baja",'Mapa final'!$L$19="Mayor"),CONCATENATE("R",'Mapa final'!$A$19),"")</f>
        <v/>
      </c>
      <c r="AE36" s="286"/>
      <c r="AF36" s="286" t="str">
        <f>IF(AND('Mapa final'!$H$25="Baja",'Mapa final'!$L$25="Mayor"),CONCATENATE("R",'Mapa final'!$A$25),"")</f>
        <v/>
      </c>
      <c r="AG36" s="287"/>
      <c r="AH36" s="276" t="e">
        <f>IF(AND('Mapa final'!#REF!="Baja",'Mapa final'!#REF!="Catastrófico"),CONCATENATE("R",'Mapa final'!#REF!),"")</f>
        <v>#REF!</v>
      </c>
      <c r="AI36" s="277"/>
      <c r="AJ36" s="277" t="str">
        <f>IF(AND('Mapa final'!$H$19="Baja",'Mapa final'!$L$19="Catastrófico"),CONCATENATE("R",'Mapa final'!$A$19),"")</f>
        <v/>
      </c>
      <c r="AK36" s="277"/>
      <c r="AL36" s="277" t="str">
        <f>IF(AND('Mapa final'!$H$25="Baja",'Mapa final'!$L$25="Catastrófico"),CONCATENATE("R",'Mapa final'!$A$25),"")</f>
        <v/>
      </c>
      <c r="AM36" s="278"/>
      <c r="AN36" s="69"/>
      <c r="AO36" s="337"/>
      <c r="AP36" s="338"/>
      <c r="AQ36" s="338"/>
      <c r="AR36" s="338"/>
      <c r="AS36" s="338"/>
      <c r="AT36" s="339"/>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c r="BY36" s="69"/>
      <c r="BZ36" s="69"/>
      <c r="CA36" s="69"/>
      <c r="CB36" s="69"/>
    </row>
    <row r="37" spans="1:80" ht="15.75" thickBot="1" x14ac:dyDescent="0.3">
      <c r="A37" s="69"/>
      <c r="B37" s="305"/>
      <c r="C37" s="305"/>
      <c r="D37" s="306"/>
      <c r="E37" s="301"/>
      <c r="F37" s="302"/>
      <c r="G37" s="302"/>
      <c r="H37" s="302"/>
      <c r="I37" s="302"/>
      <c r="J37" s="261"/>
      <c r="K37" s="262"/>
      <c r="L37" s="262"/>
      <c r="M37" s="262"/>
      <c r="N37" s="262"/>
      <c r="O37" s="263"/>
      <c r="P37" s="271"/>
      <c r="Q37" s="271"/>
      <c r="R37" s="271"/>
      <c r="S37" s="271"/>
      <c r="T37" s="271"/>
      <c r="U37" s="272"/>
      <c r="V37" s="270"/>
      <c r="W37" s="271"/>
      <c r="X37" s="271"/>
      <c r="Y37" s="271"/>
      <c r="Z37" s="271"/>
      <c r="AA37" s="272"/>
      <c r="AB37" s="288"/>
      <c r="AC37" s="289"/>
      <c r="AD37" s="289"/>
      <c r="AE37" s="289"/>
      <c r="AF37" s="289"/>
      <c r="AG37" s="290"/>
      <c r="AH37" s="279"/>
      <c r="AI37" s="280"/>
      <c r="AJ37" s="280"/>
      <c r="AK37" s="280"/>
      <c r="AL37" s="280"/>
      <c r="AM37" s="281"/>
      <c r="AN37" s="69"/>
      <c r="AO37" s="340"/>
      <c r="AP37" s="341"/>
      <c r="AQ37" s="341"/>
      <c r="AR37" s="341"/>
      <c r="AS37" s="341"/>
      <c r="AT37" s="342"/>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c r="BY37" s="69"/>
      <c r="BZ37" s="69"/>
      <c r="CA37" s="69"/>
      <c r="CB37" s="69"/>
    </row>
    <row r="38" spans="1:80" x14ac:dyDescent="0.25">
      <c r="A38" s="69"/>
      <c r="B38" s="305"/>
      <c r="C38" s="305"/>
      <c r="D38" s="306"/>
      <c r="E38" s="295" t="s">
        <v>113</v>
      </c>
      <c r="F38" s="296"/>
      <c r="G38" s="296"/>
      <c r="H38" s="296"/>
      <c r="I38" s="297"/>
      <c r="J38" s="264" t="e">
        <f>IF(AND('Mapa final'!#REF!="Muy Baja",'Mapa final'!#REF!="Leve"),CONCATENATE("R",'Mapa final'!#REF!),"")</f>
        <v>#REF!</v>
      </c>
      <c r="K38" s="265"/>
      <c r="L38" s="265" t="e">
        <f>IF(AND('Mapa final'!#REF!="Muy Baja",'Mapa final'!#REF!="Leve"),CONCATENATE("R",'Mapa final'!#REF!),"")</f>
        <v>#REF!</v>
      </c>
      <c r="M38" s="265"/>
      <c r="N38" s="265" t="e">
        <f>IF(AND('Mapa final'!#REF!="Muy Baja",'Mapa final'!#REF!="Leve"),CONCATENATE("R",'Mapa final'!#REF!),"")</f>
        <v>#REF!</v>
      </c>
      <c r="O38" s="266"/>
      <c r="P38" s="264" t="e">
        <f>IF(AND('Mapa final'!#REF!="Muy Baja",'Mapa final'!#REF!="Menor"),CONCATENATE("R",'Mapa final'!#REF!),"")</f>
        <v>#REF!</v>
      </c>
      <c r="Q38" s="265"/>
      <c r="R38" s="265" t="e">
        <f>IF(AND('Mapa final'!#REF!="Muy Baja",'Mapa final'!#REF!="Menor"),CONCATENATE("R",'Mapa final'!#REF!),"")</f>
        <v>#REF!</v>
      </c>
      <c r="S38" s="265"/>
      <c r="T38" s="265" t="e">
        <f>IF(AND('Mapa final'!#REF!="Muy Baja",'Mapa final'!#REF!="Menor"),CONCATENATE("R",'Mapa final'!#REF!),"")</f>
        <v>#REF!</v>
      </c>
      <c r="U38" s="266"/>
      <c r="V38" s="273" t="e">
        <f>IF(AND('Mapa final'!#REF!="Muy Baja",'Mapa final'!#REF!="Moderado"),CONCATENATE("R",'Mapa final'!#REF!),"")</f>
        <v>#REF!</v>
      </c>
      <c r="W38" s="274"/>
      <c r="X38" s="274" t="e">
        <f>IF(AND('Mapa final'!#REF!="Muy Baja",'Mapa final'!#REF!="Moderado"),CONCATENATE("R",'Mapa final'!#REF!),"")</f>
        <v>#REF!</v>
      </c>
      <c r="Y38" s="274"/>
      <c r="Z38" s="274" t="e">
        <f>IF(AND('Mapa final'!#REF!="Muy Baja",'Mapa final'!#REF!="Moderado"),CONCATENATE("R",'Mapa final'!#REF!),"")</f>
        <v>#REF!</v>
      </c>
      <c r="AA38" s="275"/>
      <c r="AB38" s="291" t="e">
        <f>IF(AND('Mapa final'!#REF!="Muy Baja",'Mapa final'!#REF!="Mayor"),CONCATENATE("R",'Mapa final'!#REF!),"")</f>
        <v>#REF!</v>
      </c>
      <c r="AC38" s="292"/>
      <c r="AD38" s="292" t="e">
        <f>IF(AND('Mapa final'!#REF!="Muy Baja",'Mapa final'!#REF!="Mayor"),CONCATENATE("R",'Mapa final'!#REF!),"")</f>
        <v>#REF!</v>
      </c>
      <c r="AE38" s="292"/>
      <c r="AF38" s="292" t="e">
        <f>IF(AND('Mapa final'!#REF!="Muy Baja",'Mapa final'!#REF!="Mayor"),CONCATENATE("R",'Mapa final'!#REF!),"")</f>
        <v>#REF!</v>
      </c>
      <c r="AG38" s="293"/>
      <c r="AH38" s="282" t="e">
        <f>IF(AND('Mapa final'!#REF!="Muy Baja",'Mapa final'!#REF!="Catastrófico"),CONCATENATE("R",'Mapa final'!#REF!),"")</f>
        <v>#REF!</v>
      </c>
      <c r="AI38" s="283"/>
      <c r="AJ38" s="283" t="e">
        <f>IF(AND('Mapa final'!#REF!="Muy Baja",'Mapa final'!#REF!="Catastrófico"),CONCATENATE("R",'Mapa final'!#REF!),"")</f>
        <v>#REF!</v>
      </c>
      <c r="AK38" s="283"/>
      <c r="AL38" s="283" t="e">
        <f>IF(AND('Mapa final'!#REF!="Muy Baja",'Mapa final'!#REF!="Catastrófico"),CONCATENATE("R",'Mapa final'!#REF!),"")</f>
        <v>#REF!</v>
      </c>
      <c r="AM38" s="284"/>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row>
    <row r="39" spans="1:80" x14ac:dyDescent="0.25">
      <c r="A39" s="69"/>
      <c r="B39" s="305"/>
      <c r="C39" s="305"/>
      <c r="D39" s="306"/>
      <c r="E39" s="298"/>
      <c r="F39" s="299"/>
      <c r="G39" s="299"/>
      <c r="H39" s="299"/>
      <c r="I39" s="300"/>
      <c r="J39" s="258"/>
      <c r="K39" s="259"/>
      <c r="L39" s="259"/>
      <c r="M39" s="259"/>
      <c r="N39" s="259"/>
      <c r="O39" s="260"/>
      <c r="P39" s="258"/>
      <c r="Q39" s="259"/>
      <c r="R39" s="259"/>
      <c r="S39" s="259"/>
      <c r="T39" s="259"/>
      <c r="U39" s="260"/>
      <c r="V39" s="267"/>
      <c r="W39" s="268"/>
      <c r="X39" s="268"/>
      <c r="Y39" s="268"/>
      <c r="Z39" s="268"/>
      <c r="AA39" s="269"/>
      <c r="AB39" s="285"/>
      <c r="AC39" s="286"/>
      <c r="AD39" s="286"/>
      <c r="AE39" s="286"/>
      <c r="AF39" s="286"/>
      <c r="AG39" s="287"/>
      <c r="AH39" s="276"/>
      <c r="AI39" s="277"/>
      <c r="AJ39" s="277"/>
      <c r="AK39" s="277"/>
      <c r="AL39" s="277"/>
      <c r="AM39" s="278"/>
      <c r="AN39" s="69"/>
      <c r="AO39" s="69"/>
      <c r="AP39" s="69"/>
      <c r="AQ39" s="69"/>
      <c r="AR39" s="69"/>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c r="BY39" s="69"/>
      <c r="BZ39" s="69"/>
      <c r="CA39" s="69"/>
      <c r="CB39" s="69"/>
    </row>
    <row r="40" spans="1:80" x14ac:dyDescent="0.25">
      <c r="A40" s="69"/>
      <c r="B40" s="305"/>
      <c r="C40" s="305"/>
      <c r="D40" s="306"/>
      <c r="E40" s="298"/>
      <c r="F40" s="299"/>
      <c r="G40" s="299"/>
      <c r="H40" s="299"/>
      <c r="I40" s="300"/>
      <c r="J40" s="258" t="e">
        <f>IF(AND('Mapa final'!$H$13="Muy Baja",'Mapa final'!$L$13="Leve"),CONCATENATE("R",'Mapa final'!$A$13),"")</f>
        <v>#REF!</v>
      </c>
      <c r="K40" s="259"/>
      <c r="L40" s="259" t="e">
        <f>IF(AND('Mapa final'!#REF!="Muy Baja",'Mapa final'!#REF!="Leve"),CONCATENATE("R",'Mapa final'!#REF!),"")</f>
        <v>#REF!</v>
      </c>
      <c r="M40" s="259"/>
      <c r="N40" s="259" t="e">
        <f>IF(AND('Mapa final'!#REF!="Muy Baja",'Mapa final'!#REF!="Leve"),CONCATENATE("R",'Mapa final'!#REF!),"")</f>
        <v>#REF!</v>
      </c>
      <c r="O40" s="260"/>
      <c r="P40" s="258" t="e">
        <f>IF(AND('Mapa final'!$H$13="Muy Baja",'Mapa final'!$L$13="Menor"),CONCATENATE("R",'Mapa final'!$A$13),"")</f>
        <v>#REF!</v>
      </c>
      <c r="Q40" s="259"/>
      <c r="R40" s="259" t="e">
        <f>IF(AND('Mapa final'!#REF!="Muy Baja",'Mapa final'!#REF!="Menor"),CONCATENATE("R",'Mapa final'!#REF!),"")</f>
        <v>#REF!</v>
      </c>
      <c r="S40" s="259"/>
      <c r="T40" s="259" t="e">
        <f>IF(AND('Mapa final'!#REF!="Muy Baja",'Mapa final'!#REF!="Menor"),CONCATENATE("R",'Mapa final'!#REF!),"")</f>
        <v>#REF!</v>
      </c>
      <c r="U40" s="260"/>
      <c r="V40" s="267" t="e">
        <f>IF(AND('Mapa final'!$H$13="Muy Baja",'Mapa final'!$L$13="Moderado"),CONCATENATE("R",'Mapa final'!$A$13),"")</f>
        <v>#REF!</v>
      </c>
      <c r="W40" s="268"/>
      <c r="X40" s="268" t="e">
        <f>IF(AND('Mapa final'!#REF!="Muy Baja",'Mapa final'!#REF!="Moderado"),CONCATENATE("R",'Mapa final'!#REF!),"")</f>
        <v>#REF!</v>
      </c>
      <c r="Y40" s="268"/>
      <c r="Z40" s="268" t="e">
        <f>IF(AND('Mapa final'!#REF!="Muy Baja",'Mapa final'!#REF!="Moderado"),CONCATENATE("R",'Mapa final'!#REF!),"")</f>
        <v>#REF!</v>
      </c>
      <c r="AA40" s="269"/>
      <c r="AB40" s="285" t="e">
        <f>IF(AND('Mapa final'!$H$13="Muy Baja",'Mapa final'!$L$13="Mayor"),CONCATENATE("R",'Mapa final'!$A$13),"")</f>
        <v>#REF!</v>
      </c>
      <c r="AC40" s="286"/>
      <c r="AD40" s="286" t="e">
        <f>IF(AND('Mapa final'!#REF!="Muy Baja",'Mapa final'!#REF!="Mayor"),CONCATENATE("R",'Mapa final'!#REF!),"")</f>
        <v>#REF!</v>
      </c>
      <c r="AE40" s="286"/>
      <c r="AF40" s="286" t="e">
        <f>IF(AND('Mapa final'!#REF!="Muy Baja",'Mapa final'!#REF!="Mayor"),CONCATENATE("R",'Mapa final'!#REF!),"")</f>
        <v>#REF!</v>
      </c>
      <c r="AG40" s="287"/>
      <c r="AH40" s="276" t="e">
        <f>IF(AND('Mapa final'!$H$13="Muy Baja",'Mapa final'!$L$13="Catastrófico"),CONCATENATE("R",'Mapa final'!$A$13),"")</f>
        <v>#REF!</v>
      </c>
      <c r="AI40" s="277"/>
      <c r="AJ40" s="277" t="e">
        <f>IF(AND('Mapa final'!#REF!="Muy Baja",'Mapa final'!#REF!="Catastrófico"),CONCATENATE("R",'Mapa final'!#REF!),"")</f>
        <v>#REF!</v>
      </c>
      <c r="AK40" s="277"/>
      <c r="AL40" s="277" t="e">
        <f>IF(AND('Mapa final'!#REF!="Muy Baja",'Mapa final'!#REF!="Catastrófico"),CONCATENATE("R",'Mapa final'!#REF!),"")</f>
        <v>#REF!</v>
      </c>
      <c r="AM40" s="278"/>
      <c r="AN40" s="69"/>
      <c r="AO40" s="69"/>
      <c r="AP40" s="69"/>
      <c r="AQ40" s="69"/>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c r="BY40" s="69"/>
      <c r="BZ40" s="69"/>
      <c r="CA40" s="69"/>
      <c r="CB40" s="69"/>
    </row>
    <row r="41" spans="1:80" x14ac:dyDescent="0.25">
      <c r="A41" s="69"/>
      <c r="B41" s="305"/>
      <c r="C41" s="305"/>
      <c r="D41" s="306"/>
      <c r="E41" s="298"/>
      <c r="F41" s="299"/>
      <c r="G41" s="299"/>
      <c r="H41" s="299"/>
      <c r="I41" s="300"/>
      <c r="J41" s="258"/>
      <c r="K41" s="259"/>
      <c r="L41" s="259"/>
      <c r="M41" s="259"/>
      <c r="N41" s="259"/>
      <c r="O41" s="260"/>
      <c r="P41" s="258"/>
      <c r="Q41" s="259"/>
      <c r="R41" s="259"/>
      <c r="S41" s="259"/>
      <c r="T41" s="259"/>
      <c r="U41" s="260"/>
      <c r="V41" s="267"/>
      <c r="W41" s="268"/>
      <c r="X41" s="268"/>
      <c r="Y41" s="268"/>
      <c r="Z41" s="268"/>
      <c r="AA41" s="269"/>
      <c r="AB41" s="285"/>
      <c r="AC41" s="286"/>
      <c r="AD41" s="286"/>
      <c r="AE41" s="286"/>
      <c r="AF41" s="286"/>
      <c r="AG41" s="287"/>
      <c r="AH41" s="276"/>
      <c r="AI41" s="277"/>
      <c r="AJ41" s="277"/>
      <c r="AK41" s="277"/>
      <c r="AL41" s="277"/>
      <c r="AM41" s="278"/>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row>
    <row r="42" spans="1:80" x14ac:dyDescent="0.25">
      <c r="A42" s="69"/>
      <c r="B42" s="305"/>
      <c r="C42" s="305"/>
      <c r="D42" s="306"/>
      <c r="E42" s="298"/>
      <c r="F42" s="299"/>
      <c r="G42" s="299"/>
      <c r="H42" s="299"/>
      <c r="I42" s="300"/>
      <c r="J42" s="258" t="e">
        <f>IF(AND('Mapa final'!#REF!="Muy Baja",'Mapa final'!#REF!="Leve"),CONCATENATE("R",'Mapa final'!#REF!),"")</f>
        <v>#REF!</v>
      </c>
      <c r="K42" s="259"/>
      <c r="L42" s="259" t="e">
        <f>IF(AND('Mapa final'!#REF!="Muy Baja",'Mapa final'!#REF!="Leve"),CONCATENATE("R",'Mapa final'!#REF!),"")</f>
        <v>#REF!</v>
      </c>
      <c r="M42" s="259"/>
      <c r="N42" s="259" t="e">
        <f>IF(AND('Mapa final'!#REF!="Muy Baja",'Mapa final'!#REF!="Leve"),CONCATENATE("R",'Mapa final'!#REF!),"")</f>
        <v>#REF!</v>
      </c>
      <c r="O42" s="260"/>
      <c r="P42" s="258" t="e">
        <f>IF(AND('Mapa final'!#REF!="Muy Baja",'Mapa final'!#REF!="Menor"),CONCATENATE("R",'Mapa final'!#REF!),"")</f>
        <v>#REF!</v>
      </c>
      <c r="Q42" s="259"/>
      <c r="R42" s="259" t="e">
        <f>IF(AND('Mapa final'!#REF!="Muy Baja",'Mapa final'!#REF!="Menor"),CONCATENATE("R",'Mapa final'!#REF!),"")</f>
        <v>#REF!</v>
      </c>
      <c r="S42" s="259"/>
      <c r="T42" s="259" t="e">
        <f>IF(AND('Mapa final'!#REF!="Muy Baja",'Mapa final'!#REF!="Menor"),CONCATENATE("R",'Mapa final'!#REF!),"")</f>
        <v>#REF!</v>
      </c>
      <c r="U42" s="260"/>
      <c r="V42" s="267" t="e">
        <f>IF(AND('Mapa final'!#REF!="Muy Baja",'Mapa final'!#REF!="Moderado"),CONCATENATE("R",'Mapa final'!#REF!),"")</f>
        <v>#REF!</v>
      </c>
      <c r="W42" s="268"/>
      <c r="X42" s="268" t="e">
        <f>IF(AND('Mapa final'!#REF!="Muy Baja",'Mapa final'!#REF!="Moderado"),CONCATENATE("R",'Mapa final'!#REF!),"")</f>
        <v>#REF!</v>
      </c>
      <c r="Y42" s="268"/>
      <c r="Z42" s="268" t="e">
        <f>IF(AND('Mapa final'!#REF!="Muy Baja",'Mapa final'!#REF!="Moderado"),CONCATENATE("R",'Mapa final'!#REF!),"")</f>
        <v>#REF!</v>
      </c>
      <c r="AA42" s="269"/>
      <c r="AB42" s="285" t="e">
        <f>IF(AND('Mapa final'!#REF!="Muy Baja",'Mapa final'!#REF!="Mayor"),CONCATENATE("R",'Mapa final'!#REF!),"")</f>
        <v>#REF!</v>
      </c>
      <c r="AC42" s="286"/>
      <c r="AD42" s="286" t="e">
        <f>IF(AND('Mapa final'!#REF!="Muy Baja",'Mapa final'!#REF!="Mayor"),CONCATENATE("R",'Mapa final'!#REF!),"")</f>
        <v>#REF!</v>
      </c>
      <c r="AE42" s="286"/>
      <c r="AF42" s="286" t="e">
        <f>IF(AND('Mapa final'!#REF!="Muy Baja",'Mapa final'!#REF!="Mayor"),CONCATENATE("R",'Mapa final'!#REF!),"")</f>
        <v>#REF!</v>
      </c>
      <c r="AG42" s="287"/>
      <c r="AH42" s="276" t="e">
        <f>IF(AND('Mapa final'!#REF!="Muy Baja",'Mapa final'!#REF!="Catastrófico"),CONCATENATE("R",'Mapa final'!#REF!),"")</f>
        <v>#REF!</v>
      </c>
      <c r="AI42" s="277"/>
      <c r="AJ42" s="277" t="e">
        <f>IF(AND('Mapa final'!#REF!="Muy Baja",'Mapa final'!#REF!="Catastrófico"),CONCATENATE("R",'Mapa final'!#REF!),"")</f>
        <v>#REF!</v>
      </c>
      <c r="AK42" s="277"/>
      <c r="AL42" s="277" t="e">
        <f>IF(AND('Mapa final'!#REF!="Muy Baja",'Mapa final'!#REF!="Catastrófico"),CONCATENATE("R",'Mapa final'!#REF!),"")</f>
        <v>#REF!</v>
      </c>
      <c r="AM42" s="278"/>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c r="BY42" s="69"/>
      <c r="BZ42" s="69"/>
      <c r="CA42" s="69"/>
      <c r="CB42" s="69"/>
    </row>
    <row r="43" spans="1:80" x14ac:dyDescent="0.25">
      <c r="A43" s="69"/>
      <c r="B43" s="305"/>
      <c r="C43" s="305"/>
      <c r="D43" s="306"/>
      <c r="E43" s="298"/>
      <c r="F43" s="299"/>
      <c r="G43" s="299"/>
      <c r="H43" s="299"/>
      <c r="I43" s="300"/>
      <c r="J43" s="258"/>
      <c r="K43" s="259"/>
      <c r="L43" s="259"/>
      <c r="M43" s="259"/>
      <c r="N43" s="259"/>
      <c r="O43" s="260"/>
      <c r="P43" s="258"/>
      <c r="Q43" s="259"/>
      <c r="R43" s="259"/>
      <c r="S43" s="259"/>
      <c r="T43" s="259"/>
      <c r="U43" s="260"/>
      <c r="V43" s="267"/>
      <c r="W43" s="268"/>
      <c r="X43" s="268"/>
      <c r="Y43" s="268"/>
      <c r="Z43" s="268"/>
      <c r="AA43" s="269"/>
      <c r="AB43" s="285"/>
      <c r="AC43" s="286"/>
      <c r="AD43" s="286"/>
      <c r="AE43" s="286"/>
      <c r="AF43" s="286"/>
      <c r="AG43" s="287"/>
      <c r="AH43" s="276"/>
      <c r="AI43" s="277"/>
      <c r="AJ43" s="277"/>
      <c r="AK43" s="277"/>
      <c r="AL43" s="277"/>
      <c r="AM43" s="278"/>
      <c r="AN43" s="69"/>
      <c r="AO43" s="69"/>
      <c r="AP43" s="69"/>
      <c r="AQ43" s="69"/>
      <c r="AR43" s="69"/>
      <c r="AS43" s="69"/>
      <c r="AT43" s="69"/>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c r="BY43" s="69"/>
      <c r="BZ43" s="69"/>
      <c r="CA43" s="69"/>
      <c r="CB43" s="69"/>
    </row>
    <row r="44" spans="1:80" x14ac:dyDescent="0.25">
      <c r="A44" s="69"/>
      <c r="B44" s="305"/>
      <c r="C44" s="305"/>
      <c r="D44" s="306"/>
      <c r="E44" s="298"/>
      <c r="F44" s="299"/>
      <c r="G44" s="299"/>
      <c r="H44" s="299"/>
      <c r="I44" s="300"/>
      <c r="J44" s="258" t="e">
        <f>IF(AND('Mapa final'!#REF!="Muy Baja",'Mapa final'!#REF!="Leve"),CONCATENATE("R",'Mapa final'!#REF!),"")</f>
        <v>#REF!</v>
      </c>
      <c r="K44" s="259"/>
      <c r="L44" s="259" t="str">
        <f>IF(AND('Mapa final'!$H$19="Muy Baja",'Mapa final'!$L$19="Leve"),CONCATENATE("R",'Mapa final'!$A$19),"")</f>
        <v/>
      </c>
      <c r="M44" s="259"/>
      <c r="N44" s="259" t="str">
        <f>IF(AND('Mapa final'!$H$25="Muy Baja",'Mapa final'!$L$25="Leve"),CONCATENATE("R",'Mapa final'!$A$25),"")</f>
        <v/>
      </c>
      <c r="O44" s="260"/>
      <c r="P44" s="258" t="e">
        <f>IF(AND('Mapa final'!#REF!="Muy Baja",'Mapa final'!#REF!="Menor"),CONCATENATE("R",'Mapa final'!#REF!),"")</f>
        <v>#REF!</v>
      </c>
      <c r="Q44" s="259"/>
      <c r="R44" s="259" t="str">
        <f>IF(AND('Mapa final'!$H$19="Muy Baja",'Mapa final'!$L$19="Menor"),CONCATENATE("R",'Mapa final'!$A$19),"")</f>
        <v/>
      </c>
      <c r="S44" s="259"/>
      <c r="T44" s="259" t="str">
        <f>IF(AND('Mapa final'!$H$25="Muy Baja",'Mapa final'!$L$25="Menor"),CONCATENATE("R",'Mapa final'!$A$25),"")</f>
        <v/>
      </c>
      <c r="U44" s="260"/>
      <c r="V44" s="267" t="e">
        <f>IF(AND('Mapa final'!#REF!="Muy Baja",'Mapa final'!#REF!="Moderado"),CONCATENATE("R",'Mapa final'!#REF!),"")</f>
        <v>#REF!</v>
      </c>
      <c r="W44" s="268"/>
      <c r="X44" s="268" t="str">
        <f>IF(AND('Mapa final'!$H$19="Muy Baja",'Mapa final'!$L$19="Moderado"),CONCATENATE("R",'Mapa final'!$A$19),"")</f>
        <v/>
      </c>
      <c r="Y44" s="268"/>
      <c r="Z44" s="268" t="str">
        <f>IF(AND('Mapa final'!$H$25="Muy Baja",'Mapa final'!$L$25="Moderado"),CONCATENATE("R",'Mapa final'!$A$25),"")</f>
        <v/>
      </c>
      <c r="AA44" s="269"/>
      <c r="AB44" s="285" t="e">
        <f>IF(AND('Mapa final'!#REF!="Muy Baja",'Mapa final'!#REF!="Mayor"),CONCATENATE("R",'Mapa final'!#REF!),"")</f>
        <v>#REF!</v>
      </c>
      <c r="AC44" s="286"/>
      <c r="AD44" s="286" t="str">
        <f>IF(AND('Mapa final'!$H$19="Muy Baja",'Mapa final'!$L$19="Mayor"),CONCATENATE("R",'Mapa final'!$A$19),"")</f>
        <v/>
      </c>
      <c r="AE44" s="286"/>
      <c r="AF44" s="286" t="str">
        <f>IF(AND('Mapa final'!$H$25="Muy Baja",'Mapa final'!$L$25="Mayor"),CONCATENATE("R",'Mapa final'!$A$25),"")</f>
        <v/>
      </c>
      <c r="AG44" s="287"/>
      <c r="AH44" s="276" t="e">
        <f>IF(AND('Mapa final'!#REF!="Muy Baja",'Mapa final'!#REF!="Catastrófico"),CONCATENATE("R",'Mapa final'!#REF!),"")</f>
        <v>#REF!</v>
      </c>
      <c r="AI44" s="277"/>
      <c r="AJ44" s="277" t="str">
        <f>IF(AND('Mapa final'!$H$19="Muy Baja",'Mapa final'!$L$19="Catastrófico"),CONCATENATE("R",'Mapa final'!$A$19),"")</f>
        <v/>
      </c>
      <c r="AK44" s="277"/>
      <c r="AL44" s="277" t="str">
        <f>IF(AND('Mapa final'!$H$25="Muy Baja",'Mapa final'!$L$25="Catastrófico"),CONCATENATE("R",'Mapa final'!$A$25),"")</f>
        <v/>
      </c>
      <c r="AM44" s="278"/>
      <c r="AN44" s="69"/>
      <c r="AO44" s="69"/>
      <c r="AP44" s="69"/>
      <c r="AQ44" s="69"/>
      <c r="AR44" s="69"/>
      <c r="AS44" s="69"/>
      <c r="AT44" s="69"/>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c r="BY44" s="69"/>
      <c r="BZ44" s="69"/>
      <c r="CA44" s="69"/>
      <c r="CB44" s="69"/>
    </row>
    <row r="45" spans="1:80" ht="15.75" thickBot="1" x14ac:dyDescent="0.3">
      <c r="A45" s="69"/>
      <c r="B45" s="305"/>
      <c r="C45" s="305"/>
      <c r="D45" s="306"/>
      <c r="E45" s="301"/>
      <c r="F45" s="302"/>
      <c r="G45" s="302"/>
      <c r="H45" s="302"/>
      <c r="I45" s="303"/>
      <c r="J45" s="261"/>
      <c r="K45" s="262"/>
      <c r="L45" s="262"/>
      <c r="M45" s="262"/>
      <c r="N45" s="262"/>
      <c r="O45" s="263"/>
      <c r="P45" s="261"/>
      <c r="Q45" s="262"/>
      <c r="R45" s="262"/>
      <c r="S45" s="262"/>
      <c r="T45" s="262"/>
      <c r="U45" s="263"/>
      <c r="V45" s="270"/>
      <c r="W45" s="271"/>
      <c r="X45" s="271"/>
      <c r="Y45" s="271"/>
      <c r="Z45" s="271"/>
      <c r="AA45" s="272"/>
      <c r="AB45" s="288"/>
      <c r="AC45" s="289"/>
      <c r="AD45" s="289"/>
      <c r="AE45" s="289"/>
      <c r="AF45" s="289"/>
      <c r="AG45" s="290"/>
      <c r="AH45" s="279"/>
      <c r="AI45" s="280"/>
      <c r="AJ45" s="280"/>
      <c r="AK45" s="280"/>
      <c r="AL45" s="280"/>
      <c r="AM45" s="281"/>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69"/>
      <c r="BL45" s="69"/>
      <c r="BM45" s="69"/>
      <c r="BN45" s="69"/>
      <c r="BO45" s="69"/>
      <c r="BP45" s="69"/>
      <c r="BQ45" s="69"/>
      <c r="BR45" s="69"/>
      <c r="BS45" s="69"/>
      <c r="BT45" s="69"/>
      <c r="BU45" s="69"/>
      <c r="BV45" s="69"/>
      <c r="BW45" s="69"/>
      <c r="BX45" s="69"/>
      <c r="BY45" s="69"/>
      <c r="BZ45" s="69"/>
      <c r="CA45" s="69"/>
      <c r="CB45" s="69"/>
    </row>
    <row r="46" spans="1:80" x14ac:dyDescent="0.25">
      <c r="A46" s="69"/>
      <c r="B46" s="69"/>
      <c r="C46" s="69"/>
      <c r="D46" s="69"/>
      <c r="E46" s="69"/>
      <c r="F46" s="69"/>
      <c r="G46" s="69"/>
      <c r="H46" s="69"/>
      <c r="I46" s="69"/>
      <c r="J46" s="295" t="s">
        <v>112</v>
      </c>
      <c r="K46" s="296"/>
      <c r="L46" s="296"/>
      <c r="M46" s="296"/>
      <c r="N46" s="296"/>
      <c r="O46" s="297"/>
      <c r="P46" s="295" t="s">
        <v>111</v>
      </c>
      <c r="Q46" s="296"/>
      <c r="R46" s="296"/>
      <c r="S46" s="296"/>
      <c r="T46" s="296"/>
      <c r="U46" s="297"/>
      <c r="V46" s="295" t="s">
        <v>110</v>
      </c>
      <c r="W46" s="296"/>
      <c r="X46" s="296"/>
      <c r="Y46" s="296"/>
      <c r="Z46" s="296"/>
      <c r="AA46" s="297"/>
      <c r="AB46" s="295" t="s">
        <v>109</v>
      </c>
      <c r="AC46" s="304"/>
      <c r="AD46" s="296"/>
      <c r="AE46" s="296"/>
      <c r="AF46" s="296"/>
      <c r="AG46" s="297"/>
      <c r="AH46" s="295" t="s">
        <v>108</v>
      </c>
      <c r="AI46" s="296"/>
      <c r="AJ46" s="296"/>
      <c r="AK46" s="296"/>
      <c r="AL46" s="296"/>
      <c r="AM46" s="297"/>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row>
    <row r="47" spans="1:80" x14ac:dyDescent="0.25">
      <c r="A47" s="69"/>
      <c r="B47" s="69"/>
      <c r="C47" s="69"/>
      <c r="D47" s="69"/>
      <c r="E47" s="69"/>
      <c r="F47" s="69"/>
      <c r="G47" s="69"/>
      <c r="H47" s="69"/>
      <c r="I47" s="69"/>
      <c r="J47" s="298"/>
      <c r="K47" s="299"/>
      <c r="L47" s="299"/>
      <c r="M47" s="299"/>
      <c r="N47" s="299"/>
      <c r="O47" s="300"/>
      <c r="P47" s="298"/>
      <c r="Q47" s="299"/>
      <c r="R47" s="299"/>
      <c r="S47" s="299"/>
      <c r="T47" s="299"/>
      <c r="U47" s="300"/>
      <c r="V47" s="298"/>
      <c r="W47" s="299"/>
      <c r="X47" s="299"/>
      <c r="Y47" s="299"/>
      <c r="Z47" s="299"/>
      <c r="AA47" s="300"/>
      <c r="AB47" s="298"/>
      <c r="AC47" s="299"/>
      <c r="AD47" s="299"/>
      <c r="AE47" s="299"/>
      <c r="AF47" s="299"/>
      <c r="AG47" s="300"/>
      <c r="AH47" s="298"/>
      <c r="AI47" s="299"/>
      <c r="AJ47" s="299"/>
      <c r="AK47" s="299"/>
      <c r="AL47" s="299"/>
      <c r="AM47" s="300"/>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row>
    <row r="48" spans="1:80" x14ac:dyDescent="0.25">
      <c r="A48" s="69"/>
      <c r="B48" s="69"/>
      <c r="C48" s="69"/>
      <c r="D48" s="69"/>
      <c r="E48" s="69"/>
      <c r="F48" s="69"/>
      <c r="G48" s="69"/>
      <c r="H48" s="69"/>
      <c r="I48" s="69"/>
      <c r="J48" s="298"/>
      <c r="K48" s="299"/>
      <c r="L48" s="299"/>
      <c r="M48" s="299"/>
      <c r="N48" s="299"/>
      <c r="O48" s="300"/>
      <c r="P48" s="298"/>
      <c r="Q48" s="299"/>
      <c r="R48" s="299"/>
      <c r="S48" s="299"/>
      <c r="T48" s="299"/>
      <c r="U48" s="300"/>
      <c r="V48" s="298"/>
      <c r="W48" s="299"/>
      <c r="X48" s="299"/>
      <c r="Y48" s="299"/>
      <c r="Z48" s="299"/>
      <c r="AA48" s="300"/>
      <c r="AB48" s="298"/>
      <c r="AC48" s="299"/>
      <c r="AD48" s="299"/>
      <c r="AE48" s="299"/>
      <c r="AF48" s="299"/>
      <c r="AG48" s="300"/>
      <c r="AH48" s="298"/>
      <c r="AI48" s="299"/>
      <c r="AJ48" s="299"/>
      <c r="AK48" s="299"/>
      <c r="AL48" s="299"/>
      <c r="AM48" s="300"/>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row>
    <row r="49" spans="1:80" x14ac:dyDescent="0.25">
      <c r="A49" s="69"/>
      <c r="B49" s="69"/>
      <c r="C49" s="69"/>
      <c r="D49" s="69"/>
      <c r="E49" s="69"/>
      <c r="F49" s="69"/>
      <c r="G49" s="69"/>
      <c r="H49" s="69"/>
      <c r="I49" s="69"/>
      <c r="J49" s="298"/>
      <c r="K49" s="299"/>
      <c r="L49" s="299"/>
      <c r="M49" s="299"/>
      <c r="N49" s="299"/>
      <c r="O49" s="300"/>
      <c r="P49" s="298"/>
      <c r="Q49" s="299"/>
      <c r="R49" s="299"/>
      <c r="S49" s="299"/>
      <c r="T49" s="299"/>
      <c r="U49" s="300"/>
      <c r="V49" s="298"/>
      <c r="W49" s="299"/>
      <c r="X49" s="299"/>
      <c r="Y49" s="299"/>
      <c r="Z49" s="299"/>
      <c r="AA49" s="300"/>
      <c r="AB49" s="298"/>
      <c r="AC49" s="299"/>
      <c r="AD49" s="299"/>
      <c r="AE49" s="299"/>
      <c r="AF49" s="299"/>
      <c r="AG49" s="300"/>
      <c r="AH49" s="298"/>
      <c r="AI49" s="299"/>
      <c r="AJ49" s="299"/>
      <c r="AK49" s="299"/>
      <c r="AL49" s="299"/>
      <c r="AM49" s="300"/>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row>
    <row r="50" spans="1:80" x14ac:dyDescent="0.25">
      <c r="A50" s="69"/>
      <c r="B50" s="69"/>
      <c r="C50" s="69"/>
      <c r="D50" s="69"/>
      <c r="E50" s="69"/>
      <c r="F50" s="69"/>
      <c r="G50" s="69"/>
      <c r="H50" s="69"/>
      <c r="I50" s="69"/>
      <c r="J50" s="298"/>
      <c r="K50" s="299"/>
      <c r="L50" s="299"/>
      <c r="M50" s="299"/>
      <c r="N50" s="299"/>
      <c r="O50" s="300"/>
      <c r="P50" s="298"/>
      <c r="Q50" s="299"/>
      <c r="R50" s="299"/>
      <c r="S50" s="299"/>
      <c r="T50" s="299"/>
      <c r="U50" s="300"/>
      <c r="V50" s="298"/>
      <c r="W50" s="299"/>
      <c r="X50" s="299"/>
      <c r="Y50" s="299"/>
      <c r="Z50" s="299"/>
      <c r="AA50" s="300"/>
      <c r="AB50" s="298"/>
      <c r="AC50" s="299"/>
      <c r="AD50" s="299"/>
      <c r="AE50" s="299"/>
      <c r="AF50" s="299"/>
      <c r="AG50" s="300"/>
      <c r="AH50" s="298"/>
      <c r="AI50" s="299"/>
      <c r="AJ50" s="299"/>
      <c r="AK50" s="299"/>
      <c r="AL50" s="299"/>
      <c r="AM50" s="300"/>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row>
    <row r="51" spans="1:80" ht="15.75" thickBot="1" x14ac:dyDescent="0.3">
      <c r="A51" s="69"/>
      <c r="B51" s="69"/>
      <c r="C51" s="69"/>
      <c r="D51" s="69"/>
      <c r="E51" s="69"/>
      <c r="F51" s="69"/>
      <c r="G51" s="69"/>
      <c r="H51" s="69"/>
      <c r="I51" s="69"/>
      <c r="J51" s="301"/>
      <c r="K51" s="302"/>
      <c r="L51" s="302"/>
      <c r="M51" s="302"/>
      <c r="N51" s="302"/>
      <c r="O51" s="303"/>
      <c r="P51" s="301"/>
      <c r="Q51" s="302"/>
      <c r="R51" s="302"/>
      <c r="S51" s="302"/>
      <c r="T51" s="302"/>
      <c r="U51" s="303"/>
      <c r="V51" s="301"/>
      <c r="W51" s="302"/>
      <c r="X51" s="302"/>
      <c r="Y51" s="302"/>
      <c r="Z51" s="302"/>
      <c r="AA51" s="303"/>
      <c r="AB51" s="301"/>
      <c r="AC51" s="302"/>
      <c r="AD51" s="302"/>
      <c r="AE51" s="302"/>
      <c r="AF51" s="302"/>
      <c r="AG51" s="303"/>
      <c r="AH51" s="301"/>
      <c r="AI51" s="302"/>
      <c r="AJ51" s="302"/>
      <c r="AK51" s="302"/>
      <c r="AL51" s="302"/>
      <c r="AM51" s="303"/>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row>
    <row r="52" spans="1:80" x14ac:dyDescent="0.25">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row>
    <row r="53" spans="1:80" ht="15" customHeight="1" x14ac:dyDescent="0.25">
      <c r="A53" s="69"/>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row>
    <row r="54" spans="1:80" ht="15" customHeight="1" x14ac:dyDescent="0.25">
      <c r="A54" s="69"/>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row>
    <row r="55" spans="1:80" x14ac:dyDescent="0.2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row>
    <row r="56" spans="1:80" x14ac:dyDescent="0.25">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row>
    <row r="57" spans="1:80" x14ac:dyDescent="0.25">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row>
    <row r="58" spans="1:80" x14ac:dyDescent="0.25">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row>
    <row r="59" spans="1:80" x14ac:dyDescent="0.25">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row>
    <row r="60" spans="1:80" x14ac:dyDescent="0.25">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row>
    <row r="61" spans="1:80" x14ac:dyDescent="0.25">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row>
    <row r="62" spans="1:80"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c r="BI62" s="69"/>
      <c r="BJ62" s="69"/>
      <c r="BK62" s="69"/>
      <c r="BL62" s="69"/>
      <c r="BM62" s="69"/>
      <c r="BN62" s="69"/>
      <c r="BO62" s="69"/>
      <c r="BP62" s="69"/>
      <c r="BQ62" s="69"/>
      <c r="BR62" s="69"/>
      <c r="BS62" s="69"/>
      <c r="BT62" s="69"/>
      <c r="BU62" s="69"/>
      <c r="BV62" s="69"/>
      <c r="BW62" s="69"/>
      <c r="BX62" s="69"/>
      <c r="BY62" s="69"/>
      <c r="BZ62" s="69"/>
      <c r="CA62" s="69"/>
      <c r="CB62" s="69"/>
    </row>
    <row r="63" spans="1:80" x14ac:dyDescent="0.25">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row>
    <row r="64" spans="1:80" x14ac:dyDescent="0.25">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row>
    <row r="65" spans="1:80"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row>
    <row r="66" spans="1:80"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9"/>
      <c r="CA66" s="69"/>
      <c r="CB66" s="69"/>
    </row>
    <row r="67" spans="1:80"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row>
    <row r="68" spans="1:80"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69"/>
      <c r="BS68" s="69"/>
      <c r="BT68" s="69"/>
      <c r="BU68" s="69"/>
      <c r="BV68" s="69"/>
      <c r="BW68" s="69"/>
      <c r="BX68" s="69"/>
      <c r="BY68" s="69"/>
      <c r="BZ68" s="69"/>
      <c r="CA68" s="69"/>
      <c r="CB68" s="69"/>
    </row>
    <row r="69" spans="1:80"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row>
    <row r="70" spans="1:80"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69"/>
      <c r="BU70" s="69"/>
      <c r="BV70" s="69"/>
      <c r="BW70" s="69"/>
      <c r="BX70" s="69"/>
      <c r="BY70" s="69"/>
      <c r="BZ70" s="69"/>
      <c r="CA70" s="69"/>
      <c r="CB70" s="69"/>
    </row>
    <row r="71" spans="1:80"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69"/>
      <c r="BS71" s="69"/>
      <c r="BT71" s="69"/>
      <c r="BU71" s="69"/>
      <c r="BV71" s="69"/>
      <c r="BW71" s="69"/>
      <c r="BX71" s="69"/>
      <c r="BY71" s="69"/>
      <c r="BZ71" s="69"/>
      <c r="CA71" s="69"/>
      <c r="CB71" s="69"/>
    </row>
    <row r="72" spans="1:80"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69"/>
      <c r="BS72" s="69"/>
      <c r="BT72" s="69"/>
      <c r="BU72" s="69"/>
      <c r="BV72" s="69"/>
      <c r="BW72" s="69"/>
      <c r="BX72" s="69"/>
      <c r="BY72" s="69"/>
      <c r="BZ72" s="69"/>
      <c r="CA72" s="69"/>
      <c r="CB72" s="69"/>
    </row>
    <row r="73" spans="1:80"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row>
    <row r="74" spans="1:80"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69"/>
      <c r="BU74" s="69"/>
      <c r="BV74" s="69"/>
      <c r="BW74" s="69"/>
      <c r="BX74" s="69"/>
      <c r="BY74" s="69"/>
      <c r="BZ74" s="69"/>
      <c r="CA74" s="69"/>
      <c r="CB74" s="69"/>
    </row>
    <row r="75" spans="1:80"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9"/>
      <c r="BP75" s="69"/>
      <c r="BQ75" s="69"/>
      <c r="BR75" s="69"/>
      <c r="BS75" s="69"/>
      <c r="BT75" s="69"/>
      <c r="BU75" s="69"/>
      <c r="BV75" s="69"/>
      <c r="BW75" s="69"/>
      <c r="BX75" s="69"/>
      <c r="BY75" s="69"/>
      <c r="BZ75" s="69"/>
      <c r="CA75" s="69"/>
      <c r="CB75" s="69"/>
    </row>
    <row r="76" spans="1:80"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c r="BI76" s="69"/>
      <c r="BJ76" s="69"/>
      <c r="BK76" s="69"/>
      <c r="BL76" s="69"/>
      <c r="BM76" s="69"/>
      <c r="BN76" s="69"/>
      <c r="BO76" s="69"/>
      <c r="BP76" s="69"/>
      <c r="BQ76" s="69"/>
      <c r="BR76" s="69"/>
      <c r="BS76" s="69"/>
      <c r="BT76" s="69"/>
      <c r="BU76" s="69"/>
      <c r="BV76" s="69"/>
      <c r="BW76" s="69"/>
      <c r="BX76" s="69"/>
      <c r="BY76" s="69"/>
      <c r="BZ76" s="69"/>
      <c r="CA76" s="69"/>
      <c r="CB76" s="69"/>
    </row>
    <row r="77" spans="1:80"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c r="BI77" s="69"/>
      <c r="BJ77" s="69"/>
      <c r="BK77" s="69"/>
      <c r="BL77" s="69"/>
      <c r="BM77" s="69"/>
      <c r="BN77" s="69"/>
      <c r="BO77" s="69"/>
      <c r="BP77" s="69"/>
      <c r="BQ77" s="69"/>
      <c r="BR77" s="69"/>
      <c r="BS77" s="69"/>
      <c r="BT77" s="69"/>
      <c r="BU77" s="69"/>
      <c r="BV77" s="69"/>
      <c r="BW77" s="69"/>
      <c r="BX77" s="69"/>
      <c r="BY77" s="69"/>
      <c r="BZ77" s="69"/>
      <c r="CA77" s="69"/>
      <c r="CB77" s="69"/>
    </row>
    <row r="78" spans="1:80"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c r="BI78" s="69"/>
      <c r="BJ78" s="69"/>
      <c r="BK78" s="69"/>
      <c r="BL78" s="69"/>
      <c r="BM78" s="69"/>
      <c r="BN78" s="69"/>
      <c r="BO78" s="69"/>
      <c r="BP78" s="69"/>
      <c r="BQ78" s="69"/>
      <c r="BR78" s="69"/>
      <c r="BS78" s="69"/>
      <c r="BT78" s="69"/>
      <c r="BU78" s="69"/>
      <c r="BV78" s="69"/>
      <c r="BW78" s="69"/>
      <c r="BX78" s="69"/>
      <c r="BY78" s="69"/>
      <c r="BZ78" s="69"/>
      <c r="CA78" s="69"/>
      <c r="CB78" s="69"/>
    </row>
    <row r="79" spans="1:80"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c r="BI79" s="69"/>
      <c r="BJ79" s="69"/>
      <c r="BK79" s="69"/>
    </row>
    <row r="80" spans="1:80"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c r="BI80" s="69"/>
      <c r="BJ80" s="69"/>
      <c r="BK80" s="69"/>
    </row>
    <row r="81" spans="1:63"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c r="BI81" s="69"/>
      <c r="BJ81" s="69"/>
      <c r="BK81" s="69"/>
    </row>
    <row r="82" spans="1:63"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c r="BI82" s="69"/>
      <c r="BJ82" s="69"/>
      <c r="BK82" s="69"/>
    </row>
    <row r="83" spans="1:63"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c r="BI83" s="69"/>
      <c r="BJ83" s="69"/>
      <c r="BK83" s="69"/>
    </row>
    <row r="84" spans="1:63"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c r="BI84" s="69"/>
      <c r="BJ84" s="69"/>
      <c r="BK84" s="69"/>
    </row>
    <row r="85" spans="1:63"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c r="BI85" s="69"/>
      <c r="BJ85" s="69"/>
      <c r="BK85" s="69"/>
    </row>
    <row r="86" spans="1:63"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c r="BI86" s="69"/>
      <c r="BJ86" s="69"/>
      <c r="BK86" s="69"/>
    </row>
    <row r="87" spans="1:63"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c r="BI87" s="69"/>
      <c r="BJ87" s="69"/>
      <c r="BK87" s="69"/>
    </row>
    <row r="88" spans="1:63"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row>
    <row r="89" spans="1:63"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c r="BI89" s="69"/>
      <c r="BJ89" s="69"/>
      <c r="BK89" s="69"/>
    </row>
    <row r="90" spans="1:63"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c r="BI90" s="69"/>
      <c r="BJ90" s="69"/>
      <c r="BK90" s="69"/>
    </row>
    <row r="91" spans="1:63"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c r="BI91" s="69"/>
      <c r="BJ91" s="69"/>
      <c r="BK91" s="69"/>
    </row>
    <row r="92" spans="1:63"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c r="BI92" s="69"/>
      <c r="BJ92" s="69"/>
      <c r="BK92" s="69"/>
    </row>
    <row r="93" spans="1:63"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c r="BI93" s="69"/>
      <c r="BJ93" s="69"/>
      <c r="BK93" s="69"/>
    </row>
    <row r="94" spans="1:63"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c r="BI94" s="69"/>
      <c r="BJ94" s="69"/>
      <c r="BK94" s="69"/>
    </row>
    <row r="95" spans="1:63"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c r="BI95" s="69"/>
      <c r="BJ95" s="69"/>
      <c r="BK95" s="69"/>
    </row>
    <row r="96" spans="1:63"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c r="BI96" s="69"/>
      <c r="BJ96" s="69"/>
      <c r="BK96" s="69"/>
    </row>
    <row r="97" spans="1:63"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c r="BI97" s="69"/>
      <c r="BJ97" s="69"/>
      <c r="BK97" s="69"/>
    </row>
    <row r="98" spans="1:63"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c r="BI98" s="69"/>
      <c r="BJ98" s="69"/>
      <c r="BK98" s="69"/>
    </row>
    <row r="99" spans="1:63"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c r="BI99" s="69"/>
      <c r="BJ99" s="69"/>
      <c r="BK99" s="69"/>
    </row>
    <row r="100" spans="1:63"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c r="BI100" s="69"/>
      <c r="BJ100" s="69"/>
      <c r="BK100" s="69"/>
    </row>
    <row r="101" spans="1:63"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c r="BI101" s="69"/>
      <c r="BJ101" s="69"/>
      <c r="BK101" s="69"/>
    </row>
    <row r="102" spans="1:63"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c r="BI102" s="69"/>
      <c r="BJ102" s="69"/>
      <c r="BK102" s="69"/>
    </row>
    <row r="103" spans="1:63"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c r="BI103" s="69"/>
      <c r="BJ103" s="69"/>
      <c r="BK103" s="69"/>
    </row>
    <row r="104" spans="1:63"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c r="BI104" s="69"/>
      <c r="BJ104" s="69"/>
      <c r="BK104" s="69"/>
    </row>
    <row r="105" spans="1:63"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c r="BI105" s="69"/>
      <c r="BJ105" s="69"/>
      <c r="BK105" s="69"/>
    </row>
    <row r="106" spans="1:63"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c r="BI106" s="69"/>
      <c r="BJ106" s="69"/>
      <c r="BK106" s="69"/>
    </row>
    <row r="107" spans="1:63"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c r="BI107" s="69"/>
      <c r="BJ107" s="69"/>
      <c r="BK107" s="69"/>
    </row>
    <row r="108" spans="1:63"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c r="BI108" s="69"/>
      <c r="BJ108" s="69"/>
      <c r="BK108" s="69"/>
    </row>
    <row r="109" spans="1:63"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c r="BI109" s="69"/>
      <c r="BJ109" s="69"/>
      <c r="BK109" s="69"/>
    </row>
    <row r="110" spans="1:63"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row>
    <row r="111" spans="1:63"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row>
    <row r="112" spans="1:63"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c r="BI112" s="69"/>
      <c r="BJ112" s="69"/>
      <c r="BK112" s="69"/>
    </row>
    <row r="113" spans="1:63"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c r="BI113" s="69"/>
      <c r="BJ113" s="69"/>
      <c r="BK113" s="69"/>
    </row>
    <row r="114" spans="1:63"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c r="BI114" s="69"/>
      <c r="BJ114" s="69"/>
      <c r="BK114" s="69"/>
    </row>
    <row r="115" spans="1:63"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c r="BI115" s="69"/>
      <c r="BJ115" s="69"/>
      <c r="BK115" s="69"/>
    </row>
    <row r="116" spans="1:63"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c r="BI116" s="69"/>
      <c r="BJ116" s="69"/>
      <c r="BK116" s="69"/>
    </row>
    <row r="117" spans="1:63"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c r="BI117" s="69"/>
      <c r="BJ117" s="69"/>
      <c r="BK117" s="69"/>
    </row>
    <row r="118" spans="1:63"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c r="BI118" s="69"/>
      <c r="BJ118" s="69"/>
      <c r="BK118" s="69"/>
    </row>
    <row r="119" spans="1:63"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c r="BI119" s="69"/>
      <c r="BJ119" s="69"/>
      <c r="BK119" s="69"/>
    </row>
    <row r="120" spans="1:63"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c r="BI120" s="69"/>
      <c r="BJ120" s="69"/>
      <c r="BK120" s="69"/>
    </row>
    <row r="121" spans="1:63"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c r="BI121" s="69"/>
      <c r="BJ121" s="69"/>
      <c r="BK121" s="69"/>
    </row>
    <row r="122" spans="1:63" x14ac:dyDescent="0.25">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c r="BI122" s="69"/>
      <c r="BJ122" s="69"/>
      <c r="BK122" s="69"/>
    </row>
    <row r="123" spans="1:63" x14ac:dyDescent="0.25">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c r="BI123" s="69"/>
      <c r="BJ123" s="69"/>
      <c r="BK123" s="69"/>
    </row>
    <row r="124" spans="1:63" x14ac:dyDescent="0.25">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c r="BI124" s="69"/>
      <c r="BJ124" s="69"/>
      <c r="BK124" s="69"/>
    </row>
    <row r="125" spans="1:63" x14ac:dyDescent="0.25">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c r="BI125" s="69"/>
      <c r="BJ125" s="69"/>
      <c r="BK125" s="69"/>
    </row>
    <row r="126" spans="1:63" x14ac:dyDescent="0.25">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c r="BI126" s="69"/>
      <c r="BJ126" s="69"/>
      <c r="BK126" s="69"/>
    </row>
    <row r="127" spans="1:63" x14ac:dyDescent="0.25">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c r="BI127" s="69"/>
      <c r="BJ127" s="69"/>
      <c r="BK127" s="69"/>
    </row>
    <row r="128" spans="1:63" x14ac:dyDescent="0.25">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c r="BI128" s="69"/>
      <c r="BJ128" s="69"/>
      <c r="BK128" s="69"/>
    </row>
    <row r="129" spans="2:63" x14ac:dyDescent="0.25">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c r="BI129" s="69"/>
      <c r="BJ129" s="69"/>
      <c r="BK129" s="69"/>
    </row>
    <row r="130" spans="2:63" x14ac:dyDescent="0.25">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c r="BI130" s="69"/>
      <c r="BJ130" s="69"/>
      <c r="BK130" s="69"/>
    </row>
    <row r="131" spans="2:63" x14ac:dyDescent="0.25">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c r="BI131" s="69"/>
      <c r="BJ131" s="69"/>
      <c r="BK131" s="69"/>
    </row>
    <row r="132" spans="2:63" x14ac:dyDescent="0.25">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c r="BI132" s="69"/>
      <c r="BJ132" s="69"/>
      <c r="BK132" s="69"/>
    </row>
    <row r="133" spans="2:63" x14ac:dyDescent="0.25">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c r="BI133" s="69"/>
      <c r="BJ133" s="69"/>
      <c r="BK133" s="69"/>
    </row>
    <row r="134" spans="2:63" x14ac:dyDescent="0.25">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c r="BI134" s="69"/>
      <c r="BJ134" s="69"/>
      <c r="BK134" s="69"/>
    </row>
    <row r="135" spans="2:63" x14ac:dyDescent="0.25">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c r="BI135" s="69"/>
      <c r="BJ135" s="69"/>
      <c r="BK135" s="69"/>
    </row>
    <row r="136" spans="2:63" x14ac:dyDescent="0.25">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c r="BI136" s="69"/>
      <c r="BJ136" s="69"/>
      <c r="BK136" s="69"/>
    </row>
    <row r="137" spans="2:63" x14ac:dyDescent="0.25">
      <c r="B137" s="69"/>
      <c r="C137" s="69"/>
      <c r="D137" s="69"/>
      <c r="E137" s="69"/>
      <c r="F137" s="69"/>
      <c r="G137" s="69"/>
      <c r="H137" s="69"/>
      <c r="I137" s="69"/>
    </row>
    <row r="138" spans="2:63" x14ac:dyDescent="0.25">
      <c r="B138" s="69"/>
      <c r="C138" s="69"/>
      <c r="D138" s="69"/>
      <c r="E138" s="69"/>
      <c r="F138" s="69"/>
      <c r="G138" s="69"/>
      <c r="H138" s="69"/>
      <c r="I138" s="69"/>
    </row>
    <row r="139" spans="2:63" x14ac:dyDescent="0.25">
      <c r="B139" s="69"/>
      <c r="C139" s="69"/>
      <c r="D139" s="69"/>
      <c r="E139" s="69"/>
      <c r="F139" s="69"/>
      <c r="G139" s="69"/>
      <c r="H139" s="69"/>
      <c r="I139" s="69"/>
    </row>
    <row r="140" spans="2:63" x14ac:dyDescent="0.25">
      <c r="B140" s="69"/>
      <c r="C140" s="69"/>
      <c r="D140" s="69"/>
      <c r="E140" s="69"/>
      <c r="F140" s="69"/>
      <c r="G140" s="69"/>
      <c r="H140" s="69"/>
      <c r="I140" s="69"/>
    </row>
  </sheetData>
  <mergeCells count="317">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42:AC43"/>
    <mergeCell ref="AD42:AE43"/>
    <mergeCell ref="AF42:AG43"/>
    <mergeCell ref="AB44:AC45"/>
    <mergeCell ref="AD44:AE45"/>
    <mergeCell ref="AF44:AG45"/>
    <mergeCell ref="AB38:AC39"/>
    <mergeCell ref="AD38:AE39"/>
    <mergeCell ref="AF38:AG39"/>
    <mergeCell ref="AB40:AC41"/>
    <mergeCell ref="AD40:AE41"/>
    <mergeCell ref="AF40:AG41"/>
    <mergeCell ref="AH10:AI11"/>
    <mergeCell ref="AJ10:AK11"/>
    <mergeCell ref="AL10:AM11"/>
    <mergeCell ref="AH12:AI13"/>
    <mergeCell ref="AJ12:AK13"/>
    <mergeCell ref="AL12:AM13"/>
    <mergeCell ref="AH6:AI7"/>
    <mergeCell ref="AJ6:AK7"/>
    <mergeCell ref="AL6:AM7"/>
    <mergeCell ref="AH8:AI9"/>
    <mergeCell ref="AJ8:AK9"/>
    <mergeCell ref="AL8:AM9"/>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42:AI43"/>
    <mergeCell ref="AJ42:AK43"/>
    <mergeCell ref="AL42:AM43"/>
    <mergeCell ref="AH44:AI45"/>
    <mergeCell ref="AJ44:AK45"/>
    <mergeCell ref="AL44:AM45"/>
    <mergeCell ref="AH38:AI39"/>
    <mergeCell ref="AJ38:AK39"/>
    <mergeCell ref="AL38:AM39"/>
    <mergeCell ref="AH40:AI41"/>
    <mergeCell ref="AJ40:AK41"/>
    <mergeCell ref="AL40:AM41"/>
    <mergeCell ref="J18:K19"/>
    <mergeCell ref="L18:M19"/>
    <mergeCell ref="N18:O19"/>
    <mergeCell ref="J20:K21"/>
    <mergeCell ref="L20:M21"/>
    <mergeCell ref="N20:O21"/>
    <mergeCell ref="J14:K15"/>
    <mergeCell ref="L14:M15"/>
    <mergeCell ref="N14:O15"/>
    <mergeCell ref="J16:K17"/>
    <mergeCell ref="L16:M17"/>
    <mergeCell ref="N16:O17"/>
    <mergeCell ref="P18:Q19"/>
    <mergeCell ref="R18:S19"/>
    <mergeCell ref="T18:U19"/>
    <mergeCell ref="P20:Q21"/>
    <mergeCell ref="R20:S21"/>
    <mergeCell ref="T20:U21"/>
    <mergeCell ref="P14:Q15"/>
    <mergeCell ref="R14:S15"/>
    <mergeCell ref="T14:U15"/>
    <mergeCell ref="P16:Q17"/>
    <mergeCell ref="R16:S17"/>
    <mergeCell ref="T16:U17"/>
    <mergeCell ref="J26:K27"/>
    <mergeCell ref="L26:M27"/>
    <mergeCell ref="N26:O27"/>
    <mergeCell ref="J28:K29"/>
    <mergeCell ref="L28:M29"/>
    <mergeCell ref="N28:O29"/>
    <mergeCell ref="J22:K23"/>
    <mergeCell ref="L22:M23"/>
    <mergeCell ref="N22:O23"/>
    <mergeCell ref="J24:K25"/>
    <mergeCell ref="L24:M25"/>
    <mergeCell ref="N24:O25"/>
    <mergeCell ref="P26:Q27"/>
    <mergeCell ref="R26:S27"/>
    <mergeCell ref="T26:U27"/>
    <mergeCell ref="P28:Q29"/>
    <mergeCell ref="R28:S29"/>
    <mergeCell ref="T28:U29"/>
    <mergeCell ref="P22:Q23"/>
    <mergeCell ref="R22:S23"/>
    <mergeCell ref="T22:U23"/>
    <mergeCell ref="P24:Q25"/>
    <mergeCell ref="R24:S25"/>
    <mergeCell ref="T24:U25"/>
    <mergeCell ref="V26:W27"/>
    <mergeCell ref="X26:Y27"/>
    <mergeCell ref="Z26:AA27"/>
    <mergeCell ref="V28:W29"/>
    <mergeCell ref="X28:Y29"/>
    <mergeCell ref="Z28:AA29"/>
    <mergeCell ref="V22:W23"/>
    <mergeCell ref="X22:Y23"/>
    <mergeCell ref="Z22:AA23"/>
    <mergeCell ref="V24:W25"/>
    <mergeCell ref="X24:Y25"/>
    <mergeCell ref="Z24:AA25"/>
    <mergeCell ref="V34:W35"/>
    <mergeCell ref="X34:Y35"/>
    <mergeCell ref="Z34:AA35"/>
    <mergeCell ref="V36:W37"/>
    <mergeCell ref="X36:Y37"/>
    <mergeCell ref="Z36:AA37"/>
    <mergeCell ref="V30:W31"/>
    <mergeCell ref="X30:Y31"/>
    <mergeCell ref="Z30:AA31"/>
    <mergeCell ref="V32:W33"/>
    <mergeCell ref="X32:Y33"/>
    <mergeCell ref="Z32:AA33"/>
    <mergeCell ref="P34:Q35"/>
    <mergeCell ref="R34:S35"/>
    <mergeCell ref="T34:U35"/>
    <mergeCell ref="P36:Q37"/>
    <mergeCell ref="R36:S37"/>
    <mergeCell ref="T36:U37"/>
    <mergeCell ref="P30:Q31"/>
    <mergeCell ref="R30:S31"/>
    <mergeCell ref="T30:U31"/>
    <mergeCell ref="P32:Q33"/>
    <mergeCell ref="R32:S33"/>
    <mergeCell ref="T32:U33"/>
    <mergeCell ref="V42:W43"/>
    <mergeCell ref="X42:Y43"/>
    <mergeCell ref="Z42:AA43"/>
    <mergeCell ref="V44:W45"/>
    <mergeCell ref="X44:Y45"/>
    <mergeCell ref="Z44:AA45"/>
    <mergeCell ref="V38:W39"/>
    <mergeCell ref="X38:Y39"/>
    <mergeCell ref="Z38:AA39"/>
    <mergeCell ref="V40:W41"/>
    <mergeCell ref="X40:Y41"/>
    <mergeCell ref="Z40:AA41"/>
    <mergeCell ref="N40:O41"/>
    <mergeCell ref="J34:K35"/>
    <mergeCell ref="L34:M35"/>
    <mergeCell ref="N34:O35"/>
    <mergeCell ref="J36:K37"/>
    <mergeCell ref="L36:M37"/>
    <mergeCell ref="N36:O37"/>
    <mergeCell ref="J30:K31"/>
    <mergeCell ref="L30:M31"/>
    <mergeCell ref="N30:O31"/>
    <mergeCell ref="J32:K33"/>
    <mergeCell ref="L32:M33"/>
    <mergeCell ref="N32:O33"/>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M248"/>
  <sheetViews>
    <sheetView zoomScale="50" zoomScaleNormal="50" workbookViewId="0">
      <selection activeCell="BB46" sqref="BB46"/>
    </sheetView>
  </sheetViews>
  <sheetFormatPr baseColWidth="10" defaultRowHeight="15" x14ac:dyDescent="0.25"/>
  <cols>
    <col min="2" max="18" width="5.7109375" customWidth="1" collapsed="1"/>
    <col min="19" max="19" width="8.42578125" customWidth="1" collapsed="1"/>
    <col min="20" max="23" width="5.7109375" customWidth="1" collapsed="1"/>
    <col min="24" max="24" width="8.5703125" customWidth="1" collapsed="1"/>
    <col min="25" max="26" width="5.7109375" customWidth="1" collapsed="1"/>
    <col min="27" max="27" width="10.7109375" customWidth="1" collapsed="1"/>
    <col min="28" max="28" width="5.7109375" customWidth="1" collapsed="1"/>
    <col min="29" max="29" width="7.42578125" customWidth="1" collapsed="1"/>
    <col min="30" max="33" width="5.7109375" customWidth="1" collapsed="1"/>
    <col min="34" max="34" width="8.5703125" customWidth="1" collapsed="1"/>
    <col min="35" max="39" width="5.7109375" customWidth="1" collapsed="1"/>
    <col min="41" max="46" width="5.7109375" customWidth="1" collapsed="1"/>
  </cols>
  <sheetData>
    <row r="1" spans="1:91"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row>
    <row r="2" spans="1:91" ht="18" customHeight="1" x14ac:dyDescent="0.25">
      <c r="A2" s="69"/>
      <c r="B2" s="372" t="s">
        <v>158</v>
      </c>
      <c r="C2" s="373"/>
      <c r="D2" s="373"/>
      <c r="E2" s="373"/>
      <c r="F2" s="373"/>
      <c r="G2" s="373"/>
      <c r="H2" s="373"/>
      <c r="I2" s="373"/>
      <c r="J2" s="294" t="s">
        <v>2</v>
      </c>
      <c r="K2" s="294"/>
      <c r="L2" s="294"/>
      <c r="M2" s="294"/>
      <c r="N2" s="294"/>
      <c r="O2" s="294"/>
      <c r="P2" s="294"/>
      <c r="Q2" s="294"/>
      <c r="R2" s="294"/>
      <c r="S2" s="294"/>
      <c r="T2" s="294"/>
      <c r="U2" s="294"/>
      <c r="V2" s="294"/>
      <c r="W2" s="294"/>
      <c r="X2" s="294"/>
      <c r="Y2" s="294"/>
      <c r="Z2" s="294"/>
      <c r="AA2" s="294"/>
      <c r="AB2" s="294"/>
      <c r="AC2" s="294"/>
      <c r="AD2" s="294"/>
      <c r="AE2" s="294"/>
      <c r="AF2" s="294"/>
      <c r="AG2" s="294"/>
      <c r="AH2" s="294"/>
      <c r="AI2" s="294"/>
      <c r="AJ2" s="294"/>
      <c r="AK2" s="294"/>
      <c r="AL2" s="294"/>
      <c r="AM2" s="294"/>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row>
    <row r="3" spans="1:91" ht="18.75" customHeight="1" x14ac:dyDescent="0.25">
      <c r="A3" s="69"/>
      <c r="B3" s="373"/>
      <c r="C3" s="373"/>
      <c r="D3" s="373"/>
      <c r="E3" s="373"/>
      <c r="F3" s="373"/>
      <c r="G3" s="373"/>
      <c r="H3" s="373"/>
      <c r="I3" s="373"/>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94"/>
      <c r="AI3" s="294"/>
      <c r="AJ3" s="294"/>
      <c r="AK3" s="294"/>
      <c r="AL3" s="294"/>
      <c r="AM3" s="294"/>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row>
    <row r="4" spans="1:91" ht="15" customHeight="1" x14ac:dyDescent="0.25">
      <c r="A4" s="69"/>
      <c r="B4" s="373"/>
      <c r="C4" s="373"/>
      <c r="D4" s="373"/>
      <c r="E4" s="373"/>
      <c r="F4" s="373"/>
      <c r="G4" s="373"/>
      <c r="H4" s="373"/>
      <c r="I4" s="373"/>
      <c r="J4" s="294"/>
      <c r="K4" s="294"/>
      <c r="L4" s="294"/>
      <c r="M4" s="294"/>
      <c r="N4" s="294"/>
      <c r="O4" s="294"/>
      <c r="P4" s="294"/>
      <c r="Q4" s="294"/>
      <c r="R4" s="294"/>
      <c r="S4" s="294"/>
      <c r="T4" s="294"/>
      <c r="U4" s="294"/>
      <c r="V4" s="294"/>
      <c r="W4" s="294"/>
      <c r="X4" s="294"/>
      <c r="Y4" s="294"/>
      <c r="Z4" s="294"/>
      <c r="AA4" s="294"/>
      <c r="AB4" s="294"/>
      <c r="AC4" s="294"/>
      <c r="AD4" s="294"/>
      <c r="AE4" s="294"/>
      <c r="AF4" s="294"/>
      <c r="AG4" s="294"/>
      <c r="AH4" s="294"/>
      <c r="AI4" s="294"/>
      <c r="AJ4" s="294"/>
      <c r="AK4" s="294"/>
      <c r="AL4" s="294"/>
      <c r="AM4" s="294"/>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row>
    <row r="5" spans="1:91" ht="15.75" thickBot="1" x14ac:dyDescent="0.3">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row>
    <row r="6" spans="1:91" ht="15" customHeight="1" x14ac:dyDescent="0.25">
      <c r="A6" s="69"/>
      <c r="B6" s="305" t="s">
        <v>4</v>
      </c>
      <c r="C6" s="305"/>
      <c r="D6" s="306"/>
      <c r="E6" s="343" t="s">
        <v>116</v>
      </c>
      <c r="F6" s="344"/>
      <c r="G6" s="344"/>
      <c r="H6" s="344"/>
      <c r="I6" s="345"/>
      <c r="J6" s="32" t="e">
        <f>IF(AND('Mapa final'!#REF!="Muy Alta",'Mapa final'!#REF!="Leve"),CONCATENATE("R1C",'Mapa final'!#REF!),"")</f>
        <v>#REF!</v>
      </c>
      <c r="K6" s="33" t="e">
        <f>IF(AND('Mapa final'!#REF!="Muy Alta",'Mapa final'!#REF!="Leve"),CONCATENATE("R1C",'Mapa final'!#REF!),"")</f>
        <v>#REF!</v>
      </c>
      <c r="L6" s="33" t="e">
        <f>IF(AND('Mapa final'!#REF!="Muy Alta",'Mapa final'!#REF!="Leve"),CONCATENATE("R1C",'Mapa final'!#REF!),"")</f>
        <v>#REF!</v>
      </c>
      <c r="M6" s="33" t="e">
        <f>IF(AND('Mapa final'!#REF!="Muy Alta",'Mapa final'!#REF!="Leve"),CONCATENATE("R1C",'Mapa final'!#REF!),"")</f>
        <v>#REF!</v>
      </c>
      <c r="N6" s="33" t="e">
        <f>IF(AND('Mapa final'!#REF!="Muy Alta",'Mapa final'!#REF!="Leve"),CONCATENATE("R1C",'Mapa final'!#REF!),"")</f>
        <v>#REF!</v>
      </c>
      <c r="O6" s="34" t="e">
        <f>IF(AND('Mapa final'!#REF!="Muy Alta",'Mapa final'!#REF!="Leve"),CONCATENATE("R1C",'Mapa final'!#REF!),"")</f>
        <v>#REF!</v>
      </c>
      <c r="P6" s="32" t="e">
        <f>IF(AND('Mapa final'!#REF!="Muy Alta",'Mapa final'!#REF!="Menor"),CONCATENATE("R1C",'Mapa final'!#REF!),"")</f>
        <v>#REF!</v>
      </c>
      <c r="Q6" s="33" t="e">
        <f>IF(AND('Mapa final'!#REF!="Muy Alta",'Mapa final'!#REF!="Menor"),CONCATENATE("R1C",'Mapa final'!#REF!),"")</f>
        <v>#REF!</v>
      </c>
      <c r="R6" s="33" t="e">
        <f>IF(AND('Mapa final'!#REF!="Muy Alta",'Mapa final'!#REF!="Menor"),CONCATENATE("R1C",'Mapa final'!#REF!),"")</f>
        <v>#REF!</v>
      </c>
      <c r="S6" s="33" t="e">
        <f>IF(AND('Mapa final'!#REF!="Muy Alta",'Mapa final'!#REF!="Menor"),CONCATENATE("R1C",'Mapa final'!#REF!),"")</f>
        <v>#REF!</v>
      </c>
      <c r="T6" s="33" t="e">
        <f>IF(AND('Mapa final'!#REF!="Muy Alta",'Mapa final'!#REF!="Menor"),CONCATENATE("R1C",'Mapa final'!#REF!),"")</f>
        <v>#REF!</v>
      </c>
      <c r="U6" s="34" t="e">
        <f>IF(AND('Mapa final'!#REF!="Muy Alta",'Mapa final'!#REF!="Menor"),CONCATENATE("R1C",'Mapa final'!#REF!),"")</f>
        <v>#REF!</v>
      </c>
      <c r="V6" s="32" t="e">
        <f>IF(AND('Mapa final'!#REF!="Muy Alta",'Mapa final'!#REF!="Moderado"),CONCATENATE("R1C",'Mapa final'!#REF!),"")</f>
        <v>#REF!</v>
      </c>
      <c r="W6" s="33" t="e">
        <f>IF(AND('Mapa final'!#REF!="Muy Alta",'Mapa final'!#REF!="Moderado"),CONCATENATE("R1C",'Mapa final'!#REF!),"")</f>
        <v>#REF!</v>
      </c>
      <c r="X6" s="33" t="e">
        <f>IF(AND('Mapa final'!#REF!="Muy Alta",'Mapa final'!#REF!="Moderado"),CONCATENATE("R1C",'Mapa final'!#REF!),"")</f>
        <v>#REF!</v>
      </c>
      <c r="Y6" s="33" t="e">
        <f>IF(AND('Mapa final'!#REF!="Muy Alta",'Mapa final'!#REF!="Moderado"),CONCATENATE("R1C",'Mapa final'!#REF!),"")</f>
        <v>#REF!</v>
      </c>
      <c r="Z6" s="33" t="e">
        <f>IF(AND('Mapa final'!#REF!="Muy Alta",'Mapa final'!#REF!="Moderado"),CONCATENATE("R1C",'Mapa final'!#REF!),"")</f>
        <v>#REF!</v>
      </c>
      <c r="AA6" s="34" t="e">
        <f>IF(AND('Mapa final'!#REF!="Muy Alta",'Mapa final'!#REF!="Moderado"),CONCATENATE("R1C",'Mapa final'!#REF!),"")</f>
        <v>#REF!</v>
      </c>
      <c r="AB6" s="32" t="e">
        <f>IF(AND('Mapa final'!#REF!="Muy Alta",'Mapa final'!#REF!="Mayor"),CONCATENATE("R1C",'Mapa final'!#REF!),"")</f>
        <v>#REF!</v>
      </c>
      <c r="AC6" s="33" t="e">
        <f>IF(AND('Mapa final'!#REF!="Muy Alta",'Mapa final'!#REF!="Mayor"),CONCATENATE("R1C",'Mapa final'!#REF!),"")</f>
        <v>#REF!</v>
      </c>
      <c r="AD6" s="33" t="e">
        <f>IF(AND('Mapa final'!#REF!="Muy Alta",'Mapa final'!#REF!="Mayor"),CONCATENATE("R1C",'Mapa final'!#REF!),"")</f>
        <v>#REF!</v>
      </c>
      <c r="AE6" s="33" t="e">
        <f>IF(AND('Mapa final'!#REF!="Muy Alta",'Mapa final'!#REF!="Mayor"),CONCATENATE("R1C",'Mapa final'!#REF!),"")</f>
        <v>#REF!</v>
      </c>
      <c r="AF6" s="33" t="e">
        <f>IF(AND('Mapa final'!#REF!="Muy Alta",'Mapa final'!#REF!="Mayor"),CONCATENATE("R1C",'Mapa final'!#REF!),"")</f>
        <v>#REF!</v>
      </c>
      <c r="AG6" s="34" t="e">
        <f>IF(AND('Mapa final'!#REF!="Muy Alta",'Mapa final'!#REF!="Mayor"),CONCATENATE("R1C",'Mapa final'!#REF!),"")</f>
        <v>#REF!</v>
      </c>
      <c r="AH6" s="35" t="e">
        <f>IF(AND('Mapa final'!#REF!="Muy Alta",'Mapa final'!#REF!="Catastrófico"),CONCATENATE("R1C",'Mapa final'!#REF!),"")</f>
        <v>#REF!</v>
      </c>
      <c r="AI6" s="36" t="e">
        <f>IF(AND('Mapa final'!#REF!="Muy Alta",'Mapa final'!#REF!="Catastrófico"),CONCATENATE("R1C",'Mapa final'!#REF!),"")</f>
        <v>#REF!</v>
      </c>
      <c r="AJ6" s="36" t="e">
        <f>IF(AND('Mapa final'!#REF!="Muy Alta",'Mapa final'!#REF!="Catastrófico"),CONCATENATE("R1C",'Mapa final'!#REF!),"")</f>
        <v>#REF!</v>
      </c>
      <c r="AK6" s="36" t="e">
        <f>IF(AND('Mapa final'!#REF!="Muy Alta",'Mapa final'!#REF!="Catastrófico"),CONCATENATE("R1C",'Mapa final'!#REF!),"")</f>
        <v>#REF!</v>
      </c>
      <c r="AL6" s="36" t="e">
        <f>IF(AND('Mapa final'!#REF!="Muy Alta",'Mapa final'!#REF!="Catastrófico"),CONCATENATE("R1C",'Mapa final'!#REF!),"")</f>
        <v>#REF!</v>
      </c>
      <c r="AM6" s="37" t="e">
        <f>IF(AND('Mapa final'!#REF!="Muy Alta",'Mapa final'!#REF!="Catastrófico"),CONCATENATE("R1C",'Mapa final'!#REF!),"")</f>
        <v>#REF!</v>
      </c>
      <c r="AN6" s="69"/>
      <c r="AO6" s="363" t="s">
        <v>79</v>
      </c>
      <c r="AP6" s="364"/>
      <c r="AQ6" s="364"/>
      <c r="AR6" s="364"/>
      <c r="AS6" s="364"/>
      <c r="AT6" s="365"/>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row>
    <row r="7" spans="1:91" ht="15" customHeight="1" x14ac:dyDescent="0.25">
      <c r="A7" s="69"/>
      <c r="B7" s="305"/>
      <c r="C7" s="305"/>
      <c r="D7" s="306"/>
      <c r="E7" s="346"/>
      <c r="F7" s="347"/>
      <c r="G7" s="347"/>
      <c r="H7" s="347"/>
      <c r="I7" s="348"/>
      <c r="J7" s="38" t="e">
        <f>IF(AND('Mapa final'!#REF!="Muy Alta",'Mapa final'!#REF!="Leve"),CONCATENATE("R2C",'Mapa final'!#REF!),"")</f>
        <v>#REF!</v>
      </c>
      <c r="K7" s="39" t="e">
        <f>IF(AND('Mapa final'!#REF!="Muy Alta",'Mapa final'!#REF!="Leve"),CONCATENATE("R2C",'Mapa final'!#REF!),"")</f>
        <v>#REF!</v>
      </c>
      <c r="L7" s="39" t="e">
        <f>IF(AND('Mapa final'!#REF!="Muy Alta",'Mapa final'!#REF!="Leve"),CONCATENATE("R2C",'Mapa final'!#REF!),"")</f>
        <v>#REF!</v>
      </c>
      <c r="M7" s="39" t="e">
        <f>IF(AND('Mapa final'!#REF!="Muy Alta",'Mapa final'!#REF!="Leve"),CONCATENATE("R2C",'Mapa final'!#REF!),"")</f>
        <v>#REF!</v>
      </c>
      <c r="N7" s="39" t="e">
        <f>IF(AND('Mapa final'!#REF!="Muy Alta",'Mapa final'!#REF!="Leve"),CONCATENATE("R2C",'Mapa final'!#REF!),"")</f>
        <v>#REF!</v>
      </c>
      <c r="O7" s="40" t="e">
        <f>IF(AND('Mapa final'!#REF!="Muy Alta",'Mapa final'!#REF!="Leve"),CONCATENATE("R2C",'Mapa final'!#REF!),"")</f>
        <v>#REF!</v>
      </c>
      <c r="P7" s="38" t="e">
        <f>IF(AND('Mapa final'!#REF!="Muy Alta",'Mapa final'!#REF!="Menor"),CONCATENATE("R2C",'Mapa final'!#REF!),"")</f>
        <v>#REF!</v>
      </c>
      <c r="Q7" s="39" t="e">
        <f>IF(AND('Mapa final'!#REF!="Muy Alta",'Mapa final'!#REF!="Menor"),CONCATENATE("R2C",'Mapa final'!#REF!),"")</f>
        <v>#REF!</v>
      </c>
      <c r="R7" s="39" t="e">
        <f>IF(AND('Mapa final'!#REF!="Muy Alta",'Mapa final'!#REF!="Menor"),CONCATENATE("R2C",'Mapa final'!#REF!),"")</f>
        <v>#REF!</v>
      </c>
      <c r="S7" s="39" t="e">
        <f>IF(AND('Mapa final'!#REF!="Muy Alta",'Mapa final'!#REF!="Menor"),CONCATENATE("R2C",'Mapa final'!#REF!),"")</f>
        <v>#REF!</v>
      </c>
      <c r="T7" s="39" t="e">
        <f>IF(AND('Mapa final'!#REF!="Muy Alta",'Mapa final'!#REF!="Menor"),CONCATENATE("R2C",'Mapa final'!#REF!),"")</f>
        <v>#REF!</v>
      </c>
      <c r="U7" s="40" t="e">
        <f>IF(AND('Mapa final'!#REF!="Muy Alta",'Mapa final'!#REF!="Menor"),CONCATENATE("R2C",'Mapa final'!#REF!),"")</f>
        <v>#REF!</v>
      </c>
      <c r="V7" s="38" t="e">
        <f>IF(AND('Mapa final'!#REF!="Muy Alta",'Mapa final'!#REF!="Moderado"),CONCATENATE("R2C",'Mapa final'!#REF!),"")</f>
        <v>#REF!</v>
      </c>
      <c r="W7" s="39" t="e">
        <f>IF(AND('Mapa final'!#REF!="Muy Alta",'Mapa final'!#REF!="Moderado"),CONCATENATE("R2C",'Mapa final'!#REF!),"")</f>
        <v>#REF!</v>
      </c>
      <c r="X7" s="39" t="e">
        <f>IF(AND('Mapa final'!#REF!="Muy Alta",'Mapa final'!#REF!="Moderado"),CONCATENATE("R2C",'Mapa final'!#REF!),"")</f>
        <v>#REF!</v>
      </c>
      <c r="Y7" s="39" t="e">
        <f>IF(AND('Mapa final'!#REF!="Muy Alta",'Mapa final'!#REF!="Moderado"),CONCATENATE("R2C",'Mapa final'!#REF!),"")</f>
        <v>#REF!</v>
      </c>
      <c r="Z7" s="39" t="e">
        <f>IF(AND('Mapa final'!#REF!="Muy Alta",'Mapa final'!#REF!="Moderado"),CONCATENATE("R2C",'Mapa final'!#REF!),"")</f>
        <v>#REF!</v>
      </c>
      <c r="AA7" s="40" t="e">
        <f>IF(AND('Mapa final'!#REF!="Muy Alta",'Mapa final'!#REF!="Moderado"),CONCATENATE("R2C",'Mapa final'!#REF!),"")</f>
        <v>#REF!</v>
      </c>
      <c r="AB7" s="38" t="e">
        <f>IF(AND('Mapa final'!#REF!="Muy Alta",'Mapa final'!#REF!="Mayor"),CONCATENATE("R2C",'Mapa final'!#REF!),"")</f>
        <v>#REF!</v>
      </c>
      <c r="AC7" s="39" t="e">
        <f>IF(AND('Mapa final'!#REF!="Muy Alta",'Mapa final'!#REF!="Mayor"),CONCATENATE("R2C",'Mapa final'!#REF!),"")</f>
        <v>#REF!</v>
      </c>
      <c r="AD7" s="39" t="e">
        <f>IF(AND('Mapa final'!#REF!="Muy Alta",'Mapa final'!#REF!="Mayor"),CONCATENATE("R2C",'Mapa final'!#REF!),"")</f>
        <v>#REF!</v>
      </c>
      <c r="AE7" s="39" t="e">
        <f>IF(AND('Mapa final'!#REF!="Muy Alta",'Mapa final'!#REF!="Mayor"),CONCATENATE("R2C",'Mapa final'!#REF!),"")</f>
        <v>#REF!</v>
      </c>
      <c r="AF7" s="39" t="e">
        <f>IF(AND('Mapa final'!#REF!="Muy Alta",'Mapa final'!#REF!="Mayor"),CONCATENATE("R2C",'Mapa final'!#REF!),"")</f>
        <v>#REF!</v>
      </c>
      <c r="AG7" s="40" t="e">
        <f>IF(AND('Mapa final'!#REF!="Muy Alta",'Mapa final'!#REF!="Mayor"),CONCATENATE("R2C",'Mapa final'!#REF!),"")</f>
        <v>#REF!</v>
      </c>
      <c r="AH7" s="41" t="e">
        <f>IF(AND('Mapa final'!#REF!="Muy Alta",'Mapa final'!#REF!="Catastrófico"),CONCATENATE("R2C",'Mapa final'!#REF!),"")</f>
        <v>#REF!</v>
      </c>
      <c r="AI7" s="42" t="e">
        <f>IF(AND('Mapa final'!#REF!="Muy Alta",'Mapa final'!#REF!="Catastrófico"),CONCATENATE("R2C",'Mapa final'!#REF!),"")</f>
        <v>#REF!</v>
      </c>
      <c r="AJ7" s="42" t="e">
        <f>IF(AND('Mapa final'!#REF!="Muy Alta",'Mapa final'!#REF!="Catastrófico"),CONCATENATE("R2C",'Mapa final'!#REF!),"")</f>
        <v>#REF!</v>
      </c>
      <c r="AK7" s="42" t="e">
        <f>IF(AND('Mapa final'!#REF!="Muy Alta",'Mapa final'!#REF!="Catastrófico"),CONCATENATE("R2C",'Mapa final'!#REF!),"")</f>
        <v>#REF!</v>
      </c>
      <c r="AL7" s="42" t="e">
        <f>IF(AND('Mapa final'!#REF!="Muy Alta",'Mapa final'!#REF!="Catastrófico"),CONCATENATE("R2C",'Mapa final'!#REF!),"")</f>
        <v>#REF!</v>
      </c>
      <c r="AM7" s="43" t="e">
        <f>IF(AND('Mapa final'!#REF!="Muy Alta",'Mapa final'!#REF!="Catastrófico"),CONCATENATE("R2C",'Mapa final'!#REF!),"")</f>
        <v>#REF!</v>
      </c>
      <c r="AN7" s="69"/>
      <c r="AO7" s="366"/>
      <c r="AP7" s="367"/>
      <c r="AQ7" s="367"/>
      <c r="AR7" s="367"/>
      <c r="AS7" s="367"/>
      <c r="AT7" s="368"/>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row>
    <row r="8" spans="1:91" ht="15" customHeight="1" x14ac:dyDescent="0.25">
      <c r="A8" s="69"/>
      <c r="B8" s="305"/>
      <c r="C8" s="305"/>
      <c r="D8" s="306"/>
      <c r="E8" s="346"/>
      <c r="F8" s="347"/>
      <c r="G8" s="347"/>
      <c r="H8" s="347"/>
      <c r="I8" s="348"/>
      <c r="J8" s="38" t="e">
        <f>IF(AND('Mapa final'!#REF!="Muy Alta",'Mapa final'!#REF!="Leve"),CONCATENATE("R3C",'Mapa final'!#REF!),"")</f>
        <v>#REF!</v>
      </c>
      <c r="K8" s="39" t="e">
        <f>IF(AND('Mapa final'!#REF!="Muy Alta",'Mapa final'!#REF!="Leve"),CONCATENATE("R3C",'Mapa final'!#REF!),"")</f>
        <v>#REF!</v>
      </c>
      <c r="L8" s="39" t="e">
        <f>IF(AND('Mapa final'!#REF!="Muy Alta",'Mapa final'!#REF!="Leve"),CONCATENATE("R3C",'Mapa final'!#REF!),"")</f>
        <v>#REF!</v>
      </c>
      <c r="M8" s="39" t="e">
        <f>IF(AND('Mapa final'!#REF!="Muy Alta",'Mapa final'!#REF!="Leve"),CONCATENATE("R3C",'Mapa final'!#REF!),"")</f>
        <v>#REF!</v>
      </c>
      <c r="N8" s="39" t="e">
        <f>IF(AND('Mapa final'!#REF!="Muy Alta",'Mapa final'!#REF!="Leve"),CONCATENATE("R3C",'Mapa final'!#REF!),"")</f>
        <v>#REF!</v>
      </c>
      <c r="O8" s="40" t="e">
        <f>IF(AND('Mapa final'!#REF!="Muy Alta",'Mapa final'!#REF!="Leve"),CONCATENATE("R3C",'Mapa final'!#REF!),"")</f>
        <v>#REF!</v>
      </c>
      <c r="P8" s="38" t="e">
        <f>IF(AND('Mapa final'!#REF!="Muy Alta",'Mapa final'!#REF!="Menor"),CONCATENATE("R3C",'Mapa final'!#REF!),"")</f>
        <v>#REF!</v>
      </c>
      <c r="Q8" s="39" t="e">
        <f>IF(AND('Mapa final'!#REF!="Muy Alta",'Mapa final'!#REF!="Menor"),CONCATENATE("R3C",'Mapa final'!#REF!),"")</f>
        <v>#REF!</v>
      </c>
      <c r="R8" s="39" t="e">
        <f>IF(AND('Mapa final'!#REF!="Muy Alta",'Mapa final'!#REF!="Menor"),CONCATENATE("R3C",'Mapa final'!#REF!),"")</f>
        <v>#REF!</v>
      </c>
      <c r="S8" s="39" t="e">
        <f>IF(AND('Mapa final'!#REF!="Muy Alta",'Mapa final'!#REF!="Menor"),CONCATENATE("R3C",'Mapa final'!#REF!),"")</f>
        <v>#REF!</v>
      </c>
      <c r="T8" s="39" t="e">
        <f>IF(AND('Mapa final'!#REF!="Muy Alta",'Mapa final'!#REF!="Menor"),CONCATENATE("R3C",'Mapa final'!#REF!),"")</f>
        <v>#REF!</v>
      </c>
      <c r="U8" s="40" t="e">
        <f>IF(AND('Mapa final'!#REF!="Muy Alta",'Mapa final'!#REF!="Menor"),CONCATENATE("R3C",'Mapa final'!#REF!),"")</f>
        <v>#REF!</v>
      </c>
      <c r="V8" s="38" t="e">
        <f>IF(AND('Mapa final'!#REF!="Muy Alta",'Mapa final'!#REF!="Moderado"),CONCATENATE("R3C",'Mapa final'!#REF!),"")</f>
        <v>#REF!</v>
      </c>
      <c r="W8" s="39" t="e">
        <f>IF(AND('Mapa final'!#REF!="Muy Alta",'Mapa final'!#REF!="Moderado"),CONCATENATE("R3C",'Mapa final'!#REF!),"")</f>
        <v>#REF!</v>
      </c>
      <c r="X8" s="39" t="e">
        <f>IF(AND('Mapa final'!#REF!="Muy Alta",'Mapa final'!#REF!="Moderado"),CONCATENATE("R3C",'Mapa final'!#REF!),"")</f>
        <v>#REF!</v>
      </c>
      <c r="Y8" s="39" t="e">
        <f>IF(AND('Mapa final'!#REF!="Muy Alta",'Mapa final'!#REF!="Moderado"),CONCATENATE("R3C",'Mapa final'!#REF!),"")</f>
        <v>#REF!</v>
      </c>
      <c r="Z8" s="39" t="e">
        <f>IF(AND('Mapa final'!#REF!="Muy Alta",'Mapa final'!#REF!="Moderado"),CONCATENATE("R3C",'Mapa final'!#REF!),"")</f>
        <v>#REF!</v>
      </c>
      <c r="AA8" s="40" t="e">
        <f>IF(AND('Mapa final'!#REF!="Muy Alta",'Mapa final'!#REF!="Moderado"),CONCATENATE("R3C",'Mapa final'!#REF!),"")</f>
        <v>#REF!</v>
      </c>
      <c r="AB8" s="38" t="e">
        <f>IF(AND('Mapa final'!#REF!="Muy Alta",'Mapa final'!#REF!="Mayor"),CONCATENATE("R3C",'Mapa final'!#REF!),"")</f>
        <v>#REF!</v>
      </c>
      <c r="AC8" s="39" t="e">
        <f>IF(AND('Mapa final'!#REF!="Muy Alta",'Mapa final'!#REF!="Mayor"),CONCATENATE("R3C",'Mapa final'!#REF!),"")</f>
        <v>#REF!</v>
      </c>
      <c r="AD8" s="39" t="e">
        <f>IF(AND('Mapa final'!#REF!="Muy Alta",'Mapa final'!#REF!="Mayor"),CONCATENATE("R3C",'Mapa final'!#REF!),"")</f>
        <v>#REF!</v>
      </c>
      <c r="AE8" s="39" t="e">
        <f>IF(AND('Mapa final'!#REF!="Muy Alta",'Mapa final'!#REF!="Mayor"),CONCATENATE("R3C",'Mapa final'!#REF!),"")</f>
        <v>#REF!</v>
      </c>
      <c r="AF8" s="39" t="e">
        <f>IF(AND('Mapa final'!#REF!="Muy Alta",'Mapa final'!#REF!="Mayor"),CONCATENATE("R3C",'Mapa final'!#REF!),"")</f>
        <v>#REF!</v>
      </c>
      <c r="AG8" s="40" t="e">
        <f>IF(AND('Mapa final'!#REF!="Muy Alta",'Mapa final'!#REF!="Mayor"),CONCATENATE("R3C",'Mapa final'!#REF!),"")</f>
        <v>#REF!</v>
      </c>
      <c r="AH8" s="41" t="e">
        <f>IF(AND('Mapa final'!#REF!="Muy Alta",'Mapa final'!#REF!="Catastrófico"),CONCATENATE("R3C",'Mapa final'!#REF!),"")</f>
        <v>#REF!</v>
      </c>
      <c r="AI8" s="42" t="e">
        <f>IF(AND('Mapa final'!#REF!="Muy Alta",'Mapa final'!#REF!="Catastrófico"),CONCATENATE("R3C",'Mapa final'!#REF!),"")</f>
        <v>#REF!</v>
      </c>
      <c r="AJ8" s="42" t="e">
        <f>IF(AND('Mapa final'!#REF!="Muy Alta",'Mapa final'!#REF!="Catastrófico"),CONCATENATE("R3C",'Mapa final'!#REF!),"")</f>
        <v>#REF!</v>
      </c>
      <c r="AK8" s="42" t="e">
        <f>IF(AND('Mapa final'!#REF!="Muy Alta",'Mapa final'!#REF!="Catastrófico"),CONCATENATE("R3C",'Mapa final'!#REF!),"")</f>
        <v>#REF!</v>
      </c>
      <c r="AL8" s="42" t="e">
        <f>IF(AND('Mapa final'!#REF!="Muy Alta",'Mapa final'!#REF!="Catastrófico"),CONCATENATE("R3C",'Mapa final'!#REF!),"")</f>
        <v>#REF!</v>
      </c>
      <c r="AM8" s="43" t="e">
        <f>IF(AND('Mapa final'!#REF!="Muy Alta",'Mapa final'!#REF!="Catastrófico"),CONCATENATE("R3C",'Mapa final'!#REF!),"")</f>
        <v>#REF!</v>
      </c>
      <c r="AN8" s="69"/>
      <c r="AO8" s="366"/>
      <c r="AP8" s="367"/>
      <c r="AQ8" s="367"/>
      <c r="AR8" s="367"/>
      <c r="AS8" s="367"/>
      <c r="AT8" s="368"/>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row>
    <row r="9" spans="1:91" ht="15" customHeight="1" x14ac:dyDescent="0.25">
      <c r="A9" s="69"/>
      <c r="B9" s="305"/>
      <c r="C9" s="305"/>
      <c r="D9" s="306"/>
      <c r="E9" s="346"/>
      <c r="F9" s="347"/>
      <c r="G9" s="347"/>
      <c r="H9" s="347"/>
      <c r="I9" s="348"/>
      <c r="J9" s="38" t="str">
        <f>IF(AND('Mapa final'!$Y$13="Muy Alta",'Mapa final'!$AA$13="Leve"),CONCATENATE("R4C",'Mapa final'!$O$13),"")</f>
        <v/>
      </c>
      <c r="K9" s="39" t="str">
        <f>IF(AND('Mapa final'!$Y$14="Muy Alta",'Mapa final'!$AA$14="Leve"),CONCATENATE("R4C",'Mapa final'!$O$14),"")</f>
        <v/>
      </c>
      <c r="L9" s="39" t="str">
        <f>IF(AND('Mapa final'!$Y$15="Muy Alta",'Mapa final'!$AA$15="Leve"),CONCATENATE("R4C",'Mapa final'!$O$15),"")</f>
        <v/>
      </c>
      <c r="M9" s="39" t="str">
        <f>IF(AND('Mapa final'!$Y$16="Muy Alta",'Mapa final'!$AA$16="Leve"),CONCATENATE("R4C",'Mapa final'!$O$16),"")</f>
        <v/>
      </c>
      <c r="N9" s="39" t="str">
        <f>IF(AND('Mapa final'!$Y$17="Muy Alta",'Mapa final'!$AA$17="Leve"),CONCATENATE("R4C",'Mapa final'!$O$17),"")</f>
        <v/>
      </c>
      <c r="O9" s="40" t="str">
        <f>IF(AND('Mapa final'!$Y$18="Muy Alta",'Mapa final'!$AA$18="Leve"),CONCATENATE("R4C",'Mapa final'!$O$18),"")</f>
        <v/>
      </c>
      <c r="P9" s="38" t="str">
        <f>IF(AND('Mapa final'!$Y$13="Muy Alta",'Mapa final'!$AA$13="Menor"),CONCATENATE("R4C",'Mapa final'!$O$13),"")</f>
        <v/>
      </c>
      <c r="Q9" s="39" t="str">
        <f>IF(AND('Mapa final'!$Y$14="Muy Alta",'Mapa final'!$AA$14="Menor"),CONCATENATE("R4C",'Mapa final'!$O$14),"")</f>
        <v/>
      </c>
      <c r="R9" s="39" t="str">
        <f>IF(AND('Mapa final'!$Y$15="Muy Alta",'Mapa final'!$AA$15="Menor"),CONCATENATE("R4C",'Mapa final'!$O$15),"")</f>
        <v/>
      </c>
      <c r="S9" s="39" t="str">
        <f>IF(AND('Mapa final'!$Y$16="Muy Alta",'Mapa final'!$AA$16="Menor"),CONCATENATE("R4C",'Mapa final'!$O$16),"")</f>
        <v/>
      </c>
      <c r="T9" s="39" t="str">
        <f>IF(AND('Mapa final'!$Y$17="Muy Alta",'Mapa final'!$AA$17="Menor"),CONCATENATE("R4C",'Mapa final'!$O$17),"")</f>
        <v/>
      </c>
      <c r="U9" s="40" t="str">
        <f>IF(AND('Mapa final'!$Y$18="Muy Alta",'Mapa final'!$AA$18="Menor"),CONCATENATE("R4C",'Mapa final'!$O$18),"")</f>
        <v/>
      </c>
      <c r="V9" s="38" t="str">
        <f>IF(AND('Mapa final'!$Y$13="Muy Alta",'Mapa final'!$AA$13="Moderado"),CONCATENATE("R4C",'Mapa final'!$O$13),"")</f>
        <v/>
      </c>
      <c r="W9" s="39" t="str">
        <f>IF(AND('Mapa final'!$Y$14="Muy Alta",'Mapa final'!$AA$14="Moderado"),CONCATENATE("R4C",'Mapa final'!$O$14),"")</f>
        <v/>
      </c>
      <c r="X9" s="39" t="str">
        <f>IF(AND('Mapa final'!$Y$15="Muy Alta",'Mapa final'!$AA$15="Moderado"),CONCATENATE("R4C",'Mapa final'!$O$15),"")</f>
        <v/>
      </c>
      <c r="Y9" s="39" t="str">
        <f>IF(AND('Mapa final'!$Y$16="Muy Alta",'Mapa final'!$AA$16="Moderado"),CONCATENATE("R4C",'Mapa final'!$O$16),"")</f>
        <v/>
      </c>
      <c r="Z9" s="39" t="str">
        <f>IF(AND('Mapa final'!$Y$17="Muy Alta",'Mapa final'!$AA$17="Moderado"),CONCATENATE("R4C",'Mapa final'!$O$17),"")</f>
        <v/>
      </c>
      <c r="AA9" s="40" t="str">
        <f>IF(AND('Mapa final'!$Y$18="Muy Alta",'Mapa final'!$AA$18="Moderado"),CONCATENATE("R4C",'Mapa final'!$O$18),"")</f>
        <v/>
      </c>
      <c r="AB9" s="38" t="str">
        <f>IF(AND('Mapa final'!$Y$13="Muy Alta",'Mapa final'!$AA$13="Mayor"),CONCATENATE("R4C",'Mapa final'!$O$13),"")</f>
        <v/>
      </c>
      <c r="AC9" s="39" t="str">
        <f>IF(AND('Mapa final'!$Y$14="Muy Alta",'Mapa final'!$AA$14="Mayor"),CONCATENATE("R4C",'Mapa final'!$O$14),"")</f>
        <v/>
      </c>
      <c r="AD9" s="39" t="str">
        <f>IF(AND('Mapa final'!$Y$15="Muy Alta",'Mapa final'!$AA$15="Mayor"),CONCATENATE("R4C",'Mapa final'!$O$15),"")</f>
        <v/>
      </c>
      <c r="AE9" s="39" t="str">
        <f>IF(AND('Mapa final'!$Y$16="Muy Alta",'Mapa final'!$AA$16="Mayor"),CONCATENATE("R4C",'Mapa final'!$O$16),"")</f>
        <v/>
      </c>
      <c r="AF9" s="39" t="str">
        <f>IF(AND('Mapa final'!$Y$17="Muy Alta",'Mapa final'!$AA$17="Mayor"),CONCATENATE("R4C",'Mapa final'!$O$17),"")</f>
        <v/>
      </c>
      <c r="AG9" s="40" t="str">
        <f>IF(AND('Mapa final'!$Y$18="Muy Alta",'Mapa final'!$AA$18="Mayor"),CONCATENATE("R4C",'Mapa final'!$O$18),"")</f>
        <v/>
      </c>
      <c r="AH9" s="41" t="str">
        <f>IF(AND('Mapa final'!$Y$13="Muy Alta",'Mapa final'!$AA$13="Catastrófico"),CONCATENATE("R4C",'Mapa final'!$O$13),"")</f>
        <v/>
      </c>
      <c r="AI9" s="42" t="str">
        <f>IF(AND('Mapa final'!$Y$14="Muy Alta",'Mapa final'!$AA$14="Catastrófico"),CONCATENATE("R4C",'Mapa final'!$O$14),"")</f>
        <v/>
      </c>
      <c r="AJ9" s="42" t="str">
        <f>IF(AND('Mapa final'!$Y$15="Muy Alta",'Mapa final'!$AA$15="Catastrófico"),CONCATENATE("R4C",'Mapa final'!$O$15),"")</f>
        <v/>
      </c>
      <c r="AK9" s="42" t="str">
        <f>IF(AND('Mapa final'!$Y$16="Muy Alta",'Mapa final'!$AA$16="Catastrófico"),CONCATENATE("R4C",'Mapa final'!$O$16),"")</f>
        <v/>
      </c>
      <c r="AL9" s="42" t="str">
        <f>IF(AND('Mapa final'!$Y$17="Muy Alta",'Mapa final'!$AA$17="Catastrófico"),CONCATENATE("R4C",'Mapa final'!$O$17),"")</f>
        <v/>
      </c>
      <c r="AM9" s="43" t="str">
        <f>IF(AND('Mapa final'!$Y$18="Muy Alta",'Mapa final'!$AA$18="Catastrófico"),CONCATENATE("R4C",'Mapa final'!$O$18),"")</f>
        <v/>
      </c>
      <c r="AN9" s="69"/>
      <c r="AO9" s="366"/>
      <c r="AP9" s="367"/>
      <c r="AQ9" s="367"/>
      <c r="AR9" s="367"/>
      <c r="AS9" s="367"/>
      <c r="AT9" s="368"/>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row>
    <row r="10" spans="1:91" ht="15" customHeight="1" x14ac:dyDescent="0.25">
      <c r="A10" s="69"/>
      <c r="B10" s="305"/>
      <c r="C10" s="305"/>
      <c r="D10" s="306"/>
      <c r="E10" s="346"/>
      <c r="F10" s="347"/>
      <c r="G10" s="347"/>
      <c r="H10" s="347"/>
      <c r="I10" s="348"/>
      <c r="J10" s="38" t="e">
        <f>IF(AND('Mapa final'!#REF!="Muy Alta",'Mapa final'!#REF!="Leve"),CONCATENATE("R5C",'Mapa final'!#REF!),"")</f>
        <v>#REF!</v>
      </c>
      <c r="K10" s="39" t="e">
        <f>IF(AND('Mapa final'!#REF!="Muy Alta",'Mapa final'!#REF!="Leve"),CONCATENATE("R5C",'Mapa final'!#REF!),"")</f>
        <v>#REF!</v>
      </c>
      <c r="L10" s="39" t="e">
        <f>IF(AND('Mapa final'!#REF!="Muy Alta",'Mapa final'!#REF!="Leve"),CONCATENATE("R5C",'Mapa final'!#REF!),"")</f>
        <v>#REF!</v>
      </c>
      <c r="M10" s="39" t="e">
        <f>IF(AND('Mapa final'!#REF!="Muy Alta",'Mapa final'!#REF!="Leve"),CONCATENATE("R5C",'Mapa final'!#REF!),"")</f>
        <v>#REF!</v>
      </c>
      <c r="N10" s="39" t="e">
        <f>IF(AND('Mapa final'!#REF!="Muy Alta",'Mapa final'!#REF!="Leve"),CONCATENATE("R5C",'Mapa final'!#REF!),"")</f>
        <v>#REF!</v>
      </c>
      <c r="O10" s="40" t="e">
        <f>IF(AND('Mapa final'!#REF!="Muy Alta",'Mapa final'!#REF!="Leve"),CONCATENATE("R5C",'Mapa final'!#REF!),"")</f>
        <v>#REF!</v>
      </c>
      <c r="P10" s="38" t="e">
        <f>IF(AND('Mapa final'!#REF!="Muy Alta",'Mapa final'!#REF!="Menor"),CONCATENATE("R5C",'Mapa final'!#REF!),"")</f>
        <v>#REF!</v>
      </c>
      <c r="Q10" s="39" t="e">
        <f>IF(AND('Mapa final'!#REF!="Muy Alta",'Mapa final'!#REF!="Menor"),CONCATENATE("R5C",'Mapa final'!#REF!),"")</f>
        <v>#REF!</v>
      </c>
      <c r="R10" s="39" t="e">
        <f>IF(AND('Mapa final'!#REF!="Muy Alta",'Mapa final'!#REF!="Menor"),CONCATENATE("R5C",'Mapa final'!#REF!),"")</f>
        <v>#REF!</v>
      </c>
      <c r="S10" s="39" t="e">
        <f>IF(AND('Mapa final'!#REF!="Muy Alta",'Mapa final'!#REF!="Menor"),CONCATENATE("R5C",'Mapa final'!#REF!),"")</f>
        <v>#REF!</v>
      </c>
      <c r="T10" s="39" t="e">
        <f>IF(AND('Mapa final'!#REF!="Muy Alta",'Mapa final'!#REF!="Menor"),CONCATENATE("R5C",'Mapa final'!#REF!),"")</f>
        <v>#REF!</v>
      </c>
      <c r="U10" s="40" t="e">
        <f>IF(AND('Mapa final'!#REF!="Muy Alta",'Mapa final'!#REF!="Menor"),CONCATENATE("R5C",'Mapa final'!#REF!),"")</f>
        <v>#REF!</v>
      </c>
      <c r="V10" s="38" t="e">
        <f>IF(AND('Mapa final'!#REF!="Muy Alta",'Mapa final'!#REF!="Moderado"),CONCATENATE("R5C",'Mapa final'!#REF!),"")</f>
        <v>#REF!</v>
      </c>
      <c r="W10" s="39" t="e">
        <f>IF(AND('Mapa final'!#REF!="Muy Alta",'Mapa final'!#REF!="Moderado"),CONCATENATE("R5C",'Mapa final'!#REF!),"")</f>
        <v>#REF!</v>
      </c>
      <c r="X10" s="39" t="e">
        <f>IF(AND('Mapa final'!#REF!="Muy Alta",'Mapa final'!#REF!="Moderado"),CONCATENATE("R5C",'Mapa final'!#REF!),"")</f>
        <v>#REF!</v>
      </c>
      <c r="Y10" s="39" t="e">
        <f>IF(AND('Mapa final'!#REF!="Muy Alta",'Mapa final'!#REF!="Moderado"),CONCATENATE("R5C",'Mapa final'!#REF!),"")</f>
        <v>#REF!</v>
      </c>
      <c r="Z10" s="39" t="e">
        <f>IF(AND('Mapa final'!#REF!="Muy Alta",'Mapa final'!#REF!="Moderado"),CONCATENATE("R5C",'Mapa final'!#REF!),"")</f>
        <v>#REF!</v>
      </c>
      <c r="AA10" s="40" t="e">
        <f>IF(AND('Mapa final'!#REF!="Muy Alta",'Mapa final'!#REF!="Moderado"),CONCATENATE("R5C",'Mapa final'!#REF!),"")</f>
        <v>#REF!</v>
      </c>
      <c r="AB10" s="38" t="e">
        <f>IF(AND('Mapa final'!#REF!="Muy Alta",'Mapa final'!#REF!="Mayor"),CONCATENATE("R5C",'Mapa final'!#REF!),"")</f>
        <v>#REF!</v>
      </c>
      <c r="AC10" s="39" t="e">
        <f>IF(AND('Mapa final'!#REF!="Muy Alta",'Mapa final'!#REF!="Mayor"),CONCATENATE("R5C",'Mapa final'!#REF!),"")</f>
        <v>#REF!</v>
      </c>
      <c r="AD10" s="39" t="e">
        <f>IF(AND('Mapa final'!#REF!="Muy Alta",'Mapa final'!#REF!="Mayor"),CONCATENATE("R5C",'Mapa final'!#REF!),"")</f>
        <v>#REF!</v>
      </c>
      <c r="AE10" s="39" t="e">
        <f>IF(AND('Mapa final'!#REF!="Muy Alta",'Mapa final'!#REF!="Mayor"),CONCATENATE("R5C",'Mapa final'!#REF!),"")</f>
        <v>#REF!</v>
      </c>
      <c r="AF10" s="39" t="e">
        <f>IF(AND('Mapa final'!#REF!="Muy Alta",'Mapa final'!#REF!="Mayor"),CONCATENATE("R5C",'Mapa final'!#REF!),"")</f>
        <v>#REF!</v>
      </c>
      <c r="AG10" s="40" t="e">
        <f>IF(AND('Mapa final'!#REF!="Muy Alta",'Mapa final'!#REF!="Mayor"),CONCATENATE("R5C",'Mapa final'!#REF!),"")</f>
        <v>#REF!</v>
      </c>
      <c r="AH10" s="41" t="e">
        <f>IF(AND('Mapa final'!#REF!="Muy Alta",'Mapa final'!#REF!="Catastrófico"),CONCATENATE("R5C",'Mapa final'!#REF!),"")</f>
        <v>#REF!</v>
      </c>
      <c r="AI10" s="42" t="e">
        <f>IF(AND('Mapa final'!#REF!="Muy Alta",'Mapa final'!#REF!="Catastrófico"),CONCATENATE("R5C",'Mapa final'!#REF!),"")</f>
        <v>#REF!</v>
      </c>
      <c r="AJ10" s="42" t="e">
        <f>IF(AND('Mapa final'!#REF!="Muy Alta",'Mapa final'!#REF!="Catastrófico"),CONCATENATE("R5C",'Mapa final'!#REF!),"")</f>
        <v>#REF!</v>
      </c>
      <c r="AK10" s="42" t="e">
        <f>IF(AND('Mapa final'!#REF!="Muy Alta",'Mapa final'!#REF!="Catastrófico"),CONCATENATE("R5C",'Mapa final'!#REF!),"")</f>
        <v>#REF!</v>
      </c>
      <c r="AL10" s="42" t="e">
        <f>IF(AND('Mapa final'!#REF!="Muy Alta",'Mapa final'!#REF!="Catastrófico"),CONCATENATE("R5C",'Mapa final'!#REF!),"")</f>
        <v>#REF!</v>
      </c>
      <c r="AM10" s="43" t="e">
        <f>IF(AND('Mapa final'!#REF!="Muy Alta",'Mapa final'!#REF!="Catastrófico"),CONCATENATE("R5C",'Mapa final'!#REF!),"")</f>
        <v>#REF!</v>
      </c>
      <c r="AN10" s="69"/>
      <c r="AO10" s="366"/>
      <c r="AP10" s="367"/>
      <c r="AQ10" s="367"/>
      <c r="AR10" s="367"/>
      <c r="AS10" s="367"/>
      <c r="AT10" s="368"/>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row>
    <row r="11" spans="1:91" ht="15" customHeight="1" x14ac:dyDescent="0.25">
      <c r="A11" s="69"/>
      <c r="B11" s="305"/>
      <c r="C11" s="305"/>
      <c r="D11" s="306"/>
      <c r="E11" s="346"/>
      <c r="F11" s="347"/>
      <c r="G11" s="347"/>
      <c r="H11" s="347"/>
      <c r="I11" s="348"/>
      <c r="J11" s="38" t="e">
        <f>IF(AND('Mapa final'!#REF!="Muy Alta",'Mapa final'!#REF!="Leve"),CONCATENATE("R6C",'Mapa final'!#REF!),"")</f>
        <v>#REF!</v>
      </c>
      <c r="K11" s="39" t="e">
        <f>IF(AND('Mapa final'!#REF!="Muy Alta",'Mapa final'!#REF!="Leve"),CONCATENATE("R6C",'Mapa final'!#REF!),"")</f>
        <v>#REF!</v>
      </c>
      <c r="L11" s="39" t="e">
        <f>IF(AND('Mapa final'!#REF!="Muy Alta",'Mapa final'!#REF!="Leve"),CONCATENATE("R6C",'Mapa final'!#REF!),"")</f>
        <v>#REF!</v>
      </c>
      <c r="M11" s="39" t="e">
        <f>IF(AND('Mapa final'!#REF!="Muy Alta",'Mapa final'!#REF!="Leve"),CONCATENATE("R6C",'Mapa final'!#REF!),"")</f>
        <v>#REF!</v>
      </c>
      <c r="N11" s="39" t="e">
        <f>IF(AND('Mapa final'!#REF!="Muy Alta",'Mapa final'!#REF!="Leve"),CONCATENATE("R6C",'Mapa final'!#REF!),"")</f>
        <v>#REF!</v>
      </c>
      <c r="O11" s="40" t="e">
        <f>IF(AND('Mapa final'!#REF!="Muy Alta",'Mapa final'!#REF!="Leve"),CONCATENATE("R6C",'Mapa final'!#REF!),"")</f>
        <v>#REF!</v>
      </c>
      <c r="P11" s="38" t="e">
        <f>IF(AND('Mapa final'!#REF!="Muy Alta",'Mapa final'!#REF!="Menor"),CONCATENATE("R6C",'Mapa final'!#REF!),"")</f>
        <v>#REF!</v>
      </c>
      <c r="Q11" s="39" t="e">
        <f>IF(AND('Mapa final'!#REF!="Muy Alta",'Mapa final'!#REF!="Menor"),CONCATENATE("R6C",'Mapa final'!#REF!),"")</f>
        <v>#REF!</v>
      </c>
      <c r="R11" s="39" t="e">
        <f>IF(AND('Mapa final'!#REF!="Muy Alta",'Mapa final'!#REF!="Menor"),CONCATENATE("R6C",'Mapa final'!#REF!),"")</f>
        <v>#REF!</v>
      </c>
      <c r="S11" s="39" t="e">
        <f>IF(AND('Mapa final'!#REF!="Muy Alta",'Mapa final'!#REF!="Menor"),CONCATENATE("R6C",'Mapa final'!#REF!),"")</f>
        <v>#REF!</v>
      </c>
      <c r="T11" s="39" t="e">
        <f>IF(AND('Mapa final'!#REF!="Muy Alta",'Mapa final'!#REF!="Menor"),CONCATENATE("R6C",'Mapa final'!#REF!),"")</f>
        <v>#REF!</v>
      </c>
      <c r="U11" s="40" t="e">
        <f>IF(AND('Mapa final'!#REF!="Muy Alta",'Mapa final'!#REF!="Menor"),CONCATENATE("R6C",'Mapa final'!#REF!),"")</f>
        <v>#REF!</v>
      </c>
      <c r="V11" s="38" t="e">
        <f>IF(AND('Mapa final'!#REF!="Muy Alta",'Mapa final'!#REF!="Moderado"),CONCATENATE("R6C",'Mapa final'!#REF!),"")</f>
        <v>#REF!</v>
      </c>
      <c r="W11" s="39" t="e">
        <f>IF(AND('Mapa final'!#REF!="Muy Alta",'Mapa final'!#REF!="Moderado"),CONCATENATE("R6C",'Mapa final'!#REF!),"")</f>
        <v>#REF!</v>
      </c>
      <c r="X11" s="39" t="e">
        <f>IF(AND('Mapa final'!#REF!="Muy Alta",'Mapa final'!#REF!="Moderado"),CONCATENATE("R6C",'Mapa final'!#REF!),"")</f>
        <v>#REF!</v>
      </c>
      <c r="Y11" s="39" t="e">
        <f>IF(AND('Mapa final'!#REF!="Muy Alta",'Mapa final'!#REF!="Moderado"),CONCATENATE("R6C",'Mapa final'!#REF!),"")</f>
        <v>#REF!</v>
      </c>
      <c r="Z11" s="39" t="e">
        <f>IF(AND('Mapa final'!#REF!="Muy Alta",'Mapa final'!#REF!="Moderado"),CONCATENATE("R6C",'Mapa final'!#REF!),"")</f>
        <v>#REF!</v>
      </c>
      <c r="AA11" s="40" t="e">
        <f>IF(AND('Mapa final'!#REF!="Muy Alta",'Mapa final'!#REF!="Moderado"),CONCATENATE("R6C",'Mapa final'!#REF!),"")</f>
        <v>#REF!</v>
      </c>
      <c r="AB11" s="38" t="e">
        <f>IF(AND('Mapa final'!#REF!="Muy Alta",'Mapa final'!#REF!="Mayor"),CONCATENATE("R6C",'Mapa final'!#REF!),"")</f>
        <v>#REF!</v>
      </c>
      <c r="AC11" s="39" t="e">
        <f>IF(AND('Mapa final'!#REF!="Muy Alta",'Mapa final'!#REF!="Mayor"),CONCATENATE("R6C",'Mapa final'!#REF!),"")</f>
        <v>#REF!</v>
      </c>
      <c r="AD11" s="39" t="e">
        <f>IF(AND('Mapa final'!#REF!="Muy Alta",'Mapa final'!#REF!="Mayor"),CONCATENATE("R6C",'Mapa final'!#REF!),"")</f>
        <v>#REF!</v>
      </c>
      <c r="AE11" s="39" t="e">
        <f>IF(AND('Mapa final'!#REF!="Muy Alta",'Mapa final'!#REF!="Mayor"),CONCATENATE("R6C",'Mapa final'!#REF!),"")</f>
        <v>#REF!</v>
      </c>
      <c r="AF11" s="39" t="e">
        <f>IF(AND('Mapa final'!#REF!="Muy Alta",'Mapa final'!#REF!="Mayor"),CONCATENATE("R6C",'Mapa final'!#REF!),"")</f>
        <v>#REF!</v>
      </c>
      <c r="AG11" s="40" t="e">
        <f>IF(AND('Mapa final'!#REF!="Muy Alta",'Mapa final'!#REF!="Mayor"),CONCATENATE("R6C",'Mapa final'!#REF!),"")</f>
        <v>#REF!</v>
      </c>
      <c r="AH11" s="41" t="e">
        <f>IF(AND('Mapa final'!#REF!="Muy Alta",'Mapa final'!#REF!="Catastrófico"),CONCATENATE("R6C",'Mapa final'!#REF!),"")</f>
        <v>#REF!</v>
      </c>
      <c r="AI11" s="42" t="e">
        <f>IF(AND('Mapa final'!#REF!="Muy Alta",'Mapa final'!#REF!="Catastrófico"),CONCATENATE("R6C",'Mapa final'!#REF!),"")</f>
        <v>#REF!</v>
      </c>
      <c r="AJ11" s="42" t="e">
        <f>IF(AND('Mapa final'!#REF!="Muy Alta",'Mapa final'!#REF!="Catastrófico"),CONCATENATE("R6C",'Mapa final'!#REF!),"")</f>
        <v>#REF!</v>
      </c>
      <c r="AK11" s="42" t="e">
        <f>IF(AND('Mapa final'!#REF!="Muy Alta",'Mapa final'!#REF!="Catastrófico"),CONCATENATE("R6C",'Mapa final'!#REF!),"")</f>
        <v>#REF!</v>
      </c>
      <c r="AL11" s="42" t="e">
        <f>IF(AND('Mapa final'!#REF!="Muy Alta",'Mapa final'!#REF!="Catastrófico"),CONCATENATE("R6C",'Mapa final'!#REF!),"")</f>
        <v>#REF!</v>
      </c>
      <c r="AM11" s="43" t="e">
        <f>IF(AND('Mapa final'!#REF!="Muy Alta",'Mapa final'!#REF!="Catastrófico"),CONCATENATE("R6C",'Mapa final'!#REF!),"")</f>
        <v>#REF!</v>
      </c>
      <c r="AN11" s="69"/>
      <c r="AO11" s="366"/>
      <c r="AP11" s="367"/>
      <c r="AQ11" s="367"/>
      <c r="AR11" s="367"/>
      <c r="AS11" s="367"/>
      <c r="AT11" s="368"/>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row>
    <row r="12" spans="1:91" ht="15" customHeight="1" x14ac:dyDescent="0.25">
      <c r="A12" s="69"/>
      <c r="B12" s="305"/>
      <c r="C12" s="305"/>
      <c r="D12" s="306"/>
      <c r="E12" s="346"/>
      <c r="F12" s="347"/>
      <c r="G12" s="347"/>
      <c r="H12" s="347"/>
      <c r="I12" s="348"/>
      <c r="J12" s="38" t="e">
        <f>IF(AND('Mapa final'!#REF!="Muy Alta",'Mapa final'!#REF!="Leve"),CONCATENATE("R7C",'Mapa final'!#REF!),"")</f>
        <v>#REF!</v>
      </c>
      <c r="K12" s="39" t="e">
        <f>IF(AND('Mapa final'!#REF!="Muy Alta",'Mapa final'!#REF!="Leve"),CONCATENATE("R7C",'Mapa final'!#REF!),"")</f>
        <v>#REF!</v>
      </c>
      <c r="L12" s="39" t="e">
        <f>IF(AND('Mapa final'!#REF!="Muy Alta",'Mapa final'!#REF!="Leve"),CONCATENATE("R7C",'Mapa final'!#REF!),"")</f>
        <v>#REF!</v>
      </c>
      <c r="M12" s="39" t="e">
        <f>IF(AND('Mapa final'!#REF!="Muy Alta",'Mapa final'!#REF!="Leve"),CONCATENATE("R7C",'Mapa final'!#REF!),"")</f>
        <v>#REF!</v>
      </c>
      <c r="N12" s="39" t="e">
        <f>IF(AND('Mapa final'!#REF!="Muy Alta",'Mapa final'!#REF!="Leve"),CONCATENATE("R7C",'Mapa final'!#REF!),"")</f>
        <v>#REF!</v>
      </c>
      <c r="O12" s="40" t="e">
        <f>IF(AND('Mapa final'!#REF!="Muy Alta",'Mapa final'!#REF!="Leve"),CONCATENATE("R7C",'Mapa final'!#REF!),"")</f>
        <v>#REF!</v>
      </c>
      <c r="P12" s="38" t="e">
        <f>IF(AND('Mapa final'!#REF!="Muy Alta",'Mapa final'!#REF!="Menor"),CONCATENATE("R7C",'Mapa final'!#REF!),"")</f>
        <v>#REF!</v>
      </c>
      <c r="Q12" s="39" t="e">
        <f>IF(AND('Mapa final'!#REF!="Muy Alta",'Mapa final'!#REF!="Menor"),CONCATENATE("R7C",'Mapa final'!#REF!),"")</f>
        <v>#REF!</v>
      </c>
      <c r="R12" s="39" t="e">
        <f>IF(AND('Mapa final'!#REF!="Muy Alta",'Mapa final'!#REF!="Menor"),CONCATENATE("R7C",'Mapa final'!#REF!),"")</f>
        <v>#REF!</v>
      </c>
      <c r="S12" s="39" t="e">
        <f>IF(AND('Mapa final'!#REF!="Muy Alta",'Mapa final'!#REF!="Menor"),CONCATENATE("R7C",'Mapa final'!#REF!),"")</f>
        <v>#REF!</v>
      </c>
      <c r="T12" s="39" t="e">
        <f>IF(AND('Mapa final'!#REF!="Muy Alta",'Mapa final'!#REF!="Menor"),CONCATENATE("R7C",'Mapa final'!#REF!),"")</f>
        <v>#REF!</v>
      </c>
      <c r="U12" s="40" t="e">
        <f>IF(AND('Mapa final'!#REF!="Muy Alta",'Mapa final'!#REF!="Menor"),CONCATENATE("R7C",'Mapa final'!#REF!),"")</f>
        <v>#REF!</v>
      </c>
      <c r="V12" s="38" t="e">
        <f>IF(AND('Mapa final'!#REF!="Muy Alta",'Mapa final'!#REF!="Moderado"),CONCATENATE("R7C",'Mapa final'!#REF!),"")</f>
        <v>#REF!</v>
      </c>
      <c r="W12" s="39" t="e">
        <f>IF(AND('Mapa final'!#REF!="Muy Alta",'Mapa final'!#REF!="Moderado"),CONCATENATE("R7C",'Mapa final'!#REF!),"")</f>
        <v>#REF!</v>
      </c>
      <c r="X12" s="39" t="e">
        <f>IF(AND('Mapa final'!#REF!="Muy Alta",'Mapa final'!#REF!="Moderado"),CONCATENATE("R7C",'Mapa final'!#REF!),"")</f>
        <v>#REF!</v>
      </c>
      <c r="Y12" s="39" t="e">
        <f>IF(AND('Mapa final'!#REF!="Muy Alta",'Mapa final'!#REF!="Moderado"),CONCATENATE("R7C",'Mapa final'!#REF!),"")</f>
        <v>#REF!</v>
      </c>
      <c r="Z12" s="39" t="e">
        <f>IF(AND('Mapa final'!#REF!="Muy Alta",'Mapa final'!#REF!="Moderado"),CONCATENATE("R7C",'Mapa final'!#REF!),"")</f>
        <v>#REF!</v>
      </c>
      <c r="AA12" s="40" t="e">
        <f>IF(AND('Mapa final'!#REF!="Muy Alta",'Mapa final'!#REF!="Moderado"),CONCATENATE("R7C",'Mapa final'!#REF!),"")</f>
        <v>#REF!</v>
      </c>
      <c r="AB12" s="38" t="e">
        <f>IF(AND('Mapa final'!#REF!="Muy Alta",'Mapa final'!#REF!="Mayor"),CONCATENATE("R7C",'Mapa final'!#REF!),"")</f>
        <v>#REF!</v>
      </c>
      <c r="AC12" s="39" t="e">
        <f>IF(AND('Mapa final'!#REF!="Muy Alta",'Mapa final'!#REF!="Mayor"),CONCATENATE("R7C",'Mapa final'!#REF!),"")</f>
        <v>#REF!</v>
      </c>
      <c r="AD12" s="39" t="e">
        <f>IF(AND('Mapa final'!#REF!="Muy Alta",'Mapa final'!#REF!="Mayor"),CONCATENATE("R7C",'Mapa final'!#REF!),"")</f>
        <v>#REF!</v>
      </c>
      <c r="AE12" s="39" t="e">
        <f>IF(AND('Mapa final'!#REF!="Muy Alta",'Mapa final'!#REF!="Mayor"),CONCATENATE("R7C",'Mapa final'!#REF!),"")</f>
        <v>#REF!</v>
      </c>
      <c r="AF12" s="39" t="e">
        <f>IF(AND('Mapa final'!#REF!="Muy Alta",'Mapa final'!#REF!="Mayor"),CONCATENATE("R7C",'Mapa final'!#REF!),"")</f>
        <v>#REF!</v>
      </c>
      <c r="AG12" s="40" t="e">
        <f>IF(AND('Mapa final'!#REF!="Muy Alta",'Mapa final'!#REF!="Mayor"),CONCATENATE("R7C",'Mapa final'!#REF!),"")</f>
        <v>#REF!</v>
      </c>
      <c r="AH12" s="41" t="e">
        <f>IF(AND('Mapa final'!#REF!="Muy Alta",'Mapa final'!#REF!="Catastrófico"),CONCATENATE("R7C",'Mapa final'!#REF!),"")</f>
        <v>#REF!</v>
      </c>
      <c r="AI12" s="42" t="e">
        <f>IF(AND('Mapa final'!#REF!="Muy Alta",'Mapa final'!#REF!="Catastrófico"),CONCATENATE("R7C",'Mapa final'!#REF!),"")</f>
        <v>#REF!</v>
      </c>
      <c r="AJ12" s="42" t="e">
        <f>IF(AND('Mapa final'!#REF!="Muy Alta",'Mapa final'!#REF!="Catastrófico"),CONCATENATE("R7C",'Mapa final'!#REF!),"")</f>
        <v>#REF!</v>
      </c>
      <c r="AK12" s="42" t="e">
        <f>IF(AND('Mapa final'!#REF!="Muy Alta",'Mapa final'!#REF!="Catastrófico"),CONCATENATE("R7C",'Mapa final'!#REF!),"")</f>
        <v>#REF!</v>
      </c>
      <c r="AL12" s="42" t="e">
        <f>IF(AND('Mapa final'!#REF!="Muy Alta",'Mapa final'!#REF!="Catastrófico"),CONCATENATE("R7C",'Mapa final'!#REF!),"")</f>
        <v>#REF!</v>
      </c>
      <c r="AM12" s="43" t="e">
        <f>IF(AND('Mapa final'!#REF!="Muy Alta",'Mapa final'!#REF!="Catastrófico"),CONCATENATE("R7C",'Mapa final'!#REF!),"")</f>
        <v>#REF!</v>
      </c>
      <c r="AN12" s="69"/>
      <c r="AO12" s="366"/>
      <c r="AP12" s="367"/>
      <c r="AQ12" s="367"/>
      <c r="AR12" s="367"/>
      <c r="AS12" s="367"/>
      <c r="AT12" s="368"/>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row>
    <row r="13" spans="1:91" ht="15" customHeight="1" x14ac:dyDescent="0.25">
      <c r="A13" s="69"/>
      <c r="B13" s="305"/>
      <c r="C13" s="305"/>
      <c r="D13" s="306"/>
      <c r="E13" s="346"/>
      <c r="F13" s="347"/>
      <c r="G13" s="347"/>
      <c r="H13" s="347"/>
      <c r="I13" s="348"/>
      <c r="J13" s="38" t="e">
        <f>IF(AND('Mapa final'!#REF!="Muy Alta",'Mapa final'!#REF!="Leve"),CONCATENATE("R8C",'Mapa final'!#REF!),"")</f>
        <v>#REF!</v>
      </c>
      <c r="K13" s="39" t="e">
        <f>IF(AND('Mapa final'!#REF!="Muy Alta",'Mapa final'!#REF!="Leve"),CONCATENATE("R8C",'Mapa final'!#REF!),"")</f>
        <v>#REF!</v>
      </c>
      <c r="L13" s="39" t="e">
        <f>IF(AND('Mapa final'!#REF!="Muy Alta",'Mapa final'!#REF!="Leve"),CONCATENATE("R8C",'Mapa final'!#REF!),"")</f>
        <v>#REF!</v>
      </c>
      <c r="M13" s="39" t="e">
        <f>IF(AND('Mapa final'!#REF!="Muy Alta",'Mapa final'!#REF!="Leve"),CONCATENATE("R8C",'Mapa final'!#REF!),"")</f>
        <v>#REF!</v>
      </c>
      <c r="N13" s="39" t="e">
        <f>IF(AND('Mapa final'!#REF!="Muy Alta",'Mapa final'!#REF!="Leve"),CONCATENATE("R8C",'Mapa final'!#REF!),"")</f>
        <v>#REF!</v>
      </c>
      <c r="O13" s="40" t="e">
        <f>IF(AND('Mapa final'!#REF!="Muy Alta",'Mapa final'!#REF!="Leve"),CONCATENATE("R8C",'Mapa final'!#REF!),"")</f>
        <v>#REF!</v>
      </c>
      <c r="P13" s="38" t="e">
        <f>IF(AND('Mapa final'!#REF!="Muy Alta",'Mapa final'!#REF!="Menor"),CONCATENATE("R8C",'Mapa final'!#REF!),"")</f>
        <v>#REF!</v>
      </c>
      <c r="Q13" s="39" t="e">
        <f>IF(AND('Mapa final'!#REF!="Muy Alta",'Mapa final'!#REF!="Menor"),CONCATENATE("R8C",'Mapa final'!#REF!),"")</f>
        <v>#REF!</v>
      </c>
      <c r="R13" s="39" t="e">
        <f>IF(AND('Mapa final'!#REF!="Muy Alta",'Mapa final'!#REF!="Menor"),CONCATENATE("R8C",'Mapa final'!#REF!),"")</f>
        <v>#REF!</v>
      </c>
      <c r="S13" s="39" t="e">
        <f>IF(AND('Mapa final'!#REF!="Muy Alta",'Mapa final'!#REF!="Menor"),CONCATENATE("R8C",'Mapa final'!#REF!),"")</f>
        <v>#REF!</v>
      </c>
      <c r="T13" s="39" t="e">
        <f>IF(AND('Mapa final'!#REF!="Muy Alta",'Mapa final'!#REF!="Menor"),CONCATENATE("R8C",'Mapa final'!#REF!),"")</f>
        <v>#REF!</v>
      </c>
      <c r="U13" s="40" t="e">
        <f>IF(AND('Mapa final'!#REF!="Muy Alta",'Mapa final'!#REF!="Menor"),CONCATENATE("R8C",'Mapa final'!#REF!),"")</f>
        <v>#REF!</v>
      </c>
      <c r="V13" s="38" t="e">
        <f>IF(AND('Mapa final'!#REF!="Muy Alta",'Mapa final'!#REF!="Moderado"),CONCATENATE("R8C",'Mapa final'!#REF!),"")</f>
        <v>#REF!</v>
      </c>
      <c r="W13" s="39" t="e">
        <f>IF(AND('Mapa final'!#REF!="Muy Alta",'Mapa final'!#REF!="Moderado"),CONCATENATE("R8C",'Mapa final'!#REF!),"")</f>
        <v>#REF!</v>
      </c>
      <c r="X13" s="39" t="e">
        <f>IF(AND('Mapa final'!#REF!="Muy Alta",'Mapa final'!#REF!="Moderado"),CONCATENATE("R8C",'Mapa final'!#REF!),"")</f>
        <v>#REF!</v>
      </c>
      <c r="Y13" s="39" t="e">
        <f>IF(AND('Mapa final'!#REF!="Muy Alta",'Mapa final'!#REF!="Moderado"),CONCATENATE("R8C",'Mapa final'!#REF!),"")</f>
        <v>#REF!</v>
      </c>
      <c r="Z13" s="39" t="e">
        <f>IF(AND('Mapa final'!#REF!="Muy Alta",'Mapa final'!#REF!="Moderado"),CONCATENATE("R8C",'Mapa final'!#REF!),"")</f>
        <v>#REF!</v>
      </c>
      <c r="AA13" s="40" t="e">
        <f>IF(AND('Mapa final'!#REF!="Muy Alta",'Mapa final'!#REF!="Moderado"),CONCATENATE("R8C",'Mapa final'!#REF!),"")</f>
        <v>#REF!</v>
      </c>
      <c r="AB13" s="38" t="e">
        <f>IF(AND('Mapa final'!#REF!="Muy Alta",'Mapa final'!#REF!="Mayor"),CONCATENATE("R8C",'Mapa final'!#REF!),"")</f>
        <v>#REF!</v>
      </c>
      <c r="AC13" s="39" t="e">
        <f>IF(AND('Mapa final'!#REF!="Muy Alta",'Mapa final'!#REF!="Mayor"),CONCATENATE("R8C",'Mapa final'!#REF!),"")</f>
        <v>#REF!</v>
      </c>
      <c r="AD13" s="39" t="e">
        <f>IF(AND('Mapa final'!#REF!="Muy Alta",'Mapa final'!#REF!="Mayor"),CONCATENATE("R8C",'Mapa final'!#REF!),"")</f>
        <v>#REF!</v>
      </c>
      <c r="AE13" s="39" t="e">
        <f>IF(AND('Mapa final'!#REF!="Muy Alta",'Mapa final'!#REF!="Mayor"),CONCATENATE("R8C",'Mapa final'!#REF!),"")</f>
        <v>#REF!</v>
      </c>
      <c r="AF13" s="39" t="e">
        <f>IF(AND('Mapa final'!#REF!="Muy Alta",'Mapa final'!#REF!="Mayor"),CONCATENATE("R8C",'Mapa final'!#REF!),"")</f>
        <v>#REF!</v>
      </c>
      <c r="AG13" s="40" t="e">
        <f>IF(AND('Mapa final'!#REF!="Muy Alta",'Mapa final'!#REF!="Mayor"),CONCATENATE("R8C",'Mapa final'!#REF!),"")</f>
        <v>#REF!</v>
      </c>
      <c r="AH13" s="41" t="e">
        <f>IF(AND('Mapa final'!#REF!="Muy Alta",'Mapa final'!#REF!="Catastrófico"),CONCATENATE("R8C",'Mapa final'!#REF!),"")</f>
        <v>#REF!</v>
      </c>
      <c r="AI13" s="42" t="e">
        <f>IF(AND('Mapa final'!#REF!="Muy Alta",'Mapa final'!#REF!="Catastrófico"),CONCATENATE("R8C",'Mapa final'!#REF!),"")</f>
        <v>#REF!</v>
      </c>
      <c r="AJ13" s="42" t="e">
        <f>IF(AND('Mapa final'!#REF!="Muy Alta",'Mapa final'!#REF!="Catastrófico"),CONCATENATE("R8C",'Mapa final'!#REF!),"")</f>
        <v>#REF!</v>
      </c>
      <c r="AK13" s="42" t="e">
        <f>IF(AND('Mapa final'!#REF!="Muy Alta",'Mapa final'!#REF!="Catastrófico"),CONCATENATE("R8C",'Mapa final'!#REF!),"")</f>
        <v>#REF!</v>
      </c>
      <c r="AL13" s="42" t="e">
        <f>IF(AND('Mapa final'!#REF!="Muy Alta",'Mapa final'!#REF!="Catastrófico"),CONCATENATE("R8C",'Mapa final'!#REF!),"")</f>
        <v>#REF!</v>
      </c>
      <c r="AM13" s="43" t="e">
        <f>IF(AND('Mapa final'!#REF!="Muy Alta",'Mapa final'!#REF!="Catastrófico"),CONCATENATE("R8C",'Mapa final'!#REF!),"")</f>
        <v>#REF!</v>
      </c>
      <c r="AN13" s="69"/>
      <c r="AO13" s="366"/>
      <c r="AP13" s="367"/>
      <c r="AQ13" s="367"/>
      <c r="AR13" s="367"/>
      <c r="AS13" s="367"/>
      <c r="AT13" s="368"/>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row>
    <row r="14" spans="1:91" ht="15" customHeight="1" x14ac:dyDescent="0.25">
      <c r="A14" s="69"/>
      <c r="B14" s="305"/>
      <c r="C14" s="305"/>
      <c r="D14" s="306"/>
      <c r="E14" s="346"/>
      <c r="F14" s="347"/>
      <c r="G14" s="347"/>
      <c r="H14" s="347"/>
      <c r="I14" s="348"/>
      <c r="J14" s="38" t="e">
        <f>IF(AND('Mapa final'!#REF!="Muy Alta",'Mapa final'!#REF!="Leve"),CONCATENATE("R9C",'Mapa final'!#REF!),"")</f>
        <v>#REF!</v>
      </c>
      <c r="K14" s="39" t="e">
        <f>IF(AND('Mapa final'!#REF!="Muy Alta",'Mapa final'!#REF!="Leve"),CONCATENATE("R9C",'Mapa final'!#REF!),"")</f>
        <v>#REF!</v>
      </c>
      <c r="L14" s="39" t="e">
        <f>IF(AND('Mapa final'!#REF!="Muy Alta",'Mapa final'!#REF!="Leve"),CONCATENATE("R9C",'Mapa final'!#REF!),"")</f>
        <v>#REF!</v>
      </c>
      <c r="M14" s="39" t="e">
        <f>IF(AND('Mapa final'!#REF!="Muy Alta",'Mapa final'!#REF!="Leve"),CONCATENATE("R9C",'Mapa final'!#REF!),"")</f>
        <v>#REF!</v>
      </c>
      <c r="N14" s="39" t="e">
        <f>IF(AND('Mapa final'!#REF!="Muy Alta",'Mapa final'!#REF!="Leve"),CONCATENATE("R9C",'Mapa final'!#REF!),"")</f>
        <v>#REF!</v>
      </c>
      <c r="O14" s="40" t="e">
        <f>IF(AND('Mapa final'!#REF!="Muy Alta",'Mapa final'!#REF!="Leve"),CONCATENATE("R9C",'Mapa final'!#REF!),"")</f>
        <v>#REF!</v>
      </c>
      <c r="P14" s="38" t="e">
        <f>IF(AND('Mapa final'!#REF!="Muy Alta",'Mapa final'!#REF!="Menor"),CONCATENATE("R9C",'Mapa final'!#REF!),"")</f>
        <v>#REF!</v>
      </c>
      <c r="Q14" s="39" t="e">
        <f>IF(AND('Mapa final'!#REF!="Muy Alta",'Mapa final'!#REF!="Menor"),CONCATENATE("R9C",'Mapa final'!#REF!),"")</f>
        <v>#REF!</v>
      </c>
      <c r="R14" s="39" t="e">
        <f>IF(AND('Mapa final'!#REF!="Muy Alta",'Mapa final'!#REF!="Menor"),CONCATENATE("R9C",'Mapa final'!#REF!),"")</f>
        <v>#REF!</v>
      </c>
      <c r="S14" s="39" t="e">
        <f>IF(AND('Mapa final'!#REF!="Muy Alta",'Mapa final'!#REF!="Menor"),CONCATENATE("R9C",'Mapa final'!#REF!),"")</f>
        <v>#REF!</v>
      </c>
      <c r="T14" s="39" t="e">
        <f>IF(AND('Mapa final'!#REF!="Muy Alta",'Mapa final'!#REF!="Menor"),CONCATENATE("R9C",'Mapa final'!#REF!),"")</f>
        <v>#REF!</v>
      </c>
      <c r="U14" s="40" t="e">
        <f>IF(AND('Mapa final'!#REF!="Muy Alta",'Mapa final'!#REF!="Menor"),CONCATENATE("R9C",'Mapa final'!#REF!),"")</f>
        <v>#REF!</v>
      </c>
      <c r="V14" s="38" t="e">
        <f>IF(AND('Mapa final'!#REF!="Muy Alta",'Mapa final'!#REF!="Moderado"),CONCATENATE("R9C",'Mapa final'!#REF!),"")</f>
        <v>#REF!</v>
      </c>
      <c r="W14" s="39" t="e">
        <f>IF(AND('Mapa final'!#REF!="Muy Alta",'Mapa final'!#REF!="Moderado"),CONCATENATE("R9C",'Mapa final'!#REF!),"")</f>
        <v>#REF!</v>
      </c>
      <c r="X14" s="39" t="e">
        <f>IF(AND('Mapa final'!#REF!="Muy Alta",'Mapa final'!#REF!="Moderado"),CONCATENATE("R9C",'Mapa final'!#REF!),"")</f>
        <v>#REF!</v>
      </c>
      <c r="Y14" s="39" t="e">
        <f>IF(AND('Mapa final'!#REF!="Muy Alta",'Mapa final'!#REF!="Moderado"),CONCATENATE("R9C",'Mapa final'!#REF!),"")</f>
        <v>#REF!</v>
      </c>
      <c r="Z14" s="39" t="e">
        <f>IF(AND('Mapa final'!#REF!="Muy Alta",'Mapa final'!#REF!="Moderado"),CONCATENATE("R9C",'Mapa final'!#REF!),"")</f>
        <v>#REF!</v>
      </c>
      <c r="AA14" s="40" t="e">
        <f>IF(AND('Mapa final'!#REF!="Muy Alta",'Mapa final'!#REF!="Moderado"),CONCATENATE("R9C",'Mapa final'!#REF!),"")</f>
        <v>#REF!</v>
      </c>
      <c r="AB14" s="38" t="e">
        <f>IF(AND('Mapa final'!#REF!="Muy Alta",'Mapa final'!#REF!="Mayor"),CONCATENATE("R9C",'Mapa final'!#REF!),"")</f>
        <v>#REF!</v>
      </c>
      <c r="AC14" s="39" t="e">
        <f>IF(AND('Mapa final'!#REF!="Muy Alta",'Mapa final'!#REF!="Mayor"),CONCATENATE("R9C",'Mapa final'!#REF!),"")</f>
        <v>#REF!</v>
      </c>
      <c r="AD14" s="39" t="e">
        <f>IF(AND('Mapa final'!#REF!="Muy Alta",'Mapa final'!#REF!="Mayor"),CONCATENATE("R9C",'Mapa final'!#REF!),"")</f>
        <v>#REF!</v>
      </c>
      <c r="AE14" s="39" t="e">
        <f>IF(AND('Mapa final'!#REF!="Muy Alta",'Mapa final'!#REF!="Mayor"),CONCATENATE("R9C",'Mapa final'!#REF!),"")</f>
        <v>#REF!</v>
      </c>
      <c r="AF14" s="39" t="e">
        <f>IF(AND('Mapa final'!#REF!="Muy Alta",'Mapa final'!#REF!="Mayor"),CONCATENATE("R9C",'Mapa final'!#REF!),"")</f>
        <v>#REF!</v>
      </c>
      <c r="AG14" s="40" t="e">
        <f>IF(AND('Mapa final'!#REF!="Muy Alta",'Mapa final'!#REF!="Mayor"),CONCATENATE("R9C",'Mapa final'!#REF!),"")</f>
        <v>#REF!</v>
      </c>
      <c r="AH14" s="41" t="e">
        <f>IF(AND('Mapa final'!#REF!="Muy Alta",'Mapa final'!#REF!="Catastrófico"),CONCATENATE("R9C",'Mapa final'!#REF!),"")</f>
        <v>#REF!</v>
      </c>
      <c r="AI14" s="42" t="e">
        <f>IF(AND('Mapa final'!#REF!="Muy Alta",'Mapa final'!#REF!="Catastrófico"),CONCATENATE("R9C",'Mapa final'!#REF!),"")</f>
        <v>#REF!</v>
      </c>
      <c r="AJ14" s="42" t="e">
        <f>IF(AND('Mapa final'!#REF!="Muy Alta",'Mapa final'!#REF!="Catastrófico"),CONCATENATE("R9C",'Mapa final'!#REF!),"")</f>
        <v>#REF!</v>
      </c>
      <c r="AK14" s="42" t="e">
        <f>IF(AND('Mapa final'!#REF!="Muy Alta",'Mapa final'!#REF!="Catastrófico"),CONCATENATE("R9C",'Mapa final'!#REF!),"")</f>
        <v>#REF!</v>
      </c>
      <c r="AL14" s="42" t="e">
        <f>IF(AND('Mapa final'!#REF!="Muy Alta",'Mapa final'!#REF!="Catastrófico"),CONCATENATE("R9C",'Mapa final'!#REF!),"")</f>
        <v>#REF!</v>
      </c>
      <c r="AM14" s="43" t="e">
        <f>IF(AND('Mapa final'!#REF!="Muy Alta",'Mapa final'!#REF!="Catastrófico"),CONCATENATE("R9C",'Mapa final'!#REF!),"")</f>
        <v>#REF!</v>
      </c>
      <c r="AN14" s="69"/>
      <c r="AO14" s="366"/>
      <c r="AP14" s="367"/>
      <c r="AQ14" s="367"/>
      <c r="AR14" s="367"/>
      <c r="AS14" s="367"/>
      <c r="AT14" s="368"/>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row>
    <row r="15" spans="1:91" ht="15.75" customHeight="1" thickBot="1" x14ac:dyDescent="0.3">
      <c r="A15" s="69"/>
      <c r="B15" s="305"/>
      <c r="C15" s="305"/>
      <c r="D15" s="306"/>
      <c r="E15" s="349"/>
      <c r="F15" s="350"/>
      <c r="G15" s="350"/>
      <c r="H15" s="350"/>
      <c r="I15" s="351"/>
      <c r="J15" s="44" t="e">
        <f>IF(AND('Mapa final'!#REF!="Muy Alta",'Mapa final'!#REF!="Leve"),CONCATENATE("R10C",'Mapa final'!#REF!),"")</f>
        <v>#REF!</v>
      </c>
      <c r="K15" s="45" t="e">
        <f>IF(AND('Mapa final'!#REF!="Muy Alta",'Mapa final'!#REF!="Leve"),CONCATENATE("R10C",'Mapa final'!#REF!),"")</f>
        <v>#REF!</v>
      </c>
      <c r="L15" s="45" t="e">
        <f>IF(AND('Mapa final'!#REF!="Muy Alta",'Mapa final'!#REF!="Leve"),CONCATENATE("R10C",'Mapa final'!#REF!),"")</f>
        <v>#REF!</v>
      </c>
      <c r="M15" s="45" t="e">
        <f>IF(AND('Mapa final'!#REF!="Muy Alta",'Mapa final'!#REF!="Leve"),CONCATENATE("R10C",'Mapa final'!#REF!),"")</f>
        <v>#REF!</v>
      </c>
      <c r="N15" s="45" t="e">
        <f>IF(AND('Mapa final'!#REF!="Muy Alta",'Mapa final'!#REF!="Leve"),CONCATENATE("R10C",'Mapa final'!#REF!),"")</f>
        <v>#REF!</v>
      </c>
      <c r="O15" s="46" t="e">
        <f>IF(AND('Mapa final'!#REF!="Muy Alta",'Mapa final'!#REF!="Leve"),CONCATENATE("R10C",'Mapa final'!#REF!),"")</f>
        <v>#REF!</v>
      </c>
      <c r="P15" s="38" t="e">
        <f>IF(AND('Mapa final'!#REF!="Muy Alta",'Mapa final'!#REF!="Menor"),CONCATENATE("R10C",'Mapa final'!#REF!),"")</f>
        <v>#REF!</v>
      </c>
      <c r="Q15" s="39" t="e">
        <f>IF(AND('Mapa final'!#REF!="Muy Alta",'Mapa final'!#REF!="Menor"),CONCATENATE("R10C",'Mapa final'!#REF!),"")</f>
        <v>#REF!</v>
      </c>
      <c r="R15" s="39" t="e">
        <f>IF(AND('Mapa final'!#REF!="Muy Alta",'Mapa final'!#REF!="Menor"),CONCATENATE("R10C",'Mapa final'!#REF!),"")</f>
        <v>#REF!</v>
      </c>
      <c r="S15" s="39" t="e">
        <f>IF(AND('Mapa final'!#REF!="Muy Alta",'Mapa final'!#REF!="Menor"),CONCATENATE("R10C",'Mapa final'!#REF!),"")</f>
        <v>#REF!</v>
      </c>
      <c r="T15" s="39" t="e">
        <f>IF(AND('Mapa final'!#REF!="Muy Alta",'Mapa final'!#REF!="Menor"),CONCATENATE("R10C",'Mapa final'!#REF!),"")</f>
        <v>#REF!</v>
      </c>
      <c r="U15" s="40" t="e">
        <f>IF(AND('Mapa final'!#REF!="Muy Alta",'Mapa final'!#REF!="Menor"),CONCATENATE("R10C",'Mapa final'!#REF!),"")</f>
        <v>#REF!</v>
      </c>
      <c r="V15" s="44" t="e">
        <f>IF(AND('Mapa final'!#REF!="Muy Alta",'Mapa final'!#REF!="Moderado"),CONCATENATE("R10C",'Mapa final'!#REF!),"")</f>
        <v>#REF!</v>
      </c>
      <c r="W15" s="45" t="e">
        <f>IF(AND('Mapa final'!#REF!="Muy Alta",'Mapa final'!#REF!="Moderado"),CONCATENATE("R10C",'Mapa final'!#REF!),"")</f>
        <v>#REF!</v>
      </c>
      <c r="X15" s="45" t="e">
        <f>IF(AND('Mapa final'!#REF!="Muy Alta",'Mapa final'!#REF!="Moderado"),CONCATENATE("R10C",'Mapa final'!#REF!),"")</f>
        <v>#REF!</v>
      </c>
      <c r="Y15" s="45" t="e">
        <f>IF(AND('Mapa final'!#REF!="Muy Alta",'Mapa final'!#REF!="Moderado"),CONCATENATE("R10C",'Mapa final'!#REF!),"")</f>
        <v>#REF!</v>
      </c>
      <c r="Z15" s="45" t="e">
        <f>IF(AND('Mapa final'!#REF!="Muy Alta",'Mapa final'!#REF!="Moderado"),CONCATENATE("R10C",'Mapa final'!#REF!),"")</f>
        <v>#REF!</v>
      </c>
      <c r="AA15" s="46" t="e">
        <f>IF(AND('Mapa final'!#REF!="Muy Alta",'Mapa final'!#REF!="Moderado"),CONCATENATE("R10C",'Mapa final'!#REF!),"")</f>
        <v>#REF!</v>
      </c>
      <c r="AB15" s="38" t="e">
        <f>IF(AND('Mapa final'!#REF!="Muy Alta",'Mapa final'!#REF!="Mayor"),CONCATENATE("R10C",'Mapa final'!#REF!),"")</f>
        <v>#REF!</v>
      </c>
      <c r="AC15" s="39" t="e">
        <f>IF(AND('Mapa final'!#REF!="Muy Alta",'Mapa final'!#REF!="Mayor"),CONCATENATE("R10C",'Mapa final'!#REF!),"")</f>
        <v>#REF!</v>
      </c>
      <c r="AD15" s="39" t="e">
        <f>IF(AND('Mapa final'!#REF!="Muy Alta",'Mapa final'!#REF!="Mayor"),CONCATENATE("R10C",'Mapa final'!#REF!),"")</f>
        <v>#REF!</v>
      </c>
      <c r="AE15" s="39" t="e">
        <f>IF(AND('Mapa final'!#REF!="Muy Alta",'Mapa final'!#REF!="Mayor"),CONCATENATE("R10C",'Mapa final'!#REF!),"")</f>
        <v>#REF!</v>
      </c>
      <c r="AF15" s="39" t="e">
        <f>IF(AND('Mapa final'!#REF!="Muy Alta",'Mapa final'!#REF!="Mayor"),CONCATENATE("R10C",'Mapa final'!#REF!),"")</f>
        <v>#REF!</v>
      </c>
      <c r="AG15" s="40" t="e">
        <f>IF(AND('Mapa final'!#REF!="Muy Alta",'Mapa final'!#REF!="Mayor"),CONCATENATE("R10C",'Mapa final'!#REF!),"")</f>
        <v>#REF!</v>
      </c>
      <c r="AH15" s="47" t="e">
        <f>IF(AND('Mapa final'!#REF!="Muy Alta",'Mapa final'!#REF!="Catastrófico"),CONCATENATE("R10C",'Mapa final'!#REF!),"")</f>
        <v>#REF!</v>
      </c>
      <c r="AI15" s="48" t="e">
        <f>IF(AND('Mapa final'!#REF!="Muy Alta",'Mapa final'!#REF!="Catastrófico"),CONCATENATE("R10C",'Mapa final'!#REF!),"")</f>
        <v>#REF!</v>
      </c>
      <c r="AJ15" s="48" t="e">
        <f>IF(AND('Mapa final'!#REF!="Muy Alta",'Mapa final'!#REF!="Catastrófico"),CONCATENATE("R10C",'Mapa final'!#REF!),"")</f>
        <v>#REF!</v>
      </c>
      <c r="AK15" s="48" t="e">
        <f>IF(AND('Mapa final'!#REF!="Muy Alta",'Mapa final'!#REF!="Catastrófico"),CONCATENATE("R10C",'Mapa final'!#REF!),"")</f>
        <v>#REF!</v>
      </c>
      <c r="AL15" s="48" t="e">
        <f>IF(AND('Mapa final'!#REF!="Muy Alta",'Mapa final'!#REF!="Catastrófico"),CONCATENATE("R10C",'Mapa final'!#REF!),"")</f>
        <v>#REF!</v>
      </c>
      <c r="AM15" s="49" t="e">
        <f>IF(AND('Mapa final'!#REF!="Muy Alta",'Mapa final'!#REF!="Catastrófico"),CONCATENATE("R10C",'Mapa final'!#REF!),"")</f>
        <v>#REF!</v>
      </c>
      <c r="AN15" s="69"/>
      <c r="AO15" s="369"/>
      <c r="AP15" s="370"/>
      <c r="AQ15" s="370"/>
      <c r="AR15" s="370"/>
      <c r="AS15" s="370"/>
      <c r="AT15" s="371"/>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row>
    <row r="16" spans="1:91" ht="15" customHeight="1" x14ac:dyDescent="0.25">
      <c r="A16" s="69"/>
      <c r="B16" s="305"/>
      <c r="C16" s="305"/>
      <c r="D16" s="306"/>
      <c r="E16" s="343" t="s">
        <v>115</v>
      </c>
      <c r="F16" s="344"/>
      <c r="G16" s="344"/>
      <c r="H16" s="344"/>
      <c r="I16" s="344"/>
      <c r="J16" s="50" t="e">
        <f>IF(AND('Mapa final'!#REF!="Alta",'Mapa final'!#REF!="Leve"),CONCATENATE("R1C",'Mapa final'!#REF!),"")</f>
        <v>#REF!</v>
      </c>
      <c r="K16" s="51" t="e">
        <f>IF(AND('Mapa final'!#REF!="Alta",'Mapa final'!#REF!="Leve"),CONCATENATE("R1C",'Mapa final'!#REF!),"")</f>
        <v>#REF!</v>
      </c>
      <c r="L16" s="51" t="e">
        <f>IF(AND('Mapa final'!#REF!="Alta",'Mapa final'!#REF!="Leve"),CONCATENATE("R1C",'Mapa final'!#REF!),"")</f>
        <v>#REF!</v>
      </c>
      <c r="M16" s="51" t="e">
        <f>IF(AND('Mapa final'!#REF!="Alta",'Mapa final'!#REF!="Leve"),CONCATENATE("R1C",'Mapa final'!#REF!),"")</f>
        <v>#REF!</v>
      </c>
      <c r="N16" s="51" t="e">
        <f>IF(AND('Mapa final'!#REF!="Alta",'Mapa final'!#REF!="Leve"),CONCATENATE("R1C",'Mapa final'!#REF!),"")</f>
        <v>#REF!</v>
      </c>
      <c r="O16" s="52" t="e">
        <f>IF(AND('Mapa final'!#REF!="Alta",'Mapa final'!#REF!="Leve"),CONCATENATE("R1C",'Mapa final'!#REF!),"")</f>
        <v>#REF!</v>
      </c>
      <c r="P16" s="50" t="e">
        <f>IF(AND('Mapa final'!#REF!="Alta",'Mapa final'!#REF!="Menor"),CONCATENATE("R1C",'Mapa final'!#REF!),"")</f>
        <v>#REF!</v>
      </c>
      <c r="Q16" s="51" t="e">
        <f>IF(AND('Mapa final'!#REF!="Alta",'Mapa final'!#REF!="Menor"),CONCATENATE("R1C",'Mapa final'!#REF!),"")</f>
        <v>#REF!</v>
      </c>
      <c r="R16" s="51" t="e">
        <f>IF(AND('Mapa final'!#REF!="Alta",'Mapa final'!#REF!="Menor"),CONCATENATE("R1C",'Mapa final'!#REF!),"")</f>
        <v>#REF!</v>
      </c>
      <c r="S16" s="51" t="e">
        <f>IF(AND('Mapa final'!#REF!="Alta",'Mapa final'!#REF!="Menor"),CONCATENATE("R1C",'Mapa final'!#REF!),"")</f>
        <v>#REF!</v>
      </c>
      <c r="T16" s="51" t="e">
        <f>IF(AND('Mapa final'!#REF!="Alta",'Mapa final'!#REF!="Menor"),CONCATENATE("R1C",'Mapa final'!#REF!),"")</f>
        <v>#REF!</v>
      </c>
      <c r="U16" s="52" t="e">
        <f>IF(AND('Mapa final'!#REF!="Alta",'Mapa final'!#REF!="Menor"),CONCATENATE("R1C",'Mapa final'!#REF!),"")</f>
        <v>#REF!</v>
      </c>
      <c r="V16" s="32" t="e">
        <f>IF(AND('Mapa final'!#REF!="Alta",'Mapa final'!#REF!="Moderado"),CONCATENATE("R1C",'Mapa final'!#REF!),"")</f>
        <v>#REF!</v>
      </c>
      <c r="W16" s="33" t="e">
        <f>IF(AND('Mapa final'!#REF!="Alta",'Mapa final'!#REF!="Moderado"),CONCATENATE("R1C",'Mapa final'!#REF!),"")</f>
        <v>#REF!</v>
      </c>
      <c r="X16" s="33" t="e">
        <f>IF(AND('Mapa final'!#REF!="Alta",'Mapa final'!#REF!="Moderado"),CONCATENATE("R1C",'Mapa final'!#REF!),"")</f>
        <v>#REF!</v>
      </c>
      <c r="Y16" s="33" t="e">
        <f>IF(AND('Mapa final'!#REF!="Alta",'Mapa final'!#REF!="Moderado"),CONCATENATE("R1C",'Mapa final'!#REF!),"")</f>
        <v>#REF!</v>
      </c>
      <c r="Z16" s="33" t="e">
        <f>IF(AND('Mapa final'!#REF!="Alta",'Mapa final'!#REF!="Moderado"),CONCATENATE("R1C",'Mapa final'!#REF!),"")</f>
        <v>#REF!</v>
      </c>
      <c r="AA16" s="34" t="e">
        <f>IF(AND('Mapa final'!#REF!="Alta",'Mapa final'!#REF!="Moderado"),CONCATENATE("R1C",'Mapa final'!#REF!),"")</f>
        <v>#REF!</v>
      </c>
      <c r="AB16" s="32" t="e">
        <f>IF(AND('Mapa final'!#REF!="Alta",'Mapa final'!#REF!="Mayor"),CONCATENATE("R1C",'Mapa final'!#REF!),"")</f>
        <v>#REF!</v>
      </c>
      <c r="AC16" s="33" t="e">
        <f>IF(AND('Mapa final'!#REF!="Alta",'Mapa final'!#REF!="Mayor"),CONCATENATE("R1C",'Mapa final'!#REF!),"")</f>
        <v>#REF!</v>
      </c>
      <c r="AD16" s="33" t="e">
        <f>IF(AND('Mapa final'!#REF!="Alta",'Mapa final'!#REF!="Mayor"),CONCATENATE("R1C",'Mapa final'!#REF!),"")</f>
        <v>#REF!</v>
      </c>
      <c r="AE16" s="33" t="e">
        <f>IF(AND('Mapa final'!#REF!="Alta",'Mapa final'!#REF!="Mayor"),CONCATENATE("R1C",'Mapa final'!#REF!),"")</f>
        <v>#REF!</v>
      </c>
      <c r="AF16" s="33" t="e">
        <f>IF(AND('Mapa final'!#REF!="Alta",'Mapa final'!#REF!="Mayor"),CONCATENATE("R1C",'Mapa final'!#REF!),"")</f>
        <v>#REF!</v>
      </c>
      <c r="AG16" s="34" t="e">
        <f>IF(AND('Mapa final'!#REF!="Alta",'Mapa final'!#REF!="Mayor"),CONCATENATE("R1C",'Mapa final'!#REF!),"")</f>
        <v>#REF!</v>
      </c>
      <c r="AH16" s="35" t="e">
        <f>IF(AND('Mapa final'!#REF!="Alta",'Mapa final'!#REF!="Catastrófico"),CONCATENATE("R1C",'Mapa final'!#REF!),"")</f>
        <v>#REF!</v>
      </c>
      <c r="AI16" s="36" t="e">
        <f>IF(AND('Mapa final'!#REF!="Alta",'Mapa final'!#REF!="Catastrófico"),CONCATENATE("R1C",'Mapa final'!#REF!),"")</f>
        <v>#REF!</v>
      </c>
      <c r="AJ16" s="36" t="e">
        <f>IF(AND('Mapa final'!#REF!="Alta",'Mapa final'!#REF!="Catastrófico"),CONCATENATE("R1C",'Mapa final'!#REF!),"")</f>
        <v>#REF!</v>
      </c>
      <c r="AK16" s="36" t="e">
        <f>IF(AND('Mapa final'!#REF!="Alta",'Mapa final'!#REF!="Catastrófico"),CONCATENATE("R1C",'Mapa final'!#REF!),"")</f>
        <v>#REF!</v>
      </c>
      <c r="AL16" s="36" t="e">
        <f>IF(AND('Mapa final'!#REF!="Alta",'Mapa final'!#REF!="Catastrófico"),CONCATENATE("R1C",'Mapa final'!#REF!),"")</f>
        <v>#REF!</v>
      </c>
      <c r="AM16" s="37" t="e">
        <f>IF(AND('Mapa final'!#REF!="Alta",'Mapa final'!#REF!="Catastrófico"),CONCATENATE("R1C",'Mapa final'!#REF!),"")</f>
        <v>#REF!</v>
      </c>
      <c r="AN16" s="69"/>
      <c r="AO16" s="353" t="s">
        <v>80</v>
      </c>
      <c r="AP16" s="354"/>
      <c r="AQ16" s="354"/>
      <c r="AR16" s="354"/>
      <c r="AS16" s="354"/>
      <c r="AT16" s="355"/>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row>
    <row r="17" spans="1:76" ht="15" customHeight="1" x14ac:dyDescent="0.25">
      <c r="A17" s="69"/>
      <c r="B17" s="305"/>
      <c r="C17" s="305"/>
      <c r="D17" s="306"/>
      <c r="E17" s="362"/>
      <c r="F17" s="347"/>
      <c r="G17" s="347"/>
      <c r="H17" s="347"/>
      <c r="I17" s="347"/>
      <c r="J17" s="53" t="e">
        <f>IF(AND('Mapa final'!#REF!="Alta",'Mapa final'!#REF!="Leve"),CONCATENATE("R2C",'Mapa final'!#REF!),"")</f>
        <v>#REF!</v>
      </c>
      <c r="K17" s="54" t="e">
        <f>IF(AND('Mapa final'!#REF!="Alta",'Mapa final'!#REF!="Leve"),CONCATENATE("R2C",'Mapa final'!#REF!),"")</f>
        <v>#REF!</v>
      </c>
      <c r="L17" s="54" t="e">
        <f>IF(AND('Mapa final'!#REF!="Alta",'Mapa final'!#REF!="Leve"),CONCATENATE("R2C",'Mapa final'!#REF!),"")</f>
        <v>#REF!</v>
      </c>
      <c r="M17" s="54" t="e">
        <f>IF(AND('Mapa final'!#REF!="Alta",'Mapa final'!#REF!="Leve"),CONCATENATE("R2C",'Mapa final'!#REF!),"")</f>
        <v>#REF!</v>
      </c>
      <c r="N17" s="54" t="e">
        <f>IF(AND('Mapa final'!#REF!="Alta",'Mapa final'!#REF!="Leve"),CONCATENATE("R2C",'Mapa final'!#REF!),"")</f>
        <v>#REF!</v>
      </c>
      <c r="O17" s="55" t="e">
        <f>IF(AND('Mapa final'!#REF!="Alta",'Mapa final'!#REF!="Leve"),CONCATENATE("R2C",'Mapa final'!#REF!),"")</f>
        <v>#REF!</v>
      </c>
      <c r="P17" s="53" t="e">
        <f>IF(AND('Mapa final'!#REF!="Alta",'Mapa final'!#REF!="Menor"),CONCATENATE("R2C",'Mapa final'!#REF!),"")</f>
        <v>#REF!</v>
      </c>
      <c r="Q17" s="54" t="e">
        <f>IF(AND('Mapa final'!#REF!="Alta",'Mapa final'!#REF!="Menor"),CONCATENATE("R2C",'Mapa final'!#REF!),"")</f>
        <v>#REF!</v>
      </c>
      <c r="R17" s="54" t="e">
        <f>IF(AND('Mapa final'!#REF!="Alta",'Mapa final'!#REF!="Menor"),CONCATENATE("R2C",'Mapa final'!#REF!),"")</f>
        <v>#REF!</v>
      </c>
      <c r="S17" s="54" t="e">
        <f>IF(AND('Mapa final'!#REF!="Alta",'Mapa final'!#REF!="Menor"),CONCATENATE("R2C",'Mapa final'!#REF!),"")</f>
        <v>#REF!</v>
      </c>
      <c r="T17" s="54" t="e">
        <f>IF(AND('Mapa final'!#REF!="Alta",'Mapa final'!#REF!="Menor"),CONCATENATE("R2C",'Mapa final'!#REF!),"")</f>
        <v>#REF!</v>
      </c>
      <c r="U17" s="55" t="e">
        <f>IF(AND('Mapa final'!#REF!="Alta",'Mapa final'!#REF!="Menor"),CONCATENATE("R2C",'Mapa final'!#REF!),"")</f>
        <v>#REF!</v>
      </c>
      <c r="V17" s="38" t="e">
        <f>IF(AND('Mapa final'!#REF!="Alta",'Mapa final'!#REF!="Moderado"),CONCATENATE("R2C",'Mapa final'!#REF!),"")</f>
        <v>#REF!</v>
      </c>
      <c r="W17" s="39" t="e">
        <f>IF(AND('Mapa final'!#REF!="Alta",'Mapa final'!#REF!="Moderado"),CONCATENATE("R2C",'Mapa final'!#REF!),"")</f>
        <v>#REF!</v>
      </c>
      <c r="X17" s="39" t="e">
        <f>IF(AND('Mapa final'!#REF!="Alta",'Mapa final'!#REF!="Moderado"),CONCATENATE("R2C",'Mapa final'!#REF!),"")</f>
        <v>#REF!</v>
      </c>
      <c r="Y17" s="39" t="e">
        <f>IF(AND('Mapa final'!#REF!="Alta",'Mapa final'!#REF!="Moderado"),CONCATENATE("R2C",'Mapa final'!#REF!),"")</f>
        <v>#REF!</v>
      </c>
      <c r="Z17" s="39" t="e">
        <f>IF(AND('Mapa final'!#REF!="Alta",'Mapa final'!#REF!="Moderado"),CONCATENATE("R2C",'Mapa final'!#REF!),"")</f>
        <v>#REF!</v>
      </c>
      <c r="AA17" s="40" t="e">
        <f>IF(AND('Mapa final'!#REF!="Alta",'Mapa final'!#REF!="Moderado"),CONCATENATE("R2C",'Mapa final'!#REF!),"")</f>
        <v>#REF!</v>
      </c>
      <c r="AB17" s="38" t="e">
        <f>IF(AND('Mapa final'!#REF!="Alta",'Mapa final'!#REF!="Mayor"),CONCATENATE("R2C",'Mapa final'!#REF!),"")</f>
        <v>#REF!</v>
      </c>
      <c r="AC17" s="39" t="e">
        <f>IF(AND('Mapa final'!#REF!="Alta",'Mapa final'!#REF!="Mayor"),CONCATENATE("R2C",'Mapa final'!#REF!),"")</f>
        <v>#REF!</v>
      </c>
      <c r="AD17" s="39" t="e">
        <f>IF(AND('Mapa final'!#REF!="Alta",'Mapa final'!#REF!="Mayor"),CONCATENATE("R2C",'Mapa final'!#REF!),"")</f>
        <v>#REF!</v>
      </c>
      <c r="AE17" s="39" t="e">
        <f>IF(AND('Mapa final'!#REF!="Alta",'Mapa final'!#REF!="Mayor"),CONCATENATE("R2C",'Mapa final'!#REF!),"")</f>
        <v>#REF!</v>
      </c>
      <c r="AF17" s="39" t="e">
        <f>IF(AND('Mapa final'!#REF!="Alta",'Mapa final'!#REF!="Mayor"),CONCATENATE("R2C",'Mapa final'!#REF!),"")</f>
        <v>#REF!</v>
      </c>
      <c r="AG17" s="40" t="e">
        <f>IF(AND('Mapa final'!#REF!="Alta",'Mapa final'!#REF!="Mayor"),CONCATENATE("R2C",'Mapa final'!#REF!),"")</f>
        <v>#REF!</v>
      </c>
      <c r="AH17" s="41" t="e">
        <f>IF(AND('Mapa final'!#REF!="Alta",'Mapa final'!#REF!="Catastrófico"),CONCATENATE("R2C",'Mapa final'!#REF!),"")</f>
        <v>#REF!</v>
      </c>
      <c r="AI17" s="42" t="e">
        <f>IF(AND('Mapa final'!#REF!="Alta",'Mapa final'!#REF!="Catastrófico"),CONCATENATE("R2C",'Mapa final'!#REF!),"")</f>
        <v>#REF!</v>
      </c>
      <c r="AJ17" s="42" t="e">
        <f>IF(AND('Mapa final'!#REF!="Alta",'Mapa final'!#REF!="Catastrófico"),CONCATENATE("R2C",'Mapa final'!#REF!),"")</f>
        <v>#REF!</v>
      </c>
      <c r="AK17" s="42" t="e">
        <f>IF(AND('Mapa final'!#REF!="Alta",'Mapa final'!#REF!="Catastrófico"),CONCATENATE("R2C",'Mapa final'!#REF!),"")</f>
        <v>#REF!</v>
      </c>
      <c r="AL17" s="42" t="e">
        <f>IF(AND('Mapa final'!#REF!="Alta",'Mapa final'!#REF!="Catastrófico"),CONCATENATE("R2C",'Mapa final'!#REF!),"")</f>
        <v>#REF!</v>
      </c>
      <c r="AM17" s="43" t="e">
        <f>IF(AND('Mapa final'!#REF!="Alta",'Mapa final'!#REF!="Catastrófico"),CONCATENATE("R2C",'Mapa final'!#REF!),"")</f>
        <v>#REF!</v>
      </c>
      <c r="AN17" s="69"/>
      <c r="AO17" s="356"/>
      <c r="AP17" s="357"/>
      <c r="AQ17" s="357"/>
      <c r="AR17" s="357"/>
      <c r="AS17" s="357"/>
      <c r="AT17" s="358"/>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row>
    <row r="18" spans="1:76" ht="15" customHeight="1" x14ac:dyDescent="0.25">
      <c r="A18" s="69"/>
      <c r="B18" s="305"/>
      <c r="C18" s="305"/>
      <c r="D18" s="306"/>
      <c r="E18" s="346"/>
      <c r="F18" s="347"/>
      <c r="G18" s="347"/>
      <c r="H18" s="347"/>
      <c r="I18" s="347"/>
      <c r="J18" s="53" t="e">
        <f>IF(AND('Mapa final'!#REF!="Alta",'Mapa final'!#REF!="Leve"),CONCATENATE("R3C",'Mapa final'!#REF!),"")</f>
        <v>#REF!</v>
      </c>
      <c r="K18" s="54" t="e">
        <f>IF(AND('Mapa final'!#REF!="Alta",'Mapa final'!#REF!="Leve"),CONCATENATE("R3C",'Mapa final'!#REF!),"")</f>
        <v>#REF!</v>
      </c>
      <c r="L18" s="54" t="e">
        <f>IF(AND('Mapa final'!#REF!="Alta",'Mapa final'!#REF!="Leve"),CONCATENATE("R3C",'Mapa final'!#REF!),"")</f>
        <v>#REF!</v>
      </c>
      <c r="M18" s="54" t="e">
        <f>IF(AND('Mapa final'!#REF!="Alta",'Mapa final'!#REF!="Leve"),CONCATENATE("R3C",'Mapa final'!#REF!),"")</f>
        <v>#REF!</v>
      </c>
      <c r="N18" s="54" t="e">
        <f>IF(AND('Mapa final'!#REF!="Alta",'Mapa final'!#REF!="Leve"),CONCATENATE("R3C",'Mapa final'!#REF!),"")</f>
        <v>#REF!</v>
      </c>
      <c r="O18" s="55" t="e">
        <f>IF(AND('Mapa final'!#REF!="Alta",'Mapa final'!#REF!="Leve"),CONCATENATE("R3C",'Mapa final'!#REF!),"")</f>
        <v>#REF!</v>
      </c>
      <c r="P18" s="53" t="e">
        <f>IF(AND('Mapa final'!#REF!="Alta",'Mapa final'!#REF!="Menor"),CONCATENATE("R3C",'Mapa final'!#REF!),"")</f>
        <v>#REF!</v>
      </c>
      <c r="Q18" s="54" t="e">
        <f>IF(AND('Mapa final'!#REF!="Alta",'Mapa final'!#REF!="Menor"),CONCATENATE("R3C",'Mapa final'!#REF!),"")</f>
        <v>#REF!</v>
      </c>
      <c r="R18" s="54" t="e">
        <f>IF(AND('Mapa final'!#REF!="Alta",'Mapa final'!#REF!="Menor"),CONCATENATE("R3C",'Mapa final'!#REF!),"")</f>
        <v>#REF!</v>
      </c>
      <c r="S18" s="54" t="e">
        <f>IF(AND('Mapa final'!#REF!="Alta",'Mapa final'!#REF!="Menor"),CONCATENATE("R3C",'Mapa final'!#REF!),"")</f>
        <v>#REF!</v>
      </c>
      <c r="T18" s="54" t="e">
        <f>IF(AND('Mapa final'!#REF!="Alta",'Mapa final'!#REF!="Menor"),CONCATENATE("R3C",'Mapa final'!#REF!),"")</f>
        <v>#REF!</v>
      </c>
      <c r="U18" s="55" t="e">
        <f>IF(AND('Mapa final'!#REF!="Alta",'Mapa final'!#REF!="Menor"),CONCATENATE("R3C",'Mapa final'!#REF!),"")</f>
        <v>#REF!</v>
      </c>
      <c r="V18" s="38" t="e">
        <f>IF(AND('Mapa final'!#REF!="Alta",'Mapa final'!#REF!="Moderado"),CONCATENATE("R3C",'Mapa final'!#REF!),"")</f>
        <v>#REF!</v>
      </c>
      <c r="W18" s="39" t="e">
        <f>IF(AND('Mapa final'!#REF!="Alta",'Mapa final'!#REF!="Moderado"),CONCATENATE("R3C",'Mapa final'!#REF!),"")</f>
        <v>#REF!</v>
      </c>
      <c r="X18" s="39" t="e">
        <f>IF(AND('Mapa final'!#REF!="Alta",'Mapa final'!#REF!="Moderado"),CONCATENATE("R3C",'Mapa final'!#REF!),"")</f>
        <v>#REF!</v>
      </c>
      <c r="Y18" s="39" t="e">
        <f>IF(AND('Mapa final'!#REF!="Alta",'Mapa final'!#REF!="Moderado"),CONCATENATE("R3C",'Mapa final'!#REF!),"")</f>
        <v>#REF!</v>
      </c>
      <c r="Z18" s="39" t="e">
        <f>IF(AND('Mapa final'!#REF!="Alta",'Mapa final'!#REF!="Moderado"),CONCATENATE("R3C",'Mapa final'!#REF!),"")</f>
        <v>#REF!</v>
      </c>
      <c r="AA18" s="40" t="e">
        <f>IF(AND('Mapa final'!#REF!="Alta",'Mapa final'!#REF!="Moderado"),CONCATENATE("R3C",'Mapa final'!#REF!),"")</f>
        <v>#REF!</v>
      </c>
      <c r="AB18" s="38" t="e">
        <f>IF(AND('Mapa final'!#REF!="Alta",'Mapa final'!#REF!="Mayor"),CONCATENATE("R3C",'Mapa final'!#REF!),"")</f>
        <v>#REF!</v>
      </c>
      <c r="AC18" s="39" t="e">
        <f>IF(AND('Mapa final'!#REF!="Alta",'Mapa final'!#REF!="Mayor"),CONCATENATE("R3C",'Mapa final'!#REF!),"")</f>
        <v>#REF!</v>
      </c>
      <c r="AD18" s="39" t="e">
        <f>IF(AND('Mapa final'!#REF!="Alta",'Mapa final'!#REF!="Mayor"),CONCATENATE("R3C",'Mapa final'!#REF!),"")</f>
        <v>#REF!</v>
      </c>
      <c r="AE18" s="39" t="e">
        <f>IF(AND('Mapa final'!#REF!="Alta",'Mapa final'!#REF!="Mayor"),CONCATENATE("R3C",'Mapa final'!#REF!),"")</f>
        <v>#REF!</v>
      </c>
      <c r="AF18" s="39" t="e">
        <f>IF(AND('Mapa final'!#REF!="Alta",'Mapa final'!#REF!="Mayor"),CONCATENATE("R3C",'Mapa final'!#REF!),"")</f>
        <v>#REF!</v>
      </c>
      <c r="AG18" s="40" t="e">
        <f>IF(AND('Mapa final'!#REF!="Alta",'Mapa final'!#REF!="Mayor"),CONCATENATE("R3C",'Mapa final'!#REF!),"")</f>
        <v>#REF!</v>
      </c>
      <c r="AH18" s="41" t="e">
        <f>IF(AND('Mapa final'!#REF!="Alta",'Mapa final'!#REF!="Catastrófico"),CONCATENATE("R3C",'Mapa final'!#REF!),"")</f>
        <v>#REF!</v>
      </c>
      <c r="AI18" s="42" t="e">
        <f>IF(AND('Mapa final'!#REF!="Alta",'Mapa final'!#REF!="Catastrófico"),CONCATENATE("R3C",'Mapa final'!#REF!),"")</f>
        <v>#REF!</v>
      </c>
      <c r="AJ18" s="42" t="e">
        <f>IF(AND('Mapa final'!#REF!="Alta",'Mapa final'!#REF!="Catastrófico"),CONCATENATE("R3C",'Mapa final'!#REF!),"")</f>
        <v>#REF!</v>
      </c>
      <c r="AK18" s="42" t="e">
        <f>IF(AND('Mapa final'!#REF!="Alta",'Mapa final'!#REF!="Catastrófico"),CONCATENATE("R3C",'Mapa final'!#REF!),"")</f>
        <v>#REF!</v>
      </c>
      <c r="AL18" s="42" t="e">
        <f>IF(AND('Mapa final'!#REF!="Alta",'Mapa final'!#REF!="Catastrófico"),CONCATENATE("R3C",'Mapa final'!#REF!),"")</f>
        <v>#REF!</v>
      </c>
      <c r="AM18" s="43" t="e">
        <f>IF(AND('Mapa final'!#REF!="Alta",'Mapa final'!#REF!="Catastrófico"),CONCATENATE("R3C",'Mapa final'!#REF!),"")</f>
        <v>#REF!</v>
      </c>
      <c r="AN18" s="69"/>
      <c r="AO18" s="356"/>
      <c r="AP18" s="357"/>
      <c r="AQ18" s="357"/>
      <c r="AR18" s="357"/>
      <c r="AS18" s="357"/>
      <c r="AT18" s="358"/>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row>
    <row r="19" spans="1:76" ht="15" customHeight="1" x14ac:dyDescent="0.25">
      <c r="A19" s="69"/>
      <c r="B19" s="305"/>
      <c r="C19" s="305"/>
      <c r="D19" s="306"/>
      <c r="E19" s="346"/>
      <c r="F19" s="347"/>
      <c r="G19" s="347"/>
      <c r="H19" s="347"/>
      <c r="I19" s="347"/>
      <c r="J19" s="53" t="str">
        <f>IF(AND('Mapa final'!$Y$13="Alta",'Mapa final'!$AA$13="Leve"),CONCATENATE("R4C",'Mapa final'!$O$13),"")</f>
        <v/>
      </c>
      <c r="K19" s="54" t="str">
        <f>IF(AND('Mapa final'!$Y$14="Alta",'Mapa final'!$AA$14="Leve"),CONCATENATE("R4C",'Mapa final'!$O$14),"")</f>
        <v/>
      </c>
      <c r="L19" s="54" t="str">
        <f>IF(AND('Mapa final'!$Y$15="Alta",'Mapa final'!$AA$15="Leve"),CONCATENATE("R4C",'Mapa final'!$O$15),"")</f>
        <v/>
      </c>
      <c r="M19" s="54" t="str">
        <f>IF(AND('Mapa final'!$Y$16="Alta",'Mapa final'!$AA$16="Leve"),CONCATENATE("R4C",'Mapa final'!$O$16),"")</f>
        <v/>
      </c>
      <c r="N19" s="54" t="str">
        <f>IF(AND('Mapa final'!$Y$17="Alta",'Mapa final'!$AA$17="Leve"),CONCATENATE("R4C",'Mapa final'!$O$17),"")</f>
        <v/>
      </c>
      <c r="O19" s="55" t="str">
        <f>IF(AND('Mapa final'!$Y$18="Alta",'Mapa final'!$AA$18="Leve"),CONCATENATE("R4C",'Mapa final'!$O$18),"")</f>
        <v/>
      </c>
      <c r="P19" s="53" t="str">
        <f>IF(AND('Mapa final'!$Y$13="Alta",'Mapa final'!$AA$13="Menor"),CONCATENATE("R4C",'Mapa final'!$O$13),"")</f>
        <v/>
      </c>
      <c r="Q19" s="54" t="str">
        <f>IF(AND('Mapa final'!$Y$14="Alta",'Mapa final'!$AA$14="Menor"),CONCATENATE("R4C",'Mapa final'!$O$14),"")</f>
        <v/>
      </c>
      <c r="R19" s="54" t="str">
        <f>IF(AND('Mapa final'!$Y$15="Alta",'Mapa final'!$AA$15="Menor"),CONCATENATE("R4C",'Mapa final'!$O$15),"")</f>
        <v/>
      </c>
      <c r="S19" s="54" t="str">
        <f>IF(AND('Mapa final'!$Y$16="Alta",'Mapa final'!$AA$16="Menor"),CONCATENATE("R4C",'Mapa final'!$O$16),"")</f>
        <v/>
      </c>
      <c r="T19" s="54" t="str">
        <f>IF(AND('Mapa final'!$Y$17="Alta",'Mapa final'!$AA$17="Menor"),CONCATENATE("R4C",'Mapa final'!$O$17),"")</f>
        <v/>
      </c>
      <c r="U19" s="55" t="str">
        <f>IF(AND('Mapa final'!$Y$18="Alta",'Mapa final'!$AA$18="Menor"),CONCATENATE("R4C",'Mapa final'!$O$18),"")</f>
        <v/>
      </c>
      <c r="V19" s="38" t="str">
        <f>IF(AND('Mapa final'!$Y$13="Alta",'Mapa final'!$AA$13="Moderado"),CONCATENATE("R4C",'Mapa final'!$O$13),"")</f>
        <v/>
      </c>
      <c r="W19" s="39" t="str">
        <f>IF(AND('Mapa final'!$Y$14="Alta",'Mapa final'!$AA$14="Moderado"),CONCATENATE("R4C",'Mapa final'!$O$14),"")</f>
        <v/>
      </c>
      <c r="X19" s="39" t="str">
        <f>IF(AND('Mapa final'!$Y$15="Alta",'Mapa final'!$AA$15="Moderado"),CONCATENATE("R4C",'Mapa final'!$O$15),"")</f>
        <v/>
      </c>
      <c r="Y19" s="39" t="str">
        <f>IF(AND('Mapa final'!$Y$16="Alta",'Mapa final'!$AA$16="Moderado"),CONCATENATE("R4C",'Mapa final'!$O$16),"")</f>
        <v/>
      </c>
      <c r="Z19" s="39" t="str">
        <f>IF(AND('Mapa final'!$Y$17="Alta",'Mapa final'!$AA$17="Moderado"),CONCATENATE("R4C",'Mapa final'!$O$17),"")</f>
        <v/>
      </c>
      <c r="AA19" s="40" t="str">
        <f>IF(AND('Mapa final'!$Y$18="Alta",'Mapa final'!$AA$18="Moderado"),CONCATENATE("R4C",'Mapa final'!$O$18),"")</f>
        <v/>
      </c>
      <c r="AB19" s="38" t="str">
        <f>IF(AND('Mapa final'!$Y$13="Alta",'Mapa final'!$AA$13="Mayor"),CONCATENATE("R4C",'Mapa final'!$O$13),"")</f>
        <v/>
      </c>
      <c r="AC19" s="39" t="str">
        <f>IF(AND('Mapa final'!$Y$14="Alta",'Mapa final'!$AA$14="Mayor"),CONCATENATE("R4C",'Mapa final'!$O$14),"")</f>
        <v/>
      </c>
      <c r="AD19" s="39" t="str">
        <f>IF(AND('Mapa final'!$Y$15="Alta",'Mapa final'!$AA$15="Mayor"),CONCATENATE("R4C",'Mapa final'!$O$15),"")</f>
        <v/>
      </c>
      <c r="AE19" s="39" t="str">
        <f>IF(AND('Mapa final'!$Y$16="Alta",'Mapa final'!$AA$16="Mayor"),CONCATENATE("R4C",'Mapa final'!$O$16),"")</f>
        <v/>
      </c>
      <c r="AF19" s="39" t="str">
        <f>IF(AND('Mapa final'!$Y$17="Alta",'Mapa final'!$AA$17="Mayor"),CONCATENATE("R4C",'Mapa final'!$O$17),"")</f>
        <v/>
      </c>
      <c r="AG19" s="40" t="str">
        <f>IF(AND('Mapa final'!$Y$18="Alta",'Mapa final'!$AA$18="Mayor"),CONCATENATE("R4C",'Mapa final'!$O$18),"")</f>
        <v/>
      </c>
      <c r="AH19" s="41" t="str">
        <f>IF(AND('Mapa final'!$Y$13="Alta",'Mapa final'!$AA$13="Catastrófico"),CONCATENATE("R4C",'Mapa final'!$O$13),"")</f>
        <v/>
      </c>
      <c r="AI19" s="42" t="str">
        <f>IF(AND('Mapa final'!$Y$14="Alta",'Mapa final'!$AA$14="Catastrófico"),CONCATENATE("R4C",'Mapa final'!$O$14),"")</f>
        <v/>
      </c>
      <c r="AJ19" s="42" t="str">
        <f>IF(AND('Mapa final'!$Y$15="Alta",'Mapa final'!$AA$15="Catastrófico"),CONCATENATE("R4C",'Mapa final'!$O$15),"")</f>
        <v/>
      </c>
      <c r="AK19" s="42" t="str">
        <f>IF(AND('Mapa final'!$Y$16="Alta",'Mapa final'!$AA$16="Catastrófico"),CONCATENATE("R4C",'Mapa final'!$O$16),"")</f>
        <v/>
      </c>
      <c r="AL19" s="42" t="str">
        <f>IF(AND('Mapa final'!$Y$17="Alta",'Mapa final'!$AA$17="Catastrófico"),CONCATENATE("R4C",'Mapa final'!$O$17),"")</f>
        <v/>
      </c>
      <c r="AM19" s="43" t="str">
        <f>IF(AND('Mapa final'!$Y$18="Alta",'Mapa final'!$AA$18="Catastrófico"),CONCATENATE("R4C",'Mapa final'!$O$18),"")</f>
        <v/>
      </c>
      <c r="AN19" s="69"/>
      <c r="AO19" s="356"/>
      <c r="AP19" s="357"/>
      <c r="AQ19" s="357"/>
      <c r="AR19" s="357"/>
      <c r="AS19" s="357"/>
      <c r="AT19" s="358"/>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row>
    <row r="20" spans="1:76" ht="15" customHeight="1" x14ac:dyDescent="0.25">
      <c r="A20" s="69"/>
      <c r="B20" s="305"/>
      <c r="C20" s="305"/>
      <c r="D20" s="306"/>
      <c r="E20" s="346"/>
      <c r="F20" s="347"/>
      <c r="G20" s="347"/>
      <c r="H20" s="347"/>
      <c r="I20" s="347"/>
      <c r="J20" s="53" t="e">
        <f>IF(AND('Mapa final'!#REF!="Alta",'Mapa final'!#REF!="Leve"),CONCATENATE("R5C",'Mapa final'!#REF!),"")</f>
        <v>#REF!</v>
      </c>
      <c r="K20" s="54" t="e">
        <f>IF(AND('Mapa final'!#REF!="Alta",'Mapa final'!#REF!="Leve"),CONCATENATE("R5C",'Mapa final'!#REF!),"")</f>
        <v>#REF!</v>
      </c>
      <c r="L20" s="54" t="e">
        <f>IF(AND('Mapa final'!#REF!="Alta",'Mapa final'!#REF!="Leve"),CONCATENATE("R5C",'Mapa final'!#REF!),"")</f>
        <v>#REF!</v>
      </c>
      <c r="M20" s="54" t="e">
        <f>IF(AND('Mapa final'!#REF!="Alta",'Mapa final'!#REF!="Leve"),CONCATENATE("R5C",'Mapa final'!#REF!),"")</f>
        <v>#REF!</v>
      </c>
      <c r="N20" s="54" t="e">
        <f>IF(AND('Mapa final'!#REF!="Alta",'Mapa final'!#REF!="Leve"),CONCATENATE("R5C",'Mapa final'!#REF!),"")</f>
        <v>#REF!</v>
      </c>
      <c r="O20" s="55" t="e">
        <f>IF(AND('Mapa final'!#REF!="Alta",'Mapa final'!#REF!="Leve"),CONCATENATE("R5C",'Mapa final'!#REF!),"")</f>
        <v>#REF!</v>
      </c>
      <c r="P20" s="53" t="e">
        <f>IF(AND('Mapa final'!#REF!="Alta",'Mapa final'!#REF!="Menor"),CONCATENATE("R5C",'Mapa final'!#REF!),"")</f>
        <v>#REF!</v>
      </c>
      <c r="Q20" s="54" t="e">
        <f>IF(AND('Mapa final'!#REF!="Alta",'Mapa final'!#REF!="Menor"),CONCATENATE("R5C",'Mapa final'!#REF!),"")</f>
        <v>#REF!</v>
      </c>
      <c r="R20" s="54" t="e">
        <f>IF(AND('Mapa final'!#REF!="Alta",'Mapa final'!#REF!="Menor"),CONCATENATE("R5C",'Mapa final'!#REF!),"")</f>
        <v>#REF!</v>
      </c>
      <c r="S20" s="54" t="e">
        <f>IF(AND('Mapa final'!#REF!="Alta",'Mapa final'!#REF!="Menor"),CONCATENATE("R5C",'Mapa final'!#REF!),"")</f>
        <v>#REF!</v>
      </c>
      <c r="T20" s="54" t="e">
        <f>IF(AND('Mapa final'!#REF!="Alta",'Mapa final'!#REF!="Menor"),CONCATENATE("R5C",'Mapa final'!#REF!),"")</f>
        <v>#REF!</v>
      </c>
      <c r="U20" s="55" t="e">
        <f>IF(AND('Mapa final'!#REF!="Alta",'Mapa final'!#REF!="Menor"),CONCATENATE("R5C",'Mapa final'!#REF!),"")</f>
        <v>#REF!</v>
      </c>
      <c r="V20" s="38" t="e">
        <f>IF(AND('Mapa final'!#REF!="Alta",'Mapa final'!#REF!="Moderado"),CONCATENATE("R5C",'Mapa final'!#REF!),"")</f>
        <v>#REF!</v>
      </c>
      <c r="W20" s="39" t="e">
        <f>IF(AND('Mapa final'!#REF!="Alta",'Mapa final'!#REF!="Moderado"),CONCATENATE("R5C",'Mapa final'!#REF!),"")</f>
        <v>#REF!</v>
      </c>
      <c r="X20" s="39" t="e">
        <f>IF(AND('Mapa final'!#REF!="Alta",'Mapa final'!#REF!="Moderado"),CONCATENATE("R5C",'Mapa final'!#REF!),"")</f>
        <v>#REF!</v>
      </c>
      <c r="Y20" s="39" t="e">
        <f>IF(AND('Mapa final'!#REF!="Alta",'Mapa final'!#REF!="Moderado"),CONCATENATE("R5C",'Mapa final'!#REF!),"")</f>
        <v>#REF!</v>
      </c>
      <c r="Z20" s="39" t="e">
        <f>IF(AND('Mapa final'!#REF!="Alta",'Mapa final'!#REF!="Moderado"),CONCATENATE("R5C",'Mapa final'!#REF!),"")</f>
        <v>#REF!</v>
      </c>
      <c r="AA20" s="40" t="e">
        <f>IF(AND('Mapa final'!#REF!="Alta",'Mapa final'!#REF!="Moderado"),CONCATENATE("R5C",'Mapa final'!#REF!),"")</f>
        <v>#REF!</v>
      </c>
      <c r="AB20" s="38" t="e">
        <f>IF(AND('Mapa final'!#REF!="Alta",'Mapa final'!#REF!="Mayor"),CONCATENATE("R5C",'Mapa final'!#REF!),"")</f>
        <v>#REF!</v>
      </c>
      <c r="AC20" s="39" t="e">
        <f>IF(AND('Mapa final'!#REF!="Alta",'Mapa final'!#REF!="Mayor"),CONCATENATE("R5C",'Mapa final'!#REF!),"")</f>
        <v>#REF!</v>
      </c>
      <c r="AD20" s="39" t="e">
        <f>IF(AND('Mapa final'!#REF!="Alta",'Mapa final'!#REF!="Mayor"),CONCATENATE("R5C",'Mapa final'!#REF!),"")</f>
        <v>#REF!</v>
      </c>
      <c r="AE20" s="39" t="e">
        <f>IF(AND('Mapa final'!#REF!="Alta",'Mapa final'!#REF!="Mayor"),CONCATENATE("R5C",'Mapa final'!#REF!),"")</f>
        <v>#REF!</v>
      </c>
      <c r="AF20" s="39" t="e">
        <f>IF(AND('Mapa final'!#REF!="Alta",'Mapa final'!#REF!="Mayor"),CONCATENATE("R5C",'Mapa final'!#REF!),"")</f>
        <v>#REF!</v>
      </c>
      <c r="AG20" s="40" t="e">
        <f>IF(AND('Mapa final'!#REF!="Alta",'Mapa final'!#REF!="Mayor"),CONCATENATE("R5C",'Mapa final'!#REF!),"")</f>
        <v>#REF!</v>
      </c>
      <c r="AH20" s="41" t="e">
        <f>IF(AND('Mapa final'!#REF!="Alta",'Mapa final'!#REF!="Catastrófico"),CONCATENATE("R5C",'Mapa final'!#REF!),"")</f>
        <v>#REF!</v>
      </c>
      <c r="AI20" s="42" t="e">
        <f>IF(AND('Mapa final'!#REF!="Alta",'Mapa final'!#REF!="Catastrófico"),CONCATENATE("R5C",'Mapa final'!#REF!),"")</f>
        <v>#REF!</v>
      </c>
      <c r="AJ20" s="42" t="e">
        <f>IF(AND('Mapa final'!#REF!="Alta",'Mapa final'!#REF!="Catastrófico"),CONCATENATE("R5C",'Mapa final'!#REF!),"")</f>
        <v>#REF!</v>
      </c>
      <c r="AK20" s="42" t="e">
        <f>IF(AND('Mapa final'!#REF!="Alta",'Mapa final'!#REF!="Catastrófico"),CONCATENATE("R5C",'Mapa final'!#REF!),"")</f>
        <v>#REF!</v>
      </c>
      <c r="AL20" s="42" t="e">
        <f>IF(AND('Mapa final'!#REF!="Alta",'Mapa final'!#REF!="Catastrófico"),CONCATENATE("R5C",'Mapa final'!#REF!),"")</f>
        <v>#REF!</v>
      </c>
      <c r="AM20" s="43" t="e">
        <f>IF(AND('Mapa final'!#REF!="Alta",'Mapa final'!#REF!="Catastrófico"),CONCATENATE("R5C",'Mapa final'!#REF!),"")</f>
        <v>#REF!</v>
      </c>
      <c r="AN20" s="69"/>
      <c r="AO20" s="356"/>
      <c r="AP20" s="357"/>
      <c r="AQ20" s="357"/>
      <c r="AR20" s="357"/>
      <c r="AS20" s="357"/>
      <c r="AT20" s="358"/>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row>
    <row r="21" spans="1:76" ht="15" customHeight="1" x14ac:dyDescent="0.25">
      <c r="A21" s="69"/>
      <c r="B21" s="305"/>
      <c r="C21" s="305"/>
      <c r="D21" s="306"/>
      <c r="E21" s="346"/>
      <c r="F21" s="347"/>
      <c r="G21" s="347"/>
      <c r="H21" s="347"/>
      <c r="I21" s="347"/>
      <c r="J21" s="53" t="e">
        <f>IF(AND('Mapa final'!#REF!="Alta",'Mapa final'!#REF!="Leve"),CONCATENATE("R6C",'Mapa final'!#REF!),"")</f>
        <v>#REF!</v>
      </c>
      <c r="K21" s="54" t="e">
        <f>IF(AND('Mapa final'!#REF!="Alta",'Mapa final'!#REF!="Leve"),CONCATENATE("R6C",'Mapa final'!#REF!),"")</f>
        <v>#REF!</v>
      </c>
      <c r="L21" s="54" t="e">
        <f>IF(AND('Mapa final'!#REF!="Alta",'Mapa final'!#REF!="Leve"),CONCATENATE("R6C",'Mapa final'!#REF!),"")</f>
        <v>#REF!</v>
      </c>
      <c r="M21" s="54" t="e">
        <f>IF(AND('Mapa final'!#REF!="Alta",'Mapa final'!#REF!="Leve"),CONCATENATE("R6C",'Mapa final'!#REF!),"")</f>
        <v>#REF!</v>
      </c>
      <c r="N21" s="54" t="e">
        <f>IF(AND('Mapa final'!#REF!="Alta",'Mapa final'!#REF!="Leve"),CONCATENATE("R6C",'Mapa final'!#REF!),"")</f>
        <v>#REF!</v>
      </c>
      <c r="O21" s="55" t="e">
        <f>IF(AND('Mapa final'!#REF!="Alta",'Mapa final'!#REF!="Leve"),CONCATENATE("R6C",'Mapa final'!#REF!),"")</f>
        <v>#REF!</v>
      </c>
      <c r="P21" s="53" t="e">
        <f>IF(AND('Mapa final'!#REF!="Alta",'Mapa final'!#REF!="Menor"),CONCATENATE("R6C",'Mapa final'!#REF!),"")</f>
        <v>#REF!</v>
      </c>
      <c r="Q21" s="54" t="e">
        <f>IF(AND('Mapa final'!#REF!="Alta",'Mapa final'!#REF!="Menor"),CONCATENATE("R6C",'Mapa final'!#REF!),"")</f>
        <v>#REF!</v>
      </c>
      <c r="R21" s="54" t="e">
        <f>IF(AND('Mapa final'!#REF!="Alta",'Mapa final'!#REF!="Menor"),CONCATENATE("R6C",'Mapa final'!#REF!),"")</f>
        <v>#REF!</v>
      </c>
      <c r="S21" s="54" t="e">
        <f>IF(AND('Mapa final'!#REF!="Alta",'Mapa final'!#REF!="Menor"),CONCATENATE("R6C",'Mapa final'!#REF!),"")</f>
        <v>#REF!</v>
      </c>
      <c r="T21" s="54" t="e">
        <f>IF(AND('Mapa final'!#REF!="Alta",'Mapa final'!#REF!="Menor"),CONCATENATE("R6C",'Mapa final'!#REF!),"")</f>
        <v>#REF!</v>
      </c>
      <c r="U21" s="55" t="e">
        <f>IF(AND('Mapa final'!#REF!="Alta",'Mapa final'!#REF!="Menor"),CONCATENATE("R6C",'Mapa final'!#REF!),"")</f>
        <v>#REF!</v>
      </c>
      <c r="V21" s="38" t="e">
        <f>IF(AND('Mapa final'!#REF!="Alta",'Mapa final'!#REF!="Moderado"),CONCATENATE("R6C",'Mapa final'!#REF!),"")</f>
        <v>#REF!</v>
      </c>
      <c r="W21" s="39" t="e">
        <f>IF(AND('Mapa final'!#REF!="Alta",'Mapa final'!#REF!="Moderado"),CONCATENATE("R6C",'Mapa final'!#REF!),"")</f>
        <v>#REF!</v>
      </c>
      <c r="X21" s="39" t="e">
        <f>IF(AND('Mapa final'!#REF!="Alta",'Mapa final'!#REF!="Moderado"),CONCATENATE("R6C",'Mapa final'!#REF!),"")</f>
        <v>#REF!</v>
      </c>
      <c r="Y21" s="39" t="e">
        <f>IF(AND('Mapa final'!#REF!="Alta",'Mapa final'!#REF!="Moderado"),CONCATENATE("R6C",'Mapa final'!#REF!),"")</f>
        <v>#REF!</v>
      </c>
      <c r="Z21" s="39" t="e">
        <f>IF(AND('Mapa final'!#REF!="Alta",'Mapa final'!#REF!="Moderado"),CONCATENATE("R6C",'Mapa final'!#REF!),"")</f>
        <v>#REF!</v>
      </c>
      <c r="AA21" s="40" t="e">
        <f>IF(AND('Mapa final'!#REF!="Alta",'Mapa final'!#REF!="Moderado"),CONCATENATE("R6C",'Mapa final'!#REF!),"")</f>
        <v>#REF!</v>
      </c>
      <c r="AB21" s="38" t="e">
        <f>IF(AND('Mapa final'!#REF!="Alta",'Mapa final'!#REF!="Mayor"),CONCATENATE("R6C",'Mapa final'!#REF!),"")</f>
        <v>#REF!</v>
      </c>
      <c r="AC21" s="39" t="e">
        <f>IF(AND('Mapa final'!#REF!="Alta",'Mapa final'!#REF!="Mayor"),CONCATENATE("R6C",'Mapa final'!#REF!),"")</f>
        <v>#REF!</v>
      </c>
      <c r="AD21" s="39" t="e">
        <f>IF(AND('Mapa final'!#REF!="Alta",'Mapa final'!#REF!="Mayor"),CONCATENATE("R6C",'Mapa final'!#REF!),"")</f>
        <v>#REF!</v>
      </c>
      <c r="AE21" s="39" t="e">
        <f>IF(AND('Mapa final'!#REF!="Alta",'Mapa final'!#REF!="Mayor"),CONCATENATE("R6C",'Mapa final'!#REF!),"")</f>
        <v>#REF!</v>
      </c>
      <c r="AF21" s="39" t="e">
        <f>IF(AND('Mapa final'!#REF!="Alta",'Mapa final'!#REF!="Mayor"),CONCATENATE("R6C",'Mapa final'!#REF!),"")</f>
        <v>#REF!</v>
      </c>
      <c r="AG21" s="40" t="e">
        <f>IF(AND('Mapa final'!#REF!="Alta",'Mapa final'!#REF!="Mayor"),CONCATENATE("R6C",'Mapa final'!#REF!),"")</f>
        <v>#REF!</v>
      </c>
      <c r="AH21" s="41" t="e">
        <f>IF(AND('Mapa final'!#REF!="Alta",'Mapa final'!#REF!="Catastrófico"),CONCATENATE("R6C",'Mapa final'!#REF!),"")</f>
        <v>#REF!</v>
      </c>
      <c r="AI21" s="42" t="e">
        <f>IF(AND('Mapa final'!#REF!="Alta",'Mapa final'!#REF!="Catastrófico"),CONCATENATE("R6C",'Mapa final'!#REF!),"")</f>
        <v>#REF!</v>
      </c>
      <c r="AJ21" s="42" t="e">
        <f>IF(AND('Mapa final'!#REF!="Alta",'Mapa final'!#REF!="Catastrófico"),CONCATENATE("R6C",'Mapa final'!#REF!),"")</f>
        <v>#REF!</v>
      </c>
      <c r="AK21" s="42" t="e">
        <f>IF(AND('Mapa final'!#REF!="Alta",'Mapa final'!#REF!="Catastrófico"),CONCATENATE("R6C",'Mapa final'!#REF!),"")</f>
        <v>#REF!</v>
      </c>
      <c r="AL21" s="42" t="e">
        <f>IF(AND('Mapa final'!#REF!="Alta",'Mapa final'!#REF!="Catastrófico"),CONCATENATE("R6C",'Mapa final'!#REF!),"")</f>
        <v>#REF!</v>
      </c>
      <c r="AM21" s="43" t="e">
        <f>IF(AND('Mapa final'!#REF!="Alta",'Mapa final'!#REF!="Catastrófico"),CONCATENATE("R6C",'Mapa final'!#REF!),"")</f>
        <v>#REF!</v>
      </c>
      <c r="AN21" s="69"/>
      <c r="AO21" s="356"/>
      <c r="AP21" s="357"/>
      <c r="AQ21" s="357"/>
      <c r="AR21" s="357"/>
      <c r="AS21" s="357"/>
      <c r="AT21" s="358"/>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row>
    <row r="22" spans="1:76" ht="15" customHeight="1" x14ac:dyDescent="0.25">
      <c r="A22" s="69"/>
      <c r="B22" s="305"/>
      <c r="C22" s="305"/>
      <c r="D22" s="306"/>
      <c r="E22" s="346"/>
      <c r="F22" s="347"/>
      <c r="G22" s="347"/>
      <c r="H22" s="347"/>
      <c r="I22" s="347"/>
      <c r="J22" s="53" t="e">
        <f>IF(AND('Mapa final'!#REF!="Alta",'Mapa final'!#REF!="Leve"),CONCATENATE("R7C",'Mapa final'!#REF!),"")</f>
        <v>#REF!</v>
      </c>
      <c r="K22" s="54" t="e">
        <f>IF(AND('Mapa final'!#REF!="Alta",'Mapa final'!#REF!="Leve"),CONCATENATE("R7C",'Mapa final'!#REF!),"")</f>
        <v>#REF!</v>
      </c>
      <c r="L22" s="54" t="e">
        <f>IF(AND('Mapa final'!#REF!="Alta",'Mapa final'!#REF!="Leve"),CONCATENATE("R7C",'Mapa final'!#REF!),"")</f>
        <v>#REF!</v>
      </c>
      <c r="M22" s="54" t="e">
        <f>IF(AND('Mapa final'!#REF!="Alta",'Mapa final'!#REF!="Leve"),CONCATENATE("R7C",'Mapa final'!#REF!),"")</f>
        <v>#REF!</v>
      </c>
      <c r="N22" s="54" t="e">
        <f>IF(AND('Mapa final'!#REF!="Alta",'Mapa final'!#REF!="Leve"),CONCATENATE("R7C",'Mapa final'!#REF!),"")</f>
        <v>#REF!</v>
      </c>
      <c r="O22" s="55" t="e">
        <f>IF(AND('Mapa final'!#REF!="Alta",'Mapa final'!#REF!="Leve"),CONCATENATE("R7C",'Mapa final'!#REF!),"")</f>
        <v>#REF!</v>
      </c>
      <c r="P22" s="53" t="e">
        <f>IF(AND('Mapa final'!#REF!="Alta",'Mapa final'!#REF!="Menor"),CONCATENATE("R7C",'Mapa final'!#REF!),"")</f>
        <v>#REF!</v>
      </c>
      <c r="Q22" s="54" t="e">
        <f>IF(AND('Mapa final'!#REF!="Alta",'Mapa final'!#REF!="Menor"),CONCATENATE("R7C",'Mapa final'!#REF!),"")</f>
        <v>#REF!</v>
      </c>
      <c r="R22" s="54" t="e">
        <f>IF(AND('Mapa final'!#REF!="Alta",'Mapa final'!#REF!="Menor"),CONCATENATE("R7C",'Mapa final'!#REF!),"")</f>
        <v>#REF!</v>
      </c>
      <c r="S22" s="54" t="e">
        <f>IF(AND('Mapa final'!#REF!="Alta",'Mapa final'!#REF!="Menor"),CONCATENATE("R7C",'Mapa final'!#REF!),"")</f>
        <v>#REF!</v>
      </c>
      <c r="T22" s="54" t="e">
        <f>IF(AND('Mapa final'!#REF!="Alta",'Mapa final'!#REF!="Menor"),CONCATENATE("R7C",'Mapa final'!#REF!),"")</f>
        <v>#REF!</v>
      </c>
      <c r="U22" s="55" t="e">
        <f>IF(AND('Mapa final'!#REF!="Alta",'Mapa final'!#REF!="Menor"),CONCATENATE("R7C",'Mapa final'!#REF!),"")</f>
        <v>#REF!</v>
      </c>
      <c r="V22" s="38" t="e">
        <f>IF(AND('Mapa final'!#REF!="Alta",'Mapa final'!#REF!="Moderado"),CONCATENATE("R7C",'Mapa final'!#REF!),"")</f>
        <v>#REF!</v>
      </c>
      <c r="W22" s="39" t="e">
        <f>IF(AND('Mapa final'!#REF!="Alta",'Mapa final'!#REF!="Moderado"),CONCATENATE("R7C",'Mapa final'!#REF!),"")</f>
        <v>#REF!</v>
      </c>
      <c r="X22" s="39" t="e">
        <f>IF(AND('Mapa final'!#REF!="Alta",'Mapa final'!#REF!="Moderado"),CONCATENATE("R7C",'Mapa final'!#REF!),"")</f>
        <v>#REF!</v>
      </c>
      <c r="Y22" s="39" t="e">
        <f>IF(AND('Mapa final'!#REF!="Alta",'Mapa final'!#REF!="Moderado"),CONCATENATE("R7C",'Mapa final'!#REF!),"")</f>
        <v>#REF!</v>
      </c>
      <c r="Z22" s="39" t="e">
        <f>IF(AND('Mapa final'!#REF!="Alta",'Mapa final'!#REF!="Moderado"),CONCATENATE("R7C",'Mapa final'!#REF!),"")</f>
        <v>#REF!</v>
      </c>
      <c r="AA22" s="40" t="e">
        <f>IF(AND('Mapa final'!#REF!="Alta",'Mapa final'!#REF!="Moderado"),CONCATENATE("R7C",'Mapa final'!#REF!),"")</f>
        <v>#REF!</v>
      </c>
      <c r="AB22" s="38" t="e">
        <f>IF(AND('Mapa final'!#REF!="Alta",'Mapa final'!#REF!="Mayor"),CONCATENATE("R7C",'Mapa final'!#REF!),"")</f>
        <v>#REF!</v>
      </c>
      <c r="AC22" s="39" t="e">
        <f>IF(AND('Mapa final'!#REF!="Alta",'Mapa final'!#REF!="Mayor"),CONCATENATE("R7C",'Mapa final'!#REF!),"")</f>
        <v>#REF!</v>
      </c>
      <c r="AD22" s="39" t="e">
        <f>IF(AND('Mapa final'!#REF!="Alta",'Mapa final'!#REF!="Mayor"),CONCATENATE("R7C",'Mapa final'!#REF!),"")</f>
        <v>#REF!</v>
      </c>
      <c r="AE22" s="39" t="e">
        <f>IF(AND('Mapa final'!#REF!="Alta",'Mapa final'!#REF!="Mayor"),CONCATENATE("R7C",'Mapa final'!#REF!),"")</f>
        <v>#REF!</v>
      </c>
      <c r="AF22" s="39" t="e">
        <f>IF(AND('Mapa final'!#REF!="Alta",'Mapa final'!#REF!="Mayor"),CONCATENATE("R7C",'Mapa final'!#REF!),"")</f>
        <v>#REF!</v>
      </c>
      <c r="AG22" s="40" t="e">
        <f>IF(AND('Mapa final'!#REF!="Alta",'Mapa final'!#REF!="Mayor"),CONCATENATE("R7C",'Mapa final'!#REF!),"")</f>
        <v>#REF!</v>
      </c>
      <c r="AH22" s="41" t="e">
        <f>IF(AND('Mapa final'!#REF!="Alta",'Mapa final'!#REF!="Catastrófico"),CONCATENATE("R7C",'Mapa final'!#REF!),"")</f>
        <v>#REF!</v>
      </c>
      <c r="AI22" s="42" t="e">
        <f>IF(AND('Mapa final'!#REF!="Alta",'Mapa final'!#REF!="Catastrófico"),CONCATENATE("R7C",'Mapa final'!#REF!),"")</f>
        <v>#REF!</v>
      </c>
      <c r="AJ22" s="42" t="e">
        <f>IF(AND('Mapa final'!#REF!="Alta",'Mapa final'!#REF!="Catastrófico"),CONCATENATE("R7C",'Mapa final'!#REF!),"")</f>
        <v>#REF!</v>
      </c>
      <c r="AK22" s="42" t="e">
        <f>IF(AND('Mapa final'!#REF!="Alta",'Mapa final'!#REF!="Catastrófico"),CONCATENATE("R7C",'Mapa final'!#REF!),"")</f>
        <v>#REF!</v>
      </c>
      <c r="AL22" s="42" t="e">
        <f>IF(AND('Mapa final'!#REF!="Alta",'Mapa final'!#REF!="Catastrófico"),CONCATENATE("R7C",'Mapa final'!#REF!),"")</f>
        <v>#REF!</v>
      </c>
      <c r="AM22" s="43" t="e">
        <f>IF(AND('Mapa final'!#REF!="Alta",'Mapa final'!#REF!="Catastrófico"),CONCATENATE("R7C",'Mapa final'!#REF!),"")</f>
        <v>#REF!</v>
      </c>
      <c r="AN22" s="69"/>
      <c r="AO22" s="356"/>
      <c r="AP22" s="357"/>
      <c r="AQ22" s="357"/>
      <c r="AR22" s="357"/>
      <c r="AS22" s="357"/>
      <c r="AT22" s="358"/>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row>
    <row r="23" spans="1:76" ht="15" customHeight="1" x14ac:dyDescent="0.25">
      <c r="A23" s="69"/>
      <c r="B23" s="305"/>
      <c r="C23" s="305"/>
      <c r="D23" s="306"/>
      <c r="E23" s="346"/>
      <c r="F23" s="347"/>
      <c r="G23" s="347"/>
      <c r="H23" s="347"/>
      <c r="I23" s="347"/>
      <c r="J23" s="53" t="e">
        <f>IF(AND('Mapa final'!#REF!="Alta",'Mapa final'!#REF!="Leve"),CONCATENATE("R8C",'Mapa final'!#REF!),"")</f>
        <v>#REF!</v>
      </c>
      <c r="K23" s="54" t="e">
        <f>IF(AND('Mapa final'!#REF!="Alta",'Mapa final'!#REF!="Leve"),CONCATENATE("R8C",'Mapa final'!#REF!),"")</f>
        <v>#REF!</v>
      </c>
      <c r="L23" s="54" t="e">
        <f>IF(AND('Mapa final'!#REF!="Alta",'Mapa final'!#REF!="Leve"),CONCATENATE("R8C",'Mapa final'!#REF!),"")</f>
        <v>#REF!</v>
      </c>
      <c r="M23" s="54" t="e">
        <f>IF(AND('Mapa final'!#REF!="Alta",'Mapa final'!#REF!="Leve"),CONCATENATE("R8C",'Mapa final'!#REF!),"")</f>
        <v>#REF!</v>
      </c>
      <c r="N23" s="54" t="e">
        <f>IF(AND('Mapa final'!#REF!="Alta",'Mapa final'!#REF!="Leve"),CONCATENATE("R8C",'Mapa final'!#REF!),"")</f>
        <v>#REF!</v>
      </c>
      <c r="O23" s="55" t="e">
        <f>IF(AND('Mapa final'!#REF!="Alta",'Mapa final'!#REF!="Leve"),CONCATENATE("R8C",'Mapa final'!#REF!),"")</f>
        <v>#REF!</v>
      </c>
      <c r="P23" s="53" t="e">
        <f>IF(AND('Mapa final'!#REF!="Alta",'Mapa final'!#REF!="Menor"),CONCATENATE("R8C",'Mapa final'!#REF!),"")</f>
        <v>#REF!</v>
      </c>
      <c r="Q23" s="54" t="e">
        <f>IF(AND('Mapa final'!#REF!="Alta",'Mapa final'!#REF!="Menor"),CONCATENATE("R8C",'Mapa final'!#REF!),"")</f>
        <v>#REF!</v>
      </c>
      <c r="R23" s="54" t="e">
        <f>IF(AND('Mapa final'!#REF!="Alta",'Mapa final'!#REF!="Menor"),CONCATENATE("R8C",'Mapa final'!#REF!),"")</f>
        <v>#REF!</v>
      </c>
      <c r="S23" s="54" t="e">
        <f>IF(AND('Mapa final'!#REF!="Alta",'Mapa final'!#REF!="Menor"),CONCATENATE("R8C",'Mapa final'!#REF!),"")</f>
        <v>#REF!</v>
      </c>
      <c r="T23" s="54" t="e">
        <f>IF(AND('Mapa final'!#REF!="Alta",'Mapa final'!#REF!="Menor"),CONCATENATE("R8C",'Mapa final'!#REF!),"")</f>
        <v>#REF!</v>
      </c>
      <c r="U23" s="55" t="e">
        <f>IF(AND('Mapa final'!#REF!="Alta",'Mapa final'!#REF!="Menor"),CONCATENATE("R8C",'Mapa final'!#REF!),"")</f>
        <v>#REF!</v>
      </c>
      <c r="V23" s="38" t="e">
        <f>IF(AND('Mapa final'!#REF!="Alta",'Mapa final'!#REF!="Moderado"),CONCATENATE("R8C",'Mapa final'!#REF!),"")</f>
        <v>#REF!</v>
      </c>
      <c r="W23" s="39" t="e">
        <f>IF(AND('Mapa final'!#REF!="Alta",'Mapa final'!#REF!="Moderado"),CONCATENATE("R8C",'Mapa final'!#REF!),"")</f>
        <v>#REF!</v>
      </c>
      <c r="X23" s="39" t="e">
        <f>IF(AND('Mapa final'!#REF!="Alta",'Mapa final'!#REF!="Moderado"),CONCATENATE("R8C",'Mapa final'!#REF!),"")</f>
        <v>#REF!</v>
      </c>
      <c r="Y23" s="39" t="e">
        <f>IF(AND('Mapa final'!#REF!="Alta",'Mapa final'!#REF!="Moderado"),CONCATENATE("R8C",'Mapa final'!#REF!),"")</f>
        <v>#REF!</v>
      </c>
      <c r="Z23" s="39" t="e">
        <f>IF(AND('Mapa final'!#REF!="Alta",'Mapa final'!#REF!="Moderado"),CONCATENATE("R8C",'Mapa final'!#REF!),"")</f>
        <v>#REF!</v>
      </c>
      <c r="AA23" s="40" t="e">
        <f>IF(AND('Mapa final'!#REF!="Alta",'Mapa final'!#REF!="Moderado"),CONCATENATE("R8C",'Mapa final'!#REF!),"")</f>
        <v>#REF!</v>
      </c>
      <c r="AB23" s="38" t="e">
        <f>IF(AND('Mapa final'!#REF!="Alta",'Mapa final'!#REF!="Mayor"),CONCATENATE("R8C",'Mapa final'!#REF!),"")</f>
        <v>#REF!</v>
      </c>
      <c r="AC23" s="39" t="e">
        <f>IF(AND('Mapa final'!#REF!="Alta",'Mapa final'!#REF!="Mayor"),CONCATENATE("R8C",'Mapa final'!#REF!),"")</f>
        <v>#REF!</v>
      </c>
      <c r="AD23" s="39" t="e">
        <f>IF(AND('Mapa final'!#REF!="Alta",'Mapa final'!#REF!="Mayor"),CONCATENATE("R8C",'Mapa final'!#REF!),"")</f>
        <v>#REF!</v>
      </c>
      <c r="AE23" s="39" t="e">
        <f>IF(AND('Mapa final'!#REF!="Alta",'Mapa final'!#REF!="Mayor"),CONCATENATE("R8C",'Mapa final'!#REF!),"")</f>
        <v>#REF!</v>
      </c>
      <c r="AF23" s="39" t="e">
        <f>IF(AND('Mapa final'!#REF!="Alta",'Mapa final'!#REF!="Mayor"),CONCATENATE("R8C",'Mapa final'!#REF!),"")</f>
        <v>#REF!</v>
      </c>
      <c r="AG23" s="40" t="e">
        <f>IF(AND('Mapa final'!#REF!="Alta",'Mapa final'!#REF!="Mayor"),CONCATENATE("R8C",'Mapa final'!#REF!),"")</f>
        <v>#REF!</v>
      </c>
      <c r="AH23" s="41" t="e">
        <f>IF(AND('Mapa final'!#REF!="Alta",'Mapa final'!#REF!="Catastrófico"),CONCATENATE("R8C",'Mapa final'!#REF!),"")</f>
        <v>#REF!</v>
      </c>
      <c r="AI23" s="42" t="e">
        <f>IF(AND('Mapa final'!#REF!="Alta",'Mapa final'!#REF!="Catastrófico"),CONCATENATE("R8C",'Mapa final'!#REF!),"")</f>
        <v>#REF!</v>
      </c>
      <c r="AJ23" s="42" t="e">
        <f>IF(AND('Mapa final'!#REF!="Alta",'Mapa final'!#REF!="Catastrófico"),CONCATENATE("R8C",'Mapa final'!#REF!),"")</f>
        <v>#REF!</v>
      </c>
      <c r="AK23" s="42" t="e">
        <f>IF(AND('Mapa final'!#REF!="Alta",'Mapa final'!#REF!="Catastrófico"),CONCATENATE("R8C",'Mapa final'!#REF!),"")</f>
        <v>#REF!</v>
      </c>
      <c r="AL23" s="42" t="e">
        <f>IF(AND('Mapa final'!#REF!="Alta",'Mapa final'!#REF!="Catastrófico"),CONCATENATE("R8C",'Mapa final'!#REF!),"")</f>
        <v>#REF!</v>
      </c>
      <c r="AM23" s="43" t="e">
        <f>IF(AND('Mapa final'!#REF!="Alta",'Mapa final'!#REF!="Catastrófico"),CONCATENATE("R8C",'Mapa final'!#REF!),"")</f>
        <v>#REF!</v>
      </c>
      <c r="AN23" s="69"/>
      <c r="AO23" s="356"/>
      <c r="AP23" s="357"/>
      <c r="AQ23" s="357"/>
      <c r="AR23" s="357"/>
      <c r="AS23" s="357"/>
      <c r="AT23" s="358"/>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row>
    <row r="24" spans="1:76" ht="15" customHeight="1" x14ac:dyDescent="0.25">
      <c r="A24" s="69"/>
      <c r="B24" s="305"/>
      <c r="C24" s="305"/>
      <c r="D24" s="306"/>
      <c r="E24" s="346"/>
      <c r="F24" s="347"/>
      <c r="G24" s="347"/>
      <c r="H24" s="347"/>
      <c r="I24" s="347"/>
      <c r="J24" s="53" t="e">
        <f>IF(AND('Mapa final'!#REF!="Alta",'Mapa final'!#REF!="Leve"),CONCATENATE("R9C",'Mapa final'!#REF!),"")</f>
        <v>#REF!</v>
      </c>
      <c r="K24" s="54" t="e">
        <f>IF(AND('Mapa final'!#REF!="Alta",'Mapa final'!#REF!="Leve"),CONCATENATE("R9C",'Mapa final'!#REF!),"")</f>
        <v>#REF!</v>
      </c>
      <c r="L24" s="54" t="e">
        <f>IF(AND('Mapa final'!#REF!="Alta",'Mapa final'!#REF!="Leve"),CONCATENATE("R9C",'Mapa final'!#REF!),"")</f>
        <v>#REF!</v>
      </c>
      <c r="M24" s="54" t="e">
        <f>IF(AND('Mapa final'!#REF!="Alta",'Mapa final'!#REF!="Leve"),CONCATENATE("R9C",'Mapa final'!#REF!),"")</f>
        <v>#REF!</v>
      </c>
      <c r="N24" s="54" t="e">
        <f>IF(AND('Mapa final'!#REF!="Alta",'Mapa final'!#REF!="Leve"),CONCATENATE("R9C",'Mapa final'!#REF!),"")</f>
        <v>#REF!</v>
      </c>
      <c r="O24" s="55" t="e">
        <f>IF(AND('Mapa final'!#REF!="Alta",'Mapa final'!#REF!="Leve"),CONCATENATE("R9C",'Mapa final'!#REF!),"")</f>
        <v>#REF!</v>
      </c>
      <c r="P24" s="53" t="e">
        <f>IF(AND('Mapa final'!#REF!="Alta",'Mapa final'!#REF!="Menor"),CONCATENATE("R9C",'Mapa final'!#REF!),"")</f>
        <v>#REF!</v>
      </c>
      <c r="Q24" s="54" t="e">
        <f>IF(AND('Mapa final'!#REF!="Alta",'Mapa final'!#REF!="Menor"),CONCATENATE("R9C",'Mapa final'!#REF!),"")</f>
        <v>#REF!</v>
      </c>
      <c r="R24" s="54" t="e">
        <f>IF(AND('Mapa final'!#REF!="Alta",'Mapa final'!#REF!="Menor"),CONCATENATE("R9C",'Mapa final'!#REF!),"")</f>
        <v>#REF!</v>
      </c>
      <c r="S24" s="54" t="e">
        <f>IF(AND('Mapa final'!#REF!="Alta",'Mapa final'!#REF!="Menor"),CONCATENATE("R9C",'Mapa final'!#REF!),"")</f>
        <v>#REF!</v>
      </c>
      <c r="T24" s="54" t="e">
        <f>IF(AND('Mapa final'!#REF!="Alta",'Mapa final'!#REF!="Menor"),CONCATENATE("R9C",'Mapa final'!#REF!),"")</f>
        <v>#REF!</v>
      </c>
      <c r="U24" s="55" t="e">
        <f>IF(AND('Mapa final'!#REF!="Alta",'Mapa final'!#REF!="Menor"),CONCATENATE("R9C",'Mapa final'!#REF!),"")</f>
        <v>#REF!</v>
      </c>
      <c r="V24" s="38" t="e">
        <f>IF(AND('Mapa final'!#REF!="Alta",'Mapa final'!#REF!="Moderado"),CONCATENATE("R9C",'Mapa final'!#REF!),"")</f>
        <v>#REF!</v>
      </c>
      <c r="W24" s="39" t="e">
        <f>IF(AND('Mapa final'!#REF!="Alta",'Mapa final'!#REF!="Moderado"),CONCATENATE("R9C",'Mapa final'!#REF!),"")</f>
        <v>#REF!</v>
      </c>
      <c r="X24" s="39" t="e">
        <f>IF(AND('Mapa final'!#REF!="Alta",'Mapa final'!#REF!="Moderado"),CONCATENATE("R9C",'Mapa final'!#REF!),"")</f>
        <v>#REF!</v>
      </c>
      <c r="Y24" s="39" t="e">
        <f>IF(AND('Mapa final'!#REF!="Alta",'Mapa final'!#REF!="Moderado"),CONCATENATE("R9C",'Mapa final'!#REF!),"")</f>
        <v>#REF!</v>
      </c>
      <c r="Z24" s="39" t="e">
        <f>IF(AND('Mapa final'!#REF!="Alta",'Mapa final'!#REF!="Moderado"),CONCATENATE("R9C",'Mapa final'!#REF!),"")</f>
        <v>#REF!</v>
      </c>
      <c r="AA24" s="40" t="e">
        <f>IF(AND('Mapa final'!#REF!="Alta",'Mapa final'!#REF!="Moderado"),CONCATENATE("R9C",'Mapa final'!#REF!),"")</f>
        <v>#REF!</v>
      </c>
      <c r="AB24" s="38" t="e">
        <f>IF(AND('Mapa final'!#REF!="Alta",'Mapa final'!#REF!="Mayor"),CONCATENATE("R9C",'Mapa final'!#REF!),"")</f>
        <v>#REF!</v>
      </c>
      <c r="AC24" s="39" t="e">
        <f>IF(AND('Mapa final'!#REF!="Alta",'Mapa final'!#REF!="Mayor"),CONCATENATE("R9C",'Mapa final'!#REF!),"")</f>
        <v>#REF!</v>
      </c>
      <c r="AD24" s="39" t="e">
        <f>IF(AND('Mapa final'!#REF!="Alta",'Mapa final'!#REF!="Mayor"),CONCATENATE("R9C",'Mapa final'!#REF!),"")</f>
        <v>#REF!</v>
      </c>
      <c r="AE24" s="39" t="e">
        <f>IF(AND('Mapa final'!#REF!="Alta",'Mapa final'!#REF!="Mayor"),CONCATENATE("R9C",'Mapa final'!#REF!),"")</f>
        <v>#REF!</v>
      </c>
      <c r="AF24" s="39" t="e">
        <f>IF(AND('Mapa final'!#REF!="Alta",'Mapa final'!#REF!="Mayor"),CONCATENATE("R9C",'Mapa final'!#REF!),"")</f>
        <v>#REF!</v>
      </c>
      <c r="AG24" s="40" t="e">
        <f>IF(AND('Mapa final'!#REF!="Alta",'Mapa final'!#REF!="Mayor"),CONCATENATE("R9C",'Mapa final'!#REF!),"")</f>
        <v>#REF!</v>
      </c>
      <c r="AH24" s="41" t="e">
        <f>IF(AND('Mapa final'!#REF!="Alta",'Mapa final'!#REF!="Catastrófico"),CONCATENATE("R9C",'Mapa final'!#REF!),"")</f>
        <v>#REF!</v>
      </c>
      <c r="AI24" s="42" t="e">
        <f>IF(AND('Mapa final'!#REF!="Alta",'Mapa final'!#REF!="Catastrófico"),CONCATENATE("R9C",'Mapa final'!#REF!),"")</f>
        <v>#REF!</v>
      </c>
      <c r="AJ24" s="42" t="e">
        <f>IF(AND('Mapa final'!#REF!="Alta",'Mapa final'!#REF!="Catastrófico"),CONCATENATE("R9C",'Mapa final'!#REF!),"")</f>
        <v>#REF!</v>
      </c>
      <c r="AK24" s="42" t="e">
        <f>IF(AND('Mapa final'!#REF!="Alta",'Mapa final'!#REF!="Catastrófico"),CONCATENATE("R9C",'Mapa final'!#REF!),"")</f>
        <v>#REF!</v>
      </c>
      <c r="AL24" s="42" t="e">
        <f>IF(AND('Mapa final'!#REF!="Alta",'Mapa final'!#REF!="Catastrófico"),CONCATENATE("R9C",'Mapa final'!#REF!),"")</f>
        <v>#REF!</v>
      </c>
      <c r="AM24" s="43" t="e">
        <f>IF(AND('Mapa final'!#REF!="Alta",'Mapa final'!#REF!="Catastrófico"),CONCATENATE("R9C",'Mapa final'!#REF!),"")</f>
        <v>#REF!</v>
      </c>
      <c r="AN24" s="69"/>
      <c r="AO24" s="356"/>
      <c r="AP24" s="357"/>
      <c r="AQ24" s="357"/>
      <c r="AR24" s="357"/>
      <c r="AS24" s="357"/>
      <c r="AT24" s="358"/>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row>
    <row r="25" spans="1:76" ht="15.75" customHeight="1" thickBot="1" x14ac:dyDescent="0.3">
      <c r="A25" s="69"/>
      <c r="B25" s="305"/>
      <c r="C25" s="305"/>
      <c r="D25" s="306"/>
      <c r="E25" s="349"/>
      <c r="F25" s="350"/>
      <c r="G25" s="350"/>
      <c r="H25" s="350"/>
      <c r="I25" s="350"/>
      <c r="J25" s="56" t="e">
        <f>IF(AND('Mapa final'!#REF!="Alta",'Mapa final'!#REF!="Leve"),CONCATENATE("R10C",'Mapa final'!#REF!),"")</f>
        <v>#REF!</v>
      </c>
      <c r="K25" s="57" t="e">
        <f>IF(AND('Mapa final'!#REF!="Alta",'Mapa final'!#REF!="Leve"),CONCATENATE("R10C",'Mapa final'!#REF!),"")</f>
        <v>#REF!</v>
      </c>
      <c r="L25" s="57" t="e">
        <f>IF(AND('Mapa final'!#REF!="Alta",'Mapa final'!#REF!="Leve"),CONCATENATE("R10C",'Mapa final'!#REF!),"")</f>
        <v>#REF!</v>
      </c>
      <c r="M25" s="57" t="e">
        <f>IF(AND('Mapa final'!#REF!="Alta",'Mapa final'!#REF!="Leve"),CONCATENATE("R10C",'Mapa final'!#REF!),"")</f>
        <v>#REF!</v>
      </c>
      <c r="N25" s="57" t="e">
        <f>IF(AND('Mapa final'!#REF!="Alta",'Mapa final'!#REF!="Leve"),CONCATENATE("R10C",'Mapa final'!#REF!),"")</f>
        <v>#REF!</v>
      </c>
      <c r="O25" s="58" t="e">
        <f>IF(AND('Mapa final'!#REF!="Alta",'Mapa final'!#REF!="Leve"),CONCATENATE("R10C",'Mapa final'!#REF!),"")</f>
        <v>#REF!</v>
      </c>
      <c r="P25" s="56" t="e">
        <f>IF(AND('Mapa final'!#REF!="Alta",'Mapa final'!#REF!="Menor"),CONCATENATE("R10C",'Mapa final'!#REF!),"")</f>
        <v>#REF!</v>
      </c>
      <c r="Q25" s="57" t="e">
        <f>IF(AND('Mapa final'!#REF!="Alta",'Mapa final'!#REF!="Menor"),CONCATENATE("R10C",'Mapa final'!#REF!),"")</f>
        <v>#REF!</v>
      </c>
      <c r="R25" s="57" t="e">
        <f>IF(AND('Mapa final'!#REF!="Alta",'Mapa final'!#REF!="Menor"),CONCATENATE("R10C",'Mapa final'!#REF!),"")</f>
        <v>#REF!</v>
      </c>
      <c r="S25" s="57" t="e">
        <f>IF(AND('Mapa final'!#REF!="Alta",'Mapa final'!#REF!="Menor"),CONCATENATE("R10C",'Mapa final'!#REF!),"")</f>
        <v>#REF!</v>
      </c>
      <c r="T25" s="57" t="e">
        <f>IF(AND('Mapa final'!#REF!="Alta",'Mapa final'!#REF!="Menor"),CONCATENATE("R10C",'Mapa final'!#REF!),"")</f>
        <v>#REF!</v>
      </c>
      <c r="U25" s="58" t="e">
        <f>IF(AND('Mapa final'!#REF!="Alta",'Mapa final'!#REF!="Menor"),CONCATENATE("R10C",'Mapa final'!#REF!),"")</f>
        <v>#REF!</v>
      </c>
      <c r="V25" s="44" t="e">
        <f>IF(AND('Mapa final'!#REF!="Alta",'Mapa final'!#REF!="Moderado"),CONCATENATE("R10C",'Mapa final'!#REF!),"")</f>
        <v>#REF!</v>
      </c>
      <c r="W25" s="45" t="e">
        <f>IF(AND('Mapa final'!#REF!="Alta",'Mapa final'!#REF!="Moderado"),CONCATENATE("R10C",'Mapa final'!#REF!),"")</f>
        <v>#REF!</v>
      </c>
      <c r="X25" s="45" t="e">
        <f>IF(AND('Mapa final'!#REF!="Alta",'Mapa final'!#REF!="Moderado"),CONCATENATE("R10C",'Mapa final'!#REF!),"")</f>
        <v>#REF!</v>
      </c>
      <c r="Y25" s="45" t="e">
        <f>IF(AND('Mapa final'!#REF!="Alta",'Mapa final'!#REF!="Moderado"),CONCATENATE("R10C",'Mapa final'!#REF!),"")</f>
        <v>#REF!</v>
      </c>
      <c r="Z25" s="45" t="e">
        <f>IF(AND('Mapa final'!#REF!="Alta",'Mapa final'!#REF!="Moderado"),CONCATENATE("R10C",'Mapa final'!#REF!),"")</f>
        <v>#REF!</v>
      </c>
      <c r="AA25" s="46" t="e">
        <f>IF(AND('Mapa final'!#REF!="Alta",'Mapa final'!#REF!="Moderado"),CONCATENATE("R10C",'Mapa final'!#REF!),"")</f>
        <v>#REF!</v>
      </c>
      <c r="AB25" s="44" t="e">
        <f>IF(AND('Mapa final'!#REF!="Alta",'Mapa final'!#REF!="Mayor"),CONCATENATE("R10C",'Mapa final'!#REF!),"")</f>
        <v>#REF!</v>
      </c>
      <c r="AC25" s="45" t="e">
        <f>IF(AND('Mapa final'!#REF!="Alta",'Mapa final'!#REF!="Mayor"),CONCATENATE("R10C",'Mapa final'!#REF!),"")</f>
        <v>#REF!</v>
      </c>
      <c r="AD25" s="45" t="e">
        <f>IF(AND('Mapa final'!#REF!="Alta",'Mapa final'!#REF!="Mayor"),CONCATENATE("R10C",'Mapa final'!#REF!),"")</f>
        <v>#REF!</v>
      </c>
      <c r="AE25" s="45" t="e">
        <f>IF(AND('Mapa final'!#REF!="Alta",'Mapa final'!#REF!="Mayor"),CONCATENATE("R10C",'Mapa final'!#REF!),"")</f>
        <v>#REF!</v>
      </c>
      <c r="AF25" s="45" t="e">
        <f>IF(AND('Mapa final'!#REF!="Alta",'Mapa final'!#REF!="Mayor"),CONCATENATE("R10C",'Mapa final'!#REF!),"")</f>
        <v>#REF!</v>
      </c>
      <c r="AG25" s="46" t="e">
        <f>IF(AND('Mapa final'!#REF!="Alta",'Mapa final'!#REF!="Mayor"),CONCATENATE("R10C",'Mapa final'!#REF!),"")</f>
        <v>#REF!</v>
      </c>
      <c r="AH25" s="47" t="e">
        <f>IF(AND('Mapa final'!#REF!="Alta",'Mapa final'!#REF!="Catastrófico"),CONCATENATE("R10C",'Mapa final'!#REF!),"")</f>
        <v>#REF!</v>
      </c>
      <c r="AI25" s="48" t="e">
        <f>IF(AND('Mapa final'!#REF!="Alta",'Mapa final'!#REF!="Catastrófico"),CONCATENATE("R10C",'Mapa final'!#REF!),"")</f>
        <v>#REF!</v>
      </c>
      <c r="AJ25" s="48" t="e">
        <f>IF(AND('Mapa final'!#REF!="Alta",'Mapa final'!#REF!="Catastrófico"),CONCATENATE("R10C",'Mapa final'!#REF!),"")</f>
        <v>#REF!</v>
      </c>
      <c r="AK25" s="48" t="e">
        <f>IF(AND('Mapa final'!#REF!="Alta",'Mapa final'!#REF!="Catastrófico"),CONCATENATE("R10C",'Mapa final'!#REF!),"")</f>
        <v>#REF!</v>
      </c>
      <c r="AL25" s="48" t="e">
        <f>IF(AND('Mapa final'!#REF!="Alta",'Mapa final'!#REF!="Catastrófico"),CONCATENATE("R10C",'Mapa final'!#REF!),"")</f>
        <v>#REF!</v>
      </c>
      <c r="AM25" s="49" t="e">
        <f>IF(AND('Mapa final'!#REF!="Alta",'Mapa final'!#REF!="Catastrófico"),CONCATENATE("R10C",'Mapa final'!#REF!),"")</f>
        <v>#REF!</v>
      </c>
      <c r="AN25" s="69"/>
      <c r="AO25" s="359"/>
      <c r="AP25" s="360"/>
      <c r="AQ25" s="360"/>
      <c r="AR25" s="360"/>
      <c r="AS25" s="360"/>
      <c r="AT25" s="361"/>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row>
    <row r="26" spans="1:76" ht="15" customHeight="1" x14ac:dyDescent="0.25">
      <c r="A26" s="69"/>
      <c r="B26" s="305"/>
      <c r="C26" s="305"/>
      <c r="D26" s="306"/>
      <c r="E26" s="343" t="s">
        <v>117</v>
      </c>
      <c r="F26" s="344"/>
      <c r="G26" s="344"/>
      <c r="H26" s="344"/>
      <c r="I26" s="345"/>
      <c r="J26" s="50" t="e">
        <f>IF(AND('Mapa final'!#REF!="Media",'Mapa final'!#REF!="Leve"),CONCATENATE("R1C",'Mapa final'!#REF!),"")</f>
        <v>#REF!</v>
      </c>
      <c r="K26" s="51" t="e">
        <f>IF(AND('Mapa final'!#REF!="Media",'Mapa final'!#REF!="Leve"),CONCATENATE("R1C",'Mapa final'!#REF!),"")</f>
        <v>#REF!</v>
      </c>
      <c r="L26" s="51" t="e">
        <f>IF(AND('Mapa final'!#REF!="Media",'Mapa final'!#REF!="Leve"),CONCATENATE("R1C",'Mapa final'!#REF!),"")</f>
        <v>#REF!</v>
      </c>
      <c r="M26" s="51" t="e">
        <f>IF(AND('Mapa final'!#REF!="Media",'Mapa final'!#REF!="Leve"),CONCATENATE("R1C",'Mapa final'!#REF!),"")</f>
        <v>#REF!</v>
      </c>
      <c r="N26" s="51" t="e">
        <f>IF(AND('Mapa final'!#REF!="Media",'Mapa final'!#REF!="Leve"),CONCATENATE("R1C",'Mapa final'!#REF!),"")</f>
        <v>#REF!</v>
      </c>
      <c r="O26" s="52" t="e">
        <f>IF(AND('Mapa final'!#REF!="Media",'Mapa final'!#REF!="Leve"),CONCATENATE("R1C",'Mapa final'!#REF!),"")</f>
        <v>#REF!</v>
      </c>
      <c r="P26" s="50" t="e">
        <f>IF(AND('Mapa final'!#REF!="Media",'Mapa final'!#REF!="Menor"),CONCATENATE("R1C",'Mapa final'!#REF!),"")</f>
        <v>#REF!</v>
      </c>
      <c r="Q26" s="51" t="e">
        <f>IF(AND('Mapa final'!#REF!="Media",'Mapa final'!#REF!="Menor"),CONCATENATE("R1C",'Mapa final'!#REF!),"")</f>
        <v>#REF!</v>
      </c>
      <c r="R26" s="51" t="e">
        <f>IF(AND('Mapa final'!#REF!="Media",'Mapa final'!#REF!="Menor"),CONCATENATE("R1C",'Mapa final'!#REF!),"")</f>
        <v>#REF!</v>
      </c>
      <c r="S26" s="51" t="e">
        <f>IF(AND('Mapa final'!#REF!="Media",'Mapa final'!#REF!="Menor"),CONCATENATE("R1C",'Mapa final'!#REF!),"")</f>
        <v>#REF!</v>
      </c>
      <c r="T26" s="51" t="e">
        <f>IF(AND('Mapa final'!#REF!="Media",'Mapa final'!#REF!="Menor"),CONCATENATE("R1C",'Mapa final'!#REF!),"")</f>
        <v>#REF!</v>
      </c>
      <c r="U26" s="52" t="e">
        <f>IF(AND('Mapa final'!#REF!="Media",'Mapa final'!#REF!="Menor"),CONCATENATE("R1C",'Mapa final'!#REF!),"")</f>
        <v>#REF!</v>
      </c>
      <c r="V26" s="50" t="e">
        <f>IF(AND('Mapa final'!#REF!="Media",'Mapa final'!#REF!="Moderado"),CONCATENATE("R1C",'Mapa final'!#REF!),"")</f>
        <v>#REF!</v>
      </c>
      <c r="W26" s="51" t="e">
        <f>IF(AND('Mapa final'!#REF!="Media",'Mapa final'!#REF!="Moderado"),CONCATENATE("R1C",'Mapa final'!#REF!),"")</f>
        <v>#REF!</v>
      </c>
      <c r="X26" s="51" t="e">
        <f>IF(AND('Mapa final'!#REF!="Media",'Mapa final'!#REF!="Moderado"),CONCATENATE("R1C",'Mapa final'!#REF!),"")</f>
        <v>#REF!</v>
      </c>
      <c r="Y26" s="51" t="e">
        <f>IF(AND('Mapa final'!#REF!="Media",'Mapa final'!#REF!="Moderado"),CONCATENATE("R1C",'Mapa final'!#REF!),"")</f>
        <v>#REF!</v>
      </c>
      <c r="Z26" s="51" t="e">
        <f>IF(AND('Mapa final'!#REF!="Media",'Mapa final'!#REF!="Moderado"),CONCATENATE("R1C",'Mapa final'!#REF!),"")</f>
        <v>#REF!</v>
      </c>
      <c r="AA26" s="52" t="e">
        <f>IF(AND('Mapa final'!#REF!="Media",'Mapa final'!#REF!="Moderado"),CONCATENATE("R1C",'Mapa final'!#REF!),"")</f>
        <v>#REF!</v>
      </c>
      <c r="AB26" s="32" t="e">
        <f>IF(AND('Mapa final'!#REF!="Media",'Mapa final'!#REF!="Mayor"),CONCATENATE("R1C",'Mapa final'!#REF!),"")</f>
        <v>#REF!</v>
      </c>
      <c r="AC26" s="33" t="e">
        <f>IF(AND('Mapa final'!#REF!="Media",'Mapa final'!#REF!="Mayor"),CONCATENATE("R1C",'Mapa final'!#REF!),"")</f>
        <v>#REF!</v>
      </c>
      <c r="AD26" s="33" t="e">
        <f>IF(AND('Mapa final'!#REF!="Media",'Mapa final'!#REF!="Mayor"),CONCATENATE("R1C",'Mapa final'!#REF!),"")</f>
        <v>#REF!</v>
      </c>
      <c r="AE26" s="33" t="e">
        <f>IF(AND('Mapa final'!#REF!="Media",'Mapa final'!#REF!="Mayor"),CONCATENATE("R1C",'Mapa final'!#REF!),"")</f>
        <v>#REF!</v>
      </c>
      <c r="AF26" s="33" t="e">
        <f>IF(AND('Mapa final'!#REF!="Media",'Mapa final'!#REF!="Mayor"),CONCATENATE("R1C",'Mapa final'!#REF!),"")</f>
        <v>#REF!</v>
      </c>
      <c r="AG26" s="34" t="e">
        <f>IF(AND('Mapa final'!#REF!="Media",'Mapa final'!#REF!="Mayor"),CONCATENATE("R1C",'Mapa final'!#REF!),"")</f>
        <v>#REF!</v>
      </c>
      <c r="AH26" s="35" t="e">
        <f>IF(AND('Mapa final'!#REF!="Media",'Mapa final'!#REF!="Catastrófico"),CONCATENATE("R1C",'Mapa final'!#REF!),"")</f>
        <v>#REF!</v>
      </c>
      <c r="AI26" s="36" t="e">
        <f>IF(AND('Mapa final'!#REF!="Media",'Mapa final'!#REF!="Catastrófico"),CONCATENATE("R1C",'Mapa final'!#REF!),"")</f>
        <v>#REF!</v>
      </c>
      <c r="AJ26" s="36" t="e">
        <f>IF(AND('Mapa final'!#REF!="Media",'Mapa final'!#REF!="Catastrófico"),CONCATENATE("R1C",'Mapa final'!#REF!),"")</f>
        <v>#REF!</v>
      </c>
      <c r="AK26" s="36" t="e">
        <f>IF(AND('Mapa final'!#REF!="Media",'Mapa final'!#REF!="Catastrófico"),CONCATENATE("R1C",'Mapa final'!#REF!),"")</f>
        <v>#REF!</v>
      </c>
      <c r="AL26" s="36" t="e">
        <f>IF(AND('Mapa final'!#REF!="Media",'Mapa final'!#REF!="Catastrófico"),CONCATENATE("R1C",'Mapa final'!#REF!),"")</f>
        <v>#REF!</v>
      </c>
      <c r="AM26" s="37" t="e">
        <f>IF(AND('Mapa final'!#REF!="Media",'Mapa final'!#REF!="Catastrófico"),CONCATENATE("R1C",'Mapa final'!#REF!),"")</f>
        <v>#REF!</v>
      </c>
      <c r="AN26" s="69"/>
      <c r="AO26" s="383" t="s">
        <v>81</v>
      </c>
      <c r="AP26" s="384"/>
      <c r="AQ26" s="384"/>
      <c r="AR26" s="384"/>
      <c r="AS26" s="384"/>
      <c r="AT26" s="385"/>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row>
    <row r="27" spans="1:76" ht="15" customHeight="1" x14ac:dyDescent="0.25">
      <c r="A27" s="69"/>
      <c r="B27" s="305"/>
      <c r="C27" s="305"/>
      <c r="D27" s="306"/>
      <c r="E27" s="362"/>
      <c r="F27" s="347"/>
      <c r="G27" s="347"/>
      <c r="H27" s="347"/>
      <c r="I27" s="348"/>
      <c r="J27" s="53" t="e">
        <f>IF(AND('Mapa final'!#REF!="Media",'Mapa final'!#REF!="Leve"),CONCATENATE("R2C",'Mapa final'!#REF!),"")</f>
        <v>#REF!</v>
      </c>
      <c r="K27" s="54" t="e">
        <f>IF(AND('Mapa final'!#REF!="Media",'Mapa final'!#REF!="Leve"),CONCATENATE("R2C",'Mapa final'!#REF!),"")</f>
        <v>#REF!</v>
      </c>
      <c r="L27" s="54" t="e">
        <f>IF(AND('Mapa final'!#REF!="Media",'Mapa final'!#REF!="Leve"),CONCATENATE("R2C",'Mapa final'!#REF!),"")</f>
        <v>#REF!</v>
      </c>
      <c r="M27" s="54" t="e">
        <f>IF(AND('Mapa final'!#REF!="Media",'Mapa final'!#REF!="Leve"),CONCATENATE("R2C",'Mapa final'!#REF!),"")</f>
        <v>#REF!</v>
      </c>
      <c r="N27" s="54" t="e">
        <f>IF(AND('Mapa final'!#REF!="Media",'Mapa final'!#REF!="Leve"),CONCATENATE("R2C",'Mapa final'!#REF!),"")</f>
        <v>#REF!</v>
      </c>
      <c r="O27" s="55" t="e">
        <f>IF(AND('Mapa final'!#REF!="Media",'Mapa final'!#REF!="Leve"),CONCATENATE("R2C",'Mapa final'!#REF!),"")</f>
        <v>#REF!</v>
      </c>
      <c r="P27" s="53" t="e">
        <f>IF(AND('Mapa final'!#REF!="Media",'Mapa final'!#REF!="Menor"),CONCATENATE("R2C",'Mapa final'!#REF!),"")</f>
        <v>#REF!</v>
      </c>
      <c r="Q27" s="54" t="e">
        <f>IF(AND('Mapa final'!#REF!="Media",'Mapa final'!#REF!="Menor"),CONCATENATE("R2C",'Mapa final'!#REF!),"")</f>
        <v>#REF!</v>
      </c>
      <c r="R27" s="54" t="e">
        <f>IF(AND('Mapa final'!#REF!="Media",'Mapa final'!#REF!="Menor"),CONCATENATE("R2C",'Mapa final'!#REF!),"")</f>
        <v>#REF!</v>
      </c>
      <c r="S27" s="54" t="e">
        <f>IF(AND('Mapa final'!#REF!="Media",'Mapa final'!#REF!="Menor"),CONCATENATE("R2C",'Mapa final'!#REF!),"")</f>
        <v>#REF!</v>
      </c>
      <c r="T27" s="54" t="e">
        <f>IF(AND('Mapa final'!#REF!="Media",'Mapa final'!#REF!="Menor"),CONCATENATE("R2C",'Mapa final'!#REF!),"")</f>
        <v>#REF!</v>
      </c>
      <c r="U27" s="55" t="e">
        <f>IF(AND('Mapa final'!#REF!="Media",'Mapa final'!#REF!="Menor"),CONCATENATE("R2C",'Mapa final'!#REF!),"")</f>
        <v>#REF!</v>
      </c>
      <c r="V27" s="53" t="e">
        <f>IF(AND('Mapa final'!#REF!="Media",'Mapa final'!#REF!="Moderado"),CONCATENATE("R2C",'Mapa final'!#REF!),"")</f>
        <v>#REF!</v>
      </c>
      <c r="W27" s="54" t="e">
        <f>IF(AND('Mapa final'!#REF!="Media",'Mapa final'!#REF!="Moderado"),CONCATENATE("R2C",'Mapa final'!#REF!),"")</f>
        <v>#REF!</v>
      </c>
      <c r="X27" s="54" t="e">
        <f>IF(AND('Mapa final'!#REF!="Media",'Mapa final'!#REF!="Moderado"),CONCATENATE("R2C",'Mapa final'!#REF!),"")</f>
        <v>#REF!</v>
      </c>
      <c r="Y27" s="54" t="e">
        <f>IF(AND('Mapa final'!#REF!="Media",'Mapa final'!#REF!="Moderado"),CONCATENATE("R2C",'Mapa final'!#REF!),"")</f>
        <v>#REF!</v>
      </c>
      <c r="Z27" s="54" t="e">
        <f>IF(AND('Mapa final'!#REF!="Media",'Mapa final'!#REF!="Moderado"),CONCATENATE("R2C",'Mapa final'!#REF!),"")</f>
        <v>#REF!</v>
      </c>
      <c r="AA27" s="55" t="e">
        <f>IF(AND('Mapa final'!#REF!="Media",'Mapa final'!#REF!="Moderado"),CONCATENATE("R2C",'Mapa final'!#REF!),"")</f>
        <v>#REF!</v>
      </c>
      <c r="AB27" s="38" t="e">
        <f>IF(AND('Mapa final'!#REF!="Media",'Mapa final'!#REF!="Mayor"),CONCATENATE("R2C",'Mapa final'!#REF!),"")</f>
        <v>#REF!</v>
      </c>
      <c r="AC27" s="39" t="e">
        <f>IF(AND('Mapa final'!#REF!="Media",'Mapa final'!#REF!="Mayor"),CONCATENATE("R2C",'Mapa final'!#REF!),"")</f>
        <v>#REF!</v>
      </c>
      <c r="AD27" s="39" t="e">
        <f>IF(AND('Mapa final'!#REF!="Media",'Mapa final'!#REF!="Mayor"),CONCATENATE("R2C",'Mapa final'!#REF!),"")</f>
        <v>#REF!</v>
      </c>
      <c r="AE27" s="39" t="e">
        <f>IF(AND('Mapa final'!#REF!="Media",'Mapa final'!#REF!="Mayor"),CONCATENATE("R2C",'Mapa final'!#REF!),"")</f>
        <v>#REF!</v>
      </c>
      <c r="AF27" s="39" t="e">
        <f>IF(AND('Mapa final'!#REF!="Media",'Mapa final'!#REF!="Mayor"),CONCATENATE("R2C",'Mapa final'!#REF!),"")</f>
        <v>#REF!</v>
      </c>
      <c r="AG27" s="40" t="e">
        <f>IF(AND('Mapa final'!#REF!="Media",'Mapa final'!#REF!="Mayor"),CONCATENATE("R2C",'Mapa final'!#REF!),"")</f>
        <v>#REF!</v>
      </c>
      <c r="AH27" s="41" t="e">
        <f>IF(AND('Mapa final'!#REF!="Media",'Mapa final'!#REF!="Catastrófico"),CONCATENATE("R2C",'Mapa final'!#REF!),"")</f>
        <v>#REF!</v>
      </c>
      <c r="AI27" s="42" t="e">
        <f>IF(AND('Mapa final'!#REF!="Media",'Mapa final'!#REF!="Catastrófico"),CONCATENATE("R2C",'Mapa final'!#REF!),"")</f>
        <v>#REF!</v>
      </c>
      <c r="AJ27" s="42" t="e">
        <f>IF(AND('Mapa final'!#REF!="Media",'Mapa final'!#REF!="Catastrófico"),CONCATENATE("R2C",'Mapa final'!#REF!),"")</f>
        <v>#REF!</v>
      </c>
      <c r="AK27" s="42" t="e">
        <f>IF(AND('Mapa final'!#REF!="Media",'Mapa final'!#REF!="Catastrófico"),CONCATENATE("R2C",'Mapa final'!#REF!),"")</f>
        <v>#REF!</v>
      </c>
      <c r="AL27" s="42" t="e">
        <f>IF(AND('Mapa final'!#REF!="Media",'Mapa final'!#REF!="Catastrófico"),CONCATENATE("R2C",'Mapa final'!#REF!),"")</f>
        <v>#REF!</v>
      </c>
      <c r="AM27" s="43" t="e">
        <f>IF(AND('Mapa final'!#REF!="Media",'Mapa final'!#REF!="Catastrófico"),CONCATENATE("R2C",'Mapa final'!#REF!),"")</f>
        <v>#REF!</v>
      </c>
      <c r="AN27" s="69"/>
      <c r="AO27" s="386"/>
      <c r="AP27" s="387"/>
      <c r="AQ27" s="387"/>
      <c r="AR27" s="387"/>
      <c r="AS27" s="387"/>
      <c r="AT27" s="388"/>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row>
    <row r="28" spans="1:76" ht="15" customHeight="1" x14ac:dyDescent="0.25">
      <c r="A28" s="69"/>
      <c r="B28" s="305"/>
      <c r="C28" s="305"/>
      <c r="D28" s="306"/>
      <c r="E28" s="346"/>
      <c r="F28" s="347"/>
      <c r="G28" s="347"/>
      <c r="H28" s="347"/>
      <c r="I28" s="348"/>
      <c r="J28" s="53" t="e">
        <f>IF(AND('Mapa final'!#REF!="Media",'Mapa final'!#REF!="Leve"),CONCATENATE("R3C",'Mapa final'!#REF!),"")</f>
        <v>#REF!</v>
      </c>
      <c r="K28" s="54" t="e">
        <f>IF(AND('Mapa final'!#REF!="Media",'Mapa final'!#REF!="Leve"),CONCATENATE("R3C",'Mapa final'!#REF!),"")</f>
        <v>#REF!</v>
      </c>
      <c r="L28" s="54" t="e">
        <f>IF(AND('Mapa final'!#REF!="Media",'Mapa final'!#REF!="Leve"),CONCATENATE("R3C",'Mapa final'!#REF!),"")</f>
        <v>#REF!</v>
      </c>
      <c r="M28" s="54" t="e">
        <f>IF(AND('Mapa final'!#REF!="Media",'Mapa final'!#REF!="Leve"),CONCATENATE("R3C",'Mapa final'!#REF!),"")</f>
        <v>#REF!</v>
      </c>
      <c r="N28" s="54" t="e">
        <f>IF(AND('Mapa final'!#REF!="Media",'Mapa final'!#REF!="Leve"),CONCATENATE("R3C",'Mapa final'!#REF!),"")</f>
        <v>#REF!</v>
      </c>
      <c r="O28" s="55" t="e">
        <f>IF(AND('Mapa final'!#REF!="Media",'Mapa final'!#REF!="Leve"),CONCATENATE("R3C",'Mapa final'!#REF!),"")</f>
        <v>#REF!</v>
      </c>
      <c r="P28" s="53" t="e">
        <f>IF(AND('Mapa final'!#REF!="Media",'Mapa final'!#REF!="Menor"),CONCATENATE("R3C",'Mapa final'!#REF!),"")</f>
        <v>#REF!</v>
      </c>
      <c r="Q28" s="54" t="e">
        <f>IF(AND('Mapa final'!#REF!="Media",'Mapa final'!#REF!="Menor"),CONCATENATE("R3C",'Mapa final'!#REF!),"")</f>
        <v>#REF!</v>
      </c>
      <c r="R28" s="54" t="e">
        <f>IF(AND('Mapa final'!#REF!="Media",'Mapa final'!#REF!="Menor"),CONCATENATE("R3C",'Mapa final'!#REF!),"")</f>
        <v>#REF!</v>
      </c>
      <c r="S28" s="54" t="e">
        <f>IF(AND('Mapa final'!#REF!="Media",'Mapa final'!#REF!="Menor"),CONCATENATE("R3C",'Mapa final'!#REF!),"")</f>
        <v>#REF!</v>
      </c>
      <c r="T28" s="54" t="e">
        <f>IF(AND('Mapa final'!#REF!="Media",'Mapa final'!#REF!="Menor"),CONCATENATE("R3C",'Mapa final'!#REF!),"")</f>
        <v>#REF!</v>
      </c>
      <c r="U28" s="55" t="e">
        <f>IF(AND('Mapa final'!#REF!="Media",'Mapa final'!#REF!="Menor"),CONCATENATE("R3C",'Mapa final'!#REF!),"")</f>
        <v>#REF!</v>
      </c>
      <c r="V28" s="53" t="e">
        <f>IF(AND('Mapa final'!#REF!="Media",'Mapa final'!#REF!="Moderado"),CONCATENATE("R3C",'Mapa final'!#REF!),"")</f>
        <v>#REF!</v>
      </c>
      <c r="W28" s="54" t="e">
        <f>IF(AND('Mapa final'!#REF!="Media",'Mapa final'!#REF!="Moderado"),CONCATENATE("R3C",'Mapa final'!#REF!),"")</f>
        <v>#REF!</v>
      </c>
      <c r="X28" s="54" t="e">
        <f>IF(AND('Mapa final'!#REF!="Media",'Mapa final'!#REF!="Moderado"),CONCATENATE("R3C",'Mapa final'!#REF!),"")</f>
        <v>#REF!</v>
      </c>
      <c r="Y28" s="54" t="e">
        <f>IF(AND('Mapa final'!#REF!="Media",'Mapa final'!#REF!="Moderado"),CONCATENATE("R3C",'Mapa final'!#REF!),"")</f>
        <v>#REF!</v>
      </c>
      <c r="Z28" s="54" t="e">
        <f>IF(AND('Mapa final'!#REF!="Media",'Mapa final'!#REF!="Moderado"),CONCATENATE("R3C",'Mapa final'!#REF!),"")</f>
        <v>#REF!</v>
      </c>
      <c r="AA28" s="55" t="e">
        <f>IF(AND('Mapa final'!#REF!="Media",'Mapa final'!#REF!="Moderado"),CONCATENATE("R3C",'Mapa final'!#REF!),"")</f>
        <v>#REF!</v>
      </c>
      <c r="AB28" s="38" t="e">
        <f>IF(AND('Mapa final'!#REF!="Media",'Mapa final'!#REF!="Mayor"),CONCATENATE("R3C",'Mapa final'!#REF!),"")</f>
        <v>#REF!</v>
      </c>
      <c r="AC28" s="39" t="e">
        <f>IF(AND('Mapa final'!#REF!="Media",'Mapa final'!#REF!="Mayor"),CONCATENATE("R3C",'Mapa final'!#REF!),"")</f>
        <v>#REF!</v>
      </c>
      <c r="AD28" s="39" t="e">
        <f>IF(AND('Mapa final'!#REF!="Media",'Mapa final'!#REF!="Mayor"),CONCATENATE("R3C",'Mapa final'!#REF!),"")</f>
        <v>#REF!</v>
      </c>
      <c r="AE28" s="39" t="e">
        <f>IF(AND('Mapa final'!#REF!="Media",'Mapa final'!#REF!="Mayor"),CONCATENATE("R3C",'Mapa final'!#REF!),"")</f>
        <v>#REF!</v>
      </c>
      <c r="AF28" s="39" t="e">
        <f>IF(AND('Mapa final'!#REF!="Media",'Mapa final'!#REF!="Mayor"),CONCATENATE("R3C",'Mapa final'!#REF!),"")</f>
        <v>#REF!</v>
      </c>
      <c r="AG28" s="40" t="e">
        <f>IF(AND('Mapa final'!#REF!="Media",'Mapa final'!#REF!="Mayor"),CONCATENATE("R3C",'Mapa final'!#REF!),"")</f>
        <v>#REF!</v>
      </c>
      <c r="AH28" s="41" t="e">
        <f>IF(AND('Mapa final'!#REF!="Media",'Mapa final'!#REF!="Catastrófico"),CONCATENATE("R3C",'Mapa final'!#REF!),"")</f>
        <v>#REF!</v>
      </c>
      <c r="AI28" s="42" t="e">
        <f>IF(AND('Mapa final'!#REF!="Media",'Mapa final'!#REF!="Catastrófico"),CONCATENATE("R3C",'Mapa final'!#REF!),"")</f>
        <v>#REF!</v>
      </c>
      <c r="AJ28" s="42" t="e">
        <f>IF(AND('Mapa final'!#REF!="Media",'Mapa final'!#REF!="Catastrófico"),CONCATENATE("R3C",'Mapa final'!#REF!),"")</f>
        <v>#REF!</v>
      </c>
      <c r="AK28" s="42" t="e">
        <f>IF(AND('Mapa final'!#REF!="Media",'Mapa final'!#REF!="Catastrófico"),CONCATENATE("R3C",'Mapa final'!#REF!),"")</f>
        <v>#REF!</v>
      </c>
      <c r="AL28" s="42" t="e">
        <f>IF(AND('Mapa final'!#REF!="Media",'Mapa final'!#REF!="Catastrófico"),CONCATENATE("R3C",'Mapa final'!#REF!),"")</f>
        <v>#REF!</v>
      </c>
      <c r="AM28" s="43" t="e">
        <f>IF(AND('Mapa final'!#REF!="Media",'Mapa final'!#REF!="Catastrófico"),CONCATENATE("R3C",'Mapa final'!#REF!),"")</f>
        <v>#REF!</v>
      </c>
      <c r="AN28" s="69"/>
      <c r="AO28" s="386"/>
      <c r="AP28" s="387"/>
      <c r="AQ28" s="387"/>
      <c r="AR28" s="387"/>
      <c r="AS28" s="387"/>
      <c r="AT28" s="388"/>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row>
    <row r="29" spans="1:76" ht="15" customHeight="1" x14ac:dyDescent="0.25">
      <c r="A29" s="69"/>
      <c r="B29" s="305"/>
      <c r="C29" s="305"/>
      <c r="D29" s="306"/>
      <c r="E29" s="346"/>
      <c r="F29" s="347"/>
      <c r="G29" s="347"/>
      <c r="H29" s="347"/>
      <c r="I29" s="348"/>
      <c r="J29" s="53" t="str">
        <f>IF(AND('Mapa final'!$Y$13="Media",'Mapa final'!$AA$13="Leve"),CONCATENATE("R4C",'Mapa final'!$O$13),"")</f>
        <v/>
      </c>
      <c r="K29" s="54" t="str">
        <f>IF(AND('Mapa final'!$Y$14="Media",'Mapa final'!$AA$14="Leve"),CONCATENATE("R4C",'Mapa final'!$O$14),"")</f>
        <v/>
      </c>
      <c r="L29" s="54" t="str">
        <f>IF(AND('Mapa final'!$Y$15="Media",'Mapa final'!$AA$15="Leve"),CONCATENATE("R4C",'Mapa final'!$O$15),"")</f>
        <v/>
      </c>
      <c r="M29" s="54" t="str">
        <f>IF(AND('Mapa final'!$Y$16="Media",'Mapa final'!$AA$16="Leve"),CONCATENATE("R4C",'Mapa final'!$O$16),"")</f>
        <v/>
      </c>
      <c r="N29" s="54" t="str">
        <f>IF(AND('Mapa final'!$Y$17="Media",'Mapa final'!$AA$17="Leve"),CONCATENATE("R4C",'Mapa final'!$O$17),"")</f>
        <v/>
      </c>
      <c r="O29" s="55" t="str">
        <f>IF(AND('Mapa final'!$Y$18="Media",'Mapa final'!$AA$18="Leve"),CONCATENATE("R4C",'Mapa final'!$O$18),"")</f>
        <v/>
      </c>
      <c r="P29" s="53" t="str">
        <f>IF(AND('Mapa final'!$Y$13="Media",'Mapa final'!$AA$13="Menor"),CONCATENATE("R4C",'Mapa final'!$O$13),"")</f>
        <v/>
      </c>
      <c r="Q29" s="54" t="str">
        <f>IF(AND('Mapa final'!$Y$14="Media",'Mapa final'!$AA$14="Menor"),CONCATENATE("R4C",'Mapa final'!$O$14),"")</f>
        <v/>
      </c>
      <c r="R29" s="54" t="str">
        <f>IF(AND('Mapa final'!$Y$15="Media",'Mapa final'!$AA$15="Menor"),CONCATENATE("R4C",'Mapa final'!$O$15),"")</f>
        <v/>
      </c>
      <c r="S29" s="54" t="str">
        <f>IF(AND('Mapa final'!$Y$16="Media",'Mapa final'!$AA$16="Menor"),CONCATENATE("R4C",'Mapa final'!$O$16),"")</f>
        <v/>
      </c>
      <c r="T29" s="54" t="str">
        <f>IF(AND('Mapa final'!$Y$17="Media",'Mapa final'!$AA$17="Menor"),CONCATENATE("R4C",'Mapa final'!$O$17),"")</f>
        <v/>
      </c>
      <c r="U29" s="55" t="str">
        <f>IF(AND('Mapa final'!$Y$18="Media",'Mapa final'!$AA$18="Menor"),CONCATENATE("R4C",'Mapa final'!$O$18),"")</f>
        <v/>
      </c>
      <c r="V29" s="53" t="str">
        <f>IF(AND('Mapa final'!$Y$13="Media",'Mapa final'!$AA$13="Moderado"),CONCATENATE("R4C",'Mapa final'!$O$13),"")</f>
        <v/>
      </c>
      <c r="W29" s="54" t="str">
        <f>IF(AND('Mapa final'!$Y$14="Media",'Mapa final'!$AA$14="Moderado"),CONCATENATE("R4C",'Mapa final'!$O$14),"")</f>
        <v/>
      </c>
      <c r="X29" s="54" t="str">
        <f>IF(AND('Mapa final'!$Y$15="Media",'Mapa final'!$AA$15="Moderado"),CONCATENATE("R4C",'Mapa final'!$O$15),"")</f>
        <v/>
      </c>
      <c r="Y29" s="54" t="str">
        <f>IF(AND('Mapa final'!$Y$16="Media",'Mapa final'!$AA$16="Moderado"),CONCATENATE("R4C",'Mapa final'!$O$16),"")</f>
        <v/>
      </c>
      <c r="Z29" s="54" t="str">
        <f>IF(AND('Mapa final'!$Y$17="Media",'Mapa final'!$AA$17="Moderado"),CONCATENATE("R4C",'Mapa final'!$O$17),"")</f>
        <v/>
      </c>
      <c r="AA29" s="55" t="str">
        <f>IF(AND('Mapa final'!$Y$18="Media",'Mapa final'!$AA$18="Moderado"),CONCATENATE("R4C",'Mapa final'!$O$18),"")</f>
        <v/>
      </c>
      <c r="AB29" s="38" t="str">
        <f>IF(AND('Mapa final'!$Y$13="Media",'Mapa final'!$AA$13="Mayor"),CONCATENATE("R4C",'Mapa final'!$O$13),"")</f>
        <v/>
      </c>
      <c r="AC29" s="39" t="str">
        <f>IF(AND('Mapa final'!$Y$14="Media",'Mapa final'!$AA$14="Mayor"),CONCATENATE("R4C",'Mapa final'!$O$14),"")</f>
        <v/>
      </c>
      <c r="AD29" s="39" t="str">
        <f>IF(AND('Mapa final'!$Y$15="Media",'Mapa final'!$AA$15="Mayor"),CONCATENATE("R4C",'Mapa final'!$O$15),"")</f>
        <v/>
      </c>
      <c r="AE29" s="39" t="str">
        <f>IF(AND('Mapa final'!$Y$16="Media",'Mapa final'!$AA$16="Mayor"),CONCATENATE("R4C",'Mapa final'!$O$16),"")</f>
        <v/>
      </c>
      <c r="AF29" s="39" t="str">
        <f>IF(AND('Mapa final'!$Y$17="Media",'Mapa final'!$AA$17="Mayor"),CONCATENATE("R4C",'Mapa final'!$O$17),"")</f>
        <v/>
      </c>
      <c r="AG29" s="40" t="str">
        <f>IF(AND('Mapa final'!$Y$18="Media",'Mapa final'!$AA$18="Mayor"),CONCATENATE("R4C",'Mapa final'!$O$18),"")</f>
        <v/>
      </c>
      <c r="AH29" s="41" t="str">
        <f>IF(AND('Mapa final'!$Y$13="Media",'Mapa final'!$AA$13="Catastrófico"),CONCATENATE("R4C",'Mapa final'!$O$13),"")</f>
        <v/>
      </c>
      <c r="AI29" s="42" t="str">
        <f>IF(AND('Mapa final'!$Y$14="Media",'Mapa final'!$AA$14="Catastrófico"),CONCATENATE("R4C",'Mapa final'!$O$14),"")</f>
        <v/>
      </c>
      <c r="AJ29" s="42" t="str">
        <f>IF(AND('Mapa final'!$Y$15="Media",'Mapa final'!$AA$15="Catastrófico"),CONCATENATE("R4C",'Mapa final'!$O$15),"")</f>
        <v/>
      </c>
      <c r="AK29" s="42" t="str">
        <f>IF(AND('Mapa final'!$Y$16="Media",'Mapa final'!$AA$16="Catastrófico"),CONCATENATE("R4C",'Mapa final'!$O$16),"")</f>
        <v/>
      </c>
      <c r="AL29" s="42" t="str">
        <f>IF(AND('Mapa final'!$Y$17="Media",'Mapa final'!$AA$17="Catastrófico"),CONCATENATE("R4C",'Mapa final'!$O$17),"")</f>
        <v/>
      </c>
      <c r="AM29" s="43" t="str">
        <f>IF(AND('Mapa final'!$Y$18="Media",'Mapa final'!$AA$18="Catastrófico"),CONCATENATE("R4C",'Mapa final'!$O$18),"")</f>
        <v/>
      </c>
      <c r="AN29" s="69"/>
      <c r="AO29" s="386"/>
      <c r="AP29" s="387"/>
      <c r="AQ29" s="387"/>
      <c r="AR29" s="387"/>
      <c r="AS29" s="387"/>
      <c r="AT29" s="388"/>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row>
    <row r="30" spans="1:76" ht="15" customHeight="1" x14ac:dyDescent="0.25">
      <c r="A30" s="69"/>
      <c r="B30" s="305"/>
      <c r="C30" s="305"/>
      <c r="D30" s="306"/>
      <c r="E30" s="346"/>
      <c r="F30" s="347"/>
      <c r="G30" s="347"/>
      <c r="H30" s="347"/>
      <c r="I30" s="348"/>
      <c r="J30" s="53" t="e">
        <f>IF(AND('Mapa final'!#REF!="Media",'Mapa final'!#REF!="Leve"),CONCATENATE("R5C",'Mapa final'!#REF!),"")</f>
        <v>#REF!</v>
      </c>
      <c r="K30" s="54" t="e">
        <f>IF(AND('Mapa final'!#REF!="Media",'Mapa final'!#REF!="Leve"),CONCATENATE("R5C",'Mapa final'!#REF!),"")</f>
        <v>#REF!</v>
      </c>
      <c r="L30" s="54" t="e">
        <f>IF(AND('Mapa final'!#REF!="Media",'Mapa final'!#REF!="Leve"),CONCATENATE("R5C",'Mapa final'!#REF!),"")</f>
        <v>#REF!</v>
      </c>
      <c r="M30" s="54" t="e">
        <f>IF(AND('Mapa final'!#REF!="Media",'Mapa final'!#REF!="Leve"),CONCATENATE("R5C",'Mapa final'!#REF!),"")</f>
        <v>#REF!</v>
      </c>
      <c r="N30" s="54" t="e">
        <f>IF(AND('Mapa final'!#REF!="Media",'Mapa final'!#REF!="Leve"),CONCATENATE("R5C",'Mapa final'!#REF!),"")</f>
        <v>#REF!</v>
      </c>
      <c r="O30" s="55" t="e">
        <f>IF(AND('Mapa final'!#REF!="Media",'Mapa final'!#REF!="Leve"),CONCATENATE("R5C",'Mapa final'!#REF!),"")</f>
        <v>#REF!</v>
      </c>
      <c r="P30" s="53" t="e">
        <f>IF(AND('Mapa final'!#REF!="Media",'Mapa final'!#REF!="Menor"),CONCATENATE("R5C",'Mapa final'!#REF!),"")</f>
        <v>#REF!</v>
      </c>
      <c r="Q30" s="54" t="e">
        <f>IF(AND('Mapa final'!#REF!="Media",'Mapa final'!#REF!="Menor"),CONCATENATE("R5C",'Mapa final'!#REF!),"")</f>
        <v>#REF!</v>
      </c>
      <c r="R30" s="54" t="e">
        <f>IF(AND('Mapa final'!#REF!="Media",'Mapa final'!#REF!="Menor"),CONCATENATE("R5C",'Mapa final'!#REF!),"")</f>
        <v>#REF!</v>
      </c>
      <c r="S30" s="54" t="e">
        <f>IF(AND('Mapa final'!#REF!="Media",'Mapa final'!#REF!="Menor"),CONCATENATE("R5C",'Mapa final'!#REF!),"")</f>
        <v>#REF!</v>
      </c>
      <c r="T30" s="54" t="e">
        <f>IF(AND('Mapa final'!#REF!="Media",'Mapa final'!#REF!="Menor"),CONCATENATE("R5C",'Mapa final'!#REF!),"")</f>
        <v>#REF!</v>
      </c>
      <c r="U30" s="55" t="e">
        <f>IF(AND('Mapa final'!#REF!="Media",'Mapa final'!#REF!="Menor"),CONCATENATE("R5C",'Mapa final'!#REF!),"")</f>
        <v>#REF!</v>
      </c>
      <c r="V30" s="53" t="e">
        <f>IF(AND('Mapa final'!#REF!="Media",'Mapa final'!#REF!="Moderado"),CONCATENATE("R5C",'Mapa final'!#REF!),"")</f>
        <v>#REF!</v>
      </c>
      <c r="W30" s="54" t="e">
        <f>IF(AND('Mapa final'!#REF!="Media",'Mapa final'!#REF!="Moderado"),CONCATENATE("R5C",'Mapa final'!#REF!),"")</f>
        <v>#REF!</v>
      </c>
      <c r="X30" s="54" t="e">
        <f>IF(AND('Mapa final'!#REF!="Media",'Mapa final'!#REF!="Moderado"),CONCATENATE("R5C",'Mapa final'!#REF!),"")</f>
        <v>#REF!</v>
      </c>
      <c r="Y30" s="54" t="e">
        <f>IF(AND('Mapa final'!#REF!="Media",'Mapa final'!#REF!="Moderado"),CONCATENATE("R5C",'Mapa final'!#REF!),"")</f>
        <v>#REF!</v>
      </c>
      <c r="Z30" s="54" t="e">
        <f>IF(AND('Mapa final'!#REF!="Media",'Mapa final'!#REF!="Moderado"),CONCATENATE("R5C",'Mapa final'!#REF!),"")</f>
        <v>#REF!</v>
      </c>
      <c r="AA30" s="55" t="e">
        <f>IF(AND('Mapa final'!#REF!="Media",'Mapa final'!#REF!="Moderado"),CONCATENATE("R5C",'Mapa final'!#REF!),"")</f>
        <v>#REF!</v>
      </c>
      <c r="AB30" s="38" t="e">
        <f>IF(AND('Mapa final'!#REF!="Media",'Mapa final'!#REF!="Mayor"),CONCATENATE("R5C",'Mapa final'!#REF!),"")</f>
        <v>#REF!</v>
      </c>
      <c r="AC30" s="39" t="e">
        <f>IF(AND('Mapa final'!#REF!="Media",'Mapa final'!#REF!="Mayor"),CONCATENATE("R5C",'Mapa final'!#REF!),"")</f>
        <v>#REF!</v>
      </c>
      <c r="AD30" s="39" t="e">
        <f>IF(AND('Mapa final'!#REF!="Media",'Mapa final'!#REF!="Mayor"),CONCATENATE("R5C",'Mapa final'!#REF!),"")</f>
        <v>#REF!</v>
      </c>
      <c r="AE30" s="39" t="e">
        <f>IF(AND('Mapa final'!#REF!="Media",'Mapa final'!#REF!="Mayor"),CONCATENATE("R5C",'Mapa final'!#REF!),"")</f>
        <v>#REF!</v>
      </c>
      <c r="AF30" s="39" t="e">
        <f>IF(AND('Mapa final'!#REF!="Media",'Mapa final'!#REF!="Mayor"),CONCATENATE("R5C",'Mapa final'!#REF!),"")</f>
        <v>#REF!</v>
      </c>
      <c r="AG30" s="40" t="e">
        <f>IF(AND('Mapa final'!#REF!="Media",'Mapa final'!#REF!="Mayor"),CONCATENATE("R5C",'Mapa final'!#REF!),"")</f>
        <v>#REF!</v>
      </c>
      <c r="AH30" s="41" t="e">
        <f>IF(AND('Mapa final'!#REF!="Media",'Mapa final'!#REF!="Catastrófico"),CONCATENATE("R5C",'Mapa final'!#REF!),"")</f>
        <v>#REF!</v>
      </c>
      <c r="AI30" s="42" t="e">
        <f>IF(AND('Mapa final'!#REF!="Media",'Mapa final'!#REF!="Catastrófico"),CONCATENATE("R5C",'Mapa final'!#REF!),"")</f>
        <v>#REF!</v>
      </c>
      <c r="AJ30" s="42" t="e">
        <f>IF(AND('Mapa final'!#REF!="Media",'Mapa final'!#REF!="Catastrófico"),CONCATENATE("R5C",'Mapa final'!#REF!),"")</f>
        <v>#REF!</v>
      </c>
      <c r="AK30" s="42" t="e">
        <f>IF(AND('Mapa final'!#REF!="Media",'Mapa final'!#REF!="Catastrófico"),CONCATENATE("R5C",'Mapa final'!#REF!),"")</f>
        <v>#REF!</v>
      </c>
      <c r="AL30" s="42" t="e">
        <f>IF(AND('Mapa final'!#REF!="Media",'Mapa final'!#REF!="Catastrófico"),CONCATENATE("R5C",'Mapa final'!#REF!),"")</f>
        <v>#REF!</v>
      </c>
      <c r="AM30" s="43" t="e">
        <f>IF(AND('Mapa final'!#REF!="Media",'Mapa final'!#REF!="Catastrófico"),CONCATENATE("R5C",'Mapa final'!#REF!),"")</f>
        <v>#REF!</v>
      </c>
      <c r="AN30" s="69"/>
      <c r="AO30" s="386"/>
      <c r="AP30" s="387"/>
      <c r="AQ30" s="387"/>
      <c r="AR30" s="387"/>
      <c r="AS30" s="387"/>
      <c r="AT30" s="388"/>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row>
    <row r="31" spans="1:76" ht="15" customHeight="1" x14ac:dyDescent="0.25">
      <c r="A31" s="69"/>
      <c r="B31" s="305"/>
      <c r="C31" s="305"/>
      <c r="D31" s="306"/>
      <c r="E31" s="346"/>
      <c r="F31" s="347"/>
      <c r="G31" s="347"/>
      <c r="H31" s="347"/>
      <c r="I31" s="348"/>
      <c r="J31" s="53" t="e">
        <f>IF(AND('Mapa final'!#REF!="Media",'Mapa final'!#REF!="Leve"),CONCATENATE("R6C",'Mapa final'!#REF!),"")</f>
        <v>#REF!</v>
      </c>
      <c r="K31" s="54" t="e">
        <f>IF(AND('Mapa final'!#REF!="Media",'Mapa final'!#REF!="Leve"),CONCATENATE("R6C",'Mapa final'!#REF!),"")</f>
        <v>#REF!</v>
      </c>
      <c r="L31" s="54" t="e">
        <f>IF(AND('Mapa final'!#REF!="Media",'Mapa final'!#REF!="Leve"),CONCATENATE("R6C",'Mapa final'!#REF!),"")</f>
        <v>#REF!</v>
      </c>
      <c r="M31" s="54" t="e">
        <f>IF(AND('Mapa final'!#REF!="Media",'Mapa final'!#REF!="Leve"),CONCATENATE("R6C",'Mapa final'!#REF!),"")</f>
        <v>#REF!</v>
      </c>
      <c r="N31" s="54" t="e">
        <f>IF(AND('Mapa final'!#REF!="Media",'Mapa final'!#REF!="Leve"),CONCATENATE("R6C",'Mapa final'!#REF!),"")</f>
        <v>#REF!</v>
      </c>
      <c r="O31" s="55" t="e">
        <f>IF(AND('Mapa final'!#REF!="Media",'Mapa final'!#REF!="Leve"),CONCATENATE("R6C",'Mapa final'!#REF!),"")</f>
        <v>#REF!</v>
      </c>
      <c r="P31" s="53" t="e">
        <f>IF(AND('Mapa final'!#REF!="Media",'Mapa final'!#REF!="Menor"),CONCATENATE("R6C",'Mapa final'!#REF!),"")</f>
        <v>#REF!</v>
      </c>
      <c r="Q31" s="54" t="e">
        <f>IF(AND('Mapa final'!#REF!="Media",'Mapa final'!#REF!="Menor"),CONCATENATE("R6C",'Mapa final'!#REF!),"")</f>
        <v>#REF!</v>
      </c>
      <c r="R31" s="54" t="e">
        <f>IF(AND('Mapa final'!#REF!="Media",'Mapa final'!#REF!="Menor"),CONCATENATE("R6C",'Mapa final'!#REF!),"")</f>
        <v>#REF!</v>
      </c>
      <c r="S31" s="54" t="e">
        <f>IF(AND('Mapa final'!#REF!="Media",'Mapa final'!#REF!="Menor"),CONCATENATE("R6C",'Mapa final'!#REF!),"")</f>
        <v>#REF!</v>
      </c>
      <c r="T31" s="54" t="e">
        <f>IF(AND('Mapa final'!#REF!="Media",'Mapa final'!#REF!="Menor"),CONCATENATE("R6C",'Mapa final'!#REF!),"")</f>
        <v>#REF!</v>
      </c>
      <c r="U31" s="55" t="e">
        <f>IF(AND('Mapa final'!#REF!="Media",'Mapa final'!#REF!="Menor"),CONCATENATE("R6C",'Mapa final'!#REF!),"")</f>
        <v>#REF!</v>
      </c>
      <c r="V31" s="53" t="e">
        <f>IF(AND('Mapa final'!#REF!="Media",'Mapa final'!#REF!="Moderado"),CONCATENATE("R6C",'Mapa final'!#REF!),"")</f>
        <v>#REF!</v>
      </c>
      <c r="W31" s="54" t="e">
        <f>IF(AND('Mapa final'!#REF!="Media",'Mapa final'!#REF!="Moderado"),CONCATENATE("R6C",'Mapa final'!#REF!),"")</f>
        <v>#REF!</v>
      </c>
      <c r="X31" s="54" t="e">
        <f>IF(AND('Mapa final'!#REF!="Media",'Mapa final'!#REF!="Moderado"),CONCATENATE("R6C",'Mapa final'!#REF!),"")</f>
        <v>#REF!</v>
      </c>
      <c r="Y31" s="54" t="e">
        <f>IF(AND('Mapa final'!#REF!="Media",'Mapa final'!#REF!="Moderado"),CONCATENATE("R6C",'Mapa final'!#REF!),"")</f>
        <v>#REF!</v>
      </c>
      <c r="Z31" s="54" t="e">
        <f>IF(AND('Mapa final'!#REF!="Media",'Mapa final'!#REF!="Moderado"),CONCATENATE("R6C",'Mapa final'!#REF!),"")</f>
        <v>#REF!</v>
      </c>
      <c r="AA31" s="55" t="e">
        <f>IF(AND('Mapa final'!#REF!="Media",'Mapa final'!#REF!="Moderado"),CONCATENATE("R6C",'Mapa final'!#REF!),"")</f>
        <v>#REF!</v>
      </c>
      <c r="AB31" s="38" t="e">
        <f>IF(AND('Mapa final'!#REF!="Media",'Mapa final'!#REF!="Mayor"),CONCATENATE("R6C",'Mapa final'!#REF!),"")</f>
        <v>#REF!</v>
      </c>
      <c r="AC31" s="39" t="e">
        <f>IF(AND('Mapa final'!#REF!="Media",'Mapa final'!#REF!="Mayor"),CONCATENATE("R6C",'Mapa final'!#REF!),"")</f>
        <v>#REF!</v>
      </c>
      <c r="AD31" s="39" t="e">
        <f>IF(AND('Mapa final'!#REF!="Media",'Mapa final'!#REF!="Mayor"),CONCATENATE("R6C",'Mapa final'!#REF!),"")</f>
        <v>#REF!</v>
      </c>
      <c r="AE31" s="39" t="e">
        <f>IF(AND('Mapa final'!#REF!="Media",'Mapa final'!#REF!="Mayor"),CONCATENATE("R6C",'Mapa final'!#REF!),"")</f>
        <v>#REF!</v>
      </c>
      <c r="AF31" s="39" t="e">
        <f>IF(AND('Mapa final'!#REF!="Media",'Mapa final'!#REF!="Mayor"),CONCATENATE("R6C",'Mapa final'!#REF!),"")</f>
        <v>#REF!</v>
      </c>
      <c r="AG31" s="40" t="e">
        <f>IF(AND('Mapa final'!#REF!="Media",'Mapa final'!#REF!="Mayor"),CONCATENATE("R6C",'Mapa final'!#REF!),"")</f>
        <v>#REF!</v>
      </c>
      <c r="AH31" s="41" t="e">
        <f>IF(AND('Mapa final'!#REF!="Media",'Mapa final'!#REF!="Catastrófico"),CONCATENATE("R6C",'Mapa final'!#REF!),"")</f>
        <v>#REF!</v>
      </c>
      <c r="AI31" s="42" t="e">
        <f>IF(AND('Mapa final'!#REF!="Media",'Mapa final'!#REF!="Catastrófico"),CONCATENATE("R6C",'Mapa final'!#REF!),"")</f>
        <v>#REF!</v>
      </c>
      <c r="AJ31" s="42" t="e">
        <f>IF(AND('Mapa final'!#REF!="Media",'Mapa final'!#REF!="Catastrófico"),CONCATENATE("R6C",'Mapa final'!#REF!),"")</f>
        <v>#REF!</v>
      </c>
      <c r="AK31" s="42" t="e">
        <f>IF(AND('Mapa final'!#REF!="Media",'Mapa final'!#REF!="Catastrófico"),CONCATENATE("R6C",'Mapa final'!#REF!),"")</f>
        <v>#REF!</v>
      </c>
      <c r="AL31" s="42" t="e">
        <f>IF(AND('Mapa final'!#REF!="Media",'Mapa final'!#REF!="Catastrófico"),CONCATENATE("R6C",'Mapa final'!#REF!),"")</f>
        <v>#REF!</v>
      </c>
      <c r="AM31" s="43" t="e">
        <f>IF(AND('Mapa final'!#REF!="Media",'Mapa final'!#REF!="Catastrófico"),CONCATENATE("R6C",'Mapa final'!#REF!),"")</f>
        <v>#REF!</v>
      </c>
      <c r="AN31" s="69"/>
      <c r="AO31" s="386"/>
      <c r="AP31" s="387"/>
      <c r="AQ31" s="387"/>
      <c r="AR31" s="387"/>
      <c r="AS31" s="387"/>
      <c r="AT31" s="388"/>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row>
    <row r="32" spans="1:76" ht="15" customHeight="1" x14ac:dyDescent="0.25">
      <c r="A32" s="69"/>
      <c r="B32" s="305"/>
      <c r="C32" s="305"/>
      <c r="D32" s="306"/>
      <c r="E32" s="346"/>
      <c r="F32" s="347"/>
      <c r="G32" s="347"/>
      <c r="H32" s="347"/>
      <c r="I32" s="348"/>
      <c r="J32" s="53" t="e">
        <f>IF(AND('Mapa final'!#REF!="Media",'Mapa final'!#REF!="Leve"),CONCATENATE("R7C",'Mapa final'!#REF!),"")</f>
        <v>#REF!</v>
      </c>
      <c r="K32" s="54" t="e">
        <f>IF(AND('Mapa final'!#REF!="Media",'Mapa final'!#REF!="Leve"),CONCATENATE("R7C",'Mapa final'!#REF!),"")</f>
        <v>#REF!</v>
      </c>
      <c r="L32" s="54" t="e">
        <f>IF(AND('Mapa final'!#REF!="Media",'Mapa final'!#REF!="Leve"),CONCATENATE("R7C",'Mapa final'!#REF!),"")</f>
        <v>#REF!</v>
      </c>
      <c r="M32" s="54" t="e">
        <f>IF(AND('Mapa final'!#REF!="Media",'Mapa final'!#REF!="Leve"),CONCATENATE("R7C",'Mapa final'!#REF!),"")</f>
        <v>#REF!</v>
      </c>
      <c r="N32" s="54" t="e">
        <f>IF(AND('Mapa final'!#REF!="Media",'Mapa final'!#REF!="Leve"),CONCATENATE("R7C",'Mapa final'!#REF!),"")</f>
        <v>#REF!</v>
      </c>
      <c r="O32" s="55" t="e">
        <f>IF(AND('Mapa final'!#REF!="Media",'Mapa final'!#REF!="Leve"),CONCATENATE("R7C",'Mapa final'!#REF!),"")</f>
        <v>#REF!</v>
      </c>
      <c r="P32" s="53" t="e">
        <f>IF(AND('Mapa final'!#REF!="Media",'Mapa final'!#REF!="Menor"),CONCATENATE("R7C",'Mapa final'!#REF!),"")</f>
        <v>#REF!</v>
      </c>
      <c r="Q32" s="54" t="e">
        <f>IF(AND('Mapa final'!#REF!="Media",'Mapa final'!#REF!="Menor"),CONCATENATE("R7C",'Mapa final'!#REF!),"")</f>
        <v>#REF!</v>
      </c>
      <c r="R32" s="54" t="e">
        <f>IF(AND('Mapa final'!#REF!="Media",'Mapa final'!#REF!="Menor"),CONCATENATE("R7C",'Mapa final'!#REF!),"")</f>
        <v>#REF!</v>
      </c>
      <c r="S32" s="54" t="e">
        <f>IF(AND('Mapa final'!#REF!="Media",'Mapa final'!#REF!="Menor"),CONCATENATE("R7C",'Mapa final'!#REF!),"")</f>
        <v>#REF!</v>
      </c>
      <c r="T32" s="54" t="e">
        <f>IF(AND('Mapa final'!#REF!="Media",'Mapa final'!#REF!="Menor"),CONCATENATE("R7C",'Mapa final'!#REF!),"")</f>
        <v>#REF!</v>
      </c>
      <c r="U32" s="55" t="e">
        <f>IF(AND('Mapa final'!#REF!="Media",'Mapa final'!#REF!="Menor"),CONCATENATE("R7C",'Mapa final'!#REF!),"")</f>
        <v>#REF!</v>
      </c>
      <c r="V32" s="53" t="e">
        <f>IF(AND('Mapa final'!#REF!="Media",'Mapa final'!#REF!="Moderado"),CONCATENATE("R7C",'Mapa final'!#REF!),"")</f>
        <v>#REF!</v>
      </c>
      <c r="W32" s="54" t="e">
        <f>IF(AND('Mapa final'!#REF!="Media",'Mapa final'!#REF!="Moderado"),CONCATENATE("R7C",'Mapa final'!#REF!),"")</f>
        <v>#REF!</v>
      </c>
      <c r="X32" s="54" t="e">
        <f>IF(AND('Mapa final'!#REF!="Media",'Mapa final'!#REF!="Moderado"),CONCATENATE("R7C",'Mapa final'!#REF!),"")</f>
        <v>#REF!</v>
      </c>
      <c r="Y32" s="54" t="e">
        <f>IF(AND('Mapa final'!#REF!="Media",'Mapa final'!#REF!="Moderado"),CONCATENATE("R7C",'Mapa final'!#REF!),"")</f>
        <v>#REF!</v>
      </c>
      <c r="Z32" s="54" t="e">
        <f>IF(AND('Mapa final'!#REF!="Media",'Mapa final'!#REF!="Moderado"),CONCATENATE("R7C",'Mapa final'!#REF!),"")</f>
        <v>#REF!</v>
      </c>
      <c r="AA32" s="55" t="e">
        <f>IF(AND('Mapa final'!#REF!="Media",'Mapa final'!#REF!="Moderado"),CONCATENATE("R7C",'Mapa final'!#REF!),"")</f>
        <v>#REF!</v>
      </c>
      <c r="AB32" s="38" t="e">
        <f>IF(AND('Mapa final'!#REF!="Media",'Mapa final'!#REF!="Mayor"),CONCATENATE("R7C",'Mapa final'!#REF!),"")</f>
        <v>#REF!</v>
      </c>
      <c r="AC32" s="39" t="e">
        <f>IF(AND('Mapa final'!#REF!="Media",'Mapa final'!#REF!="Mayor"),CONCATENATE("R7C",'Mapa final'!#REF!),"")</f>
        <v>#REF!</v>
      </c>
      <c r="AD32" s="39" t="e">
        <f>IF(AND('Mapa final'!#REF!="Media",'Mapa final'!#REF!="Mayor"),CONCATENATE("R7C",'Mapa final'!#REF!),"")</f>
        <v>#REF!</v>
      </c>
      <c r="AE32" s="39" t="e">
        <f>IF(AND('Mapa final'!#REF!="Media",'Mapa final'!#REF!="Mayor"),CONCATENATE("R7C",'Mapa final'!#REF!),"")</f>
        <v>#REF!</v>
      </c>
      <c r="AF32" s="39" t="e">
        <f>IF(AND('Mapa final'!#REF!="Media",'Mapa final'!#REF!="Mayor"),CONCATENATE("R7C",'Mapa final'!#REF!),"")</f>
        <v>#REF!</v>
      </c>
      <c r="AG32" s="40" t="e">
        <f>IF(AND('Mapa final'!#REF!="Media",'Mapa final'!#REF!="Mayor"),CONCATENATE("R7C",'Mapa final'!#REF!),"")</f>
        <v>#REF!</v>
      </c>
      <c r="AH32" s="41" t="e">
        <f>IF(AND('Mapa final'!#REF!="Media",'Mapa final'!#REF!="Catastrófico"),CONCATENATE("R7C",'Mapa final'!#REF!),"")</f>
        <v>#REF!</v>
      </c>
      <c r="AI32" s="42" t="e">
        <f>IF(AND('Mapa final'!#REF!="Media",'Mapa final'!#REF!="Catastrófico"),CONCATENATE("R7C",'Mapa final'!#REF!),"")</f>
        <v>#REF!</v>
      </c>
      <c r="AJ32" s="42" t="e">
        <f>IF(AND('Mapa final'!#REF!="Media",'Mapa final'!#REF!="Catastrófico"),CONCATENATE("R7C",'Mapa final'!#REF!),"")</f>
        <v>#REF!</v>
      </c>
      <c r="AK32" s="42" t="e">
        <f>IF(AND('Mapa final'!#REF!="Media",'Mapa final'!#REF!="Catastrófico"),CONCATENATE("R7C",'Mapa final'!#REF!),"")</f>
        <v>#REF!</v>
      </c>
      <c r="AL32" s="42" t="e">
        <f>IF(AND('Mapa final'!#REF!="Media",'Mapa final'!#REF!="Catastrófico"),CONCATENATE("R7C",'Mapa final'!#REF!),"")</f>
        <v>#REF!</v>
      </c>
      <c r="AM32" s="43" t="e">
        <f>IF(AND('Mapa final'!#REF!="Media",'Mapa final'!#REF!="Catastrófico"),CONCATENATE("R7C",'Mapa final'!#REF!),"")</f>
        <v>#REF!</v>
      </c>
      <c r="AN32" s="69"/>
      <c r="AO32" s="386"/>
      <c r="AP32" s="387"/>
      <c r="AQ32" s="387"/>
      <c r="AR32" s="387"/>
      <c r="AS32" s="387"/>
      <c r="AT32" s="388"/>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row>
    <row r="33" spans="1:80" ht="15" customHeight="1" x14ac:dyDescent="0.25">
      <c r="A33" s="69"/>
      <c r="B33" s="305"/>
      <c r="C33" s="305"/>
      <c r="D33" s="306"/>
      <c r="E33" s="346"/>
      <c r="F33" s="347"/>
      <c r="G33" s="347"/>
      <c r="H33" s="347"/>
      <c r="I33" s="348"/>
      <c r="J33" s="53" t="e">
        <f>IF(AND('Mapa final'!#REF!="Media",'Mapa final'!#REF!="Leve"),CONCATENATE("R8C",'Mapa final'!#REF!),"")</f>
        <v>#REF!</v>
      </c>
      <c r="K33" s="54" t="e">
        <f>IF(AND('Mapa final'!#REF!="Media",'Mapa final'!#REF!="Leve"),CONCATENATE("R8C",'Mapa final'!#REF!),"")</f>
        <v>#REF!</v>
      </c>
      <c r="L33" s="54" t="e">
        <f>IF(AND('Mapa final'!#REF!="Media",'Mapa final'!#REF!="Leve"),CONCATENATE("R8C",'Mapa final'!#REF!),"")</f>
        <v>#REF!</v>
      </c>
      <c r="M33" s="54" t="e">
        <f>IF(AND('Mapa final'!#REF!="Media",'Mapa final'!#REF!="Leve"),CONCATENATE("R8C",'Mapa final'!#REF!),"")</f>
        <v>#REF!</v>
      </c>
      <c r="N33" s="54" t="e">
        <f>IF(AND('Mapa final'!#REF!="Media",'Mapa final'!#REF!="Leve"),CONCATENATE("R8C",'Mapa final'!#REF!),"")</f>
        <v>#REF!</v>
      </c>
      <c r="O33" s="55" t="e">
        <f>IF(AND('Mapa final'!#REF!="Media",'Mapa final'!#REF!="Leve"),CONCATENATE("R8C",'Mapa final'!#REF!),"")</f>
        <v>#REF!</v>
      </c>
      <c r="P33" s="53" t="e">
        <f>IF(AND('Mapa final'!#REF!="Media",'Mapa final'!#REF!="Menor"),CONCATENATE("R8C",'Mapa final'!#REF!),"")</f>
        <v>#REF!</v>
      </c>
      <c r="Q33" s="54" t="e">
        <f>IF(AND('Mapa final'!#REF!="Media",'Mapa final'!#REF!="Menor"),CONCATENATE("R8C",'Mapa final'!#REF!),"")</f>
        <v>#REF!</v>
      </c>
      <c r="R33" s="54" t="e">
        <f>IF(AND('Mapa final'!#REF!="Media",'Mapa final'!#REF!="Menor"),CONCATENATE("R8C",'Mapa final'!#REF!),"")</f>
        <v>#REF!</v>
      </c>
      <c r="S33" s="54" t="e">
        <f>IF(AND('Mapa final'!#REF!="Media",'Mapa final'!#REF!="Menor"),CONCATENATE("R8C",'Mapa final'!#REF!),"")</f>
        <v>#REF!</v>
      </c>
      <c r="T33" s="54" t="e">
        <f>IF(AND('Mapa final'!#REF!="Media",'Mapa final'!#REF!="Menor"),CONCATENATE("R8C",'Mapa final'!#REF!),"")</f>
        <v>#REF!</v>
      </c>
      <c r="U33" s="55" t="e">
        <f>IF(AND('Mapa final'!#REF!="Media",'Mapa final'!#REF!="Menor"),CONCATENATE("R8C",'Mapa final'!#REF!),"")</f>
        <v>#REF!</v>
      </c>
      <c r="V33" s="53" t="e">
        <f>IF(AND('Mapa final'!#REF!="Media",'Mapa final'!#REF!="Moderado"),CONCATENATE("R8C",'Mapa final'!#REF!),"")</f>
        <v>#REF!</v>
      </c>
      <c r="W33" s="54" t="e">
        <f>IF(AND('Mapa final'!#REF!="Media",'Mapa final'!#REF!="Moderado"),CONCATENATE("R8C",'Mapa final'!#REF!),"")</f>
        <v>#REF!</v>
      </c>
      <c r="X33" s="54" t="e">
        <f>IF(AND('Mapa final'!#REF!="Media",'Mapa final'!#REF!="Moderado"),CONCATENATE("R8C",'Mapa final'!#REF!),"")</f>
        <v>#REF!</v>
      </c>
      <c r="Y33" s="54" t="e">
        <f>IF(AND('Mapa final'!#REF!="Media",'Mapa final'!#REF!="Moderado"),CONCATENATE("R8C",'Mapa final'!#REF!),"")</f>
        <v>#REF!</v>
      </c>
      <c r="Z33" s="54" t="e">
        <f>IF(AND('Mapa final'!#REF!="Media",'Mapa final'!#REF!="Moderado"),CONCATENATE("R8C",'Mapa final'!#REF!),"")</f>
        <v>#REF!</v>
      </c>
      <c r="AA33" s="55" t="e">
        <f>IF(AND('Mapa final'!#REF!="Media",'Mapa final'!#REF!="Moderado"),CONCATENATE("R8C",'Mapa final'!#REF!),"")</f>
        <v>#REF!</v>
      </c>
      <c r="AB33" s="38" t="e">
        <f>IF(AND('Mapa final'!#REF!="Media",'Mapa final'!#REF!="Mayor"),CONCATENATE("R8C",'Mapa final'!#REF!),"")</f>
        <v>#REF!</v>
      </c>
      <c r="AC33" s="39" t="e">
        <f>IF(AND('Mapa final'!#REF!="Media",'Mapa final'!#REF!="Mayor"),CONCATENATE("R8C",'Mapa final'!#REF!),"")</f>
        <v>#REF!</v>
      </c>
      <c r="AD33" s="39" t="e">
        <f>IF(AND('Mapa final'!#REF!="Media",'Mapa final'!#REF!="Mayor"),CONCATENATE("R8C",'Mapa final'!#REF!),"")</f>
        <v>#REF!</v>
      </c>
      <c r="AE33" s="39" t="e">
        <f>IF(AND('Mapa final'!#REF!="Media",'Mapa final'!#REF!="Mayor"),CONCATENATE("R8C",'Mapa final'!#REF!),"")</f>
        <v>#REF!</v>
      </c>
      <c r="AF33" s="39" t="e">
        <f>IF(AND('Mapa final'!#REF!="Media",'Mapa final'!#REF!="Mayor"),CONCATENATE("R8C",'Mapa final'!#REF!),"")</f>
        <v>#REF!</v>
      </c>
      <c r="AG33" s="40" t="e">
        <f>IF(AND('Mapa final'!#REF!="Media",'Mapa final'!#REF!="Mayor"),CONCATENATE("R8C",'Mapa final'!#REF!),"")</f>
        <v>#REF!</v>
      </c>
      <c r="AH33" s="41" t="e">
        <f>IF(AND('Mapa final'!#REF!="Media",'Mapa final'!#REF!="Catastrófico"),CONCATENATE("R8C",'Mapa final'!#REF!),"")</f>
        <v>#REF!</v>
      </c>
      <c r="AI33" s="42" t="e">
        <f>IF(AND('Mapa final'!#REF!="Media",'Mapa final'!#REF!="Catastrófico"),CONCATENATE("R8C",'Mapa final'!#REF!),"")</f>
        <v>#REF!</v>
      </c>
      <c r="AJ33" s="42" t="e">
        <f>IF(AND('Mapa final'!#REF!="Media",'Mapa final'!#REF!="Catastrófico"),CONCATENATE("R8C",'Mapa final'!#REF!),"")</f>
        <v>#REF!</v>
      </c>
      <c r="AK33" s="42" t="e">
        <f>IF(AND('Mapa final'!#REF!="Media",'Mapa final'!#REF!="Catastrófico"),CONCATENATE("R8C",'Mapa final'!#REF!),"")</f>
        <v>#REF!</v>
      </c>
      <c r="AL33" s="42" t="e">
        <f>IF(AND('Mapa final'!#REF!="Media",'Mapa final'!#REF!="Catastrófico"),CONCATENATE("R8C",'Mapa final'!#REF!),"")</f>
        <v>#REF!</v>
      </c>
      <c r="AM33" s="43" t="e">
        <f>IF(AND('Mapa final'!#REF!="Media",'Mapa final'!#REF!="Catastrófico"),CONCATENATE("R8C",'Mapa final'!#REF!),"")</f>
        <v>#REF!</v>
      </c>
      <c r="AN33" s="69"/>
      <c r="AO33" s="386"/>
      <c r="AP33" s="387"/>
      <c r="AQ33" s="387"/>
      <c r="AR33" s="387"/>
      <c r="AS33" s="387"/>
      <c r="AT33" s="388"/>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row>
    <row r="34" spans="1:80" ht="15" customHeight="1" x14ac:dyDescent="0.25">
      <c r="A34" s="69"/>
      <c r="B34" s="305"/>
      <c r="C34" s="305"/>
      <c r="D34" s="306"/>
      <c r="E34" s="346"/>
      <c r="F34" s="347"/>
      <c r="G34" s="347"/>
      <c r="H34" s="347"/>
      <c r="I34" s="348"/>
      <c r="J34" s="53" t="e">
        <f>IF(AND('Mapa final'!#REF!="Media",'Mapa final'!#REF!="Leve"),CONCATENATE("R9C",'Mapa final'!#REF!),"")</f>
        <v>#REF!</v>
      </c>
      <c r="K34" s="54" t="e">
        <f>IF(AND('Mapa final'!#REF!="Media",'Mapa final'!#REF!="Leve"),CONCATENATE("R9C",'Mapa final'!#REF!),"")</f>
        <v>#REF!</v>
      </c>
      <c r="L34" s="54" t="e">
        <f>IF(AND('Mapa final'!#REF!="Media",'Mapa final'!#REF!="Leve"),CONCATENATE("R9C",'Mapa final'!#REF!),"")</f>
        <v>#REF!</v>
      </c>
      <c r="M34" s="54" t="e">
        <f>IF(AND('Mapa final'!#REF!="Media",'Mapa final'!#REF!="Leve"),CONCATENATE("R9C",'Mapa final'!#REF!),"")</f>
        <v>#REF!</v>
      </c>
      <c r="N34" s="54" t="e">
        <f>IF(AND('Mapa final'!#REF!="Media",'Mapa final'!#REF!="Leve"),CONCATENATE("R9C",'Mapa final'!#REF!),"")</f>
        <v>#REF!</v>
      </c>
      <c r="O34" s="55" t="e">
        <f>IF(AND('Mapa final'!#REF!="Media",'Mapa final'!#REF!="Leve"),CONCATENATE("R9C",'Mapa final'!#REF!),"")</f>
        <v>#REF!</v>
      </c>
      <c r="P34" s="53" t="e">
        <f>IF(AND('Mapa final'!#REF!="Media",'Mapa final'!#REF!="Menor"),CONCATENATE("R9C",'Mapa final'!#REF!),"")</f>
        <v>#REF!</v>
      </c>
      <c r="Q34" s="54" t="e">
        <f>IF(AND('Mapa final'!#REF!="Media",'Mapa final'!#REF!="Menor"),CONCATENATE("R9C",'Mapa final'!#REF!),"")</f>
        <v>#REF!</v>
      </c>
      <c r="R34" s="54" t="e">
        <f>IF(AND('Mapa final'!#REF!="Media",'Mapa final'!#REF!="Menor"),CONCATENATE("R9C",'Mapa final'!#REF!),"")</f>
        <v>#REF!</v>
      </c>
      <c r="S34" s="54" t="e">
        <f>IF(AND('Mapa final'!#REF!="Media",'Mapa final'!#REF!="Menor"),CONCATENATE("R9C",'Mapa final'!#REF!),"")</f>
        <v>#REF!</v>
      </c>
      <c r="T34" s="54" t="e">
        <f>IF(AND('Mapa final'!#REF!="Media",'Mapa final'!#REF!="Menor"),CONCATENATE("R9C",'Mapa final'!#REF!),"")</f>
        <v>#REF!</v>
      </c>
      <c r="U34" s="55" t="e">
        <f>IF(AND('Mapa final'!#REF!="Media",'Mapa final'!#REF!="Menor"),CONCATENATE("R9C",'Mapa final'!#REF!),"")</f>
        <v>#REF!</v>
      </c>
      <c r="V34" s="53" t="e">
        <f>IF(AND('Mapa final'!#REF!="Media",'Mapa final'!#REF!="Moderado"),CONCATENATE("R9C",'Mapa final'!#REF!),"")</f>
        <v>#REF!</v>
      </c>
      <c r="W34" s="54" t="e">
        <f>IF(AND('Mapa final'!#REF!="Media",'Mapa final'!#REF!="Moderado"),CONCATENATE("R9C",'Mapa final'!#REF!),"")</f>
        <v>#REF!</v>
      </c>
      <c r="X34" s="54" t="e">
        <f>IF(AND('Mapa final'!#REF!="Media",'Mapa final'!#REF!="Moderado"),CONCATENATE("R9C",'Mapa final'!#REF!),"")</f>
        <v>#REF!</v>
      </c>
      <c r="Y34" s="54" t="e">
        <f>IF(AND('Mapa final'!#REF!="Media",'Mapa final'!#REF!="Moderado"),CONCATENATE("R9C",'Mapa final'!#REF!),"")</f>
        <v>#REF!</v>
      </c>
      <c r="Z34" s="54" t="e">
        <f>IF(AND('Mapa final'!#REF!="Media",'Mapa final'!#REF!="Moderado"),CONCATENATE("R9C",'Mapa final'!#REF!),"")</f>
        <v>#REF!</v>
      </c>
      <c r="AA34" s="55" t="e">
        <f>IF(AND('Mapa final'!#REF!="Media",'Mapa final'!#REF!="Moderado"),CONCATENATE("R9C",'Mapa final'!#REF!),"")</f>
        <v>#REF!</v>
      </c>
      <c r="AB34" s="38" t="e">
        <f>IF(AND('Mapa final'!#REF!="Media",'Mapa final'!#REF!="Mayor"),CONCATENATE("R9C",'Mapa final'!#REF!),"")</f>
        <v>#REF!</v>
      </c>
      <c r="AC34" s="39" t="e">
        <f>IF(AND('Mapa final'!#REF!="Media",'Mapa final'!#REF!="Mayor"),CONCATENATE("R9C",'Mapa final'!#REF!),"")</f>
        <v>#REF!</v>
      </c>
      <c r="AD34" s="39" t="e">
        <f>IF(AND('Mapa final'!#REF!="Media",'Mapa final'!#REF!="Mayor"),CONCATENATE("R9C",'Mapa final'!#REF!),"")</f>
        <v>#REF!</v>
      </c>
      <c r="AE34" s="39" t="e">
        <f>IF(AND('Mapa final'!#REF!="Media",'Mapa final'!#REF!="Mayor"),CONCATENATE("R9C",'Mapa final'!#REF!),"")</f>
        <v>#REF!</v>
      </c>
      <c r="AF34" s="39" t="e">
        <f>IF(AND('Mapa final'!#REF!="Media",'Mapa final'!#REF!="Mayor"),CONCATENATE("R9C",'Mapa final'!#REF!),"")</f>
        <v>#REF!</v>
      </c>
      <c r="AG34" s="40" t="e">
        <f>IF(AND('Mapa final'!#REF!="Media",'Mapa final'!#REF!="Mayor"),CONCATENATE("R9C",'Mapa final'!#REF!),"")</f>
        <v>#REF!</v>
      </c>
      <c r="AH34" s="41" t="e">
        <f>IF(AND('Mapa final'!#REF!="Media",'Mapa final'!#REF!="Catastrófico"),CONCATENATE("R9C",'Mapa final'!#REF!),"")</f>
        <v>#REF!</v>
      </c>
      <c r="AI34" s="42" t="e">
        <f>IF(AND('Mapa final'!#REF!="Media",'Mapa final'!#REF!="Catastrófico"),CONCATENATE("R9C",'Mapa final'!#REF!),"")</f>
        <v>#REF!</v>
      </c>
      <c r="AJ34" s="42" t="e">
        <f>IF(AND('Mapa final'!#REF!="Media",'Mapa final'!#REF!="Catastrófico"),CONCATENATE("R9C",'Mapa final'!#REF!),"")</f>
        <v>#REF!</v>
      </c>
      <c r="AK34" s="42" t="e">
        <f>IF(AND('Mapa final'!#REF!="Media",'Mapa final'!#REF!="Catastrófico"),CONCATENATE("R9C",'Mapa final'!#REF!),"")</f>
        <v>#REF!</v>
      </c>
      <c r="AL34" s="42" t="e">
        <f>IF(AND('Mapa final'!#REF!="Media",'Mapa final'!#REF!="Catastrófico"),CONCATENATE("R9C",'Mapa final'!#REF!),"")</f>
        <v>#REF!</v>
      </c>
      <c r="AM34" s="43" t="e">
        <f>IF(AND('Mapa final'!#REF!="Media",'Mapa final'!#REF!="Catastrófico"),CONCATENATE("R9C",'Mapa final'!#REF!),"")</f>
        <v>#REF!</v>
      </c>
      <c r="AN34" s="69"/>
      <c r="AO34" s="386"/>
      <c r="AP34" s="387"/>
      <c r="AQ34" s="387"/>
      <c r="AR34" s="387"/>
      <c r="AS34" s="387"/>
      <c r="AT34" s="388"/>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row>
    <row r="35" spans="1:80" ht="15.75" customHeight="1" thickBot="1" x14ac:dyDescent="0.3">
      <c r="A35" s="69"/>
      <c r="B35" s="305"/>
      <c r="C35" s="305"/>
      <c r="D35" s="306"/>
      <c r="E35" s="349"/>
      <c r="F35" s="350"/>
      <c r="G35" s="350"/>
      <c r="H35" s="350"/>
      <c r="I35" s="351"/>
      <c r="J35" s="53" t="e">
        <f>IF(AND('Mapa final'!#REF!="Media",'Mapa final'!#REF!="Leve"),CONCATENATE("R10C",'Mapa final'!#REF!),"")</f>
        <v>#REF!</v>
      </c>
      <c r="K35" s="54" t="e">
        <f>IF(AND('Mapa final'!#REF!="Media",'Mapa final'!#REF!="Leve"),CONCATENATE("R10C",'Mapa final'!#REF!),"")</f>
        <v>#REF!</v>
      </c>
      <c r="L35" s="54" t="e">
        <f>IF(AND('Mapa final'!#REF!="Media",'Mapa final'!#REF!="Leve"),CONCATENATE("R10C",'Mapa final'!#REF!),"")</f>
        <v>#REF!</v>
      </c>
      <c r="M35" s="54" t="e">
        <f>IF(AND('Mapa final'!#REF!="Media",'Mapa final'!#REF!="Leve"),CONCATENATE("R10C",'Mapa final'!#REF!),"")</f>
        <v>#REF!</v>
      </c>
      <c r="N35" s="54" t="e">
        <f>IF(AND('Mapa final'!#REF!="Media",'Mapa final'!#REF!="Leve"),CONCATENATE("R10C",'Mapa final'!#REF!),"")</f>
        <v>#REF!</v>
      </c>
      <c r="O35" s="55" t="e">
        <f>IF(AND('Mapa final'!#REF!="Media",'Mapa final'!#REF!="Leve"),CONCATENATE("R10C",'Mapa final'!#REF!),"")</f>
        <v>#REF!</v>
      </c>
      <c r="P35" s="53" t="e">
        <f>IF(AND('Mapa final'!#REF!="Media",'Mapa final'!#REF!="Menor"),CONCATENATE("R10C",'Mapa final'!#REF!),"")</f>
        <v>#REF!</v>
      </c>
      <c r="Q35" s="54" t="e">
        <f>IF(AND('Mapa final'!#REF!="Media",'Mapa final'!#REF!="Menor"),CONCATENATE("R10C",'Mapa final'!#REF!),"")</f>
        <v>#REF!</v>
      </c>
      <c r="R35" s="54" t="e">
        <f>IF(AND('Mapa final'!#REF!="Media",'Mapa final'!#REF!="Menor"),CONCATENATE("R10C",'Mapa final'!#REF!),"")</f>
        <v>#REF!</v>
      </c>
      <c r="S35" s="54" t="e">
        <f>IF(AND('Mapa final'!#REF!="Media",'Mapa final'!#REF!="Menor"),CONCATENATE("R10C",'Mapa final'!#REF!),"")</f>
        <v>#REF!</v>
      </c>
      <c r="T35" s="54" t="e">
        <f>IF(AND('Mapa final'!#REF!="Media",'Mapa final'!#REF!="Menor"),CONCATENATE("R10C",'Mapa final'!#REF!),"")</f>
        <v>#REF!</v>
      </c>
      <c r="U35" s="55" t="e">
        <f>IF(AND('Mapa final'!#REF!="Media",'Mapa final'!#REF!="Menor"),CONCATENATE("R10C",'Mapa final'!#REF!),"")</f>
        <v>#REF!</v>
      </c>
      <c r="V35" s="53" t="e">
        <f>IF(AND('Mapa final'!#REF!="Media",'Mapa final'!#REF!="Moderado"),CONCATENATE("R10C",'Mapa final'!#REF!),"")</f>
        <v>#REF!</v>
      </c>
      <c r="W35" s="54" t="e">
        <f>IF(AND('Mapa final'!#REF!="Media",'Mapa final'!#REF!="Moderado"),CONCATENATE("R10C",'Mapa final'!#REF!),"")</f>
        <v>#REF!</v>
      </c>
      <c r="X35" s="54" t="e">
        <f>IF(AND('Mapa final'!#REF!="Media",'Mapa final'!#REF!="Moderado"),CONCATENATE("R10C",'Mapa final'!#REF!),"")</f>
        <v>#REF!</v>
      </c>
      <c r="Y35" s="54" t="e">
        <f>IF(AND('Mapa final'!#REF!="Media",'Mapa final'!#REF!="Moderado"),CONCATENATE("R10C",'Mapa final'!#REF!),"")</f>
        <v>#REF!</v>
      </c>
      <c r="Z35" s="54" t="e">
        <f>IF(AND('Mapa final'!#REF!="Media",'Mapa final'!#REF!="Moderado"),CONCATENATE("R10C",'Mapa final'!#REF!),"")</f>
        <v>#REF!</v>
      </c>
      <c r="AA35" s="55" t="e">
        <f>IF(AND('Mapa final'!#REF!="Media",'Mapa final'!#REF!="Moderado"),CONCATENATE("R10C",'Mapa final'!#REF!),"")</f>
        <v>#REF!</v>
      </c>
      <c r="AB35" s="44" t="e">
        <f>IF(AND('Mapa final'!#REF!="Media",'Mapa final'!#REF!="Mayor"),CONCATENATE("R10C",'Mapa final'!#REF!),"")</f>
        <v>#REF!</v>
      </c>
      <c r="AC35" s="45" t="e">
        <f>IF(AND('Mapa final'!#REF!="Media",'Mapa final'!#REF!="Mayor"),CONCATENATE("R10C",'Mapa final'!#REF!),"")</f>
        <v>#REF!</v>
      </c>
      <c r="AD35" s="45" t="e">
        <f>IF(AND('Mapa final'!#REF!="Media",'Mapa final'!#REF!="Mayor"),CONCATENATE("R10C",'Mapa final'!#REF!),"")</f>
        <v>#REF!</v>
      </c>
      <c r="AE35" s="45" t="e">
        <f>IF(AND('Mapa final'!#REF!="Media",'Mapa final'!#REF!="Mayor"),CONCATENATE("R10C",'Mapa final'!#REF!),"")</f>
        <v>#REF!</v>
      </c>
      <c r="AF35" s="45" t="e">
        <f>IF(AND('Mapa final'!#REF!="Media",'Mapa final'!#REF!="Mayor"),CONCATENATE("R10C",'Mapa final'!#REF!),"")</f>
        <v>#REF!</v>
      </c>
      <c r="AG35" s="46" t="e">
        <f>IF(AND('Mapa final'!#REF!="Media",'Mapa final'!#REF!="Mayor"),CONCATENATE("R10C",'Mapa final'!#REF!),"")</f>
        <v>#REF!</v>
      </c>
      <c r="AH35" s="47" t="e">
        <f>IF(AND('Mapa final'!#REF!="Media",'Mapa final'!#REF!="Catastrófico"),CONCATENATE("R10C",'Mapa final'!#REF!),"")</f>
        <v>#REF!</v>
      </c>
      <c r="AI35" s="48" t="e">
        <f>IF(AND('Mapa final'!#REF!="Media",'Mapa final'!#REF!="Catastrófico"),CONCATENATE("R10C",'Mapa final'!#REF!),"")</f>
        <v>#REF!</v>
      </c>
      <c r="AJ35" s="48" t="e">
        <f>IF(AND('Mapa final'!#REF!="Media",'Mapa final'!#REF!="Catastrófico"),CONCATENATE("R10C",'Mapa final'!#REF!),"")</f>
        <v>#REF!</v>
      </c>
      <c r="AK35" s="48" t="e">
        <f>IF(AND('Mapa final'!#REF!="Media",'Mapa final'!#REF!="Catastrófico"),CONCATENATE("R10C",'Mapa final'!#REF!),"")</f>
        <v>#REF!</v>
      </c>
      <c r="AL35" s="48" t="e">
        <f>IF(AND('Mapa final'!#REF!="Media",'Mapa final'!#REF!="Catastrófico"),CONCATENATE("R10C",'Mapa final'!#REF!),"")</f>
        <v>#REF!</v>
      </c>
      <c r="AM35" s="49" t="e">
        <f>IF(AND('Mapa final'!#REF!="Media",'Mapa final'!#REF!="Catastrófico"),CONCATENATE("R10C",'Mapa final'!#REF!),"")</f>
        <v>#REF!</v>
      </c>
      <c r="AN35" s="69"/>
      <c r="AO35" s="389"/>
      <c r="AP35" s="390"/>
      <c r="AQ35" s="390"/>
      <c r="AR35" s="390"/>
      <c r="AS35" s="390"/>
      <c r="AT35" s="391"/>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row>
    <row r="36" spans="1:80" ht="15" customHeight="1" x14ac:dyDescent="0.25">
      <c r="A36" s="69"/>
      <c r="B36" s="305"/>
      <c r="C36" s="305"/>
      <c r="D36" s="306"/>
      <c r="E36" s="343" t="s">
        <v>114</v>
      </c>
      <c r="F36" s="344"/>
      <c r="G36" s="344"/>
      <c r="H36" s="344"/>
      <c r="I36" s="344"/>
      <c r="J36" s="59" t="e">
        <f>IF(AND('Mapa final'!#REF!="Baja",'Mapa final'!#REF!="Leve"),CONCATENATE("R1C",'Mapa final'!#REF!),"")</f>
        <v>#REF!</v>
      </c>
      <c r="K36" s="60" t="e">
        <f>IF(AND('Mapa final'!#REF!="Baja",'Mapa final'!#REF!="Leve"),CONCATENATE("R1C",'Mapa final'!#REF!),"")</f>
        <v>#REF!</v>
      </c>
      <c r="L36" s="60" t="e">
        <f>IF(AND('Mapa final'!#REF!="Baja",'Mapa final'!#REF!="Leve"),CONCATENATE("R1C",'Mapa final'!#REF!),"")</f>
        <v>#REF!</v>
      </c>
      <c r="M36" s="60" t="e">
        <f>IF(AND('Mapa final'!#REF!="Baja",'Mapa final'!#REF!="Leve"),CONCATENATE("R1C",'Mapa final'!#REF!),"")</f>
        <v>#REF!</v>
      </c>
      <c r="N36" s="60" t="e">
        <f>IF(AND('Mapa final'!#REF!="Baja",'Mapa final'!#REF!="Leve"),CONCATENATE("R1C",'Mapa final'!#REF!),"")</f>
        <v>#REF!</v>
      </c>
      <c r="O36" s="61" t="e">
        <f>IF(AND('Mapa final'!#REF!="Baja",'Mapa final'!#REF!="Leve"),CONCATENATE("R1C",'Mapa final'!#REF!),"")</f>
        <v>#REF!</v>
      </c>
      <c r="P36" s="50" t="e">
        <f>IF(AND('Mapa final'!#REF!="Baja",'Mapa final'!#REF!="Menor"),CONCATENATE("R1C",'Mapa final'!#REF!),"")</f>
        <v>#REF!</v>
      </c>
      <c r="Q36" s="51" t="e">
        <f>IF(AND('Mapa final'!#REF!="Baja",'Mapa final'!#REF!="Menor"),CONCATENATE("R1C",'Mapa final'!#REF!),"")</f>
        <v>#REF!</v>
      </c>
      <c r="R36" s="51" t="e">
        <f>IF(AND('Mapa final'!#REF!="Baja",'Mapa final'!#REF!="Menor"),CONCATENATE("R1C",'Mapa final'!#REF!),"")</f>
        <v>#REF!</v>
      </c>
      <c r="S36" s="51" t="e">
        <f>IF(AND('Mapa final'!#REF!="Baja",'Mapa final'!#REF!="Menor"),CONCATENATE("R1C",'Mapa final'!#REF!),"")</f>
        <v>#REF!</v>
      </c>
      <c r="T36" s="51" t="e">
        <f>IF(AND('Mapa final'!#REF!="Baja",'Mapa final'!#REF!="Menor"),CONCATENATE("R1C",'Mapa final'!#REF!),"")</f>
        <v>#REF!</v>
      </c>
      <c r="U36" s="52" t="e">
        <f>IF(AND('Mapa final'!#REF!="Baja",'Mapa final'!#REF!="Menor"),CONCATENATE("R1C",'Mapa final'!#REF!),"")</f>
        <v>#REF!</v>
      </c>
      <c r="V36" s="50" t="e">
        <f>IF(AND('Mapa final'!#REF!="Baja",'Mapa final'!#REF!="Moderado"),CONCATENATE("R1C",'Mapa final'!#REF!),"")</f>
        <v>#REF!</v>
      </c>
      <c r="W36" s="51" t="e">
        <f>IF(AND('Mapa final'!#REF!="Baja",'Mapa final'!#REF!="Moderado"),CONCATENATE("R1C",'Mapa final'!#REF!),"")</f>
        <v>#REF!</v>
      </c>
      <c r="X36" s="51" t="e">
        <f>IF(AND('Mapa final'!#REF!="Baja",'Mapa final'!#REF!="Moderado"),CONCATENATE("R1C",'Mapa final'!#REF!),"")</f>
        <v>#REF!</v>
      </c>
      <c r="Y36" s="51" t="e">
        <f>IF(AND('Mapa final'!#REF!="Baja",'Mapa final'!#REF!="Moderado"),CONCATENATE("R1C",'Mapa final'!#REF!),"")</f>
        <v>#REF!</v>
      </c>
      <c r="Z36" s="51" t="e">
        <f>IF(AND('Mapa final'!#REF!="Baja",'Mapa final'!#REF!="Moderado"),CONCATENATE("R1C",'Mapa final'!#REF!),"")</f>
        <v>#REF!</v>
      </c>
      <c r="AA36" s="52" t="e">
        <f>IF(AND('Mapa final'!#REF!="Baja",'Mapa final'!#REF!="Moderado"),CONCATENATE("R1C",'Mapa final'!#REF!),"")</f>
        <v>#REF!</v>
      </c>
      <c r="AB36" s="32" t="e">
        <f>IF(AND('Mapa final'!#REF!="Baja",'Mapa final'!#REF!="Mayor"),CONCATENATE("R1C",'Mapa final'!#REF!),"")</f>
        <v>#REF!</v>
      </c>
      <c r="AC36" s="33" t="e">
        <f>IF(AND('Mapa final'!#REF!="Baja",'Mapa final'!#REF!="Mayor"),CONCATENATE("R1C",'Mapa final'!#REF!),"")</f>
        <v>#REF!</v>
      </c>
      <c r="AD36" s="33" t="e">
        <f>IF(AND('Mapa final'!#REF!="Baja",'Mapa final'!#REF!="Mayor"),CONCATENATE("R1C",'Mapa final'!#REF!),"")</f>
        <v>#REF!</v>
      </c>
      <c r="AE36" s="33" t="e">
        <f>IF(AND('Mapa final'!#REF!="Baja",'Mapa final'!#REF!="Mayor"),CONCATENATE("R1C",'Mapa final'!#REF!),"")</f>
        <v>#REF!</v>
      </c>
      <c r="AF36" s="33" t="e">
        <f>IF(AND('Mapa final'!#REF!="Baja",'Mapa final'!#REF!="Mayor"),CONCATENATE("R1C",'Mapa final'!#REF!),"")</f>
        <v>#REF!</v>
      </c>
      <c r="AG36" s="34" t="e">
        <f>IF(AND('Mapa final'!#REF!="Baja",'Mapa final'!#REF!="Mayor"),CONCATENATE("R1C",'Mapa final'!#REF!),"")</f>
        <v>#REF!</v>
      </c>
      <c r="AH36" s="35" t="e">
        <f>IF(AND('Mapa final'!#REF!="Baja",'Mapa final'!#REF!="Catastrófico"),CONCATENATE("R1C",'Mapa final'!#REF!),"")</f>
        <v>#REF!</v>
      </c>
      <c r="AI36" s="36" t="e">
        <f>IF(AND('Mapa final'!#REF!="Baja",'Mapa final'!#REF!="Catastrófico"),CONCATENATE("R1C",'Mapa final'!#REF!),"")</f>
        <v>#REF!</v>
      </c>
      <c r="AJ36" s="36" t="e">
        <f>IF(AND('Mapa final'!#REF!="Baja",'Mapa final'!#REF!="Catastrófico"),CONCATENATE("R1C",'Mapa final'!#REF!),"")</f>
        <v>#REF!</v>
      </c>
      <c r="AK36" s="36" t="e">
        <f>IF(AND('Mapa final'!#REF!="Baja",'Mapa final'!#REF!="Catastrófico"),CONCATENATE("R1C",'Mapa final'!#REF!),"")</f>
        <v>#REF!</v>
      </c>
      <c r="AL36" s="36" t="e">
        <f>IF(AND('Mapa final'!#REF!="Baja",'Mapa final'!#REF!="Catastrófico"),CONCATENATE("R1C",'Mapa final'!#REF!),"")</f>
        <v>#REF!</v>
      </c>
      <c r="AM36" s="37" t="e">
        <f>IF(AND('Mapa final'!#REF!="Baja",'Mapa final'!#REF!="Catastrófico"),CONCATENATE("R1C",'Mapa final'!#REF!),"")</f>
        <v>#REF!</v>
      </c>
      <c r="AN36" s="69"/>
      <c r="AO36" s="374" t="s">
        <v>82</v>
      </c>
      <c r="AP36" s="375"/>
      <c r="AQ36" s="375"/>
      <c r="AR36" s="375"/>
      <c r="AS36" s="375"/>
      <c r="AT36" s="376"/>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row>
    <row r="37" spans="1:80" ht="15" customHeight="1" x14ac:dyDescent="0.25">
      <c r="A37" s="69"/>
      <c r="B37" s="305"/>
      <c r="C37" s="305"/>
      <c r="D37" s="306"/>
      <c r="E37" s="362"/>
      <c r="F37" s="347"/>
      <c r="G37" s="347"/>
      <c r="H37" s="347"/>
      <c r="I37" s="347"/>
      <c r="J37" s="62" t="e">
        <f>IF(AND('Mapa final'!#REF!="Baja",'Mapa final'!#REF!="Leve"),CONCATENATE("R2C",'Mapa final'!#REF!),"")</f>
        <v>#REF!</v>
      </c>
      <c r="K37" s="63" t="e">
        <f>IF(AND('Mapa final'!#REF!="Baja",'Mapa final'!#REF!="Leve"),CONCATENATE("R2C",'Mapa final'!#REF!),"")</f>
        <v>#REF!</v>
      </c>
      <c r="L37" s="63" t="e">
        <f>IF(AND('Mapa final'!#REF!="Baja",'Mapa final'!#REF!="Leve"),CONCATENATE("R2C",'Mapa final'!#REF!),"")</f>
        <v>#REF!</v>
      </c>
      <c r="M37" s="63" t="e">
        <f>IF(AND('Mapa final'!#REF!="Baja",'Mapa final'!#REF!="Leve"),CONCATENATE("R2C",'Mapa final'!#REF!),"")</f>
        <v>#REF!</v>
      </c>
      <c r="N37" s="63" t="e">
        <f>IF(AND('Mapa final'!#REF!="Baja",'Mapa final'!#REF!="Leve"),CONCATENATE("R2C",'Mapa final'!#REF!),"")</f>
        <v>#REF!</v>
      </c>
      <c r="O37" s="64" t="e">
        <f>IF(AND('Mapa final'!#REF!="Baja",'Mapa final'!#REF!="Leve"),CONCATENATE("R2C",'Mapa final'!#REF!),"")</f>
        <v>#REF!</v>
      </c>
      <c r="P37" s="53" t="e">
        <f>IF(AND('Mapa final'!#REF!="Baja",'Mapa final'!#REF!="Menor"),CONCATENATE("R2C",'Mapa final'!#REF!),"")</f>
        <v>#REF!</v>
      </c>
      <c r="Q37" s="54" t="e">
        <f>IF(AND('Mapa final'!#REF!="Baja",'Mapa final'!#REF!="Menor"),CONCATENATE("R2C",'Mapa final'!#REF!),"")</f>
        <v>#REF!</v>
      </c>
      <c r="R37" s="54" t="e">
        <f>IF(AND('Mapa final'!#REF!="Baja",'Mapa final'!#REF!="Menor"),CONCATENATE("R2C",'Mapa final'!#REF!),"")</f>
        <v>#REF!</v>
      </c>
      <c r="S37" s="54" t="e">
        <f>IF(AND('Mapa final'!#REF!="Baja",'Mapa final'!#REF!="Menor"),CONCATENATE("R2C",'Mapa final'!#REF!),"")</f>
        <v>#REF!</v>
      </c>
      <c r="T37" s="54" t="e">
        <f>IF(AND('Mapa final'!#REF!="Baja",'Mapa final'!#REF!="Menor"),CONCATENATE("R2C",'Mapa final'!#REF!),"")</f>
        <v>#REF!</v>
      </c>
      <c r="U37" s="55" t="e">
        <f>IF(AND('Mapa final'!#REF!="Baja",'Mapa final'!#REF!="Menor"),CONCATENATE("R2C",'Mapa final'!#REF!),"")</f>
        <v>#REF!</v>
      </c>
      <c r="V37" s="53" t="e">
        <f>IF(AND('Mapa final'!#REF!="Baja",'Mapa final'!#REF!="Moderado"),CONCATENATE("R2C",'Mapa final'!#REF!),"")</f>
        <v>#REF!</v>
      </c>
      <c r="W37" s="54" t="e">
        <f>IF(AND('Mapa final'!#REF!="Baja",'Mapa final'!#REF!="Moderado"),CONCATENATE("R2C",'Mapa final'!#REF!),"")</f>
        <v>#REF!</v>
      </c>
      <c r="X37" s="54" t="e">
        <f>IF(AND('Mapa final'!#REF!="Baja",'Mapa final'!#REF!="Moderado"),CONCATENATE("R2C",'Mapa final'!#REF!),"")</f>
        <v>#REF!</v>
      </c>
      <c r="Y37" s="54" t="e">
        <f>IF(AND('Mapa final'!#REF!="Baja",'Mapa final'!#REF!="Moderado"),CONCATENATE("R2C",'Mapa final'!#REF!),"")</f>
        <v>#REF!</v>
      </c>
      <c r="Z37" s="54" t="e">
        <f>IF(AND('Mapa final'!#REF!="Baja",'Mapa final'!#REF!="Moderado"),CONCATENATE("R2C",'Mapa final'!#REF!),"")</f>
        <v>#REF!</v>
      </c>
      <c r="AA37" s="55" t="e">
        <f>IF(AND('Mapa final'!#REF!="Baja",'Mapa final'!#REF!="Moderado"),CONCATENATE("R2C",'Mapa final'!#REF!),"")</f>
        <v>#REF!</v>
      </c>
      <c r="AB37" s="38" t="e">
        <f>IF(AND('Mapa final'!#REF!="Baja",'Mapa final'!#REF!="Mayor"),CONCATENATE("R2C",'Mapa final'!#REF!),"")</f>
        <v>#REF!</v>
      </c>
      <c r="AC37" s="39" t="e">
        <f>IF(AND('Mapa final'!#REF!="Baja",'Mapa final'!#REF!="Mayor"),CONCATENATE("R2C",'Mapa final'!#REF!),"")</f>
        <v>#REF!</v>
      </c>
      <c r="AD37" s="39" t="e">
        <f>IF(AND('Mapa final'!#REF!="Baja",'Mapa final'!#REF!="Mayor"),CONCATENATE("R2C",'Mapa final'!#REF!),"")</f>
        <v>#REF!</v>
      </c>
      <c r="AE37" s="39" t="e">
        <f>IF(AND('Mapa final'!#REF!="Baja",'Mapa final'!#REF!="Mayor"),CONCATENATE("R2C",'Mapa final'!#REF!),"")</f>
        <v>#REF!</v>
      </c>
      <c r="AF37" s="39" t="e">
        <f>IF(AND('Mapa final'!#REF!="Baja",'Mapa final'!#REF!="Mayor"),CONCATENATE("R2C",'Mapa final'!#REF!),"")</f>
        <v>#REF!</v>
      </c>
      <c r="AG37" s="40" t="e">
        <f>IF(AND('Mapa final'!#REF!="Baja",'Mapa final'!#REF!="Mayor"),CONCATENATE("R2C",'Mapa final'!#REF!),"")</f>
        <v>#REF!</v>
      </c>
      <c r="AH37" s="41" t="e">
        <f>IF(AND('Mapa final'!#REF!="Baja",'Mapa final'!#REF!="Catastrófico"),CONCATENATE("R2C",'Mapa final'!#REF!),"")</f>
        <v>#REF!</v>
      </c>
      <c r="AI37" s="42" t="e">
        <f>IF(AND('Mapa final'!#REF!="Baja",'Mapa final'!#REF!="Catastrófico"),CONCATENATE("R2C",'Mapa final'!#REF!),"")</f>
        <v>#REF!</v>
      </c>
      <c r="AJ37" s="42" t="e">
        <f>IF(AND('Mapa final'!#REF!="Baja",'Mapa final'!#REF!="Catastrófico"),CONCATENATE("R2C",'Mapa final'!#REF!),"")</f>
        <v>#REF!</v>
      </c>
      <c r="AK37" s="42" t="e">
        <f>IF(AND('Mapa final'!#REF!="Baja",'Mapa final'!#REF!="Catastrófico"),CONCATENATE("R2C",'Mapa final'!#REF!),"")</f>
        <v>#REF!</v>
      </c>
      <c r="AL37" s="42" t="e">
        <f>IF(AND('Mapa final'!#REF!="Baja",'Mapa final'!#REF!="Catastrófico"),CONCATENATE("R2C",'Mapa final'!#REF!),"")</f>
        <v>#REF!</v>
      </c>
      <c r="AM37" s="43" t="e">
        <f>IF(AND('Mapa final'!#REF!="Baja",'Mapa final'!#REF!="Catastrófico"),CONCATENATE("R2C",'Mapa final'!#REF!),"")</f>
        <v>#REF!</v>
      </c>
      <c r="AN37" s="69"/>
      <c r="AO37" s="377"/>
      <c r="AP37" s="378"/>
      <c r="AQ37" s="378"/>
      <c r="AR37" s="378"/>
      <c r="AS37" s="378"/>
      <c r="AT37" s="379"/>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row>
    <row r="38" spans="1:80" ht="15" customHeight="1" x14ac:dyDescent="0.25">
      <c r="A38" s="69"/>
      <c r="B38" s="305"/>
      <c r="C38" s="305"/>
      <c r="D38" s="306"/>
      <c r="E38" s="346"/>
      <c r="F38" s="347"/>
      <c r="G38" s="347"/>
      <c r="H38" s="347"/>
      <c r="I38" s="347"/>
      <c r="J38" s="62" t="e">
        <f>IF(AND('Mapa final'!#REF!="Baja",'Mapa final'!#REF!="Leve"),CONCATENATE("R3C",'Mapa final'!#REF!),"")</f>
        <v>#REF!</v>
      </c>
      <c r="K38" s="63" t="e">
        <f>IF(AND('Mapa final'!#REF!="Baja",'Mapa final'!#REF!="Leve"),CONCATENATE("R3C",'Mapa final'!#REF!),"")</f>
        <v>#REF!</v>
      </c>
      <c r="L38" s="63" t="e">
        <f>IF(AND('Mapa final'!#REF!="Baja",'Mapa final'!#REF!="Leve"),CONCATENATE("R3C",'Mapa final'!#REF!),"")</f>
        <v>#REF!</v>
      </c>
      <c r="M38" s="63" t="e">
        <f>IF(AND('Mapa final'!#REF!="Baja",'Mapa final'!#REF!="Leve"),CONCATENATE("R3C",'Mapa final'!#REF!),"")</f>
        <v>#REF!</v>
      </c>
      <c r="N38" s="63" t="e">
        <f>IF(AND('Mapa final'!#REF!="Baja",'Mapa final'!#REF!="Leve"),CONCATENATE("R3C",'Mapa final'!#REF!),"")</f>
        <v>#REF!</v>
      </c>
      <c r="O38" s="64" t="e">
        <f>IF(AND('Mapa final'!#REF!="Baja",'Mapa final'!#REF!="Leve"),CONCATENATE("R3C",'Mapa final'!#REF!),"")</f>
        <v>#REF!</v>
      </c>
      <c r="P38" s="53" t="e">
        <f>IF(AND('Mapa final'!#REF!="Baja",'Mapa final'!#REF!="Menor"),CONCATENATE("R3C",'Mapa final'!#REF!),"")</f>
        <v>#REF!</v>
      </c>
      <c r="Q38" s="54" t="e">
        <f>IF(AND('Mapa final'!#REF!="Baja",'Mapa final'!#REF!="Menor"),CONCATENATE("R3C",'Mapa final'!#REF!),"")</f>
        <v>#REF!</v>
      </c>
      <c r="R38" s="54" t="e">
        <f>IF(AND('Mapa final'!#REF!="Baja",'Mapa final'!#REF!="Menor"),CONCATENATE("R3C",'Mapa final'!#REF!),"")</f>
        <v>#REF!</v>
      </c>
      <c r="S38" s="54" t="e">
        <f>IF(AND('Mapa final'!#REF!="Baja",'Mapa final'!#REF!="Menor"),CONCATENATE("R3C",'Mapa final'!#REF!),"")</f>
        <v>#REF!</v>
      </c>
      <c r="T38" s="54" t="e">
        <f>IF(AND('Mapa final'!#REF!="Baja",'Mapa final'!#REF!="Menor"),CONCATENATE("R3C",'Mapa final'!#REF!),"")</f>
        <v>#REF!</v>
      </c>
      <c r="U38" s="55" t="e">
        <f>IF(AND('Mapa final'!#REF!="Baja",'Mapa final'!#REF!="Menor"),CONCATENATE("R3C",'Mapa final'!#REF!),"")</f>
        <v>#REF!</v>
      </c>
      <c r="V38" s="53" t="e">
        <f>IF(AND('Mapa final'!#REF!="Baja",'Mapa final'!#REF!="Moderado"),CONCATENATE("R3C",'Mapa final'!#REF!),"")</f>
        <v>#REF!</v>
      </c>
      <c r="W38" s="54" t="e">
        <f>IF(AND('Mapa final'!#REF!="Baja",'Mapa final'!#REF!="Moderado"),CONCATENATE("R3C",'Mapa final'!#REF!),"")</f>
        <v>#REF!</v>
      </c>
      <c r="X38" s="54" t="e">
        <f>IF(AND('Mapa final'!#REF!="Baja",'Mapa final'!#REF!="Moderado"),CONCATENATE("R3C",'Mapa final'!#REF!),"")</f>
        <v>#REF!</v>
      </c>
      <c r="Y38" s="54" t="e">
        <f>IF(AND('Mapa final'!#REF!="Baja",'Mapa final'!#REF!="Moderado"),CONCATENATE("R3C",'Mapa final'!#REF!),"")</f>
        <v>#REF!</v>
      </c>
      <c r="Z38" s="54" t="e">
        <f>IF(AND('Mapa final'!#REF!="Baja",'Mapa final'!#REF!="Moderado"),CONCATENATE("R3C",'Mapa final'!#REF!),"")</f>
        <v>#REF!</v>
      </c>
      <c r="AA38" s="55" t="e">
        <f>IF(AND('Mapa final'!#REF!="Baja",'Mapa final'!#REF!="Moderado"),CONCATENATE("R3C",'Mapa final'!#REF!),"")</f>
        <v>#REF!</v>
      </c>
      <c r="AB38" s="38" t="e">
        <f>IF(AND('Mapa final'!#REF!="Baja",'Mapa final'!#REF!="Mayor"),CONCATENATE("R3C",'Mapa final'!#REF!),"")</f>
        <v>#REF!</v>
      </c>
      <c r="AC38" s="39" t="e">
        <f>IF(AND('Mapa final'!#REF!="Baja",'Mapa final'!#REF!="Mayor"),CONCATENATE("R3C",'Mapa final'!#REF!),"")</f>
        <v>#REF!</v>
      </c>
      <c r="AD38" s="39" t="e">
        <f>IF(AND('Mapa final'!#REF!="Baja",'Mapa final'!#REF!="Mayor"),CONCATENATE("R3C",'Mapa final'!#REF!),"")</f>
        <v>#REF!</v>
      </c>
      <c r="AE38" s="39" t="e">
        <f>IF(AND('Mapa final'!#REF!="Baja",'Mapa final'!#REF!="Mayor"),CONCATENATE("R3C",'Mapa final'!#REF!),"")</f>
        <v>#REF!</v>
      </c>
      <c r="AF38" s="39" t="e">
        <f>IF(AND('Mapa final'!#REF!="Baja",'Mapa final'!#REF!="Mayor"),CONCATENATE("R3C",'Mapa final'!#REF!),"")</f>
        <v>#REF!</v>
      </c>
      <c r="AG38" s="40" t="e">
        <f>IF(AND('Mapa final'!#REF!="Baja",'Mapa final'!#REF!="Mayor"),CONCATENATE("R3C",'Mapa final'!#REF!),"")</f>
        <v>#REF!</v>
      </c>
      <c r="AH38" s="41" t="e">
        <f>IF(AND('Mapa final'!#REF!="Baja",'Mapa final'!#REF!="Catastrófico"),CONCATENATE("R3C",'Mapa final'!#REF!),"")</f>
        <v>#REF!</v>
      </c>
      <c r="AI38" s="42" t="e">
        <f>IF(AND('Mapa final'!#REF!="Baja",'Mapa final'!#REF!="Catastrófico"),CONCATENATE("R3C",'Mapa final'!#REF!),"")</f>
        <v>#REF!</v>
      </c>
      <c r="AJ38" s="42" t="e">
        <f>IF(AND('Mapa final'!#REF!="Baja",'Mapa final'!#REF!="Catastrófico"),CONCATENATE("R3C",'Mapa final'!#REF!),"")</f>
        <v>#REF!</v>
      </c>
      <c r="AK38" s="42" t="e">
        <f>IF(AND('Mapa final'!#REF!="Baja",'Mapa final'!#REF!="Catastrófico"),CONCATENATE("R3C",'Mapa final'!#REF!),"")</f>
        <v>#REF!</v>
      </c>
      <c r="AL38" s="42" t="e">
        <f>IF(AND('Mapa final'!#REF!="Baja",'Mapa final'!#REF!="Catastrófico"),CONCATENATE("R3C",'Mapa final'!#REF!),"")</f>
        <v>#REF!</v>
      </c>
      <c r="AM38" s="43" t="e">
        <f>IF(AND('Mapa final'!#REF!="Baja",'Mapa final'!#REF!="Catastrófico"),CONCATENATE("R3C",'Mapa final'!#REF!),"")</f>
        <v>#REF!</v>
      </c>
      <c r="AN38" s="69"/>
      <c r="AO38" s="377"/>
      <c r="AP38" s="378"/>
      <c r="AQ38" s="378"/>
      <c r="AR38" s="378"/>
      <c r="AS38" s="378"/>
      <c r="AT38" s="37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row>
    <row r="39" spans="1:80" ht="15" customHeight="1" x14ac:dyDescent="0.25">
      <c r="A39" s="69"/>
      <c r="B39" s="305"/>
      <c r="C39" s="305"/>
      <c r="D39" s="306"/>
      <c r="E39" s="346"/>
      <c r="F39" s="347"/>
      <c r="G39" s="347"/>
      <c r="H39" s="347"/>
      <c r="I39" s="347"/>
      <c r="J39" s="62" t="str">
        <f>IF(AND('Mapa final'!$Y$13="Baja",'Mapa final'!$AA$13="Leve"),CONCATENATE("R4C",'Mapa final'!$O$13),"")</f>
        <v/>
      </c>
      <c r="K39" s="63" t="str">
        <f>IF(AND('Mapa final'!$Y$14="Baja",'Mapa final'!$AA$14="Leve"),CONCATENATE("R4C",'Mapa final'!$O$14),"")</f>
        <v>R4C2</v>
      </c>
      <c r="L39" s="63" t="str">
        <f>IF(AND('Mapa final'!$Y$15="Baja",'Mapa final'!$AA$15="Leve"),CONCATENATE("R4C",'Mapa final'!$O$15),"")</f>
        <v/>
      </c>
      <c r="M39" s="63" t="str">
        <f>IF(AND('Mapa final'!$Y$16="Baja",'Mapa final'!$AA$16="Leve"),CONCATENATE("R4C",'Mapa final'!$O$16),"")</f>
        <v/>
      </c>
      <c r="N39" s="63" t="str">
        <f>IF(AND('Mapa final'!$Y$17="Baja",'Mapa final'!$AA$17="Leve"),CONCATENATE("R4C",'Mapa final'!$O$17),"")</f>
        <v/>
      </c>
      <c r="O39" s="64" t="str">
        <f>IF(AND('Mapa final'!$Y$18="Baja",'Mapa final'!$AA$18="Leve"),CONCATENATE("R4C",'Mapa final'!$O$18),"")</f>
        <v/>
      </c>
      <c r="P39" s="53" t="str">
        <f>IF(AND('Mapa final'!$Y$13="Baja",'Mapa final'!$AA$13="Menor"),CONCATENATE("R4C",'Mapa final'!$O$13),"")</f>
        <v/>
      </c>
      <c r="Q39" s="54" t="str">
        <f>IF(AND('Mapa final'!$Y$14="Baja",'Mapa final'!$AA$14="Menor"),CONCATENATE("R4C",'Mapa final'!$O$14),"")</f>
        <v/>
      </c>
      <c r="R39" s="54" t="str">
        <f>IF(AND('Mapa final'!$Y$15="Baja",'Mapa final'!$AA$15="Menor"),CONCATENATE("R4C",'Mapa final'!$O$15),"")</f>
        <v/>
      </c>
      <c r="S39" s="54" t="str">
        <f>IF(AND('Mapa final'!$Y$16="Baja",'Mapa final'!$AA$16="Menor"),CONCATENATE("R4C",'Mapa final'!$O$16),"")</f>
        <v/>
      </c>
      <c r="T39" s="54" t="str">
        <f>IF(AND('Mapa final'!$Y$17="Baja",'Mapa final'!$AA$17="Menor"),CONCATENATE("R4C",'Mapa final'!$O$17),"")</f>
        <v/>
      </c>
      <c r="U39" s="55" t="str">
        <f>IF(AND('Mapa final'!$Y$18="Baja",'Mapa final'!$AA$18="Menor"),CONCATENATE("R4C",'Mapa final'!$O$18),"")</f>
        <v/>
      </c>
      <c r="V39" s="53" t="str">
        <f>IF(AND('Mapa final'!$Y$13="Baja",'Mapa final'!$AA$13="Moderado"),CONCATENATE("R4C",'Mapa final'!$O$13),"")</f>
        <v/>
      </c>
      <c r="W39" s="54" t="str">
        <f>IF(AND('Mapa final'!$Y$14="Baja",'Mapa final'!$AA$14="Moderado"),CONCATENATE("R4C",'Mapa final'!$O$14),"")</f>
        <v/>
      </c>
      <c r="X39" s="54" t="str">
        <f>IF(AND('Mapa final'!$Y$15="Baja",'Mapa final'!$AA$15="Moderado"),CONCATENATE("R4C",'Mapa final'!$O$15),"")</f>
        <v/>
      </c>
      <c r="Y39" s="54" t="str">
        <f>IF(AND('Mapa final'!$Y$16="Baja",'Mapa final'!$AA$16="Moderado"),CONCATENATE("R4C",'Mapa final'!$O$16),"")</f>
        <v/>
      </c>
      <c r="Z39" s="54" t="str">
        <f>IF(AND('Mapa final'!$Y$17="Baja",'Mapa final'!$AA$17="Moderado"),CONCATENATE("R4C",'Mapa final'!$O$17),"")</f>
        <v/>
      </c>
      <c r="AA39" s="55" t="str">
        <f>IF(AND('Mapa final'!$Y$18="Baja",'Mapa final'!$AA$18="Moderado"),CONCATENATE("R4C",'Mapa final'!$O$18),"")</f>
        <v/>
      </c>
      <c r="AB39" s="38" t="str">
        <f>IF(AND('Mapa final'!$Y$13="Baja",'Mapa final'!$AA$13="Mayor"),CONCATENATE("R4C",'Mapa final'!$O$13),"")</f>
        <v/>
      </c>
      <c r="AC39" s="39" t="str">
        <f>IF(AND('Mapa final'!$Y$14="Baja",'Mapa final'!$AA$14="Mayor"),CONCATENATE("R4C",'Mapa final'!$O$14),"")</f>
        <v/>
      </c>
      <c r="AD39" s="39" t="str">
        <f>IF(AND('Mapa final'!$Y$15="Baja",'Mapa final'!$AA$15="Mayor"),CONCATENATE("R4C",'Mapa final'!$O$15),"")</f>
        <v/>
      </c>
      <c r="AE39" s="39" t="str">
        <f>IF(AND('Mapa final'!$Y$16="Baja",'Mapa final'!$AA$16="Mayor"),CONCATENATE("R4C",'Mapa final'!$O$16),"")</f>
        <v/>
      </c>
      <c r="AF39" s="39" t="str">
        <f>IF(AND('Mapa final'!$Y$17="Baja",'Mapa final'!$AA$17="Mayor"),CONCATENATE("R4C",'Mapa final'!$O$17),"")</f>
        <v/>
      </c>
      <c r="AG39" s="40" t="str">
        <f>IF(AND('Mapa final'!$Y$18="Baja",'Mapa final'!$AA$18="Mayor"),CONCATENATE("R4C",'Mapa final'!$O$18),"")</f>
        <v/>
      </c>
      <c r="AH39" s="41" t="str">
        <f>IF(AND('Mapa final'!$Y$13="Baja",'Mapa final'!$AA$13="Catastrófico"),CONCATENATE("R4C",'Mapa final'!$O$13),"")</f>
        <v/>
      </c>
      <c r="AI39" s="42" t="str">
        <f>IF(AND('Mapa final'!$Y$14="Baja",'Mapa final'!$AA$14="Catastrófico"),CONCATENATE("R4C",'Mapa final'!$O$14),"")</f>
        <v/>
      </c>
      <c r="AJ39" s="42" t="str">
        <f>IF(AND('Mapa final'!$Y$15="Baja",'Mapa final'!$AA$15="Catastrófico"),CONCATENATE("R4C",'Mapa final'!$O$15),"")</f>
        <v/>
      </c>
      <c r="AK39" s="42" t="str">
        <f>IF(AND('Mapa final'!$Y$16="Baja",'Mapa final'!$AA$16="Catastrófico"),CONCATENATE("R4C",'Mapa final'!$O$16),"")</f>
        <v/>
      </c>
      <c r="AL39" s="42" t="str">
        <f>IF(AND('Mapa final'!$Y$17="Baja",'Mapa final'!$AA$17="Catastrófico"),CONCATENATE("R4C",'Mapa final'!$O$17),"")</f>
        <v/>
      </c>
      <c r="AM39" s="43" t="str">
        <f>IF(AND('Mapa final'!$Y$18="Baja",'Mapa final'!$AA$18="Catastrófico"),CONCATENATE("R4C",'Mapa final'!$O$18),"")</f>
        <v/>
      </c>
      <c r="AN39" s="69"/>
      <c r="AO39" s="377"/>
      <c r="AP39" s="378"/>
      <c r="AQ39" s="378"/>
      <c r="AR39" s="378"/>
      <c r="AS39" s="378"/>
      <c r="AT39" s="37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row>
    <row r="40" spans="1:80" ht="15" customHeight="1" x14ac:dyDescent="0.25">
      <c r="A40" s="69"/>
      <c r="B40" s="305"/>
      <c r="C40" s="305"/>
      <c r="D40" s="306"/>
      <c r="E40" s="346"/>
      <c r="F40" s="347"/>
      <c r="G40" s="347"/>
      <c r="H40" s="347"/>
      <c r="I40" s="347"/>
      <c r="J40" s="62" t="e">
        <f>IF(AND('Mapa final'!#REF!="Baja",'Mapa final'!#REF!="Leve"),CONCATENATE("R5C",'Mapa final'!#REF!),"")</f>
        <v>#REF!</v>
      </c>
      <c r="K40" s="63" t="e">
        <f>IF(AND('Mapa final'!#REF!="Baja",'Mapa final'!#REF!="Leve"),CONCATENATE("R5C",'Mapa final'!#REF!),"")</f>
        <v>#REF!</v>
      </c>
      <c r="L40" s="63" t="e">
        <f>IF(AND('Mapa final'!#REF!="Baja",'Mapa final'!#REF!="Leve"),CONCATENATE("R5C",'Mapa final'!#REF!),"")</f>
        <v>#REF!</v>
      </c>
      <c r="M40" s="63" t="e">
        <f>IF(AND('Mapa final'!#REF!="Baja",'Mapa final'!#REF!="Leve"),CONCATENATE("R5C",'Mapa final'!#REF!),"")</f>
        <v>#REF!</v>
      </c>
      <c r="N40" s="63" t="e">
        <f>IF(AND('Mapa final'!#REF!="Baja",'Mapa final'!#REF!="Leve"),CONCATENATE("R5C",'Mapa final'!#REF!),"")</f>
        <v>#REF!</v>
      </c>
      <c r="O40" s="64" t="e">
        <f>IF(AND('Mapa final'!#REF!="Baja",'Mapa final'!#REF!="Leve"),CONCATENATE("R5C",'Mapa final'!#REF!),"")</f>
        <v>#REF!</v>
      </c>
      <c r="P40" s="53" t="e">
        <f>IF(AND('Mapa final'!#REF!="Baja",'Mapa final'!#REF!="Menor"),CONCATENATE("R5C",'Mapa final'!#REF!),"")</f>
        <v>#REF!</v>
      </c>
      <c r="Q40" s="54" t="e">
        <f>IF(AND('Mapa final'!#REF!="Baja",'Mapa final'!#REF!="Menor"),CONCATENATE("R5C",'Mapa final'!#REF!),"")</f>
        <v>#REF!</v>
      </c>
      <c r="R40" s="54" t="e">
        <f>IF(AND('Mapa final'!#REF!="Baja",'Mapa final'!#REF!="Menor"),CONCATENATE("R5C",'Mapa final'!#REF!),"")</f>
        <v>#REF!</v>
      </c>
      <c r="S40" s="54" t="e">
        <f>IF(AND('Mapa final'!#REF!="Baja",'Mapa final'!#REF!="Menor"),CONCATENATE("R5C",'Mapa final'!#REF!),"")</f>
        <v>#REF!</v>
      </c>
      <c r="T40" s="54" t="e">
        <f>IF(AND('Mapa final'!#REF!="Baja",'Mapa final'!#REF!="Menor"),CONCATENATE("R5C",'Mapa final'!#REF!),"")</f>
        <v>#REF!</v>
      </c>
      <c r="U40" s="55" t="e">
        <f>IF(AND('Mapa final'!#REF!="Baja",'Mapa final'!#REF!="Menor"),CONCATENATE("R5C",'Mapa final'!#REF!),"")</f>
        <v>#REF!</v>
      </c>
      <c r="V40" s="53" t="e">
        <f>IF(AND('Mapa final'!#REF!="Baja",'Mapa final'!#REF!="Moderado"),CONCATENATE("R5C",'Mapa final'!#REF!),"")</f>
        <v>#REF!</v>
      </c>
      <c r="W40" s="54" t="e">
        <f>IF(AND('Mapa final'!#REF!="Baja",'Mapa final'!#REF!="Moderado"),CONCATENATE("R5C",'Mapa final'!#REF!),"")</f>
        <v>#REF!</v>
      </c>
      <c r="X40" s="54" t="e">
        <f>IF(AND('Mapa final'!#REF!="Baja",'Mapa final'!#REF!="Moderado"),CONCATENATE("R5C",'Mapa final'!#REF!),"")</f>
        <v>#REF!</v>
      </c>
      <c r="Y40" s="54" t="e">
        <f>IF(AND('Mapa final'!#REF!="Baja",'Mapa final'!#REF!="Moderado"),CONCATENATE("R5C",'Mapa final'!#REF!),"")</f>
        <v>#REF!</v>
      </c>
      <c r="Z40" s="54" t="e">
        <f>IF(AND('Mapa final'!#REF!="Baja",'Mapa final'!#REF!="Moderado"),CONCATENATE("R5C",'Mapa final'!#REF!),"")</f>
        <v>#REF!</v>
      </c>
      <c r="AA40" s="55" t="e">
        <f>IF(AND('Mapa final'!#REF!="Baja",'Mapa final'!#REF!="Moderado"),CONCATENATE("R5C",'Mapa final'!#REF!),"")</f>
        <v>#REF!</v>
      </c>
      <c r="AB40" s="38" t="e">
        <f>IF(AND('Mapa final'!#REF!="Baja",'Mapa final'!#REF!="Mayor"),CONCATENATE("R5C",'Mapa final'!#REF!),"")</f>
        <v>#REF!</v>
      </c>
      <c r="AC40" s="39" t="e">
        <f>IF(AND('Mapa final'!#REF!="Baja",'Mapa final'!#REF!="Mayor"),CONCATENATE("R5C",'Mapa final'!#REF!),"")</f>
        <v>#REF!</v>
      </c>
      <c r="AD40" s="39" t="e">
        <f>IF(AND('Mapa final'!#REF!="Baja",'Mapa final'!#REF!="Mayor"),CONCATENATE("R5C",'Mapa final'!#REF!),"")</f>
        <v>#REF!</v>
      </c>
      <c r="AE40" s="39" t="e">
        <f>IF(AND('Mapa final'!#REF!="Baja",'Mapa final'!#REF!="Mayor"),CONCATENATE("R5C",'Mapa final'!#REF!),"")</f>
        <v>#REF!</v>
      </c>
      <c r="AF40" s="39" t="e">
        <f>IF(AND('Mapa final'!#REF!="Baja",'Mapa final'!#REF!="Mayor"),CONCATENATE("R5C",'Mapa final'!#REF!),"")</f>
        <v>#REF!</v>
      </c>
      <c r="AG40" s="40" t="e">
        <f>IF(AND('Mapa final'!#REF!="Baja",'Mapa final'!#REF!="Mayor"),CONCATENATE("R5C",'Mapa final'!#REF!),"")</f>
        <v>#REF!</v>
      </c>
      <c r="AH40" s="41" t="e">
        <f>IF(AND('Mapa final'!#REF!="Baja",'Mapa final'!#REF!="Catastrófico"),CONCATENATE("R5C",'Mapa final'!#REF!),"")</f>
        <v>#REF!</v>
      </c>
      <c r="AI40" s="42" t="e">
        <f>IF(AND('Mapa final'!#REF!="Baja",'Mapa final'!#REF!="Catastrófico"),CONCATENATE("R5C",'Mapa final'!#REF!),"")</f>
        <v>#REF!</v>
      </c>
      <c r="AJ40" s="42" t="e">
        <f>IF(AND('Mapa final'!#REF!="Baja",'Mapa final'!#REF!="Catastrófico"),CONCATENATE("R5C",'Mapa final'!#REF!),"")</f>
        <v>#REF!</v>
      </c>
      <c r="AK40" s="42" t="e">
        <f>IF(AND('Mapa final'!#REF!="Baja",'Mapa final'!#REF!="Catastrófico"),CONCATENATE("R5C",'Mapa final'!#REF!),"")</f>
        <v>#REF!</v>
      </c>
      <c r="AL40" s="42" t="e">
        <f>IF(AND('Mapa final'!#REF!="Baja",'Mapa final'!#REF!="Catastrófico"),CONCATENATE("R5C",'Mapa final'!#REF!),"")</f>
        <v>#REF!</v>
      </c>
      <c r="AM40" s="43" t="e">
        <f>IF(AND('Mapa final'!#REF!="Baja",'Mapa final'!#REF!="Catastrófico"),CONCATENATE("R5C",'Mapa final'!#REF!),"")</f>
        <v>#REF!</v>
      </c>
      <c r="AN40" s="69"/>
      <c r="AO40" s="377"/>
      <c r="AP40" s="378"/>
      <c r="AQ40" s="378"/>
      <c r="AR40" s="378"/>
      <c r="AS40" s="378"/>
      <c r="AT40" s="37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row>
    <row r="41" spans="1:80" ht="15" customHeight="1" x14ac:dyDescent="0.25">
      <c r="A41" s="69"/>
      <c r="B41" s="305"/>
      <c r="C41" s="305"/>
      <c r="D41" s="306"/>
      <c r="E41" s="346"/>
      <c r="F41" s="347"/>
      <c r="G41" s="347"/>
      <c r="H41" s="347"/>
      <c r="I41" s="347"/>
      <c r="J41" s="62" t="e">
        <f>IF(AND('Mapa final'!#REF!="Baja",'Mapa final'!#REF!="Leve"),CONCATENATE("R6C",'Mapa final'!#REF!),"")</f>
        <v>#REF!</v>
      </c>
      <c r="K41" s="63" t="e">
        <f>IF(AND('Mapa final'!#REF!="Baja",'Mapa final'!#REF!="Leve"),CONCATENATE("R6C",'Mapa final'!#REF!),"")</f>
        <v>#REF!</v>
      </c>
      <c r="L41" s="63" t="e">
        <f>IF(AND('Mapa final'!#REF!="Baja",'Mapa final'!#REF!="Leve"),CONCATENATE("R6C",'Mapa final'!#REF!),"")</f>
        <v>#REF!</v>
      </c>
      <c r="M41" s="63" t="e">
        <f>IF(AND('Mapa final'!#REF!="Baja",'Mapa final'!#REF!="Leve"),CONCATENATE("R6C",'Mapa final'!#REF!),"")</f>
        <v>#REF!</v>
      </c>
      <c r="N41" s="63" t="e">
        <f>IF(AND('Mapa final'!#REF!="Baja",'Mapa final'!#REF!="Leve"),CONCATENATE("R6C",'Mapa final'!#REF!),"")</f>
        <v>#REF!</v>
      </c>
      <c r="O41" s="64" t="e">
        <f>IF(AND('Mapa final'!#REF!="Baja",'Mapa final'!#REF!="Leve"),CONCATENATE("R6C",'Mapa final'!#REF!),"")</f>
        <v>#REF!</v>
      </c>
      <c r="P41" s="53" t="e">
        <f>IF(AND('Mapa final'!#REF!="Baja",'Mapa final'!#REF!="Menor"),CONCATENATE("R6C",'Mapa final'!#REF!),"")</f>
        <v>#REF!</v>
      </c>
      <c r="Q41" s="54" t="e">
        <f>IF(AND('Mapa final'!#REF!="Baja",'Mapa final'!#REF!="Menor"),CONCATENATE("R6C",'Mapa final'!#REF!),"")</f>
        <v>#REF!</v>
      </c>
      <c r="R41" s="54" t="e">
        <f>IF(AND('Mapa final'!#REF!="Baja",'Mapa final'!#REF!="Menor"),CONCATENATE("R6C",'Mapa final'!#REF!),"")</f>
        <v>#REF!</v>
      </c>
      <c r="S41" s="54" t="e">
        <f>IF(AND('Mapa final'!#REF!="Baja",'Mapa final'!#REF!="Menor"),CONCATENATE("R6C",'Mapa final'!#REF!),"")</f>
        <v>#REF!</v>
      </c>
      <c r="T41" s="54" t="e">
        <f>IF(AND('Mapa final'!#REF!="Baja",'Mapa final'!#REF!="Menor"),CONCATENATE("R6C",'Mapa final'!#REF!),"")</f>
        <v>#REF!</v>
      </c>
      <c r="U41" s="55" t="e">
        <f>IF(AND('Mapa final'!#REF!="Baja",'Mapa final'!#REF!="Menor"),CONCATENATE("R6C",'Mapa final'!#REF!),"")</f>
        <v>#REF!</v>
      </c>
      <c r="V41" s="53" t="e">
        <f>IF(AND('Mapa final'!#REF!="Baja",'Mapa final'!#REF!="Moderado"),CONCATENATE("R6C",'Mapa final'!#REF!),"")</f>
        <v>#REF!</v>
      </c>
      <c r="W41" s="54" t="e">
        <f>IF(AND('Mapa final'!#REF!="Baja",'Mapa final'!#REF!="Moderado"),CONCATENATE("R6C",'Mapa final'!#REF!),"")</f>
        <v>#REF!</v>
      </c>
      <c r="X41" s="54" t="e">
        <f>IF(AND('Mapa final'!#REF!="Baja",'Mapa final'!#REF!="Moderado"),CONCATENATE("R6C",'Mapa final'!#REF!),"")</f>
        <v>#REF!</v>
      </c>
      <c r="Y41" s="54" t="e">
        <f>IF(AND('Mapa final'!#REF!="Baja",'Mapa final'!#REF!="Moderado"),CONCATENATE("R6C",'Mapa final'!#REF!),"")</f>
        <v>#REF!</v>
      </c>
      <c r="Z41" s="54" t="e">
        <f>IF(AND('Mapa final'!#REF!="Baja",'Mapa final'!#REF!="Moderado"),CONCATENATE("R6C",'Mapa final'!#REF!),"")</f>
        <v>#REF!</v>
      </c>
      <c r="AA41" s="55" t="e">
        <f>IF(AND('Mapa final'!#REF!="Baja",'Mapa final'!#REF!="Moderado"),CONCATENATE("R6C",'Mapa final'!#REF!),"")</f>
        <v>#REF!</v>
      </c>
      <c r="AB41" s="38" t="e">
        <f>IF(AND('Mapa final'!#REF!="Baja",'Mapa final'!#REF!="Mayor"),CONCATENATE("R6C",'Mapa final'!#REF!),"")</f>
        <v>#REF!</v>
      </c>
      <c r="AC41" s="39" t="e">
        <f>IF(AND('Mapa final'!#REF!="Baja",'Mapa final'!#REF!="Mayor"),CONCATENATE("R6C",'Mapa final'!#REF!),"")</f>
        <v>#REF!</v>
      </c>
      <c r="AD41" s="39" t="e">
        <f>IF(AND('Mapa final'!#REF!="Baja",'Mapa final'!#REF!="Mayor"),CONCATENATE("R6C",'Mapa final'!#REF!),"")</f>
        <v>#REF!</v>
      </c>
      <c r="AE41" s="39" t="e">
        <f>IF(AND('Mapa final'!#REF!="Baja",'Mapa final'!#REF!="Mayor"),CONCATENATE("R6C",'Mapa final'!#REF!),"")</f>
        <v>#REF!</v>
      </c>
      <c r="AF41" s="39" t="e">
        <f>IF(AND('Mapa final'!#REF!="Baja",'Mapa final'!#REF!="Mayor"),CONCATENATE("R6C",'Mapa final'!#REF!),"")</f>
        <v>#REF!</v>
      </c>
      <c r="AG41" s="40" t="e">
        <f>IF(AND('Mapa final'!#REF!="Baja",'Mapa final'!#REF!="Mayor"),CONCATENATE("R6C",'Mapa final'!#REF!),"")</f>
        <v>#REF!</v>
      </c>
      <c r="AH41" s="41" t="e">
        <f>IF(AND('Mapa final'!#REF!="Baja",'Mapa final'!#REF!="Catastrófico"),CONCATENATE("R6C",'Mapa final'!#REF!),"")</f>
        <v>#REF!</v>
      </c>
      <c r="AI41" s="42" t="e">
        <f>IF(AND('Mapa final'!#REF!="Baja",'Mapa final'!#REF!="Catastrófico"),CONCATENATE("R6C",'Mapa final'!#REF!),"")</f>
        <v>#REF!</v>
      </c>
      <c r="AJ41" s="42" t="e">
        <f>IF(AND('Mapa final'!#REF!="Baja",'Mapa final'!#REF!="Catastrófico"),CONCATENATE("R6C",'Mapa final'!#REF!),"")</f>
        <v>#REF!</v>
      </c>
      <c r="AK41" s="42" t="e">
        <f>IF(AND('Mapa final'!#REF!="Baja",'Mapa final'!#REF!="Catastrófico"),CONCATENATE("R6C",'Mapa final'!#REF!),"")</f>
        <v>#REF!</v>
      </c>
      <c r="AL41" s="42" t="e">
        <f>IF(AND('Mapa final'!#REF!="Baja",'Mapa final'!#REF!="Catastrófico"),CONCATENATE("R6C",'Mapa final'!#REF!),"")</f>
        <v>#REF!</v>
      </c>
      <c r="AM41" s="43" t="e">
        <f>IF(AND('Mapa final'!#REF!="Baja",'Mapa final'!#REF!="Catastrófico"),CONCATENATE("R6C",'Mapa final'!#REF!),"")</f>
        <v>#REF!</v>
      </c>
      <c r="AN41" s="69"/>
      <c r="AO41" s="377"/>
      <c r="AP41" s="378"/>
      <c r="AQ41" s="378"/>
      <c r="AR41" s="378"/>
      <c r="AS41" s="378"/>
      <c r="AT41" s="37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row>
    <row r="42" spans="1:80" ht="15" customHeight="1" x14ac:dyDescent="0.25">
      <c r="A42" s="69"/>
      <c r="B42" s="305"/>
      <c r="C42" s="305"/>
      <c r="D42" s="306"/>
      <c r="E42" s="346"/>
      <c r="F42" s="347"/>
      <c r="G42" s="347"/>
      <c r="H42" s="347"/>
      <c r="I42" s="347"/>
      <c r="J42" s="62" t="e">
        <f>IF(AND('Mapa final'!#REF!="Baja",'Mapa final'!#REF!="Leve"),CONCATENATE("R7C",'Mapa final'!#REF!),"")</f>
        <v>#REF!</v>
      </c>
      <c r="K42" s="63" t="e">
        <f>IF(AND('Mapa final'!#REF!="Baja",'Mapa final'!#REF!="Leve"),CONCATENATE("R7C",'Mapa final'!#REF!),"")</f>
        <v>#REF!</v>
      </c>
      <c r="L42" s="63" t="e">
        <f>IF(AND('Mapa final'!#REF!="Baja",'Mapa final'!#REF!="Leve"),CONCATENATE("R7C",'Mapa final'!#REF!),"")</f>
        <v>#REF!</v>
      </c>
      <c r="M42" s="63" t="e">
        <f>IF(AND('Mapa final'!#REF!="Baja",'Mapa final'!#REF!="Leve"),CONCATENATE("R7C",'Mapa final'!#REF!),"")</f>
        <v>#REF!</v>
      </c>
      <c r="N42" s="63" t="e">
        <f>IF(AND('Mapa final'!#REF!="Baja",'Mapa final'!#REF!="Leve"),CONCATENATE("R7C",'Mapa final'!#REF!),"")</f>
        <v>#REF!</v>
      </c>
      <c r="O42" s="64" t="e">
        <f>IF(AND('Mapa final'!#REF!="Baja",'Mapa final'!#REF!="Leve"),CONCATENATE("R7C",'Mapa final'!#REF!),"")</f>
        <v>#REF!</v>
      </c>
      <c r="P42" s="53" t="e">
        <f>IF(AND('Mapa final'!#REF!="Baja",'Mapa final'!#REF!="Menor"),CONCATENATE("R7C",'Mapa final'!#REF!),"")</f>
        <v>#REF!</v>
      </c>
      <c r="Q42" s="54" t="e">
        <f>IF(AND('Mapa final'!#REF!="Baja",'Mapa final'!#REF!="Menor"),CONCATENATE("R7C",'Mapa final'!#REF!),"")</f>
        <v>#REF!</v>
      </c>
      <c r="R42" s="54" t="e">
        <f>IF(AND('Mapa final'!#REF!="Baja",'Mapa final'!#REF!="Menor"),CONCATENATE("R7C",'Mapa final'!#REF!),"")</f>
        <v>#REF!</v>
      </c>
      <c r="S42" s="54" t="e">
        <f>IF(AND('Mapa final'!#REF!="Baja",'Mapa final'!#REF!="Menor"),CONCATENATE("R7C",'Mapa final'!#REF!),"")</f>
        <v>#REF!</v>
      </c>
      <c r="T42" s="54" t="e">
        <f>IF(AND('Mapa final'!#REF!="Baja",'Mapa final'!#REF!="Menor"),CONCATENATE("R7C",'Mapa final'!#REF!),"")</f>
        <v>#REF!</v>
      </c>
      <c r="U42" s="55" t="e">
        <f>IF(AND('Mapa final'!#REF!="Baja",'Mapa final'!#REF!="Menor"),CONCATENATE("R7C",'Mapa final'!#REF!),"")</f>
        <v>#REF!</v>
      </c>
      <c r="V42" s="53" t="e">
        <f>IF(AND('Mapa final'!#REF!="Baja",'Mapa final'!#REF!="Moderado"),CONCATENATE("R7C",'Mapa final'!#REF!),"")</f>
        <v>#REF!</v>
      </c>
      <c r="W42" s="54" t="e">
        <f>IF(AND('Mapa final'!#REF!="Baja",'Mapa final'!#REF!="Moderado"),CONCATENATE("R7C",'Mapa final'!#REF!),"")</f>
        <v>#REF!</v>
      </c>
      <c r="X42" s="54" t="e">
        <f>IF(AND('Mapa final'!#REF!="Baja",'Mapa final'!#REF!="Moderado"),CONCATENATE("R7C",'Mapa final'!#REF!),"")</f>
        <v>#REF!</v>
      </c>
      <c r="Y42" s="54" t="e">
        <f>IF(AND('Mapa final'!#REF!="Baja",'Mapa final'!#REF!="Moderado"),CONCATENATE("R7C",'Mapa final'!#REF!),"")</f>
        <v>#REF!</v>
      </c>
      <c r="Z42" s="54" t="e">
        <f>IF(AND('Mapa final'!#REF!="Baja",'Mapa final'!#REF!="Moderado"),CONCATENATE("R7C",'Mapa final'!#REF!),"")</f>
        <v>#REF!</v>
      </c>
      <c r="AA42" s="55" t="e">
        <f>IF(AND('Mapa final'!#REF!="Baja",'Mapa final'!#REF!="Moderado"),CONCATENATE("R7C",'Mapa final'!#REF!),"")</f>
        <v>#REF!</v>
      </c>
      <c r="AB42" s="38" t="e">
        <f>IF(AND('Mapa final'!#REF!="Baja",'Mapa final'!#REF!="Mayor"),CONCATENATE("R7C",'Mapa final'!#REF!),"")</f>
        <v>#REF!</v>
      </c>
      <c r="AC42" s="39" t="e">
        <f>IF(AND('Mapa final'!#REF!="Baja",'Mapa final'!#REF!="Mayor"),CONCATENATE("R7C",'Mapa final'!#REF!),"")</f>
        <v>#REF!</v>
      </c>
      <c r="AD42" s="39" t="e">
        <f>IF(AND('Mapa final'!#REF!="Baja",'Mapa final'!#REF!="Mayor"),CONCATENATE("R7C",'Mapa final'!#REF!),"")</f>
        <v>#REF!</v>
      </c>
      <c r="AE42" s="39" t="e">
        <f>IF(AND('Mapa final'!#REF!="Baja",'Mapa final'!#REF!="Mayor"),CONCATENATE("R7C",'Mapa final'!#REF!),"")</f>
        <v>#REF!</v>
      </c>
      <c r="AF42" s="39" t="e">
        <f>IF(AND('Mapa final'!#REF!="Baja",'Mapa final'!#REF!="Mayor"),CONCATENATE("R7C",'Mapa final'!#REF!),"")</f>
        <v>#REF!</v>
      </c>
      <c r="AG42" s="40" t="e">
        <f>IF(AND('Mapa final'!#REF!="Baja",'Mapa final'!#REF!="Mayor"),CONCATENATE("R7C",'Mapa final'!#REF!),"")</f>
        <v>#REF!</v>
      </c>
      <c r="AH42" s="41" t="e">
        <f>IF(AND('Mapa final'!#REF!="Baja",'Mapa final'!#REF!="Catastrófico"),CONCATENATE("R7C",'Mapa final'!#REF!),"")</f>
        <v>#REF!</v>
      </c>
      <c r="AI42" s="42" t="e">
        <f>IF(AND('Mapa final'!#REF!="Baja",'Mapa final'!#REF!="Catastrófico"),CONCATENATE("R7C",'Mapa final'!#REF!),"")</f>
        <v>#REF!</v>
      </c>
      <c r="AJ42" s="42" t="e">
        <f>IF(AND('Mapa final'!#REF!="Baja",'Mapa final'!#REF!="Catastrófico"),CONCATENATE("R7C",'Mapa final'!#REF!),"")</f>
        <v>#REF!</v>
      </c>
      <c r="AK42" s="42" t="e">
        <f>IF(AND('Mapa final'!#REF!="Baja",'Mapa final'!#REF!="Catastrófico"),CONCATENATE("R7C",'Mapa final'!#REF!),"")</f>
        <v>#REF!</v>
      </c>
      <c r="AL42" s="42" t="e">
        <f>IF(AND('Mapa final'!#REF!="Baja",'Mapa final'!#REF!="Catastrófico"),CONCATENATE("R7C",'Mapa final'!#REF!),"")</f>
        <v>#REF!</v>
      </c>
      <c r="AM42" s="43" t="e">
        <f>IF(AND('Mapa final'!#REF!="Baja",'Mapa final'!#REF!="Catastrófico"),CONCATENATE("R7C",'Mapa final'!#REF!),"")</f>
        <v>#REF!</v>
      </c>
      <c r="AN42" s="69"/>
      <c r="AO42" s="377"/>
      <c r="AP42" s="378"/>
      <c r="AQ42" s="378"/>
      <c r="AR42" s="378"/>
      <c r="AS42" s="378"/>
      <c r="AT42" s="37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row>
    <row r="43" spans="1:80" ht="15" customHeight="1" x14ac:dyDescent="0.25">
      <c r="A43" s="69"/>
      <c r="B43" s="305"/>
      <c r="C43" s="305"/>
      <c r="D43" s="306"/>
      <c r="E43" s="346"/>
      <c r="F43" s="347"/>
      <c r="G43" s="347"/>
      <c r="H43" s="347"/>
      <c r="I43" s="347"/>
      <c r="J43" s="62" t="e">
        <f>IF(AND('Mapa final'!#REF!="Baja",'Mapa final'!#REF!="Leve"),CONCATENATE("R8C",'Mapa final'!#REF!),"")</f>
        <v>#REF!</v>
      </c>
      <c r="K43" s="63" t="e">
        <f>IF(AND('Mapa final'!#REF!="Baja",'Mapa final'!#REF!="Leve"),CONCATENATE("R8C",'Mapa final'!#REF!),"")</f>
        <v>#REF!</v>
      </c>
      <c r="L43" s="63" t="e">
        <f>IF(AND('Mapa final'!#REF!="Baja",'Mapa final'!#REF!="Leve"),CONCATENATE("R8C",'Mapa final'!#REF!),"")</f>
        <v>#REF!</v>
      </c>
      <c r="M43" s="63" t="e">
        <f>IF(AND('Mapa final'!#REF!="Baja",'Mapa final'!#REF!="Leve"),CONCATENATE("R8C",'Mapa final'!#REF!),"")</f>
        <v>#REF!</v>
      </c>
      <c r="N43" s="63" t="e">
        <f>IF(AND('Mapa final'!#REF!="Baja",'Mapa final'!#REF!="Leve"),CONCATENATE("R8C",'Mapa final'!#REF!),"")</f>
        <v>#REF!</v>
      </c>
      <c r="O43" s="64" t="e">
        <f>IF(AND('Mapa final'!#REF!="Baja",'Mapa final'!#REF!="Leve"),CONCATENATE("R8C",'Mapa final'!#REF!),"")</f>
        <v>#REF!</v>
      </c>
      <c r="P43" s="53" t="e">
        <f>IF(AND('Mapa final'!#REF!="Baja",'Mapa final'!#REF!="Menor"),CONCATENATE("R8C",'Mapa final'!#REF!),"")</f>
        <v>#REF!</v>
      </c>
      <c r="Q43" s="54" t="e">
        <f>IF(AND('Mapa final'!#REF!="Baja",'Mapa final'!#REF!="Menor"),CONCATENATE("R8C",'Mapa final'!#REF!),"")</f>
        <v>#REF!</v>
      </c>
      <c r="R43" s="54" t="e">
        <f>IF(AND('Mapa final'!#REF!="Baja",'Mapa final'!#REF!="Menor"),CONCATENATE("R8C",'Mapa final'!#REF!),"")</f>
        <v>#REF!</v>
      </c>
      <c r="S43" s="54" t="e">
        <f>IF(AND('Mapa final'!#REF!="Baja",'Mapa final'!#REF!="Menor"),CONCATENATE("R8C",'Mapa final'!#REF!),"")</f>
        <v>#REF!</v>
      </c>
      <c r="T43" s="54" t="e">
        <f>IF(AND('Mapa final'!#REF!="Baja",'Mapa final'!#REF!="Menor"),CONCATENATE("R8C",'Mapa final'!#REF!),"")</f>
        <v>#REF!</v>
      </c>
      <c r="U43" s="55" t="e">
        <f>IF(AND('Mapa final'!#REF!="Baja",'Mapa final'!#REF!="Menor"),CONCATENATE("R8C",'Mapa final'!#REF!),"")</f>
        <v>#REF!</v>
      </c>
      <c r="V43" s="53" t="e">
        <f>IF(AND('Mapa final'!#REF!="Baja",'Mapa final'!#REF!="Moderado"),CONCATENATE("R8C",'Mapa final'!#REF!),"")</f>
        <v>#REF!</v>
      </c>
      <c r="W43" s="54" t="e">
        <f>IF(AND('Mapa final'!#REF!="Baja",'Mapa final'!#REF!="Moderado"),CONCATENATE("R8C",'Mapa final'!#REF!),"")</f>
        <v>#REF!</v>
      </c>
      <c r="X43" s="54" t="e">
        <f>IF(AND('Mapa final'!#REF!="Baja",'Mapa final'!#REF!="Moderado"),CONCATENATE("R8C",'Mapa final'!#REF!),"")</f>
        <v>#REF!</v>
      </c>
      <c r="Y43" s="54" t="e">
        <f>IF(AND('Mapa final'!#REF!="Baja",'Mapa final'!#REF!="Moderado"),CONCATENATE("R8C",'Mapa final'!#REF!),"")</f>
        <v>#REF!</v>
      </c>
      <c r="Z43" s="54" t="e">
        <f>IF(AND('Mapa final'!#REF!="Baja",'Mapa final'!#REF!="Moderado"),CONCATENATE("R8C",'Mapa final'!#REF!),"")</f>
        <v>#REF!</v>
      </c>
      <c r="AA43" s="55" t="e">
        <f>IF(AND('Mapa final'!#REF!="Baja",'Mapa final'!#REF!="Moderado"),CONCATENATE("R8C",'Mapa final'!#REF!),"")</f>
        <v>#REF!</v>
      </c>
      <c r="AB43" s="38" t="e">
        <f>IF(AND('Mapa final'!#REF!="Baja",'Mapa final'!#REF!="Mayor"),CONCATENATE("R8C",'Mapa final'!#REF!),"")</f>
        <v>#REF!</v>
      </c>
      <c r="AC43" s="39" t="e">
        <f>IF(AND('Mapa final'!#REF!="Baja",'Mapa final'!#REF!="Mayor"),CONCATENATE("R8C",'Mapa final'!#REF!),"")</f>
        <v>#REF!</v>
      </c>
      <c r="AD43" s="39" t="e">
        <f>IF(AND('Mapa final'!#REF!="Baja",'Mapa final'!#REF!="Mayor"),CONCATENATE("R8C",'Mapa final'!#REF!),"")</f>
        <v>#REF!</v>
      </c>
      <c r="AE43" s="39" t="e">
        <f>IF(AND('Mapa final'!#REF!="Baja",'Mapa final'!#REF!="Mayor"),CONCATENATE("R8C",'Mapa final'!#REF!),"")</f>
        <v>#REF!</v>
      </c>
      <c r="AF43" s="39" t="e">
        <f>IF(AND('Mapa final'!#REF!="Baja",'Mapa final'!#REF!="Mayor"),CONCATENATE("R8C",'Mapa final'!#REF!),"")</f>
        <v>#REF!</v>
      </c>
      <c r="AG43" s="40" t="e">
        <f>IF(AND('Mapa final'!#REF!="Baja",'Mapa final'!#REF!="Mayor"),CONCATENATE("R8C",'Mapa final'!#REF!),"")</f>
        <v>#REF!</v>
      </c>
      <c r="AH43" s="41" t="e">
        <f>IF(AND('Mapa final'!#REF!="Baja",'Mapa final'!#REF!="Catastrófico"),CONCATENATE("R8C",'Mapa final'!#REF!),"")</f>
        <v>#REF!</v>
      </c>
      <c r="AI43" s="42" t="e">
        <f>IF(AND('Mapa final'!#REF!="Baja",'Mapa final'!#REF!="Catastrófico"),CONCATENATE("R8C",'Mapa final'!#REF!),"")</f>
        <v>#REF!</v>
      </c>
      <c r="AJ43" s="42" t="e">
        <f>IF(AND('Mapa final'!#REF!="Baja",'Mapa final'!#REF!="Catastrófico"),CONCATENATE("R8C",'Mapa final'!#REF!),"")</f>
        <v>#REF!</v>
      </c>
      <c r="AK43" s="42" t="e">
        <f>IF(AND('Mapa final'!#REF!="Baja",'Mapa final'!#REF!="Catastrófico"),CONCATENATE("R8C",'Mapa final'!#REF!),"")</f>
        <v>#REF!</v>
      </c>
      <c r="AL43" s="42" t="e">
        <f>IF(AND('Mapa final'!#REF!="Baja",'Mapa final'!#REF!="Catastrófico"),CONCATENATE("R8C",'Mapa final'!#REF!),"")</f>
        <v>#REF!</v>
      </c>
      <c r="AM43" s="43" t="e">
        <f>IF(AND('Mapa final'!#REF!="Baja",'Mapa final'!#REF!="Catastrófico"),CONCATENATE("R8C",'Mapa final'!#REF!),"")</f>
        <v>#REF!</v>
      </c>
      <c r="AN43" s="69"/>
      <c r="AO43" s="377"/>
      <c r="AP43" s="378"/>
      <c r="AQ43" s="378"/>
      <c r="AR43" s="378"/>
      <c r="AS43" s="378"/>
      <c r="AT43" s="379"/>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row>
    <row r="44" spans="1:80" ht="15" customHeight="1" x14ac:dyDescent="0.25">
      <c r="A44" s="69"/>
      <c r="B44" s="305"/>
      <c r="C44" s="305"/>
      <c r="D44" s="306"/>
      <c r="E44" s="346"/>
      <c r="F44" s="347"/>
      <c r="G44" s="347"/>
      <c r="H44" s="347"/>
      <c r="I44" s="347"/>
      <c r="J44" s="62" t="e">
        <f>IF(AND('Mapa final'!#REF!="Baja",'Mapa final'!#REF!="Leve"),CONCATENATE("R9C",'Mapa final'!#REF!),"")</f>
        <v>#REF!</v>
      </c>
      <c r="K44" s="63" t="e">
        <f>IF(AND('Mapa final'!#REF!="Baja",'Mapa final'!#REF!="Leve"),CONCATENATE("R9C",'Mapa final'!#REF!),"")</f>
        <v>#REF!</v>
      </c>
      <c r="L44" s="63" t="e">
        <f>IF(AND('Mapa final'!#REF!="Baja",'Mapa final'!#REF!="Leve"),CONCATENATE("R9C",'Mapa final'!#REF!),"")</f>
        <v>#REF!</v>
      </c>
      <c r="M44" s="63" t="e">
        <f>IF(AND('Mapa final'!#REF!="Baja",'Mapa final'!#REF!="Leve"),CONCATENATE("R9C",'Mapa final'!#REF!),"")</f>
        <v>#REF!</v>
      </c>
      <c r="N44" s="63" t="e">
        <f>IF(AND('Mapa final'!#REF!="Baja",'Mapa final'!#REF!="Leve"),CONCATENATE("R9C",'Mapa final'!#REF!),"")</f>
        <v>#REF!</v>
      </c>
      <c r="O44" s="64" t="e">
        <f>IF(AND('Mapa final'!#REF!="Baja",'Mapa final'!#REF!="Leve"),CONCATENATE("R9C",'Mapa final'!#REF!),"")</f>
        <v>#REF!</v>
      </c>
      <c r="P44" s="53" t="e">
        <f>IF(AND('Mapa final'!#REF!="Baja",'Mapa final'!#REF!="Menor"),CONCATENATE("R9C",'Mapa final'!#REF!),"")</f>
        <v>#REF!</v>
      </c>
      <c r="Q44" s="54" t="e">
        <f>IF(AND('Mapa final'!#REF!="Baja",'Mapa final'!#REF!="Menor"),CONCATENATE("R9C",'Mapa final'!#REF!),"")</f>
        <v>#REF!</v>
      </c>
      <c r="R44" s="54" t="e">
        <f>IF(AND('Mapa final'!#REF!="Baja",'Mapa final'!#REF!="Menor"),CONCATENATE("R9C",'Mapa final'!#REF!),"")</f>
        <v>#REF!</v>
      </c>
      <c r="S44" s="54" t="e">
        <f>IF(AND('Mapa final'!#REF!="Baja",'Mapa final'!#REF!="Menor"),CONCATENATE("R9C",'Mapa final'!#REF!),"")</f>
        <v>#REF!</v>
      </c>
      <c r="T44" s="54" t="e">
        <f>IF(AND('Mapa final'!#REF!="Baja",'Mapa final'!#REF!="Menor"),CONCATENATE("R9C",'Mapa final'!#REF!),"")</f>
        <v>#REF!</v>
      </c>
      <c r="U44" s="55" t="e">
        <f>IF(AND('Mapa final'!#REF!="Baja",'Mapa final'!#REF!="Menor"),CONCATENATE("R9C",'Mapa final'!#REF!),"")</f>
        <v>#REF!</v>
      </c>
      <c r="V44" s="53" t="e">
        <f>IF(AND('Mapa final'!#REF!="Baja",'Mapa final'!#REF!="Moderado"),CONCATENATE("R9C",'Mapa final'!#REF!),"")</f>
        <v>#REF!</v>
      </c>
      <c r="W44" s="54" t="e">
        <f>IF(AND('Mapa final'!#REF!="Baja",'Mapa final'!#REF!="Moderado"),CONCATENATE("R9C",'Mapa final'!#REF!),"")</f>
        <v>#REF!</v>
      </c>
      <c r="X44" s="54" t="e">
        <f>IF(AND('Mapa final'!#REF!="Baja",'Mapa final'!#REF!="Moderado"),CONCATENATE("R9C",'Mapa final'!#REF!),"")</f>
        <v>#REF!</v>
      </c>
      <c r="Y44" s="54" t="e">
        <f>IF(AND('Mapa final'!#REF!="Baja",'Mapa final'!#REF!="Moderado"),CONCATENATE("R9C",'Mapa final'!#REF!),"")</f>
        <v>#REF!</v>
      </c>
      <c r="Z44" s="54" t="e">
        <f>IF(AND('Mapa final'!#REF!="Baja",'Mapa final'!#REF!="Moderado"),CONCATENATE("R9C",'Mapa final'!#REF!),"")</f>
        <v>#REF!</v>
      </c>
      <c r="AA44" s="55" t="e">
        <f>IF(AND('Mapa final'!#REF!="Baja",'Mapa final'!#REF!="Moderado"),CONCATENATE("R9C",'Mapa final'!#REF!),"")</f>
        <v>#REF!</v>
      </c>
      <c r="AB44" s="38" t="e">
        <f>IF(AND('Mapa final'!#REF!="Baja",'Mapa final'!#REF!="Mayor"),CONCATENATE("R9C",'Mapa final'!#REF!),"")</f>
        <v>#REF!</v>
      </c>
      <c r="AC44" s="39" t="e">
        <f>IF(AND('Mapa final'!#REF!="Baja",'Mapa final'!#REF!="Mayor"),CONCATENATE("R9C",'Mapa final'!#REF!),"")</f>
        <v>#REF!</v>
      </c>
      <c r="AD44" s="39" t="e">
        <f>IF(AND('Mapa final'!#REF!="Baja",'Mapa final'!#REF!="Mayor"),CONCATENATE("R9C",'Mapa final'!#REF!),"")</f>
        <v>#REF!</v>
      </c>
      <c r="AE44" s="39" t="e">
        <f>IF(AND('Mapa final'!#REF!="Baja",'Mapa final'!#REF!="Mayor"),CONCATENATE("R9C",'Mapa final'!#REF!),"")</f>
        <v>#REF!</v>
      </c>
      <c r="AF44" s="39" t="e">
        <f>IF(AND('Mapa final'!#REF!="Baja",'Mapa final'!#REF!="Mayor"),CONCATENATE("R9C",'Mapa final'!#REF!),"")</f>
        <v>#REF!</v>
      </c>
      <c r="AG44" s="40" t="e">
        <f>IF(AND('Mapa final'!#REF!="Baja",'Mapa final'!#REF!="Mayor"),CONCATENATE("R9C",'Mapa final'!#REF!),"")</f>
        <v>#REF!</v>
      </c>
      <c r="AH44" s="41" t="e">
        <f>IF(AND('Mapa final'!#REF!="Baja",'Mapa final'!#REF!="Catastrófico"),CONCATENATE("R9C",'Mapa final'!#REF!),"")</f>
        <v>#REF!</v>
      </c>
      <c r="AI44" s="42" t="e">
        <f>IF(AND('Mapa final'!#REF!="Baja",'Mapa final'!#REF!="Catastrófico"),CONCATENATE("R9C",'Mapa final'!#REF!),"")</f>
        <v>#REF!</v>
      </c>
      <c r="AJ44" s="42" t="e">
        <f>IF(AND('Mapa final'!#REF!="Baja",'Mapa final'!#REF!="Catastrófico"),CONCATENATE("R9C",'Mapa final'!#REF!),"")</f>
        <v>#REF!</v>
      </c>
      <c r="AK44" s="42" t="e">
        <f>IF(AND('Mapa final'!#REF!="Baja",'Mapa final'!#REF!="Catastrófico"),CONCATENATE("R9C",'Mapa final'!#REF!),"")</f>
        <v>#REF!</v>
      </c>
      <c r="AL44" s="42" t="e">
        <f>IF(AND('Mapa final'!#REF!="Baja",'Mapa final'!#REF!="Catastrófico"),CONCATENATE("R9C",'Mapa final'!#REF!),"")</f>
        <v>#REF!</v>
      </c>
      <c r="AM44" s="43" t="e">
        <f>IF(AND('Mapa final'!#REF!="Baja",'Mapa final'!#REF!="Catastrófico"),CONCATENATE("R9C",'Mapa final'!#REF!),"")</f>
        <v>#REF!</v>
      </c>
      <c r="AN44" s="69"/>
      <c r="AO44" s="377"/>
      <c r="AP44" s="378"/>
      <c r="AQ44" s="378"/>
      <c r="AR44" s="378"/>
      <c r="AS44" s="378"/>
      <c r="AT44" s="379"/>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row>
    <row r="45" spans="1:80" ht="15.75" customHeight="1" thickBot="1" x14ac:dyDescent="0.3">
      <c r="A45" s="69"/>
      <c r="B45" s="305"/>
      <c r="C45" s="305"/>
      <c r="D45" s="306"/>
      <c r="E45" s="349"/>
      <c r="F45" s="350"/>
      <c r="G45" s="350"/>
      <c r="H45" s="350"/>
      <c r="I45" s="350"/>
      <c r="J45" s="65" t="e">
        <f>IF(AND('Mapa final'!#REF!="Baja",'Mapa final'!#REF!="Leve"),CONCATENATE("R10C",'Mapa final'!#REF!),"")</f>
        <v>#REF!</v>
      </c>
      <c r="K45" s="66" t="e">
        <f>IF(AND('Mapa final'!#REF!="Baja",'Mapa final'!#REF!="Leve"),CONCATENATE("R10C",'Mapa final'!#REF!),"")</f>
        <v>#REF!</v>
      </c>
      <c r="L45" s="66" t="e">
        <f>IF(AND('Mapa final'!#REF!="Baja",'Mapa final'!#REF!="Leve"),CONCATENATE("R10C",'Mapa final'!#REF!),"")</f>
        <v>#REF!</v>
      </c>
      <c r="M45" s="66" t="e">
        <f>IF(AND('Mapa final'!#REF!="Baja",'Mapa final'!#REF!="Leve"),CONCATENATE("R10C",'Mapa final'!#REF!),"")</f>
        <v>#REF!</v>
      </c>
      <c r="N45" s="66" t="e">
        <f>IF(AND('Mapa final'!#REF!="Baja",'Mapa final'!#REF!="Leve"),CONCATENATE("R10C",'Mapa final'!#REF!),"")</f>
        <v>#REF!</v>
      </c>
      <c r="O45" s="67" t="e">
        <f>IF(AND('Mapa final'!#REF!="Baja",'Mapa final'!#REF!="Leve"),CONCATENATE("R10C",'Mapa final'!#REF!),"")</f>
        <v>#REF!</v>
      </c>
      <c r="P45" s="53" t="e">
        <f>IF(AND('Mapa final'!#REF!="Baja",'Mapa final'!#REF!="Menor"),CONCATENATE("R10C",'Mapa final'!#REF!),"")</f>
        <v>#REF!</v>
      </c>
      <c r="Q45" s="54" t="e">
        <f>IF(AND('Mapa final'!#REF!="Baja",'Mapa final'!#REF!="Menor"),CONCATENATE("R10C",'Mapa final'!#REF!),"")</f>
        <v>#REF!</v>
      </c>
      <c r="R45" s="54" t="e">
        <f>IF(AND('Mapa final'!#REF!="Baja",'Mapa final'!#REF!="Menor"),CONCATENATE("R10C",'Mapa final'!#REF!),"")</f>
        <v>#REF!</v>
      </c>
      <c r="S45" s="54" t="e">
        <f>IF(AND('Mapa final'!#REF!="Baja",'Mapa final'!#REF!="Menor"),CONCATENATE("R10C",'Mapa final'!#REF!),"")</f>
        <v>#REF!</v>
      </c>
      <c r="T45" s="54" t="e">
        <f>IF(AND('Mapa final'!#REF!="Baja",'Mapa final'!#REF!="Menor"),CONCATENATE("R10C",'Mapa final'!#REF!),"")</f>
        <v>#REF!</v>
      </c>
      <c r="U45" s="55" t="e">
        <f>IF(AND('Mapa final'!#REF!="Baja",'Mapa final'!#REF!="Menor"),CONCATENATE("R10C",'Mapa final'!#REF!),"")</f>
        <v>#REF!</v>
      </c>
      <c r="V45" s="56" t="e">
        <f>IF(AND('Mapa final'!#REF!="Baja",'Mapa final'!#REF!="Moderado"),CONCATENATE("R10C",'Mapa final'!#REF!),"")</f>
        <v>#REF!</v>
      </c>
      <c r="W45" s="57" t="e">
        <f>IF(AND('Mapa final'!#REF!="Baja",'Mapa final'!#REF!="Moderado"),CONCATENATE("R10C",'Mapa final'!#REF!),"")</f>
        <v>#REF!</v>
      </c>
      <c r="X45" s="57" t="e">
        <f>IF(AND('Mapa final'!#REF!="Baja",'Mapa final'!#REF!="Moderado"),CONCATENATE("R10C",'Mapa final'!#REF!),"")</f>
        <v>#REF!</v>
      </c>
      <c r="Y45" s="57" t="e">
        <f>IF(AND('Mapa final'!#REF!="Baja",'Mapa final'!#REF!="Moderado"),CONCATENATE("R10C",'Mapa final'!#REF!),"")</f>
        <v>#REF!</v>
      </c>
      <c r="Z45" s="57" t="e">
        <f>IF(AND('Mapa final'!#REF!="Baja",'Mapa final'!#REF!="Moderado"),CONCATENATE("R10C",'Mapa final'!#REF!),"")</f>
        <v>#REF!</v>
      </c>
      <c r="AA45" s="58" t="e">
        <f>IF(AND('Mapa final'!#REF!="Baja",'Mapa final'!#REF!="Moderado"),CONCATENATE("R10C",'Mapa final'!#REF!),"")</f>
        <v>#REF!</v>
      </c>
      <c r="AB45" s="44" t="e">
        <f>IF(AND('Mapa final'!#REF!="Baja",'Mapa final'!#REF!="Mayor"),CONCATENATE("R10C",'Mapa final'!#REF!),"")</f>
        <v>#REF!</v>
      </c>
      <c r="AC45" s="45" t="e">
        <f>IF(AND('Mapa final'!#REF!="Baja",'Mapa final'!#REF!="Mayor"),CONCATENATE("R10C",'Mapa final'!#REF!),"")</f>
        <v>#REF!</v>
      </c>
      <c r="AD45" s="45" t="e">
        <f>IF(AND('Mapa final'!#REF!="Baja",'Mapa final'!#REF!="Mayor"),CONCATENATE("R10C",'Mapa final'!#REF!),"")</f>
        <v>#REF!</v>
      </c>
      <c r="AE45" s="45" t="e">
        <f>IF(AND('Mapa final'!#REF!="Baja",'Mapa final'!#REF!="Mayor"),CONCATENATE("R10C",'Mapa final'!#REF!),"")</f>
        <v>#REF!</v>
      </c>
      <c r="AF45" s="45" t="e">
        <f>IF(AND('Mapa final'!#REF!="Baja",'Mapa final'!#REF!="Mayor"),CONCATENATE("R10C",'Mapa final'!#REF!),"")</f>
        <v>#REF!</v>
      </c>
      <c r="AG45" s="46" t="e">
        <f>IF(AND('Mapa final'!#REF!="Baja",'Mapa final'!#REF!="Mayor"),CONCATENATE("R10C",'Mapa final'!#REF!),"")</f>
        <v>#REF!</v>
      </c>
      <c r="AH45" s="47" t="e">
        <f>IF(AND('Mapa final'!#REF!="Baja",'Mapa final'!#REF!="Catastrófico"),CONCATENATE("R10C",'Mapa final'!#REF!),"")</f>
        <v>#REF!</v>
      </c>
      <c r="AI45" s="48" t="e">
        <f>IF(AND('Mapa final'!#REF!="Baja",'Mapa final'!#REF!="Catastrófico"),CONCATENATE("R10C",'Mapa final'!#REF!),"")</f>
        <v>#REF!</v>
      </c>
      <c r="AJ45" s="48" t="e">
        <f>IF(AND('Mapa final'!#REF!="Baja",'Mapa final'!#REF!="Catastrófico"),CONCATENATE("R10C",'Mapa final'!#REF!),"")</f>
        <v>#REF!</v>
      </c>
      <c r="AK45" s="48" t="e">
        <f>IF(AND('Mapa final'!#REF!="Baja",'Mapa final'!#REF!="Catastrófico"),CONCATENATE("R10C",'Mapa final'!#REF!),"")</f>
        <v>#REF!</v>
      </c>
      <c r="AL45" s="48" t="e">
        <f>IF(AND('Mapa final'!#REF!="Baja",'Mapa final'!#REF!="Catastrófico"),CONCATENATE("R10C",'Mapa final'!#REF!),"")</f>
        <v>#REF!</v>
      </c>
      <c r="AM45" s="49" t="e">
        <f>IF(AND('Mapa final'!#REF!="Baja",'Mapa final'!#REF!="Catastrófico"),CONCATENATE("R10C",'Mapa final'!#REF!),"")</f>
        <v>#REF!</v>
      </c>
      <c r="AN45" s="69"/>
      <c r="AO45" s="380"/>
      <c r="AP45" s="381"/>
      <c r="AQ45" s="381"/>
      <c r="AR45" s="381"/>
      <c r="AS45" s="381"/>
      <c r="AT45" s="382"/>
    </row>
    <row r="46" spans="1:80" ht="46.5" customHeight="1" x14ac:dyDescent="0.35">
      <c r="A46" s="69"/>
      <c r="B46" s="305"/>
      <c r="C46" s="305"/>
      <c r="D46" s="306"/>
      <c r="E46" s="343" t="s">
        <v>113</v>
      </c>
      <c r="F46" s="344"/>
      <c r="G46" s="344"/>
      <c r="H46" s="344"/>
      <c r="I46" s="345"/>
      <c r="J46" s="59" t="e">
        <f>IF(AND('Mapa final'!#REF!="Muy Baja",'Mapa final'!#REF!="Leve"),CONCATENATE("R1C",'Mapa final'!#REF!),"")</f>
        <v>#REF!</v>
      </c>
      <c r="K46" s="60" t="e">
        <f>IF(AND('Mapa final'!#REF!="Muy Baja",'Mapa final'!#REF!="Leve"),CONCATENATE("R1C",'Mapa final'!#REF!),"")</f>
        <v>#REF!</v>
      </c>
      <c r="L46" s="60" t="e">
        <f>IF(AND('Mapa final'!#REF!="Muy Baja",'Mapa final'!#REF!="Leve"),CONCATENATE("R1C",'Mapa final'!#REF!),"")</f>
        <v>#REF!</v>
      </c>
      <c r="M46" s="60" t="e">
        <f>IF(AND('Mapa final'!#REF!="Muy Baja",'Mapa final'!#REF!="Leve"),CONCATENATE("R1C",'Mapa final'!#REF!),"")</f>
        <v>#REF!</v>
      </c>
      <c r="N46" s="60" t="e">
        <f>IF(AND('Mapa final'!#REF!="Muy Baja",'Mapa final'!#REF!="Leve"),CONCATENATE("R1C",'Mapa final'!#REF!),"")</f>
        <v>#REF!</v>
      </c>
      <c r="O46" s="61" t="e">
        <f>IF(AND('Mapa final'!#REF!="Muy Baja",'Mapa final'!#REF!="Leve"),CONCATENATE("R1C",'Mapa final'!#REF!),"")</f>
        <v>#REF!</v>
      </c>
      <c r="P46" s="59" t="e">
        <f>IF(AND('Mapa final'!#REF!="Muy Baja",'Mapa final'!#REF!="Menor"),CONCATENATE("R1C",'Mapa final'!#REF!),"")</f>
        <v>#REF!</v>
      </c>
      <c r="Q46" s="60" t="e">
        <f>IF(AND('Mapa final'!#REF!="Muy Baja",'Mapa final'!#REF!="Menor"),CONCATENATE("R1C",'Mapa final'!#REF!),"")</f>
        <v>#REF!</v>
      </c>
      <c r="R46" s="60" t="e">
        <f>IF(AND('Mapa final'!#REF!="Muy Baja",'Mapa final'!#REF!="Menor"),CONCATENATE("R1C",'Mapa final'!#REF!),"")</f>
        <v>#REF!</v>
      </c>
      <c r="S46" s="60" t="e">
        <f>IF(AND('Mapa final'!#REF!="Muy Baja",'Mapa final'!#REF!="Menor"),CONCATENATE("R1C",'Mapa final'!#REF!),"")</f>
        <v>#REF!</v>
      </c>
      <c r="T46" s="60" t="e">
        <f>IF(AND('Mapa final'!#REF!="Muy Baja",'Mapa final'!#REF!="Menor"),CONCATENATE("R1C",'Mapa final'!#REF!),"")</f>
        <v>#REF!</v>
      </c>
      <c r="U46" s="61" t="e">
        <f>IF(AND('Mapa final'!#REF!="Muy Baja",'Mapa final'!#REF!="Menor"),CONCATENATE("R1C",'Mapa final'!#REF!),"")</f>
        <v>#REF!</v>
      </c>
      <c r="V46" s="50" t="e">
        <f>IF(AND('Mapa final'!#REF!="Muy Baja",'Mapa final'!#REF!="Moderado"),CONCATENATE("R1C",'Mapa final'!#REF!),"")</f>
        <v>#REF!</v>
      </c>
      <c r="W46" s="68" t="e">
        <f>IF(AND('Mapa final'!#REF!="Muy Baja",'Mapa final'!#REF!="Moderado"),CONCATENATE("R1C",'Mapa final'!#REF!),"")</f>
        <v>#REF!</v>
      </c>
      <c r="X46" s="51" t="e">
        <f>IF(AND('Mapa final'!#REF!="Muy Baja",'Mapa final'!#REF!="Moderado"),CONCATENATE("R1C",'Mapa final'!#REF!),"")</f>
        <v>#REF!</v>
      </c>
      <c r="Y46" s="51" t="e">
        <f>IF(AND('Mapa final'!#REF!="Muy Baja",'Mapa final'!#REF!="Moderado"),CONCATENATE("R1C",'Mapa final'!#REF!),"")</f>
        <v>#REF!</v>
      </c>
      <c r="Z46" s="51" t="e">
        <f>IF(AND('Mapa final'!#REF!="Muy Baja",'Mapa final'!#REF!="Moderado"),CONCATENATE("R1C",'Mapa final'!#REF!),"")</f>
        <v>#REF!</v>
      </c>
      <c r="AA46" s="52" t="e">
        <f>IF(AND('Mapa final'!#REF!="Muy Baja",'Mapa final'!#REF!="Moderado"),CONCATENATE("R1C",'Mapa final'!#REF!),"")</f>
        <v>#REF!</v>
      </c>
      <c r="AB46" s="32" t="e">
        <f>IF(AND('Mapa final'!#REF!="Muy Baja",'Mapa final'!#REF!="Mayor"),CONCATENATE("R1C",'Mapa final'!#REF!),"")</f>
        <v>#REF!</v>
      </c>
      <c r="AC46" s="33" t="e">
        <f>IF(AND('Mapa final'!#REF!="Muy Baja",'Mapa final'!#REF!="Mayor"),CONCATENATE("R1C",'Mapa final'!#REF!),"")</f>
        <v>#REF!</v>
      </c>
      <c r="AD46" s="33" t="e">
        <f>IF(AND('Mapa final'!#REF!="Muy Baja",'Mapa final'!#REF!="Mayor"),CONCATENATE("R1C",'Mapa final'!#REF!),"")</f>
        <v>#REF!</v>
      </c>
      <c r="AE46" s="33" t="e">
        <f>IF(AND('Mapa final'!#REF!="Muy Baja",'Mapa final'!#REF!="Mayor"),CONCATENATE("R1C",'Mapa final'!#REF!),"")</f>
        <v>#REF!</v>
      </c>
      <c r="AF46" s="33" t="e">
        <f>IF(AND('Mapa final'!#REF!="Muy Baja",'Mapa final'!#REF!="Mayor"),CONCATENATE("R1C",'Mapa final'!#REF!),"")</f>
        <v>#REF!</v>
      </c>
      <c r="AG46" s="34" t="e">
        <f>IF(AND('Mapa final'!#REF!="Muy Baja",'Mapa final'!#REF!="Mayor"),CONCATENATE("R1C",'Mapa final'!#REF!),"")</f>
        <v>#REF!</v>
      </c>
      <c r="AH46" s="35" t="e">
        <f>IF(AND('Mapa final'!#REF!="Muy Baja",'Mapa final'!#REF!="Catastrófico"),CONCATENATE("R1C",'Mapa final'!#REF!),"")</f>
        <v>#REF!</v>
      </c>
      <c r="AI46" s="36" t="e">
        <f>IF(AND('Mapa final'!#REF!="Muy Baja",'Mapa final'!#REF!="Catastrófico"),CONCATENATE("R1C",'Mapa final'!#REF!),"")</f>
        <v>#REF!</v>
      </c>
      <c r="AJ46" s="36" t="e">
        <f>IF(AND('Mapa final'!#REF!="Muy Baja",'Mapa final'!#REF!="Catastrófico"),CONCATENATE("R1C",'Mapa final'!#REF!),"")</f>
        <v>#REF!</v>
      </c>
      <c r="AK46" s="36" t="e">
        <f>IF(AND('Mapa final'!#REF!="Muy Baja",'Mapa final'!#REF!="Catastrófico"),CONCATENATE("R1C",'Mapa final'!#REF!),"")</f>
        <v>#REF!</v>
      </c>
      <c r="AL46" s="36" t="e">
        <f>IF(AND('Mapa final'!#REF!="Muy Baja",'Mapa final'!#REF!="Catastrófico"),CONCATENATE("R1C",'Mapa final'!#REF!),"")</f>
        <v>#REF!</v>
      </c>
      <c r="AM46" s="37" t="e">
        <f>IF(AND('Mapa final'!#REF!="Muy Baja",'Mapa final'!#REF!="Catastrófico"),CONCATENATE("R1C",'Mapa final'!#REF!),"")</f>
        <v>#REF!</v>
      </c>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row>
    <row r="47" spans="1:80" ht="46.5" customHeight="1" x14ac:dyDescent="0.25">
      <c r="A47" s="69"/>
      <c r="B47" s="305"/>
      <c r="C47" s="305"/>
      <c r="D47" s="306"/>
      <c r="E47" s="362"/>
      <c r="F47" s="347"/>
      <c r="G47" s="347"/>
      <c r="H47" s="347"/>
      <c r="I47" s="348"/>
      <c r="J47" s="62" t="e">
        <f>IF(AND('Mapa final'!#REF!="Muy Baja",'Mapa final'!#REF!="Leve"),CONCATENATE("R2C",'Mapa final'!#REF!),"")</f>
        <v>#REF!</v>
      </c>
      <c r="K47" s="63" t="e">
        <f>IF(AND('Mapa final'!#REF!="Muy Baja",'Mapa final'!#REF!="Leve"),CONCATENATE("R2C",'Mapa final'!#REF!),"")</f>
        <v>#REF!</v>
      </c>
      <c r="L47" s="63" t="e">
        <f>IF(AND('Mapa final'!#REF!="Muy Baja",'Mapa final'!#REF!="Leve"),CONCATENATE("R2C",'Mapa final'!#REF!),"")</f>
        <v>#REF!</v>
      </c>
      <c r="M47" s="63" t="e">
        <f>IF(AND('Mapa final'!#REF!="Muy Baja",'Mapa final'!#REF!="Leve"),CONCATENATE("R2C",'Mapa final'!#REF!),"")</f>
        <v>#REF!</v>
      </c>
      <c r="N47" s="63" t="e">
        <f>IF(AND('Mapa final'!#REF!="Muy Baja",'Mapa final'!#REF!="Leve"),CONCATENATE("R2C",'Mapa final'!#REF!),"")</f>
        <v>#REF!</v>
      </c>
      <c r="O47" s="64" t="e">
        <f>IF(AND('Mapa final'!#REF!="Muy Baja",'Mapa final'!#REF!="Leve"),CONCATENATE("R2C",'Mapa final'!#REF!),"")</f>
        <v>#REF!</v>
      </c>
      <c r="P47" s="62" t="e">
        <f>IF(AND('Mapa final'!#REF!="Muy Baja",'Mapa final'!#REF!="Menor"),CONCATENATE("R2C",'Mapa final'!#REF!),"")</f>
        <v>#REF!</v>
      </c>
      <c r="Q47" s="63" t="e">
        <f>IF(AND('Mapa final'!#REF!="Muy Baja",'Mapa final'!#REF!="Menor"),CONCATENATE("R2C",'Mapa final'!#REF!),"")</f>
        <v>#REF!</v>
      </c>
      <c r="R47" s="63" t="e">
        <f>IF(AND('Mapa final'!#REF!="Muy Baja",'Mapa final'!#REF!="Menor"),CONCATENATE("R2C",'Mapa final'!#REF!),"")</f>
        <v>#REF!</v>
      </c>
      <c r="S47" s="63" t="e">
        <f>IF(AND('Mapa final'!#REF!="Muy Baja",'Mapa final'!#REF!="Menor"),CONCATENATE("R2C",'Mapa final'!#REF!),"")</f>
        <v>#REF!</v>
      </c>
      <c r="T47" s="63" t="e">
        <f>IF(AND('Mapa final'!#REF!="Muy Baja",'Mapa final'!#REF!="Menor"),CONCATENATE("R2C",'Mapa final'!#REF!),"")</f>
        <v>#REF!</v>
      </c>
      <c r="U47" s="64" t="e">
        <f>IF(AND('Mapa final'!#REF!="Muy Baja",'Mapa final'!#REF!="Menor"),CONCATENATE("R2C",'Mapa final'!#REF!),"")</f>
        <v>#REF!</v>
      </c>
      <c r="V47" s="53" t="e">
        <f>IF(AND('Mapa final'!#REF!="Muy Baja",'Mapa final'!#REF!="Moderado"),CONCATENATE("R2C",'Mapa final'!#REF!),"")</f>
        <v>#REF!</v>
      </c>
      <c r="W47" s="54" t="e">
        <f>IF(AND('Mapa final'!#REF!="Muy Baja",'Mapa final'!#REF!="Moderado"),CONCATENATE("R2C",'Mapa final'!#REF!),"")</f>
        <v>#REF!</v>
      </c>
      <c r="X47" s="54" t="e">
        <f>IF(AND('Mapa final'!#REF!="Muy Baja",'Mapa final'!#REF!="Moderado"),CONCATENATE("R2C",'Mapa final'!#REF!),"")</f>
        <v>#REF!</v>
      </c>
      <c r="Y47" s="54" t="e">
        <f>IF(AND('Mapa final'!#REF!="Muy Baja",'Mapa final'!#REF!="Moderado"),CONCATENATE("R2C",'Mapa final'!#REF!),"")</f>
        <v>#REF!</v>
      </c>
      <c r="Z47" s="54" t="e">
        <f>IF(AND('Mapa final'!#REF!="Muy Baja",'Mapa final'!#REF!="Moderado"),CONCATENATE("R2C",'Mapa final'!#REF!),"")</f>
        <v>#REF!</v>
      </c>
      <c r="AA47" s="55" t="e">
        <f>IF(AND('Mapa final'!#REF!="Muy Baja",'Mapa final'!#REF!="Moderado"),CONCATENATE("R2C",'Mapa final'!#REF!),"")</f>
        <v>#REF!</v>
      </c>
      <c r="AB47" s="38" t="e">
        <f>IF(AND('Mapa final'!#REF!="Muy Baja",'Mapa final'!#REF!="Mayor"),CONCATENATE("R2C",'Mapa final'!#REF!),"")</f>
        <v>#REF!</v>
      </c>
      <c r="AC47" s="39" t="e">
        <f>IF(AND('Mapa final'!#REF!="Muy Baja",'Mapa final'!#REF!="Mayor"),CONCATENATE("R2C",'Mapa final'!#REF!),"")</f>
        <v>#REF!</v>
      </c>
      <c r="AD47" s="39" t="e">
        <f>IF(AND('Mapa final'!#REF!="Muy Baja",'Mapa final'!#REF!="Mayor"),CONCATENATE("R2C",'Mapa final'!#REF!),"")</f>
        <v>#REF!</v>
      </c>
      <c r="AE47" s="39" t="e">
        <f>IF(AND('Mapa final'!#REF!="Muy Baja",'Mapa final'!#REF!="Mayor"),CONCATENATE("R2C",'Mapa final'!#REF!),"")</f>
        <v>#REF!</v>
      </c>
      <c r="AF47" s="39" t="e">
        <f>IF(AND('Mapa final'!#REF!="Muy Baja",'Mapa final'!#REF!="Mayor"),CONCATENATE("R2C",'Mapa final'!#REF!),"")</f>
        <v>#REF!</v>
      </c>
      <c r="AG47" s="40" t="e">
        <f>IF(AND('Mapa final'!#REF!="Muy Baja",'Mapa final'!#REF!="Mayor"),CONCATENATE("R2C",'Mapa final'!#REF!),"")</f>
        <v>#REF!</v>
      </c>
      <c r="AH47" s="41" t="e">
        <f>IF(AND('Mapa final'!#REF!="Muy Baja",'Mapa final'!#REF!="Catastrófico"),CONCATENATE("R2C",'Mapa final'!#REF!),"")</f>
        <v>#REF!</v>
      </c>
      <c r="AI47" s="42" t="e">
        <f>IF(AND('Mapa final'!#REF!="Muy Baja",'Mapa final'!#REF!="Catastrófico"),CONCATENATE("R2C",'Mapa final'!#REF!),"")</f>
        <v>#REF!</v>
      </c>
      <c r="AJ47" s="42" t="e">
        <f>IF(AND('Mapa final'!#REF!="Muy Baja",'Mapa final'!#REF!="Catastrófico"),CONCATENATE("R2C",'Mapa final'!#REF!),"")</f>
        <v>#REF!</v>
      </c>
      <c r="AK47" s="42" t="e">
        <f>IF(AND('Mapa final'!#REF!="Muy Baja",'Mapa final'!#REF!="Catastrófico"),CONCATENATE("R2C",'Mapa final'!#REF!),"")</f>
        <v>#REF!</v>
      </c>
      <c r="AL47" s="42" t="e">
        <f>IF(AND('Mapa final'!#REF!="Muy Baja",'Mapa final'!#REF!="Catastrófico"),CONCATENATE("R2C",'Mapa final'!#REF!),"")</f>
        <v>#REF!</v>
      </c>
      <c r="AM47" s="43" t="e">
        <f>IF(AND('Mapa final'!#REF!="Muy Baja",'Mapa final'!#REF!="Catastrófico"),CONCATENATE("R2C",'Mapa final'!#REF!),"")</f>
        <v>#REF!</v>
      </c>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row>
    <row r="48" spans="1:80" ht="15" customHeight="1" x14ac:dyDescent="0.25">
      <c r="A48" s="69"/>
      <c r="B48" s="305"/>
      <c r="C48" s="305"/>
      <c r="D48" s="306"/>
      <c r="E48" s="362"/>
      <c r="F48" s="347"/>
      <c r="G48" s="347"/>
      <c r="H48" s="347"/>
      <c r="I48" s="348"/>
      <c r="J48" s="62" t="e">
        <f>IF(AND('Mapa final'!#REF!="Muy Baja",'Mapa final'!#REF!="Leve"),CONCATENATE("R3C",'Mapa final'!#REF!),"")</f>
        <v>#REF!</v>
      </c>
      <c r="K48" s="63" t="e">
        <f>IF(AND('Mapa final'!#REF!="Muy Baja",'Mapa final'!#REF!="Leve"),CONCATENATE("R3C",'Mapa final'!#REF!),"")</f>
        <v>#REF!</v>
      </c>
      <c r="L48" s="63" t="e">
        <f>IF(AND('Mapa final'!#REF!="Muy Baja",'Mapa final'!#REF!="Leve"),CONCATENATE("R3C",'Mapa final'!#REF!),"")</f>
        <v>#REF!</v>
      </c>
      <c r="M48" s="63" t="e">
        <f>IF(AND('Mapa final'!#REF!="Muy Baja",'Mapa final'!#REF!="Leve"),CONCATENATE("R3C",'Mapa final'!#REF!),"")</f>
        <v>#REF!</v>
      </c>
      <c r="N48" s="63" t="e">
        <f>IF(AND('Mapa final'!#REF!="Muy Baja",'Mapa final'!#REF!="Leve"),CONCATENATE("R3C",'Mapa final'!#REF!),"")</f>
        <v>#REF!</v>
      </c>
      <c r="O48" s="64" t="e">
        <f>IF(AND('Mapa final'!#REF!="Muy Baja",'Mapa final'!#REF!="Leve"),CONCATENATE("R3C",'Mapa final'!#REF!),"")</f>
        <v>#REF!</v>
      </c>
      <c r="P48" s="62" t="e">
        <f>IF(AND('Mapa final'!#REF!="Muy Baja",'Mapa final'!#REF!="Menor"),CONCATENATE("R3C",'Mapa final'!#REF!),"")</f>
        <v>#REF!</v>
      </c>
      <c r="Q48" s="63" t="e">
        <f>IF(AND('Mapa final'!#REF!="Muy Baja",'Mapa final'!#REF!="Menor"),CONCATENATE("R3C",'Mapa final'!#REF!),"")</f>
        <v>#REF!</v>
      </c>
      <c r="R48" s="63" t="e">
        <f>IF(AND('Mapa final'!#REF!="Muy Baja",'Mapa final'!#REF!="Menor"),CONCATENATE("R3C",'Mapa final'!#REF!),"")</f>
        <v>#REF!</v>
      </c>
      <c r="S48" s="63" t="e">
        <f>IF(AND('Mapa final'!#REF!="Muy Baja",'Mapa final'!#REF!="Menor"),CONCATENATE("R3C",'Mapa final'!#REF!),"")</f>
        <v>#REF!</v>
      </c>
      <c r="T48" s="63" t="e">
        <f>IF(AND('Mapa final'!#REF!="Muy Baja",'Mapa final'!#REF!="Menor"),CONCATENATE("R3C",'Mapa final'!#REF!),"")</f>
        <v>#REF!</v>
      </c>
      <c r="U48" s="64" t="e">
        <f>IF(AND('Mapa final'!#REF!="Muy Baja",'Mapa final'!#REF!="Menor"),CONCATENATE("R3C",'Mapa final'!#REF!),"")</f>
        <v>#REF!</v>
      </c>
      <c r="V48" s="53" t="e">
        <f>IF(AND('Mapa final'!#REF!="Muy Baja",'Mapa final'!#REF!="Moderado"),CONCATENATE("R3C",'Mapa final'!#REF!),"")</f>
        <v>#REF!</v>
      </c>
      <c r="W48" s="54" t="e">
        <f>IF(AND('Mapa final'!#REF!="Muy Baja",'Mapa final'!#REF!="Moderado"),CONCATENATE("R3C",'Mapa final'!#REF!),"")</f>
        <v>#REF!</v>
      </c>
      <c r="X48" s="54" t="e">
        <f>IF(AND('Mapa final'!#REF!="Muy Baja",'Mapa final'!#REF!="Moderado"),CONCATENATE("R3C",'Mapa final'!#REF!),"")</f>
        <v>#REF!</v>
      </c>
      <c r="Y48" s="54" t="e">
        <f>IF(AND('Mapa final'!#REF!="Muy Baja",'Mapa final'!#REF!="Moderado"),CONCATENATE("R3C",'Mapa final'!#REF!),"")</f>
        <v>#REF!</v>
      </c>
      <c r="Z48" s="54" t="e">
        <f>IF(AND('Mapa final'!#REF!="Muy Baja",'Mapa final'!#REF!="Moderado"),CONCATENATE("R3C",'Mapa final'!#REF!),"")</f>
        <v>#REF!</v>
      </c>
      <c r="AA48" s="55" t="e">
        <f>IF(AND('Mapa final'!#REF!="Muy Baja",'Mapa final'!#REF!="Moderado"),CONCATENATE("R3C",'Mapa final'!#REF!),"")</f>
        <v>#REF!</v>
      </c>
      <c r="AB48" s="38" t="e">
        <f>IF(AND('Mapa final'!#REF!="Muy Baja",'Mapa final'!#REF!="Mayor"),CONCATENATE("R3C",'Mapa final'!#REF!),"")</f>
        <v>#REF!</v>
      </c>
      <c r="AC48" s="39" t="e">
        <f>IF(AND('Mapa final'!#REF!="Muy Baja",'Mapa final'!#REF!="Mayor"),CONCATENATE("R3C",'Mapa final'!#REF!),"")</f>
        <v>#REF!</v>
      </c>
      <c r="AD48" s="39" t="e">
        <f>IF(AND('Mapa final'!#REF!="Muy Baja",'Mapa final'!#REF!="Mayor"),CONCATENATE("R3C",'Mapa final'!#REF!),"")</f>
        <v>#REF!</v>
      </c>
      <c r="AE48" s="39" t="e">
        <f>IF(AND('Mapa final'!#REF!="Muy Baja",'Mapa final'!#REF!="Mayor"),CONCATENATE("R3C",'Mapa final'!#REF!),"")</f>
        <v>#REF!</v>
      </c>
      <c r="AF48" s="39" t="e">
        <f>IF(AND('Mapa final'!#REF!="Muy Baja",'Mapa final'!#REF!="Mayor"),CONCATENATE("R3C",'Mapa final'!#REF!),"")</f>
        <v>#REF!</v>
      </c>
      <c r="AG48" s="40" t="e">
        <f>IF(AND('Mapa final'!#REF!="Muy Baja",'Mapa final'!#REF!="Mayor"),CONCATENATE("R3C",'Mapa final'!#REF!),"")</f>
        <v>#REF!</v>
      </c>
      <c r="AH48" s="41" t="e">
        <f>IF(AND('Mapa final'!#REF!="Muy Baja",'Mapa final'!#REF!="Catastrófico"),CONCATENATE("R3C",'Mapa final'!#REF!),"")</f>
        <v>#REF!</v>
      </c>
      <c r="AI48" s="42" t="e">
        <f>IF(AND('Mapa final'!#REF!="Muy Baja",'Mapa final'!#REF!="Catastrófico"),CONCATENATE("R3C",'Mapa final'!#REF!),"")</f>
        <v>#REF!</v>
      </c>
      <c r="AJ48" s="42" t="e">
        <f>IF(AND('Mapa final'!#REF!="Muy Baja",'Mapa final'!#REF!="Catastrófico"),CONCATENATE("R3C",'Mapa final'!#REF!),"")</f>
        <v>#REF!</v>
      </c>
      <c r="AK48" s="42" t="e">
        <f>IF(AND('Mapa final'!#REF!="Muy Baja",'Mapa final'!#REF!="Catastrófico"),CONCATENATE("R3C",'Mapa final'!#REF!),"")</f>
        <v>#REF!</v>
      </c>
      <c r="AL48" s="42" t="e">
        <f>IF(AND('Mapa final'!#REF!="Muy Baja",'Mapa final'!#REF!="Catastrófico"),CONCATENATE("R3C",'Mapa final'!#REF!),"")</f>
        <v>#REF!</v>
      </c>
      <c r="AM48" s="43" t="e">
        <f>IF(AND('Mapa final'!#REF!="Muy Baja",'Mapa final'!#REF!="Catastrófico"),CONCATENATE("R3C",'Mapa final'!#REF!),"")</f>
        <v>#REF!</v>
      </c>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row>
    <row r="49" spans="1:80" ht="15" customHeight="1" x14ac:dyDescent="0.25">
      <c r="A49" s="69"/>
      <c r="B49" s="305"/>
      <c r="C49" s="305"/>
      <c r="D49" s="306"/>
      <c r="E49" s="346"/>
      <c r="F49" s="347"/>
      <c r="G49" s="347"/>
      <c r="H49" s="347"/>
      <c r="I49" s="348"/>
      <c r="J49" s="62" t="str">
        <f>IF(AND('Mapa final'!$Y$13="Muy Baja",'Mapa final'!$AA$13="Leve"),CONCATENATE("R4C",'Mapa final'!$O$13),"")</f>
        <v/>
      </c>
      <c r="K49" s="63" t="str">
        <f>IF(AND('Mapa final'!$Y$14="Muy Baja",'Mapa final'!$AA$14="Leve"),CONCATENATE("R4C",'Mapa final'!$O$14),"")</f>
        <v/>
      </c>
      <c r="L49" s="63" t="str">
        <f>IF(AND('Mapa final'!$Y$15="Muy Baja",'Mapa final'!$AA$15="Leve"),CONCATENATE("R4C",'Mapa final'!$O$15),"")</f>
        <v>R4C3</v>
      </c>
      <c r="M49" s="63" t="str">
        <f>IF(AND('Mapa final'!$Y$16="Muy Baja",'Mapa final'!$AA$16="Leve"),CONCATENATE("R4C",'Mapa final'!$O$16),"")</f>
        <v/>
      </c>
      <c r="N49" s="63" t="str">
        <f>IF(AND('Mapa final'!$Y$17="Muy Baja",'Mapa final'!$AA$17="Leve"),CONCATENATE("R4C",'Mapa final'!$O$17),"")</f>
        <v/>
      </c>
      <c r="O49" s="64" t="str">
        <f>IF(AND('Mapa final'!$Y$18="Muy Baja",'Mapa final'!$AA$18="Leve"),CONCATENATE("R4C",'Mapa final'!$O$18),"")</f>
        <v/>
      </c>
      <c r="P49" s="62" t="str">
        <f>IF(AND('Mapa final'!$Y$13="Muy Baja",'Mapa final'!$AA$13="Menor"),CONCATENATE("R4C",'Mapa final'!$O$13),"")</f>
        <v/>
      </c>
      <c r="Q49" s="63" t="str">
        <f>IF(AND('Mapa final'!$Y$14="Muy Baja",'Mapa final'!$AA$14="Menor"),CONCATENATE("R4C",'Mapa final'!$O$14),"")</f>
        <v/>
      </c>
      <c r="R49" s="63" t="str">
        <f>IF(AND('Mapa final'!$Y$15="Muy Baja",'Mapa final'!$AA$15="Menor"),CONCATENATE("R4C",'Mapa final'!$O$15),"")</f>
        <v/>
      </c>
      <c r="S49" s="63" t="str">
        <f>IF(AND('Mapa final'!$Y$16="Muy Baja",'Mapa final'!$AA$16="Menor"),CONCATENATE("R4C",'Mapa final'!$O$16),"")</f>
        <v/>
      </c>
      <c r="T49" s="63" t="str">
        <f>IF(AND('Mapa final'!$Y$17="Muy Baja",'Mapa final'!$AA$17="Menor"),CONCATENATE("R4C",'Mapa final'!$O$17),"")</f>
        <v/>
      </c>
      <c r="U49" s="64" t="str">
        <f>IF(AND('Mapa final'!$Y$18="Muy Baja",'Mapa final'!$AA$18="Menor"),CONCATENATE("R4C",'Mapa final'!$O$18),"")</f>
        <v/>
      </c>
      <c r="V49" s="53" t="str">
        <f>IF(AND('Mapa final'!$Y$13="Muy Baja",'Mapa final'!$AA$13="Moderado"),CONCATENATE("R4C",'Mapa final'!$O$13),"")</f>
        <v/>
      </c>
      <c r="W49" s="54" t="str">
        <f>IF(AND('Mapa final'!$Y$14="Muy Baja",'Mapa final'!$AA$14="Moderado"),CONCATENATE("R4C",'Mapa final'!$O$14),"")</f>
        <v/>
      </c>
      <c r="X49" s="54" t="str">
        <f>IF(AND('Mapa final'!$Y$15="Muy Baja",'Mapa final'!$AA$15="Moderado"),CONCATENATE("R4C",'Mapa final'!$O$15),"")</f>
        <v/>
      </c>
      <c r="Y49" s="54" t="str">
        <f>IF(AND('Mapa final'!$Y$16="Muy Baja",'Mapa final'!$AA$16="Moderado"),CONCATENATE("R4C",'Mapa final'!$O$16),"")</f>
        <v/>
      </c>
      <c r="Z49" s="54" t="str">
        <f>IF(AND('Mapa final'!$Y$17="Muy Baja",'Mapa final'!$AA$17="Moderado"),CONCATENATE("R4C",'Mapa final'!$O$17),"")</f>
        <v/>
      </c>
      <c r="AA49" s="55" t="str">
        <f>IF(AND('Mapa final'!$Y$18="Muy Baja",'Mapa final'!$AA$18="Moderado"),CONCATENATE("R4C",'Mapa final'!$O$18),"")</f>
        <v/>
      </c>
      <c r="AB49" s="38" t="str">
        <f>IF(AND('Mapa final'!$Y$13="Muy Baja",'Mapa final'!$AA$13="Mayor"),CONCATENATE("R4C",'Mapa final'!$O$13),"")</f>
        <v/>
      </c>
      <c r="AC49" s="39" t="str">
        <f>IF(AND('Mapa final'!$Y$14="Muy Baja",'Mapa final'!$AA$14="Mayor"),CONCATENATE("R4C",'Mapa final'!$O$14),"")</f>
        <v/>
      </c>
      <c r="AD49" s="39" t="str">
        <f>IF(AND('Mapa final'!$Y$15="Muy Baja",'Mapa final'!$AA$15="Mayor"),CONCATENATE("R4C",'Mapa final'!$O$15),"")</f>
        <v/>
      </c>
      <c r="AE49" s="39" t="str">
        <f>IF(AND('Mapa final'!$Y$16="Muy Baja",'Mapa final'!$AA$16="Mayor"),CONCATENATE("R4C",'Mapa final'!$O$16),"")</f>
        <v/>
      </c>
      <c r="AF49" s="39" t="str">
        <f>IF(AND('Mapa final'!$Y$17="Muy Baja",'Mapa final'!$AA$17="Mayor"),CONCATENATE("R4C",'Mapa final'!$O$17),"")</f>
        <v/>
      </c>
      <c r="AG49" s="40" t="str">
        <f>IF(AND('Mapa final'!$Y$18="Muy Baja",'Mapa final'!$AA$18="Mayor"),CONCATENATE("R4C",'Mapa final'!$O$18),"")</f>
        <v/>
      </c>
      <c r="AH49" s="41" t="str">
        <f>IF(AND('Mapa final'!$Y$13="Muy Baja",'Mapa final'!$AA$13="Catastrófico"),CONCATENATE("R4C",'Mapa final'!$O$13),"")</f>
        <v/>
      </c>
      <c r="AI49" s="42" t="str">
        <f>IF(AND('Mapa final'!$Y$14="Muy Baja",'Mapa final'!$AA$14="Catastrófico"),CONCATENATE("R4C",'Mapa final'!$O$14),"")</f>
        <v/>
      </c>
      <c r="AJ49" s="42" t="str">
        <f>IF(AND('Mapa final'!$Y$15="Muy Baja",'Mapa final'!$AA$15="Catastrófico"),CONCATENATE("R4C",'Mapa final'!$O$15),"")</f>
        <v/>
      </c>
      <c r="AK49" s="42" t="str">
        <f>IF(AND('Mapa final'!$Y$16="Muy Baja",'Mapa final'!$AA$16="Catastrófico"),CONCATENATE("R4C",'Mapa final'!$O$16),"")</f>
        <v/>
      </c>
      <c r="AL49" s="42" t="str">
        <f>IF(AND('Mapa final'!$Y$17="Muy Baja",'Mapa final'!$AA$17="Catastrófico"),CONCATENATE("R4C",'Mapa final'!$O$17),"")</f>
        <v/>
      </c>
      <c r="AM49" s="43" t="str">
        <f>IF(AND('Mapa final'!$Y$18="Muy Baja",'Mapa final'!$AA$18="Catastrófico"),CONCATENATE("R4C",'Mapa final'!$O$18),"")</f>
        <v/>
      </c>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row>
    <row r="50" spans="1:80" ht="15" customHeight="1" x14ac:dyDescent="0.25">
      <c r="A50" s="69"/>
      <c r="B50" s="305"/>
      <c r="C50" s="305"/>
      <c r="D50" s="306"/>
      <c r="E50" s="346"/>
      <c r="F50" s="347"/>
      <c r="G50" s="347"/>
      <c r="H50" s="347"/>
      <c r="I50" s="348"/>
      <c r="J50" s="62" t="e">
        <f>IF(AND('Mapa final'!#REF!="Muy Baja",'Mapa final'!#REF!="Leve"),CONCATENATE("R5C",'Mapa final'!#REF!),"")</f>
        <v>#REF!</v>
      </c>
      <c r="K50" s="63" t="e">
        <f>IF(AND('Mapa final'!#REF!="Muy Baja",'Mapa final'!#REF!="Leve"),CONCATENATE("R5C",'Mapa final'!#REF!),"")</f>
        <v>#REF!</v>
      </c>
      <c r="L50" s="63" t="e">
        <f>IF(AND('Mapa final'!#REF!="Muy Baja",'Mapa final'!#REF!="Leve"),CONCATENATE("R5C",'Mapa final'!#REF!),"")</f>
        <v>#REF!</v>
      </c>
      <c r="M50" s="63" t="e">
        <f>IF(AND('Mapa final'!#REF!="Muy Baja",'Mapa final'!#REF!="Leve"),CONCATENATE("R5C",'Mapa final'!#REF!),"")</f>
        <v>#REF!</v>
      </c>
      <c r="N50" s="63" t="e">
        <f>IF(AND('Mapa final'!#REF!="Muy Baja",'Mapa final'!#REF!="Leve"),CONCATENATE("R5C",'Mapa final'!#REF!),"")</f>
        <v>#REF!</v>
      </c>
      <c r="O50" s="64" t="e">
        <f>IF(AND('Mapa final'!#REF!="Muy Baja",'Mapa final'!#REF!="Leve"),CONCATENATE("R5C",'Mapa final'!#REF!),"")</f>
        <v>#REF!</v>
      </c>
      <c r="P50" s="62" t="e">
        <f>IF(AND('Mapa final'!#REF!="Muy Baja",'Mapa final'!#REF!="Menor"),CONCATENATE("R5C",'Mapa final'!#REF!),"")</f>
        <v>#REF!</v>
      </c>
      <c r="Q50" s="63" t="e">
        <f>IF(AND('Mapa final'!#REF!="Muy Baja",'Mapa final'!#REF!="Menor"),CONCATENATE("R5C",'Mapa final'!#REF!),"")</f>
        <v>#REF!</v>
      </c>
      <c r="R50" s="63" t="e">
        <f>IF(AND('Mapa final'!#REF!="Muy Baja",'Mapa final'!#REF!="Menor"),CONCATENATE("R5C",'Mapa final'!#REF!),"")</f>
        <v>#REF!</v>
      </c>
      <c r="S50" s="63" t="e">
        <f>IF(AND('Mapa final'!#REF!="Muy Baja",'Mapa final'!#REF!="Menor"),CONCATENATE("R5C",'Mapa final'!#REF!),"")</f>
        <v>#REF!</v>
      </c>
      <c r="T50" s="63" t="e">
        <f>IF(AND('Mapa final'!#REF!="Muy Baja",'Mapa final'!#REF!="Menor"),CONCATENATE("R5C",'Mapa final'!#REF!),"")</f>
        <v>#REF!</v>
      </c>
      <c r="U50" s="64" t="e">
        <f>IF(AND('Mapa final'!#REF!="Muy Baja",'Mapa final'!#REF!="Menor"),CONCATENATE("R5C",'Mapa final'!#REF!),"")</f>
        <v>#REF!</v>
      </c>
      <c r="V50" s="53" t="e">
        <f>IF(AND('Mapa final'!#REF!="Muy Baja",'Mapa final'!#REF!="Moderado"),CONCATENATE("R5C",'Mapa final'!#REF!),"")</f>
        <v>#REF!</v>
      </c>
      <c r="W50" s="54" t="e">
        <f>IF(AND('Mapa final'!#REF!="Muy Baja",'Mapa final'!#REF!="Moderado"),CONCATENATE("R5C",'Mapa final'!#REF!),"")</f>
        <v>#REF!</v>
      </c>
      <c r="X50" s="54" t="e">
        <f>IF(AND('Mapa final'!#REF!="Muy Baja",'Mapa final'!#REF!="Moderado"),CONCATENATE("R5C",'Mapa final'!#REF!),"")</f>
        <v>#REF!</v>
      </c>
      <c r="Y50" s="54" t="e">
        <f>IF(AND('Mapa final'!#REF!="Muy Baja",'Mapa final'!#REF!="Moderado"),CONCATENATE("R5C",'Mapa final'!#REF!),"")</f>
        <v>#REF!</v>
      </c>
      <c r="Z50" s="54" t="e">
        <f>IF(AND('Mapa final'!#REF!="Muy Baja",'Mapa final'!#REF!="Moderado"),CONCATENATE("R5C",'Mapa final'!#REF!),"")</f>
        <v>#REF!</v>
      </c>
      <c r="AA50" s="55" t="e">
        <f>IF(AND('Mapa final'!#REF!="Muy Baja",'Mapa final'!#REF!="Moderado"),CONCATENATE("R5C",'Mapa final'!#REF!),"")</f>
        <v>#REF!</v>
      </c>
      <c r="AB50" s="38" t="e">
        <f>IF(AND('Mapa final'!#REF!="Muy Baja",'Mapa final'!#REF!="Mayor"),CONCATENATE("R5C",'Mapa final'!#REF!),"")</f>
        <v>#REF!</v>
      </c>
      <c r="AC50" s="39" t="e">
        <f>IF(AND('Mapa final'!#REF!="Muy Baja",'Mapa final'!#REF!="Mayor"),CONCATENATE("R5C",'Mapa final'!#REF!),"")</f>
        <v>#REF!</v>
      </c>
      <c r="AD50" s="39" t="e">
        <f>IF(AND('Mapa final'!#REF!="Muy Baja",'Mapa final'!#REF!="Mayor"),CONCATENATE("R5C",'Mapa final'!#REF!),"")</f>
        <v>#REF!</v>
      </c>
      <c r="AE50" s="39" t="e">
        <f>IF(AND('Mapa final'!#REF!="Muy Baja",'Mapa final'!#REF!="Mayor"),CONCATENATE("R5C",'Mapa final'!#REF!),"")</f>
        <v>#REF!</v>
      </c>
      <c r="AF50" s="39" t="e">
        <f>IF(AND('Mapa final'!#REF!="Muy Baja",'Mapa final'!#REF!="Mayor"),CONCATENATE("R5C",'Mapa final'!#REF!),"")</f>
        <v>#REF!</v>
      </c>
      <c r="AG50" s="40" t="e">
        <f>IF(AND('Mapa final'!#REF!="Muy Baja",'Mapa final'!#REF!="Mayor"),CONCATENATE("R5C",'Mapa final'!#REF!),"")</f>
        <v>#REF!</v>
      </c>
      <c r="AH50" s="41" t="e">
        <f>IF(AND('Mapa final'!#REF!="Muy Baja",'Mapa final'!#REF!="Catastrófico"),CONCATENATE("R5C",'Mapa final'!#REF!),"")</f>
        <v>#REF!</v>
      </c>
      <c r="AI50" s="42" t="e">
        <f>IF(AND('Mapa final'!#REF!="Muy Baja",'Mapa final'!#REF!="Catastrófico"),CONCATENATE("R5C",'Mapa final'!#REF!),"")</f>
        <v>#REF!</v>
      </c>
      <c r="AJ50" s="42" t="e">
        <f>IF(AND('Mapa final'!#REF!="Muy Baja",'Mapa final'!#REF!="Catastrófico"),CONCATENATE("R5C",'Mapa final'!#REF!),"")</f>
        <v>#REF!</v>
      </c>
      <c r="AK50" s="42" t="e">
        <f>IF(AND('Mapa final'!#REF!="Muy Baja",'Mapa final'!#REF!="Catastrófico"),CONCATENATE("R5C",'Mapa final'!#REF!),"")</f>
        <v>#REF!</v>
      </c>
      <c r="AL50" s="42" t="e">
        <f>IF(AND('Mapa final'!#REF!="Muy Baja",'Mapa final'!#REF!="Catastrófico"),CONCATENATE("R5C",'Mapa final'!#REF!),"")</f>
        <v>#REF!</v>
      </c>
      <c r="AM50" s="43" t="e">
        <f>IF(AND('Mapa final'!#REF!="Muy Baja",'Mapa final'!#REF!="Catastrófico"),CONCATENATE("R5C",'Mapa final'!#REF!),"")</f>
        <v>#REF!</v>
      </c>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row>
    <row r="51" spans="1:80" ht="15" customHeight="1" x14ac:dyDescent="0.25">
      <c r="A51" s="69"/>
      <c r="B51" s="305"/>
      <c r="C51" s="305"/>
      <c r="D51" s="306"/>
      <c r="E51" s="346"/>
      <c r="F51" s="347"/>
      <c r="G51" s="347"/>
      <c r="H51" s="347"/>
      <c r="I51" s="348"/>
      <c r="J51" s="62" t="e">
        <f>IF(AND('Mapa final'!#REF!="Muy Baja",'Mapa final'!#REF!="Leve"),CONCATENATE("R6C",'Mapa final'!#REF!),"")</f>
        <v>#REF!</v>
      </c>
      <c r="K51" s="63" t="e">
        <f>IF(AND('Mapa final'!#REF!="Muy Baja",'Mapa final'!#REF!="Leve"),CONCATENATE("R6C",'Mapa final'!#REF!),"")</f>
        <v>#REF!</v>
      </c>
      <c r="L51" s="63" t="e">
        <f>IF(AND('Mapa final'!#REF!="Muy Baja",'Mapa final'!#REF!="Leve"),CONCATENATE("R6C",'Mapa final'!#REF!),"")</f>
        <v>#REF!</v>
      </c>
      <c r="M51" s="63" t="e">
        <f>IF(AND('Mapa final'!#REF!="Muy Baja",'Mapa final'!#REF!="Leve"),CONCATENATE("R6C",'Mapa final'!#REF!),"")</f>
        <v>#REF!</v>
      </c>
      <c r="N51" s="63" t="e">
        <f>IF(AND('Mapa final'!#REF!="Muy Baja",'Mapa final'!#REF!="Leve"),CONCATENATE("R6C",'Mapa final'!#REF!),"")</f>
        <v>#REF!</v>
      </c>
      <c r="O51" s="64" t="e">
        <f>IF(AND('Mapa final'!#REF!="Muy Baja",'Mapa final'!#REF!="Leve"),CONCATENATE("R6C",'Mapa final'!#REF!),"")</f>
        <v>#REF!</v>
      </c>
      <c r="P51" s="62" t="e">
        <f>IF(AND('Mapa final'!#REF!="Muy Baja",'Mapa final'!#REF!="Menor"),CONCATENATE("R6C",'Mapa final'!#REF!),"")</f>
        <v>#REF!</v>
      </c>
      <c r="Q51" s="63" t="e">
        <f>IF(AND('Mapa final'!#REF!="Muy Baja",'Mapa final'!#REF!="Menor"),CONCATENATE("R6C",'Mapa final'!#REF!),"")</f>
        <v>#REF!</v>
      </c>
      <c r="R51" s="63" t="e">
        <f>IF(AND('Mapa final'!#REF!="Muy Baja",'Mapa final'!#REF!="Menor"),CONCATENATE("R6C",'Mapa final'!#REF!),"")</f>
        <v>#REF!</v>
      </c>
      <c r="S51" s="63" t="e">
        <f>IF(AND('Mapa final'!#REF!="Muy Baja",'Mapa final'!#REF!="Menor"),CONCATENATE("R6C",'Mapa final'!#REF!),"")</f>
        <v>#REF!</v>
      </c>
      <c r="T51" s="63" t="e">
        <f>IF(AND('Mapa final'!#REF!="Muy Baja",'Mapa final'!#REF!="Menor"),CONCATENATE("R6C",'Mapa final'!#REF!),"")</f>
        <v>#REF!</v>
      </c>
      <c r="U51" s="64" t="e">
        <f>IF(AND('Mapa final'!#REF!="Muy Baja",'Mapa final'!#REF!="Menor"),CONCATENATE("R6C",'Mapa final'!#REF!),"")</f>
        <v>#REF!</v>
      </c>
      <c r="V51" s="53" t="e">
        <f>IF(AND('Mapa final'!#REF!="Muy Baja",'Mapa final'!#REF!="Moderado"),CONCATENATE("R6C",'Mapa final'!#REF!),"")</f>
        <v>#REF!</v>
      </c>
      <c r="W51" s="54" t="e">
        <f>IF(AND('Mapa final'!#REF!="Muy Baja",'Mapa final'!#REF!="Moderado"),CONCATENATE("R6C",'Mapa final'!#REF!),"")</f>
        <v>#REF!</v>
      </c>
      <c r="X51" s="54" t="e">
        <f>IF(AND('Mapa final'!#REF!="Muy Baja",'Mapa final'!#REF!="Moderado"),CONCATENATE("R6C",'Mapa final'!#REF!),"")</f>
        <v>#REF!</v>
      </c>
      <c r="Y51" s="54" t="e">
        <f>IF(AND('Mapa final'!#REF!="Muy Baja",'Mapa final'!#REF!="Moderado"),CONCATENATE("R6C",'Mapa final'!#REF!),"")</f>
        <v>#REF!</v>
      </c>
      <c r="Z51" s="54" t="e">
        <f>IF(AND('Mapa final'!#REF!="Muy Baja",'Mapa final'!#REF!="Moderado"),CONCATENATE("R6C",'Mapa final'!#REF!),"")</f>
        <v>#REF!</v>
      </c>
      <c r="AA51" s="55" t="e">
        <f>IF(AND('Mapa final'!#REF!="Muy Baja",'Mapa final'!#REF!="Moderado"),CONCATENATE("R6C",'Mapa final'!#REF!),"")</f>
        <v>#REF!</v>
      </c>
      <c r="AB51" s="38" t="e">
        <f>IF(AND('Mapa final'!#REF!="Muy Baja",'Mapa final'!#REF!="Mayor"),CONCATENATE("R6C",'Mapa final'!#REF!),"")</f>
        <v>#REF!</v>
      </c>
      <c r="AC51" s="39" t="e">
        <f>IF(AND('Mapa final'!#REF!="Muy Baja",'Mapa final'!#REF!="Mayor"),CONCATENATE("R6C",'Mapa final'!#REF!),"")</f>
        <v>#REF!</v>
      </c>
      <c r="AD51" s="39" t="e">
        <f>IF(AND('Mapa final'!#REF!="Muy Baja",'Mapa final'!#REF!="Mayor"),CONCATENATE("R6C",'Mapa final'!#REF!),"")</f>
        <v>#REF!</v>
      </c>
      <c r="AE51" s="39" t="e">
        <f>IF(AND('Mapa final'!#REF!="Muy Baja",'Mapa final'!#REF!="Mayor"),CONCATENATE("R6C",'Mapa final'!#REF!),"")</f>
        <v>#REF!</v>
      </c>
      <c r="AF51" s="39" t="e">
        <f>IF(AND('Mapa final'!#REF!="Muy Baja",'Mapa final'!#REF!="Mayor"),CONCATENATE("R6C",'Mapa final'!#REF!),"")</f>
        <v>#REF!</v>
      </c>
      <c r="AG51" s="40" t="e">
        <f>IF(AND('Mapa final'!#REF!="Muy Baja",'Mapa final'!#REF!="Mayor"),CONCATENATE("R6C",'Mapa final'!#REF!),"")</f>
        <v>#REF!</v>
      </c>
      <c r="AH51" s="41" t="e">
        <f>IF(AND('Mapa final'!#REF!="Muy Baja",'Mapa final'!#REF!="Catastrófico"),CONCATENATE("R6C",'Mapa final'!#REF!),"")</f>
        <v>#REF!</v>
      </c>
      <c r="AI51" s="42" t="e">
        <f>IF(AND('Mapa final'!#REF!="Muy Baja",'Mapa final'!#REF!="Catastrófico"),CONCATENATE("R6C",'Mapa final'!#REF!),"")</f>
        <v>#REF!</v>
      </c>
      <c r="AJ51" s="42" t="e">
        <f>IF(AND('Mapa final'!#REF!="Muy Baja",'Mapa final'!#REF!="Catastrófico"),CONCATENATE("R6C",'Mapa final'!#REF!),"")</f>
        <v>#REF!</v>
      </c>
      <c r="AK51" s="42" t="e">
        <f>IF(AND('Mapa final'!#REF!="Muy Baja",'Mapa final'!#REF!="Catastrófico"),CONCATENATE("R6C",'Mapa final'!#REF!),"")</f>
        <v>#REF!</v>
      </c>
      <c r="AL51" s="42" t="e">
        <f>IF(AND('Mapa final'!#REF!="Muy Baja",'Mapa final'!#REF!="Catastrófico"),CONCATENATE("R6C",'Mapa final'!#REF!),"")</f>
        <v>#REF!</v>
      </c>
      <c r="AM51" s="43" t="e">
        <f>IF(AND('Mapa final'!#REF!="Muy Baja",'Mapa final'!#REF!="Catastrófico"),CONCATENATE("R6C",'Mapa final'!#REF!),"")</f>
        <v>#REF!</v>
      </c>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row>
    <row r="52" spans="1:80" ht="15" customHeight="1" x14ac:dyDescent="0.25">
      <c r="A52" s="69"/>
      <c r="B52" s="305"/>
      <c r="C52" s="305"/>
      <c r="D52" s="306"/>
      <c r="E52" s="346"/>
      <c r="F52" s="347"/>
      <c r="G52" s="347"/>
      <c r="H52" s="347"/>
      <c r="I52" s="348"/>
      <c r="J52" s="62" t="e">
        <f>IF(AND('Mapa final'!#REF!="Muy Baja",'Mapa final'!#REF!="Leve"),CONCATENATE("R7C",'Mapa final'!#REF!),"")</f>
        <v>#REF!</v>
      </c>
      <c r="K52" s="63" t="e">
        <f>IF(AND('Mapa final'!#REF!="Muy Baja",'Mapa final'!#REF!="Leve"),CONCATENATE("R7C",'Mapa final'!#REF!),"")</f>
        <v>#REF!</v>
      </c>
      <c r="L52" s="63" t="e">
        <f>IF(AND('Mapa final'!#REF!="Muy Baja",'Mapa final'!#REF!="Leve"),CONCATENATE("R7C",'Mapa final'!#REF!),"")</f>
        <v>#REF!</v>
      </c>
      <c r="M52" s="63" t="e">
        <f>IF(AND('Mapa final'!#REF!="Muy Baja",'Mapa final'!#REF!="Leve"),CONCATENATE("R7C",'Mapa final'!#REF!),"")</f>
        <v>#REF!</v>
      </c>
      <c r="N52" s="63" t="e">
        <f>IF(AND('Mapa final'!#REF!="Muy Baja",'Mapa final'!#REF!="Leve"),CONCATENATE("R7C",'Mapa final'!#REF!),"")</f>
        <v>#REF!</v>
      </c>
      <c r="O52" s="64" t="e">
        <f>IF(AND('Mapa final'!#REF!="Muy Baja",'Mapa final'!#REF!="Leve"),CONCATENATE("R7C",'Mapa final'!#REF!),"")</f>
        <v>#REF!</v>
      </c>
      <c r="P52" s="62" t="e">
        <f>IF(AND('Mapa final'!#REF!="Muy Baja",'Mapa final'!#REF!="Menor"),CONCATENATE("R7C",'Mapa final'!#REF!),"")</f>
        <v>#REF!</v>
      </c>
      <c r="Q52" s="63" t="e">
        <f>IF(AND('Mapa final'!#REF!="Muy Baja",'Mapa final'!#REF!="Menor"),CONCATENATE("R7C",'Mapa final'!#REF!),"")</f>
        <v>#REF!</v>
      </c>
      <c r="R52" s="63" t="e">
        <f>IF(AND('Mapa final'!#REF!="Muy Baja",'Mapa final'!#REF!="Menor"),CONCATENATE("R7C",'Mapa final'!#REF!),"")</f>
        <v>#REF!</v>
      </c>
      <c r="S52" s="63" t="e">
        <f>IF(AND('Mapa final'!#REF!="Muy Baja",'Mapa final'!#REF!="Menor"),CONCATENATE("R7C",'Mapa final'!#REF!),"")</f>
        <v>#REF!</v>
      </c>
      <c r="T52" s="63" t="e">
        <f>IF(AND('Mapa final'!#REF!="Muy Baja",'Mapa final'!#REF!="Menor"),CONCATENATE("R7C",'Mapa final'!#REF!),"")</f>
        <v>#REF!</v>
      </c>
      <c r="U52" s="64" t="e">
        <f>IF(AND('Mapa final'!#REF!="Muy Baja",'Mapa final'!#REF!="Menor"),CONCATENATE("R7C",'Mapa final'!#REF!),"")</f>
        <v>#REF!</v>
      </c>
      <c r="V52" s="53" t="e">
        <f>IF(AND('Mapa final'!#REF!="Muy Baja",'Mapa final'!#REF!="Moderado"),CONCATENATE("R7C",'Mapa final'!#REF!),"")</f>
        <v>#REF!</v>
      </c>
      <c r="W52" s="54" t="e">
        <f>IF(AND('Mapa final'!#REF!="Muy Baja",'Mapa final'!#REF!="Moderado"),CONCATENATE("R7C",'Mapa final'!#REF!),"")</f>
        <v>#REF!</v>
      </c>
      <c r="X52" s="54" t="e">
        <f>IF(AND('Mapa final'!#REF!="Muy Baja",'Mapa final'!#REF!="Moderado"),CONCATENATE("R7C",'Mapa final'!#REF!),"")</f>
        <v>#REF!</v>
      </c>
      <c r="Y52" s="54" t="e">
        <f>IF(AND('Mapa final'!#REF!="Muy Baja",'Mapa final'!#REF!="Moderado"),CONCATENATE("R7C",'Mapa final'!#REF!),"")</f>
        <v>#REF!</v>
      </c>
      <c r="Z52" s="54" t="e">
        <f>IF(AND('Mapa final'!#REF!="Muy Baja",'Mapa final'!#REF!="Moderado"),CONCATENATE("R7C",'Mapa final'!#REF!),"")</f>
        <v>#REF!</v>
      </c>
      <c r="AA52" s="55" t="e">
        <f>IF(AND('Mapa final'!#REF!="Muy Baja",'Mapa final'!#REF!="Moderado"),CONCATENATE("R7C",'Mapa final'!#REF!),"")</f>
        <v>#REF!</v>
      </c>
      <c r="AB52" s="38" t="e">
        <f>IF(AND('Mapa final'!#REF!="Muy Baja",'Mapa final'!#REF!="Mayor"),CONCATENATE("R7C",'Mapa final'!#REF!),"")</f>
        <v>#REF!</v>
      </c>
      <c r="AC52" s="39" t="e">
        <f>IF(AND('Mapa final'!#REF!="Muy Baja",'Mapa final'!#REF!="Mayor"),CONCATENATE("R7C",'Mapa final'!#REF!),"")</f>
        <v>#REF!</v>
      </c>
      <c r="AD52" s="39" t="e">
        <f>IF(AND('Mapa final'!#REF!="Muy Baja",'Mapa final'!#REF!="Mayor"),CONCATENATE("R7C",'Mapa final'!#REF!),"")</f>
        <v>#REF!</v>
      </c>
      <c r="AE52" s="39" t="e">
        <f>IF(AND('Mapa final'!#REF!="Muy Baja",'Mapa final'!#REF!="Mayor"),CONCATENATE("R7C",'Mapa final'!#REF!),"")</f>
        <v>#REF!</v>
      </c>
      <c r="AF52" s="39" t="e">
        <f>IF(AND('Mapa final'!#REF!="Muy Baja",'Mapa final'!#REF!="Mayor"),CONCATENATE("R7C",'Mapa final'!#REF!),"")</f>
        <v>#REF!</v>
      </c>
      <c r="AG52" s="40" t="e">
        <f>IF(AND('Mapa final'!#REF!="Muy Baja",'Mapa final'!#REF!="Mayor"),CONCATENATE("R7C",'Mapa final'!#REF!),"")</f>
        <v>#REF!</v>
      </c>
      <c r="AH52" s="41" t="e">
        <f>IF(AND('Mapa final'!#REF!="Muy Baja",'Mapa final'!#REF!="Catastrófico"),CONCATENATE("R7C",'Mapa final'!#REF!),"")</f>
        <v>#REF!</v>
      </c>
      <c r="AI52" s="42" t="e">
        <f>IF(AND('Mapa final'!#REF!="Muy Baja",'Mapa final'!#REF!="Catastrófico"),CONCATENATE("R7C",'Mapa final'!#REF!),"")</f>
        <v>#REF!</v>
      </c>
      <c r="AJ52" s="42" t="e">
        <f>IF(AND('Mapa final'!#REF!="Muy Baja",'Mapa final'!#REF!="Catastrófico"),CONCATENATE("R7C",'Mapa final'!#REF!),"")</f>
        <v>#REF!</v>
      </c>
      <c r="AK52" s="42" t="e">
        <f>IF(AND('Mapa final'!#REF!="Muy Baja",'Mapa final'!#REF!="Catastrófico"),CONCATENATE("R7C",'Mapa final'!#REF!),"")</f>
        <v>#REF!</v>
      </c>
      <c r="AL52" s="42" t="e">
        <f>IF(AND('Mapa final'!#REF!="Muy Baja",'Mapa final'!#REF!="Catastrófico"),CONCATENATE("R7C",'Mapa final'!#REF!),"")</f>
        <v>#REF!</v>
      </c>
      <c r="AM52" s="43" t="e">
        <f>IF(AND('Mapa final'!#REF!="Muy Baja",'Mapa final'!#REF!="Catastrófico"),CONCATENATE("R7C",'Mapa final'!#REF!),"")</f>
        <v>#REF!</v>
      </c>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row>
    <row r="53" spans="1:80" ht="15" customHeight="1" x14ac:dyDescent="0.25">
      <c r="A53" s="69"/>
      <c r="B53" s="305"/>
      <c r="C53" s="305"/>
      <c r="D53" s="306"/>
      <c r="E53" s="346"/>
      <c r="F53" s="347"/>
      <c r="G53" s="347"/>
      <c r="H53" s="347"/>
      <c r="I53" s="348"/>
      <c r="J53" s="62" t="e">
        <f>IF(AND('Mapa final'!#REF!="Muy Baja",'Mapa final'!#REF!="Leve"),CONCATENATE("R8C",'Mapa final'!#REF!),"")</f>
        <v>#REF!</v>
      </c>
      <c r="K53" s="63" t="e">
        <f>IF(AND('Mapa final'!#REF!="Muy Baja",'Mapa final'!#REF!="Leve"),CONCATENATE("R8C",'Mapa final'!#REF!),"")</f>
        <v>#REF!</v>
      </c>
      <c r="L53" s="63" t="e">
        <f>IF(AND('Mapa final'!#REF!="Muy Baja",'Mapa final'!#REF!="Leve"),CONCATENATE("R8C",'Mapa final'!#REF!),"")</f>
        <v>#REF!</v>
      </c>
      <c r="M53" s="63" t="e">
        <f>IF(AND('Mapa final'!#REF!="Muy Baja",'Mapa final'!#REF!="Leve"),CONCATENATE("R8C",'Mapa final'!#REF!),"")</f>
        <v>#REF!</v>
      </c>
      <c r="N53" s="63" t="e">
        <f>IF(AND('Mapa final'!#REF!="Muy Baja",'Mapa final'!#REF!="Leve"),CONCATENATE("R8C",'Mapa final'!#REF!),"")</f>
        <v>#REF!</v>
      </c>
      <c r="O53" s="64" t="e">
        <f>IF(AND('Mapa final'!#REF!="Muy Baja",'Mapa final'!#REF!="Leve"),CONCATENATE("R8C",'Mapa final'!#REF!),"")</f>
        <v>#REF!</v>
      </c>
      <c r="P53" s="62" t="e">
        <f>IF(AND('Mapa final'!#REF!="Muy Baja",'Mapa final'!#REF!="Menor"),CONCATENATE("R8C",'Mapa final'!#REF!),"")</f>
        <v>#REF!</v>
      </c>
      <c r="Q53" s="63" t="e">
        <f>IF(AND('Mapa final'!#REF!="Muy Baja",'Mapa final'!#REF!="Menor"),CONCATENATE("R8C",'Mapa final'!#REF!),"")</f>
        <v>#REF!</v>
      </c>
      <c r="R53" s="63" t="e">
        <f>IF(AND('Mapa final'!#REF!="Muy Baja",'Mapa final'!#REF!="Menor"),CONCATENATE("R8C",'Mapa final'!#REF!),"")</f>
        <v>#REF!</v>
      </c>
      <c r="S53" s="63" t="e">
        <f>IF(AND('Mapa final'!#REF!="Muy Baja",'Mapa final'!#REF!="Menor"),CONCATENATE("R8C",'Mapa final'!#REF!),"")</f>
        <v>#REF!</v>
      </c>
      <c r="T53" s="63" t="e">
        <f>IF(AND('Mapa final'!#REF!="Muy Baja",'Mapa final'!#REF!="Menor"),CONCATENATE("R8C",'Mapa final'!#REF!),"")</f>
        <v>#REF!</v>
      </c>
      <c r="U53" s="64" t="e">
        <f>IF(AND('Mapa final'!#REF!="Muy Baja",'Mapa final'!#REF!="Menor"),CONCATENATE("R8C",'Mapa final'!#REF!),"")</f>
        <v>#REF!</v>
      </c>
      <c r="V53" s="53" t="e">
        <f>IF(AND('Mapa final'!#REF!="Muy Baja",'Mapa final'!#REF!="Moderado"),CONCATENATE("R8C",'Mapa final'!#REF!),"")</f>
        <v>#REF!</v>
      </c>
      <c r="W53" s="54" t="e">
        <f>IF(AND('Mapa final'!#REF!="Muy Baja",'Mapa final'!#REF!="Moderado"),CONCATENATE("R8C",'Mapa final'!#REF!),"")</f>
        <v>#REF!</v>
      </c>
      <c r="X53" s="54" t="e">
        <f>IF(AND('Mapa final'!#REF!="Muy Baja",'Mapa final'!#REF!="Moderado"),CONCATENATE("R8C",'Mapa final'!#REF!),"")</f>
        <v>#REF!</v>
      </c>
      <c r="Y53" s="54" t="e">
        <f>IF(AND('Mapa final'!#REF!="Muy Baja",'Mapa final'!#REF!="Moderado"),CONCATENATE("R8C",'Mapa final'!#REF!),"")</f>
        <v>#REF!</v>
      </c>
      <c r="Z53" s="54" t="e">
        <f>IF(AND('Mapa final'!#REF!="Muy Baja",'Mapa final'!#REF!="Moderado"),CONCATENATE("R8C",'Mapa final'!#REF!),"")</f>
        <v>#REF!</v>
      </c>
      <c r="AA53" s="55" t="e">
        <f>IF(AND('Mapa final'!#REF!="Muy Baja",'Mapa final'!#REF!="Moderado"),CONCATENATE("R8C",'Mapa final'!#REF!),"")</f>
        <v>#REF!</v>
      </c>
      <c r="AB53" s="38" t="e">
        <f>IF(AND('Mapa final'!#REF!="Muy Baja",'Mapa final'!#REF!="Mayor"),CONCATENATE("R8C",'Mapa final'!#REF!),"")</f>
        <v>#REF!</v>
      </c>
      <c r="AC53" s="39" t="e">
        <f>IF(AND('Mapa final'!#REF!="Muy Baja",'Mapa final'!#REF!="Mayor"),CONCATENATE("R8C",'Mapa final'!#REF!),"")</f>
        <v>#REF!</v>
      </c>
      <c r="AD53" s="39" t="e">
        <f>IF(AND('Mapa final'!#REF!="Muy Baja",'Mapa final'!#REF!="Mayor"),CONCATENATE("R8C",'Mapa final'!#REF!),"")</f>
        <v>#REF!</v>
      </c>
      <c r="AE53" s="39" t="e">
        <f>IF(AND('Mapa final'!#REF!="Muy Baja",'Mapa final'!#REF!="Mayor"),CONCATENATE("R8C",'Mapa final'!#REF!),"")</f>
        <v>#REF!</v>
      </c>
      <c r="AF53" s="39" t="e">
        <f>IF(AND('Mapa final'!#REF!="Muy Baja",'Mapa final'!#REF!="Mayor"),CONCATENATE("R8C",'Mapa final'!#REF!),"")</f>
        <v>#REF!</v>
      </c>
      <c r="AG53" s="40" t="e">
        <f>IF(AND('Mapa final'!#REF!="Muy Baja",'Mapa final'!#REF!="Mayor"),CONCATENATE("R8C",'Mapa final'!#REF!),"")</f>
        <v>#REF!</v>
      </c>
      <c r="AH53" s="41" t="e">
        <f>IF(AND('Mapa final'!#REF!="Muy Baja",'Mapa final'!#REF!="Catastrófico"),CONCATENATE("R8C",'Mapa final'!#REF!),"")</f>
        <v>#REF!</v>
      </c>
      <c r="AI53" s="42" t="e">
        <f>IF(AND('Mapa final'!#REF!="Muy Baja",'Mapa final'!#REF!="Catastrófico"),CONCATENATE("R8C",'Mapa final'!#REF!),"")</f>
        <v>#REF!</v>
      </c>
      <c r="AJ53" s="42" t="e">
        <f>IF(AND('Mapa final'!#REF!="Muy Baja",'Mapa final'!#REF!="Catastrófico"),CONCATENATE("R8C",'Mapa final'!#REF!),"")</f>
        <v>#REF!</v>
      </c>
      <c r="AK53" s="42" t="e">
        <f>IF(AND('Mapa final'!#REF!="Muy Baja",'Mapa final'!#REF!="Catastrófico"),CONCATENATE("R8C",'Mapa final'!#REF!),"")</f>
        <v>#REF!</v>
      </c>
      <c r="AL53" s="42" t="e">
        <f>IF(AND('Mapa final'!#REF!="Muy Baja",'Mapa final'!#REF!="Catastrófico"),CONCATENATE("R8C",'Mapa final'!#REF!),"")</f>
        <v>#REF!</v>
      </c>
      <c r="AM53" s="43" t="e">
        <f>IF(AND('Mapa final'!#REF!="Muy Baja",'Mapa final'!#REF!="Catastrófico"),CONCATENATE("R8C",'Mapa final'!#REF!),"")</f>
        <v>#REF!</v>
      </c>
      <c r="AN53" s="69"/>
      <c r="AO53" s="69"/>
      <c r="AP53" s="69"/>
      <c r="AQ53" s="69"/>
      <c r="AR53" s="69"/>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row>
    <row r="54" spans="1:80" ht="15" customHeight="1" x14ac:dyDescent="0.25">
      <c r="A54" s="69"/>
      <c r="B54" s="305"/>
      <c r="C54" s="305"/>
      <c r="D54" s="306"/>
      <c r="E54" s="346"/>
      <c r="F54" s="347"/>
      <c r="G54" s="347"/>
      <c r="H54" s="347"/>
      <c r="I54" s="348"/>
      <c r="J54" s="62" t="e">
        <f>IF(AND('Mapa final'!#REF!="Muy Baja",'Mapa final'!#REF!="Leve"),CONCATENATE("R9C",'Mapa final'!#REF!),"")</f>
        <v>#REF!</v>
      </c>
      <c r="K54" s="63" t="e">
        <f>IF(AND('Mapa final'!#REF!="Muy Baja",'Mapa final'!#REF!="Leve"),CONCATENATE("R9C",'Mapa final'!#REF!),"")</f>
        <v>#REF!</v>
      </c>
      <c r="L54" s="63" t="e">
        <f>IF(AND('Mapa final'!#REF!="Muy Baja",'Mapa final'!#REF!="Leve"),CONCATENATE("R9C",'Mapa final'!#REF!),"")</f>
        <v>#REF!</v>
      </c>
      <c r="M54" s="63" t="e">
        <f>IF(AND('Mapa final'!#REF!="Muy Baja",'Mapa final'!#REF!="Leve"),CONCATENATE("R9C",'Mapa final'!#REF!),"")</f>
        <v>#REF!</v>
      </c>
      <c r="N54" s="63" t="e">
        <f>IF(AND('Mapa final'!#REF!="Muy Baja",'Mapa final'!#REF!="Leve"),CONCATENATE("R9C",'Mapa final'!#REF!),"")</f>
        <v>#REF!</v>
      </c>
      <c r="O54" s="64" t="e">
        <f>IF(AND('Mapa final'!#REF!="Muy Baja",'Mapa final'!#REF!="Leve"),CONCATENATE("R9C",'Mapa final'!#REF!),"")</f>
        <v>#REF!</v>
      </c>
      <c r="P54" s="62" t="e">
        <f>IF(AND('Mapa final'!#REF!="Muy Baja",'Mapa final'!#REF!="Menor"),CONCATENATE("R9C",'Mapa final'!#REF!),"")</f>
        <v>#REF!</v>
      </c>
      <c r="Q54" s="63" t="e">
        <f>IF(AND('Mapa final'!#REF!="Muy Baja",'Mapa final'!#REF!="Menor"),CONCATENATE("R9C",'Mapa final'!#REF!),"")</f>
        <v>#REF!</v>
      </c>
      <c r="R54" s="63" t="e">
        <f>IF(AND('Mapa final'!#REF!="Muy Baja",'Mapa final'!#REF!="Menor"),CONCATENATE("R9C",'Mapa final'!#REF!),"")</f>
        <v>#REF!</v>
      </c>
      <c r="S54" s="63" t="e">
        <f>IF(AND('Mapa final'!#REF!="Muy Baja",'Mapa final'!#REF!="Menor"),CONCATENATE("R9C",'Mapa final'!#REF!),"")</f>
        <v>#REF!</v>
      </c>
      <c r="T54" s="63" t="e">
        <f>IF(AND('Mapa final'!#REF!="Muy Baja",'Mapa final'!#REF!="Menor"),CONCATENATE("R9C",'Mapa final'!#REF!),"")</f>
        <v>#REF!</v>
      </c>
      <c r="U54" s="64" t="e">
        <f>IF(AND('Mapa final'!#REF!="Muy Baja",'Mapa final'!#REF!="Menor"),CONCATENATE("R9C",'Mapa final'!#REF!),"")</f>
        <v>#REF!</v>
      </c>
      <c r="V54" s="53" t="e">
        <f>IF(AND('Mapa final'!#REF!="Muy Baja",'Mapa final'!#REF!="Moderado"),CONCATENATE("R9C",'Mapa final'!#REF!),"")</f>
        <v>#REF!</v>
      </c>
      <c r="W54" s="54" t="e">
        <f>IF(AND('Mapa final'!#REF!="Muy Baja",'Mapa final'!#REF!="Moderado"),CONCATENATE("R9C",'Mapa final'!#REF!),"")</f>
        <v>#REF!</v>
      </c>
      <c r="X54" s="54" t="e">
        <f>IF(AND('Mapa final'!#REF!="Muy Baja",'Mapa final'!#REF!="Moderado"),CONCATENATE("R9C",'Mapa final'!#REF!),"")</f>
        <v>#REF!</v>
      </c>
      <c r="Y54" s="54" t="e">
        <f>IF(AND('Mapa final'!#REF!="Muy Baja",'Mapa final'!#REF!="Moderado"),CONCATENATE("R9C",'Mapa final'!#REF!),"")</f>
        <v>#REF!</v>
      </c>
      <c r="Z54" s="54" t="e">
        <f>IF(AND('Mapa final'!#REF!="Muy Baja",'Mapa final'!#REF!="Moderado"),CONCATENATE("R9C",'Mapa final'!#REF!),"")</f>
        <v>#REF!</v>
      </c>
      <c r="AA54" s="55" t="e">
        <f>IF(AND('Mapa final'!#REF!="Muy Baja",'Mapa final'!#REF!="Moderado"),CONCATENATE("R9C",'Mapa final'!#REF!),"")</f>
        <v>#REF!</v>
      </c>
      <c r="AB54" s="38" t="e">
        <f>IF(AND('Mapa final'!#REF!="Muy Baja",'Mapa final'!#REF!="Mayor"),CONCATENATE("R9C",'Mapa final'!#REF!),"")</f>
        <v>#REF!</v>
      </c>
      <c r="AC54" s="39" t="e">
        <f>IF(AND('Mapa final'!#REF!="Muy Baja",'Mapa final'!#REF!="Mayor"),CONCATENATE("R9C",'Mapa final'!#REF!),"")</f>
        <v>#REF!</v>
      </c>
      <c r="AD54" s="39" t="e">
        <f>IF(AND('Mapa final'!#REF!="Muy Baja",'Mapa final'!#REF!="Mayor"),CONCATENATE("R9C",'Mapa final'!#REF!),"")</f>
        <v>#REF!</v>
      </c>
      <c r="AE54" s="39" t="e">
        <f>IF(AND('Mapa final'!#REF!="Muy Baja",'Mapa final'!#REF!="Mayor"),CONCATENATE("R9C",'Mapa final'!#REF!),"")</f>
        <v>#REF!</v>
      </c>
      <c r="AF54" s="39" t="e">
        <f>IF(AND('Mapa final'!#REF!="Muy Baja",'Mapa final'!#REF!="Mayor"),CONCATENATE("R9C",'Mapa final'!#REF!),"")</f>
        <v>#REF!</v>
      </c>
      <c r="AG54" s="40" t="e">
        <f>IF(AND('Mapa final'!#REF!="Muy Baja",'Mapa final'!#REF!="Mayor"),CONCATENATE("R9C",'Mapa final'!#REF!),"")</f>
        <v>#REF!</v>
      </c>
      <c r="AH54" s="41" t="e">
        <f>IF(AND('Mapa final'!#REF!="Muy Baja",'Mapa final'!#REF!="Catastrófico"),CONCATENATE("R9C",'Mapa final'!#REF!),"")</f>
        <v>#REF!</v>
      </c>
      <c r="AI54" s="42" t="e">
        <f>IF(AND('Mapa final'!#REF!="Muy Baja",'Mapa final'!#REF!="Catastrófico"),CONCATENATE("R9C",'Mapa final'!#REF!),"")</f>
        <v>#REF!</v>
      </c>
      <c r="AJ54" s="42" t="e">
        <f>IF(AND('Mapa final'!#REF!="Muy Baja",'Mapa final'!#REF!="Catastrófico"),CONCATENATE("R9C",'Mapa final'!#REF!),"")</f>
        <v>#REF!</v>
      </c>
      <c r="AK54" s="42" t="e">
        <f>IF(AND('Mapa final'!#REF!="Muy Baja",'Mapa final'!#REF!="Catastrófico"),CONCATENATE("R9C",'Mapa final'!#REF!),"")</f>
        <v>#REF!</v>
      </c>
      <c r="AL54" s="42" t="e">
        <f>IF(AND('Mapa final'!#REF!="Muy Baja",'Mapa final'!#REF!="Catastrófico"),CONCATENATE("R9C",'Mapa final'!#REF!),"")</f>
        <v>#REF!</v>
      </c>
      <c r="AM54" s="43" t="e">
        <f>IF(AND('Mapa final'!#REF!="Muy Baja",'Mapa final'!#REF!="Catastrófico"),CONCATENATE("R9C",'Mapa final'!#REF!),"")</f>
        <v>#REF!</v>
      </c>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row>
    <row r="55" spans="1:80" ht="15.75" customHeight="1" thickBot="1" x14ac:dyDescent="0.3">
      <c r="A55" s="69"/>
      <c r="B55" s="305"/>
      <c r="C55" s="305"/>
      <c r="D55" s="306"/>
      <c r="E55" s="349"/>
      <c r="F55" s="350"/>
      <c r="G55" s="350"/>
      <c r="H55" s="350"/>
      <c r="I55" s="351"/>
      <c r="J55" s="65" t="e">
        <f>IF(AND('Mapa final'!#REF!="Muy Baja",'Mapa final'!#REF!="Leve"),CONCATENATE("R10C",'Mapa final'!#REF!),"")</f>
        <v>#REF!</v>
      </c>
      <c r="K55" s="66" t="e">
        <f>IF(AND('Mapa final'!#REF!="Muy Baja",'Mapa final'!#REF!="Leve"),CONCATENATE("R10C",'Mapa final'!#REF!),"")</f>
        <v>#REF!</v>
      </c>
      <c r="L55" s="66" t="e">
        <f>IF(AND('Mapa final'!#REF!="Muy Baja",'Mapa final'!#REF!="Leve"),CONCATENATE("R10C",'Mapa final'!#REF!),"")</f>
        <v>#REF!</v>
      </c>
      <c r="M55" s="66" t="e">
        <f>IF(AND('Mapa final'!#REF!="Muy Baja",'Mapa final'!#REF!="Leve"),CONCATENATE("R10C",'Mapa final'!#REF!),"")</f>
        <v>#REF!</v>
      </c>
      <c r="N55" s="66" t="e">
        <f>IF(AND('Mapa final'!#REF!="Muy Baja",'Mapa final'!#REF!="Leve"),CONCATENATE("R10C",'Mapa final'!#REF!),"")</f>
        <v>#REF!</v>
      </c>
      <c r="O55" s="67" t="e">
        <f>IF(AND('Mapa final'!#REF!="Muy Baja",'Mapa final'!#REF!="Leve"),CONCATENATE("R10C",'Mapa final'!#REF!),"")</f>
        <v>#REF!</v>
      </c>
      <c r="P55" s="65" t="e">
        <f>IF(AND('Mapa final'!#REF!="Muy Baja",'Mapa final'!#REF!="Menor"),CONCATENATE("R10C",'Mapa final'!#REF!),"")</f>
        <v>#REF!</v>
      </c>
      <c r="Q55" s="66" t="e">
        <f>IF(AND('Mapa final'!#REF!="Muy Baja",'Mapa final'!#REF!="Menor"),CONCATENATE("R10C",'Mapa final'!#REF!),"")</f>
        <v>#REF!</v>
      </c>
      <c r="R55" s="66" t="e">
        <f>IF(AND('Mapa final'!#REF!="Muy Baja",'Mapa final'!#REF!="Menor"),CONCATENATE("R10C",'Mapa final'!#REF!),"")</f>
        <v>#REF!</v>
      </c>
      <c r="S55" s="66" t="e">
        <f>IF(AND('Mapa final'!#REF!="Muy Baja",'Mapa final'!#REF!="Menor"),CONCATENATE("R10C",'Mapa final'!#REF!),"")</f>
        <v>#REF!</v>
      </c>
      <c r="T55" s="66" t="e">
        <f>IF(AND('Mapa final'!#REF!="Muy Baja",'Mapa final'!#REF!="Menor"),CONCATENATE("R10C",'Mapa final'!#REF!),"")</f>
        <v>#REF!</v>
      </c>
      <c r="U55" s="67" t="e">
        <f>IF(AND('Mapa final'!#REF!="Muy Baja",'Mapa final'!#REF!="Menor"),CONCATENATE("R10C",'Mapa final'!#REF!),"")</f>
        <v>#REF!</v>
      </c>
      <c r="V55" s="56" t="e">
        <f>IF(AND('Mapa final'!#REF!="Muy Baja",'Mapa final'!#REF!="Moderado"),CONCATENATE("R10C",'Mapa final'!#REF!),"")</f>
        <v>#REF!</v>
      </c>
      <c r="W55" s="57" t="e">
        <f>IF(AND('Mapa final'!#REF!="Muy Baja",'Mapa final'!#REF!="Moderado"),CONCATENATE("R10C",'Mapa final'!#REF!),"")</f>
        <v>#REF!</v>
      </c>
      <c r="X55" s="57" t="e">
        <f>IF(AND('Mapa final'!#REF!="Muy Baja",'Mapa final'!#REF!="Moderado"),CONCATENATE("R10C",'Mapa final'!#REF!),"")</f>
        <v>#REF!</v>
      </c>
      <c r="Y55" s="57" t="e">
        <f>IF(AND('Mapa final'!#REF!="Muy Baja",'Mapa final'!#REF!="Moderado"),CONCATENATE("R10C",'Mapa final'!#REF!),"")</f>
        <v>#REF!</v>
      </c>
      <c r="Z55" s="57" t="e">
        <f>IF(AND('Mapa final'!#REF!="Muy Baja",'Mapa final'!#REF!="Moderado"),CONCATENATE("R10C",'Mapa final'!#REF!),"")</f>
        <v>#REF!</v>
      </c>
      <c r="AA55" s="58" t="e">
        <f>IF(AND('Mapa final'!#REF!="Muy Baja",'Mapa final'!#REF!="Moderado"),CONCATENATE("R10C",'Mapa final'!#REF!),"")</f>
        <v>#REF!</v>
      </c>
      <c r="AB55" s="44" t="e">
        <f>IF(AND('Mapa final'!#REF!="Muy Baja",'Mapa final'!#REF!="Mayor"),CONCATENATE("R10C",'Mapa final'!#REF!),"")</f>
        <v>#REF!</v>
      </c>
      <c r="AC55" s="45" t="e">
        <f>IF(AND('Mapa final'!#REF!="Muy Baja",'Mapa final'!#REF!="Mayor"),CONCATENATE("R10C",'Mapa final'!#REF!),"")</f>
        <v>#REF!</v>
      </c>
      <c r="AD55" s="45" t="e">
        <f>IF(AND('Mapa final'!#REF!="Muy Baja",'Mapa final'!#REF!="Mayor"),CONCATENATE("R10C",'Mapa final'!#REF!),"")</f>
        <v>#REF!</v>
      </c>
      <c r="AE55" s="45" t="e">
        <f>IF(AND('Mapa final'!#REF!="Muy Baja",'Mapa final'!#REF!="Mayor"),CONCATENATE("R10C",'Mapa final'!#REF!),"")</f>
        <v>#REF!</v>
      </c>
      <c r="AF55" s="45" t="e">
        <f>IF(AND('Mapa final'!#REF!="Muy Baja",'Mapa final'!#REF!="Mayor"),CONCATENATE("R10C",'Mapa final'!#REF!),"")</f>
        <v>#REF!</v>
      </c>
      <c r="AG55" s="46" t="e">
        <f>IF(AND('Mapa final'!#REF!="Muy Baja",'Mapa final'!#REF!="Mayor"),CONCATENATE("R10C",'Mapa final'!#REF!),"")</f>
        <v>#REF!</v>
      </c>
      <c r="AH55" s="47" t="e">
        <f>IF(AND('Mapa final'!#REF!="Muy Baja",'Mapa final'!#REF!="Catastrófico"),CONCATENATE("R10C",'Mapa final'!#REF!),"")</f>
        <v>#REF!</v>
      </c>
      <c r="AI55" s="48" t="e">
        <f>IF(AND('Mapa final'!#REF!="Muy Baja",'Mapa final'!#REF!="Catastrófico"),CONCATENATE("R10C",'Mapa final'!#REF!),"")</f>
        <v>#REF!</v>
      </c>
      <c r="AJ55" s="48" t="e">
        <f>IF(AND('Mapa final'!#REF!="Muy Baja",'Mapa final'!#REF!="Catastrófico"),CONCATENATE("R10C",'Mapa final'!#REF!),"")</f>
        <v>#REF!</v>
      </c>
      <c r="AK55" s="48" t="e">
        <f>IF(AND('Mapa final'!#REF!="Muy Baja",'Mapa final'!#REF!="Catastrófico"),CONCATENATE("R10C",'Mapa final'!#REF!),"")</f>
        <v>#REF!</v>
      </c>
      <c r="AL55" s="48" t="e">
        <f>IF(AND('Mapa final'!#REF!="Muy Baja",'Mapa final'!#REF!="Catastrófico"),CONCATENATE("R10C",'Mapa final'!#REF!),"")</f>
        <v>#REF!</v>
      </c>
      <c r="AM55" s="49" t="e">
        <f>IF(AND('Mapa final'!#REF!="Muy Baja",'Mapa final'!#REF!="Catastrófico"),CONCATENATE("R10C",'Mapa final'!#REF!),"")</f>
        <v>#REF!</v>
      </c>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row>
    <row r="56" spans="1:80" x14ac:dyDescent="0.25">
      <c r="A56" s="69"/>
      <c r="B56" s="69"/>
      <c r="C56" s="69"/>
      <c r="D56" s="69"/>
      <c r="E56" s="69"/>
      <c r="F56" s="69"/>
      <c r="G56" s="69"/>
      <c r="H56" s="69"/>
      <c r="I56" s="69"/>
      <c r="J56" s="343" t="s">
        <v>112</v>
      </c>
      <c r="K56" s="344"/>
      <c r="L56" s="344"/>
      <c r="M56" s="344"/>
      <c r="N56" s="344"/>
      <c r="O56" s="345"/>
      <c r="P56" s="343" t="s">
        <v>111</v>
      </c>
      <c r="Q56" s="344"/>
      <c r="R56" s="344"/>
      <c r="S56" s="344"/>
      <c r="T56" s="344"/>
      <c r="U56" s="345"/>
      <c r="V56" s="343" t="s">
        <v>110</v>
      </c>
      <c r="W56" s="344"/>
      <c r="X56" s="344"/>
      <c r="Y56" s="344"/>
      <c r="Z56" s="344"/>
      <c r="AA56" s="345"/>
      <c r="AB56" s="343" t="s">
        <v>109</v>
      </c>
      <c r="AC56" s="352"/>
      <c r="AD56" s="344"/>
      <c r="AE56" s="344"/>
      <c r="AF56" s="344"/>
      <c r="AG56" s="345"/>
      <c r="AH56" s="343" t="s">
        <v>108</v>
      </c>
      <c r="AI56" s="344"/>
      <c r="AJ56" s="344"/>
      <c r="AK56" s="344"/>
      <c r="AL56" s="344"/>
      <c r="AM56" s="345"/>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row>
    <row r="57" spans="1:80" x14ac:dyDescent="0.25">
      <c r="A57" s="69"/>
      <c r="B57" s="69"/>
      <c r="C57" s="69"/>
      <c r="D57" s="69"/>
      <c r="E57" s="69"/>
      <c r="F57" s="69"/>
      <c r="G57" s="69"/>
      <c r="H57" s="69"/>
      <c r="I57" s="69"/>
      <c r="J57" s="346"/>
      <c r="K57" s="347"/>
      <c r="L57" s="347"/>
      <c r="M57" s="347"/>
      <c r="N57" s="347"/>
      <c r="O57" s="348"/>
      <c r="P57" s="346"/>
      <c r="Q57" s="347"/>
      <c r="R57" s="347"/>
      <c r="S57" s="347"/>
      <c r="T57" s="347"/>
      <c r="U57" s="348"/>
      <c r="V57" s="346"/>
      <c r="W57" s="347"/>
      <c r="X57" s="347"/>
      <c r="Y57" s="347"/>
      <c r="Z57" s="347"/>
      <c r="AA57" s="348"/>
      <c r="AB57" s="346"/>
      <c r="AC57" s="347"/>
      <c r="AD57" s="347"/>
      <c r="AE57" s="347"/>
      <c r="AF57" s="347"/>
      <c r="AG57" s="348"/>
      <c r="AH57" s="346"/>
      <c r="AI57" s="347"/>
      <c r="AJ57" s="347"/>
      <c r="AK57" s="347"/>
      <c r="AL57" s="347"/>
      <c r="AM57" s="348"/>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row>
    <row r="58" spans="1:80" x14ac:dyDescent="0.25">
      <c r="A58" s="69"/>
      <c r="B58" s="69"/>
      <c r="C58" s="69"/>
      <c r="D58" s="69"/>
      <c r="E58" s="69"/>
      <c r="F58" s="69"/>
      <c r="G58" s="69"/>
      <c r="H58" s="69"/>
      <c r="I58" s="69"/>
      <c r="J58" s="346"/>
      <c r="K58" s="347"/>
      <c r="L58" s="347"/>
      <c r="M58" s="347"/>
      <c r="N58" s="347"/>
      <c r="O58" s="348"/>
      <c r="P58" s="346"/>
      <c r="Q58" s="347"/>
      <c r="R58" s="347"/>
      <c r="S58" s="347"/>
      <c r="T58" s="347"/>
      <c r="U58" s="348"/>
      <c r="V58" s="346"/>
      <c r="W58" s="347"/>
      <c r="X58" s="347"/>
      <c r="Y58" s="347"/>
      <c r="Z58" s="347"/>
      <c r="AA58" s="348"/>
      <c r="AB58" s="346"/>
      <c r="AC58" s="347"/>
      <c r="AD58" s="347"/>
      <c r="AE58" s="347"/>
      <c r="AF58" s="347"/>
      <c r="AG58" s="348"/>
      <c r="AH58" s="346"/>
      <c r="AI58" s="347"/>
      <c r="AJ58" s="347"/>
      <c r="AK58" s="347"/>
      <c r="AL58" s="347"/>
      <c r="AM58" s="348"/>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row>
    <row r="59" spans="1:80" x14ac:dyDescent="0.25">
      <c r="A59" s="69"/>
      <c r="B59" s="69"/>
      <c r="C59" s="69"/>
      <c r="D59" s="69"/>
      <c r="E59" s="69"/>
      <c r="F59" s="69"/>
      <c r="G59" s="69"/>
      <c r="H59" s="69"/>
      <c r="I59" s="69"/>
      <c r="J59" s="346"/>
      <c r="K59" s="347"/>
      <c r="L59" s="347"/>
      <c r="M59" s="347"/>
      <c r="N59" s="347"/>
      <c r="O59" s="348"/>
      <c r="P59" s="346"/>
      <c r="Q59" s="347"/>
      <c r="R59" s="347"/>
      <c r="S59" s="347"/>
      <c r="T59" s="347"/>
      <c r="U59" s="348"/>
      <c r="V59" s="346"/>
      <c r="W59" s="347"/>
      <c r="X59" s="347"/>
      <c r="Y59" s="347"/>
      <c r="Z59" s="347"/>
      <c r="AA59" s="348"/>
      <c r="AB59" s="346"/>
      <c r="AC59" s="347"/>
      <c r="AD59" s="347"/>
      <c r="AE59" s="347"/>
      <c r="AF59" s="347"/>
      <c r="AG59" s="348"/>
      <c r="AH59" s="346"/>
      <c r="AI59" s="347"/>
      <c r="AJ59" s="347"/>
      <c r="AK59" s="347"/>
      <c r="AL59" s="347"/>
      <c r="AM59" s="348"/>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row>
    <row r="60" spans="1:80" x14ac:dyDescent="0.25">
      <c r="A60" s="69"/>
      <c r="B60" s="69"/>
      <c r="C60" s="69"/>
      <c r="D60" s="69"/>
      <c r="E60" s="69"/>
      <c r="F60" s="69"/>
      <c r="G60" s="69"/>
      <c r="H60" s="69"/>
      <c r="I60" s="69"/>
      <c r="J60" s="346"/>
      <c r="K60" s="347"/>
      <c r="L60" s="347"/>
      <c r="M60" s="347"/>
      <c r="N60" s="347"/>
      <c r="O60" s="348"/>
      <c r="P60" s="346"/>
      <c r="Q60" s="347"/>
      <c r="R60" s="347"/>
      <c r="S60" s="347"/>
      <c r="T60" s="347"/>
      <c r="U60" s="348"/>
      <c r="V60" s="346"/>
      <c r="W60" s="347"/>
      <c r="X60" s="347"/>
      <c r="Y60" s="347"/>
      <c r="Z60" s="347"/>
      <c r="AA60" s="348"/>
      <c r="AB60" s="346"/>
      <c r="AC60" s="347"/>
      <c r="AD60" s="347"/>
      <c r="AE60" s="347"/>
      <c r="AF60" s="347"/>
      <c r="AG60" s="348"/>
      <c r="AH60" s="346"/>
      <c r="AI60" s="347"/>
      <c r="AJ60" s="347"/>
      <c r="AK60" s="347"/>
      <c r="AL60" s="347"/>
      <c r="AM60" s="348"/>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row>
    <row r="61" spans="1:80" ht="15.75" thickBot="1" x14ac:dyDescent="0.3">
      <c r="A61" s="69"/>
      <c r="B61" s="69"/>
      <c r="C61" s="69"/>
      <c r="D61" s="69"/>
      <c r="E61" s="69"/>
      <c r="F61" s="69"/>
      <c r="G61" s="69"/>
      <c r="H61" s="69"/>
      <c r="I61" s="69"/>
      <c r="J61" s="349"/>
      <c r="K61" s="350"/>
      <c r="L61" s="350"/>
      <c r="M61" s="350"/>
      <c r="N61" s="350"/>
      <c r="O61" s="351"/>
      <c r="P61" s="349"/>
      <c r="Q61" s="350"/>
      <c r="R61" s="350"/>
      <c r="S61" s="350"/>
      <c r="T61" s="350"/>
      <c r="U61" s="351"/>
      <c r="V61" s="349"/>
      <c r="W61" s="350"/>
      <c r="X61" s="350"/>
      <c r="Y61" s="350"/>
      <c r="Z61" s="350"/>
      <c r="AA61" s="351"/>
      <c r="AB61" s="349"/>
      <c r="AC61" s="350"/>
      <c r="AD61" s="350"/>
      <c r="AE61" s="350"/>
      <c r="AF61" s="350"/>
      <c r="AG61" s="351"/>
      <c r="AH61" s="349"/>
      <c r="AI61" s="350"/>
      <c r="AJ61" s="350"/>
      <c r="AK61" s="350"/>
      <c r="AL61" s="350"/>
      <c r="AM61" s="351"/>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row>
    <row r="62" spans="1:80"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row>
    <row r="63" spans="1:80" ht="15" customHeight="1" x14ac:dyDescent="0.25">
      <c r="A63" s="69"/>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69"/>
      <c r="AV63" s="69"/>
      <c r="AW63" s="69"/>
      <c r="AX63" s="69"/>
      <c r="AY63" s="69"/>
      <c r="AZ63" s="69"/>
      <c r="BA63" s="69"/>
      <c r="BB63" s="69"/>
      <c r="BC63" s="69"/>
      <c r="BD63" s="69"/>
      <c r="BE63" s="69"/>
      <c r="BF63" s="69"/>
      <c r="BG63" s="69"/>
      <c r="BH63" s="69"/>
    </row>
    <row r="64" spans="1:80" ht="15" customHeight="1" x14ac:dyDescent="0.25">
      <c r="A64" s="69"/>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69"/>
      <c r="AV64" s="69"/>
      <c r="AW64" s="69"/>
      <c r="AX64" s="69"/>
      <c r="AY64" s="69"/>
      <c r="AZ64" s="69"/>
      <c r="BA64" s="69"/>
      <c r="BB64" s="69"/>
      <c r="BC64" s="69"/>
      <c r="BD64" s="69"/>
      <c r="BE64" s="69"/>
      <c r="BF64" s="69"/>
      <c r="BG64" s="69"/>
      <c r="BH64" s="69"/>
    </row>
    <row r="65" spans="1:60"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row>
    <row r="66" spans="1:60"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row>
    <row r="67" spans="1:60"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row>
    <row r="68" spans="1:60"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row>
    <row r="69" spans="1:60"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row>
    <row r="70" spans="1:60"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row>
    <row r="71" spans="1:60"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row>
    <row r="72" spans="1:60"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row>
    <row r="73" spans="1:60"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row>
    <row r="74" spans="1:60"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row>
    <row r="75" spans="1:60"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row>
    <row r="76" spans="1:60"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row>
    <row r="77" spans="1:60"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row>
    <row r="78" spans="1:60"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row>
    <row r="79" spans="1:60"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row>
    <row r="80" spans="1:60"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row>
    <row r="81" spans="1:60"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row>
    <row r="82" spans="1:60"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row>
    <row r="83" spans="1:60"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row>
    <row r="84" spans="1:60"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row>
    <row r="85" spans="1:60"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row>
    <row r="86" spans="1:60"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row>
    <row r="87" spans="1:60"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row>
    <row r="88" spans="1:60"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row>
    <row r="89" spans="1:60"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row>
    <row r="90" spans="1:60"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row>
    <row r="91" spans="1:60"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row>
    <row r="92" spans="1:60"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row>
    <row r="93" spans="1:60"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row>
    <row r="94" spans="1:60"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row>
    <row r="95" spans="1:60"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row>
    <row r="96" spans="1:60"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row>
    <row r="97" spans="1:60"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row>
    <row r="98" spans="1:60"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row>
    <row r="99" spans="1:60"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row>
    <row r="100" spans="1:60"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row>
    <row r="101" spans="1:60"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row>
    <row r="102" spans="1:60"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row>
    <row r="103" spans="1:60"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row>
    <row r="104" spans="1:60"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row>
    <row r="105" spans="1:60"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row>
    <row r="106" spans="1:60"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row>
    <row r="107" spans="1:60"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row>
    <row r="108" spans="1:60"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row>
    <row r="109" spans="1:60"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row>
    <row r="110" spans="1:60"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row>
    <row r="111" spans="1:60"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row>
    <row r="112" spans="1:60"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row>
    <row r="113" spans="1:60"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row>
    <row r="114" spans="1:60"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row>
    <row r="115" spans="1:60"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row>
    <row r="116" spans="1:60"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row>
    <row r="117" spans="1:60"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row>
    <row r="118" spans="1:60"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row>
    <row r="119" spans="1:60"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row>
    <row r="120" spans="1:60"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row>
    <row r="121" spans="1:60"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row>
    <row r="122" spans="1:60" x14ac:dyDescent="0.25">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row>
    <row r="123" spans="1:60" x14ac:dyDescent="0.25">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row>
    <row r="124" spans="1:60" x14ac:dyDescent="0.25">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row>
    <row r="125" spans="1:60" x14ac:dyDescent="0.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row>
    <row r="126" spans="1:60" x14ac:dyDescent="0.25">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row>
    <row r="127" spans="1:60" x14ac:dyDescent="0.25">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row>
    <row r="128" spans="1:60" x14ac:dyDescent="0.25">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row>
    <row r="129" spans="1:60" x14ac:dyDescent="0.25">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row>
    <row r="130" spans="1:60" x14ac:dyDescent="0.25">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row>
    <row r="131" spans="1:60" x14ac:dyDescent="0.25">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row>
    <row r="132" spans="1:60" x14ac:dyDescent="0.25">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row>
    <row r="133" spans="1:60" x14ac:dyDescent="0.25">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row>
    <row r="134" spans="1:60" x14ac:dyDescent="0.25">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row>
    <row r="135" spans="1:60" x14ac:dyDescent="0.2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row>
    <row r="136" spans="1:60" x14ac:dyDescent="0.25">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row>
    <row r="137" spans="1:60" x14ac:dyDescent="0.25">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c r="AW137" s="69"/>
      <c r="AX137" s="69"/>
      <c r="AY137" s="69"/>
      <c r="AZ137" s="69"/>
      <c r="BA137" s="69"/>
      <c r="BB137" s="69"/>
      <c r="BC137" s="69"/>
      <c r="BD137" s="69"/>
      <c r="BE137" s="69"/>
      <c r="BF137" s="69"/>
      <c r="BG137" s="69"/>
      <c r="BH137" s="69"/>
    </row>
    <row r="138" spans="1:60" x14ac:dyDescent="0.25">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c r="AZ138" s="69"/>
      <c r="BA138" s="69"/>
      <c r="BB138" s="69"/>
      <c r="BC138" s="69"/>
      <c r="BD138" s="69"/>
      <c r="BE138" s="69"/>
      <c r="BF138" s="69"/>
      <c r="BG138" s="69"/>
      <c r="BH138" s="69"/>
    </row>
    <row r="139" spans="1:60" x14ac:dyDescent="0.25">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c r="AW139" s="69"/>
      <c r="AX139" s="69"/>
      <c r="AY139" s="69"/>
      <c r="AZ139" s="69"/>
      <c r="BA139" s="69"/>
      <c r="BB139" s="69"/>
      <c r="BC139" s="69"/>
      <c r="BD139" s="69"/>
      <c r="BE139" s="69"/>
      <c r="BF139" s="69"/>
      <c r="BG139" s="69"/>
      <c r="BH139" s="69"/>
    </row>
    <row r="140" spans="1:60" x14ac:dyDescent="0.25">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c r="AZ140" s="69"/>
      <c r="BA140" s="69"/>
      <c r="BB140" s="69"/>
      <c r="BC140" s="69"/>
      <c r="BD140" s="69"/>
      <c r="BE140" s="69"/>
      <c r="BF140" s="69"/>
      <c r="BG140" s="69"/>
      <c r="BH140" s="69"/>
    </row>
    <row r="141" spans="1:60" x14ac:dyDescent="0.25">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c r="AY141" s="69"/>
      <c r="AZ141" s="69"/>
      <c r="BA141" s="69"/>
      <c r="BB141" s="69"/>
      <c r="BC141" s="69"/>
      <c r="BD141" s="69"/>
      <c r="BE141" s="69"/>
      <c r="BF141" s="69"/>
      <c r="BG141" s="69"/>
      <c r="BH141" s="69"/>
    </row>
    <row r="142" spans="1:60" x14ac:dyDescent="0.25">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c r="BA142" s="69"/>
      <c r="BB142" s="69"/>
      <c r="BC142" s="69"/>
      <c r="BD142" s="69"/>
      <c r="BE142" s="69"/>
      <c r="BF142" s="69"/>
      <c r="BG142" s="69"/>
      <c r="BH142" s="69"/>
    </row>
    <row r="143" spans="1:60" x14ac:dyDescent="0.25">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c r="AZ143" s="69"/>
      <c r="BA143" s="69"/>
      <c r="BB143" s="69"/>
      <c r="BC143" s="69"/>
      <c r="BD143" s="69"/>
      <c r="BE143" s="69"/>
      <c r="BF143" s="69"/>
      <c r="BG143" s="69"/>
      <c r="BH143" s="69"/>
    </row>
    <row r="144" spans="1:60" x14ac:dyDescent="0.25">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c r="BA144" s="69"/>
      <c r="BB144" s="69"/>
      <c r="BC144" s="69"/>
      <c r="BD144" s="69"/>
      <c r="BE144" s="69"/>
      <c r="BF144" s="69"/>
      <c r="BG144" s="69"/>
      <c r="BH144" s="69"/>
    </row>
    <row r="145" spans="1:60" x14ac:dyDescent="0.2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c r="BB145" s="69"/>
      <c r="BC145" s="69"/>
      <c r="BD145" s="69"/>
      <c r="BE145" s="69"/>
      <c r="BF145" s="69"/>
      <c r="BG145" s="69"/>
      <c r="BH145" s="69"/>
    </row>
    <row r="146" spans="1:60" x14ac:dyDescent="0.25">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c r="BC146" s="69"/>
      <c r="BD146" s="69"/>
      <c r="BE146" s="69"/>
      <c r="BF146" s="69"/>
      <c r="BG146" s="69"/>
      <c r="BH146" s="69"/>
    </row>
    <row r="147" spans="1:60" x14ac:dyDescent="0.25">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c r="AT147" s="69"/>
      <c r="AU147" s="69"/>
      <c r="AV147" s="69"/>
      <c r="AW147" s="69"/>
      <c r="AX147" s="69"/>
      <c r="AY147" s="69"/>
      <c r="AZ147" s="69"/>
      <c r="BA147" s="69"/>
      <c r="BB147" s="69"/>
      <c r="BC147" s="69"/>
      <c r="BD147" s="69"/>
      <c r="BE147" s="69"/>
      <c r="BF147" s="69"/>
      <c r="BG147" s="69"/>
      <c r="BH147" s="69"/>
    </row>
    <row r="148" spans="1:60" x14ac:dyDescent="0.25">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c r="BB148" s="69"/>
      <c r="BC148" s="69"/>
      <c r="BD148" s="69"/>
      <c r="BE148" s="69"/>
      <c r="BF148" s="69"/>
      <c r="BG148" s="69"/>
      <c r="BH148" s="69"/>
    </row>
    <row r="149" spans="1:60" x14ac:dyDescent="0.25">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c r="AT149" s="69"/>
      <c r="AU149" s="69"/>
      <c r="AV149" s="69"/>
      <c r="AW149" s="69"/>
      <c r="AX149" s="69"/>
      <c r="AY149" s="69"/>
      <c r="AZ149" s="69"/>
      <c r="BA149" s="69"/>
      <c r="BB149" s="69"/>
      <c r="BC149" s="69"/>
      <c r="BD149" s="69"/>
      <c r="BE149" s="69"/>
      <c r="BF149" s="69"/>
      <c r="BG149" s="69"/>
      <c r="BH149" s="69"/>
    </row>
    <row r="150" spans="1:60" x14ac:dyDescent="0.25">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c r="BB150" s="69"/>
      <c r="BC150" s="69"/>
      <c r="BD150" s="69"/>
      <c r="BE150" s="69"/>
      <c r="BF150" s="69"/>
      <c r="BG150" s="69"/>
      <c r="BH150" s="69"/>
    </row>
    <row r="151" spans="1:60" x14ac:dyDescent="0.25">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c r="BB151" s="69"/>
      <c r="BC151" s="69"/>
      <c r="BD151" s="69"/>
      <c r="BE151" s="69"/>
      <c r="BF151" s="69"/>
      <c r="BG151" s="69"/>
      <c r="BH151" s="69"/>
    </row>
    <row r="152" spans="1:60" x14ac:dyDescent="0.25">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c r="BB152" s="69"/>
      <c r="BC152" s="69"/>
      <c r="BD152" s="69"/>
      <c r="BE152" s="69"/>
      <c r="BF152" s="69"/>
      <c r="BG152" s="69"/>
      <c r="BH152" s="69"/>
    </row>
    <row r="153" spans="1:60" x14ac:dyDescent="0.25">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c r="AZ153" s="69"/>
      <c r="BA153" s="69"/>
      <c r="BB153" s="69"/>
      <c r="BC153" s="69"/>
      <c r="BD153" s="69"/>
      <c r="BE153" s="69"/>
      <c r="BF153" s="69"/>
      <c r="BG153" s="69"/>
      <c r="BH153" s="69"/>
    </row>
    <row r="154" spans="1:60" x14ac:dyDescent="0.25">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c r="BA154" s="69"/>
      <c r="BB154" s="69"/>
      <c r="BC154" s="69"/>
      <c r="BD154" s="69"/>
      <c r="BE154" s="69"/>
      <c r="BF154" s="69"/>
      <c r="BG154" s="69"/>
      <c r="BH154" s="69"/>
    </row>
    <row r="155" spans="1:60" x14ac:dyDescent="0.2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c r="BA155" s="69"/>
      <c r="BB155" s="69"/>
      <c r="BC155" s="69"/>
      <c r="BD155" s="69"/>
      <c r="BE155" s="69"/>
      <c r="BF155" s="69"/>
      <c r="BG155" s="69"/>
      <c r="BH155" s="69"/>
    </row>
    <row r="156" spans="1:60" x14ac:dyDescent="0.25">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c r="BA156" s="69"/>
      <c r="BB156" s="69"/>
      <c r="BC156" s="69"/>
      <c r="BD156" s="69"/>
      <c r="BE156" s="69"/>
      <c r="BF156" s="69"/>
      <c r="BG156" s="69"/>
      <c r="BH156" s="69"/>
    </row>
    <row r="157" spans="1:60" x14ac:dyDescent="0.25">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c r="AW157" s="69"/>
      <c r="AX157" s="69"/>
      <c r="AY157" s="69"/>
      <c r="AZ157" s="69"/>
      <c r="BA157" s="69"/>
      <c r="BB157" s="69"/>
      <c r="BC157" s="69"/>
      <c r="BD157" s="69"/>
      <c r="BE157" s="69"/>
      <c r="BF157" s="69"/>
      <c r="BG157" s="69"/>
      <c r="BH157" s="69"/>
    </row>
    <row r="158" spans="1:60" x14ac:dyDescent="0.25">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c r="BA158" s="69"/>
      <c r="BB158" s="69"/>
      <c r="BC158" s="69"/>
      <c r="BD158" s="69"/>
      <c r="BE158" s="69"/>
      <c r="BF158" s="69"/>
      <c r="BG158" s="69"/>
      <c r="BH158" s="69"/>
    </row>
    <row r="159" spans="1:60" x14ac:dyDescent="0.25">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c r="AW159" s="69"/>
      <c r="AX159" s="69"/>
      <c r="AY159" s="69"/>
      <c r="AZ159" s="69"/>
      <c r="BA159" s="69"/>
      <c r="BB159" s="69"/>
      <c r="BC159" s="69"/>
      <c r="BD159" s="69"/>
      <c r="BE159" s="69"/>
      <c r="BF159" s="69"/>
      <c r="BG159" s="69"/>
      <c r="BH159" s="69"/>
    </row>
    <row r="160" spans="1:60" x14ac:dyDescent="0.25">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c r="BC160" s="69"/>
      <c r="BD160" s="69"/>
      <c r="BE160" s="69"/>
      <c r="BF160" s="69"/>
      <c r="BG160" s="69"/>
      <c r="BH160" s="69"/>
    </row>
    <row r="161" spans="1:60" x14ac:dyDescent="0.25">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row>
    <row r="162" spans="1:60" x14ac:dyDescent="0.25">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c r="BC162" s="69"/>
      <c r="BD162" s="69"/>
      <c r="BE162" s="69"/>
      <c r="BF162" s="69"/>
      <c r="BG162" s="69"/>
      <c r="BH162" s="69"/>
    </row>
    <row r="163" spans="1:60" x14ac:dyDescent="0.25">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c r="BC163" s="69"/>
      <c r="BD163" s="69"/>
      <c r="BE163" s="69"/>
      <c r="BF163" s="69"/>
      <c r="BG163" s="69"/>
      <c r="BH163" s="69"/>
    </row>
    <row r="164" spans="1:60" x14ac:dyDescent="0.25">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c r="BC164" s="69"/>
      <c r="BD164" s="69"/>
      <c r="BE164" s="69"/>
      <c r="BF164" s="69"/>
      <c r="BG164" s="69"/>
      <c r="BH164" s="69"/>
    </row>
    <row r="165" spans="1:60" x14ac:dyDescent="0.2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c r="BC165" s="69"/>
      <c r="BD165" s="69"/>
      <c r="BE165" s="69"/>
      <c r="BF165" s="69"/>
      <c r="BG165" s="69"/>
      <c r="BH165" s="69"/>
    </row>
    <row r="166" spans="1:60" x14ac:dyDescent="0.25">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c r="BC166" s="69"/>
      <c r="BD166" s="69"/>
      <c r="BE166" s="69"/>
      <c r="BF166" s="69"/>
      <c r="BG166" s="69"/>
      <c r="BH166" s="69"/>
    </row>
    <row r="167" spans="1:60" x14ac:dyDescent="0.25">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c r="BB167" s="69"/>
      <c r="BC167" s="69"/>
      <c r="BD167" s="69"/>
      <c r="BE167" s="69"/>
      <c r="BF167" s="69"/>
      <c r="BG167" s="69"/>
      <c r="BH167" s="69"/>
    </row>
    <row r="168" spans="1:60" x14ac:dyDescent="0.25">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c r="BC168" s="69"/>
      <c r="BD168" s="69"/>
      <c r="BE168" s="69"/>
      <c r="BF168" s="69"/>
      <c r="BG168" s="69"/>
      <c r="BH168" s="69"/>
    </row>
    <row r="169" spans="1:60" x14ac:dyDescent="0.25">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c r="BB169" s="69"/>
      <c r="BC169" s="69"/>
      <c r="BD169" s="69"/>
      <c r="BE169" s="69"/>
      <c r="BF169" s="69"/>
      <c r="BG169" s="69"/>
      <c r="BH169" s="69"/>
    </row>
    <row r="170" spans="1:60" x14ac:dyDescent="0.25">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c r="BC170" s="69"/>
      <c r="BD170" s="69"/>
      <c r="BE170" s="69"/>
      <c r="BF170" s="69"/>
      <c r="BG170" s="69"/>
      <c r="BH170" s="69"/>
    </row>
    <row r="171" spans="1:60" x14ac:dyDescent="0.25">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c r="BF171" s="69"/>
      <c r="BG171" s="69"/>
      <c r="BH171" s="69"/>
    </row>
    <row r="172" spans="1:60" x14ac:dyDescent="0.25">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row>
    <row r="173" spans="1:60" x14ac:dyDescent="0.25">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row>
    <row r="174" spans="1:60" x14ac:dyDescent="0.25">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row>
    <row r="175" spans="1:60" x14ac:dyDescent="0.2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c r="BC175" s="69"/>
      <c r="BD175" s="69"/>
      <c r="BE175" s="69"/>
      <c r="BF175" s="69"/>
      <c r="BG175" s="69"/>
      <c r="BH175" s="69"/>
    </row>
    <row r="176" spans="1:60" x14ac:dyDescent="0.25">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69"/>
      <c r="BG176" s="69"/>
      <c r="BH176" s="69"/>
    </row>
    <row r="177" spans="1:60" x14ac:dyDescent="0.25">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c r="BC177" s="69"/>
      <c r="BD177" s="69"/>
      <c r="BE177" s="69"/>
      <c r="BF177" s="69"/>
      <c r="BG177" s="69"/>
      <c r="BH177" s="69"/>
    </row>
    <row r="178" spans="1:60" x14ac:dyDescent="0.25">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c r="BC178" s="69"/>
      <c r="BD178" s="69"/>
      <c r="BE178" s="69"/>
      <c r="BF178" s="69"/>
      <c r="BG178" s="69"/>
      <c r="BH178" s="69"/>
    </row>
    <row r="179" spans="1:60" x14ac:dyDescent="0.25">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c r="BB179" s="69"/>
      <c r="BC179" s="69"/>
      <c r="BD179" s="69"/>
      <c r="BE179" s="69"/>
      <c r="BF179" s="69"/>
      <c r="BG179" s="69"/>
      <c r="BH179" s="69"/>
    </row>
    <row r="180" spans="1:60" x14ac:dyDescent="0.25">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c r="BC180" s="69"/>
      <c r="BD180" s="69"/>
      <c r="BE180" s="69"/>
      <c r="BF180" s="69"/>
      <c r="BG180" s="69"/>
      <c r="BH180" s="69"/>
    </row>
    <row r="181" spans="1:60" x14ac:dyDescent="0.25">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c r="BB181" s="69"/>
      <c r="BC181" s="69"/>
      <c r="BD181" s="69"/>
      <c r="BE181" s="69"/>
      <c r="BF181" s="69"/>
      <c r="BG181" s="69"/>
      <c r="BH181" s="69"/>
    </row>
    <row r="182" spans="1:60" x14ac:dyDescent="0.25">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c r="BC182" s="69"/>
      <c r="BD182" s="69"/>
      <c r="BE182" s="69"/>
      <c r="BF182" s="69"/>
      <c r="BG182" s="69"/>
      <c r="BH182" s="69"/>
    </row>
    <row r="183" spans="1:60" x14ac:dyDescent="0.25">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c r="BB183" s="69"/>
      <c r="BC183" s="69"/>
      <c r="BD183" s="69"/>
      <c r="BE183" s="69"/>
      <c r="BF183" s="69"/>
      <c r="BG183" s="69"/>
      <c r="BH183" s="69"/>
    </row>
    <row r="184" spans="1:60" x14ac:dyDescent="0.25">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c r="BC184" s="69"/>
      <c r="BD184" s="69"/>
      <c r="BE184" s="69"/>
      <c r="BF184" s="69"/>
      <c r="BG184" s="69"/>
      <c r="BH184" s="69"/>
    </row>
    <row r="185" spans="1:60" x14ac:dyDescent="0.2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c r="BB185" s="69"/>
      <c r="BC185" s="69"/>
      <c r="BD185" s="69"/>
      <c r="BE185" s="69"/>
      <c r="BF185" s="69"/>
      <c r="BG185" s="69"/>
      <c r="BH185" s="69"/>
    </row>
    <row r="186" spans="1:60" x14ac:dyDescent="0.25">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c r="BC186" s="69"/>
      <c r="BD186" s="69"/>
      <c r="BE186" s="69"/>
      <c r="BF186" s="69"/>
      <c r="BG186" s="69"/>
      <c r="BH186" s="69"/>
    </row>
    <row r="187" spans="1:60" x14ac:dyDescent="0.25">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c r="BB187" s="69"/>
      <c r="BC187" s="69"/>
      <c r="BD187" s="69"/>
      <c r="BE187" s="69"/>
      <c r="BF187" s="69"/>
      <c r="BG187" s="69"/>
      <c r="BH187" s="69"/>
    </row>
    <row r="188" spans="1:60" x14ac:dyDescent="0.25">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c r="BC188" s="69"/>
      <c r="BD188" s="69"/>
      <c r="BE188" s="69"/>
      <c r="BF188" s="69"/>
      <c r="BG188" s="69"/>
      <c r="BH188" s="69"/>
    </row>
    <row r="189" spans="1:60" x14ac:dyDescent="0.25">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c r="BB189" s="69"/>
      <c r="BC189" s="69"/>
      <c r="BD189" s="69"/>
      <c r="BE189" s="69"/>
      <c r="BF189" s="69"/>
      <c r="BG189" s="69"/>
      <c r="BH189" s="69"/>
    </row>
    <row r="190" spans="1:60" x14ac:dyDescent="0.25">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row>
    <row r="191" spans="1:60" x14ac:dyDescent="0.25">
      <c r="A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row>
    <row r="192" spans="1:60" x14ac:dyDescent="0.25">
      <c r="A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69"/>
      <c r="BG192" s="69"/>
      <c r="BH192" s="69"/>
    </row>
    <row r="193" spans="1:60" x14ac:dyDescent="0.25">
      <c r="A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c r="BC193" s="69"/>
      <c r="BD193" s="69"/>
      <c r="BE193" s="69"/>
      <c r="BF193" s="69"/>
      <c r="BG193" s="69"/>
      <c r="BH193" s="69"/>
    </row>
    <row r="194" spans="1:60" x14ac:dyDescent="0.25">
      <c r="A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c r="BC194" s="69"/>
      <c r="BD194" s="69"/>
      <c r="BE194" s="69"/>
      <c r="BF194" s="69"/>
      <c r="BG194" s="69"/>
      <c r="BH194" s="69"/>
    </row>
    <row r="195" spans="1:60" x14ac:dyDescent="0.25">
      <c r="A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c r="BB195" s="69"/>
      <c r="BC195" s="69"/>
      <c r="BD195" s="69"/>
      <c r="BE195" s="69"/>
      <c r="BF195" s="69"/>
      <c r="BG195" s="69"/>
      <c r="BH195" s="69"/>
    </row>
    <row r="196" spans="1:60" x14ac:dyDescent="0.25">
      <c r="A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c r="BC196" s="69"/>
      <c r="BD196" s="69"/>
      <c r="BE196" s="69"/>
      <c r="BF196" s="69"/>
      <c r="BG196" s="69"/>
      <c r="BH196" s="69"/>
    </row>
    <row r="197" spans="1:60" x14ac:dyDescent="0.25">
      <c r="A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c r="BC197" s="69"/>
      <c r="BD197" s="69"/>
      <c r="BE197" s="69"/>
      <c r="BF197" s="69"/>
      <c r="BG197" s="69"/>
      <c r="BH197" s="69"/>
    </row>
    <row r="198" spans="1:60" x14ac:dyDescent="0.25">
      <c r="A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c r="BC198" s="69"/>
      <c r="BD198" s="69"/>
      <c r="BE198" s="69"/>
      <c r="BF198" s="69"/>
      <c r="BG198" s="69"/>
      <c r="BH198" s="69"/>
    </row>
    <row r="199" spans="1:60" x14ac:dyDescent="0.25">
      <c r="A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c r="BC199" s="69"/>
      <c r="BD199" s="69"/>
      <c r="BE199" s="69"/>
      <c r="BF199" s="69"/>
      <c r="BG199" s="69"/>
      <c r="BH199" s="69"/>
    </row>
    <row r="200" spans="1:60" x14ac:dyDescent="0.25">
      <c r="A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c r="BC200" s="69"/>
      <c r="BD200" s="69"/>
      <c r="BE200" s="69"/>
      <c r="BF200" s="69"/>
      <c r="BG200" s="69"/>
      <c r="BH200" s="69"/>
    </row>
    <row r="201" spans="1:60" x14ac:dyDescent="0.25">
      <c r="A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c r="BC201" s="69"/>
      <c r="BD201" s="69"/>
      <c r="BE201" s="69"/>
      <c r="BF201" s="69"/>
      <c r="BG201" s="69"/>
      <c r="BH201" s="69"/>
    </row>
    <row r="202" spans="1:60" x14ac:dyDescent="0.25">
      <c r="A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c r="BC202" s="69"/>
      <c r="BD202" s="69"/>
      <c r="BE202" s="69"/>
      <c r="BF202" s="69"/>
      <c r="BG202" s="69"/>
      <c r="BH202" s="69"/>
    </row>
    <row r="203" spans="1:60" x14ac:dyDescent="0.25">
      <c r="A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c r="BB203" s="69"/>
      <c r="BC203" s="69"/>
      <c r="BD203" s="69"/>
      <c r="BE203" s="69"/>
      <c r="BF203" s="69"/>
      <c r="BG203" s="69"/>
      <c r="BH203" s="69"/>
    </row>
    <row r="204" spans="1:60" x14ac:dyDescent="0.25">
      <c r="A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c r="BB204" s="69"/>
      <c r="BC204" s="69"/>
      <c r="BD204" s="69"/>
      <c r="BE204" s="69"/>
      <c r="BF204" s="69"/>
      <c r="BG204" s="69"/>
      <c r="BH204" s="69"/>
    </row>
    <row r="205" spans="1:60" x14ac:dyDescent="0.25">
      <c r="A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c r="BA205" s="69"/>
      <c r="BB205" s="69"/>
      <c r="BC205" s="69"/>
      <c r="BD205" s="69"/>
      <c r="BE205" s="69"/>
      <c r="BF205" s="69"/>
      <c r="BG205" s="69"/>
      <c r="BH205" s="69"/>
    </row>
    <row r="206" spans="1:60" x14ac:dyDescent="0.25">
      <c r="A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c r="BB206" s="69"/>
      <c r="BC206" s="69"/>
      <c r="BD206" s="69"/>
      <c r="BE206" s="69"/>
      <c r="BF206" s="69"/>
      <c r="BG206" s="69"/>
      <c r="BH206" s="69"/>
    </row>
    <row r="207" spans="1:60" x14ac:dyDescent="0.25">
      <c r="A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c r="BB207" s="69"/>
      <c r="BC207" s="69"/>
      <c r="BD207" s="69"/>
      <c r="BE207" s="69"/>
      <c r="BF207" s="69"/>
      <c r="BG207" s="69"/>
      <c r="BH207" s="69"/>
    </row>
    <row r="208" spans="1:60" x14ac:dyDescent="0.25">
      <c r="A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c r="BB208" s="69"/>
      <c r="BC208" s="69"/>
      <c r="BD208" s="69"/>
      <c r="BE208" s="69"/>
      <c r="BF208" s="69"/>
      <c r="BG208" s="69"/>
      <c r="BH208" s="69"/>
    </row>
    <row r="209" spans="1:60" x14ac:dyDescent="0.25">
      <c r="A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c r="BA209" s="69"/>
      <c r="BB209" s="69"/>
      <c r="BC209" s="69"/>
      <c r="BD209" s="69"/>
      <c r="BE209" s="69"/>
      <c r="BF209" s="69"/>
      <c r="BG209" s="69"/>
      <c r="BH209" s="69"/>
    </row>
    <row r="210" spans="1:60" x14ac:dyDescent="0.25">
      <c r="A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c r="BB210" s="69"/>
      <c r="BC210" s="69"/>
      <c r="BD210" s="69"/>
      <c r="BE210" s="69"/>
      <c r="BF210" s="69"/>
      <c r="BG210" s="69"/>
      <c r="BH210" s="69"/>
    </row>
    <row r="211" spans="1:60" x14ac:dyDescent="0.25">
      <c r="A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c r="BB211" s="69"/>
      <c r="BC211" s="69"/>
      <c r="BD211" s="69"/>
      <c r="BE211" s="69"/>
      <c r="BF211" s="69"/>
      <c r="BG211" s="69"/>
      <c r="BH211" s="69"/>
    </row>
    <row r="212" spans="1:60" x14ac:dyDescent="0.25">
      <c r="A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c r="BB212" s="69"/>
      <c r="BC212" s="69"/>
      <c r="BD212" s="69"/>
      <c r="BE212" s="69"/>
      <c r="BF212" s="69"/>
      <c r="BG212" s="69"/>
      <c r="BH212" s="69"/>
    </row>
    <row r="213" spans="1:60" x14ac:dyDescent="0.25">
      <c r="A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c r="BB213" s="69"/>
      <c r="BC213" s="69"/>
      <c r="BD213" s="69"/>
      <c r="BE213" s="69"/>
      <c r="BF213" s="69"/>
      <c r="BG213" s="69"/>
      <c r="BH213" s="69"/>
    </row>
    <row r="214" spans="1:60" x14ac:dyDescent="0.25">
      <c r="A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c r="BC214" s="69"/>
      <c r="BD214" s="69"/>
      <c r="BE214" s="69"/>
      <c r="BF214" s="69"/>
      <c r="BG214" s="69"/>
      <c r="BH214" s="69"/>
    </row>
    <row r="215" spans="1:60" x14ac:dyDescent="0.25">
      <c r="A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c r="BB215" s="69"/>
      <c r="BC215" s="69"/>
      <c r="BD215" s="69"/>
      <c r="BE215" s="69"/>
      <c r="BF215" s="69"/>
      <c r="BG215" s="69"/>
      <c r="BH215" s="69"/>
    </row>
    <row r="216" spans="1:60" x14ac:dyDescent="0.25">
      <c r="A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c r="BC216" s="69"/>
      <c r="BD216" s="69"/>
      <c r="BE216" s="69"/>
      <c r="BF216" s="69"/>
      <c r="BG216" s="69"/>
      <c r="BH216" s="69"/>
    </row>
    <row r="217" spans="1:60" x14ac:dyDescent="0.25">
      <c r="A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c r="BB217" s="69"/>
      <c r="BC217" s="69"/>
      <c r="BD217" s="69"/>
      <c r="BE217" s="69"/>
      <c r="BF217" s="69"/>
      <c r="BG217" s="69"/>
      <c r="BH217" s="69"/>
    </row>
    <row r="218" spans="1:60" x14ac:dyDescent="0.25">
      <c r="A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c r="BC218" s="69"/>
      <c r="BD218" s="69"/>
      <c r="BE218" s="69"/>
      <c r="BF218" s="69"/>
      <c r="BG218" s="69"/>
      <c r="BH218" s="69"/>
    </row>
    <row r="219" spans="1:60" x14ac:dyDescent="0.25">
      <c r="A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c r="BC219" s="69"/>
      <c r="BD219" s="69"/>
      <c r="BE219" s="69"/>
      <c r="BF219" s="69"/>
      <c r="BG219" s="69"/>
      <c r="BH219" s="69"/>
    </row>
    <row r="220" spans="1:60" x14ac:dyDescent="0.25">
      <c r="A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c r="BC220" s="69"/>
      <c r="BD220" s="69"/>
      <c r="BE220" s="69"/>
      <c r="BF220" s="69"/>
      <c r="BG220" s="69"/>
      <c r="BH220" s="69"/>
    </row>
    <row r="221" spans="1:60" x14ac:dyDescent="0.25">
      <c r="A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c r="BB221" s="69"/>
      <c r="BC221" s="69"/>
      <c r="BD221" s="69"/>
      <c r="BE221" s="69"/>
      <c r="BF221" s="69"/>
      <c r="BG221" s="69"/>
      <c r="BH221" s="69"/>
    </row>
    <row r="222" spans="1:60" x14ac:dyDescent="0.25">
      <c r="A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c r="BA222" s="69"/>
      <c r="BB222" s="69"/>
      <c r="BC222" s="69"/>
      <c r="BD222" s="69"/>
      <c r="BE222" s="69"/>
      <c r="BF222" s="69"/>
      <c r="BG222" s="69"/>
      <c r="BH222" s="69"/>
    </row>
    <row r="223" spans="1:60" x14ac:dyDescent="0.25">
      <c r="A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c r="AZ223" s="69"/>
      <c r="BA223" s="69"/>
      <c r="BB223" s="69"/>
      <c r="BC223" s="69"/>
      <c r="BD223" s="69"/>
      <c r="BE223" s="69"/>
      <c r="BF223" s="69"/>
      <c r="BG223" s="69"/>
      <c r="BH223" s="69"/>
    </row>
    <row r="224" spans="1:60" x14ac:dyDescent="0.25">
      <c r="A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c r="BA224" s="69"/>
      <c r="BB224" s="69"/>
      <c r="BC224" s="69"/>
      <c r="BD224" s="69"/>
      <c r="BE224" s="69"/>
      <c r="BF224" s="69"/>
      <c r="BG224" s="69"/>
      <c r="BH224" s="69"/>
    </row>
    <row r="225" spans="1:60" x14ac:dyDescent="0.25">
      <c r="A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c r="AZ225" s="69"/>
      <c r="BA225" s="69"/>
      <c r="BB225" s="69"/>
      <c r="BC225" s="69"/>
      <c r="BD225" s="69"/>
      <c r="BE225" s="69"/>
      <c r="BF225" s="69"/>
      <c r="BG225" s="69"/>
      <c r="BH225" s="69"/>
    </row>
    <row r="226" spans="1:60" x14ac:dyDescent="0.25">
      <c r="A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c r="AZ226" s="69"/>
      <c r="BA226" s="69"/>
      <c r="BB226" s="69"/>
      <c r="BC226" s="69"/>
      <c r="BD226" s="69"/>
      <c r="BE226" s="69"/>
      <c r="BF226" s="69"/>
      <c r="BG226" s="69"/>
      <c r="BH226" s="69"/>
    </row>
    <row r="227" spans="1:60" x14ac:dyDescent="0.25">
      <c r="A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c r="AW227" s="69"/>
      <c r="AX227" s="69"/>
      <c r="AY227" s="69"/>
      <c r="AZ227" s="69"/>
      <c r="BA227" s="69"/>
      <c r="BB227" s="69"/>
      <c r="BC227" s="69"/>
      <c r="BD227" s="69"/>
      <c r="BE227" s="69"/>
      <c r="BF227" s="69"/>
      <c r="BG227" s="69"/>
      <c r="BH227" s="69"/>
    </row>
    <row r="228" spans="1:60" x14ac:dyDescent="0.25">
      <c r="A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c r="AZ228" s="69"/>
      <c r="BA228" s="69"/>
      <c r="BB228" s="69"/>
      <c r="BC228" s="69"/>
      <c r="BD228" s="69"/>
      <c r="BE228" s="69"/>
      <c r="BF228" s="69"/>
      <c r="BG228" s="69"/>
      <c r="BH228" s="69"/>
    </row>
    <row r="229" spans="1:60" x14ac:dyDescent="0.25">
      <c r="A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c r="AZ229" s="69"/>
      <c r="BA229" s="69"/>
      <c r="BB229" s="69"/>
      <c r="BC229" s="69"/>
      <c r="BD229" s="69"/>
      <c r="BE229" s="69"/>
      <c r="BF229" s="69"/>
      <c r="BG229" s="69"/>
      <c r="BH229" s="69"/>
    </row>
    <row r="230" spans="1:60" x14ac:dyDescent="0.25">
      <c r="A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c r="BA230" s="69"/>
      <c r="BB230" s="69"/>
      <c r="BC230" s="69"/>
      <c r="BD230" s="69"/>
      <c r="BE230" s="69"/>
      <c r="BF230" s="69"/>
      <c r="BG230" s="69"/>
      <c r="BH230" s="69"/>
    </row>
    <row r="231" spans="1:60" x14ac:dyDescent="0.25">
      <c r="A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c r="BA231" s="69"/>
      <c r="BB231" s="69"/>
      <c r="BC231" s="69"/>
      <c r="BD231" s="69"/>
      <c r="BE231" s="69"/>
      <c r="BF231" s="69"/>
      <c r="BG231" s="69"/>
      <c r="BH231" s="69"/>
    </row>
    <row r="232" spans="1:60" x14ac:dyDescent="0.25">
      <c r="A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69"/>
      <c r="BG232" s="69"/>
      <c r="BH232" s="69"/>
    </row>
    <row r="233" spans="1:60" x14ac:dyDescent="0.25">
      <c r="A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c r="BA233" s="69"/>
      <c r="BB233" s="69"/>
      <c r="BC233" s="69"/>
      <c r="BD233" s="69"/>
      <c r="BE233" s="69"/>
      <c r="BF233" s="69"/>
      <c r="BG233" s="69"/>
      <c r="BH233" s="69"/>
    </row>
    <row r="234" spans="1:60" x14ac:dyDescent="0.25">
      <c r="A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c r="BA234" s="69"/>
      <c r="BB234" s="69"/>
      <c r="BC234" s="69"/>
      <c r="BD234" s="69"/>
      <c r="BE234" s="69"/>
      <c r="BF234" s="69"/>
      <c r="BG234" s="69"/>
      <c r="BH234" s="69"/>
    </row>
    <row r="235" spans="1:60" x14ac:dyDescent="0.25">
      <c r="A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c r="AZ235" s="69"/>
      <c r="BA235" s="69"/>
      <c r="BB235" s="69"/>
      <c r="BC235" s="69"/>
      <c r="BD235" s="69"/>
      <c r="BE235" s="69"/>
      <c r="BF235" s="69"/>
      <c r="BG235" s="69"/>
      <c r="BH235" s="69"/>
    </row>
    <row r="236" spans="1:60" x14ac:dyDescent="0.25">
      <c r="A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c r="AZ236" s="69"/>
      <c r="BA236" s="69"/>
      <c r="BB236" s="69"/>
      <c r="BC236" s="69"/>
      <c r="BD236" s="69"/>
      <c r="BE236" s="69"/>
      <c r="BF236" s="69"/>
      <c r="BG236" s="69"/>
      <c r="BH236" s="69"/>
    </row>
    <row r="237" spans="1:60" x14ac:dyDescent="0.25">
      <c r="A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c r="AZ237" s="69"/>
      <c r="BA237" s="69"/>
      <c r="BB237" s="69"/>
      <c r="BC237" s="69"/>
      <c r="BD237" s="69"/>
      <c r="BE237" s="69"/>
      <c r="BF237" s="69"/>
      <c r="BG237" s="69"/>
      <c r="BH237" s="69"/>
    </row>
    <row r="238" spans="1:60" x14ac:dyDescent="0.25">
      <c r="A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c r="AZ238" s="69"/>
      <c r="BA238" s="69"/>
      <c r="BB238" s="69"/>
      <c r="BC238" s="69"/>
      <c r="BD238" s="69"/>
      <c r="BE238" s="69"/>
      <c r="BF238" s="69"/>
      <c r="BG238" s="69"/>
      <c r="BH238" s="69"/>
    </row>
    <row r="239" spans="1:60" x14ac:dyDescent="0.25">
      <c r="A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c r="AZ239" s="69"/>
      <c r="BA239" s="69"/>
      <c r="BB239" s="69"/>
      <c r="BC239" s="69"/>
      <c r="BD239" s="69"/>
      <c r="BE239" s="69"/>
      <c r="BF239" s="69"/>
      <c r="BG239" s="69"/>
      <c r="BH239" s="69"/>
    </row>
    <row r="240" spans="1:60" x14ac:dyDescent="0.25">
      <c r="A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c r="AZ240" s="69"/>
      <c r="BA240" s="69"/>
      <c r="BB240" s="69"/>
      <c r="BC240" s="69"/>
      <c r="BD240" s="69"/>
      <c r="BE240" s="69"/>
      <c r="BF240" s="69"/>
      <c r="BG240" s="69"/>
      <c r="BH240" s="69"/>
    </row>
    <row r="241" spans="1:60" x14ac:dyDescent="0.25">
      <c r="A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c r="AZ241" s="69"/>
      <c r="BA241" s="69"/>
      <c r="BB241" s="69"/>
      <c r="BC241" s="69"/>
      <c r="BD241" s="69"/>
      <c r="BE241" s="69"/>
      <c r="BF241" s="69"/>
      <c r="BG241" s="69"/>
      <c r="BH241" s="69"/>
    </row>
    <row r="242" spans="1:60" x14ac:dyDescent="0.25">
      <c r="A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c r="BA242" s="69"/>
      <c r="BB242" s="69"/>
      <c r="BC242" s="69"/>
      <c r="BD242" s="69"/>
      <c r="BE242" s="69"/>
      <c r="BF242" s="69"/>
      <c r="BG242" s="69"/>
      <c r="BH242" s="69"/>
    </row>
    <row r="243" spans="1:60" x14ac:dyDescent="0.25">
      <c r="A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c r="AW243" s="69"/>
      <c r="AX243" s="69"/>
      <c r="AY243" s="69"/>
      <c r="AZ243" s="69"/>
      <c r="BA243" s="69"/>
      <c r="BB243" s="69"/>
      <c r="BC243" s="69"/>
      <c r="BD243" s="69"/>
      <c r="BE243" s="69"/>
      <c r="BF243" s="69"/>
      <c r="BG243" s="69"/>
      <c r="BH243" s="69"/>
    </row>
    <row r="244" spans="1:60" x14ac:dyDescent="0.25">
      <c r="A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c r="AZ244" s="69"/>
      <c r="BA244" s="69"/>
      <c r="BB244" s="69"/>
      <c r="BC244" s="69"/>
      <c r="BD244" s="69"/>
      <c r="BE244" s="69"/>
      <c r="BF244" s="69"/>
      <c r="BG244" s="69"/>
      <c r="BH244" s="69"/>
    </row>
    <row r="245" spans="1:60" x14ac:dyDescent="0.25">
      <c r="A245" s="69"/>
    </row>
    <row r="246" spans="1:60" x14ac:dyDescent="0.25">
      <c r="A246" s="69"/>
    </row>
    <row r="247" spans="1:60" x14ac:dyDescent="0.25">
      <c r="A247" s="69"/>
    </row>
    <row r="248" spans="1:60" x14ac:dyDescent="0.25">
      <c r="A248" s="69"/>
    </row>
  </sheetData>
  <mergeCells count="17">
    <mergeCell ref="AO16:AT25"/>
    <mergeCell ref="E16:I25"/>
    <mergeCell ref="AO6:AT15"/>
    <mergeCell ref="B2:I4"/>
    <mergeCell ref="J2:AM4"/>
    <mergeCell ref="B6:D55"/>
    <mergeCell ref="E6:I15"/>
    <mergeCell ref="E46:I55"/>
    <mergeCell ref="AO36:AT45"/>
    <mergeCell ref="E36:I45"/>
    <mergeCell ref="AO26:AT35"/>
    <mergeCell ref="E26:I35"/>
    <mergeCell ref="J56:O61"/>
    <mergeCell ref="P56:U61"/>
    <mergeCell ref="V56:AA61"/>
    <mergeCell ref="AB56:AG61"/>
    <mergeCell ref="AH56:AM6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K55"/>
  <sheetViews>
    <sheetView zoomScale="90" zoomScaleNormal="90" workbookViewId="0">
      <selection activeCell="C6" sqref="C6"/>
    </sheetView>
  </sheetViews>
  <sheetFormatPr baseColWidth="10" defaultRowHeight="15" x14ac:dyDescent="0.25"/>
  <cols>
    <col min="2" max="2" width="24.140625" customWidth="1" collapsed="1"/>
    <col min="3" max="3" width="70.140625" customWidth="1" collapsed="1"/>
    <col min="4" max="4" width="29.85546875" customWidth="1" collapsed="1"/>
  </cols>
  <sheetData>
    <row r="1" spans="1:37" ht="23.25" x14ac:dyDescent="0.25">
      <c r="A1" s="69"/>
      <c r="B1" s="392" t="s">
        <v>55</v>
      </c>
      <c r="C1" s="392"/>
      <c r="D1" s="392"/>
      <c r="E1" s="69"/>
      <c r="F1" s="69"/>
      <c r="G1" s="69"/>
      <c r="H1" s="69"/>
      <c r="I1" s="69"/>
      <c r="J1" s="69"/>
      <c r="K1" s="69"/>
      <c r="L1" s="69"/>
      <c r="M1" s="69"/>
      <c r="N1" s="69"/>
      <c r="O1" s="69"/>
      <c r="P1" s="69"/>
      <c r="Q1" s="69"/>
      <c r="R1" s="69"/>
      <c r="S1" s="69"/>
      <c r="T1" s="69"/>
      <c r="U1" s="69"/>
      <c r="V1" s="69"/>
      <c r="W1" s="69"/>
      <c r="X1" s="69"/>
      <c r="Y1" s="69"/>
      <c r="Z1" s="69"/>
      <c r="AA1" s="69"/>
      <c r="AB1" s="69"/>
      <c r="AC1" s="69"/>
      <c r="AD1" s="69"/>
      <c r="AE1" s="69"/>
    </row>
    <row r="2" spans="1:37" x14ac:dyDescent="0.25">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row>
    <row r="3" spans="1:37" ht="25.5" x14ac:dyDescent="0.25">
      <c r="A3" s="69"/>
      <c r="B3" s="3"/>
      <c r="C3" s="4" t="s">
        <v>52</v>
      </c>
      <c r="D3" s="4" t="s">
        <v>4</v>
      </c>
      <c r="E3" s="69"/>
      <c r="F3" s="69"/>
      <c r="G3" s="69"/>
      <c r="H3" s="69"/>
      <c r="I3" s="69"/>
      <c r="J3" s="69"/>
      <c r="K3" s="69"/>
      <c r="L3" s="69"/>
      <c r="M3" s="69"/>
      <c r="N3" s="69"/>
      <c r="O3" s="69"/>
      <c r="P3" s="69"/>
      <c r="Q3" s="69"/>
      <c r="R3" s="69"/>
      <c r="S3" s="69"/>
      <c r="T3" s="69"/>
      <c r="U3" s="69"/>
      <c r="V3" s="69"/>
      <c r="W3" s="69"/>
      <c r="X3" s="69"/>
      <c r="Y3" s="69"/>
      <c r="Z3" s="69"/>
      <c r="AA3" s="69"/>
      <c r="AB3" s="69"/>
      <c r="AC3" s="69"/>
      <c r="AD3" s="69"/>
      <c r="AE3" s="69"/>
    </row>
    <row r="4" spans="1:37" ht="51" x14ac:dyDescent="0.25">
      <c r="A4" s="69"/>
      <c r="B4" s="5" t="s">
        <v>51</v>
      </c>
      <c r="C4" s="6" t="s">
        <v>102</v>
      </c>
      <c r="D4" s="7">
        <v>0.2</v>
      </c>
      <c r="E4" s="69"/>
      <c r="F4" s="69"/>
      <c r="G4" s="69"/>
      <c r="H4" s="69"/>
      <c r="I4" s="69"/>
      <c r="J4" s="69"/>
      <c r="K4" s="69"/>
      <c r="L4" s="69"/>
      <c r="M4" s="69"/>
      <c r="N4" s="69"/>
      <c r="O4" s="69"/>
      <c r="P4" s="69"/>
      <c r="Q4" s="69"/>
      <c r="R4" s="69"/>
      <c r="S4" s="69"/>
      <c r="T4" s="69"/>
      <c r="U4" s="69"/>
      <c r="V4" s="69"/>
      <c r="W4" s="69"/>
      <c r="X4" s="69"/>
      <c r="Y4" s="69"/>
      <c r="Z4" s="69"/>
      <c r="AA4" s="69"/>
      <c r="AB4" s="69"/>
      <c r="AC4" s="69"/>
      <c r="AD4" s="69"/>
      <c r="AE4" s="69"/>
    </row>
    <row r="5" spans="1:37" ht="51" x14ac:dyDescent="0.25">
      <c r="A5" s="69"/>
      <c r="B5" s="8" t="s">
        <v>53</v>
      </c>
      <c r="C5" s="9" t="s">
        <v>103</v>
      </c>
      <c r="D5" s="10">
        <v>0.4</v>
      </c>
      <c r="E5" s="69"/>
      <c r="F5" s="69"/>
      <c r="G5" s="69"/>
      <c r="H5" s="69"/>
      <c r="I5" s="69"/>
      <c r="J5" s="69"/>
      <c r="K5" s="69"/>
      <c r="L5" s="69"/>
      <c r="M5" s="69"/>
      <c r="N5" s="69"/>
      <c r="O5" s="69"/>
      <c r="P5" s="69"/>
      <c r="Q5" s="69"/>
      <c r="R5" s="69"/>
      <c r="S5" s="69"/>
      <c r="T5" s="69"/>
      <c r="U5" s="69"/>
      <c r="V5" s="69"/>
      <c r="W5" s="69"/>
      <c r="X5" s="69"/>
      <c r="Y5" s="69"/>
      <c r="Z5" s="69"/>
      <c r="AA5" s="69"/>
      <c r="AB5" s="69"/>
      <c r="AC5" s="69"/>
      <c r="AD5" s="69"/>
      <c r="AE5" s="69"/>
    </row>
    <row r="6" spans="1:37" ht="51" x14ac:dyDescent="0.25">
      <c r="A6" s="69"/>
      <c r="B6" s="11" t="s">
        <v>107</v>
      </c>
      <c r="C6" s="9" t="s">
        <v>104</v>
      </c>
      <c r="D6" s="10">
        <v>0.6</v>
      </c>
      <c r="E6" s="69"/>
      <c r="F6" s="69"/>
      <c r="G6" s="69"/>
      <c r="H6" s="69"/>
      <c r="I6" s="69"/>
      <c r="J6" s="69"/>
      <c r="K6" s="69"/>
      <c r="L6" s="69"/>
      <c r="M6" s="69"/>
      <c r="N6" s="69"/>
      <c r="O6" s="69"/>
      <c r="P6" s="69"/>
      <c r="Q6" s="69"/>
      <c r="R6" s="69"/>
      <c r="S6" s="69"/>
      <c r="T6" s="69"/>
      <c r="U6" s="69"/>
      <c r="V6" s="69"/>
      <c r="W6" s="69"/>
      <c r="X6" s="69"/>
      <c r="Y6" s="69"/>
      <c r="Z6" s="69"/>
      <c r="AA6" s="69"/>
      <c r="AB6" s="69"/>
      <c r="AC6" s="69"/>
      <c r="AD6" s="69"/>
      <c r="AE6" s="69"/>
    </row>
    <row r="7" spans="1:37" ht="76.5" x14ac:dyDescent="0.25">
      <c r="A7" s="69"/>
      <c r="B7" s="12" t="s">
        <v>6</v>
      </c>
      <c r="C7" s="9" t="s">
        <v>105</v>
      </c>
      <c r="D7" s="10">
        <v>0.8</v>
      </c>
      <c r="E7" s="69"/>
      <c r="F7" s="69"/>
      <c r="G7" s="69"/>
      <c r="H7" s="69"/>
      <c r="I7" s="69"/>
      <c r="J7" s="69"/>
      <c r="K7" s="69"/>
      <c r="L7" s="69"/>
      <c r="M7" s="69"/>
      <c r="N7" s="69"/>
      <c r="O7" s="69"/>
      <c r="P7" s="69"/>
      <c r="Q7" s="69"/>
      <c r="R7" s="69"/>
      <c r="S7" s="69"/>
      <c r="T7" s="69"/>
      <c r="U7" s="69"/>
      <c r="V7" s="69"/>
      <c r="W7" s="69"/>
      <c r="X7" s="69"/>
      <c r="Y7" s="69"/>
      <c r="Z7" s="69"/>
      <c r="AA7" s="69"/>
      <c r="AB7" s="69"/>
      <c r="AC7" s="69"/>
      <c r="AD7" s="69"/>
      <c r="AE7" s="69"/>
    </row>
    <row r="8" spans="1:37" ht="51" x14ac:dyDescent="0.25">
      <c r="A8" s="69"/>
      <c r="B8" s="13" t="s">
        <v>54</v>
      </c>
      <c r="C8" s="9" t="s">
        <v>106</v>
      </c>
      <c r="D8" s="10">
        <v>1</v>
      </c>
      <c r="E8" s="69"/>
      <c r="F8" s="69"/>
      <c r="G8" s="69"/>
      <c r="H8" s="69"/>
      <c r="I8" s="69"/>
      <c r="J8" s="69"/>
      <c r="K8" s="69"/>
      <c r="L8" s="69"/>
      <c r="M8" s="69"/>
      <c r="N8" s="69"/>
      <c r="O8" s="69"/>
      <c r="P8" s="69"/>
      <c r="Q8" s="69"/>
      <c r="R8" s="69"/>
      <c r="S8" s="69"/>
      <c r="T8" s="69"/>
      <c r="U8" s="69"/>
      <c r="V8" s="69"/>
      <c r="W8" s="69"/>
      <c r="X8" s="69"/>
      <c r="Y8" s="69"/>
      <c r="Z8" s="69"/>
      <c r="AA8" s="69"/>
      <c r="AB8" s="69"/>
      <c r="AC8" s="69"/>
      <c r="AD8" s="69"/>
      <c r="AE8" s="69"/>
    </row>
    <row r="9" spans="1:37" x14ac:dyDescent="0.25">
      <c r="A9" s="69"/>
      <c r="B9" s="93"/>
      <c r="C9" s="93"/>
      <c r="D9" s="93"/>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row>
    <row r="10" spans="1:37" ht="16.5" x14ac:dyDescent="0.25">
      <c r="A10" s="69"/>
      <c r="B10" s="94"/>
      <c r="C10" s="93"/>
      <c r="D10" s="93"/>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row>
    <row r="11" spans="1:37" x14ac:dyDescent="0.25">
      <c r="A11" s="69"/>
      <c r="B11" s="93"/>
      <c r="C11" s="93"/>
      <c r="D11" s="93"/>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row>
    <row r="12" spans="1:37" x14ac:dyDescent="0.25">
      <c r="A12" s="69"/>
      <c r="B12" s="93"/>
      <c r="C12" s="93"/>
      <c r="D12" s="93"/>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row>
    <row r="13" spans="1:37" x14ac:dyDescent="0.25">
      <c r="A13" s="69"/>
      <c r="B13" s="93"/>
      <c r="C13" s="93"/>
      <c r="D13" s="93"/>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row>
    <row r="14" spans="1:37" x14ac:dyDescent="0.25">
      <c r="A14" s="69"/>
      <c r="B14" s="93"/>
      <c r="C14" s="93"/>
      <c r="D14" s="93"/>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row>
    <row r="15" spans="1:37" x14ac:dyDescent="0.25">
      <c r="A15" s="69"/>
      <c r="B15" s="93"/>
      <c r="C15" s="93"/>
      <c r="D15" s="93"/>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row>
    <row r="16" spans="1:37" x14ac:dyDescent="0.25">
      <c r="A16" s="69"/>
      <c r="B16" s="93"/>
      <c r="C16" s="93"/>
      <c r="D16" s="93"/>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row>
    <row r="17" spans="1:37" x14ac:dyDescent="0.25">
      <c r="A17" s="69"/>
      <c r="B17" s="93"/>
      <c r="C17" s="93"/>
      <c r="D17" s="93"/>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row>
    <row r="18" spans="1:37" x14ac:dyDescent="0.25">
      <c r="A18" s="69"/>
      <c r="B18" s="93"/>
      <c r="C18" s="93"/>
      <c r="D18" s="93"/>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row>
    <row r="19" spans="1:37" x14ac:dyDescent="0.25">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row>
    <row r="20" spans="1:37" x14ac:dyDescent="0.25">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row>
    <row r="21" spans="1:37" x14ac:dyDescent="0.25">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row>
    <row r="22" spans="1:37" x14ac:dyDescent="0.25">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row>
    <row r="23" spans="1:37" x14ac:dyDescent="0.25">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row>
    <row r="24" spans="1:37" x14ac:dyDescent="0.25">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row>
    <row r="25" spans="1:37" x14ac:dyDescent="0.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row>
    <row r="26" spans="1:37" x14ac:dyDescent="0.25">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row>
    <row r="27" spans="1:37" x14ac:dyDescent="0.25">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row>
    <row r="28" spans="1:37" x14ac:dyDescent="0.25">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row>
    <row r="29" spans="1:37" x14ac:dyDescent="0.25">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row>
    <row r="30" spans="1:37" x14ac:dyDescent="0.25">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row>
    <row r="31" spans="1:37" x14ac:dyDescent="0.25">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row>
    <row r="32" spans="1:37" x14ac:dyDescent="0.25">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row>
    <row r="33" spans="1:31" x14ac:dyDescent="0.25">
      <c r="A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row>
    <row r="34" spans="1:31" x14ac:dyDescent="0.25">
      <c r="A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row>
    <row r="35" spans="1:31" x14ac:dyDescent="0.25">
      <c r="A35" s="69"/>
    </row>
    <row r="36" spans="1:31" x14ac:dyDescent="0.25">
      <c r="A36" s="69"/>
    </row>
    <row r="37" spans="1:31" x14ac:dyDescent="0.25">
      <c r="A37" s="69"/>
    </row>
    <row r="38" spans="1:31" x14ac:dyDescent="0.25">
      <c r="A38" s="69"/>
    </row>
    <row r="39" spans="1:31" x14ac:dyDescent="0.25">
      <c r="A39" s="69"/>
    </row>
    <row r="40" spans="1:31" x14ac:dyDescent="0.25">
      <c r="A40" s="69"/>
    </row>
    <row r="41" spans="1:31" x14ac:dyDescent="0.25">
      <c r="A41" s="69"/>
    </row>
    <row r="42" spans="1:31" x14ac:dyDescent="0.25">
      <c r="A42" s="69"/>
    </row>
    <row r="43" spans="1:31" x14ac:dyDescent="0.25">
      <c r="A43" s="69"/>
    </row>
    <row r="44" spans="1:31" x14ac:dyDescent="0.25">
      <c r="A44" s="69"/>
    </row>
    <row r="45" spans="1:31" x14ac:dyDescent="0.25">
      <c r="A45" s="69"/>
    </row>
    <row r="46" spans="1:31" x14ac:dyDescent="0.25">
      <c r="A46" s="69"/>
    </row>
    <row r="47" spans="1:31" x14ac:dyDescent="0.25">
      <c r="A47" s="69"/>
    </row>
    <row r="48" spans="1:31" x14ac:dyDescent="0.25">
      <c r="A48" s="69"/>
    </row>
    <row r="49" spans="1:1" x14ac:dyDescent="0.25">
      <c r="A49" s="69"/>
    </row>
    <row r="50" spans="1:1" x14ac:dyDescent="0.25">
      <c r="A50" s="69"/>
    </row>
    <row r="51" spans="1:1" x14ac:dyDescent="0.25">
      <c r="A51" s="69"/>
    </row>
    <row r="52" spans="1:1" x14ac:dyDescent="0.25">
      <c r="A52" s="69"/>
    </row>
    <row r="53" spans="1:1" x14ac:dyDescent="0.25">
      <c r="A53" s="69"/>
    </row>
    <row r="54" spans="1:1" x14ac:dyDescent="0.25">
      <c r="A54" s="69"/>
    </row>
    <row r="55" spans="1:1" x14ac:dyDescent="0.25">
      <c r="A55" s="69"/>
    </row>
  </sheetData>
  <mergeCells count="1">
    <mergeCell ref="B1:D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249977111117893"/>
  </sheetPr>
  <dimension ref="A1:U232"/>
  <sheetViews>
    <sheetView zoomScale="60" zoomScaleNormal="60" workbookViewId="0">
      <selection activeCell="D5" sqref="D5"/>
    </sheetView>
  </sheetViews>
  <sheetFormatPr baseColWidth="10" defaultRowHeight="15" x14ac:dyDescent="0.25"/>
  <cols>
    <col min="2" max="2" width="40.42578125" customWidth="1" collapsed="1"/>
    <col min="3" max="3" width="74.85546875" customWidth="1" collapsed="1"/>
    <col min="4" max="4" width="135" bestFit="1" customWidth="1" collapsed="1"/>
    <col min="5" max="5" width="144.7109375" bestFit="1" customWidth="1" collapsed="1"/>
  </cols>
  <sheetData>
    <row r="1" spans="1:21" ht="33.75" x14ac:dyDescent="0.25">
      <c r="A1" s="69"/>
      <c r="B1" s="393" t="s">
        <v>63</v>
      </c>
      <c r="C1" s="393"/>
      <c r="D1" s="393"/>
      <c r="E1" s="69"/>
      <c r="F1" s="69"/>
      <c r="G1" s="69"/>
      <c r="H1" s="69"/>
      <c r="I1" s="69"/>
      <c r="J1" s="69"/>
      <c r="K1" s="69"/>
      <c r="L1" s="69"/>
      <c r="M1" s="69"/>
      <c r="N1" s="69"/>
      <c r="O1" s="69"/>
      <c r="P1" s="69"/>
      <c r="Q1" s="69"/>
      <c r="R1" s="69"/>
      <c r="S1" s="69"/>
      <c r="T1" s="69"/>
      <c r="U1" s="69"/>
    </row>
    <row r="2" spans="1:21" x14ac:dyDescent="0.25">
      <c r="A2" s="69"/>
      <c r="B2" s="69"/>
      <c r="C2" s="69"/>
      <c r="D2" s="69"/>
      <c r="E2" s="69"/>
      <c r="F2" s="69"/>
      <c r="G2" s="69"/>
      <c r="H2" s="69"/>
      <c r="I2" s="69"/>
      <c r="J2" s="69"/>
      <c r="K2" s="69"/>
      <c r="L2" s="69"/>
      <c r="M2" s="69"/>
      <c r="N2" s="69"/>
      <c r="O2" s="69"/>
      <c r="P2" s="69"/>
      <c r="Q2" s="69"/>
      <c r="R2" s="69"/>
      <c r="S2" s="69"/>
      <c r="T2" s="69"/>
      <c r="U2" s="69"/>
    </row>
    <row r="3" spans="1:21" ht="60" x14ac:dyDescent="0.25">
      <c r="A3" s="69"/>
      <c r="B3" s="90"/>
      <c r="C3" s="22" t="s">
        <v>56</v>
      </c>
      <c r="D3" s="22" t="s">
        <v>57</v>
      </c>
      <c r="E3" s="69"/>
      <c r="F3" s="69"/>
      <c r="G3" s="69"/>
      <c r="H3" s="69"/>
      <c r="I3" s="69"/>
      <c r="J3" s="69"/>
      <c r="K3" s="69"/>
      <c r="L3" s="69"/>
      <c r="M3" s="69"/>
      <c r="N3" s="69"/>
      <c r="O3" s="69"/>
      <c r="P3" s="69"/>
      <c r="Q3" s="69"/>
      <c r="R3" s="69"/>
      <c r="S3" s="69"/>
      <c r="T3" s="69"/>
      <c r="U3" s="69"/>
    </row>
    <row r="4" spans="1:21" ht="33.75" x14ac:dyDescent="0.25">
      <c r="A4" s="89" t="s">
        <v>83</v>
      </c>
      <c r="B4" s="25" t="s">
        <v>101</v>
      </c>
      <c r="C4" s="30" t="s">
        <v>156</v>
      </c>
      <c r="D4" s="23" t="s">
        <v>97</v>
      </c>
      <c r="E4" s="69"/>
      <c r="F4" s="69"/>
      <c r="G4" s="69"/>
      <c r="H4" s="69"/>
      <c r="I4" s="69"/>
      <c r="J4" s="69"/>
      <c r="K4" s="69"/>
      <c r="L4" s="69"/>
      <c r="M4" s="69"/>
      <c r="N4" s="69"/>
      <c r="O4" s="69"/>
      <c r="P4" s="69"/>
      <c r="Q4" s="69"/>
      <c r="R4" s="69"/>
      <c r="S4" s="69"/>
      <c r="T4" s="69"/>
      <c r="U4" s="69"/>
    </row>
    <row r="5" spans="1:21" ht="101.25" x14ac:dyDescent="0.25">
      <c r="A5" s="89" t="s">
        <v>84</v>
      </c>
      <c r="B5" s="26" t="s">
        <v>59</v>
      </c>
      <c r="C5" s="31" t="s">
        <v>93</v>
      </c>
      <c r="D5" s="24" t="s">
        <v>98</v>
      </c>
      <c r="E5" s="69"/>
      <c r="F5" s="69"/>
      <c r="G5" s="69"/>
      <c r="H5" s="69"/>
      <c r="I5" s="69"/>
      <c r="J5" s="69"/>
      <c r="K5" s="69"/>
      <c r="L5" s="69"/>
      <c r="M5" s="69"/>
      <c r="N5" s="69"/>
      <c r="O5" s="69"/>
      <c r="P5" s="69"/>
      <c r="Q5" s="69"/>
      <c r="R5" s="69"/>
      <c r="S5" s="69"/>
      <c r="T5" s="69"/>
      <c r="U5" s="69"/>
    </row>
    <row r="6" spans="1:21" ht="67.5" x14ac:dyDescent="0.25">
      <c r="A6" s="89" t="s">
        <v>81</v>
      </c>
      <c r="B6" s="27" t="s">
        <v>60</v>
      </c>
      <c r="C6" s="31" t="s">
        <v>94</v>
      </c>
      <c r="D6" s="24" t="s">
        <v>100</v>
      </c>
      <c r="E6" s="69"/>
      <c r="F6" s="69"/>
      <c r="G6" s="69"/>
      <c r="H6" s="69"/>
      <c r="I6" s="69"/>
      <c r="J6" s="69"/>
      <c r="K6" s="69"/>
      <c r="L6" s="69"/>
      <c r="M6" s="69"/>
      <c r="N6" s="69"/>
      <c r="O6" s="69"/>
      <c r="P6" s="69"/>
      <c r="Q6" s="69"/>
      <c r="R6" s="69"/>
      <c r="S6" s="69"/>
      <c r="T6" s="69"/>
      <c r="U6" s="69"/>
    </row>
    <row r="7" spans="1:21" ht="101.25" x14ac:dyDescent="0.25">
      <c r="A7" s="89" t="s">
        <v>7</v>
      </c>
      <c r="B7" s="28" t="s">
        <v>61</v>
      </c>
      <c r="C7" s="31" t="s">
        <v>95</v>
      </c>
      <c r="D7" s="24" t="s">
        <v>99</v>
      </c>
      <c r="E7" s="69"/>
      <c r="F7" s="69"/>
      <c r="G7" s="69"/>
      <c r="H7" s="69"/>
      <c r="I7" s="69"/>
      <c r="J7" s="69"/>
      <c r="K7" s="69"/>
      <c r="L7" s="69"/>
      <c r="M7" s="69"/>
      <c r="N7" s="69"/>
      <c r="O7" s="69"/>
      <c r="P7" s="69"/>
      <c r="Q7" s="69"/>
      <c r="R7" s="69"/>
      <c r="S7" s="69"/>
      <c r="T7" s="69"/>
      <c r="U7" s="69"/>
    </row>
    <row r="8" spans="1:21" ht="67.5" x14ac:dyDescent="0.25">
      <c r="A8" s="89" t="s">
        <v>85</v>
      </c>
      <c r="B8" s="29" t="s">
        <v>62</v>
      </c>
      <c r="C8" s="31" t="s">
        <v>96</v>
      </c>
      <c r="D8" s="24" t="s">
        <v>118</v>
      </c>
      <c r="E8" s="69"/>
      <c r="F8" s="69"/>
      <c r="G8" s="69"/>
      <c r="H8" s="69"/>
      <c r="I8" s="69"/>
      <c r="J8" s="69"/>
      <c r="K8" s="69"/>
      <c r="L8" s="69"/>
      <c r="M8" s="69"/>
      <c r="N8" s="69"/>
      <c r="O8" s="69"/>
      <c r="P8" s="69"/>
      <c r="Q8" s="69"/>
      <c r="R8" s="69"/>
      <c r="S8" s="69"/>
      <c r="T8" s="69"/>
      <c r="U8" s="69"/>
    </row>
    <row r="9" spans="1:21" ht="20.25" x14ac:dyDescent="0.25">
      <c r="A9" s="89"/>
      <c r="B9" s="89"/>
      <c r="C9" s="91"/>
      <c r="D9" s="91"/>
      <c r="E9" s="69"/>
      <c r="F9" s="69"/>
      <c r="G9" s="69"/>
      <c r="H9" s="69"/>
      <c r="I9" s="69"/>
      <c r="J9" s="69"/>
      <c r="K9" s="69"/>
      <c r="L9" s="69"/>
      <c r="M9" s="69"/>
      <c r="N9" s="69"/>
      <c r="O9" s="69"/>
      <c r="P9" s="69"/>
      <c r="Q9" s="69"/>
      <c r="R9" s="69"/>
      <c r="S9" s="69"/>
      <c r="T9" s="69"/>
      <c r="U9" s="69"/>
    </row>
    <row r="10" spans="1:21" ht="16.5" x14ac:dyDescent="0.25">
      <c r="A10" s="89"/>
      <c r="B10" s="92"/>
      <c r="C10" s="92"/>
      <c r="D10" s="92"/>
      <c r="E10" s="69"/>
      <c r="F10" s="69"/>
      <c r="G10" s="69"/>
      <c r="H10" s="69"/>
      <c r="I10" s="69"/>
      <c r="J10" s="69"/>
      <c r="K10" s="69"/>
      <c r="L10" s="69"/>
      <c r="M10" s="69"/>
      <c r="N10" s="69"/>
      <c r="O10" s="69"/>
      <c r="P10" s="69"/>
      <c r="Q10" s="69"/>
      <c r="R10" s="69"/>
      <c r="S10" s="69"/>
      <c r="T10" s="69"/>
      <c r="U10" s="69"/>
    </row>
    <row r="11" spans="1:21" x14ac:dyDescent="0.25">
      <c r="A11" s="89"/>
      <c r="B11" s="89" t="s">
        <v>91</v>
      </c>
      <c r="C11" s="89" t="s">
        <v>144</v>
      </c>
      <c r="D11" s="89" t="s">
        <v>151</v>
      </c>
      <c r="E11" s="69"/>
      <c r="F11" s="69"/>
      <c r="G11" s="69"/>
      <c r="H11" s="69"/>
      <c r="I11" s="69"/>
      <c r="J11" s="69"/>
      <c r="K11" s="69"/>
      <c r="L11" s="69"/>
      <c r="M11" s="69"/>
      <c r="N11" s="69"/>
      <c r="O11" s="69"/>
      <c r="P11" s="69"/>
      <c r="Q11" s="69"/>
      <c r="R11" s="69"/>
      <c r="S11" s="69"/>
      <c r="T11" s="69"/>
      <c r="U11" s="69"/>
    </row>
    <row r="12" spans="1:21" x14ac:dyDescent="0.25">
      <c r="A12" s="89"/>
      <c r="B12" s="89" t="s">
        <v>89</v>
      </c>
      <c r="C12" s="89" t="s">
        <v>148</v>
      </c>
      <c r="D12" s="89" t="s">
        <v>152</v>
      </c>
      <c r="E12" s="69"/>
      <c r="F12" s="69"/>
      <c r="G12" s="69"/>
      <c r="H12" s="69"/>
      <c r="I12" s="69"/>
      <c r="J12" s="69"/>
      <c r="K12" s="69"/>
      <c r="L12" s="69"/>
      <c r="M12" s="69"/>
      <c r="N12" s="69"/>
      <c r="O12" s="69"/>
      <c r="P12" s="69"/>
      <c r="Q12" s="69"/>
      <c r="R12" s="69"/>
      <c r="S12" s="69"/>
      <c r="T12" s="69"/>
      <c r="U12" s="69"/>
    </row>
    <row r="13" spans="1:21" x14ac:dyDescent="0.25">
      <c r="A13" s="89"/>
      <c r="B13" s="89"/>
      <c r="C13" s="89" t="s">
        <v>147</v>
      </c>
      <c r="D13" s="89" t="s">
        <v>153</v>
      </c>
      <c r="E13" s="69"/>
      <c r="F13" s="69"/>
      <c r="G13" s="69"/>
      <c r="H13" s="69"/>
      <c r="I13" s="69"/>
      <c r="J13" s="69"/>
      <c r="K13" s="69"/>
      <c r="L13" s="69"/>
      <c r="M13" s="69"/>
      <c r="N13" s="69"/>
      <c r="O13" s="69"/>
      <c r="P13" s="69"/>
      <c r="Q13" s="69"/>
      <c r="R13" s="69"/>
      <c r="S13" s="69"/>
      <c r="T13" s="69"/>
      <c r="U13" s="69"/>
    </row>
    <row r="14" spans="1:21" x14ac:dyDescent="0.25">
      <c r="A14" s="89"/>
      <c r="B14" s="89"/>
      <c r="C14" s="89" t="s">
        <v>149</v>
      </c>
      <c r="D14" s="89" t="s">
        <v>154</v>
      </c>
      <c r="E14" s="69"/>
      <c r="F14" s="69"/>
      <c r="G14" s="69"/>
      <c r="H14" s="69"/>
      <c r="I14" s="69"/>
      <c r="J14" s="69"/>
      <c r="K14" s="69"/>
      <c r="L14" s="69"/>
      <c r="M14" s="69"/>
      <c r="N14" s="69"/>
      <c r="O14" s="69"/>
      <c r="P14" s="69"/>
      <c r="Q14" s="69"/>
      <c r="R14" s="69"/>
      <c r="S14" s="69"/>
      <c r="T14" s="69"/>
      <c r="U14" s="69"/>
    </row>
    <row r="15" spans="1:21" x14ac:dyDescent="0.25">
      <c r="A15" s="89"/>
      <c r="B15" s="89"/>
      <c r="C15" s="89" t="s">
        <v>150</v>
      </c>
      <c r="D15" s="89" t="s">
        <v>155</v>
      </c>
      <c r="E15" s="69"/>
      <c r="F15" s="69"/>
      <c r="G15" s="69"/>
      <c r="H15" s="69"/>
      <c r="I15" s="69"/>
      <c r="J15" s="69"/>
      <c r="K15" s="69"/>
      <c r="L15" s="69"/>
      <c r="M15" s="69"/>
      <c r="N15" s="69"/>
      <c r="O15" s="69"/>
      <c r="P15" s="69"/>
      <c r="Q15" s="69"/>
      <c r="R15" s="69"/>
      <c r="S15" s="69"/>
      <c r="T15" s="69"/>
      <c r="U15" s="69"/>
    </row>
    <row r="16" spans="1:21" x14ac:dyDescent="0.25">
      <c r="A16" s="89"/>
      <c r="B16" s="89"/>
      <c r="C16" s="89"/>
      <c r="D16" s="89"/>
      <c r="E16" s="69"/>
      <c r="F16" s="69"/>
      <c r="G16" s="69"/>
      <c r="H16" s="69"/>
      <c r="I16" s="69"/>
      <c r="J16" s="69"/>
      <c r="K16" s="69"/>
      <c r="L16" s="69"/>
      <c r="M16" s="69"/>
      <c r="N16" s="69"/>
      <c r="O16" s="69"/>
    </row>
    <row r="17" spans="1:15" x14ac:dyDescent="0.25">
      <c r="A17" s="89"/>
      <c r="B17" s="89"/>
      <c r="C17" s="89"/>
      <c r="D17" s="89"/>
      <c r="E17" s="69"/>
      <c r="F17" s="69"/>
      <c r="G17" s="69"/>
      <c r="H17" s="69"/>
      <c r="I17" s="69"/>
      <c r="J17" s="69"/>
      <c r="K17" s="69"/>
      <c r="L17" s="69"/>
      <c r="M17" s="69"/>
      <c r="N17" s="69"/>
      <c r="O17" s="69"/>
    </row>
    <row r="18" spans="1:15" x14ac:dyDescent="0.25">
      <c r="A18" s="89"/>
      <c r="B18" s="93"/>
      <c r="C18" s="93"/>
      <c r="D18" s="93"/>
      <c r="E18" s="69"/>
      <c r="F18" s="69"/>
      <c r="G18" s="69"/>
      <c r="H18" s="69"/>
      <c r="I18" s="69"/>
      <c r="J18" s="69"/>
      <c r="K18" s="69"/>
      <c r="L18" s="69"/>
      <c r="M18" s="69"/>
      <c r="N18" s="69"/>
      <c r="O18" s="69"/>
    </row>
    <row r="19" spans="1:15" x14ac:dyDescent="0.25">
      <c r="A19" s="89"/>
      <c r="B19" s="93"/>
      <c r="C19" s="93"/>
      <c r="D19" s="93"/>
      <c r="E19" s="69"/>
      <c r="F19" s="69"/>
      <c r="G19" s="69"/>
      <c r="H19" s="69"/>
      <c r="I19" s="69"/>
      <c r="J19" s="69"/>
      <c r="K19" s="69"/>
      <c r="L19" s="69"/>
      <c r="M19" s="69"/>
      <c r="N19" s="69"/>
      <c r="O19" s="69"/>
    </row>
    <row r="20" spans="1:15" x14ac:dyDescent="0.25">
      <c r="A20" s="89"/>
      <c r="B20" s="93"/>
      <c r="C20" s="93"/>
      <c r="D20" s="93"/>
      <c r="E20" s="69"/>
      <c r="F20" s="69"/>
      <c r="G20" s="69"/>
      <c r="H20" s="69"/>
      <c r="I20" s="69"/>
      <c r="J20" s="69"/>
      <c r="K20" s="69"/>
      <c r="L20" s="69"/>
      <c r="M20" s="69"/>
      <c r="N20" s="69"/>
      <c r="O20" s="69"/>
    </row>
    <row r="21" spans="1:15" x14ac:dyDescent="0.25">
      <c r="A21" s="89"/>
      <c r="B21" s="93"/>
      <c r="C21" s="93"/>
      <c r="D21" s="93"/>
      <c r="E21" s="69"/>
      <c r="F21" s="69"/>
      <c r="G21" s="69"/>
      <c r="H21" s="69"/>
      <c r="I21" s="69"/>
      <c r="J21" s="69"/>
      <c r="K21" s="69"/>
      <c r="L21" s="69"/>
      <c r="M21" s="69"/>
      <c r="N21" s="69"/>
      <c r="O21" s="69"/>
    </row>
    <row r="22" spans="1:15" ht="20.25" x14ac:dyDescent="0.25">
      <c r="A22" s="89"/>
      <c r="B22" s="89"/>
      <c r="C22" s="91"/>
      <c r="D22" s="91"/>
      <c r="E22" s="69"/>
      <c r="F22" s="69"/>
      <c r="G22" s="69"/>
      <c r="H22" s="69"/>
      <c r="I22" s="69"/>
      <c r="J22" s="69"/>
      <c r="K22" s="69"/>
      <c r="L22" s="69"/>
      <c r="M22" s="69"/>
      <c r="N22" s="69"/>
      <c r="O22" s="69"/>
    </row>
    <row r="23" spans="1:15" ht="20.25" x14ac:dyDescent="0.25">
      <c r="A23" s="89"/>
      <c r="B23" s="89"/>
      <c r="C23" s="91"/>
      <c r="D23" s="91"/>
      <c r="E23" s="69"/>
      <c r="F23" s="69"/>
      <c r="G23" s="69"/>
      <c r="H23" s="69"/>
      <c r="I23" s="69"/>
      <c r="J23" s="69"/>
      <c r="K23" s="69"/>
      <c r="L23" s="69"/>
      <c r="M23" s="69"/>
      <c r="N23" s="69"/>
      <c r="O23" s="69"/>
    </row>
    <row r="24" spans="1:15" ht="20.25" x14ac:dyDescent="0.25">
      <c r="A24" s="89"/>
      <c r="B24" s="89"/>
      <c r="C24" s="91"/>
      <c r="D24" s="91"/>
      <c r="E24" s="69"/>
      <c r="F24" s="69"/>
      <c r="G24" s="69"/>
      <c r="H24" s="69"/>
      <c r="I24" s="69"/>
      <c r="J24" s="69"/>
      <c r="K24" s="69"/>
      <c r="L24" s="69"/>
      <c r="M24" s="69"/>
      <c r="N24" s="69"/>
      <c r="O24" s="69"/>
    </row>
    <row r="25" spans="1:15" ht="20.25" x14ac:dyDescent="0.25">
      <c r="A25" s="89"/>
      <c r="B25" s="89"/>
      <c r="C25" s="91"/>
      <c r="D25" s="91"/>
      <c r="E25" s="69"/>
      <c r="F25" s="69"/>
      <c r="G25" s="69"/>
      <c r="H25" s="69"/>
      <c r="I25" s="69"/>
      <c r="J25" s="69"/>
      <c r="K25" s="69"/>
      <c r="L25" s="69"/>
      <c r="M25" s="69"/>
      <c r="N25" s="69"/>
      <c r="O25" s="69"/>
    </row>
    <row r="26" spans="1:15" ht="20.25" x14ac:dyDescent="0.25">
      <c r="A26" s="89"/>
      <c r="B26" s="89"/>
      <c r="C26" s="91"/>
      <c r="D26" s="91"/>
      <c r="E26" s="69"/>
      <c r="F26" s="69"/>
      <c r="G26" s="69"/>
      <c r="H26" s="69"/>
      <c r="I26" s="69"/>
      <c r="J26" s="69"/>
      <c r="K26" s="69"/>
      <c r="L26" s="69"/>
      <c r="M26" s="69"/>
      <c r="N26" s="69"/>
      <c r="O26" s="69"/>
    </row>
    <row r="27" spans="1:15" ht="20.25" x14ac:dyDescent="0.25">
      <c r="A27" s="89"/>
      <c r="B27" s="89"/>
      <c r="C27" s="91"/>
      <c r="D27" s="91"/>
      <c r="E27" s="69"/>
      <c r="F27" s="69"/>
      <c r="G27" s="69"/>
      <c r="H27" s="69"/>
      <c r="I27" s="69"/>
      <c r="J27" s="69"/>
      <c r="K27" s="69"/>
      <c r="L27" s="69"/>
      <c r="M27" s="69"/>
      <c r="N27" s="69"/>
      <c r="O27" s="69"/>
    </row>
    <row r="28" spans="1:15" ht="20.25" x14ac:dyDescent="0.25">
      <c r="A28" s="89"/>
      <c r="B28" s="89"/>
      <c r="C28" s="91"/>
      <c r="D28" s="91"/>
      <c r="E28" s="69"/>
      <c r="F28" s="69"/>
      <c r="G28" s="69"/>
      <c r="H28" s="69"/>
      <c r="I28" s="69"/>
      <c r="J28" s="69"/>
      <c r="K28" s="69"/>
      <c r="L28" s="69"/>
      <c r="M28" s="69"/>
      <c r="N28" s="69"/>
      <c r="O28" s="69"/>
    </row>
    <row r="29" spans="1:15" ht="20.25" x14ac:dyDescent="0.25">
      <c r="A29" s="89"/>
      <c r="B29" s="89"/>
      <c r="C29" s="91"/>
      <c r="D29" s="91"/>
      <c r="E29" s="69"/>
      <c r="F29" s="69"/>
      <c r="G29" s="69"/>
      <c r="H29" s="69"/>
      <c r="I29" s="69"/>
      <c r="J29" s="69"/>
      <c r="K29" s="69"/>
      <c r="L29" s="69"/>
      <c r="M29" s="69"/>
      <c r="N29" s="69"/>
      <c r="O29" s="69"/>
    </row>
    <row r="30" spans="1:15" ht="20.25" x14ac:dyDescent="0.25">
      <c r="A30" s="89"/>
      <c r="B30" s="89"/>
      <c r="C30" s="91"/>
      <c r="D30" s="91"/>
      <c r="E30" s="69"/>
      <c r="F30" s="69"/>
      <c r="G30" s="69"/>
      <c r="H30" s="69"/>
      <c r="I30" s="69"/>
      <c r="J30" s="69"/>
      <c r="K30" s="69"/>
      <c r="L30" s="69"/>
      <c r="M30" s="69"/>
      <c r="N30" s="69"/>
      <c r="O30" s="69"/>
    </row>
    <row r="31" spans="1:15" ht="20.25" x14ac:dyDescent="0.25">
      <c r="A31" s="89"/>
      <c r="B31" s="89"/>
      <c r="C31" s="91"/>
      <c r="D31" s="91"/>
      <c r="E31" s="69"/>
      <c r="F31" s="69"/>
      <c r="G31" s="69"/>
      <c r="H31" s="69"/>
      <c r="I31" s="69"/>
      <c r="J31" s="69"/>
      <c r="K31" s="69"/>
      <c r="L31" s="69"/>
      <c r="M31" s="69"/>
      <c r="N31" s="69"/>
      <c r="O31" s="69"/>
    </row>
    <row r="32" spans="1:15" ht="20.25" x14ac:dyDescent="0.25">
      <c r="A32" s="89"/>
      <c r="B32" s="89"/>
      <c r="C32" s="91"/>
      <c r="D32" s="91"/>
      <c r="E32" s="69"/>
      <c r="F32" s="69"/>
      <c r="G32" s="69"/>
      <c r="H32" s="69"/>
      <c r="I32" s="69"/>
      <c r="J32" s="69"/>
      <c r="K32" s="69"/>
      <c r="L32" s="69"/>
      <c r="M32" s="69"/>
      <c r="N32" s="69"/>
      <c r="O32" s="69"/>
    </row>
    <row r="33" spans="1:15" ht="20.25" x14ac:dyDescent="0.25">
      <c r="A33" s="89"/>
      <c r="B33" s="89"/>
      <c r="C33" s="91"/>
      <c r="D33" s="91"/>
      <c r="E33" s="69"/>
      <c r="F33" s="69"/>
      <c r="G33" s="69"/>
      <c r="H33" s="69"/>
      <c r="I33" s="69"/>
      <c r="J33" s="69"/>
      <c r="K33" s="69"/>
      <c r="L33" s="69"/>
      <c r="M33" s="69"/>
      <c r="N33" s="69"/>
      <c r="O33" s="69"/>
    </row>
    <row r="34" spans="1:15" ht="20.25" x14ac:dyDescent="0.25">
      <c r="A34" s="89"/>
      <c r="B34" s="89"/>
      <c r="C34" s="91"/>
      <c r="D34" s="91"/>
      <c r="E34" s="69"/>
      <c r="F34" s="69"/>
      <c r="G34" s="69"/>
      <c r="H34" s="69"/>
      <c r="I34" s="69"/>
      <c r="J34" s="69"/>
      <c r="K34" s="69"/>
      <c r="L34" s="69"/>
      <c r="M34" s="69"/>
      <c r="N34" s="69"/>
      <c r="O34" s="69"/>
    </row>
    <row r="35" spans="1:15" ht="20.25" x14ac:dyDescent="0.25">
      <c r="A35" s="89"/>
      <c r="B35" s="89"/>
      <c r="C35" s="91"/>
      <c r="D35" s="91"/>
      <c r="E35" s="69"/>
      <c r="F35" s="69"/>
      <c r="G35" s="69"/>
      <c r="H35" s="69"/>
      <c r="I35" s="69"/>
      <c r="J35" s="69"/>
      <c r="K35" s="69"/>
      <c r="L35" s="69"/>
      <c r="M35" s="69"/>
      <c r="N35" s="69"/>
      <c r="O35" s="69"/>
    </row>
    <row r="36" spans="1:15" ht="20.25" x14ac:dyDescent="0.25">
      <c r="A36" s="89"/>
      <c r="B36" s="89"/>
      <c r="C36" s="91"/>
      <c r="D36" s="91"/>
      <c r="E36" s="69"/>
      <c r="F36" s="69"/>
      <c r="G36" s="69"/>
      <c r="H36" s="69"/>
      <c r="I36" s="69"/>
      <c r="J36" s="69"/>
      <c r="K36" s="69"/>
      <c r="L36" s="69"/>
      <c r="M36" s="69"/>
      <c r="N36" s="69"/>
      <c r="O36" s="69"/>
    </row>
    <row r="37" spans="1:15" ht="20.25" x14ac:dyDescent="0.25">
      <c r="A37" s="89"/>
      <c r="B37" s="89"/>
      <c r="C37" s="91"/>
      <c r="D37" s="91"/>
      <c r="E37" s="69"/>
      <c r="F37" s="69"/>
      <c r="G37" s="69"/>
      <c r="H37" s="69"/>
      <c r="I37" s="69"/>
      <c r="J37" s="69"/>
      <c r="K37" s="69"/>
      <c r="L37" s="69"/>
      <c r="M37" s="69"/>
      <c r="N37" s="69"/>
      <c r="O37" s="69"/>
    </row>
    <row r="38" spans="1:15" ht="20.25" x14ac:dyDescent="0.25">
      <c r="A38" s="89"/>
      <c r="B38" s="89"/>
      <c r="C38" s="91"/>
      <c r="D38" s="91"/>
      <c r="E38" s="69"/>
      <c r="F38" s="69"/>
      <c r="G38" s="69"/>
      <c r="H38" s="69"/>
      <c r="I38" s="69"/>
      <c r="J38" s="69"/>
      <c r="K38" s="69"/>
      <c r="L38" s="69"/>
      <c r="M38" s="69"/>
      <c r="N38" s="69"/>
      <c r="O38" s="69"/>
    </row>
    <row r="39" spans="1:15" ht="20.25" x14ac:dyDescent="0.25">
      <c r="A39" s="89"/>
      <c r="B39" s="89"/>
      <c r="C39" s="91"/>
      <c r="D39" s="91"/>
      <c r="E39" s="69"/>
      <c r="F39" s="69"/>
      <c r="G39" s="69"/>
      <c r="H39" s="69"/>
      <c r="I39" s="69"/>
      <c r="J39" s="69"/>
      <c r="K39" s="69"/>
      <c r="L39" s="69"/>
      <c r="M39" s="69"/>
      <c r="N39" s="69"/>
      <c r="O39" s="69"/>
    </row>
    <row r="40" spans="1:15" ht="20.25" x14ac:dyDescent="0.25">
      <c r="A40" s="89"/>
      <c r="B40" s="89"/>
      <c r="C40" s="91"/>
      <c r="D40" s="91"/>
      <c r="E40" s="69"/>
      <c r="F40" s="69"/>
      <c r="G40" s="69"/>
      <c r="H40" s="69"/>
      <c r="I40" s="69"/>
      <c r="J40" s="69"/>
      <c r="K40" s="69"/>
      <c r="L40" s="69"/>
      <c r="M40" s="69"/>
      <c r="N40" s="69"/>
      <c r="O40" s="69"/>
    </row>
    <row r="41" spans="1:15" ht="20.25" x14ac:dyDescent="0.25">
      <c r="A41" s="89"/>
      <c r="B41" s="89"/>
      <c r="C41" s="91"/>
      <c r="D41" s="91"/>
      <c r="E41" s="69"/>
      <c r="F41" s="69"/>
      <c r="G41" s="69"/>
      <c r="H41" s="69"/>
      <c r="I41" s="69"/>
      <c r="J41" s="69"/>
      <c r="K41" s="69"/>
      <c r="L41" s="69"/>
      <c r="M41" s="69"/>
      <c r="N41" s="69"/>
      <c r="O41" s="69"/>
    </row>
    <row r="42" spans="1:15" ht="20.25" x14ac:dyDescent="0.25">
      <c r="A42" s="89"/>
      <c r="B42" s="89"/>
      <c r="C42" s="91"/>
      <c r="D42" s="91"/>
      <c r="E42" s="69"/>
      <c r="F42" s="69"/>
      <c r="G42" s="69"/>
      <c r="H42" s="69"/>
      <c r="I42" s="69"/>
      <c r="J42" s="69"/>
      <c r="K42" s="69"/>
      <c r="L42" s="69"/>
      <c r="M42" s="69"/>
      <c r="N42" s="69"/>
      <c r="O42" s="69"/>
    </row>
    <row r="43" spans="1:15" ht="20.25" x14ac:dyDescent="0.25">
      <c r="A43" s="89"/>
      <c r="B43" s="89"/>
      <c r="C43" s="91"/>
      <c r="D43" s="91"/>
      <c r="E43" s="69"/>
      <c r="F43" s="69"/>
      <c r="G43" s="69"/>
      <c r="H43" s="69"/>
      <c r="I43" s="69"/>
      <c r="J43" s="69"/>
      <c r="K43" s="69"/>
      <c r="L43" s="69"/>
      <c r="M43" s="69"/>
      <c r="N43" s="69"/>
      <c r="O43" s="69"/>
    </row>
    <row r="44" spans="1:15" ht="20.25" x14ac:dyDescent="0.25">
      <c r="A44" s="89"/>
      <c r="B44" s="89"/>
      <c r="C44" s="91"/>
      <c r="D44" s="91"/>
      <c r="E44" s="69"/>
      <c r="F44" s="69"/>
      <c r="G44" s="69"/>
      <c r="H44" s="69"/>
      <c r="I44" s="69"/>
      <c r="J44" s="69"/>
      <c r="K44" s="69"/>
      <c r="L44" s="69"/>
      <c r="M44" s="69"/>
      <c r="N44" s="69"/>
      <c r="O44" s="69"/>
    </row>
    <row r="45" spans="1:15" ht="20.25" x14ac:dyDescent="0.25">
      <c r="A45" s="89"/>
      <c r="B45" s="89"/>
      <c r="C45" s="91"/>
      <c r="D45" s="91"/>
      <c r="E45" s="69"/>
      <c r="F45" s="69"/>
      <c r="G45" s="69"/>
      <c r="H45" s="69"/>
      <c r="I45" s="69"/>
      <c r="J45" s="69"/>
      <c r="K45" s="69"/>
      <c r="L45" s="69"/>
      <c r="M45" s="69"/>
      <c r="N45" s="69"/>
      <c r="O45" s="69"/>
    </row>
    <row r="46" spans="1:15" ht="20.25" x14ac:dyDescent="0.25">
      <c r="A46" s="89"/>
      <c r="B46" s="89"/>
      <c r="C46" s="91"/>
      <c r="D46" s="91"/>
      <c r="E46" s="69"/>
      <c r="F46" s="69"/>
      <c r="G46" s="69"/>
      <c r="H46" s="69"/>
      <c r="I46" s="69"/>
      <c r="J46" s="69"/>
      <c r="K46" s="69"/>
      <c r="L46" s="69"/>
      <c r="M46" s="69"/>
      <c r="N46" s="69"/>
      <c r="O46" s="69"/>
    </row>
    <row r="47" spans="1:15" ht="20.25" x14ac:dyDescent="0.25">
      <c r="A47" s="89"/>
      <c r="B47" s="89"/>
      <c r="C47" s="91"/>
      <c r="D47" s="91"/>
      <c r="E47" s="69"/>
      <c r="F47" s="69"/>
      <c r="G47" s="69"/>
      <c r="H47" s="69"/>
      <c r="I47" s="69"/>
      <c r="J47" s="69"/>
      <c r="K47" s="69"/>
      <c r="L47" s="69"/>
      <c r="M47" s="69"/>
      <c r="N47" s="69"/>
      <c r="O47" s="69"/>
    </row>
    <row r="48" spans="1:15" ht="20.25" x14ac:dyDescent="0.25">
      <c r="A48" s="89"/>
      <c r="B48" s="89"/>
      <c r="C48" s="91"/>
      <c r="D48" s="91"/>
      <c r="E48" s="69"/>
      <c r="F48" s="69"/>
      <c r="G48" s="69"/>
      <c r="H48" s="69"/>
      <c r="I48" s="69"/>
      <c r="J48" s="69"/>
      <c r="K48" s="69"/>
      <c r="L48" s="69"/>
      <c r="M48" s="69"/>
      <c r="N48" s="69"/>
      <c r="O48" s="69"/>
    </row>
    <row r="49" spans="1:15" ht="20.25" x14ac:dyDescent="0.25">
      <c r="A49" s="89"/>
      <c r="B49" s="89"/>
      <c r="C49" s="91"/>
      <c r="D49" s="91"/>
      <c r="E49" s="69"/>
      <c r="F49" s="69"/>
      <c r="G49" s="69"/>
      <c r="H49" s="69"/>
      <c r="I49" s="69"/>
      <c r="J49" s="69"/>
      <c r="K49" s="69"/>
      <c r="L49" s="69"/>
      <c r="M49" s="69"/>
      <c r="N49" s="69"/>
      <c r="O49" s="69"/>
    </row>
    <row r="50" spans="1:15" ht="20.25" x14ac:dyDescent="0.25">
      <c r="A50" s="89"/>
      <c r="B50" s="89"/>
      <c r="C50" s="91"/>
      <c r="D50" s="91"/>
      <c r="E50" s="69"/>
      <c r="F50" s="69"/>
      <c r="G50" s="69"/>
      <c r="H50" s="69"/>
      <c r="I50" s="69"/>
      <c r="J50" s="69"/>
      <c r="K50" s="69"/>
      <c r="L50" s="69"/>
      <c r="M50" s="69"/>
      <c r="N50" s="69"/>
      <c r="O50" s="69"/>
    </row>
    <row r="51" spans="1:15" ht="20.25" x14ac:dyDescent="0.25">
      <c r="A51" s="89"/>
      <c r="B51" s="89"/>
      <c r="C51" s="91"/>
      <c r="D51" s="91"/>
      <c r="E51" s="69"/>
      <c r="F51" s="69"/>
      <c r="G51" s="69"/>
      <c r="H51" s="69"/>
      <c r="I51" s="69"/>
      <c r="J51" s="69"/>
      <c r="K51" s="69"/>
      <c r="L51" s="69"/>
      <c r="M51" s="69"/>
      <c r="N51" s="69"/>
      <c r="O51" s="69"/>
    </row>
    <row r="52" spans="1:15" ht="20.25" x14ac:dyDescent="0.25">
      <c r="A52" s="89"/>
      <c r="B52" s="15"/>
      <c r="C52" s="20"/>
      <c r="D52" s="20"/>
    </row>
    <row r="53" spans="1:15" ht="20.25" x14ac:dyDescent="0.25">
      <c r="A53" s="89"/>
      <c r="B53" s="15"/>
      <c r="C53" s="20"/>
      <c r="D53" s="20"/>
    </row>
    <row r="54" spans="1:15" ht="20.25" x14ac:dyDescent="0.25">
      <c r="A54" s="89"/>
      <c r="B54" s="15"/>
      <c r="C54" s="20"/>
      <c r="D54" s="20"/>
    </row>
    <row r="55" spans="1:15" ht="20.25" x14ac:dyDescent="0.25">
      <c r="A55" s="89"/>
      <c r="B55" s="15"/>
      <c r="C55" s="20"/>
      <c r="D55" s="20"/>
    </row>
    <row r="56" spans="1:15" ht="20.25" x14ac:dyDescent="0.25">
      <c r="A56" s="89"/>
      <c r="B56" s="15"/>
      <c r="C56" s="20"/>
      <c r="D56" s="20"/>
    </row>
    <row r="57" spans="1:15" ht="20.25" x14ac:dyDescent="0.25">
      <c r="A57" s="89"/>
      <c r="B57" s="15"/>
      <c r="C57" s="20"/>
      <c r="D57" s="20"/>
    </row>
    <row r="58" spans="1:15" ht="20.25" x14ac:dyDescent="0.25">
      <c r="A58" s="89"/>
      <c r="B58" s="15"/>
      <c r="C58" s="20"/>
      <c r="D58" s="20"/>
    </row>
    <row r="59" spans="1:15" ht="20.25" x14ac:dyDescent="0.25">
      <c r="A59" s="89"/>
      <c r="B59" s="15"/>
      <c r="C59" s="20"/>
      <c r="D59" s="20"/>
    </row>
    <row r="60" spans="1:15" ht="20.25" x14ac:dyDescent="0.25">
      <c r="A60" s="89"/>
      <c r="B60" s="15"/>
      <c r="C60" s="20"/>
      <c r="D60" s="20"/>
    </row>
    <row r="61" spans="1:15" ht="20.25" x14ac:dyDescent="0.25">
      <c r="A61" s="89"/>
      <c r="B61" s="15"/>
      <c r="C61" s="20"/>
      <c r="D61" s="20"/>
    </row>
    <row r="62" spans="1:15" ht="20.25" x14ac:dyDescent="0.25">
      <c r="A62" s="89"/>
      <c r="B62" s="15"/>
      <c r="C62" s="20"/>
      <c r="D62" s="20"/>
    </row>
    <row r="63" spans="1:15" ht="20.25" x14ac:dyDescent="0.25">
      <c r="A63" s="89"/>
      <c r="B63" s="15"/>
      <c r="C63" s="20"/>
      <c r="D63" s="20"/>
    </row>
    <row r="64" spans="1:15" ht="20.25" x14ac:dyDescent="0.25">
      <c r="A64" s="89"/>
      <c r="B64" s="15"/>
      <c r="C64" s="20"/>
      <c r="D64" s="20"/>
    </row>
    <row r="65" spans="1:4" ht="20.25" x14ac:dyDescent="0.25">
      <c r="A65" s="89"/>
      <c r="B65" s="15"/>
      <c r="C65" s="20"/>
      <c r="D65" s="20"/>
    </row>
    <row r="66" spans="1:4" ht="20.25" x14ac:dyDescent="0.25">
      <c r="A66" s="89"/>
      <c r="B66" s="15"/>
      <c r="C66" s="20"/>
      <c r="D66" s="20"/>
    </row>
    <row r="67" spans="1:4" ht="20.25" x14ac:dyDescent="0.25">
      <c r="A67" s="89"/>
      <c r="B67" s="15"/>
      <c r="C67" s="20"/>
      <c r="D67" s="20"/>
    </row>
    <row r="68" spans="1:4" ht="20.25" x14ac:dyDescent="0.25">
      <c r="A68" s="89"/>
      <c r="B68" s="15"/>
      <c r="C68" s="20"/>
      <c r="D68" s="20"/>
    </row>
    <row r="69" spans="1:4" ht="20.25" x14ac:dyDescent="0.25">
      <c r="A69" s="89"/>
      <c r="B69" s="15"/>
      <c r="C69" s="20"/>
      <c r="D69" s="20"/>
    </row>
    <row r="70" spans="1:4" ht="20.25" x14ac:dyDescent="0.25">
      <c r="A70" s="89"/>
      <c r="B70" s="15"/>
      <c r="C70" s="20"/>
      <c r="D70" s="20"/>
    </row>
    <row r="71" spans="1:4" ht="20.25" x14ac:dyDescent="0.25">
      <c r="A71" s="89"/>
      <c r="B71" s="15"/>
      <c r="C71" s="20"/>
      <c r="D71" s="20"/>
    </row>
    <row r="72" spans="1:4" ht="20.25" x14ac:dyDescent="0.25">
      <c r="A72" s="89"/>
      <c r="B72" s="15"/>
      <c r="C72" s="20"/>
      <c r="D72" s="20"/>
    </row>
    <row r="73" spans="1:4" ht="20.25" x14ac:dyDescent="0.25">
      <c r="A73" s="89"/>
      <c r="B73" s="15"/>
      <c r="C73" s="20"/>
      <c r="D73" s="20"/>
    </row>
    <row r="74" spans="1:4" ht="20.25" x14ac:dyDescent="0.25">
      <c r="A74" s="89"/>
      <c r="B74" s="15"/>
      <c r="C74" s="20"/>
      <c r="D74" s="20"/>
    </row>
    <row r="75" spans="1:4" ht="20.25" x14ac:dyDescent="0.25">
      <c r="A75" s="89"/>
      <c r="B75" s="15"/>
      <c r="C75" s="20"/>
      <c r="D75" s="20"/>
    </row>
    <row r="76" spans="1:4" ht="20.25" x14ac:dyDescent="0.25">
      <c r="A76" s="89"/>
      <c r="B76" s="15"/>
      <c r="C76" s="20"/>
      <c r="D76" s="20"/>
    </row>
    <row r="77" spans="1:4" ht="20.25" x14ac:dyDescent="0.25">
      <c r="A77" s="89"/>
      <c r="B77" s="15"/>
      <c r="C77" s="20"/>
      <c r="D77" s="20"/>
    </row>
    <row r="78" spans="1:4" ht="20.25" x14ac:dyDescent="0.25">
      <c r="A78" s="89"/>
      <c r="B78" s="15"/>
      <c r="C78" s="20"/>
      <c r="D78" s="20"/>
    </row>
    <row r="79" spans="1:4" ht="20.25" x14ac:dyDescent="0.25">
      <c r="A79" s="89"/>
      <c r="B79" s="15"/>
      <c r="C79" s="20"/>
      <c r="D79" s="20"/>
    </row>
    <row r="80" spans="1:4" ht="20.25" x14ac:dyDescent="0.25">
      <c r="A80" s="89"/>
      <c r="B80" s="15"/>
      <c r="C80" s="20"/>
      <c r="D80" s="20"/>
    </row>
    <row r="81" spans="1:4" ht="20.25" x14ac:dyDescent="0.25">
      <c r="A81" s="89"/>
      <c r="B81" s="15"/>
      <c r="C81" s="20"/>
      <c r="D81" s="20"/>
    </row>
    <row r="82" spans="1:4" ht="20.25" x14ac:dyDescent="0.25">
      <c r="A82" s="89"/>
      <c r="B82" s="15"/>
      <c r="C82" s="20"/>
      <c r="D82" s="20"/>
    </row>
    <row r="83" spans="1:4" ht="20.25" x14ac:dyDescent="0.25">
      <c r="A83" s="89"/>
      <c r="B83" s="15"/>
      <c r="C83" s="20"/>
      <c r="D83" s="20"/>
    </row>
    <row r="84" spans="1:4" ht="20.25" x14ac:dyDescent="0.25">
      <c r="A84" s="89"/>
      <c r="B84" s="15"/>
      <c r="C84" s="20"/>
      <c r="D84" s="20"/>
    </row>
    <row r="85" spans="1:4" ht="20.25" x14ac:dyDescent="0.25">
      <c r="A85" s="89"/>
      <c r="B85" s="15"/>
      <c r="C85" s="20"/>
      <c r="D85" s="20"/>
    </row>
    <row r="86" spans="1:4" ht="20.25" x14ac:dyDescent="0.25">
      <c r="A86" s="89"/>
      <c r="B86" s="15"/>
      <c r="C86" s="20"/>
      <c r="D86" s="20"/>
    </row>
    <row r="87" spans="1:4" ht="20.25" x14ac:dyDescent="0.25">
      <c r="A87" s="89"/>
      <c r="B87" s="15"/>
      <c r="C87" s="20"/>
      <c r="D87" s="20"/>
    </row>
    <row r="88" spans="1:4" ht="20.25" x14ac:dyDescent="0.25">
      <c r="A88" s="89"/>
      <c r="B88" s="15"/>
      <c r="C88" s="20"/>
      <c r="D88" s="20"/>
    </row>
    <row r="89" spans="1:4" ht="20.25" x14ac:dyDescent="0.25">
      <c r="A89" s="89"/>
      <c r="B89" s="15"/>
      <c r="C89" s="20"/>
      <c r="D89" s="20"/>
    </row>
    <row r="90" spans="1:4" ht="20.25" x14ac:dyDescent="0.25">
      <c r="A90" s="89"/>
      <c r="B90" s="15"/>
      <c r="C90" s="20"/>
      <c r="D90" s="20"/>
    </row>
    <row r="91" spans="1:4" ht="20.25" x14ac:dyDescent="0.25">
      <c r="A91" s="89"/>
      <c r="B91" s="15"/>
      <c r="C91" s="20"/>
      <c r="D91" s="20"/>
    </row>
    <row r="92" spans="1:4" ht="20.25" x14ac:dyDescent="0.25">
      <c r="A92" s="89"/>
      <c r="B92" s="15"/>
      <c r="C92" s="20"/>
      <c r="D92" s="20"/>
    </row>
    <row r="93" spans="1:4" ht="20.25" x14ac:dyDescent="0.25">
      <c r="A93" s="89"/>
      <c r="B93" s="15"/>
      <c r="C93" s="20"/>
      <c r="D93" s="20"/>
    </row>
    <row r="94" spans="1:4" ht="20.25" x14ac:dyDescent="0.25">
      <c r="A94" s="89"/>
      <c r="B94" s="15"/>
      <c r="C94" s="20"/>
      <c r="D94" s="20"/>
    </row>
    <row r="95" spans="1:4" ht="20.25" x14ac:dyDescent="0.25">
      <c r="A95" s="89"/>
      <c r="B95" s="15"/>
      <c r="C95" s="20"/>
      <c r="D95" s="20"/>
    </row>
    <row r="96" spans="1:4" ht="20.25" x14ac:dyDescent="0.25">
      <c r="A96" s="89"/>
      <c r="B96" s="15"/>
      <c r="C96" s="20"/>
      <c r="D96" s="20"/>
    </row>
    <row r="97" spans="1:4" ht="20.25" x14ac:dyDescent="0.25">
      <c r="A97" s="89"/>
      <c r="B97" s="15"/>
      <c r="C97" s="20"/>
      <c r="D97" s="20"/>
    </row>
    <row r="98" spans="1:4" ht="20.25" x14ac:dyDescent="0.25">
      <c r="A98" s="89"/>
      <c r="B98" s="15"/>
      <c r="C98" s="20"/>
      <c r="D98" s="20"/>
    </row>
    <row r="99" spans="1:4" ht="20.25" x14ac:dyDescent="0.25">
      <c r="A99" s="89"/>
      <c r="B99" s="15"/>
      <c r="C99" s="20"/>
      <c r="D99" s="20"/>
    </row>
    <row r="100" spans="1:4" ht="20.25" x14ac:dyDescent="0.25">
      <c r="A100" s="89"/>
      <c r="B100" s="15"/>
      <c r="C100" s="20"/>
      <c r="D100" s="20"/>
    </row>
    <row r="101" spans="1:4" ht="20.25" x14ac:dyDescent="0.25">
      <c r="A101" s="89"/>
      <c r="B101" s="15"/>
      <c r="C101" s="20"/>
      <c r="D101" s="20"/>
    </row>
    <row r="102" spans="1:4" ht="20.25" x14ac:dyDescent="0.25">
      <c r="A102" s="89"/>
      <c r="B102" s="15"/>
      <c r="C102" s="20"/>
      <c r="D102" s="20"/>
    </row>
    <row r="103" spans="1:4" ht="20.25" x14ac:dyDescent="0.25">
      <c r="A103" s="89"/>
      <c r="B103" s="15"/>
      <c r="C103" s="20"/>
      <c r="D103" s="20"/>
    </row>
    <row r="104" spans="1:4" ht="20.25" x14ac:dyDescent="0.25">
      <c r="A104" s="89"/>
      <c r="B104" s="15"/>
      <c r="C104" s="20"/>
      <c r="D104" s="20"/>
    </row>
    <row r="105" spans="1:4" ht="20.25" x14ac:dyDescent="0.25">
      <c r="A105" s="89"/>
      <c r="B105" s="15"/>
      <c r="C105" s="20"/>
      <c r="D105" s="20"/>
    </row>
    <row r="106" spans="1:4" ht="20.25" x14ac:dyDescent="0.25">
      <c r="A106" s="89"/>
      <c r="B106" s="15"/>
      <c r="C106" s="20"/>
      <c r="D106" s="20"/>
    </row>
    <row r="107" spans="1:4" ht="20.25" x14ac:dyDescent="0.25">
      <c r="A107" s="89"/>
      <c r="B107" s="15"/>
      <c r="C107" s="20"/>
      <c r="D107" s="20"/>
    </row>
    <row r="108" spans="1:4" ht="20.25" x14ac:dyDescent="0.25">
      <c r="A108" s="89"/>
      <c r="B108" s="15"/>
      <c r="C108" s="20"/>
      <c r="D108" s="20"/>
    </row>
    <row r="109" spans="1:4" ht="20.25" x14ac:dyDescent="0.25">
      <c r="A109" s="89"/>
      <c r="B109" s="15"/>
      <c r="C109" s="20"/>
      <c r="D109" s="20"/>
    </row>
    <row r="110" spans="1:4" ht="20.25" x14ac:dyDescent="0.25">
      <c r="A110" s="89"/>
      <c r="B110" s="15"/>
      <c r="C110" s="20"/>
      <c r="D110" s="20"/>
    </row>
    <row r="111" spans="1:4" ht="20.25" x14ac:dyDescent="0.25">
      <c r="A111" s="89"/>
      <c r="B111" s="15"/>
      <c r="C111" s="20"/>
      <c r="D111" s="20"/>
    </row>
    <row r="112" spans="1:4" ht="20.25" x14ac:dyDescent="0.25">
      <c r="A112" s="89"/>
      <c r="B112" s="15"/>
      <c r="C112" s="20"/>
      <c r="D112" s="20"/>
    </row>
    <row r="113" spans="1:4" ht="20.25" x14ac:dyDescent="0.25">
      <c r="A113" s="89"/>
      <c r="B113" s="15"/>
      <c r="C113" s="20"/>
      <c r="D113" s="20"/>
    </row>
    <row r="114" spans="1:4" ht="20.25" x14ac:dyDescent="0.25">
      <c r="A114" s="89"/>
      <c r="B114" s="15"/>
      <c r="C114" s="20"/>
      <c r="D114" s="20"/>
    </row>
    <row r="115" spans="1:4" ht="20.25" x14ac:dyDescent="0.25">
      <c r="A115" s="89"/>
      <c r="B115" s="15"/>
      <c r="C115" s="20"/>
      <c r="D115" s="20"/>
    </row>
    <row r="116" spans="1:4" ht="20.25" x14ac:dyDescent="0.25">
      <c r="A116" s="89"/>
      <c r="B116" s="15"/>
      <c r="C116" s="20"/>
      <c r="D116" s="20"/>
    </row>
    <row r="117" spans="1:4" ht="20.25" x14ac:dyDescent="0.25">
      <c r="A117" s="89"/>
      <c r="B117" s="15"/>
      <c r="C117" s="20"/>
      <c r="D117" s="20"/>
    </row>
    <row r="118" spans="1:4" ht="20.25" x14ac:dyDescent="0.25">
      <c r="A118" s="89"/>
      <c r="B118" s="15"/>
      <c r="C118" s="20"/>
      <c r="D118" s="20"/>
    </row>
    <row r="119" spans="1:4" ht="20.25" x14ac:dyDescent="0.25">
      <c r="A119" s="89"/>
      <c r="B119" s="15"/>
      <c r="C119" s="20"/>
      <c r="D119" s="20"/>
    </row>
    <row r="120" spans="1:4" ht="20.25" x14ac:dyDescent="0.25">
      <c r="A120" s="89"/>
      <c r="B120" s="15"/>
      <c r="C120" s="20"/>
      <c r="D120" s="20"/>
    </row>
    <row r="121" spans="1:4" ht="20.25" x14ac:dyDescent="0.25">
      <c r="A121" s="89"/>
      <c r="B121" s="15"/>
      <c r="C121" s="20"/>
      <c r="D121" s="20"/>
    </row>
    <row r="122" spans="1:4" ht="20.25" x14ac:dyDescent="0.25">
      <c r="A122" s="89"/>
      <c r="B122" s="15"/>
      <c r="C122" s="20"/>
      <c r="D122" s="20"/>
    </row>
    <row r="123" spans="1:4" ht="20.25" x14ac:dyDescent="0.25">
      <c r="A123" s="89"/>
      <c r="B123" s="15"/>
      <c r="C123" s="20"/>
      <c r="D123" s="20"/>
    </row>
    <row r="124" spans="1:4" ht="20.25" x14ac:dyDescent="0.25">
      <c r="A124" s="89"/>
      <c r="B124" s="15"/>
      <c r="C124" s="20"/>
      <c r="D124" s="20"/>
    </row>
    <row r="125" spans="1:4" ht="20.25" x14ac:dyDescent="0.25">
      <c r="A125" s="89"/>
      <c r="B125" s="15"/>
      <c r="C125" s="20"/>
      <c r="D125" s="20"/>
    </row>
    <row r="126" spans="1:4" ht="20.25" x14ac:dyDescent="0.25">
      <c r="A126" s="89"/>
      <c r="B126" s="15"/>
      <c r="C126" s="20"/>
      <c r="D126" s="20"/>
    </row>
    <row r="127" spans="1:4" ht="20.25" x14ac:dyDescent="0.25">
      <c r="A127" s="89"/>
      <c r="B127" s="15"/>
      <c r="C127" s="20"/>
      <c r="D127" s="20"/>
    </row>
    <row r="128" spans="1:4" ht="20.25" x14ac:dyDescent="0.25">
      <c r="A128" s="89"/>
      <c r="B128" s="15"/>
      <c r="C128" s="20"/>
      <c r="D128" s="20"/>
    </row>
    <row r="129" spans="1:4" ht="20.25" x14ac:dyDescent="0.25">
      <c r="A129" s="89"/>
      <c r="B129" s="15"/>
      <c r="C129" s="20"/>
      <c r="D129" s="20"/>
    </row>
    <row r="130" spans="1:4" ht="20.25" x14ac:dyDescent="0.25">
      <c r="A130" s="89"/>
      <c r="B130" s="15"/>
      <c r="C130" s="20"/>
      <c r="D130" s="20"/>
    </row>
    <row r="131" spans="1:4" ht="20.25" x14ac:dyDescent="0.25">
      <c r="A131" s="89"/>
      <c r="B131" s="15"/>
      <c r="C131" s="20"/>
      <c r="D131" s="20"/>
    </row>
    <row r="132" spans="1:4" ht="20.25" x14ac:dyDescent="0.25">
      <c r="A132" s="89"/>
      <c r="B132" s="15"/>
      <c r="C132" s="20"/>
      <c r="D132" s="20"/>
    </row>
    <row r="133" spans="1:4" ht="20.25" x14ac:dyDescent="0.25">
      <c r="A133" s="89"/>
      <c r="B133" s="15"/>
      <c r="C133" s="20"/>
      <c r="D133" s="20"/>
    </row>
    <row r="134" spans="1:4" ht="20.25" x14ac:dyDescent="0.25">
      <c r="A134" s="89"/>
      <c r="B134" s="15"/>
      <c r="C134" s="20"/>
      <c r="D134" s="20"/>
    </row>
    <row r="135" spans="1:4" ht="20.25" x14ac:dyDescent="0.25">
      <c r="A135" s="89"/>
      <c r="B135" s="15"/>
      <c r="C135" s="20"/>
      <c r="D135" s="20"/>
    </row>
    <row r="136" spans="1:4" ht="20.25" x14ac:dyDescent="0.25">
      <c r="A136" s="89"/>
      <c r="B136" s="15"/>
      <c r="C136" s="20"/>
      <c r="D136" s="20"/>
    </row>
    <row r="137" spans="1:4" ht="20.25" x14ac:dyDescent="0.25">
      <c r="A137" s="89"/>
      <c r="B137" s="15"/>
      <c r="C137" s="20"/>
      <c r="D137" s="20"/>
    </row>
    <row r="138" spans="1:4" ht="20.25" x14ac:dyDescent="0.25">
      <c r="A138" s="89"/>
      <c r="B138" s="15"/>
      <c r="C138" s="20"/>
      <c r="D138" s="20"/>
    </row>
    <row r="139" spans="1:4" ht="20.25" x14ac:dyDescent="0.25">
      <c r="A139" s="89"/>
      <c r="B139" s="15"/>
      <c r="C139" s="20"/>
      <c r="D139" s="20"/>
    </row>
    <row r="140" spans="1:4" ht="20.25" x14ac:dyDescent="0.25">
      <c r="A140" s="89"/>
      <c r="B140" s="15"/>
      <c r="C140" s="20"/>
      <c r="D140" s="20"/>
    </row>
    <row r="141" spans="1:4" ht="20.25" x14ac:dyDescent="0.25">
      <c r="A141" s="89"/>
      <c r="B141" s="15"/>
      <c r="C141" s="20"/>
      <c r="D141" s="20"/>
    </row>
    <row r="142" spans="1:4" ht="20.25" x14ac:dyDescent="0.25">
      <c r="A142" s="89"/>
      <c r="B142" s="15"/>
      <c r="C142" s="20"/>
      <c r="D142" s="20"/>
    </row>
    <row r="143" spans="1:4" ht="20.25" x14ac:dyDescent="0.25">
      <c r="A143" s="89"/>
      <c r="B143" s="15"/>
      <c r="C143" s="20"/>
      <c r="D143" s="20"/>
    </row>
    <row r="144" spans="1:4" ht="20.25" x14ac:dyDescent="0.25">
      <c r="A144" s="89"/>
      <c r="B144" s="15"/>
      <c r="C144" s="20"/>
      <c r="D144" s="20"/>
    </row>
    <row r="145" spans="1:4" ht="20.25" x14ac:dyDescent="0.25">
      <c r="A145" s="89"/>
      <c r="B145" s="15"/>
      <c r="C145" s="20"/>
      <c r="D145" s="20"/>
    </row>
    <row r="146" spans="1:4" ht="20.25" x14ac:dyDescent="0.25">
      <c r="A146" s="89"/>
      <c r="B146" s="15"/>
      <c r="C146" s="20"/>
      <c r="D146" s="20"/>
    </row>
    <row r="147" spans="1:4" ht="20.25" x14ac:dyDescent="0.25">
      <c r="A147" s="89"/>
      <c r="B147" s="15"/>
      <c r="C147" s="20"/>
      <c r="D147" s="20"/>
    </row>
    <row r="148" spans="1:4" ht="20.25" x14ac:dyDescent="0.25">
      <c r="A148" s="89"/>
      <c r="B148" s="15"/>
      <c r="C148" s="20"/>
      <c r="D148" s="20"/>
    </row>
    <row r="149" spans="1:4" ht="20.25" x14ac:dyDescent="0.25">
      <c r="A149" s="89"/>
      <c r="B149" s="15"/>
      <c r="C149" s="20"/>
      <c r="D149" s="20"/>
    </row>
    <row r="150" spans="1:4" ht="20.25" x14ac:dyDescent="0.25">
      <c r="A150" s="89"/>
      <c r="B150" s="15"/>
      <c r="C150" s="20"/>
      <c r="D150" s="20"/>
    </row>
    <row r="151" spans="1:4" ht="20.25" x14ac:dyDescent="0.25">
      <c r="A151" s="89"/>
      <c r="B151" s="15"/>
      <c r="C151" s="20"/>
      <c r="D151" s="20"/>
    </row>
    <row r="152" spans="1:4" ht="20.25" x14ac:dyDescent="0.25">
      <c r="A152" s="89"/>
      <c r="B152" s="15"/>
      <c r="C152" s="20"/>
      <c r="D152" s="20"/>
    </row>
    <row r="153" spans="1:4" ht="20.25" x14ac:dyDescent="0.25">
      <c r="A153" s="89"/>
      <c r="B153" s="15"/>
      <c r="C153" s="20"/>
      <c r="D153" s="20"/>
    </row>
    <row r="154" spans="1:4" ht="20.25" x14ac:dyDescent="0.25">
      <c r="A154" s="89"/>
      <c r="B154" s="15"/>
      <c r="C154" s="20"/>
      <c r="D154" s="20"/>
    </row>
    <row r="155" spans="1:4" ht="20.25" x14ac:dyDescent="0.25">
      <c r="A155" s="89"/>
      <c r="B155" s="15"/>
      <c r="C155" s="20"/>
      <c r="D155" s="20"/>
    </row>
    <row r="156" spans="1:4" ht="20.25" x14ac:dyDescent="0.25">
      <c r="A156" s="89"/>
      <c r="B156" s="15"/>
      <c r="C156" s="20"/>
      <c r="D156" s="20"/>
    </row>
    <row r="157" spans="1:4" ht="20.25" x14ac:dyDescent="0.25">
      <c r="A157" s="89"/>
      <c r="B157" s="15"/>
      <c r="C157" s="20"/>
      <c r="D157" s="20"/>
    </row>
    <row r="158" spans="1:4" ht="20.25" x14ac:dyDescent="0.25">
      <c r="A158" s="89"/>
      <c r="B158" s="15"/>
      <c r="C158" s="20"/>
      <c r="D158" s="20"/>
    </row>
    <row r="159" spans="1:4" ht="20.25" x14ac:dyDescent="0.25">
      <c r="A159" s="89"/>
      <c r="B159" s="15"/>
      <c r="C159" s="20"/>
      <c r="D159" s="20"/>
    </row>
    <row r="160" spans="1:4" ht="20.25" x14ac:dyDescent="0.25">
      <c r="A160" s="89"/>
      <c r="B160" s="15"/>
      <c r="C160" s="20"/>
      <c r="D160" s="20"/>
    </row>
    <row r="161" spans="1:4" ht="20.25" x14ac:dyDescent="0.25">
      <c r="A161" s="89"/>
      <c r="B161" s="15"/>
      <c r="C161" s="20"/>
      <c r="D161" s="20"/>
    </row>
    <row r="162" spans="1:4" ht="20.25" x14ac:dyDescent="0.25">
      <c r="A162" s="89"/>
      <c r="B162" s="15"/>
      <c r="C162" s="20"/>
      <c r="D162" s="20"/>
    </row>
    <row r="163" spans="1:4" ht="20.25" x14ac:dyDescent="0.25">
      <c r="A163" s="89"/>
      <c r="B163" s="15"/>
      <c r="C163" s="20"/>
      <c r="D163" s="20"/>
    </row>
    <row r="164" spans="1:4" ht="20.25" x14ac:dyDescent="0.25">
      <c r="A164" s="89"/>
      <c r="B164" s="15"/>
      <c r="C164" s="20"/>
      <c r="D164" s="20"/>
    </row>
    <row r="165" spans="1:4" ht="20.25" x14ac:dyDescent="0.25">
      <c r="A165" s="89"/>
      <c r="B165" s="15"/>
      <c r="C165" s="20"/>
      <c r="D165" s="20"/>
    </row>
    <row r="166" spans="1:4" ht="20.25" x14ac:dyDescent="0.25">
      <c r="A166" s="89"/>
      <c r="B166" s="15"/>
      <c r="C166" s="20"/>
      <c r="D166" s="20"/>
    </row>
    <row r="167" spans="1:4" ht="20.25" x14ac:dyDescent="0.25">
      <c r="A167" s="89"/>
      <c r="B167" s="15"/>
      <c r="C167" s="20"/>
      <c r="D167" s="20"/>
    </row>
    <row r="168" spans="1:4" ht="20.25" x14ac:dyDescent="0.25">
      <c r="A168" s="89"/>
      <c r="B168" s="15"/>
      <c r="C168" s="20"/>
      <c r="D168" s="20"/>
    </row>
    <row r="169" spans="1:4" ht="20.25" x14ac:dyDescent="0.25">
      <c r="A169" s="89"/>
      <c r="B169" s="15"/>
      <c r="C169" s="20"/>
      <c r="D169" s="20"/>
    </row>
    <row r="170" spans="1:4" ht="20.25" x14ac:dyDescent="0.25">
      <c r="A170" s="89"/>
      <c r="B170" s="15"/>
      <c r="C170" s="20"/>
      <c r="D170" s="20"/>
    </row>
    <row r="171" spans="1:4" ht="20.25" x14ac:dyDescent="0.25">
      <c r="A171" s="89"/>
      <c r="B171" s="15"/>
      <c r="C171" s="20"/>
      <c r="D171" s="20"/>
    </row>
    <row r="172" spans="1:4" ht="20.25" x14ac:dyDescent="0.25">
      <c r="A172" s="89"/>
      <c r="B172" s="15"/>
      <c r="C172" s="20"/>
      <c r="D172" s="20"/>
    </row>
    <row r="173" spans="1:4" ht="20.25" x14ac:dyDescent="0.25">
      <c r="A173" s="89"/>
      <c r="B173" s="15"/>
      <c r="C173" s="20"/>
      <c r="D173" s="20"/>
    </row>
    <row r="174" spans="1:4" ht="20.25" x14ac:dyDescent="0.25">
      <c r="A174" s="89"/>
      <c r="B174" s="15"/>
      <c r="C174" s="20"/>
      <c r="D174" s="20"/>
    </row>
    <row r="175" spans="1:4" ht="20.25" x14ac:dyDescent="0.25">
      <c r="A175" s="89"/>
      <c r="B175" s="15"/>
      <c r="C175" s="20"/>
      <c r="D175" s="20"/>
    </row>
    <row r="176" spans="1:4" ht="20.25" x14ac:dyDescent="0.25">
      <c r="A176" s="89"/>
      <c r="B176" s="15"/>
      <c r="C176" s="20"/>
      <c r="D176" s="20"/>
    </row>
    <row r="177" spans="1:4" ht="20.25" x14ac:dyDescent="0.25">
      <c r="A177" s="89"/>
      <c r="B177" s="15"/>
      <c r="C177" s="20"/>
      <c r="D177" s="20"/>
    </row>
    <row r="178" spans="1:4" ht="20.25" x14ac:dyDescent="0.25">
      <c r="A178" s="89"/>
      <c r="B178" s="15"/>
      <c r="C178" s="20"/>
      <c r="D178" s="20"/>
    </row>
    <row r="179" spans="1:4" ht="20.25" x14ac:dyDescent="0.25">
      <c r="A179" s="89"/>
      <c r="B179" s="15"/>
      <c r="C179" s="20"/>
      <c r="D179" s="20"/>
    </row>
    <row r="180" spans="1:4" ht="20.25" x14ac:dyDescent="0.25">
      <c r="A180" s="89"/>
      <c r="B180" s="15"/>
      <c r="C180" s="20"/>
      <c r="D180" s="20"/>
    </row>
    <row r="181" spans="1:4" ht="20.25" x14ac:dyDescent="0.25">
      <c r="A181" s="89"/>
      <c r="B181" s="15"/>
      <c r="C181" s="20"/>
      <c r="D181" s="20"/>
    </row>
    <row r="182" spans="1:4" ht="20.25" x14ac:dyDescent="0.25">
      <c r="A182" s="89"/>
      <c r="B182" s="15"/>
      <c r="C182" s="20"/>
      <c r="D182" s="20"/>
    </row>
    <row r="183" spans="1:4" ht="20.25" x14ac:dyDescent="0.25">
      <c r="A183" s="89"/>
      <c r="B183" s="15"/>
      <c r="C183" s="20"/>
      <c r="D183" s="20"/>
    </row>
    <row r="184" spans="1:4" ht="20.25" x14ac:dyDescent="0.25">
      <c r="A184" s="89"/>
      <c r="B184" s="15"/>
      <c r="C184" s="20"/>
      <c r="D184" s="20"/>
    </row>
    <row r="185" spans="1:4" ht="20.25" x14ac:dyDescent="0.25">
      <c r="A185" s="89"/>
      <c r="B185" s="15"/>
      <c r="C185" s="20"/>
      <c r="D185" s="20"/>
    </row>
    <row r="186" spans="1:4" ht="20.25" x14ac:dyDescent="0.25">
      <c r="A186" s="89"/>
      <c r="B186" s="15"/>
      <c r="C186" s="20"/>
      <c r="D186" s="20"/>
    </row>
    <row r="187" spans="1:4" ht="20.25" x14ac:dyDescent="0.25">
      <c r="A187" s="89"/>
      <c r="B187" s="15"/>
      <c r="C187" s="20"/>
      <c r="D187" s="20"/>
    </row>
    <row r="188" spans="1:4" ht="20.25" x14ac:dyDescent="0.25">
      <c r="A188" s="89"/>
      <c r="B188" s="15"/>
      <c r="C188" s="20"/>
      <c r="D188" s="20"/>
    </row>
    <row r="189" spans="1:4" ht="20.25" x14ac:dyDescent="0.25">
      <c r="A189" s="89"/>
      <c r="B189" s="15"/>
      <c r="C189" s="20"/>
      <c r="D189" s="20"/>
    </row>
    <row r="190" spans="1:4" ht="20.25" x14ac:dyDescent="0.25">
      <c r="A190" s="89"/>
      <c r="B190" s="15"/>
      <c r="C190" s="20"/>
      <c r="D190" s="20"/>
    </row>
    <row r="191" spans="1:4" ht="20.25" x14ac:dyDescent="0.25">
      <c r="A191" s="89"/>
      <c r="B191" s="15"/>
      <c r="C191" s="20"/>
      <c r="D191" s="20"/>
    </row>
    <row r="192" spans="1:4" ht="20.25" x14ac:dyDescent="0.25">
      <c r="A192" s="89"/>
      <c r="B192" s="15"/>
      <c r="C192" s="20"/>
      <c r="D192" s="20"/>
    </row>
    <row r="193" spans="1:4" ht="20.25" x14ac:dyDescent="0.25">
      <c r="A193" s="89"/>
      <c r="B193" s="15"/>
      <c r="C193" s="20"/>
      <c r="D193" s="20"/>
    </row>
    <row r="194" spans="1:4" ht="20.25" x14ac:dyDescent="0.25">
      <c r="A194" s="89"/>
      <c r="B194" s="15"/>
      <c r="C194" s="20"/>
      <c r="D194" s="20"/>
    </row>
    <row r="195" spans="1:4" ht="20.25" x14ac:dyDescent="0.25">
      <c r="A195" s="89"/>
      <c r="B195" s="15"/>
      <c r="C195" s="20"/>
      <c r="D195" s="20"/>
    </row>
    <row r="196" spans="1:4" ht="20.25" x14ac:dyDescent="0.25">
      <c r="A196" s="89"/>
      <c r="B196" s="15"/>
      <c r="C196" s="20"/>
      <c r="D196" s="20"/>
    </row>
    <row r="197" spans="1:4" ht="20.25" x14ac:dyDescent="0.25">
      <c r="A197" s="89"/>
      <c r="B197" s="15"/>
      <c r="C197" s="20"/>
      <c r="D197" s="20"/>
    </row>
    <row r="198" spans="1:4" ht="20.25" x14ac:dyDescent="0.25">
      <c r="A198" s="89"/>
      <c r="B198" s="15"/>
      <c r="C198" s="20"/>
      <c r="D198" s="20"/>
    </row>
    <row r="199" spans="1:4" ht="20.25" x14ac:dyDescent="0.25">
      <c r="A199" s="89"/>
      <c r="B199" s="15"/>
      <c r="C199" s="20"/>
      <c r="D199" s="20"/>
    </row>
    <row r="200" spans="1:4" ht="20.25" x14ac:dyDescent="0.25">
      <c r="A200" s="89"/>
      <c r="B200" s="15"/>
      <c r="C200" s="20"/>
      <c r="D200" s="20"/>
    </row>
    <row r="201" spans="1:4" ht="20.25" x14ac:dyDescent="0.25">
      <c r="A201" s="89"/>
      <c r="B201" s="15"/>
      <c r="C201" s="20"/>
      <c r="D201" s="20"/>
    </row>
    <row r="202" spans="1:4" ht="20.25" x14ac:dyDescent="0.25">
      <c r="A202" s="89"/>
      <c r="B202" s="15"/>
      <c r="C202" s="20"/>
      <c r="D202" s="20"/>
    </row>
    <row r="203" spans="1:4" ht="20.25" x14ac:dyDescent="0.25">
      <c r="A203" s="89"/>
      <c r="B203" s="15"/>
      <c r="C203" s="20"/>
      <c r="D203" s="20"/>
    </row>
    <row r="204" spans="1:4" ht="20.25" x14ac:dyDescent="0.25">
      <c r="A204" s="89"/>
      <c r="B204" s="15"/>
      <c r="C204" s="20"/>
      <c r="D204" s="20"/>
    </row>
    <row r="205" spans="1:4" ht="20.25" x14ac:dyDescent="0.25">
      <c r="A205" s="89"/>
      <c r="B205" s="15"/>
      <c r="C205" s="20"/>
      <c r="D205" s="20"/>
    </row>
    <row r="206" spans="1:4" ht="20.25" x14ac:dyDescent="0.25">
      <c r="A206" s="89"/>
      <c r="B206" s="15"/>
      <c r="C206" s="20"/>
      <c r="D206" s="20"/>
    </row>
    <row r="207" spans="1:4" ht="20.25" x14ac:dyDescent="0.25">
      <c r="A207" s="89"/>
      <c r="B207" s="15"/>
      <c r="C207" s="20"/>
      <c r="D207" s="20"/>
    </row>
    <row r="208" spans="1:4" x14ac:dyDescent="0.25">
      <c r="A208" s="69"/>
      <c r="B208" s="15"/>
      <c r="C208" s="15"/>
      <c r="D208" s="15"/>
    </row>
    <row r="209" spans="1:8" ht="20.25" x14ac:dyDescent="0.25">
      <c r="A209" s="69"/>
      <c r="B209" s="16" t="s">
        <v>88</v>
      </c>
      <c r="C209" s="16" t="s">
        <v>143</v>
      </c>
      <c r="D209" s="19" t="s">
        <v>88</v>
      </c>
      <c r="E209" s="19" t="s">
        <v>143</v>
      </c>
    </row>
    <row r="210" spans="1:8" ht="21" x14ac:dyDescent="0.35">
      <c r="A210" s="69"/>
      <c r="B210" s="17" t="s">
        <v>90</v>
      </c>
      <c r="C210" s="17" t="s">
        <v>58</v>
      </c>
      <c r="D210" t="s">
        <v>90</v>
      </c>
      <c r="F210" t="str">
        <f>IF(NOT(ISBLANK(D210)),D210,IF(NOT(ISBLANK(E210)),"     "&amp;E210,FALSE))</f>
        <v>Afectación Económica o presupuestal</v>
      </c>
      <c r="G210" t="s">
        <v>90</v>
      </c>
      <c r="H210" t="str">
        <f>IF(NOT(ISERROR(MATCH(G210,_xlfn.ANCHORARRAY(B221),0))),F223&amp;"Por favor no seleccionar los criterios de impacto",G210)</f>
        <v>❌Por favor no seleccionar los criterios de impacto</v>
      </c>
    </row>
    <row r="211" spans="1:8" ht="21" x14ac:dyDescent="0.35">
      <c r="A211" s="69"/>
      <c r="B211" s="17" t="s">
        <v>90</v>
      </c>
      <c r="C211" s="17" t="s">
        <v>93</v>
      </c>
      <c r="E211" t="s">
        <v>58</v>
      </c>
      <c r="F211" t="str">
        <f t="shared" ref="F211:F221" si="0">IF(NOT(ISBLANK(D211)),D211,IF(NOT(ISBLANK(E211)),"     "&amp;E211,FALSE))</f>
        <v xml:space="preserve">     Afectación menor a 10 SMLMV .</v>
      </c>
    </row>
    <row r="212" spans="1:8" ht="21" x14ac:dyDescent="0.35">
      <c r="A212" s="69"/>
      <c r="B212" s="17" t="s">
        <v>90</v>
      </c>
      <c r="C212" s="17" t="s">
        <v>94</v>
      </c>
      <c r="E212" t="s">
        <v>93</v>
      </c>
      <c r="F212" t="str">
        <f t="shared" si="0"/>
        <v xml:space="preserve">     Entre 10 y 50 SMLMV </v>
      </c>
    </row>
    <row r="213" spans="1:8" ht="21" x14ac:dyDescent="0.35">
      <c r="A213" s="69"/>
      <c r="B213" s="17" t="s">
        <v>90</v>
      </c>
      <c r="C213" s="17" t="s">
        <v>95</v>
      </c>
      <c r="E213" t="s">
        <v>94</v>
      </c>
      <c r="F213" t="str">
        <f t="shared" si="0"/>
        <v xml:space="preserve">     Entre 50 y 100 SMLMV </v>
      </c>
    </row>
    <row r="214" spans="1:8" ht="21" x14ac:dyDescent="0.35">
      <c r="A214" s="69"/>
      <c r="B214" s="17" t="s">
        <v>90</v>
      </c>
      <c r="C214" s="17" t="s">
        <v>96</v>
      </c>
      <c r="E214" t="s">
        <v>95</v>
      </c>
      <c r="F214" t="str">
        <f t="shared" si="0"/>
        <v xml:space="preserve">     Entre 100 y 500 SMLMV </v>
      </c>
    </row>
    <row r="215" spans="1:8" ht="21" x14ac:dyDescent="0.35">
      <c r="A215" s="69"/>
      <c r="B215" s="17" t="s">
        <v>57</v>
      </c>
      <c r="C215" s="17" t="s">
        <v>97</v>
      </c>
      <c r="E215" t="s">
        <v>96</v>
      </c>
      <c r="F215" t="str">
        <f t="shared" si="0"/>
        <v xml:space="preserve">     Mayor a 500 SMLMV </v>
      </c>
    </row>
    <row r="216" spans="1:8" ht="21" x14ac:dyDescent="0.35">
      <c r="A216" s="69"/>
      <c r="B216" s="17" t="s">
        <v>57</v>
      </c>
      <c r="C216" s="17" t="s">
        <v>98</v>
      </c>
      <c r="D216" t="s">
        <v>57</v>
      </c>
      <c r="F216" t="str">
        <f t="shared" si="0"/>
        <v>Pérdida Reputacional</v>
      </c>
    </row>
    <row r="217" spans="1:8" ht="21" x14ac:dyDescent="0.35">
      <c r="A217" s="69"/>
      <c r="B217" s="17" t="s">
        <v>57</v>
      </c>
      <c r="C217" s="17" t="s">
        <v>100</v>
      </c>
      <c r="E217" t="s">
        <v>97</v>
      </c>
      <c r="F217" t="str">
        <f t="shared" si="0"/>
        <v xml:space="preserve">     El riesgo afecta la imagen de alguna área de la organización</v>
      </c>
    </row>
    <row r="218" spans="1:8" ht="21" x14ac:dyDescent="0.35">
      <c r="A218" s="69"/>
      <c r="B218" s="17" t="s">
        <v>57</v>
      </c>
      <c r="C218" s="17" t="s">
        <v>99</v>
      </c>
      <c r="E218" t="s">
        <v>98</v>
      </c>
      <c r="F218" t="str">
        <f t="shared" si="0"/>
        <v xml:space="preserve">     El riesgo afecta la imagen de la entidad internamente, de conocimiento general, nivel interno, de junta dircetiva y accionistas y/o de provedores</v>
      </c>
    </row>
    <row r="219" spans="1:8" ht="21" x14ac:dyDescent="0.35">
      <c r="A219" s="69"/>
      <c r="B219" s="17" t="s">
        <v>57</v>
      </c>
      <c r="C219" s="17" t="s">
        <v>118</v>
      </c>
      <c r="E219" t="s">
        <v>100</v>
      </c>
      <c r="F219" t="str">
        <f t="shared" si="0"/>
        <v xml:space="preserve">     El riesgo afecta la imagen de la entidad con algunos usuarios de relevancia frente al logro de los objetivos</v>
      </c>
    </row>
    <row r="220" spans="1:8" x14ac:dyDescent="0.25">
      <c r="A220" s="69"/>
      <c r="B220" s="18"/>
      <c r="C220" s="18"/>
      <c r="E220" t="s">
        <v>99</v>
      </c>
      <c r="F220" t="str">
        <f t="shared" si="0"/>
        <v xml:space="preserve">     El riesgo afecta la imagen de de la entidad con efecto publicitario sostenido a nivel de sector administrativo, nivel departamental o municipal</v>
      </c>
    </row>
    <row r="221" spans="1:8" x14ac:dyDescent="0.25">
      <c r="A221" s="69"/>
      <c r="B221" s="18" t="str" cm="1">
        <f t="array" ref="B221:B223">_xlfn.UNIQUE(Tabla1[[#All],[Criterios]])</f>
        <v>Criterios</v>
      </c>
      <c r="C221" s="18"/>
      <c r="E221" t="s">
        <v>118</v>
      </c>
      <c r="F221" t="str">
        <f t="shared" si="0"/>
        <v xml:space="preserve">     El riesgo afecta la imagen de la entidad a nivel nacional, con efecto publicitarios sostenible a nivel país</v>
      </c>
    </row>
    <row r="222" spans="1:8" x14ac:dyDescent="0.25">
      <c r="A222" s="69"/>
      <c r="B222" s="18" t="str">
        <v>Afectación Económica o presupuestal</v>
      </c>
      <c r="C222" s="18"/>
    </row>
    <row r="223" spans="1:8" x14ac:dyDescent="0.25">
      <c r="B223" s="18" t="str">
        <v>Pérdida Reputacional</v>
      </c>
      <c r="C223" s="18"/>
      <c r="F223" s="21" t="s">
        <v>145</v>
      </c>
    </row>
    <row r="224" spans="1:8" x14ac:dyDescent="0.25">
      <c r="B224" s="14"/>
      <c r="C224" s="14"/>
      <c r="F224" s="21" t="s">
        <v>146</v>
      </c>
    </row>
    <row r="225" spans="2:4" x14ac:dyDescent="0.25">
      <c r="B225" s="14"/>
      <c r="C225" s="14"/>
    </row>
    <row r="226" spans="2:4" x14ac:dyDescent="0.25">
      <c r="B226" s="14"/>
      <c r="C226" s="14"/>
    </row>
    <row r="227" spans="2:4" x14ac:dyDescent="0.25">
      <c r="B227" s="14"/>
      <c r="C227" s="14"/>
      <c r="D227" s="14"/>
    </row>
    <row r="228" spans="2:4" x14ac:dyDescent="0.25">
      <c r="B228" s="14"/>
      <c r="C228" s="14"/>
      <c r="D228" s="14"/>
    </row>
    <row r="229" spans="2:4" x14ac:dyDescent="0.25">
      <c r="B229" s="14"/>
      <c r="C229" s="14"/>
      <c r="D229" s="14"/>
    </row>
    <row r="230" spans="2:4" x14ac:dyDescent="0.25">
      <c r="B230" s="14"/>
      <c r="C230" s="14"/>
      <c r="D230" s="14"/>
    </row>
    <row r="231" spans="2:4" x14ac:dyDescent="0.25">
      <c r="B231" s="14"/>
      <c r="C231" s="14"/>
      <c r="D231" s="14"/>
    </row>
    <row r="232" spans="2:4" x14ac:dyDescent="0.25">
      <c r="B232" s="14"/>
      <c r="C232" s="14"/>
      <c r="D232" s="14"/>
    </row>
  </sheetData>
  <mergeCells count="1">
    <mergeCell ref="B1:D1"/>
  </mergeCells>
  <dataValidations disablePrompts="1" count="1">
    <dataValidation type="list" allowBlank="1" showInputMessage="1" showErrorMessage="1" sqref="G210" xr:uid="{00000000-0002-0000-0500-000000000000}">
      <formula1>$F$210:$F$221</formula1>
    </dataValidation>
  </dataValidations>
  <pageMargins left="0.7" right="0.7" top="0.75" bottom="0.75" header="0.3" footer="0.3"/>
  <pageSetup orientation="portrait"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249977111117893"/>
  </sheetPr>
  <dimension ref="B1:F16"/>
  <sheetViews>
    <sheetView workbookViewId="0">
      <selection activeCell="B1" sqref="B1:F1"/>
    </sheetView>
  </sheetViews>
  <sheetFormatPr baseColWidth="10" defaultColWidth="14.28515625" defaultRowHeight="12.75" x14ac:dyDescent="0.2"/>
  <cols>
    <col min="1" max="2" width="14.28515625" style="74" collapsed="1"/>
    <col min="3" max="3" width="17" style="74" customWidth="1" collapsed="1"/>
    <col min="4" max="4" width="14.28515625" style="74" collapsed="1"/>
    <col min="5" max="5" width="46" style="74" customWidth="1" collapsed="1"/>
    <col min="6" max="16384" width="14.28515625" style="74" collapsed="1"/>
  </cols>
  <sheetData>
    <row r="1" spans="2:6" ht="24" customHeight="1" thickBot="1" x14ac:dyDescent="0.25">
      <c r="B1" s="394" t="s">
        <v>78</v>
      </c>
      <c r="C1" s="395"/>
      <c r="D1" s="395"/>
      <c r="E1" s="395"/>
      <c r="F1" s="396"/>
    </row>
    <row r="2" spans="2:6" ht="16.5" thickBot="1" x14ac:dyDescent="0.3">
      <c r="B2" s="75"/>
      <c r="C2" s="75"/>
      <c r="D2" s="75"/>
      <c r="E2" s="75"/>
      <c r="F2" s="75"/>
    </row>
    <row r="3" spans="2:6" ht="16.5" thickBot="1" x14ac:dyDescent="0.25">
      <c r="B3" s="398" t="s">
        <v>64</v>
      </c>
      <c r="C3" s="399"/>
      <c r="D3" s="399"/>
      <c r="E3" s="87" t="s">
        <v>65</v>
      </c>
      <c r="F3" s="88" t="s">
        <v>66</v>
      </c>
    </row>
    <row r="4" spans="2:6" ht="31.5" x14ac:dyDescent="0.2">
      <c r="B4" s="400" t="s">
        <v>67</v>
      </c>
      <c r="C4" s="402" t="s">
        <v>13</v>
      </c>
      <c r="D4" s="76" t="s">
        <v>14</v>
      </c>
      <c r="E4" s="77" t="s">
        <v>68</v>
      </c>
      <c r="F4" s="78">
        <v>0.25</v>
      </c>
    </row>
    <row r="5" spans="2:6" ht="47.25" x14ac:dyDescent="0.2">
      <c r="B5" s="401"/>
      <c r="C5" s="403"/>
      <c r="D5" s="79" t="s">
        <v>15</v>
      </c>
      <c r="E5" s="80" t="s">
        <v>69</v>
      </c>
      <c r="F5" s="81">
        <v>0.15</v>
      </c>
    </row>
    <row r="6" spans="2:6" ht="47.25" x14ac:dyDescent="0.2">
      <c r="B6" s="401"/>
      <c r="C6" s="403"/>
      <c r="D6" s="79" t="s">
        <v>16</v>
      </c>
      <c r="E6" s="80" t="s">
        <v>70</v>
      </c>
      <c r="F6" s="81">
        <v>0.1</v>
      </c>
    </row>
    <row r="7" spans="2:6" ht="63" x14ac:dyDescent="0.2">
      <c r="B7" s="401"/>
      <c r="C7" s="403" t="s">
        <v>17</v>
      </c>
      <c r="D7" s="79" t="s">
        <v>10</v>
      </c>
      <c r="E7" s="80" t="s">
        <v>71</v>
      </c>
      <c r="F7" s="81">
        <v>0.25</v>
      </c>
    </row>
    <row r="8" spans="2:6" ht="31.5" x14ac:dyDescent="0.2">
      <c r="B8" s="401"/>
      <c r="C8" s="403"/>
      <c r="D8" s="79" t="s">
        <v>9</v>
      </c>
      <c r="E8" s="80" t="s">
        <v>72</v>
      </c>
      <c r="F8" s="81">
        <v>0.15</v>
      </c>
    </row>
    <row r="9" spans="2:6" ht="47.25" x14ac:dyDescent="0.2">
      <c r="B9" s="401" t="s">
        <v>160</v>
      </c>
      <c r="C9" s="403" t="s">
        <v>18</v>
      </c>
      <c r="D9" s="79" t="s">
        <v>19</v>
      </c>
      <c r="E9" s="80" t="s">
        <v>73</v>
      </c>
      <c r="F9" s="82" t="s">
        <v>74</v>
      </c>
    </row>
    <row r="10" spans="2:6" ht="63" x14ac:dyDescent="0.2">
      <c r="B10" s="401"/>
      <c r="C10" s="403"/>
      <c r="D10" s="79" t="s">
        <v>20</v>
      </c>
      <c r="E10" s="80" t="s">
        <v>75</v>
      </c>
      <c r="F10" s="82" t="s">
        <v>74</v>
      </c>
    </row>
    <row r="11" spans="2:6" ht="47.25" x14ac:dyDescent="0.2">
      <c r="B11" s="401"/>
      <c r="C11" s="403" t="s">
        <v>21</v>
      </c>
      <c r="D11" s="79" t="s">
        <v>22</v>
      </c>
      <c r="E11" s="80" t="s">
        <v>76</v>
      </c>
      <c r="F11" s="82" t="s">
        <v>74</v>
      </c>
    </row>
    <row r="12" spans="2:6" ht="47.25" x14ac:dyDescent="0.2">
      <c r="B12" s="401"/>
      <c r="C12" s="403"/>
      <c r="D12" s="79" t="s">
        <v>23</v>
      </c>
      <c r="E12" s="80" t="s">
        <v>77</v>
      </c>
      <c r="F12" s="82" t="s">
        <v>74</v>
      </c>
    </row>
    <row r="13" spans="2:6" ht="31.5" x14ac:dyDescent="0.2">
      <c r="B13" s="401"/>
      <c r="C13" s="403" t="s">
        <v>24</v>
      </c>
      <c r="D13" s="79" t="s">
        <v>119</v>
      </c>
      <c r="E13" s="80" t="s">
        <v>122</v>
      </c>
      <c r="F13" s="82" t="s">
        <v>74</v>
      </c>
    </row>
    <row r="14" spans="2:6" ht="32.25" thickBot="1" x14ac:dyDescent="0.25">
      <c r="B14" s="404"/>
      <c r="C14" s="405"/>
      <c r="D14" s="83" t="s">
        <v>120</v>
      </c>
      <c r="E14" s="84" t="s">
        <v>121</v>
      </c>
      <c r="F14" s="85" t="s">
        <v>74</v>
      </c>
    </row>
    <row r="15" spans="2:6" ht="49.5" customHeight="1" x14ac:dyDescent="0.2">
      <c r="B15" s="397" t="s">
        <v>157</v>
      </c>
      <c r="C15" s="397"/>
      <c r="D15" s="397"/>
      <c r="E15" s="397"/>
      <c r="F15" s="397"/>
    </row>
    <row r="16" spans="2:6" ht="27" customHeight="1" x14ac:dyDescent="0.25">
      <c r="B16" s="86"/>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9"/>
  <sheetViews>
    <sheetView topLeftCell="A4" workbookViewId="0">
      <selection activeCell="B13" sqref="B13:B19"/>
    </sheetView>
  </sheetViews>
  <sheetFormatPr baseColWidth="10" defaultRowHeight="15" x14ac:dyDescent="0.25"/>
  <sheetData>
    <row r="2" spans="2:5" x14ac:dyDescent="0.25">
      <c r="B2" t="s">
        <v>31</v>
      </c>
      <c r="E2" t="s">
        <v>132</v>
      </c>
    </row>
    <row r="3" spans="2:5" x14ac:dyDescent="0.25">
      <c r="B3" t="s">
        <v>32</v>
      </c>
      <c r="E3" t="s">
        <v>131</v>
      </c>
    </row>
    <row r="4" spans="2:5" x14ac:dyDescent="0.25">
      <c r="B4" t="s">
        <v>136</v>
      </c>
      <c r="E4" t="s">
        <v>133</v>
      </c>
    </row>
    <row r="5" spans="2:5" x14ac:dyDescent="0.25">
      <c r="B5" t="s">
        <v>135</v>
      </c>
    </row>
    <row r="8" spans="2:5" x14ac:dyDescent="0.25">
      <c r="B8" t="s">
        <v>86</v>
      </c>
    </row>
    <row r="9" spans="2:5" x14ac:dyDescent="0.25">
      <c r="B9" t="s">
        <v>40</v>
      </c>
    </row>
    <row r="10" spans="2:5" x14ac:dyDescent="0.25">
      <c r="B10" t="s">
        <v>41</v>
      </c>
    </row>
    <row r="13" spans="2:5" x14ac:dyDescent="0.25">
      <c r="B13" t="s">
        <v>129</v>
      </c>
    </row>
    <row r="14" spans="2:5" x14ac:dyDescent="0.25">
      <c r="B14" t="s">
        <v>123</v>
      </c>
    </row>
    <row r="15" spans="2:5" x14ac:dyDescent="0.25">
      <c r="B15" t="s">
        <v>126</v>
      </c>
    </row>
    <row r="16" spans="2:5" x14ac:dyDescent="0.25">
      <c r="B16" t="s">
        <v>124</v>
      </c>
    </row>
    <row r="17" spans="2:2" x14ac:dyDescent="0.25">
      <c r="B17" t="s">
        <v>125</v>
      </c>
    </row>
    <row r="18" spans="2:2" x14ac:dyDescent="0.25">
      <c r="B18" t="s">
        <v>127</v>
      </c>
    </row>
    <row r="19" spans="2:2" x14ac:dyDescent="0.25">
      <c r="B19" t="s">
        <v>128</v>
      </c>
    </row>
  </sheetData>
  <sortState xmlns:xlrd2="http://schemas.microsoft.com/office/spreadsheetml/2017/richdata2" ref="B2:B5">
    <sortCondition ref="B2:B5"/>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A21"/>
  <sheetViews>
    <sheetView workbookViewId="0">
      <selection activeCell="A19" sqref="A19"/>
    </sheetView>
  </sheetViews>
  <sheetFormatPr baseColWidth="10" defaultColWidth="11.42578125" defaultRowHeight="12.75" x14ac:dyDescent="0.2"/>
  <cols>
    <col min="1" max="1" width="32.85546875" style="1" customWidth="1" collapsed="1"/>
    <col min="2" max="16384" width="11.42578125" style="1" collapsed="1"/>
  </cols>
  <sheetData>
    <row r="3" spans="1:1" x14ac:dyDescent="0.2">
      <c r="A3" s="2" t="s">
        <v>14</v>
      </c>
    </row>
    <row r="4" spans="1:1" x14ac:dyDescent="0.2">
      <c r="A4" s="2" t="s">
        <v>15</v>
      </c>
    </row>
    <row r="5" spans="1:1" x14ac:dyDescent="0.2">
      <c r="A5" s="2" t="s">
        <v>16</v>
      </c>
    </row>
    <row r="6" spans="1:1" x14ac:dyDescent="0.2">
      <c r="A6" s="2" t="s">
        <v>10</v>
      </c>
    </row>
    <row r="7" spans="1:1" x14ac:dyDescent="0.2">
      <c r="A7" s="2" t="s">
        <v>9</v>
      </c>
    </row>
    <row r="8" spans="1:1" x14ac:dyDescent="0.2">
      <c r="A8" s="2" t="s">
        <v>19</v>
      </c>
    </row>
    <row r="9" spans="1:1" x14ac:dyDescent="0.2">
      <c r="A9" s="2" t="s">
        <v>20</v>
      </c>
    </row>
    <row r="10" spans="1:1" x14ac:dyDescent="0.2">
      <c r="A10" s="2" t="s">
        <v>22</v>
      </c>
    </row>
    <row r="11" spans="1:1" x14ac:dyDescent="0.2">
      <c r="A11" s="2" t="s">
        <v>23</v>
      </c>
    </row>
    <row r="12" spans="1:1" x14ac:dyDescent="0.2">
      <c r="A12" s="2" t="s">
        <v>25</v>
      </c>
    </row>
    <row r="13" spans="1:1" x14ac:dyDescent="0.2">
      <c r="A13" s="2" t="s">
        <v>26</v>
      </c>
    </row>
    <row r="14" spans="1:1" x14ac:dyDescent="0.2">
      <c r="A14" s="2" t="s">
        <v>27</v>
      </c>
    </row>
    <row r="16" spans="1:1" x14ac:dyDescent="0.2">
      <c r="A16" s="2" t="s">
        <v>30</v>
      </c>
    </row>
    <row r="17" spans="1:1" x14ac:dyDescent="0.2">
      <c r="A17" s="2" t="s">
        <v>31</v>
      </c>
    </row>
    <row r="18" spans="1:1" x14ac:dyDescent="0.2">
      <c r="A18" s="2" t="s">
        <v>32</v>
      </c>
    </row>
    <row r="20" spans="1:1" x14ac:dyDescent="0.2">
      <c r="A20" s="2" t="s">
        <v>40</v>
      </c>
    </row>
    <row r="21" spans="1:1" x14ac:dyDescent="0.2">
      <c r="A21" s="2"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chia</cp:lastModifiedBy>
  <cp:lastPrinted>2020-05-13T01:12:22Z</cp:lastPrinted>
  <dcterms:created xsi:type="dcterms:W3CDTF">2020-03-24T23:12:47Z</dcterms:created>
  <dcterms:modified xsi:type="dcterms:W3CDTF">2026-02-06T22:01:12Z</dcterms:modified>
</cp:coreProperties>
</file>