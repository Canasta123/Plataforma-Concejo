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gestión jurídica y Contractual\Riesgo Gestión Contractual\"/>
    </mc:Choice>
  </mc:AlternateContent>
  <xr:revisionPtr revIDLastSave="0" documentId="13_ncr:1_{4EF754FE-B078-4EC9-BB9C-1ACA87447370}" xr6:coauthVersionLast="36" xr6:coauthVersionMax="47" xr10:uidLastSave="{00000000-0000-0000-0000-000000000000}"/>
  <bookViews>
    <workbookView xWindow="0" yWindow="0" windowWidth="20490" windowHeight="6825" tabRatio="882" activeTab="1" xr2:uid="{00000000-000D-0000-FFFF-FFFF00000000}"/>
  </bookViews>
  <sheets>
    <sheet name="In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externalReferences>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T18" i="1" l="1"/>
  <c r="Q18" i="1"/>
  <c r="T17" i="1"/>
  <c r="Q17" i="1"/>
  <c r="X17" i="1" s="1"/>
  <c r="T16" i="1"/>
  <c r="Q16" i="1"/>
  <c r="T15" i="1"/>
  <c r="T14" i="1"/>
  <c r="T13" i="1"/>
  <c r="Q13" i="1"/>
  <c r="Y17" i="1" l="1"/>
  <c r="Z17" i="1"/>
  <c r="K18" i="1" l="1"/>
  <c r="L18" i="1" s="1"/>
  <c r="H18" i="1"/>
  <c r="I18" i="1" s="1"/>
  <c r="X18" i="1" s="1"/>
  <c r="K17" i="1"/>
  <c r="K16" i="1"/>
  <c r="L16" i="1" s="1"/>
  <c r="M16" i="1" s="1"/>
  <c r="AB16" i="1" s="1"/>
  <c r="AA16" i="1" s="1"/>
  <c r="H16" i="1"/>
  <c r="K15" i="1"/>
  <c r="K14" i="1"/>
  <c r="K13" i="1"/>
  <c r="L13" i="1" s="1"/>
  <c r="M13" i="1" s="1"/>
  <c r="AB13" i="1" s="1"/>
  <c r="H13" i="1"/>
  <c r="Z18" i="1" l="1"/>
  <c r="Y18" i="1"/>
  <c r="AA13" i="1"/>
  <c r="AB17" i="1"/>
  <c r="AA17" i="1" s="1"/>
  <c r="AC17" i="1" s="1"/>
  <c r="AB14" i="1"/>
  <c r="AB15" i="1" s="1"/>
  <c r="AA15" i="1" s="1"/>
  <c r="N13" i="1"/>
  <c r="N16" i="1"/>
  <c r="N18" i="1"/>
  <c r="M18" i="1"/>
  <c r="AB18" i="1" s="1"/>
  <c r="AA18" i="1" s="1"/>
  <c r="I13" i="1"/>
  <c r="X13" i="1" s="1"/>
  <c r="I16" i="1"/>
  <c r="X16" i="1" s="1"/>
  <c r="F221" i="13"/>
  <c r="F211" i="13"/>
  <c r="F212" i="13"/>
  <c r="F213" i="13"/>
  <c r="F214" i="13"/>
  <c r="F215" i="13"/>
  <c r="F216" i="13"/>
  <c r="F217" i="13"/>
  <c r="F218" i="13"/>
  <c r="F219" i="13"/>
  <c r="F220" i="13"/>
  <c r="F210" i="13"/>
  <c r="B221" i="13" a="1"/>
  <c r="Z16" i="1" l="1"/>
  <c r="Y16" i="1"/>
  <c r="AC16" i="1" s="1"/>
  <c r="AC18" i="1"/>
  <c r="Y13" i="1"/>
  <c r="AC13" i="1" s="1"/>
  <c r="Z13" i="1"/>
  <c r="X14" i="1" s="1"/>
  <c r="B221" i="13"/>
  <c r="Z14" i="1" l="1"/>
  <c r="X15" i="1" s="1"/>
  <c r="Y14" i="1"/>
  <c r="AL44" i="18"/>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Y15" i="1" l="1"/>
  <c r="AC15" i="1" s="1"/>
  <c r="Z15" i="1"/>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11" i="19" l="1"/>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K35" i="19" l="1"/>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L16" i="18" l="1"/>
  <c r="R24" i="18"/>
  <c r="AJ40" i="18"/>
  <c r="R32" i="18"/>
  <c r="AJ16" i="18"/>
  <c r="R8" i="18"/>
  <c r="AJ32" i="18"/>
  <c r="AD8" i="18"/>
  <c r="X40" i="18"/>
  <c r="L32" i="18"/>
  <c r="X8" i="18"/>
  <c r="R40" i="18"/>
  <c r="L40" i="18"/>
  <c r="X16" i="18"/>
  <c r="AD40" i="18"/>
  <c r="AD32" i="18"/>
  <c r="AD24" i="18"/>
  <c r="L24" i="18"/>
  <c r="X24" i="18"/>
  <c r="R16" i="18"/>
  <c r="AJ8" i="18"/>
  <c r="AJ24" i="18"/>
  <c r="AD16" i="18"/>
  <c r="X32" i="18"/>
  <c r="J40" i="18"/>
  <c r="AB40" i="18"/>
  <c r="AH32" i="18"/>
  <c r="AB24" i="18"/>
  <c r="J16" i="18"/>
  <c r="P32" i="18"/>
  <c r="V24" i="18"/>
  <c r="P24" i="18"/>
  <c r="P8" i="18"/>
  <c r="P16" i="18"/>
  <c r="P40" i="18"/>
  <c r="V32" i="18"/>
  <c r="J24" i="18"/>
  <c r="V8" i="18"/>
  <c r="AH24" i="18"/>
  <c r="AH8" i="18"/>
  <c r="AB32" i="18"/>
  <c r="AB8" i="18"/>
  <c r="AH16" i="18"/>
  <c r="V16" i="18"/>
  <c r="AB16" i="18"/>
  <c r="V40" i="18"/>
  <c r="AH40" i="18"/>
  <c r="J32" i="18"/>
  <c r="J40" i="19" l="1"/>
  <c r="J50" i="19"/>
  <c r="J10" i="19"/>
  <c r="V40" i="19"/>
  <c r="V20" i="19"/>
  <c r="AH10" i="19"/>
  <c r="P10" i="19"/>
  <c r="V30" i="19"/>
  <c r="AB40" i="19"/>
  <c r="AB20" i="19"/>
  <c r="AB30" i="19"/>
  <c r="V50" i="19"/>
  <c r="AB10" i="19"/>
  <c r="AH30" i="19"/>
  <c r="AB50" i="19"/>
  <c r="AH40" i="19"/>
  <c r="P40" i="19"/>
  <c r="AH20" i="19"/>
  <c r="P30" i="19"/>
  <c r="AH50" i="19"/>
  <c r="J30" i="19"/>
  <c r="P50" i="19"/>
  <c r="V10" i="19"/>
  <c r="P20" i="19"/>
  <c r="J20" i="19"/>
  <c r="AB9" i="19"/>
  <c r="AB49" i="19"/>
  <c r="AH19" i="19"/>
  <c r="V39" i="19"/>
  <c r="AB29" i="19"/>
  <c r="AH29" i="19"/>
  <c r="V9" i="19"/>
  <c r="P49" i="19"/>
  <c r="AB19" i="19"/>
  <c r="J39" i="19"/>
  <c r="AH9" i="19"/>
  <c r="J49" i="19"/>
  <c r="J9" i="19"/>
  <c r="AB39" i="19"/>
  <c r="J29" i="19"/>
  <c r="P19" i="19"/>
  <c r="AH49" i="19"/>
  <c r="J19" i="19"/>
  <c r="V49" i="19"/>
  <c r="P39" i="19"/>
  <c r="V29" i="19"/>
  <c r="AH39" i="19"/>
  <c r="P9" i="19"/>
  <c r="P29" i="19"/>
  <c r="V19" i="19"/>
  <c r="W16" i="19" l="1"/>
  <c r="K36" i="19"/>
  <c r="Q26" i="19"/>
  <c r="AI46" i="19"/>
  <c r="Q6" i="19"/>
  <c r="K6" i="19"/>
  <c r="Q16" i="19"/>
  <c r="K16" i="19"/>
  <c r="AC46" i="19"/>
  <c r="Q46" i="19"/>
  <c r="AI6" i="19"/>
  <c r="AI16" i="19"/>
  <c r="Q36" i="19"/>
  <c r="W6" i="19"/>
  <c r="W36" i="19"/>
  <c r="AC26" i="19"/>
  <c r="W26" i="19"/>
  <c r="K26" i="19"/>
  <c r="W46" i="19"/>
  <c r="AC36" i="19"/>
  <c r="AC16" i="19"/>
  <c r="AI36" i="19"/>
  <c r="AI26" i="19"/>
  <c r="AC6" i="19"/>
  <c r="K46" i="19"/>
  <c r="V22" i="18" l="1"/>
  <c r="AH38" i="18"/>
  <c r="AB14" i="18"/>
  <c r="P6" i="18"/>
  <c r="P30" i="18"/>
  <c r="V38" i="18"/>
  <c r="V14" i="18"/>
  <c r="J14" i="18"/>
  <c r="J30" i="18"/>
  <c r="J38" i="18"/>
  <c r="AB38" i="18"/>
  <c r="J6" i="18"/>
  <c r="AH22" i="18"/>
  <c r="AB22" i="18"/>
  <c r="P38" i="18"/>
  <c r="AH6" i="18"/>
  <c r="P22" i="18"/>
  <c r="AH30" i="18"/>
  <c r="P14" i="18"/>
  <c r="AH14" i="18"/>
  <c r="V30" i="18"/>
  <c r="AB6" i="18"/>
  <c r="V6" i="18"/>
  <c r="AB30" i="18"/>
  <c r="J22" i="18"/>
  <c r="AJ18" i="18"/>
  <c r="R18" i="18"/>
  <c r="AJ34" i="18"/>
  <c r="X26" i="18"/>
  <c r="R10" i="18"/>
  <c r="X10" i="18"/>
  <c r="X42" i="18"/>
  <c r="L42" i="18"/>
  <c r="AJ10" i="18"/>
  <c r="R26" i="18"/>
  <c r="R34" i="18"/>
  <c r="AJ26" i="18"/>
  <c r="AD18" i="18"/>
  <c r="AD34" i="18"/>
  <c r="L26" i="18"/>
  <c r="AD42" i="18"/>
  <c r="L34" i="18"/>
  <c r="X34" i="18"/>
  <c r="L10" i="18"/>
  <c r="AD10" i="18"/>
  <c r="X18" i="18"/>
  <c r="R42" i="18"/>
  <c r="L18" i="18"/>
  <c r="AJ42" i="18"/>
  <c r="AD26" i="18"/>
  <c r="Z42" i="18"/>
  <c r="N42" i="18"/>
  <c r="T26" i="18"/>
  <c r="AF18" i="18"/>
  <c r="N34" i="18"/>
  <c r="T34" i="18"/>
  <c r="T18" i="18"/>
  <c r="Z18" i="18"/>
  <c r="AF26" i="18"/>
  <c r="N26" i="18"/>
  <c r="Z26" i="18"/>
  <c r="T42" i="18"/>
  <c r="AF34" i="18"/>
  <c r="AL10" i="18"/>
  <c r="Z10" i="18"/>
  <c r="AL18" i="18"/>
  <c r="AL34" i="18"/>
  <c r="AF10" i="18"/>
  <c r="Z34" i="18"/>
  <c r="AF42" i="18"/>
  <c r="AL26" i="18"/>
  <c r="N18" i="18"/>
  <c r="N10" i="18"/>
  <c r="T10" i="18"/>
  <c r="AL42" i="18"/>
  <c r="T14" i="18"/>
  <c r="T38" i="18"/>
  <c r="AF22" i="18"/>
  <c r="N38" i="18"/>
  <c r="AL6" i="18"/>
  <c r="Z38" i="18"/>
  <c r="AL38" i="18"/>
  <c r="T22" i="18"/>
  <c r="N6" i="18"/>
  <c r="AL30" i="18"/>
  <c r="AF30" i="18"/>
  <c r="Z6" i="18"/>
  <c r="Z30" i="18"/>
  <c r="N14" i="18"/>
  <c r="AL14" i="18"/>
  <c r="AF6" i="18"/>
  <c r="AL22" i="18"/>
  <c r="Z22" i="18"/>
  <c r="N30" i="18"/>
  <c r="Z14" i="18"/>
  <c r="N22" i="18"/>
  <c r="AF38" i="18"/>
  <c r="T6" i="18"/>
  <c r="T30" i="18"/>
  <c r="AF14" i="18"/>
  <c r="P34" i="18"/>
  <c r="P10" i="18"/>
  <c r="AH42" i="18"/>
  <c r="J26" i="18"/>
  <c r="AB10" i="18"/>
  <c r="AB34" i="18"/>
  <c r="V10" i="18"/>
  <c r="AB18" i="18"/>
  <c r="V34" i="18"/>
  <c r="AB26" i="18"/>
  <c r="AH18" i="18"/>
  <c r="J18" i="18"/>
  <c r="AB42" i="18"/>
  <c r="AH10" i="18"/>
  <c r="P42" i="18"/>
  <c r="AH26" i="18"/>
  <c r="J34" i="18"/>
  <c r="V42" i="18"/>
  <c r="J42" i="18"/>
  <c r="AH34" i="18"/>
  <c r="P18" i="18"/>
  <c r="V26" i="18"/>
  <c r="J10" i="18"/>
  <c r="V18" i="18"/>
  <c r="P26" i="18"/>
  <c r="J20" i="18"/>
  <c r="AB12" i="18"/>
  <c r="V44" i="18"/>
  <c r="AH44" i="18"/>
  <c r="P20" i="18"/>
  <c r="J36" i="18"/>
  <c r="J44" i="18"/>
  <c r="P12" i="18"/>
  <c r="V36" i="18"/>
  <c r="AH28" i="18"/>
  <c r="AB36" i="18"/>
  <c r="V20" i="18"/>
  <c r="AB28" i="18"/>
  <c r="AH20" i="18"/>
  <c r="P36" i="18"/>
  <c r="V12" i="18"/>
  <c r="AB20" i="18"/>
  <c r="J12" i="18"/>
  <c r="AH12" i="18"/>
  <c r="P28" i="18"/>
  <c r="P44" i="18"/>
  <c r="AB44" i="18"/>
  <c r="V28" i="18"/>
  <c r="J28" i="18"/>
  <c r="AH36" i="18"/>
  <c r="X6" i="18"/>
  <c r="L6" i="18"/>
  <c r="R38" i="18"/>
  <c r="AD30" i="18"/>
  <c r="L14" i="18"/>
  <c r="R6" i="18"/>
  <c r="AJ30" i="18"/>
  <c r="R30" i="18"/>
  <c r="AD22" i="18"/>
  <c r="AJ14" i="18"/>
  <c r="AJ38" i="18"/>
  <c r="AD6" i="18"/>
  <c r="X14" i="18"/>
  <c r="R22" i="18"/>
  <c r="X22" i="18"/>
  <c r="R14" i="18"/>
  <c r="AJ22" i="18"/>
  <c r="X38" i="18"/>
  <c r="AD14" i="18"/>
  <c r="AJ6" i="18"/>
  <c r="AD38" i="18"/>
  <c r="L30" i="18"/>
  <c r="L38" i="18"/>
  <c r="X30" i="18"/>
  <c r="L22" i="18"/>
  <c r="AF32" i="18"/>
  <c r="AL32" i="18"/>
  <c r="Z16" i="18"/>
  <c r="N16" i="18"/>
  <c r="T16" i="18"/>
  <c r="T8" i="18"/>
  <c r="T40" i="18"/>
  <c r="Z40" i="18"/>
  <c r="T24" i="18"/>
  <c r="AL16" i="18"/>
  <c r="AF40" i="18"/>
  <c r="AF16" i="18"/>
  <c r="Z24" i="18"/>
  <c r="AL24" i="18"/>
  <c r="AL8" i="18"/>
  <c r="Z32" i="18"/>
  <c r="N24" i="18"/>
  <c r="N40" i="18"/>
  <c r="N8" i="18"/>
  <c r="AF24" i="18"/>
  <c r="Z8" i="18"/>
  <c r="AF8" i="18"/>
  <c r="N32" i="18"/>
  <c r="T32" i="18"/>
  <c r="AL40" i="18"/>
  <c r="AH17" i="19" l="1"/>
  <c r="J47" i="19"/>
  <c r="P47" i="19"/>
  <c r="AB47" i="19"/>
  <c r="P37" i="19"/>
  <c r="J17" i="19"/>
  <c r="J37" i="19"/>
  <c r="V27" i="19"/>
  <c r="V7" i="19"/>
  <c r="AB27" i="19"/>
  <c r="P27" i="19"/>
  <c r="V47" i="19"/>
  <c r="P17" i="19"/>
  <c r="V17" i="19"/>
  <c r="AB37" i="19"/>
  <c r="AH7" i="19"/>
  <c r="AH37" i="19"/>
  <c r="V37" i="19"/>
  <c r="AB7" i="19"/>
  <c r="P7" i="19"/>
  <c r="AH27" i="19"/>
  <c r="AH47" i="19"/>
  <c r="J27" i="19"/>
  <c r="J7" i="19"/>
  <c r="AB17" i="19"/>
  <c r="J15" i="19"/>
  <c r="AB15" i="19"/>
  <c r="V15" i="19"/>
  <c r="AB35" i="19"/>
  <c r="J55" i="19"/>
  <c r="P35" i="19"/>
  <c r="AB45" i="19"/>
  <c r="P15" i="19"/>
  <c r="J35" i="19"/>
  <c r="AB55" i="19"/>
  <c r="AH35" i="19"/>
  <c r="V25" i="19"/>
  <c r="AH25" i="19"/>
  <c r="AB25" i="19"/>
  <c r="AH45" i="19"/>
  <c r="AH15" i="19"/>
  <c r="J45" i="19"/>
  <c r="V55" i="19"/>
  <c r="V45" i="19"/>
  <c r="AH55" i="19"/>
  <c r="P45" i="19"/>
  <c r="J25" i="19"/>
  <c r="V35" i="19"/>
  <c r="P25" i="19"/>
  <c r="P55" i="19"/>
  <c r="J28" i="19"/>
  <c r="AB38" i="19"/>
  <c r="AH38" i="19"/>
  <c r="V8" i="19"/>
  <c r="J48" i="19"/>
  <c r="P48" i="19"/>
  <c r="AH48" i="19"/>
  <c r="V28" i="19"/>
  <c r="P8" i="19"/>
  <c r="AB18" i="19"/>
  <c r="AH18" i="19"/>
  <c r="AB8" i="19"/>
  <c r="J8" i="19"/>
  <c r="V18" i="19"/>
  <c r="P28" i="19"/>
  <c r="AB28" i="19"/>
  <c r="J18" i="19"/>
  <c r="J38" i="19"/>
  <c r="AH28" i="19"/>
  <c r="V48" i="19"/>
  <c r="V38" i="19"/>
  <c r="AH8" i="19"/>
  <c r="P18" i="19"/>
  <c r="P38" i="19"/>
  <c r="AB48" i="19"/>
  <c r="P16" i="19" l="1"/>
  <c r="AH46" i="19"/>
  <c r="P46" i="19"/>
  <c r="J16" i="19"/>
  <c r="P26" i="19"/>
  <c r="P36" i="19"/>
  <c r="V6" i="19"/>
  <c r="AH36" i="19"/>
  <c r="P6" i="19"/>
  <c r="AB46" i="19"/>
  <c r="AB26" i="19"/>
  <c r="V16" i="19"/>
  <c r="J36" i="19"/>
  <c r="J46" i="19"/>
  <c r="AB6" i="19"/>
  <c r="AH6" i="19"/>
  <c r="V36" i="19"/>
  <c r="AB16" i="19"/>
  <c r="V26" i="19"/>
  <c r="AB36" i="19"/>
  <c r="AH16" i="19"/>
  <c r="J6" i="19"/>
  <c r="J26" i="19"/>
  <c r="V46" i="19"/>
  <c r="AH26" i="19"/>
  <c r="W37" i="19"/>
  <c r="AI7" i="19"/>
  <c r="W17" i="19"/>
  <c r="AC47" i="19"/>
  <c r="AI27" i="19"/>
  <c r="AI17" i="19"/>
  <c r="K17" i="19"/>
  <c r="AI47" i="19"/>
  <c r="Q27" i="19"/>
  <c r="AC27" i="19"/>
  <c r="Q37" i="19"/>
  <c r="W7" i="19"/>
  <c r="K47" i="19"/>
  <c r="K37" i="19"/>
  <c r="AC7" i="19"/>
  <c r="W47" i="19"/>
  <c r="Q47" i="19"/>
  <c r="AI37" i="19"/>
  <c r="K27" i="19"/>
  <c r="K7" i="19"/>
  <c r="Q17" i="19"/>
  <c r="W27" i="19"/>
  <c r="AC37" i="19"/>
  <c r="Q7" i="19"/>
  <c r="AC17" i="19"/>
  <c r="B223" i="13"/>
  <c r="B222" i="1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<sst xmlns="http://schemas.openxmlformats.org/spreadsheetml/2006/main" count="394" uniqueCount="249">
  <si>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</si>
  <si>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</si>
  <si>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</si>
  <si>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</si>
  <si>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</si>
  <si>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</si>
  <si>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</si>
  <si>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</si>
  <si>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</si>
  <si>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</si>
  <si>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</si>
  <si>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</si>
  <si>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</si>
  <si>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</si>
  <si>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</si>
  <si>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</si>
  <si>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</si>
  <si>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</si>
  <si>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</si>
  <si>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</si>
  <si>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</si>
  <si>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</si>
  <si>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</si>
  <si>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</si>
  <si>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</si>
  <si>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</si>
  <si>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</si>
  <si>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</si>
  <si>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</si>
  <si>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</si>
  <si>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</si>
  <si>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</si>
  <si>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</si>
  <si>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</si>
  <si>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</si>
  <si>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</si>
  <si>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</si>
  <si>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</si>
  <si>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</si>
  <si>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</si>
  <si>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</si>
  <si>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</si>
  <si>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</si>
  <si>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</si>
  <si>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</si>
  <si>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</si>
  <si>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</si>
  <si>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</si>
  <si>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</si>
  <si>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</si>
  <si>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</si>
  <si>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</si>
  <si>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</si>
  <si>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</si>
  <si>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</si>
  <si>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</si>
  <si>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</si>
  <si>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</si>
  <si>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</si>
  <si>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</si>
  <si>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</si>
  <si>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</si>
  <si>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</si>
  <si>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</si>
  <si>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</si>
  <si>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</si>
  <si>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</si>
  <si>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</si>
  <si>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</si>
  <si>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</si>
  <si>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</si>
  <si>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</si>
  <si>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</si>
  <si>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</si>
  <si>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</si>
  <si>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</si>
  <si>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</si>
  <si>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</si>
  <si>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</si>
  <si>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</si>
  <si>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</si>
  <si>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</si>
  <si>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</si>
  <si>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</si>
  <si>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</si>
  <si>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</si>
  <si>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</si>
  <si>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</si>
  <si>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</si>
  <si>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</si>
  <si>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</si>
  <si>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</si>
  <si>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</si>
  <si>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</si>
  <si>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</si>
  <si>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</si>
  <si>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</si>
  <si>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</si>
  <si>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</si>
  <si>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</si>
  <si>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</si>
  <si>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</si>
  <si>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</si>
  <si>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</si>
  <si>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</si>
  <si>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</si>
  <si>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</si>
  <si>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</si>
  <si>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</si>
  <si>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</si>
  <si>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</si>
  <si>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</si>
  <si>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</si>
  <si>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</si>
  <si>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</si>
  <si>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</si>
  <si>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</si>
  <si>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</si>
  <si>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</si>
  <si>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</si>
  <si>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</si>
  <si>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</si>
  <si>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</si>
  <si>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</si>
  <si>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</si>
  <si>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</si>
  <si>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</si>
  <si>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</si>
  <si>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</si>
  <si>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</si>
  <si>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</si>
  <si>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</si>
  <si>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</si>
  <si>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</si>
  <si>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</si>
  <si>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</si>
  <si>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</si>
  <si>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</si>
  <si>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</si>
  <si>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</si>
  <si>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</si>
  <si>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</si>
  <si>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</si>
  <si>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</si>
  <si>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</si>
  <si>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</si>
  <si>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</si>
  <si>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</si>
  <si>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</si>
  <si>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</si>
  <si>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</si>
  <si>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</si>
  <si>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</si>
  <si>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</si>
  <si>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</si>
  <si>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</si>
  <si>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</si>
  <si>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</si>
  <si>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</si>
  <si>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</si>
  <si>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</si>
  <si>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</si>
  <si>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</si>
  <si>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</si>
  <si>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</si>
  <si>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</si>
  <si>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</si>
  <si>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</si>
  <si>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</si>
  <si>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</si>
  <si>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</si>
  <si>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</si>
  <si>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</si>
  <si>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</si>
  <si>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</si>
  <si>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</si>
  <si>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</si>
  <si>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</si>
  <si>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</si>
  <si>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</si>
  <si>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</si>
  <si>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</si>
  <si>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</si>
  <si>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</si>
  <si>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</si>
  <si>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</si>
  <si>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</si>
  <si>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</si>
  <si>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</si>
  <si>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</si>
  <si>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</si>
  <si>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</si>
  <si>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</si>
  <si>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</si>
  <si>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</si>
  <si>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</si>
  <si>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</si>
  <si>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</si>
  <si>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</si>
  <si>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</si>
  <si>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</si>
  <si>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</si>
  <si>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</si>
  <si>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</si>
  <si>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</si>
  <si>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</si>
  <si>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</si>
  <si>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</si>
  <si>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</si>
  <si>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</si>
  <si>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</si>
  <si>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</si>
  <si>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</si>
  <si>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</si>
  <si>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</si>
  <si>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Ejecutar las etapas pre-contractual, contractual, post-contractual para la adquisición de bienes y servicios requeridos por el Concejo Municipal de Chía dentro del marco legal establecido para cada modalidad de contratación.
Asistir, apoyar, y asesorar jurídicamente a la Corporación de manera oportuna y efectiva en los procesos judiciales, administrativos, consultas internas y externas con el fin de dar cumplimiento.</t>
  </si>
  <si>
    <t xml:space="preserve">
Inicia con la formulación del Plan de Acción del proceso, la recepción, priorización de las solicitudes realizadas que requieran un apoyo jurídico y la planificación de las actividades contractuales y finaliza con los seguimientos al cumplimiento de requisitos de los procesos contractuales y al cumplimiento oportuno de las solicitudes y requerimientos realizados al proceso jurídico. </t>
  </si>
  <si>
    <t>Fecha Seguimiento</t>
  </si>
  <si>
    <t>Seguimiento</t>
  </si>
  <si>
    <t>Estado del Plan de Acción</t>
  </si>
  <si>
    <t xml:space="preserve">Estado del Plan de Acción </t>
  </si>
  <si>
    <t xml:space="preserve">GESTION  CONTRACTUAL </t>
  </si>
  <si>
    <t>El supervisor de cada contrato debera realizar un seguimiento permamente  al desarrollo de la ejecuciòn del contrato. Siguiendo los lineamientos establecidos en el Manual de Contrataciòn, en caso de encontrar un incumplimiento debera manifestarlo al proveedor o contratista a traves de requerimiento y en caso de ser necesario se informa al ordenador del gasto.</t>
  </si>
  <si>
    <t>El Asesor Contractual verifica que cada vez que se vaya a realizar el pago, el Supervisor haya realizado el correspondiente informe de supervisión.</t>
  </si>
  <si>
    <r>
      <t xml:space="preserve">VERSIÓN: </t>
    </r>
    <r>
      <rPr>
        <sz val="11"/>
        <color rgb="FF000000"/>
        <rFont val="Arial"/>
        <family val="2"/>
      </rPr>
      <t>05</t>
    </r>
  </si>
  <si>
    <t xml:space="preserve">I SEGUIMIENTO 2025
Corte 30 de Abril </t>
  </si>
  <si>
    <t>II SEGUIMIENTO 2025
Corte 31 de Agosto</t>
  </si>
  <si>
    <t>III SEGUIMIENTO 2025
Corte 31 de Diciembre</t>
  </si>
  <si>
    <t xml:space="preserve">Pèrdida economica por demandas y reclamaciones </t>
  </si>
  <si>
    <t>Por controversias contractuales</t>
  </si>
  <si>
    <t>Posibilidad de pèrdida economica por demandas y reclamaciones debido a controversias contractuales</t>
  </si>
  <si>
    <t>Multa y sanciòn de ente regulador</t>
  </si>
  <si>
    <t>Adquisiciòn de bienes y servicios sin el cummplimiento de los requisitos normativos</t>
  </si>
  <si>
    <t>Posibilidad de afectaciòn economica por multa y sanciòn del ente regulador debido a la adquisiciòn de bienes y servicios sin el cumplimiento de los requisitos normativos</t>
  </si>
  <si>
    <t>Multa y sanciòn del ente regulador</t>
  </si>
  <si>
    <t>Liquidaciòn de contratos fuera de los tèrminos normativos</t>
  </si>
  <si>
    <t>Posibilidad de afectaciòn economica y reputacional por multa y sanciòn del ente regulador, debido a la liquidaciòn de contratos fuera de los tèrminos normativos</t>
  </si>
  <si>
    <t>El supervisor debera verificar que se entregue y se cargue el informe de actividades con soportes del contratista con todos sus soportes en la plataforma Secop II</t>
  </si>
  <si>
    <t>El Asesor de contrataciòn debera verificar previamente que la contrataciòn que este desarollando desde su etapa previa hasta la adjudicaciòn y posterior liquidaciòn del contrato, este ceñida bajo el marco nomativo, estatuto general de contrataciòn, el manual de contrataciòn de la Corporaciòn y a su vez incluyendo los conceptos emitidos por colombia compra eficiente y las sentencias de unificaciòn, de acuerdo a las listas de chequeo por cada modalidad de contratación</t>
  </si>
  <si>
    <t>El Asesor de Contratación verifca el cumpimiento de requisitos juridicos, tecnicos y economicos minimos exigidos de acuerdo a la modalidad de contratacon utilizada a traves de certificacion de cumplimiento de requisitos minimos legales o verificacion o evaluaciones a documentacion presentada.</t>
  </si>
  <si>
    <r>
      <t xml:space="preserve">FECHA:  </t>
    </r>
    <r>
      <rPr>
        <sz val="11"/>
        <color rgb="FF000000"/>
        <rFont val="Arial"/>
        <family val="2"/>
      </rPr>
      <t>07/05/2025</t>
    </r>
  </si>
  <si>
    <t>El Asesor de contrataciòn debera realizar segumiento permanente a los procesos que requieran liquidaciòn, con la finalidad de no superar el tèrmino previsto dentro de la Ley.</t>
  </si>
  <si>
    <t>Acompañamiento a los supervosres en la etapa de ejecucion contractual</t>
  </si>
  <si>
    <t>Asesor Contratación</t>
  </si>
  <si>
    <t>Seguimiento al cumplimiento por parte del supervisor en la generacion de informe de supervisión como requisito de pago</t>
  </si>
  <si>
    <t>Verificación en la plataforma Secop II el cargue de informe de actividades y supervisión</t>
  </si>
  <si>
    <t>Verificar cumpliiento de requisitos minimos legales para la modalidad de contratacon que corresponda</t>
  </si>
  <si>
    <t xml:space="preserve">Verificación, seguimiento y realizacón actas de liquidación de contratos </t>
  </si>
  <si>
    <t>Verificación de cumplimiento de  señalamientos establecidos en el Estatuto General de Contratacion Pública y demas concordantes para la adquisicion de bienes y/o servicios en la Corporación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</si>
</sst>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1"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1"/>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10"/>
      <color theme="1"/>
      <name val="Arial"/>
      <family val="2"/>
    </font>
    <font>
      <b/>
      <sz val="11"/>
      <name val="Arial"/>
      <family val="2"/>
    </font>
    <font>
      <b/>
      <sz val="11"/>
      <color theme="0"/>
      <name val="Arial"/>
      <family val="2"/>
    </font>
    <font>
      <sz val="11"/>
      <color theme="0"/>
      <name val="Arial"/>
      <family val="2"/>
    </font>
    <font>
      <b/>
      <sz val="11"/>
      <color rgb="FF000000"/>
      <name val="Arial"/>
      <family val="2"/>
    </font>
    <font>
      <sz val="11"/>
      <color rgb="FF000000"/>
      <name val="Arial"/>
      <family val="2"/>
    </font>
    <font>
      <sz val="8"/>
      <name val="Calibri"/>
      <family val="2"/>
      <scheme val="minor"/>
    </font>
  </fonts>
  <fills count="2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71">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407">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7" fillId="3" borderId="0" xfId="0" applyFont="1" applyFill="1" applyAlignment="1">
      <alignment horizontal="center" vertical="center"/>
    </xf>
    <xf numFmtId="0" fontId="57" fillId="2" borderId="0" xfId="0" applyFont="1" applyFill="1" applyAlignment="1">
      <alignment horizontal="center" vertical="center"/>
    </xf>
    <xf numFmtId="0" fontId="56" fillId="3" borderId="0" xfId="0" applyFont="1" applyFill="1" applyAlignment="1">
      <alignment vertical="center"/>
    </xf>
    <xf numFmtId="0" fontId="56" fillId="0" borderId="0" xfId="0" applyFont="1" applyAlignment="1">
      <alignment vertical="center"/>
    </xf>
    <xf numFmtId="0" fontId="57"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7" fillId="0" borderId="19" xfId="0" applyFont="1" applyBorder="1" applyAlignment="1" applyProtection="1">
      <alignment horizontal="center" vertical="center" textRotation="90" wrapText="1"/>
      <protection hidden="1"/>
    </xf>
    <xf numFmtId="0" fontId="57"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14" fontId="56" fillId="0" borderId="19" xfId="0" applyNumberFormat="1" applyFont="1" applyBorder="1" applyAlignment="1" applyProtection="1">
      <alignment horizontal="center" vertical="center"/>
      <protection locked="0"/>
    </xf>
    <xf numFmtId="0" fontId="57" fillId="17" borderId="19" xfId="0" applyFont="1" applyFill="1" applyBorder="1" applyAlignment="1">
      <alignment horizontal="center" vertical="center" textRotation="90"/>
    </xf>
    <xf numFmtId="0" fontId="62" fillId="0" borderId="55" xfId="0" applyFont="1" applyBorder="1" applyAlignment="1">
      <alignment horizontal="center" vertical="center" wrapText="1"/>
    </xf>
    <xf numFmtId="0" fontId="63" fillId="0" borderId="55" xfId="0" applyFont="1" applyBorder="1" applyAlignment="1">
      <alignment horizontal="center" vertical="center" wrapText="1"/>
    </xf>
    <xf numFmtId="0" fontId="59" fillId="3" borderId="0" xfId="0" applyFont="1" applyFill="1"/>
    <xf numFmtId="0" fontId="59" fillId="0" borderId="0" xfId="0" applyFont="1"/>
    <xf numFmtId="0" fontId="0" fillId="0" borderId="67" xfId="0" applyBorder="1" applyAlignment="1">
      <alignment horizontal="center" vertical="center" wrapText="1"/>
    </xf>
    <xf numFmtId="0" fontId="0" fillId="3" borderId="67" xfId="0" applyFill="1" applyBorder="1" applyAlignment="1">
      <alignment horizontal="center" vertical="center"/>
    </xf>
    <xf numFmtId="165" fontId="56" fillId="0" borderId="67" xfId="0" applyNumberFormat="1" applyFont="1" applyBorder="1" applyAlignment="1">
      <alignment horizontal="center" vertical="center" wrapText="1"/>
    </xf>
    <xf numFmtId="165" fontId="0" fillId="0" borderId="67" xfId="0" applyNumberFormat="1" applyBorder="1" applyAlignment="1">
      <alignment horizontal="center" vertical="center"/>
    </xf>
    <xf numFmtId="0" fontId="58" fillId="0" borderId="19" xfId="0" applyFont="1" applyBorder="1" applyAlignment="1" applyProtection="1">
      <alignment horizontal="center" vertical="center" wrapText="1"/>
      <protection locked="0"/>
    </xf>
    <xf numFmtId="14" fontId="56" fillId="3" borderId="67" xfId="0" applyNumberFormat="1" applyFont="1" applyFill="1" applyBorder="1" applyAlignment="1">
      <alignment horizontal="center" vertical="center" wrapText="1"/>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9" fontId="56" fillId="0" borderId="19" xfId="0" applyNumberFormat="1" applyFont="1" applyBorder="1" applyAlignment="1" applyProtection="1">
      <alignment horizontal="center" vertical="center" wrapText="1"/>
      <protection hidden="1"/>
    </xf>
    <xf numFmtId="9" fontId="56" fillId="0" borderId="19" xfId="0" applyNumberFormat="1" applyFont="1" applyBorder="1" applyAlignment="1" applyProtection="1">
      <alignment horizontal="center" vertical="center" wrapText="1"/>
      <protection locked="0"/>
    </xf>
    <xf numFmtId="0" fontId="55" fillId="3" borderId="0" xfId="0" applyFont="1" applyFill="1" applyAlignment="1">
      <alignment horizontal="center" vertical="center"/>
    </xf>
    <xf numFmtId="0" fontId="55" fillId="18" borderId="0" xfId="0" applyFont="1" applyFill="1" applyAlignment="1">
      <alignment horizontal="center" vertical="center"/>
    </xf>
    <xf numFmtId="0" fontId="56" fillId="3" borderId="0" xfId="0" applyFont="1" applyFill="1" applyAlignment="1">
      <alignment horizontal="center"/>
    </xf>
    <xf numFmtId="0" fontId="0" fillId="18" borderId="0" xfId="0" applyFill="1" applyAlignment="1">
      <alignment horizontal="center"/>
    </xf>
    <xf numFmtId="0" fontId="61" fillId="0" borderId="55" xfId="0" applyFont="1" applyBorder="1" applyAlignment="1">
      <alignment horizontal="center" vertical="center"/>
    </xf>
    <xf numFmtId="0" fontId="56" fillId="3" borderId="55" xfId="0" applyFont="1" applyFill="1" applyBorder="1" applyAlignment="1">
      <alignment horizontal="center"/>
    </xf>
    <xf numFmtId="0" fontId="59" fillId="3" borderId="0" xfId="0" applyFont="1" applyFill="1" applyAlignment="1">
      <alignment horizontal="center"/>
    </xf>
    <xf numFmtId="0" fontId="44" fillId="0" borderId="19" xfId="0" applyFont="1" applyBorder="1" applyAlignment="1" applyProtection="1">
      <alignment horizontal="justify" vertical="center" wrapText="1"/>
      <protection locked="0"/>
    </xf>
    <xf numFmtId="0" fontId="44" fillId="0" borderId="19" xfId="0" applyFont="1" applyBorder="1" applyAlignment="1" applyProtection="1">
      <alignment horizontal="justify" vertical="center"/>
      <protection locked="0"/>
    </xf>
    <xf numFmtId="0" fontId="56" fillId="0" borderId="67" xfId="0" applyFont="1" applyBorder="1" applyAlignment="1">
      <alignment horizontal="justify" vertical="center" wrapText="1"/>
    </xf>
    <xf numFmtId="0" fontId="56" fillId="0" borderId="64" xfId="0" applyFont="1" applyBorder="1" applyAlignment="1">
      <alignment horizontal="justify" vertical="center" wrapText="1"/>
    </xf>
    <xf numFmtId="0" fontId="56" fillId="0" borderId="19" xfId="0" applyFont="1" applyBorder="1" applyAlignment="1" applyProtection="1">
      <alignment horizontal="justify" vertical="center" wrapText="1"/>
      <protection locked="0"/>
    </xf>
    <xf numFmtId="0" fontId="58" fillId="0" borderId="19" xfId="0" applyFont="1" applyBorder="1" applyAlignment="1" applyProtection="1">
      <alignment horizontal="justify" vertical="center" wrapText="1"/>
      <protection locked="0"/>
    </xf>
    <xf numFmtId="0" fontId="0" fillId="0" borderId="0" xfId="0" applyAlignment="1">
      <alignment horizontal="center" vertical="center" wrapText="1"/>
    </xf>
    <xf numFmtId="0" fontId="0" fillId="0" borderId="0" xfId="0" applyAlignment="1">
      <alignment horizontal="center" vertical="center"/>
    </xf>
    <xf numFmtId="165" fontId="0" fillId="0" borderId="0" xfId="0" applyNumberFormat="1" applyAlignment="1">
      <alignment horizontal="center" vertical="center"/>
    </xf>
    <xf numFmtId="0" fontId="0" fillId="3" borderId="0" xfId="0" applyFill="1" applyAlignment="1">
      <alignment horizontal="center" vertical="center"/>
    </xf>
    <xf numFmtId="0" fontId="0" fillId="0" borderId="67" xfId="0" applyBorder="1" applyAlignment="1">
      <alignment horizontal="justify" vertical="center" wrapText="1"/>
    </xf>
    <xf numFmtId="0" fontId="0" fillId="0" borderId="64" xfId="0" applyBorder="1" applyAlignment="1">
      <alignment horizontal="justify" vertical="center" wrapText="1"/>
    </xf>
    <xf numFmtId="14" fontId="56" fillId="3" borderId="70" xfId="0" applyNumberFormat="1" applyFont="1" applyFill="1" applyBorder="1" applyAlignment="1">
      <alignment horizontal="center" vertical="center" wrapText="1"/>
    </xf>
    <xf numFmtId="0" fontId="0" fillId="3" borderId="63" xfId="0" applyFill="1" applyBorder="1" applyAlignment="1">
      <alignment horizontal="center" vertical="center"/>
    </xf>
    <xf numFmtId="0" fontId="56" fillId="0" borderId="19" xfId="0" applyFont="1" applyBorder="1" applyAlignment="1">
      <alignment horizontal="justify" vertical="center" wrapText="1"/>
    </xf>
    <xf numFmtId="0" fontId="0" fillId="0" borderId="19" xfId="0" applyBorder="1" applyAlignment="1">
      <alignment horizontal="justify"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9" fontId="56" fillId="0" borderId="19" xfId="0" applyNumberFormat="1" applyFont="1" applyBorder="1" applyAlignment="1" applyProtection="1">
      <alignment horizontal="center" vertical="center" wrapText="1"/>
      <protection hidden="1"/>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wrapText="1"/>
      <protection locked="0"/>
    </xf>
    <xf numFmtId="0" fontId="58"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9" fontId="56" fillId="0" borderId="19" xfId="0" applyNumberFormat="1" applyFont="1" applyBorder="1" applyAlignment="1" applyProtection="1">
      <alignment horizontal="center" vertical="center" wrapText="1"/>
      <protection locked="0"/>
    </xf>
    <xf numFmtId="0" fontId="65" fillId="19" borderId="62" xfId="4" applyFont="1" applyFill="1" applyBorder="1" applyAlignment="1">
      <alignment horizontal="center" wrapText="1"/>
    </xf>
    <xf numFmtId="0" fontId="65" fillId="19" borderId="62" xfId="4" applyFont="1" applyFill="1" applyBorder="1" applyAlignment="1">
      <alignment horizontal="center"/>
    </xf>
    <xf numFmtId="0" fontId="65" fillId="19" borderId="63" xfId="4" applyFont="1" applyFill="1" applyBorder="1" applyAlignment="1">
      <alignment horizontal="center"/>
    </xf>
    <xf numFmtId="0" fontId="66" fillId="21" borderId="64" xfId="4" applyFont="1" applyFill="1" applyBorder="1" applyAlignment="1">
      <alignment horizontal="center" vertical="center" wrapText="1"/>
    </xf>
    <xf numFmtId="0" fontId="67" fillId="19" borderId="65" xfId="4" applyFont="1" applyFill="1" applyBorder="1"/>
    <xf numFmtId="0" fontId="66" fillId="22" borderId="64" xfId="4" applyFont="1" applyFill="1" applyBorder="1" applyAlignment="1">
      <alignment horizontal="center" vertical="center" wrapText="1"/>
    </xf>
    <xf numFmtId="0" fontId="67" fillId="20" borderId="65" xfId="4" applyFont="1" applyFill="1" applyBorder="1"/>
    <xf numFmtId="0" fontId="57" fillId="21" borderId="64" xfId="4" applyFont="1" applyFill="1" applyBorder="1" applyAlignment="1">
      <alignment horizontal="center" vertical="center" wrapText="1"/>
    </xf>
    <xf numFmtId="0" fontId="58" fillId="19" borderId="66" xfId="4" applyFont="1" applyFill="1" applyBorder="1"/>
    <xf numFmtId="0" fontId="57" fillId="0" borderId="61" xfId="0" applyFont="1" applyBorder="1" applyAlignment="1" applyProtection="1">
      <alignment horizontal="center" vertical="center" textRotation="90" wrapText="1"/>
      <protection hidden="1"/>
    </xf>
    <xf numFmtId="0" fontId="57" fillId="0" borderId="20" xfId="0" applyFont="1" applyBorder="1" applyAlignment="1" applyProtection="1">
      <alignment horizontal="center" vertical="center" textRotation="90" wrapText="1"/>
      <protection hidden="1"/>
    </xf>
    <xf numFmtId="0" fontId="57" fillId="0" borderId="61" xfId="0" applyFont="1" applyBorder="1" applyAlignment="1" applyProtection="1">
      <alignment horizontal="center" vertical="center" textRotation="90"/>
      <protection hidden="1"/>
    </xf>
    <xf numFmtId="0" fontId="57" fillId="0" borderId="20" xfId="0" applyFont="1" applyBorder="1" applyAlignment="1" applyProtection="1">
      <alignment horizontal="center" vertical="center" textRotation="90"/>
      <protection hidden="1"/>
    </xf>
    <xf numFmtId="0" fontId="56" fillId="0" borderId="61" xfId="0" applyFont="1" applyBorder="1" applyAlignment="1" applyProtection="1">
      <alignment horizontal="center" vertical="center" textRotation="90"/>
      <protection locked="0"/>
    </xf>
    <xf numFmtId="0" fontId="56" fillId="0" borderId="20" xfId="0" applyFont="1" applyBorder="1" applyAlignment="1" applyProtection="1">
      <alignment horizontal="center" vertical="center" textRotation="90"/>
      <protection locked="0"/>
    </xf>
    <xf numFmtId="0" fontId="57" fillId="5" borderId="19" xfId="0" applyFont="1" applyFill="1" applyBorder="1" applyAlignment="1">
      <alignment horizontal="center" vertical="center" wrapText="1"/>
    </xf>
    <xf numFmtId="0" fontId="59" fillId="3" borderId="0" xfId="0" applyFont="1" applyFill="1" applyAlignment="1">
      <alignment horizontal="center" vertical="center"/>
    </xf>
    <xf numFmtId="0" fontId="57" fillId="17" borderId="19" xfId="0" applyFont="1" applyFill="1" applyBorder="1" applyAlignment="1">
      <alignment horizontal="center" vertical="center" wrapText="1"/>
    </xf>
    <xf numFmtId="0" fontId="66" fillId="19" borderId="62" xfId="4" applyFont="1" applyFill="1" applyBorder="1" applyAlignment="1">
      <alignment horizontal="center" wrapText="1"/>
    </xf>
    <xf numFmtId="0" fontId="66" fillId="19" borderId="62" xfId="4" applyFont="1" applyFill="1" applyBorder="1" applyAlignment="1">
      <alignment horizontal="center"/>
    </xf>
    <xf numFmtId="0" fontId="66" fillId="19" borderId="63" xfId="4" applyFont="1" applyFill="1" applyBorder="1" applyAlignment="1">
      <alignment horizontal="center"/>
    </xf>
    <xf numFmtId="0" fontId="66" fillId="20" borderId="62" xfId="4" applyFont="1" applyFill="1" applyBorder="1" applyAlignment="1">
      <alignment horizontal="center" wrapText="1"/>
    </xf>
    <xf numFmtId="0" fontId="66" fillId="20" borderId="62" xfId="4" applyFont="1" applyFill="1" applyBorder="1" applyAlignment="1">
      <alignment horizontal="center"/>
    </xf>
    <xf numFmtId="0" fontId="66" fillId="20" borderId="63" xfId="4" applyFont="1" applyFill="1" applyBorder="1" applyAlignment="1">
      <alignment horizontal="center"/>
    </xf>
    <xf numFmtId="0" fontId="57" fillId="5" borderId="19" xfId="0" applyFont="1" applyFill="1" applyBorder="1" applyAlignment="1">
      <alignment horizontal="center" vertical="center"/>
    </xf>
    <xf numFmtId="0" fontId="59" fillId="3" borderId="19" xfId="0" applyFont="1" applyFill="1" applyBorder="1" applyAlignment="1" applyProtection="1">
      <alignment horizontal="center" vertical="center"/>
      <protection locked="0"/>
    </xf>
    <xf numFmtId="0" fontId="57" fillId="0" borderId="19" xfId="0" applyFont="1" applyBorder="1" applyAlignment="1">
      <alignment horizontal="center" vertical="center" wrapText="1"/>
    </xf>
    <xf numFmtId="0" fontId="57" fillId="16" borderId="19" xfId="0" applyFont="1" applyFill="1" applyBorder="1" applyAlignment="1">
      <alignment horizontal="center" vertical="center" wrapText="1"/>
    </xf>
    <xf numFmtId="0" fontId="57" fillId="0" borderId="19" xfId="0" applyFont="1" applyBorder="1" applyAlignment="1">
      <alignment horizontal="center" vertical="center"/>
    </xf>
    <xf numFmtId="0" fontId="57" fillId="16" borderId="19" xfId="0" applyFont="1" applyFill="1" applyBorder="1" applyAlignment="1">
      <alignment horizontal="center" vertical="center" textRotation="90" wrapText="1"/>
    </xf>
    <xf numFmtId="0" fontId="61" fillId="0" borderId="19" xfId="0" applyFont="1" applyBorder="1" applyAlignment="1">
      <alignment horizontal="center" vertical="center"/>
    </xf>
    <xf numFmtId="0" fontId="68" fillId="0" borderId="19" xfId="0" applyFont="1" applyBorder="1" applyAlignment="1">
      <alignment horizontal="center" vertical="center" wrapText="1"/>
    </xf>
    <xf numFmtId="0" fontId="65" fillId="0" borderId="19" xfId="0" applyFont="1" applyBorder="1" applyAlignment="1">
      <alignment horizontal="center" vertical="center" wrapText="1"/>
    </xf>
    <xf numFmtId="0" fontId="64" fillId="0" borderId="19" xfId="0" applyFont="1" applyBorder="1" applyAlignment="1">
      <alignment horizontal="center" vertical="center"/>
    </xf>
    <xf numFmtId="0" fontId="64" fillId="0" borderId="61" xfId="0" applyFont="1" applyBorder="1" applyAlignment="1">
      <alignment horizontal="center" vertical="center"/>
    </xf>
    <xf numFmtId="0" fontId="64" fillId="0" borderId="19" xfId="0" applyFont="1" applyBorder="1" applyAlignment="1">
      <alignment horizontal="center" vertical="center" textRotation="90"/>
    </xf>
    <xf numFmtId="0" fontId="56" fillId="0" borderId="68" xfId="0" applyFont="1" applyBorder="1" applyAlignment="1">
      <alignment horizontal="left" vertical="center" wrapText="1"/>
    </xf>
    <xf numFmtId="0" fontId="56" fillId="0" borderId="0" xfId="0" applyFont="1" applyAlignment="1">
      <alignment horizontal="left" vertical="center" wrapText="1"/>
    </xf>
    <xf numFmtId="0" fontId="56" fillId="0" borderId="69" xfId="0" applyFont="1" applyBorder="1" applyAlignment="1">
      <alignment horizontal="left" vertical="center" wrapText="1"/>
    </xf>
    <xf numFmtId="0" fontId="59" fillId="3" borderId="19" xfId="0" applyFont="1" applyFill="1" applyBorder="1" applyAlignment="1" applyProtection="1">
      <alignment horizontal="center" vertical="top" wrapText="1"/>
      <protection locked="0"/>
    </xf>
    <xf numFmtId="0" fontId="59" fillId="3" borderId="19" xfId="0" applyFont="1" applyFill="1" applyBorder="1" applyAlignment="1" applyProtection="1">
      <alignment horizontal="center" vertical="top"/>
      <protection locked="0"/>
    </xf>
    <xf numFmtId="0" fontId="59" fillId="3" borderId="61" xfId="0" applyFont="1" applyFill="1" applyBorder="1" applyAlignment="1" applyProtection="1">
      <alignment horizontal="center" wrapText="1"/>
      <protection locked="0"/>
    </xf>
    <xf numFmtId="0" fontId="57" fillId="17" borderId="19" xfId="0" applyFont="1" applyFill="1" applyBorder="1" applyAlignment="1">
      <alignment horizontal="center" vertical="center" textRotation="90" wrapText="1"/>
    </xf>
    <xf numFmtId="0" fontId="57" fillId="16" borderId="19" xfId="0" applyFont="1" applyFill="1" applyBorder="1" applyAlignment="1">
      <alignment horizontal="center" vertical="center"/>
    </xf>
    <xf numFmtId="0" fontId="57" fillId="17" borderId="19" xfId="0" applyFont="1" applyFill="1" applyBorder="1" applyAlignment="1">
      <alignment horizontal="center" vertical="center"/>
    </xf>
    <xf numFmtId="0" fontId="23" fillId="0" borderId="0" xfId="0" applyFont="1" applyAlignment="1">
      <alignment horizontal="center" vertical="center" wrapText="1"/>
    </xf>
    <xf numFmtId="0" fontId="18" fillId="5" borderId="5"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wrapText="1"/>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6"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40" fillId="0" borderId="8" xfId="0" applyFont="1" applyBorder="1" applyAlignment="1">
      <alignment horizontal="center" vertical="center"/>
    </xf>
    <xf numFmtId="0" fontId="40" fillId="0" borderId="10" xfId="0" applyFont="1" applyBorder="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5" xfId="0" applyFont="1" applyBorder="1" applyAlignment="1">
      <alignment horizontal="center" vertical="center" wrapText="1"/>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55">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ont>
        <color auto="1"/>
      </font>
      <fill>
        <patternFill>
          <bgColor rgb="FF92D050"/>
        </patternFill>
      </fill>
    </dxf>
    <dxf>
      <fill>
        <patternFill>
          <bgColor rgb="FFFFC000"/>
        </patternFill>
      </fill>
    </dxf>
    <dxf>
      <fill>
        <patternFill>
          <bgColor rgb="FFFF0000"/>
        </patternFill>
      </fill>
    </dxf>
    <dxf>
      <fill>
        <patternFill>
          <bgColor rgb="FFFFFF66"/>
        </patternFill>
      </fill>
    </dxf>
    <dxf>
      <fill>
        <patternFill>
          <bgColor rgb="FF00B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ont>
        <color rgb="FF9C0006"/>
      </font>
      <fill>
        <patternFill>
          <bgColor rgb="FFFFC7CE"/>
        </patternFill>
      </fill>
    </dxf>
    <dxf>
      <fill>
        <patternFill>
          <bgColor rgb="FFFF0000"/>
        </patternFill>
      </fill>
    </dxf>
    <dxf>
      <fill>
        <patternFill>
          <bgColor rgb="FFFFC000"/>
        </patternFill>
      </fill>
    </dxf>
    <dxf>
      <fill>
        <patternFill>
          <bgColor rgb="FF00B050"/>
        </patternFill>
      </fill>
    </dxf>
    <dxf>
      <fill>
        <patternFill>
          <bgColor rgb="FFFFFF66"/>
        </patternFill>
      </fill>
    </dxf>
    <dxf>
      <font>
        <color auto="1"/>
      </font>
      <fill>
        <patternFill>
          <bgColor rgb="FF92D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34816</xdr:colOff>
      <xdr:row>0</xdr:row>
      <xdr:rowOff>133037</xdr:rowOff>
    </xdr:from>
    <xdr:to>
      <xdr:col>2</xdr:col>
      <xdr:colOff>938126</xdr:colOff>
      <xdr:row>3</xdr:row>
      <xdr:rowOff>167400</xdr:rowOff>
    </xdr:to>
    <xdr:pic>
      <xdr:nvPicPr>
        <xdr:cNvPr id="4" name="Imagen 3">
          <a:extLst>
            <a:ext uri="{FF2B5EF4-FFF2-40B4-BE49-F238E27FC236}">
              <a16:creationId xmlns:a16="http://schemas.microsoft.com/office/drawing/2014/main" id="{C3510D6C-DCD7-97C8-9100-57B049CE039B}"/>
            </a:ext>
          </a:extLst>
        </xdr:cNvPr>
        <xdr:cNvPicPr>
          <a:picLocks noChangeAspect="1"/>
        </xdr:cNvPicPr>
      </xdr:nvPicPr>
      <xdr:blipFill>
        <a:blip xmlns:r="http://schemas.openxmlformats.org/officeDocument/2006/relationships" r:embed="rId1"/>
        <a:stretch>
          <a:fillRect/>
        </a:stretch>
      </xdr:blipFill>
      <xdr:spPr>
        <a:xfrm>
          <a:off x="303126" y="133037"/>
          <a:ext cx="1842394" cy="678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gesti&#243;n%20jur&#237;dica%20y%20Contractual\Riesgo%20Gesti&#243;n%20Contractual\MATRIZ%20MAPA%20DE%20RIESGOS%20-%20GESTION%20CONTRACTU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1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topLeftCell="A20"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66" t="s">
        <v>162</v>
      </c>
      <c r="C2" s="167"/>
      <c r="D2" s="167"/>
      <c r="E2" s="167"/>
      <c r="F2" s="167"/>
      <c r="G2" s="167"/>
      <c r="H2" s="168"/>
    </row>
    <row r="3" spans="2:8" x14ac:dyDescent="0.25">
      <c r="B3" s="70"/>
      <c r="C3" s="71"/>
      <c r="D3" s="71"/>
      <c r="E3" s="71"/>
      <c r="F3" s="71"/>
      <c r="G3" s="71"/>
      <c r="H3" s="72"/>
    </row>
    <row r="4" spans="2:8" ht="63" customHeight="1" x14ac:dyDescent="0.25">
      <c r="B4" s="169" t="s">
        <v>205</v>
      </c>
      <c r="C4" s="170"/>
      <c r="D4" s="170"/>
      <c r="E4" s="170"/>
      <c r="F4" s="170"/>
      <c r="G4" s="170"/>
      <c r="H4" s="171"/>
    </row>
    <row r="5" spans="2:8" ht="63" customHeight="1" x14ac:dyDescent="0.25">
      <c r="B5" s="172"/>
      <c r="C5" s="173"/>
      <c r="D5" s="173"/>
      <c r="E5" s="173"/>
      <c r="F5" s="173"/>
      <c r="G5" s="173"/>
      <c r="H5" s="174"/>
    </row>
    <row r="6" spans="2:8" ht="16.5" x14ac:dyDescent="0.25">
      <c r="B6" s="175" t="s">
        <v>160</v>
      </c>
      <c r="C6" s="176"/>
      <c r="D6" s="176"/>
      <c r="E6" s="176"/>
      <c r="F6" s="176"/>
      <c r="G6" s="176"/>
      <c r="H6" s="177"/>
    </row>
    <row r="7" spans="2:8" ht="95.25" customHeight="1" x14ac:dyDescent="0.25">
      <c r="B7" s="185" t="s">
        <v>165</v>
      </c>
      <c r="C7" s="186"/>
      <c r="D7" s="186"/>
      <c r="E7" s="186"/>
      <c r="F7" s="186"/>
      <c r="G7" s="186"/>
      <c r="H7" s="187"/>
    </row>
    <row r="8" spans="2:8" ht="16.5" x14ac:dyDescent="0.25">
      <c r="B8" s="106"/>
      <c r="C8" s="107"/>
      <c r="D8" s="107"/>
      <c r="E8" s="107"/>
      <c r="F8" s="107"/>
      <c r="G8" s="107"/>
      <c r="H8" s="108"/>
    </row>
    <row r="9" spans="2:8" ht="16.5" customHeight="1" x14ac:dyDescent="0.25">
      <c r="B9" s="178" t="s">
        <v>198</v>
      </c>
      <c r="C9" s="179"/>
      <c r="D9" s="179"/>
      <c r="E9" s="179"/>
      <c r="F9" s="179"/>
      <c r="G9" s="179"/>
      <c r="H9" s="180"/>
    </row>
    <row r="10" spans="2:8" ht="44.25" customHeight="1" x14ac:dyDescent="0.25">
      <c r="B10" s="178"/>
      <c r="C10" s="179"/>
      <c r="D10" s="179"/>
      <c r="E10" s="179"/>
      <c r="F10" s="179"/>
      <c r="G10" s="179"/>
      <c r="H10" s="180"/>
    </row>
    <row r="11" spans="2:8" ht="15.75" thickBot="1" x14ac:dyDescent="0.3">
      <c r="B11" s="95"/>
      <c r="C11" s="98"/>
      <c r="D11" s="103"/>
      <c r="E11" s="104"/>
      <c r="F11" s="104"/>
      <c r="G11" s="105"/>
      <c r="H11" s="99"/>
    </row>
    <row r="12" spans="2:8" ht="15.75" thickTop="1" x14ac:dyDescent="0.25">
      <c r="B12" s="95"/>
      <c r="C12" s="181" t="s">
        <v>161</v>
      </c>
      <c r="D12" s="182"/>
      <c r="E12" s="183" t="s">
        <v>199</v>
      </c>
      <c r="F12" s="184"/>
      <c r="G12" s="98"/>
      <c r="H12" s="99"/>
    </row>
    <row r="13" spans="2:8" ht="35.25" customHeight="1" x14ac:dyDescent="0.25">
      <c r="B13" s="95"/>
      <c r="C13" s="188" t="s">
        <v>192</v>
      </c>
      <c r="D13" s="189"/>
      <c r="E13" s="190" t="s">
        <v>197</v>
      </c>
      <c r="F13" s="191"/>
      <c r="G13" s="98"/>
      <c r="H13" s="99"/>
    </row>
    <row r="14" spans="2:8" ht="17.25" customHeight="1" x14ac:dyDescent="0.25">
      <c r="B14" s="95"/>
      <c r="C14" s="188" t="s">
        <v>193</v>
      </c>
      <c r="D14" s="189"/>
      <c r="E14" s="190" t="s">
        <v>195</v>
      </c>
      <c r="F14" s="191"/>
      <c r="G14" s="98"/>
      <c r="H14" s="99"/>
    </row>
    <row r="15" spans="2:8" ht="19.5" customHeight="1" x14ac:dyDescent="0.25">
      <c r="B15" s="95"/>
      <c r="C15" s="188" t="s">
        <v>194</v>
      </c>
      <c r="D15" s="189"/>
      <c r="E15" s="190" t="s">
        <v>196</v>
      </c>
      <c r="F15" s="191"/>
      <c r="G15" s="98"/>
      <c r="H15" s="99"/>
    </row>
    <row r="16" spans="2:8" ht="69.75" customHeight="1" x14ac:dyDescent="0.25">
      <c r="B16" s="95"/>
      <c r="C16" s="188" t="s">
        <v>163</v>
      </c>
      <c r="D16" s="189"/>
      <c r="E16" s="190" t="s">
        <v>164</v>
      </c>
      <c r="F16" s="191"/>
      <c r="G16" s="98"/>
      <c r="H16" s="99"/>
    </row>
    <row r="17" spans="2:8" ht="34.5" customHeight="1" x14ac:dyDescent="0.25">
      <c r="B17" s="95"/>
      <c r="C17" s="192" t="s">
        <v>2</v>
      </c>
      <c r="D17" s="193"/>
      <c r="E17" s="194" t="s">
        <v>206</v>
      </c>
      <c r="F17" s="195"/>
      <c r="G17" s="98"/>
      <c r="H17" s="99"/>
    </row>
    <row r="18" spans="2:8" ht="27.75" customHeight="1" x14ac:dyDescent="0.25">
      <c r="B18" s="95"/>
      <c r="C18" s="192" t="s">
        <v>3</v>
      </c>
      <c r="D18" s="193"/>
      <c r="E18" s="194" t="s">
        <v>207</v>
      </c>
      <c r="F18" s="195"/>
      <c r="G18" s="98"/>
      <c r="H18" s="99"/>
    </row>
    <row r="19" spans="2:8" ht="28.5" customHeight="1" x14ac:dyDescent="0.25">
      <c r="B19" s="95"/>
      <c r="C19" s="192" t="s">
        <v>40</v>
      </c>
      <c r="D19" s="193"/>
      <c r="E19" s="194" t="s">
        <v>208</v>
      </c>
      <c r="F19" s="195"/>
      <c r="G19" s="98"/>
      <c r="H19" s="99"/>
    </row>
    <row r="20" spans="2:8" ht="72.75" customHeight="1" x14ac:dyDescent="0.25">
      <c r="B20" s="95"/>
      <c r="C20" s="192" t="s">
        <v>1</v>
      </c>
      <c r="D20" s="193"/>
      <c r="E20" s="194" t="s">
        <v>209</v>
      </c>
      <c r="F20" s="195"/>
      <c r="G20" s="98"/>
      <c r="H20" s="99"/>
    </row>
    <row r="21" spans="2:8" ht="64.5" customHeight="1" x14ac:dyDescent="0.25">
      <c r="B21" s="95"/>
      <c r="C21" s="192" t="s">
        <v>48</v>
      </c>
      <c r="D21" s="193"/>
      <c r="E21" s="194" t="s">
        <v>167</v>
      </c>
      <c r="F21" s="195"/>
      <c r="G21" s="98"/>
      <c r="H21" s="99"/>
    </row>
    <row r="22" spans="2:8" ht="71.25" customHeight="1" x14ac:dyDescent="0.25">
      <c r="B22" s="95"/>
      <c r="C22" s="192" t="s">
        <v>166</v>
      </c>
      <c r="D22" s="193"/>
      <c r="E22" s="194" t="s">
        <v>168</v>
      </c>
      <c r="F22" s="195"/>
      <c r="G22" s="98"/>
      <c r="H22" s="99"/>
    </row>
    <row r="23" spans="2:8" ht="55.5" customHeight="1" x14ac:dyDescent="0.25">
      <c r="B23" s="95"/>
      <c r="C23" s="199" t="s">
        <v>169</v>
      </c>
      <c r="D23" s="200"/>
      <c r="E23" s="194" t="s">
        <v>170</v>
      </c>
      <c r="F23" s="195"/>
      <c r="G23" s="98"/>
      <c r="H23" s="99"/>
    </row>
    <row r="24" spans="2:8" ht="42" customHeight="1" x14ac:dyDescent="0.25">
      <c r="B24" s="95"/>
      <c r="C24" s="199" t="s">
        <v>46</v>
      </c>
      <c r="D24" s="200"/>
      <c r="E24" s="194" t="s">
        <v>171</v>
      </c>
      <c r="F24" s="195"/>
      <c r="G24" s="98"/>
      <c r="H24" s="99"/>
    </row>
    <row r="25" spans="2:8" ht="59.25" customHeight="1" x14ac:dyDescent="0.25">
      <c r="B25" s="95"/>
      <c r="C25" s="199" t="s">
        <v>159</v>
      </c>
      <c r="D25" s="200"/>
      <c r="E25" s="194" t="s">
        <v>172</v>
      </c>
      <c r="F25" s="195"/>
      <c r="G25" s="98"/>
      <c r="H25" s="99"/>
    </row>
    <row r="26" spans="2:8" ht="23.25" customHeight="1" x14ac:dyDescent="0.25">
      <c r="B26" s="95"/>
      <c r="C26" s="199" t="s">
        <v>12</v>
      </c>
      <c r="D26" s="200"/>
      <c r="E26" s="194" t="s">
        <v>173</v>
      </c>
      <c r="F26" s="195"/>
      <c r="G26" s="98"/>
      <c r="H26" s="99"/>
    </row>
    <row r="27" spans="2:8" ht="30.75" customHeight="1" x14ac:dyDescent="0.25">
      <c r="B27" s="95"/>
      <c r="C27" s="199" t="s">
        <v>177</v>
      </c>
      <c r="D27" s="200"/>
      <c r="E27" s="194" t="s">
        <v>174</v>
      </c>
      <c r="F27" s="195"/>
      <c r="G27" s="98"/>
      <c r="H27" s="99"/>
    </row>
    <row r="28" spans="2:8" ht="35.25" customHeight="1" x14ac:dyDescent="0.25">
      <c r="B28" s="95"/>
      <c r="C28" s="199" t="s">
        <v>178</v>
      </c>
      <c r="D28" s="200"/>
      <c r="E28" s="194" t="s">
        <v>175</v>
      </c>
      <c r="F28" s="195"/>
      <c r="G28" s="98"/>
      <c r="H28" s="99"/>
    </row>
    <row r="29" spans="2:8" ht="33" customHeight="1" x14ac:dyDescent="0.25">
      <c r="B29" s="95"/>
      <c r="C29" s="199" t="s">
        <v>178</v>
      </c>
      <c r="D29" s="200"/>
      <c r="E29" s="194" t="s">
        <v>175</v>
      </c>
      <c r="F29" s="195"/>
      <c r="G29" s="98"/>
      <c r="H29" s="99"/>
    </row>
    <row r="30" spans="2:8" ht="30" customHeight="1" x14ac:dyDescent="0.25">
      <c r="B30" s="95"/>
      <c r="C30" s="199" t="s">
        <v>179</v>
      </c>
      <c r="D30" s="200"/>
      <c r="E30" s="194" t="s">
        <v>176</v>
      </c>
      <c r="F30" s="195"/>
      <c r="G30" s="98"/>
      <c r="H30" s="99"/>
    </row>
    <row r="31" spans="2:8" ht="35.25" customHeight="1" x14ac:dyDescent="0.25">
      <c r="B31" s="95"/>
      <c r="C31" s="199" t="s">
        <v>180</v>
      </c>
      <c r="D31" s="200"/>
      <c r="E31" s="194" t="s">
        <v>181</v>
      </c>
      <c r="F31" s="195"/>
      <c r="G31" s="98"/>
      <c r="H31" s="99"/>
    </row>
    <row r="32" spans="2:8" ht="31.5" customHeight="1" x14ac:dyDescent="0.25">
      <c r="B32" s="95"/>
      <c r="C32" s="199" t="s">
        <v>182</v>
      </c>
      <c r="D32" s="200"/>
      <c r="E32" s="194" t="s">
        <v>183</v>
      </c>
      <c r="F32" s="195"/>
      <c r="G32" s="98"/>
      <c r="H32" s="99"/>
    </row>
    <row r="33" spans="2:8" ht="35.25" customHeight="1" x14ac:dyDescent="0.25">
      <c r="B33" s="95"/>
      <c r="C33" s="199" t="s">
        <v>184</v>
      </c>
      <c r="D33" s="200"/>
      <c r="E33" s="194" t="s">
        <v>185</v>
      </c>
      <c r="F33" s="195"/>
      <c r="G33" s="98"/>
      <c r="H33" s="99"/>
    </row>
    <row r="34" spans="2:8" ht="59.25" customHeight="1" x14ac:dyDescent="0.25">
      <c r="B34" s="95"/>
      <c r="C34" s="199" t="s">
        <v>186</v>
      </c>
      <c r="D34" s="200"/>
      <c r="E34" s="194" t="s">
        <v>187</v>
      </c>
      <c r="F34" s="195"/>
      <c r="G34" s="98"/>
      <c r="H34" s="99"/>
    </row>
    <row r="35" spans="2:8" ht="29.25" customHeight="1" x14ac:dyDescent="0.25">
      <c r="B35" s="95"/>
      <c r="C35" s="199" t="s">
        <v>29</v>
      </c>
      <c r="D35" s="200"/>
      <c r="E35" s="194" t="s">
        <v>188</v>
      </c>
      <c r="F35" s="195"/>
      <c r="G35" s="98"/>
      <c r="H35" s="99"/>
    </row>
    <row r="36" spans="2:8" ht="82.5" customHeight="1" x14ac:dyDescent="0.25">
      <c r="B36" s="95"/>
      <c r="C36" s="199" t="s">
        <v>190</v>
      </c>
      <c r="D36" s="200"/>
      <c r="E36" s="194" t="s">
        <v>189</v>
      </c>
      <c r="F36" s="195"/>
      <c r="G36" s="98"/>
      <c r="H36" s="99"/>
    </row>
    <row r="37" spans="2:8" ht="46.5" customHeight="1" x14ac:dyDescent="0.25">
      <c r="B37" s="95"/>
      <c r="C37" s="199" t="s">
        <v>37</v>
      </c>
      <c r="D37" s="200"/>
      <c r="E37" s="194" t="s">
        <v>191</v>
      </c>
      <c r="F37" s="195"/>
      <c r="G37" s="98"/>
      <c r="H37" s="99"/>
    </row>
    <row r="38" spans="2:8" ht="6.75" customHeight="1" thickBot="1" x14ac:dyDescent="0.3">
      <c r="B38" s="95"/>
      <c r="C38" s="201"/>
      <c r="D38" s="202"/>
      <c r="E38" s="203"/>
      <c r="F38" s="204"/>
      <c r="G38" s="98"/>
      <c r="H38" s="99"/>
    </row>
    <row r="39" spans="2:8" ht="15.75" thickTop="1" x14ac:dyDescent="0.25">
      <c r="B39" s="95"/>
      <c r="C39" s="96"/>
      <c r="D39" s="96"/>
      <c r="E39" s="97"/>
      <c r="F39" s="97"/>
      <c r="G39" s="98"/>
      <c r="H39" s="99"/>
    </row>
    <row r="40" spans="2:8" ht="21" customHeight="1" x14ac:dyDescent="0.25">
      <c r="B40" s="196" t="s">
        <v>200</v>
      </c>
      <c r="C40" s="197"/>
      <c r="D40" s="197"/>
      <c r="E40" s="197"/>
      <c r="F40" s="197"/>
      <c r="G40" s="197"/>
      <c r="H40" s="198"/>
    </row>
    <row r="41" spans="2:8" ht="20.25" customHeight="1" x14ac:dyDescent="0.25">
      <c r="B41" s="196" t="s">
        <v>201</v>
      </c>
      <c r="C41" s="197"/>
      <c r="D41" s="197"/>
      <c r="E41" s="197"/>
      <c r="F41" s="197"/>
      <c r="G41" s="197"/>
      <c r="H41" s="198"/>
    </row>
    <row r="42" spans="2:8" ht="20.25" customHeight="1" x14ac:dyDescent="0.25">
      <c r="B42" s="196" t="s">
        <v>202</v>
      </c>
      <c r="C42" s="197"/>
      <c r="D42" s="197"/>
      <c r="E42" s="197"/>
      <c r="F42" s="197"/>
      <c r="G42" s="197"/>
      <c r="H42" s="198"/>
    </row>
    <row r="43" spans="2:8" ht="20.25" customHeight="1" x14ac:dyDescent="0.25">
      <c r="B43" s="196" t="s">
        <v>203</v>
      </c>
      <c r="C43" s="197"/>
      <c r="D43" s="197"/>
      <c r="E43" s="197"/>
      <c r="F43" s="197"/>
      <c r="G43" s="197"/>
      <c r="H43" s="198"/>
    </row>
    <row r="44" spans="2:8" x14ac:dyDescent="0.25">
      <c r="B44" s="196" t="s">
        <v>204</v>
      </c>
      <c r="C44" s="197"/>
      <c r="D44" s="197"/>
      <c r="E44" s="197"/>
      <c r="F44" s="197"/>
      <c r="G44" s="197"/>
      <c r="H44" s="198"/>
    </row>
    <row r="45" spans="2:8" ht="15.75" thickBot="1" x14ac:dyDescent="0.3">
      <c r="B45" s="100"/>
      <c r="C45" s="101"/>
      <c r="D45" s="101"/>
      <c r="E45" s="101"/>
      <c r="F45" s="101"/>
      <c r="G45" s="101"/>
      <c r="H45" s="102"/>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25"/>
  <sheetViews>
    <sheetView showGridLines="0" tabSelected="1" zoomScale="70" zoomScaleNormal="70" workbookViewId="0">
      <selection activeCell="AM13" sqref="AM13"/>
    </sheetView>
  </sheetViews>
  <sheetFormatPr baseColWidth="10" defaultColWidth="11.42578125" defaultRowHeight="15" x14ac:dyDescent="0.25"/>
  <cols>
    <col min="1" max="1" width="4" style="116" bestFit="1" customWidth="1" collapsed="1"/>
    <col min="2" max="2" width="14.140625" style="116" customWidth="1" collapsed="1"/>
    <col min="3" max="3" width="17.28515625" style="116" customWidth="1" collapsed="1"/>
    <col min="4" max="4" width="23.140625" style="116" customWidth="1" collapsed="1"/>
    <col min="5" max="5" width="32.42578125" style="110" customWidth="1" collapsed="1"/>
    <col min="6" max="6" width="19" style="117" customWidth="1" collapsed="1"/>
    <col min="7" max="7" width="17.85546875" style="110" customWidth="1" collapsed="1"/>
    <col min="8" max="8" width="22.28515625" style="110" customWidth="1" collapsed="1"/>
    <col min="9" max="9" width="10.140625" style="110" customWidth="1" collapsed="1"/>
    <col min="10" max="10" width="27.28515625" style="110" customWidth="1" collapsed="1"/>
    <col min="11" max="11" width="30.5703125" style="110" customWidth="1" collapsed="1"/>
    <col min="12" max="12" width="17.5703125" style="110" customWidth="1" collapsed="1"/>
    <col min="13" max="13" width="6.28515625" style="110" customWidth="1" collapsed="1"/>
    <col min="14" max="14" width="33" style="110" customWidth="1" collapsed="1"/>
    <col min="15" max="15" width="5.85546875" style="110" customWidth="1" collapsed="1"/>
    <col min="16" max="16" width="31" style="110" customWidth="1" collapsed="1"/>
    <col min="17" max="17" width="15.140625" style="110"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23" style="110" customWidth="1" collapsed="1"/>
    <col min="32" max="32" width="18.85546875" style="110" customWidth="1" collapsed="1"/>
    <col min="33" max="33" width="23.42578125" style="110" customWidth="1" collapsed="1"/>
    <col min="34" max="34" width="20.85546875" customWidth="1"/>
    <col min="35" max="35" width="26.140625" customWidth="1"/>
    <col min="36" max="36" width="21" customWidth="1"/>
    <col min="37" max="37" width="20.85546875" customWidth="1"/>
    <col min="38" max="38" width="24.85546875" customWidth="1"/>
    <col min="39" max="39" width="21" customWidth="1"/>
    <col min="40" max="40" width="16.85546875" customWidth="1"/>
    <col min="41" max="41" width="21.28515625" customWidth="1"/>
    <col min="42" max="42" width="18.5703125" customWidth="1"/>
    <col min="43" max="74" width="11.42578125" style="110" collapsed="1"/>
    <col min="75" max="77" width="11.42578125" style="110"/>
    <col min="78" max="16384" width="11.42578125" style="110" collapsed="1"/>
  </cols>
  <sheetData>
    <row r="1" spans="1:74" ht="16.5" customHeight="1" x14ac:dyDescent="0.2">
      <c r="A1" s="243"/>
      <c r="B1" s="243"/>
      <c r="C1" s="243"/>
      <c r="D1" s="244" t="s">
        <v>211</v>
      </c>
      <c r="E1" s="244"/>
      <c r="F1" s="244"/>
      <c r="G1" s="244"/>
      <c r="H1" s="244"/>
      <c r="I1" s="244"/>
      <c r="J1" s="244"/>
      <c r="K1" s="244"/>
      <c r="L1" s="244"/>
      <c r="M1" s="244"/>
      <c r="N1" s="244"/>
      <c r="O1" s="143"/>
      <c r="P1" s="143"/>
      <c r="Q1" s="143"/>
      <c r="R1" s="143"/>
      <c r="S1" s="143"/>
      <c r="T1" s="143"/>
      <c r="U1" s="143"/>
      <c r="V1" s="143"/>
      <c r="W1" s="143"/>
      <c r="X1" s="143"/>
      <c r="Y1" s="143"/>
      <c r="Z1" s="143"/>
      <c r="AA1" s="143"/>
      <c r="AB1" s="143"/>
      <c r="AC1" s="143"/>
      <c r="AD1" s="143"/>
      <c r="AE1" s="143"/>
      <c r="AF1" s="143"/>
      <c r="AG1" s="143"/>
      <c r="AH1" s="144"/>
      <c r="AI1" s="144"/>
      <c r="AJ1" s="144"/>
      <c r="AK1" s="144"/>
      <c r="AL1" s="144"/>
      <c r="AM1" s="144"/>
      <c r="AN1" s="144"/>
      <c r="AO1" s="144"/>
      <c r="AP1" s="144"/>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row>
    <row r="2" spans="1:74" ht="16.5" customHeight="1" x14ac:dyDescent="0.2">
      <c r="A2" s="243"/>
      <c r="B2" s="243"/>
      <c r="C2" s="243"/>
      <c r="D2" s="244"/>
      <c r="E2" s="244"/>
      <c r="F2" s="244"/>
      <c r="G2" s="244"/>
      <c r="H2" s="244"/>
      <c r="I2" s="244"/>
      <c r="J2" s="244"/>
      <c r="K2" s="244"/>
      <c r="L2" s="244"/>
      <c r="M2" s="244"/>
      <c r="N2" s="244"/>
      <c r="O2" s="143"/>
      <c r="P2" s="143"/>
      <c r="Q2" s="143"/>
      <c r="R2" s="143"/>
      <c r="S2" s="143"/>
      <c r="T2" s="143"/>
      <c r="U2" s="143"/>
      <c r="V2" s="143"/>
      <c r="W2" s="143"/>
      <c r="X2" s="143"/>
      <c r="Y2" s="143"/>
      <c r="Z2" s="143"/>
      <c r="AA2" s="143"/>
      <c r="AB2" s="143"/>
      <c r="AC2" s="143"/>
      <c r="AD2" s="143"/>
      <c r="AE2" s="143"/>
      <c r="AF2" s="143"/>
      <c r="AG2" s="143"/>
      <c r="AH2" s="144"/>
      <c r="AI2" s="144"/>
      <c r="AJ2" s="144"/>
      <c r="AK2" s="144"/>
      <c r="AL2" s="144"/>
      <c r="AM2" s="144"/>
      <c r="AN2" s="144"/>
      <c r="AO2" s="144"/>
      <c r="AP2" s="144"/>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16.5" customHeight="1" x14ac:dyDescent="0.2">
      <c r="A3" s="243"/>
      <c r="B3" s="243"/>
      <c r="C3" s="243"/>
      <c r="D3" s="245" t="s">
        <v>212</v>
      </c>
      <c r="E3" s="245"/>
      <c r="F3" s="245"/>
      <c r="G3" s="245"/>
      <c r="H3" s="245"/>
      <c r="I3" s="245"/>
      <c r="J3" s="245"/>
      <c r="K3" s="245"/>
      <c r="L3" s="245"/>
      <c r="M3" s="245"/>
      <c r="N3" s="245"/>
      <c r="O3" s="143"/>
      <c r="P3" s="143"/>
      <c r="Q3" s="143"/>
      <c r="R3" s="143"/>
      <c r="S3" s="143"/>
      <c r="T3" s="143"/>
      <c r="U3" s="143"/>
      <c r="V3" s="143"/>
      <c r="W3" s="143"/>
      <c r="X3" s="143"/>
      <c r="Y3" s="143"/>
      <c r="Z3" s="143"/>
      <c r="AA3" s="143"/>
      <c r="AB3" s="143"/>
      <c r="AC3" s="143"/>
      <c r="AD3" s="143"/>
      <c r="AE3" s="143"/>
      <c r="AF3" s="143"/>
      <c r="AG3" s="143"/>
      <c r="AH3" s="144"/>
      <c r="AI3" s="144"/>
      <c r="AJ3" s="144"/>
      <c r="AK3" s="144"/>
      <c r="AL3" s="144"/>
      <c r="AM3" s="144"/>
      <c r="AN3" s="144"/>
      <c r="AO3" s="144"/>
      <c r="AP3" s="144"/>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ht="15" customHeight="1" x14ac:dyDescent="0.2">
      <c r="A4" s="243"/>
      <c r="B4" s="243"/>
      <c r="C4" s="243"/>
      <c r="D4" s="245" t="s">
        <v>214</v>
      </c>
      <c r="E4" s="245"/>
      <c r="F4" s="245"/>
      <c r="G4" s="245"/>
      <c r="H4" s="245"/>
      <c r="I4" s="245"/>
      <c r="J4" s="245"/>
      <c r="K4" s="245"/>
      <c r="L4" s="245"/>
      <c r="M4" s="245"/>
      <c r="N4" s="245"/>
      <c r="O4" s="143"/>
      <c r="P4" s="143"/>
      <c r="Q4" s="143"/>
      <c r="R4" s="143"/>
      <c r="S4" s="143"/>
      <c r="T4" s="143"/>
      <c r="U4" s="143"/>
      <c r="V4" s="143"/>
      <c r="W4" s="143"/>
      <c r="X4" s="143"/>
      <c r="Y4" s="143"/>
      <c r="Z4" s="143"/>
      <c r="AA4" s="143"/>
      <c r="AB4" s="143"/>
      <c r="AC4" s="143"/>
      <c r="AD4" s="143"/>
      <c r="AE4" s="143"/>
      <c r="AF4" s="143"/>
      <c r="AG4" s="143"/>
      <c r="AH4" s="144"/>
      <c r="AI4" s="144"/>
      <c r="AJ4" s="144"/>
      <c r="AK4" s="144"/>
      <c r="AL4" s="144"/>
      <c r="AM4" s="144"/>
      <c r="AN4" s="144"/>
      <c r="AO4" s="144"/>
      <c r="AP4" s="144"/>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row>
    <row r="5" spans="1:74" ht="15" customHeight="1" x14ac:dyDescent="0.25">
      <c r="A5" s="243"/>
      <c r="B5" s="243"/>
      <c r="C5" s="243"/>
      <c r="D5" s="244" t="s">
        <v>224</v>
      </c>
      <c r="E5" s="244"/>
      <c r="F5" s="244"/>
      <c r="G5" s="244" t="s">
        <v>240</v>
      </c>
      <c r="H5" s="244"/>
      <c r="I5" s="244"/>
      <c r="J5" s="245" t="s">
        <v>213</v>
      </c>
      <c r="K5" s="245"/>
      <c r="L5" s="245"/>
      <c r="M5" s="245"/>
      <c r="N5" s="245"/>
      <c r="O5" s="145"/>
      <c r="P5" s="145"/>
      <c r="Q5" s="145"/>
      <c r="R5" s="145"/>
      <c r="S5" s="145"/>
      <c r="T5" s="145"/>
      <c r="U5" s="145"/>
      <c r="V5" s="145"/>
      <c r="W5" s="145"/>
      <c r="X5" s="145"/>
      <c r="Y5" s="145"/>
      <c r="Z5" s="145"/>
      <c r="AA5" s="145"/>
      <c r="AB5" s="145"/>
      <c r="AC5" s="145"/>
      <c r="AD5" s="145"/>
      <c r="AE5" s="145"/>
      <c r="AF5" s="145"/>
      <c r="AG5" s="145"/>
      <c r="AH5" s="146"/>
      <c r="AI5" s="146"/>
      <c r="AJ5" s="146"/>
      <c r="AK5" s="146"/>
      <c r="AL5" s="146"/>
      <c r="AM5" s="146"/>
      <c r="AN5" s="146"/>
      <c r="AO5" s="146"/>
      <c r="AP5" s="146"/>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x14ac:dyDescent="0.25">
      <c r="A6" s="147"/>
      <c r="B6" s="129"/>
      <c r="C6" s="129"/>
      <c r="D6" s="129"/>
      <c r="E6" s="129"/>
      <c r="F6" s="129"/>
      <c r="G6" s="129"/>
      <c r="H6" s="130"/>
      <c r="I6" s="148"/>
      <c r="J6" s="148"/>
      <c r="K6" s="148"/>
      <c r="L6" s="148"/>
      <c r="M6" s="145"/>
      <c r="N6" s="145"/>
      <c r="O6" s="145"/>
      <c r="P6" s="145"/>
      <c r="Q6" s="145"/>
      <c r="R6" s="145"/>
      <c r="S6" s="145"/>
      <c r="T6" s="145"/>
      <c r="U6" s="145"/>
      <c r="V6" s="145"/>
      <c r="W6" s="145"/>
      <c r="X6" s="145"/>
      <c r="Y6" s="145"/>
      <c r="Z6" s="145"/>
      <c r="AA6" s="145"/>
      <c r="AB6" s="145"/>
      <c r="AC6" s="145"/>
      <c r="AD6" s="145"/>
      <c r="AE6" s="145"/>
      <c r="AF6" s="145"/>
      <c r="AG6" s="145"/>
      <c r="AH6" s="146"/>
      <c r="AI6" s="146"/>
      <c r="AJ6" s="146"/>
      <c r="AK6" s="146"/>
      <c r="AL6" s="146"/>
      <c r="AM6" s="146"/>
      <c r="AN6" s="146"/>
      <c r="AO6" s="146"/>
      <c r="AP6" s="146"/>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s="132" customFormat="1" ht="28.5" customHeight="1" x14ac:dyDescent="0.25">
      <c r="A7" s="246" t="s">
        <v>41</v>
      </c>
      <c r="B7" s="246"/>
      <c r="C7" s="238" t="s">
        <v>221</v>
      </c>
      <c r="D7" s="238"/>
      <c r="E7" s="238"/>
      <c r="F7" s="238"/>
      <c r="G7" s="238"/>
      <c r="H7" s="238"/>
      <c r="I7" s="238"/>
      <c r="J7" s="238"/>
      <c r="K7" s="238"/>
      <c r="L7" s="238"/>
      <c r="M7" s="238"/>
      <c r="N7" s="238"/>
      <c r="O7" s="229"/>
      <c r="P7" s="229"/>
      <c r="Q7" s="229"/>
      <c r="R7" s="149"/>
      <c r="S7" s="149"/>
      <c r="T7" s="149"/>
      <c r="U7" s="149"/>
      <c r="V7" s="149"/>
      <c r="W7" s="149"/>
      <c r="X7" s="149"/>
      <c r="Y7" s="149"/>
      <c r="Z7" s="149"/>
      <c r="AA7" s="149"/>
      <c r="AB7" s="149"/>
      <c r="AC7" s="149"/>
      <c r="AD7" s="149"/>
      <c r="AE7" s="149"/>
      <c r="AF7" s="149"/>
      <c r="AG7" s="149"/>
      <c r="AH7" s="146"/>
      <c r="AI7" s="146"/>
      <c r="AJ7" s="146"/>
      <c r="AK7" s="146"/>
      <c r="AL7" s="146"/>
      <c r="AM7" s="146"/>
      <c r="AN7" s="146"/>
      <c r="AO7" s="146"/>
      <c r="AP7" s="146"/>
      <c r="AQ7" s="131"/>
      <c r="AR7" s="131"/>
      <c r="AS7" s="131"/>
      <c r="AT7" s="131"/>
      <c r="AU7" s="131"/>
      <c r="AV7" s="131"/>
      <c r="AW7" s="131"/>
      <c r="AX7" s="131"/>
      <c r="AY7" s="131"/>
      <c r="AZ7" s="131"/>
      <c r="BA7" s="131"/>
      <c r="BB7" s="131"/>
      <c r="BC7" s="131"/>
      <c r="BD7" s="131"/>
      <c r="BE7" s="131"/>
      <c r="BF7" s="131"/>
      <c r="BG7" s="131"/>
      <c r="BH7" s="131"/>
      <c r="BI7" s="131"/>
      <c r="BJ7" s="131"/>
      <c r="BK7" s="131"/>
      <c r="BL7" s="131"/>
      <c r="BM7" s="131"/>
      <c r="BN7" s="131"/>
      <c r="BO7" s="131"/>
      <c r="BP7" s="131"/>
      <c r="BQ7" s="131"/>
      <c r="BR7" s="131"/>
      <c r="BS7" s="131"/>
      <c r="BT7" s="131"/>
      <c r="BU7" s="131"/>
      <c r="BV7" s="131"/>
    </row>
    <row r="8" spans="1:74" s="132" customFormat="1" ht="42" customHeight="1" x14ac:dyDescent="0.25">
      <c r="A8" s="246" t="s">
        <v>128</v>
      </c>
      <c r="B8" s="246"/>
      <c r="C8" s="252" t="s">
        <v>215</v>
      </c>
      <c r="D8" s="253"/>
      <c r="E8" s="253"/>
      <c r="F8" s="253"/>
      <c r="G8" s="253"/>
      <c r="H8" s="253"/>
      <c r="I8" s="253"/>
      <c r="J8" s="253"/>
      <c r="K8" s="253"/>
      <c r="L8" s="253"/>
      <c r="M8" s="253"/>
      <c r="N8" s="253"/>
      <c r="O8" s="149"/>
      <c r="P8" s="149"/>
      <c r="Q8" s="149"/>
      <c r="R8" s="149"/>
      <c r="S8" s="149"/>
      <c r="T8" s="149"/>
      <c r="U8" s="149"/>
      <c r="V8" s="149"/>
      <c r="W8" s="149"/>
      <c r="X8" s="149"/>
      <c r="Y8" s="149"/>
      <c r="Z8" s="149"/>
      <c r="AA8" s="149"/>
      <c r="AB8" s="149"/>
      <c r="AC8" s="149"/>
      <c r="AD8" s="149"/>
      <c r="AE8" s="149"/>
      <c r="AF8" s="149"/>
      <c r="AG8" s="149"/>
      <c r="AH8" s="146"/>
      <c r="AI8" s="146"/>
      <c r="AJ8" s="146"/>
      <c r="AK8" s="146"/>
      <c r="AL8" s="146"/>
      <c r="AM8" s="146"/>
      <c r="AN8" s="146"/>
      <c r="AO8" s="146"/>
      <c r="AP8" s="146"/>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row>
    <row r="9" spans="1:74" s="132" customFormat="1" ht="28.5" customHeight="1" x14ac:dyDescent="0.25">
      <c r="A9" s="247" t="s">
        <v>42</v>
      </c>
      <c r="B9" s="247"/>
      <c r="C9" s="254" t="s">
        <v>216</v>
      </c>
      <c r="D9" s="254"/>
      <c r="E9" s="254"/>
      <c r="F9" s="254"/>
      <c r="G9" s="254"/>
      <c r="H9" s="254"/>
      <c r="I9" s="254"/>
      <c r="J9" s="254"/>
      <c r="K9" s="254"/>
      <c r="L9" s="254"/>
      <c r="M9" s="254"/>
      <c r="N9" s="254"/>
      <c r="O9" s="149"/>
      <c r="P9" s="149"/>
      <c r="Q9" s="149"/>
      <c r="R9" s="149"/>
      <c r="S9" s="149"/>
      <c r="T9" s="149"/>
      <c r="U9" s="149"/>
      <c r="V9" s="149"/>
      <c r="W9" s="149"/>
      <c r="X9" s="149"/>
      <c r="Y9" s="149"/>
      <c r="Z9" s="149"/>
      <c r="AA9" s="149"/>
      <c r="AB9" s="149"/>
      <c r="AC9" s="149"/>
      <c r="AD9" s="149"/>
      <c r="AE9" s="149"/>
      <c r="AF9" s="149"/>
      <c r="AG9" s="149"/>
      <c r="AH9" s="146"/>
      <c r="AI9" s="146"/>
      <c r="AJ9" s="146"/>
      <c r="AK9" s="146"/>
      <c r="AL9" s="146"/>
      <c r="AM9" s="146"/>
      <c r="AN9" s="146"/>
      <c r="AO9" s="146"/>
      <c r="AP9" s="146"/>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row>
    <row r="10" spans="1:74" ht="36.75" customHeight="1" x14ac:dyDescent="0.25">
      <c r="A10" s="241" t="s">
        <v>136</v>
      </c>
      <c r="B10" s="241"/>
      <c r="C10" s="241"/>
      <c r="D10" s="241"/>
      <c r="E10" s="241"/>
      <c r="F10" s="241"/>
      <c r="G10" s="241"/>
      <c r="H10" s="256" t="s">
        <v>137</v>
      </c>
      <c r="I10" s="256"/>
      <c r="J10" s="256"/>
      <c r="K10" s="256"/>
      <c r="L10" s="256"/>
      <c r="M10" s="256"/>
      <c r="N10" s="256"/>
      <c r="O10" s="257" t="s">
        <v>138</v>
      </c>
      <c r="P10" s="257"/>
      <c r="Q10" s="257"/>
      <c r="R10" s="257"/>
      <c r="S10" s="257"/>
      <c r="T10" s="257"/>
      <c r="U10" s="257"/>
      <c r="V10" s="257"/>
      <c r="W10" s="257"/>
      <c r="X10" s="256" t="s">
        <v>139</v>
      </c>
      <c r="Y10" s="256"/>
      <c r="Z10" s="256"/>
      <c r="AA10" s="256"/>
      <c r="AB10" s="256"/>
      <c r="AC10" s="256"/>
      <c r="AD10" s="256"/>
      <c r="AE10" s="237" t="s">
        <v>34</v>
      </c>
      <c r="AF10" s="237"/>
      <c r="AG10" s="237"/>
      <c r="AH10" s="231" t="s">
        <v>225</v>
      </c>
      <c r="AI10" s="232"/>
      <c r="AJ10" s="233"/>
      <c r="AK10" s="234" t="s">
        <v>226</v>
      </c>
      <c r="AL10" s="235"/>
      <c r="AM10" s="236"/>
      <c r="AN10" s="213" t="s">
        <v>227</v>
      </c>
      <c r="AO10" s="214"/>
      <c r="AP10" s="215"/>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row>
    <row r="11" spans="1:74" ht="16.5" customHeight="1" x14ac:dyDescent="0.2">
      <c r="A11" s="248" t="s">
        <v>0</v>
      </c>
      <c r="B11" s="241" t="s">
        <v>2</v>
      </c>
      <c r="C11" s="239" t="s">
        <v>3</v>
      </c>
      <c r="D11" s="239" t="s">
        <v>40</v>
      </c>
      <c r="E11" s="241" t="s">
        <v>1</v>
      </c>
      <c r="F11" s="239" t="s">
        <v>48</v>
      </c>
      <c r="G11" s="239" t="s">
        <v>132</v>
      </c>
      <c r="H11" s="240" t="s">
        <v>33</v>
      </c>
      <c r="I11" s="256" t="s">
        <v>5</v>
      </c>
      <c r="J11" s="240" t="s">
        <v>85</v>
      </c>
      <c r="K11" s="240" t="s">
        <v>90</v>
      </c>
      <c r="L11" s="240" t="s">
        <v>43</v>
      </c>
      <c r="M11" s="256" t="s">
        <v>5</v>
      </c>
      <c r="N11" s="240" t="s">
        <v>46</v>
      </c>
      <c r="O11" s="255" t="s">
        <v>11</v>
      </c>
      <c r="P11" s="230" t="s">
        <v>159</v>
      </c>
      <c r="Q11" s="230" t="s">
        <v>12</v>
      </c>
      <c r="R11" s="230" t="s">
        <v>8</v>
      </c>
      <c r="S11" s="230"/>
      <c r="T11" s="230"/>
      <c r="U11" s="230"/>
      <c r="V11" s="230"/>
      <c r="W11" s="230"/>
      <c r="X11" s="242" t="s">
        <v>135</v>
      </c>
      <c r="Y11" s="242" t="s">
        <v>44</v>
      </c>
      <c r="Z11" s="242" t="s">
        <v>5</v>
      </c>
      <c r="AA11" s="242" t="s">
        <v>45</v>
      </c>
      <c r="AB11" s="242" t="s">
        <v>5</v>
      </c>
      <c r="AC11" s="242" t="s">
        <v>47</v>
      </c>
      <c r="AD11" s="242" t="s">
        <v>29</v>
      </c>
      <c r="AE11" s="228" t="s">
        <v>34</v>
      </c>
      <c r="AF11" s="228" t="s">
        <v>35</v>
      </c>
      <c r="AG11" s="228" t="s">
        <v>36</v>
      </c>
      <c r="AH11" s="216" t="s">
        <v>217</v>
      </c>
      <c r="AI11" s="216" t="s">
        <v>218</v>
      </c>
      <c r="AJ11" s="216" t="s">
        <v>219</v>
      </c>
      <c r="AK11" s="218" t="s">
        <v>217</v>
      </c>
      <c r="AL11" s="218" t="s">
        <v>218</v>
      </c>
      <c r="AM11" s="218" t="s">
        <v>219</v>
      </c>
      <c r="AN11" s="220" t="s">
        <v>217</v>
      </c>
      <c r="AO11" s="220" t="s">
        <v>218</v>
      </c>
      <c r="AP11" s="220" t="s">
        <v>220</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row>
    <row r="12" spans="1:74" s="112" customFormat="1" ht="43.5" customHeight="1" x14ac:dyDescent="0.25">
      <c r="A12" s="248"/>
      <c r="B12" s="241"/>
      <c r="C12" s="239"/>
      <c r="D12" s="239"/>
      <c r="E12" s="241"/>
      <c r="F12" s="239"/>
      <c r="G12" s="239"/>
      <c r="H12" s="240"/>
      <c r="I12" s="256"/>
      <c r="J12" s="240"/>
      <c r="K12" s="240"/>
      <c r="L12" s="256"/>
      <c r="M12" s="256"/>
      <c r="N12" s="240"/>
      <c r="O12" s="255"/>
      <c r="P12" s="230"/>
      <c r="Q12" s="230"/>
      <c r="R12" s="128" t="s">
        <v>13</v>
      </c>
      <c r="S12" s="128" t="s">
        <v>17</v>
      </c>
      <c r="T12" s="128" t="s">
        <v>28</v>
      </c>
      <c r="U12" s="128" t="s">
        <v>18</v>
      </c>
      <c r="V12" s="128" t="s">
        <v>21</v>
      </c>
      <c r="W12" s="128" t="s">
        <v>24</v>
      </c>
      <c r="X12" s="242"/>
      <c r="Y12" s="242"/>
      <c r="Z12" s="242"/>
      <c r="AA12" s="242"/>
      <c r="AB12" s="242"/>
      <c r="AC12" s="242"/>
      <c r="AD12" s="242"/>
      <c r="AE12" s="228"/>
      <c r="AF12" s="228"/>
      <c r="AG12" s="228"/>
      <c r="AH12" s="217"/>
      <c r="AI12" s="217"/>
      <c r="AJ12" s="217"/>
      <c r="AK12" s="219"/>
      <c r="AL12" s="219"/>
      <c r="AM12" s="219"/>
      <c r="AN12" s="221"/>
      <c r="AO12" s="221"/>
      <c r="AP12" s="22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row>
    <row r="13" spans="1:74" s="114" customFormat="1" ht="210" customHeight="1" x14ac:dyDescent="0.25">
      <c r="A13" s="208">
        <v>1</v>
      </c>
      <c r="B13" s="209" t="s">
        <v>130</v>
      </c>
      <c r="C13" s="209" t="s">
        <v>228</v>
      </c>
      <c r="D13" s="209" t="s">
        <v>229</v>
      </c>
      <c r="E13" s="210" t="s">
        <v>230</v>
      </c>
      <c r="F13" s="209" t="s">
        <v>126</v>
      </c>
      <c r="G13" s="211">
        <v>12</v>
      </c>
      <c r="H13" s="206" t="str">
        <f>IF(G13&lt;=0,"",IF(G13&lt;=2,"Muy Baja",IF(G13&lt;=24,"Baja",IF(G13&lt;=500,"Media",IF(G13&lt;=5000,"Alta","Muy Alta")))))</f>
        <v>Baja</v>
      </c>
      <c r="I13" s="205">
        <f>IF(H13="","",IF(H13="Muy Baja",0.2,IF(H13="Baja",0.4,IF(H13="Media",0.6,IF(H13="Alta",0.8,IF(H13="Muy Alta",1,))))))</f>
        <v>0.4</v>
      </c>
      <c r="J13" s="212" t="s">
        <v>145</v>
      </c>
      <c r="K13" s="205" t="str">
        <f>IF(NOT(ISERROR(MATCH(J13,#REF!,0))),#REF!&amp;"Por favor no seleccionar los criterios de impacto(Afectación Económica o presupuestal y Pérdida Reputacional)",J13)</f>
        <v xml:space="preserve">     Entre 50 y 100 SMLMV </v>
      </c>
      <c r="L13" s="206"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205">
        <f>IF(L13="","",IF(L13="Leve",0.2,IF(L13="Menor",0.4,IF(L13="Moderado",0.6,IF(L13="Mayor",0.8,IF(L13="Catastrófico",1,))))))</f>
        <v>0.6</v>
      </c>
      <c r="N13" s="207"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118">
        <v>1</v>
      </c>
      <c r="P13" s="150" t="s">
        <v>222</v>
      </c>
      <c r="Q13" s="119" t="str">
        <f>IF(OR(R13="Preventivo",R13="Detectivo"),"Probabilidad",IF(R13="Correctivo","Impacto",""))</f>
        <v>Probabilidad</v>
      </c>
      <c r="R13" s="120" t="s">
        <v>15</v>
      </c>
      <c r="S13" s="120" t="s">
        <v>9</v>
      </c>
      <c r="T13" s="121" t="str">
        <f>IF(AND(R13="Preventivo",S13="Automático"),"50%",IF(AND(R13="Preventivo",S13="Manual"),"40%",IF(AND(R13="Detectivo",S13="Automático"),"40%",IF(AND(R13="Detectivo",S13="Manual"),"30%",IF(AND(R13="Correctivo",S13="Automático"),"35%",IF(AND(R13="Correctivo",S13="Manual"),"25%",""))))))</f>
        <v>30%</v>
      </c>
      <c r="U13" s="120" t="s">
        <v>19</v>
      </c>
      <c r="V13" s="120" t="s">
        <v>22</v>
      </c>
      <c r="W13" s="120" t="s">
        <v>117</v>
      </c>
      <c r="X13" s="122">
        <f>IFERROR(IF(Q13="Probabilidad",(I13-(+I13*T13)),IF(Q13="Impacto",I13,"")),"")</f>
        <v>0.28000000000000003</v>
      </c>
      <c r="Y13" s="123" t="str">
        <f>IFERROR(IF(X13="","",IF(X13&lt;=0.2,"Muy Baja",IF(X13&lt;=0.4,"Baja",IF(X13&lt;=0.6,"Media",IF(X13&lt;=0.8,"Alta","Muy Alta"))))),"")</f>
        <v>Baja</v>
      </c>
      <c r="Z13" s="121">
        <f>+X13</f>
        <v>0.28000000000000003</v>
      </c>
      <c r="AA13" s="222" t="str">
        <f>IFERROR(IF(AB13="","",IF(AB13&lt;=0.2,"Leve",IF(AB13&lt;=0.4,"Menor",IF(AB13&lt;=0.6,"Moderado",IF(AB13&lt;=0.8,"Mayor","Catastrófico"))))),"")</f>
        <v>Moderado</v>
      </c>
      <c r="AB13" s="121">
        <f>IFERROR(IF(Q13="Impacto",(M13-(+M13*T13)),IF(Q13="Probabilidad",M13,"")),"")</f>
        <v>0.6</v>
      </c>
      <c r="AC13" s="224"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26" t="s">
        <v>133</v>
      </c>
      <c r="AE13" s="154" t="s">
        <v>242</v>
      </c>
      <c r="AF13" s="126" t="s">
        <v>243</v>
      </c>
      <c r="AG13" s="127">
        <v>45688</v>
      </c>
      <c r="AH13" s="138"/>
      <c r="AI13" s="152"/>
      <c r="AJ13" s="134"/>
      <c r="AK13" s="138"/>
      <c r="AL13" s="160"/>
      <c r="AM13" s="134"/>
      <c r="AN13" s="138"/>
      <c r="AO13" s="133"/>
      <c r="AP13" s="134"/>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row>
    <row r="14" spans="1:74" ht="85.5" x14ac:dyDescent="0.2">
      <c r="A14" s="208"/>
      <c r="B14" s="209"/>
      <c r="C14" s="209"/>
      <c r="D14" s="209"/>
      <c r="E14" s="210"/>
      <c r="F14" s="209"/>
      <c r="G14" s="211"/>
      <c r="H14" s="206"/>
      <c r="I14" s="205"/>
      <c r="J14" s="212"/>
      <c r="K14" s="205">
        <f>IF(NOT(ISERROR(MATCH(J14,_xlfn.ANCHORARRAY(E18),0))),#REF!&amp;"Por favor no seleccionar los criterios de impacto",J14)</f>
        <v>0</v>
      </c>
      <c r="L14" s="206"/>
      <c r="M14" s="205"/>
      <c r="N14" s="207"/>
      <c r="O14" s="118">
        <v>2</v>
      </c>
      <c r="P14" s="150" t="s">
        <v>223</v>
      </c>
      <c r="Q14" s="119" t="s">
        <v>4</v>
      </c>
      <c r="R14" s="120" t="s">
        <v>14</v>
      </c>
      <c r="S14" s="120" t="s">
        <v>9</v>
      </c>
      <c r="T14" s="121" t="str">
        <f t="shared" ref="T14:T15" si="0">IF(AND(R14="Preventivo",S14="Automático"),"50%",IF(AND(R14="Preventivo",S14="Manual"),"40%",IF(AND(R14="Detectivo",S14="Automático"),"40%",IF(AND(R14="Detectivo",S14="Manual"),"30%",IF(AND(R14="Correctivo",S14="Automático"),"35%",IF(AND(R14="Correctivo",S14="Manual"),"25%",""))))))</f>
        <v>40%</v>
      </c>
      <c r="U14" s="120" t="s">
        <v>19</v>
      </c>
      <c r="V14" s="120" t="s">
        <v>22</v>
      </c>
      <c r="W14" s="120" t="s">
        <v>118</v>
      </c>
      <c r="X14" s="122">
        <f>IFERROR(IF(AND(Q13="Probabilidad",Q14="Probabilidad"),(Z13-(+Z13*T14)),IF(Q14="Probabilidad",(I13-(+I13*T14)),IF(Q14="Impacto",Z13,""))),"")</f>
        <v>0.16800000000000001</v>
      </c>
      <c r="Y14" s="123" t="str">
        <f t="shared" ref="Y14:Y15" si="1">IFERROR(IF(X14="","",IF(X14&lt;=0.2,"Muy Baja",IF(X14&lt;=0.4,"Baja",IF(X14&lt;=0.6,"Media",IF(X14&lt;=0.8,"Alta","Muy Alta"))))),"")</f>
        <v>Muy Baja</v>
      </c>
      <c r="Z14" s="121">
        <f t="shared" ref="Z14:Z15" si="2">+X14</f>
        <v>0.16800000000000001</v>
      </c>
      <c r="AA14" s="223"/>
      <c r="AB14" s="121">
        <f>IFERROR(IF(AND(Q13="Impacto",Q14="Impacto"),(AB13-(+AB13*T14)),IF(Q14="Impacto",($M$13-(+$M$13*T14)),IF(Q14="Probabilidad",AB13,""))),"")</f>
        <v>0.6</v>
      </c>
      <c r="AC14" s="225"/>
      <c r="AD14" s="227"/>
      <c r="AE14" s="155" t="s">
        <v>244</v>
      </c>
      <c r="AF14" s="126" t="s">
        <v>243</v>
      </c>
      <c r="AG14" s="127">
        <v>45688</v>
      </c>
      <c r="AH14" s="138"/>
      <c r="AI14" s="152"/>
      <c r="AJ14" s="134"/>
      <c r="AK14" s="138"/>
      <c r="AL14" s="152"/>
      <c r="AM14" s="134"/>
      <c r="AN14" s="138"/>
      <c r="AO14" s="135"/>
      <c r="AP14" s="134"/>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row>
    <row r="15" spans="1:74" ht="162.75" customHeight="1" x14ac:dyDescent="0.2">
      <c r="A15" s="208"/>
      <c r="B15" s="209"/>
      <c r="C15" s="209"/>
      <c r="D15" s="209"/>
      <c r="E15" s="210"/>
      <c r="F15" s="209"/>
      <c r="G15" s="211"/>
      <c r="H15" s="206"/>
      <c r="I15" s="205"/>
      <c r="J15" s="212"/>
      <c r="K15" s="205">
        <f>IF(NOT(ISERROR(MATCH(J15,_xlfn.ANCHORARRAY(#REF!),0))),#REF!&amp;"Por favor no seleccionar los criterios de impacto",J15)</f>
        <v>0</v>
      </c>
      <c r="L15" s="206"/>
      <c r="M15" s="205"/>
      <c r="N15" s="207"/>
      <c r="O15" s="118">
        <v>3</v>
      </c>
      <c r="P15" s="151" t="s">
        <v>237</v>
      </c>
      <c r="Q15" s="119" t="s">
        <v>4</v>
      </c>
      <c r="R15" s="120" t="s">
        <v>15</v>
      </c>
      <c r="S15" s="120" t="s">
        <v>9</v>
      </c>
      <c r="T15" s="121" t="str">
        <f t="shared" si="0"/>
        <v>30%</v>
      </c>
      <c r="U15" s="120" t="s">
        <v>19</v>
      </c>
      <c r="V15" s="120" t="s">
        <v>22</v>
      </c>
      <c r="W15" s="120" t="s">
        <v>117</v>
      </c>
      <c r="X15" s="122">
        <f>IFERROR(IF(AND(Q14="Probabilidad",Q15="Probabilidad"),(Z14-(+Z14*T15)),IF(AND(Q14="Impacto",Q15="Probabilidad"),(Z13-(+Z13*T15)),IF(Q15="Impacto",Z14,""))),"")</f>
        <v>0.11760000000000001</v>
      </c>
      <c r="Y15" s="123" t="str">
        <f t="shared" si="1"/>
        <v>Muy Baja</v>
      </c>
      <c r="Z15" s="121">
        <f t="shared" si="2"/>
        <v>0.11760000000000001</v>
      </c>
      <c r="AA15" s="123" t="str">
        <f t="shared" ref="AA15:AA17" si="3">IFERROR(IF(AB15="","",IF(AB15&lt;=0.2,"Leve",IF(AB15&lt;=0.4,"Menor",IF(AB15&lt;=0.6,"Moderado",IF(AB15&lt;=0.8,"Mayor","Catastrófico"))))),"")</f>
        <v>Moderado</v>
      </c>
      <c r="AB15" s="121">
        <f>IFERROR(IF(AND(Q14="Impacto",Q15="Impacto"),(AB14-(+AB14*T15)),IF(AND(Q14="Probabilidad",Q15="Impacto"),(AB13-(+AB13*T15)),IF(Q15="Probabilidad",AB14,""))),"")</f>
        <v>0.6</v>
      </c>
      <c r="AC15" s="124" t="str">
        <f t="shared" ref="AC15" si="4">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120" t="s">
        <v>133</v>
      </c>
      <c r="AE15" s="154" t="s">
        <v>245</v>
      </c>
      <c r="AF15" s="126" t="s">
        <v>243</v>
      </c>
      <c r="AG15" s="127">
        <v>45688</v>
      </c>
      <c r="AH15" s="138"/>
      <c r="AI15" s="152"/>
      <c r="AJ15" s="134"/>
      <c r="AK15" s="138"/>
      <c r="AL15" s="160"/>
      <c r="AM15" s="134"/>
      <c r="AN15" s="138"/>
      <c r="AO15" s="136"/>
      <c r="AP15" s="134"/>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row>
    <row r="16" spans="1:74" ht="225.75" customHeight="1" x14ac:dyDescent="0.2">
      <c r="A16" s="208">
        <v>2</v>
      </c>
      <c r="B16" s="209" t="s">
        <v>130</v>
      </c>
      <c r="C16" s="209" t="s">
        <v>231</v>
      </c>
      <c r="D16" s="209" t="s">
        <v>232</v>
      </c>
      <c r="E16" s="210" t="s">
        <v>233</v>
      </c>
      <c r="F16" s="209" t="s">
        <v>126</v>
      </c>
      <c r="G16" s="211">
        <v>12</v>
      </c>
      <c r="H16" s="206" t="str">
        <f>IF(G16&lt;=0,"",IF(G16&lt;=2,"Muy Baja",IF(G16&lt;=24,"Baja",IF(G16&lt;=500,"Media",IF(G16&lt;=5000,"Alta","Muy Alta")))))</f>
        <v>Baja</v>
      </c>
      <c r="I16" s="205">
        <f>IF(H16="","",IF(H16="Muy Baja",0.2,IF(H16="Baja",0.4,IF(H16="Media",0.6,IF(H16="Alta",0.8,IF(H16="Muy Alta",1,))))))</f>
        <v>0.4</v>
      </c>
      <c r="J16" s="212" t="s">
        <v>145</v>
      </c>
      <c r="K16" s="205" t="str">
        <f>IF(NOT(ISERROR(MATCH(J16,#REF!,0))),#REF!&amp;"Por favor no seleccionar los criterios de impacto(Afectación Económica o presupuestal y Pérdida Reputacional)",J16)</f>
        <v xml:space="preserve">     Entre 50 y 100 SMLMV </v>
      </c>
      <c r="L16" s="206" t="str">
        <f>IF(OR(K16='[1]Tabla Impacto'!$C$11,K16='[1]Tabla Impacto'!$D$11),"Leve",IF(OR(K16='[1]Tabla Impacto'!$C$12,K16='[1]Tabla Impacto'!$D$12),"Menor",IF(OR(K16='[1]Tabla Impacto'!$C$13,K16='[1]Tabla Impacto'!$D$13),"Moderado",IF(OR(K16='[1]Tabla Impacto'!$C$14,K16='[1]Tabla Impacto'!$D$14),"Mayor",IF(OR(K16='[1]Tabla Impacto'!$C$15,K16='[1]Tabla Impacto'!$D$15),"Catastrófico","")))))</f>
        <v>Moderado</v>
      </c>
      <c r="M16" s="205">
        <f>IF(L16="","",IF(L16="Leve",0.2,IF(L16="Menor",0.4,IF(L16="Moderado",0.6,IF(L16="Mayor",0.8,IF(L16="Catastrófico",1,))))))</f>
        <v>0.6</v>
      </c>
      <c r="N16" s="207" t="str">
        <f>IF(OR(AND(H16="Muy Baja",L16="Leve"),AND(H16="Muy Baja",L16="Menor"),AND(H16="Baja",L16="Leve")),"Bajo",IF(OR(AND(H16="Muy baja",L16="Moderado"),AND(H16="Baja",L16="Menor"),AND(H16="Baja",L16="Moderado"),AND(H16="Media",L16="Leve"),AND(H16="Media",L16="Menor"),AND(H16="Media",L16="Moderado"),AND(H16="Alta",L16="Leve"),AND(H16="Alta",L16="Menor")),"Moderado",IF(OR(AND(H16="Muy Baja",L16="Mayor"),AND(H16="Baja",L16="Mayor"),AND(H16="Media",L16="Mayor"),AND(H16="Alta",L16="Moderado"),AND(H16="Alta",L16="Mayor"),AND(H16="Muy Alta",L16="Leve"),AND(H16="Muy Alta",L16="Menor"),AND(H16="Muy Alta",L16="Moderado"),AND(H16="Muy Alta",L16="Mayor")),"Alto",IF(OR(AND(H16="Muy Baja",L16="Catastrófico"),AND(H16="Baja",L16="Catastrófico"),AND(H16="Media",L16="Catastrófico"),AND(H16="Alta",L16="Catastrófico"),AND(H16="Muy Alta",L16="Catastrófico")),"Extremo",""))))</f>
        <v>Moderado</v>
      </c>
      <c r="O16" s="118">
        <v>1</v>
      </c>
      <c r="P16" s="150" t="s">
        <v>238</v>
      </c>
      <c r="Q16" s="119" t="str">
        <f t="shared" ref="Q16:Q18" si="5">IF(OR(R16="Preventivo",R16="Detectivo"),"Probabilidad",IF(R16="Correctivo","Impacto",""))</f>
        <v>Probabilidad</v>
      </c>
      <c r="R16" s="120" t="s">
        <v>14</v>
      </c>
      <c r="S16" s="120" t="s">
        <v>9</v>
      </c>
      <c r="T16" s="121" t="str">
        <f>IF(AND(R16="Preventivo",S16="Automático"),"50%",IF(AND(R16="Preventivo",S16="Manual"),"40%",IF(AND(R16="Detectivo",S16="Automático"),"40%",IF(AND(R16="Detectivo",S16="Manual"),"30%",IF(AND(R16="Correctivo",S16="Automático"),"35%",IF(AND(R16="Correctivo",S16="Manual"),"25%",""))))))</f>
        <v>40%</v>
      </c>
      <c r="U16" s="120" t="s">
        <v>19</v>
      </c>
      <c r="V16" s="120" t="s">
        <v>22</v>
      </c>
      <c r="W16" s="120" t="s">
        <v>117</v>
      </c>
      <c r="X16" s="122">
        <f>IFERROR(IF(Q16="Probabilidad",(I16-(+I16*T16)),IF(Q16="Impacto",I16,"")),"")</f>
        <v>0.24</v>
      </c>
      <c r="Y16" s="123" t="str">
        <f>IFERROR(IF(X16="","",IF(X16&lt;=0.2,"Muy Baja",IF(X16&lt;=0.4,"Baja",IF(X16&lt;=0.6,"Media",IF(X16&lt;=0.8,"Alta","Muy Alta"))))),"")</f>
        <v>Baja</v>
      </c>
      <c r="Z16" s="121">
        <f>+X16</f>
        <v>0.24</v>
      </c>
      <c r="AA16" s="123" t="str">
        <f>IFERROR(IF(AB16="","",IF(AB16&lt;=0.2,"Leve",IF(AB16&lt;=0.4,"Menor",IF(AB16&lt;=0.6,"Moderado",IF(AB16&lt;=0.8,"Mayor","Catastrófico"))))),"")</f>
        <v>Moderado</v>
      </c>
      <c r="AB16" s="121">
        <f>IFERROR(IF(Q16="Impacto",(M16-(+M16*T16)),IF(Q16="Probabilidad",M16,"")),"")</f>
        <v>0.6</v>
      </c>
      <c r="AC16" s="124" t="str">
        <f>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Moderado</v>
      </c>
      <c r="AD16" s="120" t="s">
        <v>133</v>
      </c>
      <c r="AE16" s="154" t="s">
        <v>248</v>
      </c>
      <c r="AF16" s="126" t="s">
        <v>243</v>
      </c>
      <c r="AG16" s="127">
        <v>45688</v>
      </c>
      <c r="AH16" s="138"/>
      <c r="AI16" s="152"/>
      <c r="AJ16" s="134"/>
      <c r="AK16" s="138"/>
      <c r="AL16" s="160"/>
      <c r="AM16" s="134"/>
      <c r="AN16" s="138"/>
      <c r="AO16" s="136"/>
      <c r="AP16" s="134"/>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225.75" customHeight="1" x14ac:dyDescent="0.2">
      <c r="A17" s="208"/>
      <c r="B17" s="209"/>
      <c r="C17" s="209"/>
      <c r="D17" s="209"/>
      <c r="E17" s="210"/>
      <c r="F17" s="209"/>
      <c r="G17" s="211"/>
      <c r="H17" s="206"/>
      <c r="I17" s="205"/>
      <c r="J17" s="212"/>
      <c r="K17" s="205">
        <f>IF(NOT(ISERROR(MATCH(J17,_xlfn.ANCHORARRAY(#REF!),0))),#REF!&amp;"Por favor no seleccionar los criterios de impacto",J17)</f>
        <v>0</v>
      </c>
      <c r="L17" s="206"/>
      <c r="M17" s="205"/>
      <c r="N17" s="207"/>
      <c r="O17" s="118">
        <v>2</v>
      </c>
      <c r="P17" s="150" t="s">
        <v>239</v>
      </c>
      <c r="Q17" s="119" t="str">
        <f t="shared" si="5"/>
        <v>Probabilidad</v>
      </c>
      <c r="R17" s="120" t="s">
        <v>14</v>
      </c>
      <c r="S17" s="120" t="s">
        <v>9</v>
      </c>
      <c r="T17" s="121" t="str">
        <f>IF(AND(R17="Preventivo",S17="Automático"),"50%",IF(AND(R17="Preventivo",S17="Manual"),"40%",IF(AND(R17="Detectivo",S17="Automático"),"40%",IF(AND(R17="Detectivo",S17="Manual"),"30%",IF(AND(R17="Correctivo",S17="Automático"),"35%",IF(AND(R17="Correctivo",S17="Manual"),"25%",""))))))</f>
        <v>40%</v>
      </c>
      <c r="U17" s="120" t="s">
        <v>19</v>
      </c>
      <c r="V17" s="120" t="s">
        <v>22</v>
      </c>
      <c r="W17" s="120" t="s">
        <v>117</v>
      </c>
      <c r="X17" s="122">
        <f>IFERROR(IF(Q17="Probabilidad",(I17-(+I17*T17)),IF(Q17="Impacto",I17,"")),"")</f>
        <v>0</v>
      </c>
      <c r="Y17" s="123" t="str">
        <f>IFERROR(IF(X17="","",IF(X17&lt;=0.2,"Muy Baja",IF(X17&lt;=0.4,"Baja",IF(X17&lt;=0.6,"Media",IF(X17&lt;=0.8,"Alta","Muy Alta"))))),"")</f>
        <v>Muy Baja</v>
      </c>
      <c r="Z17" s="121">
        <f>+X17</f>
        <v>0</v>
      </c>
      <c r="AA17" s="123" t="str">
        <f t="shared" si="3"/>
        <v>Moderado</v>
      </c>
      <c r="AB17" s="121">
        <f>IFERROR(IF(AND(Q16="Impacto",Q17="Impacto"),(AB13-(+AB13*T17)),IF(Q17="Impacto",($M$16-(+$M$16*T17)),IF(Q17="Probabilidad",AB13,""))),"")</f>
        <v>0.6</v>
      </c>
      <c r="AC17" s="124" t="str">
        <f t="shared" ref="AC17" si="6">IFERROR(IF(OR(AND(Y17="Muy Baja",AA17="Leve"),AND(Y17="Muy Baja",AA17="Menor"),AND(Y17="Baja",AA17="Leve")),"Bajo",IF(OR(AND(Y17="Muy baja",AA17="Moderado"),AND(Y17="Baja",AA17="Menor"),AND(Y17="Baja",AA17="Moderado"),AND(Y17="Media",AA17="Leve"),AND(Y17="Media",AA17="Menor"),AND(Y17="Media",AA17="Moderado"),AND(Y17="Alta",AA17="Leve"),AND(Y17="Alta",AA17="Menor")),"Moderado",IF(OR(AND(Y17="Muy Baja",AA17="Mayor"),AND(Y17="Baja",AA17="Mayor"),AND(Y17="Media",AA17="Mayor"),AND(Y17="Alta",AA17="Moderado"),AND(Y17="Alta",AA17="Mayor"),AND(Y17="Muy Alta",AA17="Leve"),AND(Y17="Muy Alta",AA17="Menor"),AND(Y17="Muy Alta",AA17="Moderado"),AND(Y17="Muy Alta",AA17="Mayor")),"Alto",IF(OR(AND(Y17="Muy Baja",AA17="Catastrófico"),AND(Y17="Baja",AA17="Catastrófico"),AND(Y17="Media",AA17="Catastrófico"),AND(Y17="Alta",AA17="Catastrófico"),AND(Y17="Muy Alta",AA17="Catastrófico")),"Extremo","")))),"")</f>
        <v>Moderado</v>
      </c>
      <c r="AD17" s="120"/>
      <c r="AE17" s="154" t="s">
        <v>246</v>
      </c>
      <c r="AF17" s="126" t="s">
        <v>243</v>
      </c>
      <c r="AG17" s="127">
        <v>45688</v>
      </c>
      <c r="AH17" s="138"/>
      <c r="AI17" s="153"/>
      <c r="AJ17" s="134"/>
      <c r="AK17" s="138"/>
      <c r="AL17" s="161"/>
      <c r="AM17" s="134"/>
      <c r="AN17" s="138"/>
      <c r="AO17" s="136"/>
      <c r="AP17" s="134"/>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row>
    <row r="18" spans="1:74" ht="87.75" x14ac:dyDescent="0.2">
      <c r="A18" s="118">
        <v>3</v>
      </c>
      <c r="B18" s="125" t="s">
        <v>131</v>
      </c>
      <c r="C18" s="125" t="s">
        <v>234</v>
      </c>
      <c r="D18" s="125" t="s">
        <v>235</v>
      </c>
      <c r="E18" s="137" t="s">
        <v>236</v>
      </c>
      <c r="F18" s="125" t="s">
        <v>126</v>
      </c>
      <c r="G18" s="126">
        <v>12</v>
      </c>
      <c r="H18" s="139" t="str">
        <f>IF(G18&lt;=0,"",IF(G18&lt;=2,"Muy Baja",IF(G18&lt;=24,"Baja",IF(G18&lt;=500,"Media",IF(G18&lt;=5000,"Alta","Muy Alta")))))</f>
        <v>Baja</v>
      </c>
      <c r="I18" s="141">
        <f>IF(H18="","",IF(H18="Muy Baja",0.2,IF(H18="Baja",0.4,IF(H18="Media",0.6,IF(H18="Alta",0.8,IF(H18="Muy Alta",1,))))))</f>
        <v>0.4</v>
      </c>
      <c r="J18" s="142" t="s">
        <v>145</v>
      </c>
      <c r="K18" s="141" t="str">
        <f>IF(NOT(ISERROR(MATCH(J18,#REF!,0))),#REF!&amp;"Por favor no seleccionar los criterios de impacto(Afectación Económica o presupuestal y Pérdida Reputacional)",J18)</f>
        <v xml:space="preserve">     Entre 50 y 100 SMLMV </v>
      </c>
      <c r="L18" s="139" t="str">
        <f>IF(OR(K18='[1]Tabla Impacto'!$C$11,K18='[1]Tabla Impacto'!$D$11),"Leve",IF(OR(K18='[1]Tabla Impacto'!$C$12,K18='[1]Tabla Impacto'!$D$12),"Menor",IF(OR(K18='[1]Tabla Impacto'!$C$13,K18='[1]Tabla Impacto'!$D$13),"Moderado",IF(OR(K18='[1]Tabla Impacto'!$C$14,K18='[1]Tabla Impacto'!$D$14),"Mayor",IF(OR(K18='[1]Tabla Impacto'!$C$15,K18='[1]Tabla Impacto'!$D$15),"Catastrófico","")))))</f>
        <v>Moderado</v>
      </c>
      <c r="M18" s="141">
        <f>IF(L18="","",IF(L18="Leve",0.2,IF(L18="Menor",0.4,IF(L18="Moderado",0.6,IF(L18="Mayor",0.8,IF(L18="Catastrófico",1,))))))</f>
        <v>0.6</v>
      </c>
      <c r="N18" s="140" t="str">
        <f>IF(OR(AND(H18="Muy Baja",L18="Leve"),AND(H18="Muy Baja",L18="Menor"),AND(H18="Baja",L18="Leve")),"Bajo",IF(OR(AND(H18="Muy baja",L18="Moderado"),AND(H18="Baja",L18="Menor"),AND(H18="Baja",L18="Moderado"),AND(H18="Media",L18="Leve"),AND(H18="Media",L18="Menor"),AND(H18="Media",L18="Moderado"),AND(H18="Alta",L18="Leve"),AND(H18="Alta",L18="Menor")),"Moderado",IF(OR(AND(H18="Muy Baja",L18="Mayor"),AND(H18="Baja",L18="Mayor"),AND(H18="Media",L18="Mayor"),AND(H18="Alta",L18="Moderado"),AND(H18="Alta",L18="Mayor"),AND(H18="Muy Alta",L18="Leve"),AND(H18="Muy Alta",L18="Menor"),AND(H18="Muy Alta",L18="Moderado"),AND(H18="Muy Alta",L18="Mayor")),"Alto",IF(OR(AND(H18="Muy Baja",L18="Catastrófico"),AND(H18="Baja",L18="Catastrófico"),AND(H18="Media",L18="Catastrófico"),AND(H18="Alta",L18="Catastrófico"),AND(H18="Muy Alta",L18="Catastrófico")),"Extremo",""))))</f>
        <v>Moderado</v>
      </c>
      <c r="O18" s="118">
        <v>1</v>
      </c>
      <c r="P18" s="150" t="s">
        <v>241</v>
      </c>
      <c r="Q18" s="119" t="str">
        <f t="shared" si="5"/>
        <v>Probabilidad</v>
      </c>
      <c r="R18" s="120" t="s">
        <v>14</v>
      </c>
      <c r="S18" s="120" t="s">
        <v>9</v>
      </c>
      <c r="T18" s="121" t="str">
        <f>IF(AND(R18="Preventivo",S18="Automático"),"50%",IF(AND(R18="Preventivo",S18="Manual"),"40%",IF(AND(R18="Detectivo",S18="Automático"),"40%",IF(AND(R18="Detectivo",S18="Manual"),"30%",IF(AND(R18="Correctivo",S18="Automático"),"35%",IF(AND(R18="Correctivo",S18="Manual"),"25%",""))))))</f>
        <v>40%</v>
      </c>
      <c r="U18" s="120" t="s">
        <v>19</v>
      </c>
      <c r="V18" s="120" t="s">
        <v>22</v>
      </c>
      <c r="W18" s="120" t="s">
        <v>118</v>
      </c>
      <c r="X18" s="122">
        <f>IFERROR(IF(Q18="Probabilidad",(I18-(+I18*T18)),IF(Q18="Impacto",I18,"")),"")</f>
        <v>0.24</v>
      </c>
      <c r="Y18" s="123" t="str">
        <f>IFERROR(IF(X18="","",IF(X18&lt;=0.2,"Muy Baja",IF(X18&lt;=0.4,"Baja",IF(X18&lt;=0.6,"Media",IF(X18&lt;=0.8,"Alta","Muy Alta"))))),"")</f>
        <v>Baja</v>
      </c>
      <c r="Z18" s="121">
        <f>+X18</f>
        <v>0.24</v>
      </c>
      <c r="AA18" s="123" t="str">
        <f>IFERROR(IF(AB18="","",IF(AB18&lt;=0.2,"Leve",IF(AB18&lt;=0.4,"Menor",IF(AB18&lt;=0.6,"Moderado",IF(AB18&lt;=0.8,"Mayor","Catastrófico"))))),"")</f>
        <v>Moderado</v>
      </c>
      <c r="AB18" s="121">
        <f>IFERROR(IF(Q18="Impacto",(M18-(+M18*T18)),IF(Q18="Probabilidad",M18,"")),"")</f>
        <v>0.6</v>
      </c>
      <c r="AC18" s="124" t="str">
        <f>IFERROR(IF(OR(AND(Y18="Muy Baja",AA18="Leve"),AND(Y18="Muy Baja",AA18="Menor"),AND(Y18="Baja",AA18="Leve")),"Bajo",IF(OR(AND(Y18="Muy baja",AA18="Moderado"),AND(Y18="Baja",AA18="Menor"),AND(Y18="Baja",AA18="Moderado"),AND(Y18="Media",AA18="Leve"),AND(Y18="Media",AA18="Menor"),AND(Y18="Media",AA18="Moderado"),AND(Y18="Alta",AA18="Leve"),AND(Y18="Alta",AA18="Menor")),"Moderado",IF(OR(AND(Y18="Muy Baja",AA18="Mayor"),AND(Y18="Baja",AA18="Mayor"),AND(Y18="Media",AA18="Mayor"),AND(Y18="Alta",AA18="Moderado"),AND(Y18="Alta",AA18="Mayor"),AND(Y18="Muy Alta",AA18="Leve"),AND(Y18="Muy Alta",AA18="Menor"),AND(Y18="Muy Alta",AA18="Moderado"),AND(Y18="Muy Alta",AA18="Mayor")),"Alto",IF(OR(AND(Y18="Muy Baja",AA18="Catastrófico"),AND(Y18="Baja",AA18="Catastrófico"),AND(Y18="Media",AA18="Catastrófico"),AND(Y18="Alta",AA18="Catastrófico"),AND(Y18="Muy Alta",AA18="Catastrófico")),"Extremo","")))),"")</f>
        <v>Moderado</v>
      </c>
      <c r="AD18" s="120" t="s">
        <v>133</v>
      </c>
      <c r="AE18" s="154" t="s">
        <v>247</v>
      </c>
      <c r="AF18" s="126" t="s">
        <v>243</v>
      </c>
      <c r="AG18" s="127">
        <v>45688</v>
      </c>
      <c r="AH18" s="162"/>
      <c r="AI18" s="164"/>
      <c r="AJ18" s="163"/>
      <c r="AK18" s="162"/>
      <c r="AL18" s="165"/>
      <c r="AM18" s="163"/>
      <c r="AN18" s="138"/>
      <c r="AO18" s="136"/>
      <c r="AP18" s="134"/>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row>
    <row r="19" spans="1:74" ht="49.5" customHeight="1" x14ac:dyDescent="0.2">
      <c r="A19" s="118"/>
      <c r="B19" s="249" t="s">
        <v>210</v>
      </c>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1"/>
    </row>
    <row r="20" spans="1:74" x14ac:dyDescent="0.25">
      <c r="AH20" s="156"/>
      <c r="AI20" s="157"/>
      <c r="AJ20" s="158"/>
      <c r="AK20" s="156"/>
      <c r="AL20" s="157"/>
      <c r="AM20" s="158"/>
      <c r="AN20" s="156"/>
      <c r="AP20" s="159"/>
    </row>
    <row r="21" spans="1:74" x14ac:dyDescent="0.25">
      <c r="A21" s="110"/>
      <c r="B21" s="115" t="s">
        <v>140</v>
      </c>
      <c r="C21" s="110"/>
      <c r="D21" s="110"/>
      <c r="F21" s="110"/>
      <c r="AH21" s="156"/>
      <c r="AI21" s="157"/>
      <c r="AJ21" s="158"/>
      <c r="AK21" s="156"/>
      <c r="AL21" s="157"/>
      <c r="AM21" s="158"/>
      <c r="AN21" s="156"/>
      <c r="AP21" s="159"/>
    </row>
    <row r="22" spans="1:74" x14ac:dyDescent="0.25">
      <c r="AH22" s="156"/>
      <c r="AI22" s="157"/>
      <c r="AJ22" s="158"/>
      <c r="AK22" s="156"/>
      <c r="AL22" s="157"/>
      <c r="AM22" s="158"/>
      <c r="AN22" s="156"/>
      <c r="AP22" s="159"/>
    </row>
    <row r="23" spans="1:74" x14ac:dyDescent="0.25">
      <c r="AH23" s="156"/>
      <c r="AI23" s="157"/>
      <c r="AJ23" s="158"/>
      <c r="AK23" s="156"/>
      <c r="AL23" s="157"/>
      <c r="AM23" s="158"/>
      <c r="AN23" s="156"/>
      <c r="AP23" s="159"/>
    </row>
    <row r="24" spans="1:74" x14ac:dyDescent="0.25">
      <c r="AH24" s="156"/>
      <c r="AI24" s="157"/>
      <c r="AJ24" s="158"/>
      <c r="AK24" s="156"/>
      <c r="AL24" s="157"/>
      <c r="AM24" s="158"/>
      <c r="AN24" s="156"/>
      <c r="AP24" s="159"/>
    </row>
    <row r="25" spans="1:74" x14ac:dyDescent="0.25">
      <c r="AH25" s="110"/>
      <c r="AI25" s="110"/>
      <c r="AJ25" s="110"/>
      <c r="AK25" s="110"/>
      <c r="AL25" s="110"/>
      <c r="AM25" s="110"/>
    </row>
  </sheetData>
  <dataConsolidate/>
  <mergeCells count="91">
    <mergeCell ref="B19:AP19"/>
    <mergeCell ref="AD11:AD12"/>
    <mergeCell ref="C8:N8"/>
    <mergeCell ref="C9:N9"/>
    <mergeCell ref="O11:O12"/>
    <mergeCell ref="AC11:AC12"/>
    <mergeCell ref="AB11:AB12"/>
    <mergeCell ref="X11:X12"/>
    <mergeCell ref="P11:P12"/>
    <mergeCell ref="A10:G10"/>
    <mergeCell ref="H10:N10"/>
    <mergeCell ref="O10:W10"/>
    <mergeCell ref="X10:AD10"/>
    <mergeCell ref="I11:I12"/>
    <mergeCell ref="L11:L12"/>
    <mergeCell ref="M11:M12"/>
    <mergeCell ref="B11:B12"/>
    <mergeCell ref="AA11:AA12"/>
    <mergeCell ref="Y11:Y12"/>
    <mergeCell ref="Z11:Z12"/>
    <mergeCell ref="A1:C5"/>
    <mergeCell ref="D1:N2"/>
    <mergeCell ref="D3:N3"/>
    <mergeCell ref="D4:N4"/>
    <mergeCell ref="D5:F5"/>
    <mergeCell ref="G5:I5"/>
    <mergeCell ref="J5:N5"/>
    <mergeCell ref="A7:B7"/>
    <mergeCell ref="A8:B8"/>
    <mergeCell ref="A9:B9"/>
    <mergeCell ref="A11:A12"/>
    <mergeCell ref="F11:F12"/>
    <mergeCell ref="L13:L15"/>
    <mergeCell ref="M13:M15"/>
    <mergeCell ref="C7:N7"/>
    <mergeCell ref="G11:G12"/>
    <mergeCell ref="H11:H12"/>
    <mergeCell ref="N11:N12"/>
    <mergeCell ref="J11:J12"/>
    <mergeCell ref="K11:K12"/>
    <mergeCell ref="N13:N15"/>
    <mergeCell ref="E11:E12"/>
    <mergeCell ref="D11:D12"/>
    <mergeCell ref="C11:C12"/>
    <mergeCell ref="J13:J15"/>
    <mergeCell ref="K13:K15"/>
    <mergeCell ref="O7:Q7"/>
    <mergeCell ref="Q11:Q12"/>
    <mergeCell ref="R11:W11"/>
    <mergeCell ref="AH10:AJ10"/>
    <mergeCell ref="AK10:AM10"/>
    <mergeCell ref="AE10:AG10"/>
    <mergeCell ref="AA13:AA14"/>
    <mergeCell ref="AC13:AC14"/>
    <mergeCell ref="AD13:AD14"/>
    <mergeCell ref="AE11:AE12"/>
    <mergeCell ref="AG11:AG12"/>
    <mergeCell ref="AF11:AF12"/>
    <mergeCell ref="AN10:AP10"/>
    <mergeCell ref="AH11:AH12"/>
    <mergeCell ref="AI11:AI12"/>
    <mergeCell ref="AJ11:AJ12"/>
    <mergeCell ref="AK11:AK12"/>
    <mergeCell ref="AL11:AL12"/>
    <mergeCell ref="AM11:AM12"/>
    <mergeCell ref="AN11:AN12"/>
    <mergeCell ref="AO11:AO12"/>
    <mergeCell ref="AP11:AP12"/>
    <mergeCell ref="I16:I17"/>
    <mergeCell ref="J16:J17"/>
    <mergeCell ref="A16:A17"/>
    <mergeCell ref="B16:B17"/>
    <mergeCell ref="C16:C17"/>
    <mergeCell ref="D16:D17"/>
    <mergeCell ref="E16:E17"/>
    <mergeCell ref="K16:K17"/>
    <mergeCell ref="L16:L17"/>
    <mergeCell ref="M16:M17"/>
    <mergeCell ref="N16:N17"/>
    <mergeCell ref="A13:A15"/>
    <mergeCell ref="B13:B15"/>
    <mergeCell ref="C13:C15"/>
    <mergeCell ref="D13:D15"/>
    <mergeCell ref="E13:E15"/>
    <mergeCell ref="F13:F15"/>
    <mergeCell ref="G13:G15"/>
    <mergeCell ref="H13:H15"/>
    <mergeCell ref="I13:I15"/>
    <mergeCell ref="F16:F17"/>
    <mergeCell ref="G16:G17"/>
    <mergeCell ref="H16:H17"/>
  </mergeCells>
  <phoneticPr fontId="70" type="noConversion"/>
  <conditionalFormatting sqref="H13 H16">
    <cfRule type="cellIs" dxfId="54" priority="67" operator="equal">
      <formula>"Baja"</formula>
    </cfRule>
    <cfRule type="cellIs" dxfId="53" priority="66" operator="equal">
      <formula>"Media"</formula>
    </cfRule>
    <cfRule type="cellIs" dxfId="52" priority="65" operator="equal">
      <formula>"Alta"</formula>
    </cfRule>
    <cfRule type="cellIs" dxfId="51" priority="64" operator="equal">
      <formula>"Muy Alta"</formula>
    </cfRule>
    <cfRule type="cellIs" dxfId="50" priority="68" operator="equal">
      <formula>"Muy Baja"</formula>
    </cfRule>
  </conditionalFormatting>
  <conditionalFormatting sqref="H18">
    <cfRule type="cellIs" dxfId="49" priority="50" operator="equal">
      <formula>"Muy Baja"</formula>
    </cfRule>
    <cfRule type="cellIs" dxfId="48" priority="48" operator="equal">
      <formula>"Media"</formula>
    </cfRule>
    <cfRule type="cellIs" dxfId="47" priority="49" operator="equal">
      <formula>"Baja"</formula>
    </cfRule>
    <cfRule type="cellIs" dxfId="46" priority="47" operator="equal">
      <formula>"Alta"</formula>
    </cfRule>
    <cfRule type="cellIs" dxfId="45" priority="46" operator="equal">
      <formula>"Muy Alta"</formula>
    </cfRule>
  </conditionalFormatting>
  <conditionalFormatting sqref="K13:K18">
    <cfRule type="containsText" dxfId="44" priority="41" operator="containsText" text="❌">
      <formula>NOT(ISERROR(SEARCH("❌",K13)))</formula>
    </cfRule>
  </conditionalFormatting>
  <conditionalFormatting sqref="L13 L16 L18">
    <cfRule type="cellIs" dxfId="43" priority="40" operator="equal">
      <formula>"Leve"</formula>
    </cfRule>
    <cfRule type="cellIs" dxfId="42" priority="38" operator="equal">
      <formula>"Moderado"</formula>
    </cfRule>
    <cfRule type="cellIs" dxfId="41" priority="37" operator="equal">
      <formula>"Mayor"</formula>
    </cfRule>
    <cfRule type="cellIs" dxfId="40" priority="36" operator="equal">
      <formula>"Catastrófico"</formula>
    </cfRule>
    <cfRule type="cellIs" dxfId="39" priority="39" operator="equal">
      <formula>"Menor"</formula>
    </cfRule>
  </conditionalFormatting>
  <conditionalFormatting sqref="N13">
    <cfRule type="cellIs" dxfId="38" priority="35" operator="equal">
      <formula>"Bajo"</formula>
    </cfRule>
    <cfRule type="cellIs" dxfId="37" priority="34" operator="equal">
      <formula>"Moderado"</formula>
    </cfRule>
    <cfRule type="cellIs" dxfId="36" priority="33" operator="equal">
      <formula>"Alto"</formula>
    </cfRule>
    <cfRule type="cellIs" dxfId="35" priority="32" operator="equal">
      <formula>"Extremo"</formula>
    </cfRule>
  </conditionalFormatting>
  <conditionalFormatting sqref="N16">
    <cfRule type="cellIs" dxfId="34" priority="31" operator="equal">
      <formula>"Bajo"</formula>
    </cfRule>
    <cfRule type="cellIs" dxfId="33" priority="30" operator="equal">
      <formula>"Moderado"</formula>
    </cfRule>
    <cfRule type="cellIs" dxfId="32" priority="29" operator="equal">
      <formula>"Alto"</formula>
    </cfRule>
    <cfRule type="cellIs" dxfId="31" priority="28" operator="equal">
      <formula>"Extremo"</formula>
    </cfRule>
  </conditionalFormatting>
  <conditionalFormatting sqref="N18">
    <cfRule type="cellIs" dxfId="30" priority="25" operator="equal">
      <formula>"Alto"</formula>
    </cfRule>
    <cfRule type="cellIs" dxfId="29" priority="26" operator="equal">
      <formula>"Moderado"</formula>
    </cfRule>
    <cfRule type="cellIs" dxfId="28" priority="27" operator="equal">
      <formula>"Bajo"</formula>
    </cfRule>
    <cfRule type="cellIs" dxfId="27" priority="24" operator="equal">
      <formula>"Extremo"</formula>
    </cfRule>
  </conditionalFormatting>
  <conditionalFormatting sqref="Y13:Y18">
    <cfRule type="cellIs" dxfId="26" priority="5" operator="equal">
      <formula>"Muy Baja"</formula>
    </cfRule>
    <cfRule type="cellIs" dxfId="25" priority="4" operator="equal">
      <formula>"Baja"</formula>
    </cfRule>
    <cfRule type="cellIs" dxfId="24" priority="3" operator="equal">
      <formula>"Media"</formula>
    </cfRule>
    <cfRule type="cellIs" dxfId="23" priority="2" operator="equal">
      <formula>"Alta"</formula>
    </cfRule>
    <cfRule type="cellIs" dxfId="22" priority="1" operator="equal">
      <formula>"Muy Alta"</formula>
    </cfRule>
  </conditionalFormatting>
  <conditionalFormatting sqref="AA13">
    <cfRule type="cellIs" dxfId="21" priority="22" operator="equal">
      <formula>"Menor"</formula>
    </cfRule>
    <cfRule type="cellIs" dxfId="20" priority="21" operator="equal">
      <formula>"Moderado"</formula>
    </cfRule>
    <cfRule type="cellIs" dxfId="19" priority="19" operator="equal">
      <formula>"Catastrófico"</formula>
    </cfRule>
    <cfRule type="cellIs" dxfId="18" priority="20" operator="equal">
      <formula>"Mayor"</formula>
    </cfRule>
    <cfRule type="cellIs" dxfId="17" priority="23" operator="equal">
      <formula>"Leve"</formula>
    </cfRule>
  </conditionalFormatting>
  <conditionalFormatting sqref="AA15:AA18">
    <cfRule type="cellIs" dxfId="16" priority="14" operator="equal">
      <formula>"Leve"</formula>
    </cfRule>
    <cfRule type="cellIs" dxfId="15" priority="12" operator="equal">
      <formula>"Moderado"</formula>
    </cfRule>
    <cfRule type="cellIs" dxfId="14" priority="11" operator="equal">
      <formula>"Mayor"</formula>
    </cfRule>
    <cfRule type="cellIs" dxfId="13" priority="10" operator="equal">
      <formula>"Catastrófico"</formula>
    </cfRule>
    <cfRule type="cellIs" dxfId="12" priority="13" operator="equal">
      <formula>"Menor"</formula>
    </cfRule>
  </conditionalFormatting>
  <conditionalFormatting sqref="AC13">
    <cfRule type="cellIs" dxfId="11" priority="18" operator="equal">
      <formula>"Bajo"</formula>
    </cfRule>
    <cfRule type="cellIs" dxfId="10" priority="17" operator="equal">
      <formula>"Moderado"</formula>
    </cfRule>
    <cfRule type="cellIs" dxfId="9" priority="16" operator="equal">
      <formula>"Alto"</formula>
    </cfRule>
    <cfRule type="cellIs" dxfId="8" priority="15" operator="equal">
      <formula>"Extremo"</formula>
    </cfRule>
  </conditionalFormatting>
  <conditionalFormatting sqref="AC15:AC18">
    <cfRule type="cellIs" dxfId="7" priority="7" operator="equal">
      <formula>"Alto"</formula>
    </cfRule>
    <cfRule type="cellIs" dxfId="6" priority="9" operator="equal">
      <formula>"Bajo"</formula>
    </cfRule>
    <cfRule type="cellIs" dxfId="5" priority="8" operator="equal">
      <formula>"Moderado"</formula>
    </cfRule>
    <cfRule type="cellIs" dxfId="4" priority="6" operator="equal">
      <formula>"Extremo"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custom" allowBlank="1" showInputMessage="1" showErrorMessage="1" error="Recuerde que las acciones se generan bajo la medida de mitigar el riesgo" xr:uid="{00000000-0002-0000-0100-000009000000}">
          <x14:formula1>
            <xm:f>IF(OR(AD13='Opciones Tratamiento'!$B$2,AD13='Opciones Tratamiento'!$B$3,AD13='Opciones Tratamiento'!$B$4),ISBLANK(AD13),ISTEXT(AD13))</xm:f>
          </x14:formula1>
          <xm:sqref>AE13:AE18</xm:sqref>
        </x14:dataValidation>
        <x14:dataValidation type="custom" allowBlank="1" showInputMessage="1" showErrorMessage="1" error="Recuerde que las acciones se generan bajo la medida de mitigar el riesgo" xr:uid="{00000000-0002-0000-0100-00000A000000}">
          <x14:formula1>
            <xm:f>IF(OR(AD13='Opciones Tratamiento'!$B$2,AD13='Opciones Tratamiento'!$B$3,AD13='Opciones Tratamiento'!$B$4),ISBLANK(AD13),ISTEXT(AD13))</xm:f>
          </x14:formula1>
          <xm:sqref>AF13:AF18</xm:sqref>
        </x14:dataValidation>
        <x14:dataValidation type="custom" allowBlank="1" showInputMessage="1" showErrorMessage="1" error="Recuerde que las acciones se generan bajo la medida de mitigar el riesgo" xr:uid="{00000000-0002-0000-0100-00000B000000}">
          <x14:formula1>
            <xm:f>IF(OR(AD13='Opciones Tratamiento'!$B$2,AD13='Opciones Tratamiento'!$B$3,AD13='Opciones Tratamiento'!$B$4),ISBLANK(AD13),ISTEXT(AD13))</xm:f>
          </x14:formula1>
          <xm:sqref>AG13:AG18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topLeftCell="A3" zoomScale="50" zoomScaleNormal="50" workbookViewId="0">
      <selection activeCell="P8" sqref="P8:Q9"/>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258" t="s">
        <v>157</v>
      </c>
      <c r="C2" s="258"/>
      <c r="D2" s="258"/>
      <c r="E2" s="258"/>
      <c r="F2" s="258"/>
      <c r="G2" s="258"/>
      <c r="H2" s="258"/>
      <c r="I2" s="258"/>
      <c r="J2" s="295" t="s">
        <v>2</v>
      </c>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258"/>
      <c r="C3" s="258"/>
      <c r="D3" s="258"/>
      <c r="E3" s="258"/>
      <c r="F3" s="258"/>
      <c r="G3" s="258"/>
      <c r="H3" s="258"/>
      <c r="I3" s="258"/>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258"/>
      <c r="C4" s="258"/>
      <c r="D4" s="258"/>
      <c r="E4" s="258"/>
      <c r="F4" s="258"/>
      <c r="G4" s="258"/>
      <c r="H4" s="258"/>
      <c r="I4" s="258"/>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306" t="s">
        <v>4</v>
      </c>
      <c r="C6" s="306"/>
      <c r="D6" s="307"/>
      <c r="E6" s="296" t="s">
        <v>114</v>
      </c>
      <c r="F6" s="297"/>
      <c r="G6" s="297"/>
      <c r="H6" s="297"/>
      <c r="I6" s="298"/>
      <c r="J6" s="292" t="str">
        <f>IF(AND('Mapa final'!$H$13="Muy Alta",'Mapa final'!$L$13="Leve"),CONCATENATE("R",'Mapa final'!$A$13),"")</f>
        <v/>
      </c>
      <c r="K6" s="293"/>
      <c r="L6" s="293" t="e">
        <f>IF(AND('Mapa final'!#REF!="Muy Alta",'Mapa final'!#REF!="Leve"),CONCATENATE("R",'Mapa final'!#REF!),"")</f>
        <v>#REF!</v>
      </c>
      <c r="M6" s="293"/>
      <c r="N6" s="293" t="e">
        <f>IF(AND('Mapa final'!#REF!="Muy Alta",'Mapa final'!#REF!="Leve"),CONCATENATE("R",'Mapa final'!#REF!),"")</f>
        <v>#REF!</v>
      </c>
      <c r="O6" s="294"/>
      <c r="P6" s="292" t="str">
        <f>IF(AND('Mapa final'!$H$13="Muy Alta",'Mapa final'!$L$13="Menor"),CONCATENATE("R",'Mapa final'!$A$13),"")</f>
        <v/>
      </c>
      <c r="Q6" s="293"/>
      <c r="R6" s="293" t="e">
        <f>IF(AND('Mapa final'!#REF!="Muy Alta",'Mapa final'!#REF!="Menor"),CONCATENATE("R",'Mapa final'!#REF!),"")</f>
        <v>#REF!</v>
      </c>
      <c r="S6" s="293"/>
      <c r="T6" s="293" t="e">
        <f>IF(AND('Mapa final'!#REF!="Muy Alta",'Mapa final'!#REF!="Menor"),CONCATENATE("R",'Mapa final'!#REF!),"")</f>
        <v>#REF!</v>
      </c>
      <c r="U6" s="294"/>
      <c r="V6" s="292" t="str">
        <f>IF(AND('Mapa final'!$H$13="Muy Alta",'Mapa final'!$L$13="Moderado"),CONCATENATE("R",'Mapa final'!$A$13),"")</f>
        <v/>
      </c>
      <c r="W6" s="293"/>
      <c r="X6" s="293" t="e">
        <f>IF(AND('Mapa final'!#REF!="Muy Alta",'Mapa final'!#REF!="Moderado"),CONCATENATE("R",'Mapa final'!#REF!),"")</f>
        <v>#REF!</v>
      </c>
      <c r="Y6" s="293"/>
      <c r="Z6" s="293" t="e">
        <f>IF(AND('Mapa final'!#REF!="Muy Alta",'Mapa final'!#REF!="Moderado"),CONCATENATE("R",'Mapa final'!#REF!),"")</f>
        <v>#REF!</v>
      </c>
      <c r="AA6" s="294"/>
      <c r="AB6" s="292" t="str">
        <f>IF(AND('Mapa final'!$H$13="Muy Alta",'Mapa final'!$L$13="Mayor"),CONCATENATE("R",'Mapa final'!$A$13),"")</f>
        <v/>
      </c>
      <c r="AC6" s="293"/>
      <c r="AD6" s="293" t="e">
        <f>IF(AND('Mapa final'!#REF!="Muy Alta",'Mapa final'!#REF!="Mayor"),CONCATENATE("R",'Mapa final'!#REF!),"")</f>
        <v>#REF!</v>
      </c>
      <c r="AE6" s="293"/>
      <c r="AF6" s="293" t="e">
        <f>IF(AND('Mapa final'!#REF!="Muy Alta",'Mapa final'!#REF!="Mayor"),CONCATENATE("R",'Mapa final'!#REF!),"")</f>
        <v>#REF!</v>
      </c>
      <c r="AG6" s="294"/>
      <c r="AH6" s="283" t="str">
        <f>IF(AND('Mapa final'!$H$13="Muy Alta",'Mapa final'!$L$13="Catastrófico"),CONCATENATE("R",'Mapa final'!$A$13),"")</f>
        <v/>
      </c>
      <c r="AI6" s="284"/>
      <c r="AJ6" s="284" t="e">
        <f>IF(AND('Mapa final'!#REF!="Muy Alta",'Mapa final'!#REF!="Catastrófico"),CONCATENATE("R",'Mapa final'!#REF!),"")</f>
        <v>#REF!</v>
      </c>
      <c r="AK6" s="284"/>
      <c r="AL6" s="284" t="e">
        <f>IF(AND('Mapa final'!#REF!="Muy Alta",'Mapa final'!#REF!="Catastrófico"),CONCATENATE("R",'Mapa final'!#REF!),"")</f>
        <v>#REF!</v>
      </c>
      <c r="AM6" s="285"/>
      <c r="AO6" s="308" t="s">
        <v>77</v>
      </c>
      <c r="AP6" s="309"/>
      <c r="AQ6" s="309"/>
      <c r="AR6" s="309"/>
      <c r="AS6" s="309"/>
      <c r="AT6" s="310"/>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306"/>
      <c r="C7" s="306"/>
      <c r="D7" s="307"/>
      <c r="E7" s="299"/>
      <c r="F7" s="300"/>
      <c r="G7" s="300"/>
      <c r="H7" s="300"/>
      <c r="I7" s="301"/>
      <c r="J7" s="286"/>
      <c r="K7" s="287"/>
      <c r="L7" s="287"/>
      <c r="M7" s="287"/>
      <c r="N7" s="287"/>
      <c r="O7" s="288"/>
      <c r="P7" s="286"/>
      <c r="Q7" s="287"/>
      <c r="R7" s="287"/>
      <c r="S7" s="287"/>
      <c r="T7" s="287"/>
      <c r="U7" s="288"/>
      <c r="V7" s="286"/>
      <c r="W7" s="287"/>
      <c r="X7" s="287"/>
      <c r="Y7" s="287"/>
      <c r="Z7" s="287"/>
      <c r="AA7" s="288"/>
      <c r="AB7" s="286"/>
      <c r="AC7" s="287"/>
      <c r="AD7" s="287"/>
      <c r="AE7" s="287"/>
      <c r="AF7" s="287"/>
      <c r="AG7" s="288"/>
      <c r="AH7" s="277"/>
      <c r="AI7" s="278"/>
      <c r="AJ7" s="278"/>
      <c r="AK7" s="278"/>
      <c r="AL7" s="278"/>
      <c r="AM7" s="279"/>
      <c r="AN7" s="69"/>
      <c r="AO7" s="311"/>
      <c r="AP7" s="312"/>
      <c r="AQ7" s="312"/>
      <c r="AR7" s="312"/>
      <c r="AS7" s="312"/>
      <c r="AT7" s="313"/>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306"/>
      <c r="C8" s="306"/>
      <c r="D8" s="307"/>
      <c r="E8" s="299"/>
      <c r="F8" s="300"/>
      <c r="G8" s="300"/>
      <c r="H8" s="300"/>
      <c r="I8" s="301"/>
      <c r="J8" s="286"/>
      <c r="K8" s="287"/>
      <c r="L8" s="287"/>
      <c r="M8" s="287"/>
      <c r="N8" s="287" t="e">
        <f>IF(AND('Mapa final'!#REF!="Muy Alta",'Mapa final'!#REF!="Leve"),CONCATENATE("R",'Mapa final'!#REF!),"")</f>
        <v>#REF!</v>
      </c>
      <c r="O8" s="288"/>
      <c r="P8" s="286" t="e">
        <f>IF(AND('Mapa final'!#REF!="Muy Alta",'Mapa final'!#REF!="Menor"),CONCATENATE("R",'Mapa final'!#REF!),"")</f>
        <v>#REF!</v>
      </c>
      <c r="Q8" s="287"/>
      <c r="R8" s="287" t="e">
        <f>IF(AND('Mapa final'!#REF!="Muy Alta",'Mapa final'!#REF!="Menor"),CONCATENATE("R",'Mapa final'!#REF!),"")</f>
        <v>#REF!</v>
      </c>
      <c r="S8" s="287"/>
      <c r="T8" s="287" t="e">
        <f>IF(AND('Mapa final'!#REF!="Muy Alta",'Mapa final'!#REF!="Menor"),CONCATENATE("R",'Mapa final'!#REF!),"")</f>
        <v>#REF!</v>
      </c>
      <c r="U8" s="288"/>
      <c r="V8" s="286" t="e">
        <f>IF(AND('Mapa final'!#REF!="Muy Alta",'Mapa final'!#REF!="Moderado"),CONCATENATE("R",'Mapa final'!#REF!),"")</f>
        <v>#REF!</v>
      </c>
      <c r="W8" s="287"/>
      <c r="X8" s="287" t="e">
        <f>IF(AND('Mapa final'!#REF!="Muy Alta",'Mapa final'!#REF!="Moderado"),CONCATENATE("R",'Mapa final'!#REF!),"")</f>
        <v>#REF!</v>
      </c>
      <c r="Y8" s="287"/>
      <c r="Z8" s="287" t="e">
        <f>IF(AND('Mapa final'!#REF!="Muy Alta",'Mapa final'!#REF!="Moderado"),CONCATENATE("R",'Mapa final'!#REF!),"")</f>
        <v>#REF!</v>
      </c>
      <c r="AA8" s="288"/>
      <c r="AB8" s="286" t="e">
        <f>IF(AND('Mapa final'!#REF!="Muy Alta",'Mapa final'!#REF!="Mayor"),CONCATENATE("R",'Mapa final'!#REF!),"")</f>
        <v>#REF!</v>
      </c>
      <c r="AC8" s="287"/>
      <c r="AD8" s="287" t="e">
        <f>IF(AND('Mapa final'!#REF!="Muy Alta",'Mapa final'!#REF!="Mayor"),CONCATENATE("R",'Mapa final'!#REF!),"")</f>
        <v>#REF!</v>
      </c>
      <c r="AE8" s="287"/>
      <c r="AF8" s="287" t="e">
        <f>IF(AND('Mapa final'!#REF!="Muy Alta",'Mapa final'!#REF!="Mayor"),CONCATENATE("R",'Mapa final'!#REF!),"")</f>
        <v>#REF!</v>
      </c>
      <c r="AG8" s="288"/>
      <c r="AH8" s="277" t="e">
        <f>IF(AND('Mapa final'!#REF!="Muy Alta",'Mapa final'!#REF!="Catastrófico"),CONCATENATE("R",'Mapa final'!#REF!),"")</f>
        <v>#REF!</v>
      </c>
      <c r="AI8" s="278"/>
      <c r="AJ8" s="278" t="e">
        <f>IF(AND('Mapa final'!#REF!="Muy Alta",'Mapa final'!#REF!="Catastrófico"),CONCATENATE("R",'Mapa final'!#REF!),"")</f>
        <v>#REF!</v>
      </c>
      <c r="AK8" s="278"/>
      <c r="AL8" s="278" t="e">
        <f>IF(AND('Mapa final'!#REF!="Muy Alta",'Mapa final'!#REF!="Catastrófico"),CONCATENATE("R",'Mapa final'!#REF!),"")</f>
        <v>#REF!</v>
      </c>
      <c r="AM8" s="279"/>
      <c r="AN8" s="69"/>
      <c r="AO8" s="311"/>
      <c r="AP8" s="312"/>
      <c r="AQ8" s="312"/>
      <c r="AR8" s="312"/>
      <c r="AS8" s="312"/>
      <c r="AT8" s="313"/>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306"/>
      <c r="C9" s="306"/>
      <c r="D9" s="307"/>
      <c r="E9" s="299"/>
      <c r="F9" s="300"/>
      <c r="G9" s="300"/>
      <c r="H9" s="300"/>
      <c r="I9" s="301"/>
      <c r="J9" s="286"/>
      <c r="K9" s="287"/>
      <c r="L9" s="287"/>
      <c r="M9" s="287"/>
      <c r="N9" s="287"/>
      <c r="O9" s="288"/>
      <c r="P9" s="286"/>
      <c r="Q9" s="287"/>
      <c r="R9" s="287"/>
      <c r="S9" s="287"/>
      <c r="T9" s="287"/>
      <c r="U9" s="288"/>
      <c r="V9" s="286"/>
      <c r="W9" s="287"/>
      <c r="X9" s="287"/>
      <c r="Y9" s="287"/>
      <c r="Z9" s="287"/>
      <c r="AA9" s="288"/>
      <c r="AB9" s="286"/>
      <c r="AC9" s="287"/>
      <c r="AD9" s="287"/>
      <c r="AE9" s="287"/>
      <c r="AF9" s="287"/>
      <c r="AG9" s="288"/>
      <c r="AH9" s="277"/>
      <c r="AI9" s="278"/>
      <c r="AJ9" s="278"/>
      <c r="AK9" s="278"/>
      <c r="AL9" s="278"/>
      <c r="AM9" s="279"/>
      <c r="AN9" s="69"/>
      <c r="AO9" s="311"/>
      <c r="AP9" s="312"/>
      <c r="AQ9" s="312"/>
      <c r="AR9" s="312"/>
      <c r="AS9" s="312"/>
      <c r="AT9" s="313"/>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306"/>
      <c r="C10" s="306"/>
      <c r="D10" s="307"/>
      <c r="E10" s="299"/>
      <c r="F10" s="300"/>
      <c r="G10" s="300"/>
      <c r="H10" s="300"/>
      <c r="I10" s="301"/>
      <c r="J10" s="286" t="e">
        <f>IF(AND('Mapa final'!#REF!="Muy Alta",'Mapa final'!#REF!="Leve"),CONCATENATE("R",'Mapa final'!#REF!),"")</f>
        <v>#REF!</v>
      </c>
      <c r="K10" s="287"/>
      <c r="L10" s="287" t="e">
        <f>IF(AND('Mapa final'!#REF!="Muy Alta",'Mapa final'!#REF!="Leve"),CONCATENATE("R",'Mapa final'!#REF!),"")</f>
        <v>#REF!</v>
      </c>
      <c r="M10" s="287"/>
      <c r="N10" s="287" t="e">
        <f>IF(AND('Mapa final'!#REF!="Muy Alta",'Mapa final'!#REF!="Leve"),CONCATENATE("R",'Mapa final'!#REF!),"")</f>
        <v>#REF!</v>
      </c>
      <c r="O10" s="288"/>
      <c r="P10" s="286" t="e">
        <f>IF(AND('Mapa final'!#REF!="Muy Alta",'Mapa final'!#REF!="Menor"),CONCATENATE("R",'Mapa final'!#REF!),"")</f>
        <v>#REF!</v>
      </c>
      <c r="Q10" s="287"/>
      <c r="R10" s="287" t="e">
        <f>IF(AND('Mapa final'!#REF!="Muy Alta",'Mapa final'!#REF!="Menor"),CONCATENATE("R",'Mapa final'!#REF!),"")</f>
        <v>#REF!</v>
      </c>
      <c r="S10" s="287"/>
      <c r="T10" s="287" t="e">
        <f>IF(AND('Mapa final'!#REF!="Muy Alta",'Mapa final'!#REF!="Menor"),CONCATENATE("R",'Mapa final'!#REF!),"")</f>
        <v>#REF!</v>
      </c>
      <c r="U10" s="288"/>
      <c r="V10" s="286" t="e">
        <f>IF(AND('Mapa final'!#REF!="Muy Alta",'Mapa final'!#REF!="Moderado"),CONCATENATE("R",'Mapa final'!#REF!),"")</f>
        <v>#REF!</v>
      </c>
      <c r="W10" s="287"/>
      <c r="X10" s="287" t="e">
        <f>IF(AND('Mapa final'!#REF!="Muy Alta",'Mapa final'!#REF!="Moderado"),CONCATENATE("R",'Mapa final'!#REF!),"")</f>
        <v>#REF!</v>
      </c>
      <c r="Y10" s="287"/>
      <c r="Z10" s="287" t="e">
        <f>IF(AND('Mapa final'!#REF!="Muy Alta",'Mapa final'!#REF!="Moderado"),CONCATENATE("R",'Mapa final'!#REF!),"")</f>
        <v>#REF!</v>
      </c>
      <c r="AA10" s="288"/>
      <c r="AB10" s="286" t="e">
        <f>IF(AND('Mapa final'!#REF!="Muy Alta",'Mapa final'!#REF!="Mayor"),CONCATENATE("R",'Mapa final'!#REF!),"")</f>
        <v>#REF!</v>
      </c>
      <c r="AC10" s="287"/>
      <c r="AD10" s="287" t="e">
        <f>IF(AND('Mapa final'!#REF!="Muy Alta",'Mapa final'!#REF!="Mayor"),CONCATENATE("R",'Mapa final'!#REF!),"")</f>
        <v>#REF!</v>
      </c>
      <c r="AE10" s="287"/>
      <c r="AF10" s="287" t="e">
        <f>IF(AND('Mapa final'!#REF!="Muy Alta",'Mapa final'!#REF!="Mayor"),CONCATENATE("R",'Mapa final'!#REF!),"")</f>
        <v>#REF!</v>
      </c>
      <c r="AG10" s="288"/>
      <c r="AH10" s="277" t="e">
        <f>IF(AND('Mapa final'!#REF!="Muy Alta",'Mapa final'!#REF!="Catastrófico"),CONCATENATE("R",'Mapa final'!#REF!),"")</f>
        <v>#REF!</v>
      </c>
      <c r="AI10" s="278"/>
      <c r="AJ10" s="278" t="e">
        <f>IF(AND('Mapa final'!#REF!="Muy Alta",'Mapa final'!#REF!="Catastrófico"),CONCATENATE("R",'Mapa final'!#REF!),"")</f>
        <v>#REF!</v>
      </c>
      <c r="AK10" s="278"/>
      <c r="AL10" s="278" t="e">
        <f>IF(AND('Mapa final'!#REF!="Muy Alta",'Mapa final'!#REF!="Catastrófico"),CONCATENATE("R",'Mapa final'!#REF!),"")</f>
        <v>#REF!</v>
      </c>
      <c r="AM10" s="279"/>
      <c r="AN10" s="69"/>
      <c r="AO10" s="311"/>
      <c r="AP10" s="312"/>
      <c r="AQ10" s="312"/>
      <c r="AR10" s="312"/>
      <c r="AS10" s="312"/>
      <c r="AT10" s="313"/>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306"/>
      <c r="C11" s="306"/>
      <c r="D11" s="307"/>
      <c r="E11" s="299"/>
      <c r="F11" s="300"/>
      <c r="G11" s="300"/>
      <c r="H11" s="300"/>
      <c r="I11" s="301"/>
      <c r="J11" s="286"/>
      <c r="K11" s="287"/>
      <c r="L11" s="287"/>
      <c r="M11" s="287"/>
      <c r="N11" s="287"/>
      <c r="O11" s="288"/>
      <c r="P11" s="286"/>
      <c r="Q11" s="287"/>
      <c r="R11" s="287"/>
      <c r="S11" s="287"/>
      <c r="T11" s="287"/>
      <c r="U11" s="288"/>
      <c r="V11" s="286"/>
      <c r="W11" s="287"/>
      <c r="X11" s="287"/>
      <c r="Y11" s="287"/>
      <c r="Z11" s="287"/>
      <c r="AA11" s="288"/>
      <c r="AB11" s="286"/>
      <c r="AC11" s="287"/>
      <c r="AD11" s="287"/>
      <c r="AE11" s="287"/>
      <c r="AF11" s="287"/>
      <c r="AG11" s="288"/>
      <c r="AH11" s="277"/>
      <c r="AI11" s="278"/>
      <c r="AJ11" s="278"/>
      <c r="AK11" s="278"/>
      <c r="AL11" s="278"/>
      <c r="AM11" s="279"/>
      <c r="AN11" s="69"/>
      <c r="AO11" s="311"/>
      <c r="AP11" s="312"/>
      <c r="AQ11" s="312"/>
      <c r="AR11" s="312"/>
      <c r="AS11" s="312"/>
      <c r="AT11" s="313"/>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306"/>
      <c r="C12" s="306"/>
      <c r="D12" s="307"/>
      <c r="E12" s="299"/>
      <c r="F12" s="300"/>
      <c r="G12" s="300"/>
      <c r="H12" s="300"/>
      <c r="I12" s="301"/>
      <c r="J12" s="286" t="e">
        <f>IF(AND('Mapa final'!#REF!="Muy Alta",'Mapa final'!#REF!="Leve"),CONCATENATE("R",'Mapa final'!#REF!),"")</f>
        <v>#REF!</v>
      </c>
      <c r="K12" s="287"/>
      <c r="L12" s="287" t="str">
        <f>IF(AND('Mapa final'!$H$19="Muy Alta",'Mapa final'!$L$19="Leve"),CONCATENATE("R",'Mapa final'!$A$19),"")</f>
        <v/>
      </c>
      <c r="M12" s="287"/>
      <c r="N12" s="287" t="str">
        <f>IF(AND('Mapa final'!$H$25="Muy Alta",'Mapa final'!$L$25="Leve"),CONCATENATE("R",'Mapa final'!$A$25),"")</f>
        <v/>
      </c>
      <c r="O12" s="288"/>
      <c r="P12" s="286" t="e">
        <f>IF(AND('Mapa final'!#REF!="Muy Alta",'Mapa final'!#REF!="Menor"),CONCATENATE("R",'Mapa final'!#REF!),"")</f>
        <v>#REF!</v>
      </c>
      <c r="Q12" s="287"/>
      <c r="R12" s="287" t="str">
        <f>IF(AND('Mapa final'!$H$19="Muy Alta",'Mapa final'!$L$19="Menor"),CONCATENATE("R",'Mapa final'!$A$19),"")</f>
        <v/>
      </c>
      <c r="S12" s="287"/>
      <c r="T12" s="287" t="str">
        <f>IF(AND('Mapa final'!$H$25="Muy Alta",'Mapa final'!$L$25="Menor"),CONCATENATE("R",'Mapa final'!$A$25),"")</f>
        <v/>
      </c>
      <c r="U12" s="288"/>
      <c r="V12" s="286" t="e">
        <f>IF(AND('Mapa final'!#REF!="Muy Alta",'Mapa final'!#REF!="Moderado"),CONCATENATE("R",'Mapa final'!#REF!),"")</f>
        <v>#REF!</v>
      </c>
      <c r="W12" s="287"/>
      <c r="X12" s="287" t="str">
        <f>IF(AND('Mapa final'!$H$19="Muy Alta",'Mapa final'!$L$19="Moderado"),CONCATENATE("R",'Mapa final'!$A$19),"")</f>
        <v/>
      </c>
      <c r="Y12" s="287"/>
      <c r="Z12" s="287" t="str">
        <f>IF(AND('Mapa final'!$H$25="Muy Alta",'Mapa final'!$L$25="Moderado"),CONCATENATE("R",'Mapa final'!$A$25),"")</f>
        <v/>
      </c>
      <c r="AA12" s="288"/>
      <c r="AB12" s="286" t="e">
        <f>IF(AND('Mapa final'!#REF!="Muy Alta",'Mapa final'!#REF!="Mayor"),CONCATENATE("R",'Mapa final'!#REF!),"")</f>
        <v>#REF!</v>
      </c>
      <c r="AC12" s="287"/>
      <c r="AD12" s="287" t="str">
        <f>IF(AND('Mapa final'!$H$19="Muy Alta",'Mapa final'!$L$19="Mayor"),CONCATENATE("R",'Mapa final'!$A$19),"")</f>
        <v/>
      </c>
      <c r="AE12" s="287"/>
      <c r="AF12" s="287" t="str">
        <f>IF(AND('Mapa final'!$H$25="Muy Alta",'Mapa final'!$L$25="Mayor"),CONCATENATE("R",'Mapa final'!$A$25),"")</f>
        <v/>
      </c>
      <c r="AG12" s="288"/>
      <c r="AH12" s="277" t="e">
        <f>IF(AND('Mapa final'!#REF!="Muy Alta",'Mapa final'!#REF!="Catastrófico"),CONCATENATE("R",'Mapa final'!#REF!),"")</f>
        <v>#REF!</v>
      </c>
      <c r="AI12" s="278"/>
      <c r="AJ12" s="278" t="str">
        <f>IF(AND('Mapa final'!$H$19="Muy Alta",'Mapa final'!$L$19="Catastrófico"),CONCATENATE("R",'Mapa final'!$A$19),"")</f>
        <v/>
      </c>
      <c r="AK12" s="278"/>
      <c r="AL12" s="278" t="str">
        <f>IF(AND('Mapa final'!$H$25="Muy Alta",'Mapa final'!$L$25="Catastrófico"),CONCATENATE("R",'Mapa final'!$A$25),"")</f>
        <v/>
      </c>
      <c r="AM12" s="279"/>
      <c r="AN12" s="69"/>
      <c r="AO12" s="311"/>
      <c r="AP12" s="312"/>
      <c r="AQ12" s="312"/>
      <c r="AR12" s="312"/>
      <c r="AS12" s="312"/>
      <c r="AT12" s="313"/>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306"/>
      <c r="C13" s="306"/>
      <c r="D13" s="307"/>
      <c r="E13" s="302"/>
      <c r="F13" s="303"/>
      <c r="G13" s="303"/>
      <c r="H13" s="303"/>
      <c r="I13" s="304"/>
      <c r="J13" s="286"/>
      <c r="K13" s="287"/>
      <c r="L13" s="287"/>
      <c r="M13" s="287"/>
      <c r="N13" s="287"/>
      <c r="O13" s="288"/>
      <c r="P13" s="286"/>
      <c r="Q13" s="287"/>
      <c r="R13" s="287"/>
      <c r="S13" s="287"/>
      <c r="T13" s="287"/>
      <c r="U13" s="288"/>
      <c r="V13" s="286"/>
      <c r="W13" s="287"/>
      <c r="X13" s="287"/>
      <c r="Y13" s="287"/>
      <c r="Z13" s="287"/>
      <c r="AA13" s="288"/>
      <c r="AB13" s="286"/>
      <c r="AC13" s="287"/>
      <c r="AD13" s="287"/>
      <c r="AE13" s="287"/>
      <c r="AF13" s="287"/>
      <c r="AG13" s="288"/>
      <c r="AH13" s="280"/>
      <c r="AI13" s="281"/>
      <c r="AJ13" s="281"/>
      <c r="AK13" s="281"/>
      <c r="AL13" s="281"/>
      <c r="AM13" s="282"/>
      <c r="AN13" s="69"/>
      <c r="AO13" s="314"/>
      <c r="AP13" s="315"/>
      <c r="AQ13" s="315"/>
      <c r="AR13" s="315"/>
      <c r="AS13" s="315"/>
      <c r="AT13" s="316"/>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306"/>
      <c r="C14" s="306"/>
      <c r="D14" s="307"/>
      <c r="E14" s="296" t="s">
        <v>113</v>
      </c>
      <c r="F14" s="297"/>
      <c r="G14" s="297"/>
      <c r="H14" s="297"/>
      <c r="I14" s="297"/>
      <c r="J14" s="274" t="str">
        <f>IF(AND('Mapa final'!$H$13="Alta",'Mapa final'!$L$13="Leve"),CONCATENATE("R",'Mapa final'!$A$13),"")</f>
        <v/>
      </c>
      <c r="K14" s="275"/>
      <c r="L14" s="275" t="e">
        <f>IF(AND('Mapa final'!#REF!="Alta",'Mapa final'!#REF!="Leve"),CONCATENATE("R",'Mapa final'!#REF!),"")</f>
        <v>#REF!</v>
      </c>
      <c r="M14" s="275"/>
      <c r="N14" s="275" t="e">
        <f>IF(AND('Mapa final'!#REF!="Alta",'Mapa final'!#REF!="Leve"),CONCATENATE("R",'Mapa final'!#REF!),"")</f>
        <v>#REF!</v>
      </c>
      <c r="O14" s="276"/>
      <c r="P14" s="274" t="str">
        <f>IF(AND('Mapa final'!$H$13="Alta",'Mapa final'!$L$13="Menor"),CONCATENATE("R",'Mapa final'!$A$13),"")</f>
        <v/>
      </c>
      <c r="Q14" s="275"/>
      <c r="R14" s="275" t="e">
        <f>IF(AND('Mapa final'!#REF!="Alta",'Mapa final'!#REF!="Menor"),CONCATENATE("R",'Mapa final'!#REF!),"")</f>
        <v>#REF!</v>
      </c>
      <c r="S14" s="275"/>
      <c r="T14" s="275" t="e">
        <f>IF(AND('Mapa final'!#REF!="Alta",'Mapa final'!#REF!="Menor"),CONCATENATE("R",'Mapa final'!#REF!),"")</f>
        <v>#REF!</v>
      </c>
      <c r="U14" s="276"/>
      <c r="V14" s="292" t="str">
        <f>IF(AND('Mapa final'!$H$13="Alta",'Mapa final'!$L$13="Moderado"),CONCATENATE("R",'Mapa final'!$A$13),"")</f>
        <v/>
      </c>
      <c r="W14" s="293"/>
      <c r="X14" s="293" t="e">
        <f>IF(AND('Mapa final'!#REF!="Alta",'Mapa final'!#REF!="Moderado"),CONCATENATE("R",'Mapa final'!#REF!),"")</f>
        <v>#REF!</v>
      </c>
      <c r="Y14" s="293"/>
      <c r="Z14" s="293" t="e">
        <f>IF(AND('Mapa final'!#REF!="Alta",'Mapa final'!#REF!="Moderado"),CONCATENATE("R",'Mapa final'!#REF!),"")</f>
        <v>#REF!</v>
      </c>
      <c r="AA14" s="294"/>
      <c r="AB14" s="292" t="str">
        <f>IF(AND('Mapa final'!$H$13="Alta",'Mapa final'!$L$13="Mayor"),CONCATENATE("R",'Mapa final'!$A$13),"")</f>
        <v/>
      </c>
      <c r="AC14" s="293"/>
      <c r="AD14" s="293" t="e">
        <f>IF(AND('Mapa final'!#REF!="Alta",'Mapa final'!#REF!="Mayor"),CONCATENATE("R",'Mapa final'!#REF!),"")</f>
        <v>#REF!</v>
      </c>
      <c r="AE14" s="293"/>
      <c r="AF14" s="293" t="e">
        <f>IF(AND('Mapa final'!#REF!="Alta",'Mapa final'!#REF!="Mayor"),CONCATENATE("R",'Mapa final'!#REF!),"")</f>
        <v>#REF!</v>
      </c>
      <c r="AG14" s="294"/>
      <c r="AH14" s="283" t="str">
        <f>IF(AND('Mapa final'!$H$13="Alta",'Mapa final'!$L$13="Catastrófico"),CONCATENATE("R",'Mapa final'!$A$13),"")</f>
        <v/>
      </c>
      <c r="AI14" s="284"/>
      <c r="AJ14" s="284" t="e">
        <f>IF(AND('Mapa final'!#REF!="Alta",'Mapa final'!#REF!="Catastrófico"),CONCATENATE("R",'Mapa final'!#REF!),"")</f>
        <v>#REF!</v>
      </c>
      <c r="AK14" s="284"/>
      <c r="AL14" s="284" t="e">
        <f>IF(AND('Mapa final'!#REF!="Alta",'Mapa final'!#REF!="Catastrófico"),CONCATENATE("R",'Mapa final'!#REF!),"")</f>
        <v>#REF!</v>
      </c>
      <c r="AM14" s="285"/>
      <c r="AN14" s="69"/>
      <c r="AO14" s="317" t="s">
        <v>78</v>
      </c>
      <c r="AP14" s="318"/>
      <c r="AQ14" s="318"/>
      <c r="AR14" s="318"/>
      <c r="AS14" s="318"/>
      <c r="AT14" s="31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306"/>
      <c r="C15" s="306"/>
      <c r="D15" s="307"/>
      <c r="E15" s="299"/>
      <c r="F15" s="300"/>
      <c r="G15" s="300"/>
      <c r="H15" s="300"/>
      <c r="I15" s="300"/>
      <c r="J15" s="268"/>
      <c r="K15" s="269"/>
      <c r="L15" s="269"/>
      <c r="M15" s="269"/>
      <c r="N15" s="269"/>
      <c r="O15" s="270"/>
      <c r="P15" s="268"/>
      <c r="Q15" s="269"/>
      <c r="R15" s="269"/>
      <c r="S15" s="269"/>
      <c r="T15" s="269"/>
      <c r="U15" s="270"/>
      <c r="V15" s="286"/>
      <c r="W15" s="287"/>
      <c r="X15" s="287"/>
      <c r="Y15" s="287"/>
      <c r="Z15" s="287"/>
      <c r="AA15" s="288"/>
      <c r="AB15" s="286"/>
      <c r="AC15" s="287"/>
      <c r="AD15" s="287"/>
      <c r="AE15" s="287"/>
      <c r="AF15" s="287"/>
      <c r="AG15" s="288"/>
      <c r="AH15" s="277"/>
      <c r="AI15" s="278"/>
      <c r="AJ15" s="278"/>
      <c r="AK15" s="278"/>
      <c r="AL15" s="278"/>
      <c r="AM15" s="279"/>
      <c r="AN15" s="69"/>
      <c r="AO15" s="320"/>
      <c r="AP15" s="321"/>
      <c r="AQ15" s="321"/>
      <c r="AR15" s="321"/>
      <c r="AS15" s="321"/>
      <c r="AT15" s="322"/>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306"/>
      <c r="C16" s="306"/>
      <c r="D16" s="307"/>
      <c r="E16" s="299"/>
      <c r="F16" s="300"/>
      <c r="G16" s="300"/>
      <c r="H16" s="300"/>
      <c r="I16" s="300"/>
      <c r="J16" s="268" t="e">
        <f>IF(AND('Mapa final'!#REF!="Alta",'Mapa final'!#REF!="Leve"),CONCATENATE("R",'Mapa final'!#REF!),"")</f>
        <v>#REF!</v>
      </c>
      <c r="K16" s="269"/>
      <c r="L16" s="269" t="e">
        <f>IF(AND('Mapa final'!#REF!="Alta",'Mapa final'!#REF!="Leve"),CONCATENATE("R",'Mapa final'!#REF!),"")</f>
        <v>#REF!</v>
      </c>
      <c r="M16" s="269"/>
      <c r="N16" s="269" t="e">
        <f>IF(AND('Mapa final'!#REF!="Alta",'Mapa final'!#REF!="Leve"),CONCATENATE("R",'Mapa final'!#REF!),"")</f>
        <v>#REF!</v>
      </c>
      <c r="O16" s="270"/>
      <c r="P16" s="268" t="e">
        <f>IF(AND('Mapa final'!#REF!="Alta",'Mapa final'!#REF!="Menor"),CONCATENATE("R",'Mapa final'!#REF!),"")</f>
        <v>#REF!</v>
      </c>
      <c r="Q16" s="269"/>
      <c r="R16" s="269" t="e">
        <f>IF(AND('Mapa final'!#REF!="Alta",'Mapa final'!#REF!="Menor"),CONCATENATE("R",'Mapa final'!#REF!),"")</f>
        <v>#REF!</v>
      </c>
      <c r="S16" s="269"/>
      <c r="T16" s="269" t="e">
        <f>IF(AND('Mapa final'!#REF!="Alta",'Mapa final'!#REF!="Menor"),CONCATENATE("R",'Mapa final'!#REF!),"")</f>
        <v>#REF!</v>
      </c>
      <c r="U16" s="270"/>
      <c r="V16" s="286" t="e">
        <f>IF(AND('Mapa final'!#REF!="Alta",'Mapa final'!#REF!="Moderado"),CONCATENATE("R",'Mapa final'!#REF!),"")</f>
        <v>#REF!</v>
      </c>
      <c r="W16" s="287"/>
      <c r="X16" s="287" t="e">
        <f>IF(AND('Mapa final'!#REF!="Alta",'Mapa final'!#REF!="Moderado"),CONCATENATE("R",'Mapa final'!#REF!),"")</f>
        <v>#REF!</v>
      </c>
      <c r="Y16" s="287"/>
      <c r="Z16" s="287" t="e">
        <f>IF(AND('Mapa final'!#REF!="Alta",'Mapa final'!#REF!="Moderado"),CONCATENATE("R",'Mapa final'!#REF!),"")</f>
        <v>#REF!</v>
      </c>
      <c r="AA16" s="288"/>
      <c r="AB16" s="286" t="e">
        <f>IF(AND('Mapa final'!#REF!="Alta",'Mapa final'!#REF!="Mayor"),CONCATENATE("R",'Mapa final'!#REF!),"")</f>
        <v>#REF!</v>
      </c>
      <c r="AC16" s="287"/>
      <c r="AD16" s="287" t="e">
        <f>IF(AND('Mapa final'!#REF!="Alta",'Mapa final'!#REF!="Mayor"),CONCATENATE("R",'Mapa final'!#REF!),"")</f>
        <v>#REF!</v>
      </c>
      <c r="AE16" s="287"/>
      <c r="AF16" s="287" t="e">
        <f>IF(AND('Mapa final'!#REF!="Alta",'Mapa final'!#REF!="Mayor"),CONCATENATE("R",'Mapa final'!#REF!),"")</f>
        <v>#REF!</v>
      </c>
      <c r="AG16" s="288"/>
      <c r="AH16" s="277" t="e">
        <f>IF(AND('Mapa final'!#REF!="Alta",'Mapa final'!#REF!="Catastrófico"),CONCATENATE("R",'Mapa final'!#REF!),"")</f>
        <v>#REF!</v>
      </c>
      <c r="AI16" s="278"/>
      <c r="AJ16" s="278" t="e">
        <f>IF(AND('Mapa final'!#REF!="Alta",'Mapa final'!#REF!="Catastrófico"),CONCATENATE("R",'Mapa final'!#REF!),"")</f>
        <v>#REF!</v>
      </c>
      <c r="AK16" s="278"/>
      <c r="AL16" s="278" t="e">
        <f>IF(AND('Mapa final'!#REF!="Alta",'Mapa final'!#REF!="Catastrófico"),CONCATENATE("R",'Mapa final'!#REF!),"")</f>
        <v>#REF!</v>
      </c>
      <c r="AM16" s="279"/>
      <c r="AN16" s="69"/>
      <c r="AO16" s="320"/>
      <c r="AP16" s="321"/>
      <c r="AQ16" s="321"/>
      <c r="AR16" s="321"/>
      <c r="AS16" s="321"/>
      <c r="AT16" s="322"/>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306"/>
      <c r="C17" s="306"/>
      <c r="D17" s="307"/>
      <c r="E17" s="299"/>
      <c r="F17" s="300"/>
      <c r="G17" s="300"/>
      <c r="H17" s="300"/>
      <c r="I17" s="300"/>
      <c r="J17" s="268"/>
      <c r="K17" s="269"/>
      <c r="L17" s="269"/>
      <c r="M17" s="269"/>
      <c r="N17" s="269"/>
      <c r="O17" s="270"/>
      <c r="P17" s="268"/>
      <c r="Q17" s="269"/>
      <c r="R17" s="269"/>
      <c r="S17" s="269"/>
      <c r="T17" s="269"/>
      <c r="U17" s="270"/>
      <c r="V17" s="286"/>
      <c r="W17" s="287"/>
      <c r="X17" s="287"/>
      <c r="Y17" s="287"/>
      <c r="Z17" s="287"/>
      <c r="AA17" s="288"/>
      <c r="AB17" s="286"/>
      <c r="AC17" s="287"/>
      <c r="AD17" s="287"/>
      <c r="AE17" s="287"/>
      <c r="AF17" s="287"/>
      <c r="AG17" s="288"/>
      <c r="AH17" s="277"/>
      <c r="AI17" s="278"/>
      <c r="AJ17" s="278"/>
      <c r="AK17" s="278"/>
      <c r="AL17" s="278"/>
      <c r="AM17" s="279"/>
      <c r="AN17" s="69"/>
      <c r="AO17" s="320"/>
      <c r="AP17" s="321"/>
      <c r="AQ17" s="321"/>
      <c r="AR17" s="321"/>
      <c r="AS17" s="321"/>
      <c r="AT17" s="322"/>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306"/>
      <c r="C18" s="306"/>
      <c r="D18" s="307"/>
      <c r="E18" s="299"/>
      <c r="F18" s="300"/>
      <c r="G18" s="300"/>
      <c r="H18" s="300"/>
      <c r="I18" s="300"/>
      <c r="J18" s="268" t="e">
        <f>IF(AND('Mapa final'!#REF!="Alta",'Mapa final'!#REF!="Leve"),CONCATENATE("R",'Mapa final'!#REF!),"")</f>
        <v>#REF!</v>
      </c>
      <c r="K18" s="269"/>
      <c r="L18" s="269" t="e">
        <f>IF(AND('Mapa final'!#REF!="Alta",'Mapa final'!#REF!="Leve"),CONCATENATE("R",'Mapa final'!#REF!),"")</f>
        <v>#REF!</v>
      </c>
      <c r="M18" s="269"/>
      <c r="N18" s="269" t="e">
        <f>IF(AND('Mapa final'!#REF!="Alta",'Mapa final'!#REF!="Leve"),CONCATENATE("R",'Mapa final'!#REF!),"")</f>
        <v>#REF!</v>
      </c>
      <c r="O18" s="270"/>
      <c r="P18" s="268" t="e">
        <f>IF(AND('Mapa final'!#REF!="Alta",'Mapa final'!#REF!="Menor"),CONCATENATE("R",'Mapa final'!#REF!),"")</f>
        <v>#REF!</v>
      </c>
      <c r="Q18" s="269"/>
      <c r="R18" s="269" t="e">
        <f>IF(AND('Mapa final'!#REF!="Alta",'Mapa final'!#REF!="Menor"),CONCATENATE("R",'Mapa final'!#REF!),"")</f>
        <v>#REF!</v>
      </c>
      <c r="S18" s="269"/>
      <c r="T18" s="269" t="e">
        <f>IF(AND('Mapa final'!#REF!="Alta",'Mapa final'!#REF!="Menor"),CONCATENATE("R",'Mapa final'!#REF!),"")</f>
        <v>#REF!</v>
      </c>
      <c r="U18" s="270"/>
      <c r="V18" s="286" t="e">
        <f>IF(AND('Mapa final'!#REF!="Alta",'Mapa final'!#REF!="Moderado"),CONCATENATE("R",'Mapa final'!#REF!),"")</f>
        <v>#REF!</v>
      </c>
      <c r="W18" s="287"/>
      <c r="X18" s="287" t="e">
        <f>IF(AND('Mapa final'!#REF!="Alta",'Mapa final'!#REF!="Moderado"),CONCATENATE("R",'Mapa final'!#REF!),"")</f>
        <v>#REF!</v>
      </c>
      <c r="Y18" s="287"/>
      <c r="Z18" s="287" t="e">
        <f>IF(AND('Mapa final'!#REF!="Alta",'Mapa final'!#REF!="Moderado"),CONCATENATE("R",'Mapa final'!#REF!),"")</f>
        <v>#REF!</v>
      </c>
      <c r="AA18" s="288"/>
      <c r="AB18" s="286" t="e">
        <f>IF(AND('Mapa final'!#REF!="Alta",'Mapa final'!#REF!="Mayor"),CONCATENATE("R",'Mapa final'!#REF!),"")</f>
        <v>#REF!</v>
      </c>
      <c r="AC18" s="287"/>
      <c r="AD18" s="287" t="e">
        <f>IF(AND('Mapa final'!#REF!="Alta",'Mapa final'!#REF!="Mayor"),CONCATENATE("R",'Mapa final'!#REF!),"")</f>
        <v>#REF!</v>
      </c>
      <c r="AE18" s="287"/>
      <c r="AF18" s="287" t="e">
        <f>IF(AND('Mapa final'!#REF!="Alta",'Mapa final'!#REF!="Mayor"),CONCATENATE("R",'Mapa final'!#REF!),"")</f>
        <v>#REF!</v>
      </c>
      <c r="AG18" s="288"/>
      <c r="AH18" s="277" t="e">
        <f>IF(AND('Mapa final'!#REF!="Alta",'Mapa final'!#REF!="Catastrófico"),CONCATENATE("R",'Mapa final'!#REF!),"")</f>
        <v>#REF!</v>
      </c>
      <c r="AI18" s="278"/>
      <c r="AJ18" s="278" t="e">
        <f>IF(AND('Mapa final'!#REF!="Alta",'Mapa final'!#REF!="Catastrófico"),CONCATENATE("R",'Mapa final'!#REF!),"")</f>
        <v>#REF!</v>
      </c>
      <c r="AK18" s="278"/>
      <c r="AL18" s="278" t="e">
        <f>IF(AND('Mapa final'!#REF!="Alta",'Mapa final'!#REF!="Catastrófico"),CONCATENATE("R",'Mapa final'!#REF!),"")</f>
        <v>#REF!</v>
      </c>
      <c r="AM18" s="279"/>
      <c r="AN18" s="69"/>
      <c r="AO18" s="320"/>
      <c r="AP18" s="321"/>
      <c r="AQ18" s="321"/>
      <c r="AR18" s="321"/>
      <c r="AS18" s="321"/>
      <c r="AT18" s="322"/>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306"/>
      <c r="C19" s="306"/>
      <c r="D19" s="307"/>
      <c r="E19" s="299"/>
      <c r="F19" s="300"/>
      <c r="G19" s="300"/>
      <c r="H19" s="300"/>
      <c r="I19" s="300"/>
      <c r="J19" s="268"/>
      <c r="K19" s="269"/>
      <c r="L19" s="269"/>
      <c r="M19" s="269"/>
      <c r="N19" s="269"/>
      <c r="O19" s="270"/>
      <c r="P19" s="268"/>
      <c r="Q19" s="269"/>
      <c r="R19" s="269"/>
      <c r="S19" s="269"/>
      <c r="T19" s="269"/>
      <c r="U19" s="270"/>
      <c r="V19" s="286"/>
      <c r="W19" s="287"/>
      <c r="X19" s="287"/>
      <c r="Y19" s="287"/>
      <c r="Z19" s="287"/>
      <c r="AA19" s="288"/>
      <c r="AB19" s="286"/>
      <c r="AC19" s="287"/>
      <c r="AD19" s="287"/>
      <c r="AE19" s="287"/>
      <c r="AF19" s="287"/>
      <c r="AG19" s="288"/>
      <c r="AH19" s="277"/>
      <c r="AI19" s="278"/>
      <c r="AJ19" s="278"/>
      <c r="AK19" s="278"/>
      <c r="AL19" s="278"/>
      <c r="AM19" s="279"/>
      <c r="AN19" s="69"/>
      <c r="AO19" s="320"/>
      <c r="AP19" s="321"/>
      <c r="AQ19" s="321"/>
      <c r="AR19" s="321"/>
      <c r="AS19" s="321"/>
      <c r="AT19" s="322"/>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306"/>
      <c r="C20" s="306"/>
      <c r="D20" s="307"/>
      <c r="E20" s="299"/>
      <c r="F20" s="300"/>
      <c r="G20" s="300"/>
      <c r="H20" s="300"/>
      <c r="I20" s="300"/>
      <c r="J20" s="268" t="e">
        <f>IF(AND('Mapa final'!#REF!="Alta",'Mapa final'!#REF!="Leve"),CONCATENATE("R",'Mapa final'!#REF!),"")</f>
        <v>#REF!</v>
      </c>
      <c r="K20" s="269"/>
      <c r="L20" s="269" t="str">
        <f>IF(AND('Mapa final'!$H$19="Alta",'Mapa final'!$L$19="Leve"),CONCATENATE("R",'Mapa final'!$A$19),"")</f>
        <v/>
      </c>
      <c r="M20" s="269"/>
      <c r="N20" s="269" t="str">
        <f>IF(AND('Mapa final'!$H$25="Alta",'Mapa final'!$L$25="Leve"),CONCATENATE("R",'Mapa final'!$A$25),"")</f>
        <v/>
      </c>
      <c r="O20" s="270"/>
      <c r="P20" s="268" t="e">
        <f>IF(AND('Mapa final'!#REF!="Alta",'Mapa final'!#REF!="Menor"),CONCATENATE("R",'Mapa final'!#REF!),"")</f>
        <v>#REF!</v>
      </c>
      <c r="Q20" s="269"/>
      <c r="R20" s="269" t="str">
        <f>IF(AND('Mapa final'!$H$19="Alta",'Mapa final'!$L$19="Menor"),CONCATENATE("R",'Mapa final'!$A$19),"")</f>
        <v/>
      </c>
      <c r="S20" s="269"/>
      <c r="T20" s="269" t="str">
        <f>IF(AND('Mapa final'!$H$25="Alta",'Mapa final'!$L$25="Menor"),CONCATENATE("R",'Mapa final'!$A$25),"")</f>
        <v/>
      </c>
      <c r="U20" s="270"/>
      <c r="V20" s="286" t="e">
        <f>IF(AND('Mapa final'!#REF!="Alta",'Mapa final'!#REF!="Moderado"),CONCATENATE("R",'Mapa final'!#REF!),"")</f>
        <v>#REF!</v>
      </c>
      <c r="W20" s="287"/>
      <c r="X20" s="287" t="str">
        <f>IF(AND('Mapa final'!$H$19="Alta",'Mapa final'!$L$19="Moderado"),CONCATENATE("R",'Mapa final'!$A$19),"")</f>
        <v/>
      </c>
      <c r="Y20" s="287"/>
      <c r="Z20" s="287" t="str">
        <f>IF(AND('Mapa final'!$H$25="Alta",'Mapa final'!$L$25="Moderado"),CONCATENATE("R",'Mapa final'!$A$25),"")</f>
        <v/>
      </c>
      <c r="AA20" s="288"/>
      <c r="AB20" s="286" t="e">
        <f>IF(AND('Mapa final'!#REF!="Alta",'Mapa final'!#REF!="Mayor"),CONCATENATE("R",'Mapa final'!#REF!),"")</f>
        <v>#REF!</v>
      </c>
      <c r="AC20" s="287"/>
      <c r="AD20" s="287" t="str">
        <f>IF(AND('Mapa final'!$H$19="Alta",'Mapa final'!$L$19="Mayor"),CONCATENATE("R",'Mapa final'!$A$19),"")</f>
        <v/>
      </c>
      <c r="AE20" s="287"/>
      <c r="AF20" s="287" t="str">
        <f>IF(AND('Mapa final'!$H$25="Alta",'Mapa final'!$L$25="Mayor"),CONCATENATE("R",'Mapa final'!$A$25),"")</f>
        <v/>
      </c>
      <c r="AG20" s="288"/>
      <c r="AH20" s="277" t="e">
        <f>IF(AND('Mapa final'!#REF!="Alta",'Mapa final'!#REF!="Catastrófico"),CONCATENATE("R",'Mapa final'!#REF!),"")</f>
        <v>#REF!</v>
      </c>
      <c r="AI20" s="278"/>
      <c r="AJ20" s="278" t="str">
        <f>IF(AND('Mapa final'!$H$19="Alta",'Mapa final'!$L$19="Catastrófico"),CONCATENATE("R",'Mapa final'!$A$19),"")</f>
        <v/>
      </c>
      <c r="AK20" s="278"/>
      <c r="AL20" s="278" t="str">
        <f>IF(AND('Mapa final'!$H$25="Alta",'Mapa final'!$L$25="Catastrófico"),CONCATENATE("R",'Mapa final'!$A$25),"")</f>
        <v/>
      </c>
      <c r="AM20" s="279"/>
      <c r="AN20" s="69"/>
      <c r="AO20" s="320"/>
      <c r="AP20" s="321"/>
      <c r="AQ20" s="321"/>
      <c r="AR20" s="321"/>
      <c r="AS20" s="321"/>
      <c r="AT20" s="322"/>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306"/>
      <c r="C21" s="306"/>
      <c r="D21" s="307"/>
      <c r="E21" s="302"/>
      <c r="F21" s="303"/>
      <c r="G21" s="303"/>
      <c r="H21" s="303"/>
      <c r="I21" s="303"/>
      <c r="J21" s="271"/>
      <c r="K21" s="272"/>
      <c r="L21" s="272"/>
      <c r="M21" s="272"/>
      <c r="N21" s="272"/>
      <c r="O21" s="273"/>
      <c r="P21" s="271"/>
      <c r="Q21" s="272"/>
      <c r="R21" s="272"/>
      <c r="S21" s="272"/>
      <c r="T21" s="272"/>
      <c r="U21" s="273"/>
      <c r="V21" s="289"/>
      <c r="W21" s="290"/>
      <c r="X21" s="290"/>
      <c r="Y21" s="290"/>
      <c r="Z21" s="290"/>
      <c r="AA21" s="291"/>
      <c r="AB21" s="289"/>
      <c r="AC21" s="290"/>
      <c r="AD21" s="290"/>
      <c r="AE21" s="290"/>
      <c r="AF21" s="290"/>
      <c r="AG21" s="291"/>
      <c r="AH21" s="280"/>
      <c r="AI21" s="281"/>
      <c r="AJ21" s="281"/>
      <c r="AK21" s="281"/>
      <c r="AL21" s="281"/>
      <c r="AM21" s="282"/>
      <c r="AN21" s="69"/>
      <c r="AO21" s="323"/>
      <c r="AP21" s="324"/>
      <c r="AQ21" s="324"/>
      <c r="AR21" s="324"/>
      <c r="AS21" s="324"/>
      <c r="AT21" s="325"/>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306"/>
      <c r="C22" s="306"/>
      <c r="D22" s="307"/>
      <c r="E22" s="296" t="s">
        <v>115</v>
      </c>
      <c r="F22" s="297"/>
      <c r="G22" s="297"/>
      <c r="H22" s="297"/>
      <c r="I22" s="298"/>
      <c r="J22" s="274" t="str">
        <f>IF(AND('Mapa final'!$H$13="Media",'Mapa final'!$L$13="Leve"),CONCATENATE("R",'Mapa final'!$A$13),"")</f>
        <v/>
      </c>
      <c r="K22" s="275"/>
      <c r="L22" s="275" t="e">
        <f>IF(AND('Mapa final'!#REF!="Media",'Mapa final'!#REF!="Leve"),CONCATENATE("R",'Mapa final'!#REF!),"")</f>
        <v>#REF!</v>
      </c>
      <c r="M22" s="275"/>
      <c r="N22" s="275" t="e">
        <f>IF(AND('Mapa final'!#REF!="Media",'Mapa final'!#REF!="Leve"),CONCATENATE("R",'Mapa final'!#REF!),"")</f>
        <v>#REF!</v>
      </c>
      <c r="O22" s="276"/>
      <c r="P22" s="274" t="str">
        <f>IF(AND('Mapa final'!$H$13="Media",'Mapa final'!$L$13="Menor"),CONCATENATE("R",'Mapa final'!$A$13),"")</f>
        <v/>
      </c>
      <c r="Q22" s="275"/>
      <c r="R22" s="275" t="e">
        <f>IF(AND('Mapa final'!#REF!="Media",'Mapa final'!#REF!="Menor"),CONCATENATE("R",'Mapa final'!#REF!),"")</f>
        <v>#REF!</v>
      </c>
      <c r="S22" s="275"/>
      <c r="T22" s="275" t="e">
        <f>IF(AND('Mapa final'!#REF!="Media",'Mapa final'!#REF!="Menor"),CONCATENATE("R",'Mapa final'!#REF!),"")</f>
        <v>#REF!</v>
      </c>
      <c r="U22" s="276"/>
      <c r="V22" s="274" t="str">
        <f>IF(AND('Mapa final'!$H$13="Media",'Mapa final'!$L$13="Moderado"),CONCATENATE("R",'Mapa final'!$A$13),"")</f>
        <v/>
      </c>
      <c r="W22" s="275"/>
      <c r="X22" s="275" t="e">
        <f>IF(AND('Mapa final'!#REF!="Media",'Mapa final'!#REF!="Moderado"),CONCATENATE("R",'Mapa final'!#REF!),"")</f>
        <v>#REF!</v>
      </c>
      <c r="Y22" s="275"/>
      <c r="Z22" s="275" t="e">
        <f>IF(AND('Mapa final'!#REF!="Media",'Mapa final'!#REF!="Moderado"),CONCATENATE("R",'Mapa final'!#REF!),"")</f>
        <v>#REF!</v>
      </c>
      <c r="AA22" s="276"/>
      <c r="AB22" s="292" t="str">
        <f>IF(AND('Mapa final'!$H$13="Media",'Mapa final'!$L$13="Mayor"),CONCATENATE("R",'Mapa final'!$A$13),"")</f>
        <v/>
      </c>
      <c r="AC22" s="293"/>
      <c r="AD22" s="293" t="e">
        <f>IF(AND('Mapa final'!#REF!="Media",'Mapa final'!#REF!="Mayor"),CONCATENATE("R",'Mapa final'!#REF!),"")</f>
        <v>#REF!</v>
      </c>
      <c r="AE22" s="293"/>
      <c r="AF22" s="293" t="e">
        <f>IF(AND('Mapa final'!#REF!="Media",'Mapa final'!#REF!="Mayor"),CONCATENATE("R",'Mapa final'!#REF!),"")</f>
        <v>#REF!</v>
      </c>
      <c r="AG22" s="294"/>
      <c r="AH22" s="283" t="str">
        <f>IF(AND('Mapa final'!$H$13="Media",'Mapa final'!$L$13="Catastrófico"),CONCATENATE("R",'Mapa final'!$A$13),"")</f>
        <v/>
      </c>
      <c r="AI22" s="284"/>
      <c r="AJ22" s="284" t="e">
        <f>IF(AND('Mapa final'!#REF!="Media",'Mapa final'!#REF!="Catastrófico"),CONCATENATE("R",'Mapa final'!#REF!),"")</f>
        <v>#REF!</v>
      </c>
      <c r="AK22" s="284"/>
      <c r="AL22" s="284" t="e">
        <f>IF(AND('Mapa final'!#REF!="Media",'Mapa final'!#REF!="Catastrófico"),CONCATENATE("R",'Mapa final'!#REF!),"")</f>
        <v>#REF!</v>
      </c>
      <c r="AM22" s="285"/>
      <c r="AN22" s="69"/>
      <c r="AO22" s="326" t="s">
        <v>79</v>
      </c>
      <c r="AP22" s="327"/>
      <c r="AQ22" s="327"/>
      <c r="AR22" s="327"/>
      <c r="AS22" s="327"/>
      <c r="AT22" s="328"/>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306"/>
      <c r="C23" s="306"/>
      <c r="D23" s="307"/>
      <c r="E23" s="299"/>
      <c r="F23" s="300"/>
      <c r="G23" s="300"/>
      <c r="H23" s="300"/>
      <c r="I23" s="301"/>
      <c r="J23" s="268"/>
      <c r="K23" s="269"/>
      <c r="L23" s="269"/>
      <c r="M23" s="269"/>
      <c r="N23" s="269"/>
      <c r="O23" s="270"/>
      <c r="P23" s="268"/>
      <c r="Q23" s="269"/>
      <c r="R23" s="269"/>
      <c r="S23" s="269"/>
      <c r="T23" s="269"/>
      <c r="U23" s="270"/>
      <c r="V23" s="268"/>
      <c r="W23" s="269"/>
      <c r="X23" s="269"/>
      <c r="Y23" s="269"/>
      <c r="Z23" s="269"/>
      <c r="AA23" s="270"/>
      <c r="AB23" s="286"/>
      <c r="AC23" s="287"/>
      <c r="AD23" s="287"/>
      <c r="AE23" s="287"/>
      <c r="AF23" s="287"/>
      <c r="AG23" s="288"/>
      <c r="AH23" s="277"/>
      <c r="AI23" s="278"/>
      <c r="AJ23" s="278"/>
      <c r="AK23" s="278"/>
      <c r="AL23" s="278"/>
      <c r="AM23" s="279"/>
      <c r="AN23" s="69"/>
      <c r="AO23" s="329"/>
      <c r="AP23" s="330"/>
      <c r="AQ23" s="330"/>
      <c r="AR23" s="330"/>
      <c r="AS23" s="330"/>
      <c r="AT23" s="331"/>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306"/>
      <c r="C24" s="306"/>
      <c r="D24" s="307"/>
      <c r="E24" s="299"/>
      <c r="F24" s="300"/>
      <c r="G24" s="300"/>
      <c r="H24" s="300"/>
      <c r="I24" s="301"/>
      <c r="J24" s="268" t="e">
        <f>IF(AND('Mapa final'!#REF!="Media",'Mapa final'!#REF!="Leve"),CONCATENATE("R",'Mapa final'!#REF!),"")</f>
        <v>#REF!</v>
      </c>
      <c r="K24" s="269"/>
      <c r="L24" s="269" t="e">
        <f>IF(AND('Mapa final'!#REF!="Media",'Mapa final'!#REF!="Leve"),CONCATENATE("R",'Mapa final'!#REF!),"")</f>
        <v>#REF!</v>
      </c>
      <c r="M24" s="269"/>
      <c r="N24" s="269" t="e">
        <f>IF(AND('Mapa final'!#REF!="Media",'Mapa final'!#REF!="Leve"),CONCATENATE("R",'Mapa final'!#REF!),"")</f>
        <v>#REF!</v>
      </c>
      <c r="O24" s="270"/>
      <c r="P24" s="268" t="e">
        <f>IF(AND('Mapa final'!#REF!="Media",'Mapa final'!#REF!="Menor"),CONCATENATE("R",'Mapa final'!#REF!),"")</f>
        <v>#REF!</v>
      </c>
      <c r="Q24" s="269"/>
      <c r="R24" s="269" t="e">
        <f>IF(AND('Mapa final'!#REF!="Media",'Mapa final'!#REF!="Menor"),CONCATENATE("R",'Mapa final'!#REF!),"")</f>
        <v>#REF!</v>
      </c>
      <c r="S24" s="269"/>
      <c r="T24" s="269" t="e">
        <f>IF(AND('Mapa final'!#REF!="Media",'Mapa final'!#REF!="Menor"),CONCATENATE("R",'Mapa final'!#REF!),"")</f>
        <v>#REF!</v>
      </c>
      <c r="U24" s="270"/>
      <c r="V24" s="268" t="e">
        <f>IF(AND('Mapa final'!#REF!="Media",'Mapa final'!#REF!="Moderado"),CONCATENATE("R",'Mapa final'!#REF!),"")</f>
        <v>#REF!</v>
      </c>
      <c r="W24" s="269"/>
      <c r="X24" s="269" t="e">
        <f>IF(AND('Mapa final'!#REF!="Media",'Mapa final'!#REF!="Moderado"),CONCATENATE("R",'Mapa final'!#REF!),"")</f>
        <v>#REF!</v>
      </c>
      <c r="Y24" s="269"/>
      <c r="Z24" s="269" t="e">
        <f>IF(AND('Mapa final'!#REF!="Media",'Mapa final'!#REF!="Moderado"),CONCATENATE("R",'Mapa final'!#REF!),"")</f>
        <v>#REF!</v>
      </c>
      <c r="AA24" s="270"/>
      <c r="AB24" s="286" t="e">
        <f>IF(AND('Mapa final'!#REF!="Media",'Mapa final'!#REF!="Mayor"),CONCATENATE("R",'Mapa final'!#REF!),"")</f>
        <v>#REF!</v>
      </c>
      <c r="AC24" s="287"/>
      <c r="AD24" s="287" t="e">
        <f>IF(AND('Mapa final'!#REF!="Media",'Mapa final'!#REF!="Mayor"),CONCATENATE("R",'Mapa final'!#REF!),"")</f>
        <v>#REF!</v>
      </c>
      <c r="AE24" s="287"/>
      <c r="AF24" s="287" t="e">
        <f>IF(AND('Mapa final'!#REF!="Media",'Mapa final'!#REF!="Mayor"),CONCATENATE("R",'Mapa final'!#REF!),"")</f>
        <v>#REF!</v>
      </c>
      <c r="AG24" s="288"/>
      <c r="AH24" s="277" t="e">
        <f>IF(AND('Mapa final'!#REF!="Media",'Mapa final'!#REF!="Catastrófico"),CONCATENATE("R",'Mapa final'!#REF!),"")</f>
        <v>#REF!</v>
      </c>
      <c r="AI24" s="278"/>
      <c r="AJ24" s="278" t="e">
        <f>IF(AND('Mapa final'!#REF!="Media",'Mapa final'!#REF!="Catastrófico"),CONCATENATE("R",'Mapa final'!#REF!),"")</f>
        <v>#REF!</v>
      </c>
      <c r="AK24" s="278"/>
      <c r="AL24" s="278" t="e">
        <f>IF(AND('Mapa final'!#REF!="Media",'Mapa final'!#REF!="Catastrófico"),CONCATENATE("R",'Mapa final'!#REF!),"")</f>
        <v>#REF!</v>
      </c>
      <c r="AM24" s="279"/>
      <c r="AN24" s="69"/>
      <c r="AO24" s="329"/>
      <c r="AP24" s="330"/>
      <c r="AQ24" s="330"/>
      <c r="AR24" s="330"/>
      <c r="AS24" s="330"/>
      <c r="AT24" s="331"/>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306"/>
      <c r="C25" s="306"/>
      <c r="D25" s="307"/>
      <c r="E25" s="299"/>
      <c r="F25" s="300"/>
      <c r="G25" s="300"/>
      <c r="H25" s="300"/>
      <c r="I25" s="301"/>
      <c r="J25" s="268"/>
      <c r="K25" s="269"/>
      <c r="L25" s="269"/>
      <c r="M25" s="269"/>
      <c r="N25" s="269"/>
      <c r="O25" s="270"/>
      <c r="P25" s="268"/>
      <c r="Q25" s="269"/>
      <c r="R25" s="269"/>
      <c r="S25" s="269"/>
      <c r="T25" s="269"/>
      <c r="U25" s="270"/>
      <c r="V25" s="268"/>
      <c r="W25" s="269"/>
      <c r="X25" s="269"/>
      <c r="Y25" s="269"/>
      <c r="Z25" s="269"/>
      <c r="AA25" s="270"/>
      <c r="AB25" s="286"/>
      <c r="AC25" s="287"/>
      <c r="AD25" s="287"/>
      <c r="AE25" s="287"/>
      <c r="AF25" s="287"/>
      <c r="AG25" s="288"/>
      <c r="AH25" s="277"/>
      <c r="AI25" s="278"/>
      <c r="AJ25" s="278"/>
      <c r="AK25" s="278"/>
      <c r="AL25" s="278"/>
      <c r="AM25" s="279"/>
      <c r="AN25" s="69"/>
      <c r="AO25" s="329"/>
      <c r="AP25" s="330"/>
      <c r="AQ25" s="330"/>
      <c r="AR25" s="330"/>
      <c r="AS25" s="330"/>
      <c r="AT25" s="331"/>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306"/>
      <c r="C26" s="306"/>
      <c r="D26" s="307"/>
      <c r="E26" s="299"/>
      <c r="F26" s="300"/>
      <c r="G26" s="300"/>
      <c r="H26" s="300"/>
      <c r="I26" s="301"/>
      <c r="J26" s="268" t="e">
        <f>IF(AND('Mapa final'!#REF!="Media",'Mapa final'!#REF!="Leve"),CONCATENATE("R",'Mapa final'!#REF!),"")</f>
        <v>#REF!</v>
      </c>
      <c r="K26" s="269"/>
      <c r="L26" s="269" t="e">
        <f>IF(AND('Mapa final'!#REF!="Media",'Mapa final'!#REF!="Leve"),CONCATENATE("R",'Mapa final'!#REF!),"")</f>
        <v>#REF!</v>
      </c>
      <c r="M26" s="269"/>
      <c r="N26" s="269" t="e">
        <f>IF(AND('Mapa final'!#REF!="Media",'Mapa final'!#REF!="Leve"),CONCATENATE("R",'Mapa final'!#REF!),"")</f>
        <v>#REF!</v>
      </c>
      <c r="O26" s="270"/>
      <c r="P26" s="268" t="e">
        <f>IF(AND('Mapa final'!#REF!="Media",'Mapa final'!#REF!="Menor"),CONCATENATE("R",'Mapa final'!#REF!),"")</f>
        <v>#REF!</v>
      </c>
      <c r="Q26" s="269"/>
      <c r="R26" s="269" t="e">
        <f>IF(AND('Mapa final'!#REF!="Media",'Mapa final'!#REF!="Menor"),CONCATENATE("R",'Mapa final'!#REF!),"")</f>
        <v>#REF!</v>
      </c>
      <c r="S26" s="269"/>
      <c r="T26" s="269" t="e">
        <f>IF(AND('Mapa final'!#REF!="Media",'Mapa final'!#REF!="Menor"),CONCATENATE("R",'Mapa final'!#REF!),"")</f>
        <v>#REF!</v>
      </c>
      <c r="U26" s="270"/>
      <c r="V26" s="268" t="e">
        <f>IF(AND('Mapa final'!#REF!="Media",'Mapa final'!#REF!="Moderado"),CONCATENATE("R",'Mapa final'!#REF!),"")</f>
        <v>#REF!</v>
      </c>
      <c r="W26" s="269"/>
      <c r="X26" s="269" t="e">
        <f>IF(AND('Mapa final'!#REF!="Media",'Mapa final'!#REF!="Moderado"),CONCATENATE("R",'Mapa final'!#REF!),"")</f>
        <v>#REF!</v>
      </c>
      <c r="Y26" s="269"/>
      <c r="Z26" s="269" t="e">
        <f>IF(AND('Mapa final'!#REF!="Media",'Mapa final'!#REF!="Moderado"),CONCATENATE("R",'Mapa final'!#REF!),"")</f>
        <v>#REF!</v>
      </c>
      <c r="AA26" s="270"/>
      <c r="AB26" s="286" t="e">
        <f>IF(AND('Mapa final'!#REF!="Media",'Mapa final'!#REF!="Mayor"),CONCATENATE("R",'Mapa final'!#REF!),"")</f>
        <v>#REF!</v>
      </c>
      <c r="AC26" s="287"/>
      <c r="AD26" s="287" t="e">
        <f>IF(AND('Mapa final'!#REF!="Media",'Mapa final'!#REF!="Mayor"),CONCATENATE("R",'Mapa final'!#REF!),"")</f>
        <v>#REF!</v>
      </c>
      <c r="AE26" s="287"/>
      <c r="AF26" s="287" t="e">
        <f>IF(AND('Mapa final'!#REF!="Media",'Mapa final'!#REF!="Mayor"),CONCATENATE("R",'Mapa final'!#REF!),"")</f>
        <v>#REF!</v>
      </c>
      <c r="AG26" s="288"/>
      <c r="AH26" s="277" t="e">
        <f>IF(AND('Mapa final'!#REF!="Media",'Mapa final'!#REF!="Catastrófico"),CONCATENATE("R",'Mapa final'!#REF!),"")</f>
        <v>#REF!</v>
      </c>
      <c r="AI26" s="278"/>
      <c r="AJ26" s="278" t="e">
        <f>IF(AND('Mapa final'!#REF!="Media",'Mapa final'!#REF!="Catastrófico"),CONCATENATE("R",'Mapa final'!#REF!),"")</f>
        <v>#REF!</v>
      </c>
      <c r="AK26" s="278"/>
      <c r="AL26" s="278" t="e">
        <f>IF(AND('Mapa final'!#REF!="Media",'Mapa final'!#REF!="Catastrófico"),CONCATENATE("R",'Mapa final'!#REF!),"")</f>
        <v>#REF!</v>
      </c>
      <c r="AM26" s="279"/>
      <c r="AN26" s="69"/>
      <c r="AO26" s="329"/>
      <c r="AP26" s="330"/>
      <c r="AQ26" s="330"/>
      <c r="AR26" s="330"/>
      <c r="AS26" s="330"/>
      <c r="AT26" s="331"/>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306"/>
      <c r="C27" s="306"/>
      <c r="D27" s="307"/>
      <c r="E27" s="299"/>
      <c r="F27" s="300"/>
      <c r="G27" s="300"/>
      <c r="H27" s="300"/>
      <c r="I27" s="301"/>
      <c r="J27" s="268"/>
      <c r="K27" s="269"/>
      <c r="L27" s="269"/>
      <c r="M27" s="269"/>
      <c r="N27" s="269"/>
      <c r="O27" s="270"/>
      <c r="P27" s="268"/>
      <c r="Q27" s="269"/>
      <c r="R27" s="269"/>
      <c r="S27" s="269"/>
      <c r="T27" s="269"/>
      <c r="U27" s="270"/>
      <c r="V27" s="268"/>
      <c r="W27" s="269"/>
      <c r="X27" s="269"/>
      <c r="Y27" s="269"/>
      <c r="Z27" s="269"/>
      <c r="AA27" s="270"/>
      <c r="AB27" s="286"/>
      <c r="AC27" s="287"/>
      <c r="AD27" s="287"/>
      <c r="AE27" s="287"/>
      <c r="AF27" s="287"/>
      <c r="AG27" s="288"/>
      <c r="AH27" s="277"/>
      <c r="AI27" s="278"/>
      <c r="AJ27" s="278"/>
      <c r="AK27" s="278"/>
      <c r="AL27" s="278"/>
      <c r="AM27" s="279"/>
      <c r="AN27" s="69"/>
      <c r="AO27" s="329"/>
      <c r="AP27" s="330"/>
      <c r="AQ27" s="330"/>
      <c r="AR27" s="330"/>
      <c r="AS27" s="330"/>
      <c r="AT27" s="331"/>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306"/>
      <c r="C28" s="306"/>
      <c r="D28" s="307"/>
      <c r="E28" s="299"/>
      <c r="F28" s="300"/>
      <c r="G28" s="300"/>
      <c r="H28" s="300"/>
      <c r="I28" s="301"/>
      <c r="J28" s="268" t="e">
        <f>IF(AND('Mapa final'!#REF!="Media",'Mapa final'!#REF!="Leve"),CONCATENATE("R",'Mapa final'!#REF!),"")</f>
        <v>#REF!</v>
      </c>
      <c r="K28" s="269"/>
      <c r="L28" s="269" t="str">
        <f>IF(AND('Mapa final'!$H$19="Media",'Mapa final'!$L$19="Leve"),CONCATENATE("R",'Mapa final'!$A$19),"")</f>
        <v/>
      </c>
      <c r="M28" s="269"/>
      <c r="N28" s="269" t="str">
        <f>IF(AND('Mapa final'!$H$25="Media",'Mapa final'!$L$25="Leve"),CONCATENATE("R",'Mapa final'!$A$25),"")</f>
        <v/>
      </c>
      <c r="O28" s="270"/>
      <c r="P28" s="268" t="e">
        <f>IF(AND('Mapa final'!#REF!="Media",'Mapa final'!#REF!="Menor"),CONCATENATE("R",'Mapa final'!#REF!),"")</f>
        <v>#REF!</v>
      </c>
      <c r="Q28" s="269"/>
      <c r="R28" s="269" t="str">
        <f>IF(AND('Mapa final'!$H$19="Media",'Mapa final'!$L$19="Menor"),CONCATENATE("R",'Mapa final'!$A$19),"")</f>
        <v/>
      </c>
      <c r="S28" s="269"/>
      <c r="T28" s="269" t="str">
        <f>IF(AND('Mapa final'!$H$25="Media",'Mapa final'!$L$25="Menor"),CONCATENATE("R",'Mapa final'!$A$25),"")</f>
        <v/>
      </c>
      <c r="U28" s="270"/>
      <c r="V28" s="268" t="e">
        <f>IF(AND('Mapa final'!#REF!="Media",'Mapa final'!#REF!="Moderado"),CONCATENATE("R",'Mapa final'!#REF!),"")</f>
        <v>#REF!</v>
      </c>
      <c r="W28" s="269"/>
      <c r="X28" s="269" t="str">
        <f>IF(AND('Mapa final'!$H$19="Media",'Mapa final'!$L$19="Moderado"),CONCATENATE("R",'Mapa final'!$A$19),"")</f>
        <v/>
      </c>
      <c r="Y28" s="269"/>
      <c r="Z28" s="269" t="str">
        <f>IF(AND('Mapa final'!$H$25="Media",'Mapa final'!$L$25="Moderado"),CONCATENATE("R",'Mapa final'!$A$25),"")</f>
        <v/>
      </c>
      <c r="AA28" s="270"/>
      <c r="AB28" s="286" t="e">
        <f>IF(AND('Mapa final'!#REF!="Media",'Mapa final'!#REF!="Mayor"),CONCATENATE("R",'Mapa final'!#REF!),"")</f>
        <v>#REF!</v>
      </c>
      <c r="AC28" s="287"/>
      <c r="AD28" s="287" t="str">
        <f>IF(AND('Mapa final'!$H$19="Media",'Mapa final'!$L$19="Mayor"),CONCATENATE("R",'Mapa final'!$A$19),"")</f>
        <v/>
      </c>
      <c r="AE28" s="287"/>
      <c r="AF28" s="287" t="str">
        <f>IF(AND('Mapa final'!$H$25="Media",'Mapa final'!$L$25="Mayor"),CONCATENATE("R",'Mapa final'!$A$25),"")</f>
        <v/>
      </c>
      <c r="AG28" s="288"/>
      <c r="AH28" s="277" t="e">
        <f>IF(AND('Mapa final'!#REF!="Media",'Mapa final'!#REF!="Catastrófico"),CONCATENATE("R",'Mapa final'!#REF!),"")</f>
        <v>#REF!</v>
      </c>
      <c r="AI28" s="278"/>
      <c r="AJ28" s="278" t="str">
        <f>IF(AND('Mapa final'!$H$19="Media",'Mapa final'!$L$19="Catastrófico"),CONCATENATE("R",'Mapa final'!$A$19),"")</f>
        <v/>
      </c>
      <c r="AK28" s="278"/>
      <c r="AL28" s="278" t="str">
        <f>IF(AND('Mapa final'!$H$25="Media",'Mapa final'!$L$25="Catastrófico"),CONCATENATE("R",'Mapa final'!$A$25),"")</f>
        <v/>
      </c>
      <c r="AM28" s="279"/>
      <c r="AN28" s="69"/>
      <c r="AO28" s="329"/>
      <c r="AP28" s="330"/>
      <c r="AQ28" s="330"/>
      <c r="AR28" s="330"/>
      <c r="AS28" s="330"/>
      <c r="AT28" s="331"/>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306"/>
      <c r="C29" s="306"/>
      <c r="D29" s="307"/>
      <c r="E29" s="302"/>
      <c r="F29" s="303"/>
      <c r="G29" s="303"/>
      <c r="H29" s="303"/>
      <c r="I29" s="304"/>
      <c r="J29" s="268"/>
      <c r="K29" s="269"/>
      <c r="L29" s="269"/>
      <c r="M29" s="269"/>
      <c r="N29" s="269"/>
      <c r="O29" s="270"/>
      <c r="P29" s="271"/>
      <c r="Q29" s="272"/>
      <c r="R29" s="272"/>
      <c r="S29" s="272"/>
      <c r="T29" s="272"/>
      <c r="U29" s="273"/>
      <c r="V29" s="271"/>
      <c r="W29" s="272"/>
      <c r="X29" s="272"/>
      <c r="Y29" s="272"/>
      <c r="Z29" s="272"/>
      <c r="AA29" s="273"/>
      <c r="AB29" s="289"/>
      <c r="AC29" s="290"/>
      <c r="AD29" s="290"/>
      <c r="AE29" s="290"/>
      <c r="AF29" s="290"/>
      <c r="AG29" s="291"/>
      <c r="AH29" s="280"/>
      <c r="AI29" s="281"/>
      <c r="AJ29" s="281"/>
      <c r="AK29" s="281"/>
      <c r="AL29" s="281"/>
      <c r="AM29" s="282"/>
      <c r="AN29" s="69"/>
      <c r="AO29" s="332"/>
      <c r="AP29" s="333"/>
      <c r="AQ29" s="333"/>
      <c r="AR29" s="333"/>
      <c r="AS29" s="333"/>
      <c r="AT29" s="334"/>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306"/>
      <c r="C30" s="306"/>
      <c r="D30" s="307"/>
      <c r="E30" s="296" t="s">
        <v>112</v>
      </c>
      <c r="F30" s="297"/>
      <c r="G30" s="297"/>
      <c r="H30" s="297"/>
      <c r="I30" s="297"/>
      <c r="J30" s="265" t="str">
        <f>IF(AND('Mapa final'!$H$13="Baja",'Mapa final'!$L$13="Leve"),CONCATENATE("R",'Mapa final'!$A$13),"")</f>
        <v/>
      </c>
      <c r="K30" s="266"/>
      <c r="L30" s="266" t="e">
        <f>IF(AND('Mapa final'!#REF!="Baja",'Mapa final'!#REF!="Leve"),CONCATENATE("R",'Mapa final'!#REF!),"")</f>
        <v>#REF!</v>
      </c>
      <c r="M30" s="266"/>
      <c r="N30" s="266" t="e">
        <f>IF(AND('Mapa final'!#REF!="Baja",'Mapa final'!#REF!="Leve"),CONCATENATE("R",'Mapa final'!#REF!),"")</f>
        <v>#REF!</v>
      </c>
      <c r="O30" s="267"/>
      <c r="P30" s="275" t="str">
        <f>IF(AND('Mapa final'!$H$13="Baja",'Mapa final'!$L$13="Menor"),CONCATENATE("R",'Mapa final'!$A$13),"")</f>
        <v/>
      </c>
      <c r="Q30" s="275"/>
      <c r="R30" s="275" t="e">
        <f>IF(AND('Mapa final'!#REF!="Baja",'Mapa final'!#REF!="Menor"),CONCATENATE("R",'Mapa final'!#REF!),"")</f>
        <v>#REF!</v>
      </c>
      <c r="S30" s="275"/>
      <c r="T30" s="275" t="e">
        <f>IF(AND('Mapa final'!#REF!="Baja",'Mapa final'!#REF!="Menor"),CONCATENATE("R",'Mapa final'!#REF!),"")</f>
        <v>#REF!</v>
      </c>
      <c r="U30" s="276"/>
      <c r="V30" s="274" t="str">
        <f>IF(AND('Mapa final'!$H$13="Baja",'Mapa final'!$L$13="Moderado"),CONCATENATE("R",'Mapa final'!$A$13),"")</f>
        <v>R1</v>
      </c>
      <c r="W30" s="275"/>
      <c r="X30" s="275" t="e">
        <f>IF(AND('Mapa final'!#REF!="Baja",'Mapa final'!#REF!="Moderado"),CONCATENATE("R",'Mapa final'!#REF!),"")</f>
        <v>#REF!</v>
      </c>
      <c r="Y30" s="275"/>
      <c r="Z30" s="275" t="e">
        <f>IF(AND('Mapa final'!#REF!="Baja",'Mapa final'!#REF!="Moderado"),CONCATENATE("R",'Mapa final'!#REF!),"")</f>
        <v>#REF!</v>
      </c>
      <c r="AA30" s="276"/>
      <c r="AB30" s="292" t="str">
        <f>IF(AND('Mapa final'!$H$13="Baja",'Mapa final'!$L$13="Mayor"),CONCATENATE("R",'Mapa final'!$A$13),"")</f>
        <v/>
      </c>
      <c r="AC30" s="293"/>
      <c r="AD30" s="293" t="e">
        <f>IF(AND('Mapa final'!#REF!="Baja",'Mapa final'!#REF!="Mayor"),CONCATENATE("R",'Mapa final'!#REF!),"")</f>
        <v>#REF!</v>
      </c>
      <c r="AE30" s="293"/>
      <c r="AF30" s="293" t="e">
        <f>IF(AND('Mapa final'!#REF!="Baja",'Mapa final'!#REF!="Mayor"),CONCATENATE("R",'Mapa final'!#REF!),"")</f>
        <v>#REF!</v>
      </c>
      <c r="AG30" s="294"/>
      <c r="AH30" s="283" t="str">
        <f>IF(AND('Mapa final'!$H$13="Baja",'Mapa final'!$L$13="Catastrófico"),CONCATENATE("R",'Mapa final'!$A$13),"")</f>
        <v/>
      </c>
      <c r="AI30" s="284"/>
      <c r="AJ30" s="284" t="e">
        <f>IF(AND('Mapa final'!#REF!="Baja",'Mapa final'!#REF!="Catastrófico"),CONCATENATE("R",'Mapa final'!#REF!),"")</f>
        <v>#REF!</v>
      </c>
      <c r="AK30" s="284"/>
      <c r="AL30" s="284" t="e">
        <f>IF(AND('Mapa final'!#REF!="Baja",'Mapa final'!#REF!="Catastrófico"),CONCATENATE("R",'Mapa final'!#REF!),"")</f>
        <v>#REF!</v>
      </c>
      <c r="AM30" s="285"/>
      <c r="AN30" s="69"/>
      <c r="AO30" s="335" t="s">
        <v>80</v>
      </c>
      <c r="AP30" s="336"/>
      <c r="AQ30" s="336"/>
      <c r="AR30" s="336"/>
      <c r="AS30" s="336"/>
      <c r="AT30" s="337"/>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306"/>
      <c r="C31" s="306"/>
      <c r="D31" s="307"/>
      <c r="E31" s="299"/>
      <c r="F31" s="300"/>
      <c r="G31" s="300"/>
      <c r="H31" s="300"/>
      <c r="I31" s="300"/>
      <c r="J31" s="259"/>
      <c r="K31" s="260"/>
      <c r="L31" s="260"/>
      <c r="M31" s="260"/>
      <c r="N31" s="260"/>
      <c r="O31" s="261"/>
      <c r="P31" s="269"/>
      <c r="Q31" s="269"/>
      <c r="R31" s="269"/>
      <c r="S31" s="269"/>
      <c r="T31" s="269"/>
      <c r="U31" s="270"/>
      <c r="V31" s="268"/>
      <c r="W31" s="269"/>
      <c r="X31" s="269"/>
      <c r="Y31" s="269"/>
      <c r="Z31" s="269"/>
      <c r="AA31" s="270"/>
      <c r="AB31" s="286"/>
      <c r="AC31" s="287"/>
      <c r="AD31" s="287"/>
      <c r="AE31" s="287"/>
      <c r="AF31" s="287"/>
      <c r="AG31" s="288"/>
      <c r="AH31" s="277"/>
      <c r="AI31" s="278"/>
      <c r="AJ31" s="278"/>
      <c r="AK31" s="278"/>
      <c r="AL31" s="278"/>
      <c r="AM31" s="279"/>
      <c r="AN31" s="69"/>
      <c r="AO31" s="338"/>
      <c r="AP31" s="339"/>
      <c r="AQ31" s="339"/>
      <c r="AR31" s="339"/>
      <c r="AS31" s="339"/>
      <c r="AT31" s="340"/>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306"/>
      <c r="C32" s="306"/>
      <c r="D32" s="307"/>
      <c r="E32" s="299"/>
      <c r="F32" s="300"/>
      <c r="G32" s="300"/>
      <c r="H32" s="300"/>
      <c r="I32" s="300"/>
      <c r="J32" s="259" t="e">
        <f>IF(AND('Mapa final'!#REF!="Baja",'Mapa final'!#REF!="Leve"),CONCATENATE("R",'Mapa final'!#REF!),"")</f>
        <v>#REF!</v>
      </c>
      <c r="K32" s="260"/>
      <c r="L32" s="260" t="e">
        <f>IF(AND('Mapa final'!#REF!="Baja",'Mapa final'!#REF!="Leve"),CONCATENATE("R",'Mapa final'!#REF!),"")</f>
        <v>#REF!</v>
      </c>
      <c r="M32" s="260"/>
      <c r="N32" s="260" t="e">
        <f>IF(AND('Mapa final'!#REF!="Baja",'Mapa final'!#REF!="Leve"),CONCATENATE("R",'Mapa final'!#REF!),"")</f>
        <v>#REF!</v>
      </c>
      <c r="O32" s="261"/>
      <c r="P32" s="269" t="e">
        <f>IF(AND('Mapa final'!#REF!="Baja",'Mapa final'!#REF!="Menor"),CONCATENATE("R",'Mapa final'!#REF!),"")</f>
        <v>#REF!</v>
      </c>
      <c r="Q32" s="269"/>
      <c r="R32" s="269" t="e">
        <f>IF(AND('Mapa final'!#REF!="Baja",'Mapa final'!#REF!="Menor"),CONCATENATE("R",'Mapa final'!#REF!),"")</f>
        <v>#REF!</v>
      </c>
      <c r="S32" s="269"/>
      <c r="T32" s="269" t="e">
        <f>IF(AND('Mapa final'!#REF!="Baja",'Mapa final'!#REF!="Menor"),CONCATENATE("R",'Mapa final'!#REF!),"")</f>
        <v>#REF!</v>
      </c>
      <c r="U32" s="270"/>
      <c r="V32" s="268" t="e">
        <f>IF(AND('Mapa final'!#REF!="Baja",'Mapa final'!#REF!="Moderado"),CONCATENATE("R",'Mapa final'!#REF!),"")</f>
        <v>#REF!</v>
      </c>
      <c r="W32" s="269"/>
      <c r="X32" s="269" t="e">
        <f>IF(AND('Mapa final'!#REF!="Baja",'Mapa final'!#REF!="Moderado"),CONCATENATE("R",'Mapa final'!#REF!),"")</f>
        <v>#REF!</v>
      </c>
      <c r="Y32" s="269"/>
      <c r="Z32" s="269" t="e">
        <f>IF(AND('Mapa final'!#REF!="Baja",'Mapa final'!#REF!="Moderado"),CONCATENATE("R",'Mapa final'!#REF!),"")</f>
        <v>#REF!</v>
      </c>
      <c r="AA32" s="270"/>
      <c r="AB32" s="286" t="e">
        <f>IF(AND('Mapa final'!#REF!="Baja",'Mapa final'!#REF!="Mayor"),CONCATENATE("R",'Mapa final'!#REF!),"")</f>
        <v>#REF!</v>
      </c>
      <c r="AC32" s="287"/>
      <c r="AD32" s="287" t="e">
        <f>IF(AND('Mapa final'!#REF!="Baja",'Mapa final'!#REF!="Mayor"),CONCATENATE("R",'Mapa final'!#REF!),"")</f>
        <v>#REF!</v>
      </c>
      <c r="AE32" s="287"/>
      <c r="AF32" s="287" t="e">
        <f>IF(AND('Mapa final'!#REF!="Baja",'Mapa final'!#REF!="Mayor"),CONCATENATE("R",'Mapa final'!#REF!),"")</f>
        <v>#REF!</v>
      </c>
      <c r="AG32" s="288"/>
      <c r="AH32" s="277" t="e">
        <f>IF(AND('Mapa final'!#REF!="Baja",'Mapa final'!#REF!="Catastrófico"),CONCATENATE("R",'Mapa final'!#REF!),"")</f>
        <v>#REF!</v>
      </c>
      <c r="AI32" s="278"/>
      <c r="AJ32" s="278" t="e">
        <f>IF(AND('Mapa final'!#REF!="Baja",'Mapa final'!#REF!="Catastrófico"),CONCATENATE("R",'Mapa final'!#REF!),"")</f>
        <v>#REF!</v>
      </c>
      <c r="AK32" s="278"/>
      <c r="AL32" s="278" t="e">
        <f>IF(AND('Mapa final'!#REF!="Baja",'Mapa final'!#REF!="Catastrófico"),CONCATENATE("R",'Mapa final'!#REF!),"")</f>
        <v>#REF!</v>
      </c>
      <c r="AM32" s="279"/>
      <c r="AN32" s="69"/>
      <c r="AO32" s="338"/>
      <c r="AP32" s="339"/>
      <c r="AQ32" s="339"/>
      <c r="AR32" s="339"/>
      <c r="AS32" s="339"/>
      <c r="AT32" s="340"/>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306"/>
      <c r="C33" s="306"/>
      <c r="D33" s="307"/>
      <c r="E33" s="299"/>
      <c r="F33" s="300"/>
      <c r="G33" s="300"/>
      <c r="H33" s="300"/>
      <c r="I33" s="300"/>
      <c r="J33" s="259"/>
      <c r="K33" s="260"/>
      <c r="L33" s="260"/>
      <c r="M33" s="260"/>
      <c r="N33" s="260"/>
      <c r="O33" s="261"/>
      <c r="P33" s="269"/>
      <c r="Q33" s="269"/>
      <c r="R33" s="269"/>
      <c r="S33" s="269"/>
      <c r="T33" s="269"/>
      <c r="U33" s="270"/>
      <c r="V33" s="268"/>
      <c r="W33" s="269"/>
      <c r="X33" s="269"/>
      <c r="Y33" s="269"/>
      <c r="Z33" s="269"/>
      <c r="AA33" s="270"/>
      <c r="AB33" s="286"/>
      <c r="AC33" s="287"/>
      <c r="AD33" s="287"/>
      <c r="AE33" s="287"/>
      <c r="AF33" s="287"/>
      <c r="AG33" s="288"/>
      <c r="AH33" s="277"/>
      <c r="AI33" s="278"/>
      <c r="AJ33" s="278"/>
      <c r="AK33" s="278"/>
      <c r="AL33" s="278"/>
      <c r="AM33" s="279"/>
      <c r="AN33" s="69"/>
      <c r="AO33" s="338"/>
      <c r="AP33" s="339"/>
      <c r="AQ33" s="339"/>
      <c r="AR33" s="339"/>
      <c r="AS33" s="339"/>
      <c r="AT33" s="340"/>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306"/>
      <c r="C34" s="306"/>
      <c r="D34" s="307"/>
      <c r="E34" s="299"/>
      <c r="F34" s="300"/>
      <c r="G34" s="300"/>
      <c r="H34" s="300"/>
      <c r="I34" s="300"/>
      <c r="J34" s="259" t="e">
        <f>IF(AND('Mapa final'!#REF!="Baja",'Mapa final'!#REF!="Leve"),CONCATENATE("R",'Mapa final'!#REF!),"")</f>
        <v>#REF!</v>
      </c>
      <c r="K34" s="260"/>
      <c r="L34" s="260" t="e">
        <f>IF(AND('Mapa final'!#REF!="Baja",'Mapa final'!#REF!="Leve"),CONCATENATE("R",'Mapa final'!#REF!),"")</f>
        <v>#REF!</v>
      </c>
      <c r="M34" s="260"/>
      <c r="N34" s="260" t="e">
        <f>IF(AND('Mapa final'!#REF!="Baja",'Mapa final'!#REF!="Leve"),CONCATENATE("R",'Mapa final'!#REF!),"")</f>
        <v>#REF!</v>
      </c>
      <c r="O34" s="261"/>
      <c r="P34" s="269" t="e">
        <f>IF(AND('Mapa final'!#REF!="Baja",'Mapa final'!#REF!="Menor"),CONCATENATE("R",'Mapa final'!#REF!),"")</f>
        <v>#REF!</v>
      </c>
      <c r="Q34" s="269"/>
      <c r="R34" s="269" t="e">
        <f>IF(AND('Mapa final'!#REF!="Baja",'Mapa final'!#REF!="Menor"),CONCATENATE("R",'Mapa final'!#REF!),"")</f>
        <v>#REF!</v>
      </c>
      <c r="S34" s="269"/>
      <c r="T34" s="269" t="e">
        <f>IF(AND('Mapa final'!#REF!="Baja",'Mapa final'!#REF!="Menor"),CONCATENATE("R",'Mapa final'!#REF!),"")</f>
        <v>#REF!</v>
      </c>
      <c r="U34" s="270"/>
      <c r="V34" s="268" t="e">
        <f>IF(AND('Mapa final'!#REF!="Baja",'Mapa final'!#REF!="Moderado"),CONCATENATE("R",'Mapa final'!#REF!),"")</f>
        <v>#REF!</v>
      </c>
      <c r="W34" s="269"/>
      <c r="X34" s="269" t="e">
        <f>IF(AND('Mapa final'!#REF!="Baja",'Mapa final'!#REF!="Moderado"),CONCATENATE("R",'Mapa final'!#REF!),"")</f>
        <v>#REF!</v>
      </c>
      <c r="Y34" s="269"/>
      <c r="Z34" s="269" t="e">
        <f>IF(AND('Mapa final'!#REF!="Baja",'Mapa final'!#REF!="Moderado"),CONCATENATE("R",'Mapa final'!#REF!),"")</f>
        <v>#REF!</v>
      </c>
      <c r="AA34" s="270"/>
      <c r="AB34" s="286" t="e">
        <f>IF(AND('Mapa final'!#REF!="Baja",'Mapa final'!#REF!="Mayor"),CONCATENATE("R",'Mapa final'!#REF!),"")</f>
        <v>#REF!</v>
      </c>
      <c r="AC34" s="287"/>
      <c r="AD34" s="287" t="e">
        <f>IF(AND('Mapa final'!#REF!="Baja",'Mapa final'!#REF!="Mayor"),CONCATENATE("R",'Mapa final'!#REF!),"")</f>
        <v>#REF!</v>
      </c>
      <c r="AE34" s="287"/>
      <c r="AF34" s="287" t="e">
        <f>IF(AND('Mapa final'!#REF!="Baja",'Mapa final'!#REF!="Mayor"),CONCATENATE("R",'Mapa final'!#REF!),"")</f>
        <v>#REF!</v>
      </c>
      <c r="AG34" s="288"/>
      <c r="AH34" s="277" t="e">
        <f>IF(AND('Mapa final'!#REF!="Baja",'Mapa final'!#REF!="Catastrófico"),CONCATENATE("R",'Mapa final'!#REF!),"")</f>
        <v>#REF!</v>
      </c>
      <c r="AI34" s="278"/>
      <c r="AJ34" s="278" t="e">
        <f>IF(AND('Mapa final'!#REF!="Baja",'Mapa final'!#REF!="Catastrófico"),CONCATENATE("R",'Mapa final'!#REF!),"")</f>
        <v>#REF!</v>
      </c>
      <c r="AK34" s="278"/>
      <c r="AL34" s="278" t="e">
        <f>IF(AND('Mapa final'!#REF!="Baja",'Mapa final'!#REF!="Catastrófico"),CONCATENATE("R",'Mapa final'!#REF!),"")</f>
        <v>#REF!</v>
      </c>
      <c r="AM34" s="279"/>
      <c r="AN34" s="69"/>
      <c r="AO34" s="338"/>
      <c r="AP34" s="339"/>
      <c r="AQ34" s="339"/>
      <c r="AR34" s="339"/>
      <c r="AS34" s="339"/>
      <c r="AT34" s="340"/>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306"/>
      <c r="C35" s="306"/>
      <c r="D35" s="307"/>
      <c r="E35" s="299"/>
      <c r="F35" s="300"/>
      <c r="G35" s="300"/>
      <c r="H35" s="300"/>
      <c r="I35" s="300"/>
      <c r="J35" s="259"/>
      <c r="K35" s="260"/>
      <c r="L35" s="260"/>
      <c r="M35" s="260"/>
      <c r="N35" s="260"/>
      <c r="O35" s="261"/>
      <c r="P35" s="269"/>
      <c r="Q35" s="269"/>
      <c r="R35" s="269"/>
      <c r="S35" s="269"/>
      <c r="T35" s="269"/>
      <c r="U35" s="270"/>
      <c r="V35" s="268"/>
      <c r="W35" s="269"/>
      <c r="X35" s="269"/>
      <c r="Y35" s="269"/>
      <c r="Z35" s="269"/>
      <c r="AA35" s="270"/>
      <c r="AB35" s="286"/>
      <c r="AC35" s="287"/>
      <c r="AD35" s="287"/>
      <c r="AE35" s="287"/>
      <c r="AF35" s="287"/>
      <c r="AG35" s="288"/>
      <c r="AH35" s="277"/>
      <c r="AI35" s="278"/>
      <c r="AJ35" s="278"/>
      <c r="AK35" s="278"/>
      <c r="AL35" s="278"/>
      <c r="AM35" s="279"/>
      <c r="AN35" s="69"/>
      <c r="AO35" s="338"/>
      <c r="AP35" s="339"/>
      <c r="AQ35" s="339"/>
      <c r="AR35" s="339"/>
      <c r="AS35" s="339"/>
      <c r="AT35" s="340"/>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306"/>
      <c r="C36" s="306"/>
      <c r="D36" s="307"/>
      <c r="E36" s="299"/>
      <c r="F36" s="300"/>
      <c r="G36" s="300"/>
      <c r="H36" s="300"/>
      <c r="I36" s="300"/>
      <c r="J36" s="259" t="e">
        <f>IF(AND('Mapa final'!#REF!="Baja",'Mapa final'!#REF!="Leve"),CONCATENATE("R",'Mapa final'!#REF!),"")</f>
        <v>#REF!</v>
      </c>
      <c r="K36" s="260"/>
      <c r="L36" s="260" t="str">
        <f>IF(AND('Mapa final'!$H$19="Baja",'Mapa final'!$L$19="Leve"),CONCATENATE("R",'Mapa final'!$A$19),"")</f>
        <v/>
      </c>
      <c r="M36" s="260"/>
      <c r="N36" s="260" t="str">
        <f>IF(AND('Mapa final'!$H$25="Baja",'Mapa final'!$L$25="Leve"),CONCATENATE("R",'Mapa final'!$A$25),"")</f>
        <v/>
      </c>
      <c r="O36" s="261"/>
      <c r="P36" s="269" t="e">
        <f>IF(AND('Mapa final'!#REF!="Baja",'Mapa final'!#REF!="Menor"),CONCATENATE("R",'Mapa final'!#REF!),"")</f>
        <v>#REF!</v>
      </c>
      <c r="Q36" s="269"/>
      <c r="R36" s="269" t="str">
        <f>IF(AND('Mapa final'!$H$19="Baja",'Mapa final'!$L$19="Menor"),CONCATENATE("R",'Mapa final'!$A$19),"")</f>
        <v/>
      </c>
      <c r="S36" s="269"/>
      <c r="T36" s="269" t="str">
        <f>IF(AND('Mapa final'!$H$25="Baja",'Mapa final'!$L$25="Menor"),CONCATENATE("R",'Mapa final'!$A$25),"")</f>
        <v/>
      </c>
      <c r="U36" s="270"/>
      <c r="V36" s="268" t="e">
        <f>IF(AND('Mapa final'!#REF!="Baja",'Mapa final'!#REF!="Moderado"),CONCATENATE("R",'Mapa final'!#REF!),"")</f>
        <v>#REF!</v>
      </c>
      <c r="W36" s="269"/>
      <c r="X36" s="269" t="str">
        <f>IF(AND('Mapa final'!$H$19="Baja",'Mapa final'!$L$19="Moderado"),CONCATENATE("R",'Mapa final'!$A$19),"")</f>
        <v/>
      </c>
      <c r="Y36" s="269"/>
      <c r="Z36" s="269" t="str">
        <f>IF(AND('Mapa final'!$H$25="Baja",'Mapa final'!$L$25="Moderado"),CONCATENATE("R",'Mapa final'!$A$25),"")</f>
        <v/>
      </c>
      <c r="AA36" s="270"/>
      <c r="AB36" s="286" t="e">
        <f>IF(AND('Mapa final'!#REF!="Baja",'Mapa final'!#REF!="Mayor"),CONCATENATE("R",'Mapa final'!#REF!),"")</f>
        <v>#REF!</v>
      </c>
      <c r="AC36" s="287"/>
      <c r="AD36" s="287" t="str">
        <f>IF(AND('Mapa final'!$H$19="Baja",'Mapa final'!$L$19="Mayor"),CONCATENATE("R",'Mapa final'!$A$19),"")</f>
        <v/>
      </c>
      <c r="AE36" s="287"/>
      <c r="AF36" s="287" t="str">
        <f>IF(AND('Mapa final'!$H$25="Baja",'Mapa final'!$L$25="Mayor"),CONCATENATE("R",'Mapa final'!$A$25),"")</f>
        <v/>
      </c>
      <c r="AG36" s="288"/>
      <c r="AH36" s="277" t="e">
        <f>IF(AND('Mapa final'!#REF!="Baja",'Mapa final'!#REF!="Catastrófico"),CONCATENATE("R",'Mapa final'!#REF!),"")</f>
        <v>#REF!</v>
      </c>
      <c r="AI36" s="278"/>
      <c r="AJ36" s="278" t="str">
        <f>IF(AND('Mapa final'!$H$19="Baja",'Mapa final'!$L$19="Catastrófico"),CONCATENATE("R",'Mapa final'!$A$19),"")</f>
        <v/>
      </c>
      <c r="AK36" s="278"/>
      <c r="AL36" s="278" t="str">
        <f>IF(AND('Mapa final'!$H$25="Baja",'Mapa final'!$L$25="Catastrófico"),CONCATENATE("R",'Mapa final'!$A$25),"")</f>
        <v/>
      </c>
      <c r="AM36" s="279"/>
      <c r="AN36" s="69"/>
      <c r="AO36" s="338"/>
      <c r="AP36" s="339"/>
      <c r="AQ36" s="339"/>
      <c r="AR36" s="339"/>
      <c r="AS36" s="339"/>
      <c r="AT36" s="340"/>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306"/>
      <c r="C37" s="306"/>
      <c r="D37" s="307"/>
      <c r="E37" s="302"/>
      <c r="F37" s="303"/>
      <c r="G37" s="303"/>
      <c r="H37" s="303"/>
      <c r="I37" s="303"/>
      <c r="J37" s="262"/>
      <c r="K37" s="263"/>
      <c r="L37" s="263"/>
      <c r="M37" s="263"/>
      <c r="N37" s="263"/>
      <c r="O37" s="264"/>
      <c r="P37" s="272"/>
      <c r="Q37" s="272"/>
      <c r="R37" s="272"/>
      <c r="S37" s="272"/>
      <c r="T37" s="272"/>
      <c r="U37" s="273"/>
      <c r="V37" s="271"/>
      <c r="W37" s="272"/>
      <c r="X37" s="272"/>
      <c r="Y37" s="272"/>
      <c r="Z37" s="272"/>
      <c r="AA37" s="273"/>
      <c r="AB37" s="289"/>
      <c r="AC37" s="290"/>
      <c r="AD37" s="290"/>
      <c r="AE37" s="290"/>
      <c r="AF37" s="290"/>
      <c r="AG37" s="291"/>
      <c r="AH37" s="280"/>
      <c r="AI37" s="281"/>
      <c r="AJ37" s="281"/>
      <c r="AK37" s="281"/>
      <c r="AL37" s="281"/>
      <c r="AM37" s="282"/>
      <c r="AN37" s="69"/>
      <c r="AO37" s="341"/>
      <c r="AP37" s="342"/>
      <c r="AQ37" s="342"/>
      <c r="AR37" s="342"/>
      <c r="AS37" s="342"/>
      <c r="AT37" s="343"/>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306"/>
      <c r="C38" s="306"/>
      <c r="D38" s="307"/>
      <c r="E38" s="296" t="s">
        <v>111</v>
      </c>
      <c r="F38" s="297"/>
      <c r="G38" s="297"/>
      <c r="H38" s="297"/>
      <c r="I38" s="298"/>
      <c r="J38" s="265" t="str">
        <f>IF(AND('Mapa final'!$H$13="Muy Baja",'Mapa final'!$L$13="Leve"),CONCATENATE("R",'Mapa final'!$A$13),"")</f>
        <v/>
      </c>
      <c r="K38" s="266"/>
      <c r="L38" s="266" t="e">
        <f>IF(AND('Mapa final'!#REF!="Muy Baja",'Mapa final'!#REF!="Leve"),CONCATENATE("R",'Mapa final'!#REF!),"")</f>
        <v>#REF!</v>
      </c>
      <c r="M38" s="266"/>
      <c r="N38" s="266" t="e">
        <f>IF(AND('Mapa final'!#REF!="Muy Baja",'Mapa final'!#REF!="Leve"),CONCATENATE("R",'Mapa final'!#REF!),"")</f>
        <v>#REF!</v>
      </c>
      <c r="O38" s="267"/>
      <c r="P38" s="265" t="str">
        <f>IF(AND('Mapa final'!$H$13="Muy Baja",'Mapa final'!$L$13="Menor"),CONCATENATE("R",'Mapa final'!$A$13),"")</f>
        <v/>
      </c>
      <c r="Q38" s="266"/>
      <c r="R38" s="266" t="e">
        <f>IF(AND('Mapa final'!#REF!="Muy Baja",'Mapa final'!#REF!="Menor"),CONCATENATE("R",'Mapa final'!#REF!),"")</f>
        <v>#REF!</v>
      </c>
      <c r="S38" s="266"/>
      <c r="T38" s="266" t="e">
        <f>IF(AND('Mapa final'!#REF!="Muy Baja",'Mapa final'!#REF!="Menor"),CONCATENATE("R",'Mapa final'!#REF!),"")</f>
        <v>#REF!</v>
      </c>
      <c r="U38" s="267"/>
      <c r="V38" s="274" t="str">
        <f>IF(AND('Mapa final'!$H$13="Muy Baja",'Mapa final'!$L$13="Moderado"),CONCATENATE("R",'Mapa final'!$A$13),"")</f>
        <v/>
      </c>
      <c r="W38" s="275"/>
      <c r="X38" s="275" t="e">
        <f>IF(AND('Mapa final'!#REF!="Muy Baja",'Mapa final'!#REF!="Moderado"),CONCATENATE("R",'Mapa final'!#REF!),"")</f>
        <v>#REF!</v>
      </c>
      <c r="Y38" s="275"/>
      <c r="Z38" s="275" t="e">
        <f>IF(AND('Mapa final'!#REF!="Muy Baja",'Mapa final'!#REF!="Moderado"),CONCATENATE("R",'Mapa final'!#REF!),"")</f>
        <v>#REF!</v>
      </c>
      <c r="AA38" s="276"/>
      <c r="AB38" s="292" t="str">
        <f>IF(AND('Mapa final'!$H$13="Muy Baja",'Mapa final'!$L$13="Mayor"),CONCATENATE("R",'Mapa final'!$A$13),"")</f>
        <v/>
      </c>
      <c r="AC38" s="293"/>
      <c r="AD38" s="293" t="e">
        <f>IF(AND('Mapa final'!#REF!="Muy Baja",'Mapa final'!#REF!="Mayor"),CONCATENATE("R",'Mapa final'!#REF!),"")</f>
        <v>#REF!</v>
      </c>
      <c r="AE38" s="293"/>
      <c r="AF38" s="293" t="e">
        <f>IF(AND('Mapa final'!#REF!="Muy Baja",'Mapa final'!#REF!="Mayor"),CONCATENATE("R",'Mapa final'!#REF!),"")</f>
        <v>#REF!</v>
      </c>
      <c r="AG38" s="294"/>
      <c r="AH38" s="283" t="str">
        <f>IF(AND('Mapa final'!$H$13="Muy Baja",'Mapa final'!$L$13="Catastrófico"),CONCATENATE("R",'Mapa final'!$A$13),"")</f>
        <v/>
      </c>
      <c r="AI38" s="284"/>
      <c r="AJ38" s="284" t="e">
        <f>IF(AND('Mapa final'!#REF!="Muy Baja",'Mapa final'!#REF!="Catastrófico"),CONCATENATE("R",'Mapa final'!#REF!),"")</f>
        <v>#REF!</v>
      </c>
      <c r="AK38" s="284"/>
      <c r="AL38" s="284" t="e">
        <f>IF(AND('Mapa final'!#REF!="Muy Baja",'Mapa final'!#REF!="Catastrófico"),CONCATENATE("R",'Mapa final'!#REF!),"")</f>
        <v>#REF!</v>
      </c>
      <c r="AM38" s="285"/>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306"/>
      <c r="C39" s="306"/>
      <c r="D39" s="307"/>
      <c r="E39" s="299"/>
      <c r="F39" s="300"/>
      <c r="G39" s="300"/>
      <c r="H39" s="300"/>
      <c r="I39" s="301"/>
      <c r="J39" s="259"/>
      <c r="K39" s="260"/>
      <c r="L39" s="260"/>
      <c r="M39" s="260"/>
      <c r="N39" s="260"/>
      <c r="O39" s="261"/>
      <c r="P39" s="259"/>
      <c r="Q39" s="260"/>
      <c r="R39" s="260"/>
      <c r="S39" s="260"/>
      <c r="T39" s="260"/>
      <c r="U39" s="261"/>
      <c r="V39" s="268"/>
      <c r="W39" s="269"/>
      <c r="X39" s="269"/>
      <c r="Y39" s="269"/>
      <c r="Z39" s="269"/>
      <c r="AA39" s="270"/>
      <c r="AB39" s="286"/>
      <c r="AC39" s="287"/>
      <c r="AD39" s="287"/>
      <c r="AE39" s="287"/>
      <c r="AF39" s="287"/>
      <c r="AG39" s="288"/>
      <c r="AH39" s="277"/>
      <c r="AI39" s="278"/>
      <c r="AJ39" s="278"/>
      <c r="AK39" s="278"/>
      <c r="AL39" s="278"/>
      <c r="AM39" s="27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306"/>
      <c r="C40" s="306"/>
      <c r="D40" s="307"/>
      <c r="E40" s="299"/>
      <c r="F40" s="300"/>
      <c r="G40" s="300"/>
      <c r="H40" s="300"/>
      <c r="I40" s="301"/>
      <c r="J40" s="259" t="e">
        <f>IF(AND('Mapa final'!#REF!="Muy Baja",'Mapa final'!#REF!="Leve"),CONCATENATE("R",'Mapa final'!#REF!),"")</f>
        <v>#REF!</v>
      </c>
      <c r="K40" s="260"/>
      <c r="L40" s="260" t="e">
        <f>IF(AND('Mapa final'!#REF!="Muy Baja",'Mapa final'!#REF!="Leve"),CONCATENATE("R",'Mapa final'!#REF!),"")</f>
        <v>#REF!</v>
      </c>
      <c r="M40" s="260"/>
      <c r="N40" s="260" t="e">
        <f>IF(AND('Mapa final'!#REF!="Muy Baja",'Mapa final'!#REF!="Leve"),CONCATENATE("R",'Mapa final'!#REF!),"")</f>
        <v>#REF!</v>
      </c>
      <c r="O40" s="261"/>
      <c r="P40" s="259" t="e">
        <f>IF(AND('Mapa final'!#REF!="Muy Baja",'Mapa final'!#REF!="Menor"),CONCATENATE("R",'Mapa final'!#REF!),"")</f>
        <v>#REF!</v>
      </c>
      <c r="Q40" s="260"/>
      <c r="R40" s="260" t="e">
        <f>IF(AND('Mapa final'!#REF!="Muy Baja",'Mapa final'!#REF!="Menor"),CONCATENATE("R",'Mapa final'!#REF!),"")</f>
        <v>#REF!</v>
      </c>
      <c r="S40" s="260"/>
      <c r="T40" s="260" t="e">
        <f>IF(AND('Mapa final'!#REF!="Muy Baja",'Mapa final'!#REF!="Menor"),CONCATENATE("R",'Mapa final'!#REF!),"")</f>
        <v>#REF!</v>
      </c>
      <c r="U40" s="261"/>
      <c r="V40" s="268" t="e">
        <f>IF(AND('Mapa final'!#REF!="Muy Baja",'Mapa final'!#REF!="Moderado"),CONCATENATE("R",'Mapa final'!#REF!),"")</f>
        <v>#REF!</v>
      </c>
      <c r="W40" s="269"/>
      <c r="X40" s="269" t="e">
        <f>IF(AND('Mapa final'!#REF!="Muy Baja",'Mapa final'!#REF!="Moderado"),CONCATENATE("R",'Mapa final'!#REF!),"")</f>
        <v>#REF!</v>
      </c>
      <c r="Y40" s="269"/>
      <c r="Z40" s="269" t="e">
        <f>IF(AND('Mapa final'!#REF!="Muy Baja",'Mapa final'!#REF!="Moderado"),CONCATENATE("R",'Mapa final'!#REF!),"")</f>
        <v>#REF!</v>
      </c>
      <c r="AA40" s="270"/>
      <c r="AB40" s="286" t="e">
        <f>IF(AND('Mapa final'!#REF!="Muy Baja",'Mapa final'!#REF!="Mayor"),CONCATENATE("R",'Mapa final'!#REF!),"")</f>
        <v>#REF!</v>
      </c>
      <c r="AC40" s="287"/>
      <c r="AD40" s="287" t="e">
        <f>IF(AND('Mapa final'!#REF!="Muy Baja",'Mapa final'!#REF!="Mayor"),CONCATENATE("R",'Mapa final'!#REF!),"")</f>
        <v>#REF!</v>
      </c>
      <c r="AE40" s="287"/>
      <c r="AF40" s="287" t="e">
        <f>IF(AND('Mapa final'!#REF!="Muy Baja",'Mapa final'!#REF!="Mayor"),CONCATENATE("R",'Mapa final'!#REF!),"")</f>
        <v>#REF!</v>
      </c>
      <c r="AG40" s="288"/>
      <c r="AH40" s="277" t="e">
        <f>IF(AND('Mapa final'!#REF!="Muy Baja",'Mapa final'!#REF!="Catastrófico"),CONCATENATE("R",'Mapa final'!#REF!),"")</f>
        <v>#REF!</v>
      </c>
      <c r="AI40" s="278"/>
      <c r="AJ40" s="278" t="e">
        <f>IF(AND('Mapa final'!#REF!="Muy Baja",'Mapa final'!#REF!="Catastrófico"),CONCATENATE("R",'Mapa final'!#REF!),"")</f>
        <v>#REF!</v>
      </c>
      <c r="AK40" s="278"/>
      <c r="AL40" s="278" t="e">
        <f>IF(AND('Mapa final'!#REF!="Muy Baja",'Mapa final'!#REF!="Catastrófico"),CONCATENATE("R",'Mapa final'!#REF!),"")</f>
        <v>#REF!</v>
      </c>
      <c r="AM40" s="27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306"/>
      <c r="C41" s="306"/>
      <c r="D41" s="307"/>
      <c r="E41" s="299"/>
      <c r="F41" s="300"/>
      <c r="G41" s="300"/>
      <c r="H41" s="300"/>
      <c r="I41" s="301"/>
      <c r="J41" s="259"/>
      <c r="K41" s="260"/>
      <c r="L41" s="260"/>
      <c r="M41" s="260"/>
      <c r="N41" s="260"/>
      <c r="O41" s="261"/>
      <c r="P41" s="259"/>
      <c r="Q41" s="260"/>
      <c r="R41" s="260"/>
      <c r="S41" s="260"/>
      <c r="T41" s="260"/>
      <c r="U41" s="261"/>
      <c r="V41" s="268"/>
      <c r="W41" s="269"/>
      <c r="X41" s="269"/>
      <c r="Y41" s="269"/>
      <c r="Z41" s="269"/>
      <c r="AA41" s="270"/>
      <c r="AB41" s="286"/>
      <c r="AC41" s="287"/>
      <c r="AD41" s="287"/>
      <c r="AE41" s="287"/>
      <c r="AF41" s="287"/>
      <c r="AG41" s="288"/>
      <c r="AH41" s="277"/>
      <c r="AI41" s="278"/>
      <c r="AJ41" s="278"/>
      <c r="AK41" s="278"/>
      <c r="AL41" s="278"/>
      <c r="AM41" s="27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306"/>
      <c r="C42" s="306"/>
      <c r="D42" s="307"/>
      <c r="E42" s="299"/>
      <c r="F42" s="300"/>
      <c r="G42" s="300"/>
      <c r="H42" s="300"/>
      <c r="I42" s="301"/>
      <c r="J42" s="259" t="e">
        <f>IF(AND('Mapa final'!#REF!="Muy Baja",'Mapa final'!#REF!="Leve"),CONCATENATE("R",'Mapa final'!#REF!),"")</f>
        <v>#REF!</v>
      </c>
      <c r="K42" s="260"/>
      <c r="L42" s="260" t="e">
        <f>IF(AND('Mapa final'!#REF!="Muy Baja",'Mapa final'!#REF!="Leve"),CONCATENATE("R",'Mapa final'!#REF!),"")</f>
        <v>#REF!</v>
      </c>
      <c r="M42" s="260"/>
      <c r="N42" s="260" t="e">
        <f>IF(AND('Mapa final'!#REF!="Muy Baja",'Mapa final'!#REF!="Leve"),CONCATENATE("R",'Mapa final'!#REF!),"")</f>
        <v>#REF!</v>
      </c>
      <c r="O42" s="261"/>
      <c r="P42" s="259" t="e">
        <f>IF(AND('Mapa final'!#REF!="Muy Baja",'Mapa final'!#REF!="Menor"),CONCATENATE("R",'Mapa final'!#REF!),"")</f>
        <v>#REF!</v>
      </c>
      <c r="Q42" s="260"/>
      <c r="R42" s="260" t="e">
        <f>IF(AND('Mapa final'!#REF!="Muy Baja",'Mapa final'!#REF!="Menor"),CONCATENATE("R",'Mapa final'!#REF!),"")</f>
        <v>#REF!</v>
      </c>
      <c r="S42" s="260"/>
      <c r="T42" s="260" t="e">
        <f>IF(AND('Mapa final'!#REF!="Muy Baja",'Mapa final'!#REF!="Menor"),CONCATENATE("R",'Mapa final'!#REF!),"")</f>
        <v>#REF!</v>
      </c>
      <c r="U42" s="261"/>
      <c r="V42" s="268" t="e">
        <f>IF(AND('Mapa final'!#REF!="Muy Baja",'Mapa final'!#REF!="Moderado"),CONCATENATE("R",'Mapa final'!#REF!),"")</f>
        <v>#REF!</v>
      </c>
      <c r="W42" s="269"/>
      <c r="X42" s="269" t="e">
        <f>IF(AND('Mapa final'!#REF!="Muy Baja",'Mapa final'!#REF!="Moderado"),CONCATENATE("R",'Mapa final'!#REF!),"")</f>
        <v>#REF!</v>
      </c>
      <c r="Y42" s="269"/>
      <c r="Z42" s="269" t="e">
        <f>IF(AND('Mapa final'!#REF!="Muy Baja",'Mapa final'!#REF!="Moderado"),CONCATENATE("R",'Mapa final'!#REF!),"")</f>
        <v>#REF!</v>
      </c>
      <c r="AA42" s="270"/>
      <c r="AB42" s="286" t="e">
        <f>IF(AND('Mapa final'!#REF!="Muy Baja",'Mapa final'!#REF!="Mayor"),CONCATENATE("R",'Mapa final'!#REF!),"")</f>
        <v>#REF!</v>
      </c>
      <c r="AC42" s="287"/>
      <c r="AD42" s="287" t="e">
        <f>IF(AND('Mapa final'!#REF!="Muy Baja",'Mapa final'!#REF!="Mayor"),CONCATENATE("R",'Mapa final'!#REF!),"")</f>
        <v>#REF!</v>
      </c>
      <c r="AE42" s="287"/>
      <c r="AF42" s="287" t="e">
        <f>IF(AND('Mapa final'!#REF!="Muy Baja",'Mapa final'!#REF!="Mayor"),CONCATENATE("R",'Mapa final'!#REF!),"")</f>
        <v>#REF!</v>
      </c>
      <c r="AG42" s="288"/>
      <c r="AH42" s="277" t="e">
        <f>IF(AND('Mapa final'!#REF!="Muy Baja",'Mapa final'!#REF!="Catastrófico"),CONCATENATE("R",'Mapa final'!#REF!),"")</f>
        <v>#REF!</v>
      </c>
      <c r="AI42" s="278"/>
      <c r="AJ42" s="278" t="e">
        <f>IF(AND('Mapa final'!#REF!="Muy Baja",'Mapa final'!#REF!="Catastrófico"),CONCATENATE("R",'Mapa final'!#REF!),"")</f>
        <v>#REF!</v>
      </c>
      <c r="AK42" s="278"/>
      <c r="AL42" s="278" t="e">
        <f>IF(AND('Mapa final'!#REF!="Muy Baja",'Mapa final'!#REF!="Catastrófico"),CONCATENATE("R",'Mapa final'!#REF!),"")</f>
        <v>#REF!</v>
      </c>
      <c r="AM42" s="27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306"/>
      <c r="C43" s="306"/>
      <c r="D43" s="307"/>
      <c r="E43" s="299"/>
      <c r="F43" s="300"/>
      <c r="G43" s="300"/>
      <c r="H43" s="300"/>
      <c r="I43" s="301"/>
      <c r="J43" s="259"/>
      <c r="K43" s="260"/>
      <c r="L43" s="260"/>
      <c r="M43" s="260"/>
      <c r="N43" s="260"/>
      <c r="O43" s="261"/>
      <c r="P43" s="259"/>
      <c r="Q43" s="260"/>
      <c r="R43" s="260"/>
      <c r="S43" s="260"/>
      <c r="T43" s="260"/>
      <c r="U43" s="261"/>
      <c r="V43" s="268"/>
      <c r="W43" s="269"/>
      <c r="X43" s="269"/>
      <c r="Y43" s="269"/>
      <c r="Z43" s="269"/>
      <c r="AA43" s="270"/>
      <c r="AB43" s="286"/>
      <c r="AC43" s="287"/>
      <c r="AD43" s="287"/>
      <c r="AE43" s="287"/>
      <c r="AF43" s="287"/>
      <c r="AG43" s="288"/>
      <c r="AH43" s="277"/>
      <c r="AI43" s="278"/>
      <c r="AJ43" s="278"/>
      <c r="AK43" s="278"/>
      <c r="AL43" s="278"/>
      <c r="AM43" s="27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306"/>
      <c r="C44" s="306"/>
      <c r="D44" s="307"/>
      <c r="E44" s="299"/>
      <c r="F44" s="300"/>
      <c r="G44" s="300"/>
      <c r="H44" s="300"/>
      <c r="I44" s="301"/>
      <c r="J44" s="259" t="e">
        <f>IF(AND('Mapa final'!#REF!="Muy Baja",'Mapa final'!#REF!="Leve"),CONCATENATE("R",'Mapa final'!#REF!),"")</f>
        <v>#REF!</v>
      </c>
      <c r="K44" s="260"/>
      <c r="L44" s="260" t="str">
        <f>IF(AND('Mapa final'!$H$19="Muy Baja",'Mapa final'!$L$19="Leve"),CONCATENATE("R",'Mapa final'!$A$19),"")</f>
        <v/>
      </c>
      <c r="M44" s="260"/>
      <c r="N44" s="260" t="str">
        <f>IF(AND('Mapa final'!$H$25="Muy Baja",'Mapa final'!$L$25="Leve"),CONCATENATE("R",'Mapa final'!$A$25),"")</f>
        <v/>
      </c>
      <c r="O44" s="261"/>
      <c r="P44" s="259" t="e">
        <f>IF(AND('Mapa final'!#REF!="Muy Baja",'Mapa final'!#REF!="Menor"),CONCATENATE("R",'Mapa final'!#REF!),"")</f>
        <v>#REF!</v>
      </c>
      <c r="Q44" s="260"/>
      <c r="R44" s="260" t="str">
        <f>IF(AND('Mapa final'!$H$19="Muy Baja",'Mapa final'!$L$19="Menor"),CONCATENATE("R",'Mapa final'!$A$19),"")</f>
        <v/>
      </c>
      <c r="S44" s="260"/>
      <c r="T44" s="260" t="str">
        <f>IF(AND('Mapa final'!$H$25="Muy Baja",'Mapa final'!$L$25="Menor"),CONCATENATE("R",'Mapa final'!$A$25),"")</f>
        <v/>
      </c>
      <c r="U44" s="261"/>
      <c r="V44" s="268" t="e">
        <f>IF(AND('Mapa final'!#REF!="Muy Baja",'Mapa final'!#REF!="Moderado"),CONCATENATE("R",'Mapa final'!#REF!),"")</f>
        <v>#REF!</v>
      </c>
      <c r="W44" s="269"/>
      <c r="X44" s="269" t="str">
        <f>IF(AND('Mapa final'!$H$19="Muy Baja",'Mapa final'!$L$19="Moderado"),CONCATENATE("R",'Mapa final'!$A$19),"")</f>
        <v/>
      </c>
      <c r="Y44" s="269"/>
      <c r="Z44" s="269" t="str">
        <f>IF(AND('Mapa final'!$H$25="Muy Baja",'Mapa final'!$L$25="Moderado"),CONCATENATE("R",'Mapa final'!$A$25),"")</f>
        <v/>
      </c>
      <c r="AA44" s="270"/>
      <c r="AB44" s="286" t="e">
        <f>IF(AND('Mapa final'!#REF!="Muy Baja",'Mapa final'!#REF!="Mayor"),CONCATENATE("R",'Mapa final'!#REF!),"")</f>
        <v>#REF!</v>
      </c>
      <c r="AC44" s="287"/>
      <c r="AD44" s="287" t="str">
        <f>IF(AND('Mapa final'!$H$19="Muy Baja",'Mapa final'!$L$19="Mayor"),CONCATENATE("R",'Mapa final'!$A$19),"")</f>
        <v/>
      </c>
      <c r="AE44" s="287"/>
      <c r="AF44" s="287" t="str">
        <f>IF(AND('Mapa final'!$H$25="Muy Baja",'Mapa final'!$L$25="Mayor"),CONCATENATE("R",'Mapa final'!$A$25),"")</f>
        <v/>
      </c>
      <c r="AG44" s="288"/>
      <c r="AH44" s="277" t="e">
        <f>IF(AND('Mapa final'!#REF!="Muy Baja",'Mapa final'!#REF!="Catastrófico"),CONCATENATE("R",'Mapa final'!#REF!),"")</f>
        <v>#REF!</v>
      </c>
      <c r="AI44" s="278"/>
      <c r="AJ44" s="278" t="str">
        <f>IF(AND('Mapa final'!$H$19="Muy Baja",'Mapa final'!$L$19="Catastrófico"),CONCATENATE("R",'Mapa final'!$A$19),"")</f>
        <v/>
      </c>
      <c r="AK44" s="278"/>
      <c r="AL44" s="278" t="str">
        <f>IF(AND('Mapa final'!$H$25="Muy Baja",'Mapa final'!$L$25="Catastrófico"),CONCATENATE("R",'Mapa final'!$A$25),"")</f>
        <v/>
      </c>
      <c r="AM44" s="27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306"/>
      <c r="C45" s="306"/>
      <c r="D45" s="307"/>
      <c r="E45" s="302"/>
      <c r="F45" s="303"/>
      <c r="G45" s="303"/>
      <c r="H45" s="303"/>
      <c r="I45" s="304"/>
      <c r="J45" s="262"/>
      <c r="K45" s="263"/>
      <c r="L45" s="263"/>
      <c r="M45" s="263"/>
      <c r="N45" s="263"/>
      <c r="O45" s="264"/>
      <c r="P45" s="262"/>
      <c r="Q45" s="263"/>
      <c r="R45" s="263"/>
      <c r="S45" s="263"/>
      <c r="T45" s="263"/>
      <c r="U45" s="264"/>
      <c r="V45" s="271"/>
      <c r="W45" s="272"/>
      <c r="X45" s="272"/>
      <c r="Y45" s="272"/>
      <c r="Z45" s="272"/>
      <c r="AA45" s="273"/>
      <c r="AB45" s="289"/>
      <c r="AC45" s="290"/>
      <c r="AD45" s="290"/>
      <c r="AE45" s="290"/>
      <c r="AF45" s="290"/>
      <c r="AG45" s="291"/>
      <c r="AH45" s="280"/>
      <c r="AI45" s="281"/>
      <c r="AJ45" s="281"/>
      <c r="AK45" s="281"/>
      <c r="AL45" s="281"/>
      <c r="AM45" s="282"/>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296" t="s">
        <v>110</v>
      </c>
      <c r="K46" s="297"/>
      <c r="L46" s="297"/>
      <c r="M46" s="297"/>
      <c r="N46" s="297"/>
      <c r="O46" s="298"/>
      <c r="P46" s="296" t="s">
        <v>109</v>
      </c>
      <c r="Q46" s="297"/>
      <c r="R46" s="297"/>
      <c r="S46" s="297"/>
      <c r="T46" s="297"/>
      <c r="U46" s="298"/>
      <c r="V46" s="296" t="s">
        <v>108</v>
      </c>
      <c r="W46" s="297"/>
      <c r="X46" s="297"/>
      <c r="Y46" s="297"/>
      <c r="Z46" s="297"/>
      <c r="AA46" s="298"/>
      <c r="AB46" s="296" t="s">
        <v>107</v>
      </c>
      <c r="AC46" s="305"/>
      <c r="AD46" s="297"/>
      <c r="AE46" s="297"/>
      <c r="AF46" s="297"/>
      <c r="AG46" s="298"/>
      <c r="AH46" s="296" t="s">
        <v>106</v>
      </c>
      <c r="AI46" s="297"/>
      <c r="AJ46" s="297"/>
      <c r="AK46" s="297"/>
      <c r="AL46" s="297"/>
      <c r="AM46" s="298"/>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299"/>
      <c r="K47" s="300"/>
      <c r="L47" s="300"/>
      <c r="M47" s="300"/>
      <c r="N47" s="300"/>
      <c r="O47" s="301"/>
      <c r="P47" s="299"/>
      <c r="Q47" s="300"/>
      <c r="R47" s="300"/>
      <c r="S47" s="300"/>
      <c r="T47" s="300"/>
      <c r="U47" s="301"/>
      <c r="V47" s="299"/>
      <c r="W47" s="300"/>
      <c r="X47" s="300"/>
      <c r="Y47" s="300"/>
      <c r="Z47" s="300"/>
      <c r="AA47" s="301"/>
      <c r="AB47" s="299"/>
      <c r="AC47" s="300"/>
      <c r="AD47" s="300"/>
      <c r="AE47" s="300"/>
      <c r="AF47" s="300"/>
      <c r="AG47" s="301"/>
      <c r="AH47" s="299"/>
      <c r="AI47" s="300"/>
      <c r="AJ47" s="300"/>
      <c r="AK47" s="300"/>
      <c r="AL47" s="300"/>
      <c r="AM47" s="301"/>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299"/>
      <c r="K48" s="300"/>
      <c r="L48" s="300"/>
      <c r="M48" s="300"/>
      <c r="N48" s="300"/>
      <c r="O48" s="301"/>
      <c r="P48" s="299"/>
      <c r="Q48" s="300"/>
      <c r="R48" s="300"/>
      <c r="S48" s="300"/>
      <c r="T48" s="300"/>
      <c r="U48" s="301"/>
      <c r="V48" s="299"/>
      <c r="W48" s="300"/>
      <c r="X48" s="300"/>
      <c r="Y48" s="300"/>
      <c r="Z48" s="300"/>
      <c r="AA48" s="301"/>
      <c r="AB48" s="299"/>
      <c r="AC48" s="300"/>
      <c r="AD48" s="300"/>
      <c r="AE48" s="300"/>
      <c r="AF48" s="300"/>
      <c r="AG48" s="301"/>
      <c r="AH48" s="299"/>
      <c r="AI48" s="300"/>
      <c r="AJ48" s="300"/>
      <c r="AK48" s="300"/>
      <c r="AL48" s="300"/>
      <c r="AM48" s="301"/>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299"/>
      <c r="K49" s="300"/>
      <c r="L49" s="300"/>
      <c r="M49" s="300"/>
      <c r="N49" s="300"/>
      <c r="O49" s="301"/>
      <c r="P49" s="299"/>
      <c r="Q49" s="300"/>
      <c r="R49" s="300"/>
      <c r="S49" s="300"/>
      <c r="T49" s="300"/>
      <c r="U49" s="301"/>
      <c r="V49" s="299"/>
      <c r="W49" s="300"/>
      <c r="X49" s="300"/>
      <c r="Y49" s="300"/>
      <c r="Z49" s="300"/>
      <c r="AA49" s="301"/>
      <c r="AB49" s="299"/>
      <c r="AC49" s="300"/>
      <c r="AD49" s="300"/>
      <c r="AE49" s="300"/>
      <c r="AF49" s="300"/>
      <c r="AG49" s="301"/>
      <c r="AH49" s="299"/>
      <c r="AI49" s="300"/>
      <c r="AJ49" s="300"/>
      <c r="AK49" s="300"/>
      <c r="AL49" s="300"/>
      <c r="AM49" s="301"/>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299"/>
      <c r="K50" s="300"/>
      <c r="L50" s="300"/>
      <c r="M50" s="300"/>
      <c r="N50" s="300"/>
      <c r="O50" s="301"/>
      <c r="P50" s="299"/>
      <c r="Q50" s="300"/>
      <c r="R50" s="300"/>
      <c r="S50" s="300"/>
      <c r="T50" s="300"/>
      <c r="U50" s="301"/>
      <c r="V50" s="299"/>
      <c r="W50" s="300"/>
      <c r="X50" s="300"/>
      <c r="Y50" s="300"/>
      <c r="Z50" s="300"/>
      <c r="AA50" s="301"/>
      <c r="AB50" s="299"/>
      <c r="AC50" s="300"/>
      <c r="AD50" s="300"/>
      <c r="AE50" s="300"/>
      <c r="AF50" s="300"/>
      <c r="AG50" s="301"/>
      <c r="AH50" s="299"/>
      <c r="AI50" s="300"/>
      <c r="AJ50" s="300"/>
      <c r="AK50" s="300"/>
      <c r="AL50" s="300"/>
      <c r="AM50" s="301"/>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02"/>
      <c r="K51" s="303"/>
      <c r="L51" s="303"/>
      <c r="M51" s="303"/>
      <c r="N51" s="303"/>
      <c r="O51" s="304"/>
      <c r="P51" s="302"/>
      <c r="Q51" s="303"/>
      <c r="R51" s="303"/>
      <c r="S51" s="303"/>
      <c r="T51" s="303"/>
      <c r="U51" s="304"/>
      <c r="V51" s="302"/>
      <c r="W51" s="303"/>
      <c r="X51" s="303"/>
      <c r="Y51" s="303"/>
      <c r="Z51" s="303"/>
      <c r="AA51" s="304"/>
      <c r="AB51" s="302"/>
      <c r="AC51" s="303"/>
      <c r="AD51" s="303"/>
      <c r="AE51" s="303"/>
      <c r="AF51" s="303"/>
      <c r="AG51" s="304"/>
      <c r="AH51" s="302"/>
      <c r="AI51" s="303"/>
      <c r="AJ51" s="303"/>
      <c r="AK51" s="303"/>
      <c r="AL51" s="303"/>
      <c r="AM51" s="304"/>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W36" sqref="W36"/>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73" t="s">
        <v>156</v>
      </c>
      <c r="C2" s="374"/>
      <c r="D2" s="374"/>
      <c r="E2" s="374"/>
      <c r="F2" s="374"/>
      <c r="G2" s="374"/>
      <c r="H2" s="374"/>
      <c r="I2" s="374"/>
      <c r="J2" s="295" t="s">
        <v>2</v>
      </c>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74"/>
      <c r="C3" s="374"/>
      <c r="D3" s="374"/>
      <c r="E3" s="374"/>
      <c r="F3" s="374"/>
      <c r="G3" s="374"/>
      <c r="H3" s="374"/>
      <c r="I3" s="374"/>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74"/>
      <c r="C4" s="374"/>
      <c r="D4" s="374"/>
      <c r="E4" s="374"/>
      <c r="F4" s="374"/>
      <c r="G4" s="374"/>
      <c r="H4" s="374"/>
      <c r="I4" s="374"/>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306" t="s">
        <v>4</v>
      </c>
      <c r="C6" s="306"/>
      <c r="D6" s="307"/>
      <c r="E6" s="344" t="s">
        <v>114</v>
      </c>
      <c r="F6" s="345"/>
      <c r="G6" s="345"/>
      <c r="H6" s="345"/>
      <c r="I6" s="346"/>
      <c r="J6" s="32" t="str">
        <f>IF(AND('Mapa final'!$Y$13="Muy Alta",'Mapa final'!$AA$13="Leve"),CONCATENATE("R1C",'Mapa final'!$O$13),"")</f>
        <v/>
      </c>
      <c r="K6" s="33" t="str">
        <f>IF(AND('Mapa final'!$Y$14="Muy Alta",'Mapa final'!$AA$14="Leve"),CONCATENATE("R1C",'Mapa final'!$O$14),"")</f>
        <v/>
      </c>
      <c r="L6" s="33" t="str">
        <f>IF(AND('Mapa final'!$Y$15="Muy Alta",'Mapa final'!$AA$15="Leve"),CONCATENATE("R1C",'Mapa final'!$O$15),"")</f>
        <v/>
      </c>
      <c r="M6" s="33" t="str">
        <f>IF(AND('Mapa final'!$Y$16="Muy Alta",'Mapa final'!$AA$16="Leve"),CONCATENATE("R1C",'Mapa final'!$O$16),"")</f>
        <v/>
      </c>
      <c r="N6" s="33" t="str">
        <f>IF(AND('Mapa final'!$Y$17="Muy Alta",'Mapa final'!$AA$17="Leve"),CONCATENATE("R1C",'Mapa final'!$O$17),"")</f>
        <v/>
      </c>
      <c r="O6" s="34" t="str">
        <f>IF(AND('Mapa final'!$Y$18="Muy Alta",'Mapa final'!$AA$18="Leve"),CONCATENATE("R1C",'Mapa final'!$O$18),"")</f>
        <v/>
      </c>
      <c r="P6" s="32" t="str">
        <f>IF(AND('Mapa final'!$Y$13="Muy Alta",'Mapa final'!$AA$13="Menor"),CONCATENATE("R1C",'Mapa final'!$O$13),"")</f>
        <v/>
      </c>
      <c r="Q6" s="33" t="str">
        <f>IF(AND('Mapa final'!$Y$14="Muy Alta",'Mapa final'!$AA$14="Menor"),CONCATENATE("R1C",'Mapa final'!$O$14),"")</f>
        <v/>
      </c>
      <c r="R6" s="33" t="str">
        <f>IF(AND('Mapa final'!$Y$15="Muy Alta",'Mapa final'!$AA$15="Menor"),CONCATENATE("R1C",'Mapa final'!$O$15),"")</f>
        <v/>
      </c>
      <c r="S6" s="33" t="str">
        <f>IF(AND('Mapa final'!$Y$16="Muy Alta",'Mapa final'!$AA$16="Menor"),CONCATENATE("R1C",'Mapa final'!$O$16),"")</f>
        <v/>
      </c>
      <c r="T6" s="33" t="str">
        <f>IF(AND('Mapa final'!$Y$17="Muy Alta",'Mapa final'!$AA$17="Menor"),CONCATENATE("R1C",'Mapa final'!$O$17),"")</f>
        <v/>
      </c>
      <c r="U6" s="34" t="str">
        <f>IF(AND('Mapa final'!$Y$18="Muy Alta",'Mapa final'!$AA$18="Menor"),CONCATENATE("R1C",'Mapa final'!$O$18),"")</f>
        <v/>
      </c>
      <c r="V6" s="32" t="str">
        <f>IF(AND('Mapa final'!$Y$13="Muy Alta",'Mapa final'!$AA$13="Moderado"),CONCATENATE("R1C",'Mapa final'!$O$13),"")</f>
        <v/>
      </c>
      <c r="W6" s="33" t="str">
        <f>IF(AND('Mapa final'!$Y$14="Muy Alta",'Mapa final'!$AA$14="Moderado"),CONCATENATE("R1C",'Mapa final'!$O$14),"")</f>
        <v/>
      </c>
      <c r="X6" s="33" t="str">
        <f>IF(AND('Mapa final'!$Y$15="Muy Alta",'Mapa final'!$AA$15="Moderado"),CONCATENATE("R1C",'Mapa final'!$O$15),"")</f>
        <v/>
      </c>
      <c r="Y6" s="33" t="str">
        <f>IF(AND('Mapa final'!$Y$16="Muy Alta",'Mapa final'!$AA$16="Moderado"),CONCATENATE("R1C",'Mapa final'!$O$16),"")</f>
        <v/>
      </c>
      <c r="Z6" s="33" t="str">
        <f>IF(AND('Mapa final'!$Y$17="Muy Alta",'Mapa final'!$AA$17="Moderado"),CONCATENATE("R1C",'Mapa final'!$O$17),"")</f>
        <v/>
      </c>
      <c r="AA6" s="34" t="str">
        <f>IF(AND('Mapa final'!$Y$18="Muy Alta",'Mapa final'!$AA$18="Moderado"),CONCATENATE("R1C",'Mapa final'!$O$18),"")</f>
        <v/>
      </c>
      <c r="AB6" s="32" t="str">
        <f>IF(AND('Mapa final'!$Y$13="Muy Alta",'Mapa final'!$AA$13="Mayor"),CONCATENATE("R1C",'Mapa final'!$O$13),"")</f>
        <v/>
      </c>
      <c r="AC6" s="33" t="str">
        <f>IF(AND('Mapa final'!$Y$14="Muy Alta",'Mapa final'!$AA$14="Mayor"),CONCATENATE("R1C",'Mapa final'!$O$14),"")</f>
        <v/>
      </c>
      <c r="AD6" s="33" t="str">
        <f>IF(AND('Mapa final'!$Y$15="Muy Alta",'Mapa final'!$AA$15="Mayor"),CONCATENATE("R1C",'Mapa final'!$O$15),"")</f>
        <v/>
      </c>
      <c r="AE6" s="33" t="str">
        <f>IF(AND('Mapa final'!$Y$16="Muy Alta",'Mapa final'!$AA$16="Mayor"),CONCATENATE("R1C",'Mapa final'!$O$16),"")</f>
        <v/>
      </c>
      <c r="AF6" s="33" t="str">
        <f>IF(AND('Mapa final'!$Y$17="Muy Alta",'Mapa final'!$AA$17="Mayor"),CONCATENATE("R1C",'Mapa final'!$O$17),"")</f>
        <v/>
      </c>
      <c r="AG6" s="34" t="str">
        <f>IF(AND('Mapa final'!$Y$18="Muy Alta",'Mapa final'!$AA$18="Mayor"),CONCATENATE("R1C",'Mapa final'!$O$18),"")</f>
        <v/>
      </c>
      <c r="AH6" s="35" t="str">
        <f>IF(AND('Mapa final'!$Y$13="Muy Alta",'Mapa final'!$AA$13="Catastrófico"),CONCATENATE("R1C",'Mapa final'!$O$13),"")</f>
        <v/>
      </c>
      <c r="AI6" s="36" t="str">
        <f>IF(AND('Mapa final'!$Y$14="Muy Alta",'Mapa final'!$AA$14="Catastrófico"),CONCATENATE("R1C",'Mapa final'!$O$14),"")</f>
        <v/>
      </c>
      <c r="AJ6" s="36" t="str">
        <f>IF(AND('Mapa final'!$Y$15="Muy Alta",'Mapa final'!$AA$15="Catastrófico"),CONCATENATE("R1C",'Mapa final'!$O$15),"")</f>
        <v/>
      </c>
      <c r="AK6" s="36" t="str">
        <f>IF(AND('Mapa final'!$Y$16="Muy Alta",'Mapa final'!$AA$16="Catastrófico"),CONCATENATE("R1C",'Mapa final'!$O$16),"")</f>
        <v/>
      </c>
      <c r="AL6" s="36" t="str">
        <f>IF(AND('Mapa final'!$Y$17="Muy Alta",'Mapa final'!$AA$17="Catastrófico"),CONCATENATE("R1C",'Mapa final'!$O$17),"")</f>
        <v/>
      </c>
      <c r="AM6" s="37" t="str">
        <f>IF(AND('Mapa final'!$Y$18="Muy Alta",'Mapa final'!$AA$18="Catastrófico"),CONCATENATE("R1C",'Mapa final'!$O$18),"")</f>
        <v/>
      </c>
      <c r="AN6" s="69"/>
      <c r="AO6" s="364" t="s">
        <v>77</v>
      </c>
      <c r="AP6" s="365"/>
      <c r="AQ6" s="365"/>
      <c r="AR6" s="365"/>
      <c r="AS6" s="365"/>
      <c r="AT6" s="366"/>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306"/>
      <c r="C7" s="306"/>
      <c r="D7" s="307"/>
      <c r="E7" s="347"/>
      <c r="F7" s="348"/>
      <c r="G7" s="348"/>
      <c r="H7" s="348"/>
      <c r="I7" s="349"/>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67"/>
      <c r="AP7" s="368"/>
      <c r="AQ7" s="368"/>
      <c r="AR7" s="368"/>
      <c r="AS7" s="368"/>
      <c r="AT7" s="3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306"/>
      <c r="C8" s="306"/>
      <c r="D8" s="307"/>
      <c r="E8" s="347"/>
      <c r="F8" s="348"/>
      <c r="G8" s="348"/>
      <c r="H8" s="348"/>
      <c r="I8" s="349"/>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67"/>
      <c r="AP8" s="368"/>
      <c r="AQ8" s="368"/>
      <c r="AR8" s="368"/>
      <c r="AS8" s="368"/>
      <c r="AT8" s="3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306"/>
      <c r="C9" s="306"/>
      <c r="D9" s="307"/>
      <c r="E9" s="347"/>
      <c r="F9" s="348"/>
      <c r="G9" s="348"/>
      <c r="H9" s="348"/>
      <c r="I9" s="349"/>
      <c r="J9" s="38" t="e">
        <f>IF(AND('Mapa final'!#REF!="Muy Alta",'Mapa final'!#REF!="Leve"),CONCATENATE("R4C",'Mapa final'!#REF!),"")</f>
        <v>#REF!</v>
      </c>
      <c r="K9" s="39" t="e">
        <f>IF(AND('Mapa final'!#REF!="Muy Alta",'Mapa final'!#REF!="Leve"),CONCATENATE("R4C",'Mapa final'!#REF!),"")</f>
        <v>#REF!</v>
      </c>
      <c r="L9" s="39" t="e">
        <f>IF(AND('Mapa final'!#REF!="Muy Alta",'Mapa final'!#REF!="Leve"),CONCATENATE("R4C",'Mapa final'!#REF!),"")</f>
        <v>#REF!</v>
      </c>
      <c r="M9" s="39" t="e">
        <f>IF(AND('Mapa final'!#REF!="Muy Alta",'Mapa final'!#REF!="Leve"),CONCATENATE("R4C",'Mapa final'!#REF!),"")</f>
        <v>#REF!</v>
      </c>
      <c r="N9" s="39" t="e">
        <f>IF(AND('Mapa final'!#REF!="Muy Alta",'Mapa final'!#REF!="Leve"),CONCATENATE("R4C",'Mapa final'!#REF!),"")</f>
        <v>#REF!</v>
      </c>
      <c r="O9" s="40" t="e">
        <f>IF(AND('Mapa final'!#REF!="Muy Alta",'Mapa final'!#REF!="Leve"),CONCATENATE("R4C",'Mapa final'!#REF!),"")</f>
        <v>#REF!</v>
      </c>
      <c r="P9" s="38" t="e">
        <f>IF(AND('Mapa final'!#REF!="Muy Alta",'Mapa final'!#REF!="Menor"),CONCATENATE("R4C",'Mapa final'!#REF!),"")</f>
        <v>#REF!</v>
      </c>
      <c r="Q9" s="39" t="e">
        <f>IF(AND('Mapa final'!#REF!="Muy Alta",'Mapa final'!#REF!="Menor"),CONCATENATE("R4C",'Mapa final'!#REF!),"")</f>
        <v>#REF!</v>
      </c>
      <c r="R9" s="39" t="e">
        <f>IF(AND('Mapa final'!#REF!="Muy Alta",'Mapa final'!#REF!="Menor"),CONCATENATE("R4C",'Mapa final'!#REF!),"")</f>
        <v>#REF!</v>
      </c>
      <c r="S9" s="39" t="e">
        <f>IF(AND('Mapa final'!#REF!="Muy Alta",'Mapa final'!#REF!="Menor"),CONCATENATE("R4C",'Mapa final'!#REF!),"")</f>
        <v>#REF!</v>
      </c>
      <c r="T9" s="39" t="e">
        <f>IF(AND('Mapa final'!#REF!="Muy Alta",'Mapa final'!#REF!="Menor"),CONCATENATE("R4C",'Mapa final'!#REF!),"")</f>
        <v>#REF!</v>
      </c>
      <c r="U9" s="40" t="e">
        <f>IF(AND('Mapa final'!#REF!="Muy Alta",'Mapa final'!#REF!="Menor"),CONCATENATE("R4C",'Mapa final'!#REF!),"")</f>
        <v>#REF!</v>
      </c>
      <c r="V9" s="38" t="e">
        <f>IF(AND('Mapa final'!#REF!="Muy Alta",'Mapa final'!#REF!="Moderado"),CONCATENATE("R4C",'Mapa final'!#REF!),"")</f>
        <v>#REF!</v>
      </c>
      <c r="W9" s="39" t="e">
        <f>IF(AND('Mapa final'!#REF!="Muy Alta",'Mapa final'!#REF!="Moderado"),CONCATENATE("R4C",'Mapa final'!#REF!),"")</f>
        <v>#REF!</v>
      </c>
      <c r="X9" s="39" t="e">
        <f>IF(AND('Mapa final'!#REF!="Muy Alta",'Mapa final'!#REF!="Moderado"),CONCATENATE("R4C",'Mapa final'!#REF!),"")</f>
        <v>#REF!</v>
      </c>
      <c r="Y9" s="39" t="e">
        <f>IF(AND('Mapa final'!#REF!="Muy Alta",'Mapa final'!#REF!="Moderado"),CONCATENATE("R4C",'Mapa final'!#REF!),"")</f>
        <v>#REF!</v>
      </c>
      <c r="Z9" s="39" t="e">
        <f>IF(AND('Mapa final'!#REF!="Muy Alta",'Mapa final'!#REF!="Moderado"),CONCATENATE("R4C",'Mapa final'!#REF!),"")</f>
        <v>#REF!</v>
      </c>
      <c r="AA9" s="40" t="e">
        <f>IF(AND('Mapa final'!#REF!="Muy Alta",'Mapa final'!#REF!="Moderado"),CONCATENATE("R4C",'Mapa final'!#REF!),"")</f>
        <v>#REF!</v>
      </c>
      <c r="AB9" s="38" t="e">
        <f>IF(AND('Mapa final'!#REF!="Muy Alta",'Mapa final'!#REF!="Mayor"),CONCATENATE("R4C",'Mapa final'!#REF!),"")</f>
        <v>#REF!</v>
      </c>
      <c r="AC9" s="39" t="e">
        <f>IF(AND('Mapa final'!#REF!="Muy Alta",'Mapa final'!#REF!="Mayor"),CONCATENATE("R4C",'Mapa final'!#REF!),"")</f>
        <v>#REF!</v>
      </c>
      <c r="AD9" s="39" t="e">
        <f>IF(AND('Mapa final'!#REF!="Muy Alta",'Mapa final'!#REF!="Mayor"),CONCATENATE("R4C",'Mapa final'!#REF!),"")</f>
        <v>#REF!</v>
      </c>
      <c r="AE9" s="39" t="e">
        <f>IF(AND('Mapa final'!#REF!="Muy Alta",'Mapa final'!#REF!="Mayor"),CONCATENATE("R4C",'Mapa final'!#REF!),"")</f>
        <v>#REF!</v>
      </c>
      <c r="AF9" s="39" t="e">
        <f>IF(AND('Mapa final'!#REF!="Muy Alta",'Mapa final'!#REF!="Mayor"),CONCATENATE("R4C",'Mapa final'!#REF!),"")</f>
        <v>#REF!</v>
      </c>
      <c r="AG9" s="40" t="e">
        <f>IF(AND('Mapa final'!#REF!="Muy Alta",'Mapa final'!#REF!="Mayor"),CONCATENATE("R4C",'Mapa final'!#REF!),"")</f>
        <v>#REF!</v>
      </c>
      <c r="AH9" s="41" t="e">
        <f>IF(AND('Mapa final'!#REF!="Muy Alta",'Mapa final'!#REF!="Catastrófico"),CONCATENATE("R4C",'Mapa final'!#REF!),"")</f>
        <v>#REF!</v>
      </c>
      <c r="AI9" s="42" t="e">
        <f>IF(AND('Mapa final'!#REF!="Muy Alta",'Mapa final'!#REF!="Catastrófico"),CONCATENATE("R4C",'Mapa final'!#REF!),"")</f>
        <v>#REF!</v>
      </c>
      <c r="AJ9" s="42" t="e">
        <f>IF(AND('Mapa final'!#REF!="Muy Alta",'Mapa final'!#REF!="Catastrófico"),CONCATENATE("R4C",'Mapa final'!#REF!),"")</f>
        <v>#REF!</v>
      </c>
      <c r="AK9" s="42" t="e">
        <f>IF(AND('Mapa final'!#REF!="Muy Alta",'Mapa final'!#REF!="Catastrófico"),CONCATENATE("R4C",'Mapa final'!#REF!),"")</f>
        <v>#REF!</v>
      </c>
      <c r="AL9" s="42" t="e">
        <f>IF(AND('Mapa final'!#REF!="Muy Alta",'Mapa final'!#REF!="Catastrófico"),CONCATENATE("R4C",'Mapa final'!#REF!),"")</f>
        <v>#REF!</v>
      </c>
      <c r="AM9" s="43" t="e">
        <f>IF(AND('Mapa final'!#REF!="Muy Alta",'Mapa final'!#REF!="Catastrófico"),CONCATENATE("R4C",'Mapa final'!#REF!),"")</f>
        <v>#REF!</v>
      </c>
      <c r="AN9" s="69"/>
      <c r="AO9" s="367"/>
      <c r="AP9" s="368"/>
      <c r="AQ9" s="368"/>
      <c r="AR9" s="368"/>
      <c r="AS9" s="368"/>
      <c r="AT9" s="3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306"/>
      <c r="C10" s="306"/>
      <c r="D10" s="307"/>
      <c r="E10" s="347"/>
      <c r="F10" s="348"/>
      <c r="G10" s="348"/>
      <c r="H10" s="348"/>
      <c r="I10" s="349"/>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367"/>
      <c r="AP10" s="368"/>
      <c r="AQ10" s="368"/>
      <c r="AR10" s="368"/>
      <c r="AS10" s="368"/>
      <c r="AT10" s="3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306"/>
      <c r="C11" s="306"/>
      <c r="D11" s="307"/>
      <c r="E11" s="347"/>
      <c r="F11" s="348"/>
      <c r="G11" s="348"/>
      <c r="H11" s="348"/>
      <c r="I11" s="349"/>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67"/>
      <c r="AP11" s="368"/>
      <c r="AQ11" s="368"/>
      <c r="AR11" s="368"/>
      <c r="AS11" s="368"/>
      <c r="AT11" s="3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306"/>
      <c r="C12" s="306"/>
      <c r="D12" s="307"/>
      <c r="E12" s="347"/>
      <c r="F12" s="348"/>
      <c r="G12" s="348"/>
      <c r="H12" s="348"/>
      <c r="I12" s="349"/>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67"/>
      <c r="AP12" s="368"/>
      <c r="AQ12" s="368"/>
      <c r="AR12" s="368"/>
      <c r="AS12" s="368"/>
      <c r="AT12" s="3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306"/>
      <c r="C13" s="306"/>
      <c r="D13" s="307"/>
      <c r="E13" s="347"/>
      <c r="F13" s="348"/>
      <c r="G13" s="348"/>
      <c r="H13" s="348"/>
      <c r="I13" s="349"/>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67"/>
      <c r="AP13" s="368"/>
      <c r="AQ13" s="368"/>
      <c r="AR13" s="368"/>
      <c r="AS13" s="368"/>
      <c r="AT13" s="3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306"/>
      <c r="C14" s="306"/>
      <c r="D14" s="307"/>
      <c r="E14" s="347"/>
      <c r="F14" s="348"/>
      <c r="G14" s="348"/>
      <c r="H14" s="348"/>
      <c r="I14" s="349"/>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67"/>
      <c r="AP14" s="368"/>
      <c r="AQ14" s="368"/>
      <c r="AR14" s="368"/>
      <c r="AS14" s="368"/>
      <c r="AT14" s="3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306"/>
      <c r="C15" s="306"/>
      <c r="D15" s="307"/>
      <c r="E15" s="350"/>
      <c r="F15" s="351"/>
      <c r="G15" s="351"/>
      <c r="H15" s="351"/>
      <c r="I15" s="352"/>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70"/>
      <c r="AP15" s="371"/>
      <c r="AQ15" s="371"/>
      <c r="AR15" s="371"/>
      <c r="AS15" s="371"/>
      <c r="AT15" s="372"/>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306"/>
      <c r="C16" s="306"/>
      <c r="D16" s="307"/>
      <c r="E16" s="344" t="s">
        <v>113</v>
      </c>
      <c r="F16" s="345"/>
      <c r="G16" s="345"/>
      <c r="H16" s="345"/>
      <c r="I16" s="345"/>
      <c r="J16" s="50" t="str">
        <f>IF(AND('Mapa final'!$Y$13="Alta",'Mapa final'!$AA$13="Leve"),CONCATENATE("R1C",'Mapa final'!$O$13),"")</f>
        <v/>
      </c>
      <c r="K16" s="51" t="str">
        <f>IF(AND('Mapa final'!$Y$14="Alta",'Mapa final'!$AA$14="Leve"),CONCATENATE("R1C",'Mapa final'!$O$14),"")</f>
        <v/>
      </c>
      <c r="L16" s="51" t="str">
        <f>IF(AND('Mapa final'!$Y$15="Alta",'Mapa final'!$AA$15="Leve"),CONCATENATE("R1C",'Mapa final'!$O$15),"")</f>
        <v/>
      </c>
      <c r="M16" s="51" t="str">
        <f>IF(AND('Mapa final'!$Y$16="Alta",'Mapa final'!$AA$16="Leve"),CONCATENATE("R1C",'Mapa final'!$O$16),"")</f>
        <v/>
      </c>
      <c r="N16" s="51" t="str">
        <f>IF(AND('Mapa final'!$Y$17="Alta",'Mapa final'!$AA$17="Leve"),CONCATENATE("R1C",'Mapa final'!$O$17),"")</f>
        <v/>
      </c>
      <c r="O16" s="52" t="str">
        <f>IF(AND('Mapa final'!$Y$18="Alta",'Mapa final'!$AA$18="Leve"),CONCATENATE("R1C",'Mapa final'!$O$18),"")</f>
        <v/>
      </c>
      <c r="P16" s="50" t="str">
        <f>IF(AND('Mapa final'!$Y$13="Alta",'Mapa final'!$AA$13="Menor"),CONCATENATE("R1C",'Mapa final'!$O$13),"")</f>
        <v/>
      </c>
      <c r="Q16" s="51" t="str">
        <f>IF(AND('Mapa final'!$Y$14="Alta",'Mapa final'!$AA$14="Menor"),CONCATENATE("R1C",'Mapa final'!$O$14),"")</f>
        <v/>
      </c>
      <c r="R16" s="51" t="str">
        <f>IF(AND('Mapa final'!$Y$15="Alta",'Mapa final'!$AA$15="Menor"),CONCATENATE("R1C",'Mapa final'!$O$15),"")</f>
        <v/>
      </c>
      <c r="S16" s="51" t="str">
        <f>IF(AND('Mapa final'!$Y$16="Alta",'Mapa final'!$AA$16="Menor"),CONCATENATE("R1C",'Mapa final'!$O$16),"")</f>
        <v/>
      </c>
      <c r="T16" s="51" t="str">
        <f>IF(AND('Mapa final'!$Y$17="Alta",'Mapa final'!$AA$17="Menor"),CONCATENATE("R1C",'Mapa final'!$O$17),"")</f>
        <v/>
      </c>
      <c r="U16" s="52" t="str">
        <f>IF(AND('Mapa final'!$Y$18="Alta",'Mapa final'!$AA$18="Menor"),CONCATENATE("R1C",'Mapa final'!$O$18),"")</f>
        <v/>
      </c>
      <c r="V16" s="32" t="str">
        <f>IF(AND('Mapa final'!$Y$13="Alta",'Mapa final'!$AA$13="Moderado"),CONCATENATE("R1C",'Mapa final'!$O$13),"")</f>
        <v/>
      </c>
      <c r="W16" s="33" t="str">
        <f>IF(AND('Mapa final'!$Y$14="Alta",'Mapa final'!$AA$14="Moderado"),CONCATENATE("R1C",'Mapa final'!$O$14),"")</f>
        <v/>
      </c>
      <c r="X16" s="33" t="str">
        <f>IF(AND('Mapa final'!$Y$15="Alta",'Mapa final'!$AA$15="Moderado"),CONCATENATE("R1C",'Mapa final'!$O$15),"")</f>
        <v/>
      </c>
      <c r="Y16" s="33" t="str">
        <f>IF(AND('Mapa final'!$Y$16="Alta",'Mapa final'!$AA$16="Moderado"),CONCATENATE("R1C",'Mapa final'!$O$16),"")</f>
        <v/>
      </c>
      <c r="Z16" s="33" t="str">
        <f>IF(AND('Mapa final'!$Y$17="Alta",'Mapa final'!$AA$17="Moderado"),CONCATENATE("R1C",'Mapa final'!$O$17),"")</f>
        <v/>
      </c>
      <c r="AA16" s="34" t="str">
        <f>IF(AND('Mapa final'!$Y$18="Alta",'Mapa final'!$AA$18="Moderado"),CONCATENATE("R1C",'Mapa final'!$O$18),"")</f>
        <v/>
      </c>
      <c r="AB16" s="32" t="str">
        <f>IF(AND('Mapa final'!$Y$13="Alta",'Mapa final'!$AA$13="Mayor"),CONCATENATE("R1C",'Mapa final'!$O$13),"")</f>
        <v/>
      </c>
      <c r="AC16" s="33" t="str">
        <f>IF(AND('Mapa final'!$Y$14="Alta",'Mapa final'!$AA$14="Mayor"),CONCATENATE("R1C",'Mapa final'!$O$14),"")</f>
        <v/>
      </c>
      <c r="AD16" s="33" t="str">
        <f>IF(AND('Mapa final'!$Y$15="Alta",'Mapa final'!$AA$15="Mayor"),CONCATENATE("R1C",'Mapa final'!$O$15),"")</f>
        <v/>
      </c>
      <c r="AE16" s="33" t="str">
        <f>IF(AND('Mapa final'!$Y$16="Alta",'Mapa final'!$AA$16="Mayor"),CONCATENATE("R1C",'Mapa final'!$O$16),"")</f>
        <v/>
      </c>
      <c r="AF16" s="33" t="str">
        <f>IF(AND('Mapa final'!$Y$17="Alta",'Mapa final'!$AA$17="Mayor"),CONCATENATE("R1C",'Mapa final'!$O$17),"")</f>
        <v/>
      </c>
      <c r="AG16" s="34" t="str">
        <f>IF(AND('Mapa final'!$Y$18="Alta",'Mapa final'!$AA$18="Mayor"),CONCATENATE("R1C",'Mapa final'!$O$18),"")</f>
        <v/>
      </c>
      <c r="AH16" s="35" t="str">
        <f>IF(AND('Mapa final'!$Y$13="Alta",'Mapa final'!$AA$13="Catastrófico"),CONCATENATE("R1C",'Mapa final'!$O$13),"")</f>
        <v/>
      </c>
      <c r="AI16" s="36" t="str">
        <f>IF(AND('Mapa final'!$Y$14="Alta",'Mapa final'!$AA$14="Catastrófico"),CONCATENATE("R1C",'Mapa final'!$O$14),"")</f>
        <v/>
      </c>
      <c r="AJ16" s="36" t="str">
        <f>IF(AND('Mapa final'!$Y$15="Alta",'Mapa final'!$AA$15="Catastrófico"),CONCATENATE("R1C",'Mapa final'!$O$15),"")</f>
        <v/>
      </c>
      <c r="AK16" s="36" t="str">
        <f>IF(AND('Mapa final'!$Y$16="Alta",'Mapa final'!$AA$16="Catastrófico"),CONCATENATE("R1C",'Mapa final'!$O$16),"")</f>
        <v/>
      </c>
      <c r="AL16" s="36" t="str">
        <f>IF(AND('Mapa final'!$Y$17="Alta",'Mapa final'!$AA$17="Catastrófico"),CONCATENATE("R1C",'Mapa final'!$O$17),"")</f>
        <v/>
      </c>
      <c r="AM16" s="37" t="str">
        <f>IF(AND('Mapa final'!$Y$18="Alta",'Mapa final'!$AA$18="Catastrófico"),CONCATENATE("R1C",'Mapa final'!$O$18),"")</f>
        <v/>
      </c>
      <c r="AN16" s="69"/>
      <c r="AO16" s="354" t="s">
        <v>78</v>
      </c>
      <c r="AP16" s="355"/>
      <c r="AQ16" s="355"/>
      <c r="AR16" s="355"/>
      <c r="AS16" s="355"/>
      <c r="AT16" s="356"/>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306"/>
      <c r="C17" s="306"/>
      <c r="D17" s="307"/>
      <c r="E17" s="363"/>
      <c r="F17" s="348"/>
      <c r="G17" s="348"/>
      <c r="H17" s="348"/>
      <c r="I17" s="348"/>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57"/>
      <c r="AP17" s="358"/>
      <c r="AQ17" s="358"/>
      <c r="AR17" s="358"/>
      <c r="AS17" s="358"/>
      <c r="AT17" s="35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306"/>
      <c r="C18" s="306"/>
      <c r="D18" s="307"/>
      <c r="E18" s="347"/>
      <c r="F18" s="348"/>
      <c r="G18" s="348"/>
      <c r="H18" s="348"/>
      <c r="I18" s="348"/>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57"/>
      <c r="AP18" s="358"/>
      <c r="AQ18" s="358"/>
      <c r="AR18" s="358"/>
      <c r="AS18" s="358"/>
      <c r="AT18" s="35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306"/>
      <c r="C19" s="306"/>
      <c r="D19" s="307"/>
      <c r="E19" s="347"/>
      <c r="F19" s="348"/>
      <c r="G19" s="348"/>
      <c r="H19" s="348"/>
      <c r="I19" s="348"/>
      <c r="J19" s="53" t="e">
        <f>IF(AND('Mapa final'!#REF!="Alta",'Mapa final'!#REF!="Leve"),CONCATENATE("R4C",'Mapa final'!#REF!),"")</f>
        <v>#REF!</v>
      </c>
      <c r="K19" s="54" t="e">
        <f>IF(AND('Mapa final'!#REF!="Alta",'Mapa final'!#REF!="Leve"),CONCATENATE("R4C",'Mapa final'!#REF!),"")</f>
        <v>#REF!</v>
      </c>
      <c r="L19" s="54" t="e">
        <f>IF(AND('Mapa final'!#REF!="Alta",'Mapa final'!#REF!="Leve"),CONCATENATE("R4C",'Mapa final'!#REF!),"")</f>
        <v>#REF!</v>
      </c>
      <c r="M19" s="54" t="e">
        <f>IF(AND('Mapa final'!#REF!="Alta",'Mapa final'!#REF!="Leve"),CONCATENATE("R4C",'Mapa final'!#REF!),"")</f>
        <v>#REF!</v>
      </c>
      <c r="N19" s="54" t="e">
        <f>IF(AND('Mapa final'!#REF!="Alta",'Mapa final'!#REF!="Leve"),CONCATENATE("R4C",'Mapa final'!#REF!),"")</f>
        <v>#REF!</v>
      </c>
      <c r="O19" s="55" t="e">
        <f>IF(AND('Mapa final'!#REF!="Alta",'Mapa final'!#REF!="Leve"),CONCATENATE("R4C",'Mapa final'!#REF!),"")</f>
        <v>#REF!</v>
      </c>
      <c r="P19" s="53" t="e">
        <f>IF(AND('Mapa final'!#REF!="Alta",'Mapa final'!#REF!="Menor"),CONCATENATE("R4C",'Mapa final'!#REF!),"")</f>
        <v>#REF!</v>
      </c>
      <c r="Q19" s="54" t="e">
        <f>IF(AND('Mapa final'!#REF!="Alta",'Mapa final'!#REF!="Menor"),CONCATENATE("R4C",'Mapa final'!#REF!),"")</f>
        <v>#REF!</v>
      </c>
      <c r="R19" s="54" t="e">
        <f>IF(AND('Mapa final'!#REF!="Alta",'Mapa final'!#REF!="Menor"),CONCATENATE("R4C",'Mapa final'!#REF!),"")</f>
        <v>#REF!</v>
      </c>
      <c r="S19" s="54" t="e">
        <f>IF(AND('Mapa final'!#REF!="Alta",'Mapa final'!#REF!="Menor"),CONCATENATE("R4C",'Mapa final'!#REF!),"")</f>
        <v>#REF!</v>
      </c>
      <c r="T19" s="54" t="e">
        <f>IF(AND('Mapa final'!#REF!="Alta",'Mapa final'!#REF!="Menor"),CONCATENATE("R4C",'Mapa final'!#REF!),"")</f>
        <v>#REF!</v>
      </c>
      <c r="U19" s="55" t="e">
        <f>IF(AND('Mapa final'!#REF!="Alta",'Mapa final'!#REF!="Menor"),CONCATENATE("R4C",'Mapa final'!#REF!),"")</f>
        <v>#REF!</v>
      </c>
      <c r="V19" s="38" t="e">
        <f>IF(AND('Mapa final'!#REF!="Alta",'Mapa final'!#REF!="Moderado"),CONCATENATE("R4C",'Mapa final'!#REF!),"")</f>
        <v>#REF!</v>
      </c>
      <c r="W19" s="39" t="e">
        <f>IF(AND('Mapa final'!#REF!="Alta",'Mapa final'!#REF!="Moderado"),CONCATENATE("R4C",'Mapa final'!#REF!),"")</f>
        <v>#REF!</v>
      </c>
      <c r="X19" s="39" t="e">
        <f>IF(AND('Mapa final'!#REF!="Alta",'Mapa final'!#REF!="Moderado"),CONCATENATE("R4C",'Mapa final'!#REF!),"")</f>
        <v>#REF!</v>
      </c>
      <c r="Y19" s="39" t="e">
        <f>IF(AND('Mapa final'!#REF!="Alta",'Mapa final'!#REF!="Moderado"),CONCATENATE("R4C",'Mapa final'!#REF!),"")</f>
        <v>#REF!</v>
      </c>
      <c r="Z19" s="39" t="e">
        <f>IF(AND('Mapa final'!#REF!="Alta",'Mapa final'!#REF!="Moderado"),CONCATENATE("R4C",'Mapa final'!#REF!),"")</f>
        <v>#REF!</v>
      </c>
      <c r="AA19" s="40" t="e">
        <f>IF(AND('Mapa final'!#REF!="Alta",'Mapa final'!#REF!="Moderado"),CONCATENATE("R4C",'Mapa final'!#REF!),"")</f>
        <v>#REF!</v>
      </c>
      <c r="AB19" s="38" t="e">
        <f>IF(AND('Mapa final'!#REF!="Alta",'Mapa final'!#REF!="Mayor"),CONCATENATE("R4C",'Mapa final'!#REF!),"")</f>
        <v>#REF!</v>
      </c>
      <c r="AC19" s="39" t="e">
        <f>IF(AND('Mapa final'!#REF!="Alta",'Mapa final'!#REF!="Mayor"),CONCATENATE("R4C",'Mapa final'!#REF!),"")</f>
        <v>#REF!</v>
      </c>
      <c r="AD19" s="39" t="e">
        <f>IF(AND('Mapa final'!#REF!="Alta",'Mapa final'!#REF!="Mayor"),CONCATENATE("R4C",'Mapa final'!#REF!),"")</f>
        <v>#REF!</v>
      </c>
      <c r="AE19" s="39" t="e">
        <f>IF(AND('Mapa final'!#REF!="Alta",'Mapa final'!#REF!="Mayor"),CONCATENATE("R4C",'Mapa final'!#REF!),"")</f>
        <v>#REF!</v>
      </c>
      <c r="AF19" s="39" t="e">
        <f>IF(AND('Mapa final'!#REF!="Alta",'Mapa final'!#REF!="Mayor"),CONCATENATE("R4C",'Mapa final'!#REF!),"")</f>
        <v>#REF!</v>
      </c>
      <c r="AG19" s="40" t="e">
        <f>IF(AND('Mapa final'!#REF!="Alta",'Mapa final'!#REF!="Mayor"),CONCATENATE("R4C",'Mapa final'!#REF!),"")</f>
        <v>#REF!</v>
      </c>
      <c r="AH19" s="41" t="e">
        <f>IF(AND('Mapa final'!#REF!="Alta",'Mapa final'!#REF!="Catastrófico"),CONCATENATE("R4C",'Mapa final'!#REF!),"")</f>
        <v>#REF!</v>
      </c>
      <c r="AI19" s="42" t="e">
        <f>IF(AND('Mapa final'!#REF!="Alta",'Mapa final'!#REF!="Catastrófico"),CONCATENATE("R4C",'Mapa final'!#REF!),"")</f>
        <v>#REF!</v>
      </c>
      <c r="AJ19" s="42" t="e">
        <f>IF(AND('Mapa final'!#REF!="Alta",'Mapa final'!#REF!="Catastrófico"),CONCATENATE("R4C",'Mapa final'!#REF!),"")</f>
        <v>#REF!</v>
      </c>
      <c r="AK19" s="42" t="e">
        <f>IF(AND('Mapa final'!#REF!="Alta",'Mapa final'!#REF!="Catastrófico"),CONCATENATE("R4C",'Mapa final'!#REF!),"")</f>
        <v>#REF!</v>
      </c>
      <c r="AL19" s="42" t="e">
        <f>IF(AND('Mapa final'!#REF!="Alta",'Mapa final'!#REF!="Catastrófico"),CONCATENATE("R4C",'Mapa final'!#REF!),"")</f>
        <v>#REF!</v>
      </c>
      <c r="AM19" s="43" t="e">
        <f>IF(AND('Mapa final'!#REF!="Alta",'Mapa final'!#REF!="Catastrófico"),CONCATENATE("R4C",'Mapa final'!#REF!),"")</f>
        <v>#REF!</v>
      </c>
      <c r="AN19" s="69"/>
      <c r="AO19" s="357"/>
      <c r="AP19" s="358"/>
      <c r="AQ19" s="358"/>
      <c r="AR19" s="358"/>
      <c r="AS19" s="358"/>
      <c r="AT19" s="35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306"/>
      <c r="C20" s="306"/>
      <c r="D20" s="307"/>
      <c r="E20" s="347"/>
      <c r="F20" s="348"/>
      <c r="G20" s="348"/>
      <c r="H20" s="348"/>
      <c r="I20" s="348"/>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357"/>
      <c r="AP20" s="358"/>
      <c r="AQ20" s="358"/>
      <c r="AR20" s="358"/>
      <c r="AS20" s="358"/>
      <c r="AT20" s="35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306"/>
      <c r="C21" s="306"/>
      <c r="D21" s="307"/>
      <c r="E21" s="347"/>
      <c r="F21" s="348"/>
      <c r="G21" s="348"/>
      <c r="H21" s="348"/>
      <c r="I21" s="348"/>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57"/>
      <c r="AP21" s="358"/>
      <c r="AQ21" s="358"/>
      <c r="AR21" s="358"/>
      <c r="AS21" s="358"/>
      <c r="AT21" s="35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306"/>
      <c r="C22" s="306"/>
      <c r="D22" s="307"/>
      <c r="E22" s="347"/>
      <c r="F22" s="348"/>
      <c r="G22" s="348"/>
      <c r="H22" s="348"/>
      <c r="I22" s="348"/>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57"/>
      <c r="AP22" s="358"/>
      <c r="AQ22" s="358"/>
      <c r="AR22" s="358"/>
      <c r="AS22" s="358"/>
      <c r="AT22" s="35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306"/>
      <c r="C23" s="306"/>
      <c r="D23" s="307"/>
      <c r="E23" s="347"/>
      <c r="F23" s="348"/>
      <c r="G23" s="348"/>
      <c r="H23" s="348"/>
      <c r="I23" s="348"/>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57"/>
      <c r="AP23" s="358"/>
      <c r="AQ23" s="358"/>
      <c r="AR23" s="358"/>
      <c r="AS23" s="358"/>
      <c r="AT23" s="35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306"/>
      <c r="C24" s="306"/>
      <c r="D24" s="307"/>
      <c r="E24" s="347"/>
      <c r="F24" s="348"/>
      <c r="G24" s="348"/>
      <c r="H24" s="348"/>
      <c r="I24" s="348"/>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57"/>
      <c r="AP24" s="358"/>
      <c r="AQ24" s="358"/>
      <c r="AR24" s="358"/>
      <c r="AS24" s="358"/>
      <c r="AT24" s="35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306"/>
      <c r="C25" s="306"/>
      <c r="D25" s="307"/>
      <c r="E25" s="350"/>
      <c r="F25" s="351"/>
      <c r="G25" s="351"/>
      <c r="H25" s="351"/>
      <c r="I25" s="351"/>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60"/>
      <c r="AP25" s="361"/>
      <c r="AQ25" s="361"/>
      <c r="AR25" s="361"/>
      <c r="AS25" s="361"/>
      <c r="AT25" s="362"/>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306"/>
      <c r="C26" s="306"/>
      <c r="D26" s="307"/>
      <c r="E26" s="344" t="s">
        <v>115</v>
      </c>
      <c r="F26" s="345"/>
      <c r="G26" s="345"/>
      <c r="H26" s="345"/>
      <c r="I26" s="346"/>
      <c r="J26" s="50" t="str">
        <f>IF(AND('Mapa final'!$Y$13="Media",'Mapa final'!$AA$13="Leve"),CONCATENATE("R1C",'Mapa final'!$O$13),"")</f>
        <v/>
      </c>
      <c r="K26" s="51" t="str">
        <f>IF(AND('Mapa final'!$Y$14="Media",'Mapa final'!$AA$14="Leve"),CONCATENATE("R1C",'Mapa final'!$O$14),"")</f>
        <v/>
      </c>
      <c r="L26" s="51" t="str">
        <f>IF(AND('Mapa final'!$Y$15="Media",'Mapa final'!$AA$15="Leve"),CONCATENATE("R1C",'Mapa final'!$O$15),"")</f>
        <v/>
      </c>
      <c r="M26" s="51" t="str">
        <f>IF(AND('Mapa final'!$Y$16="Media",'Mapa final'!$AA$16="Leve"),CONCATENATE("R1C",'Mapa final'!$O$16),"")</f>
        <v/>
      </c>
      <c r="N26" s="51" t="str">
        <f>IF(AND('Mapa final'!$Y$17="Media",'Mapa final'!$AA$17="Leve"),CONCATENATE("R1C",'Mapa final'!$O$17),"")</f>
        <v/>
      </c>
      <c r="O26" s="52" t="str">
        <f>IF(AND('Mapa final'!$Y$18="Media",'Mapa final'!$AA$18="Leve"),CONCATENATE("R1C",'Mapa final'!$O$18),"")</f>
        <v/>
      </c>
      <c r="P26" s="50" t="str">
        <f>IF(AND('Mapa final'!$Y$13="Media",'Mapa final'!$AA$13="Menor"),CONCATENATE("R1C",'Mapa final'!$O$13),"")</f>
        <v/>
      </c>
      <c r="Q26" s="51" t="str">
        <f>IF(AND('Mapa final'!$Y$14="Media",'Mapa final'!$AA$14="Menor"),CONCATENATE("R1C",'Mapa final'!$O$14),"")</f>
        <v/>
      </c>
      <c r="R26" s="51" t="str">
        <f>IF(AND('Mapa final'!$Y$15="Media",'Mapa final'!$AA$15="Menor"),CONCATENATE("R1C",'Mapa final'!$O$15),"")</f>
        <v/>
      </c>
      <c r="S26" s="51" t="str">
        <f>IF(AND('Mapa final'!$Y$16="Media",'Mapa final'!$AA$16="Menor"),CONCATENATE("R1C",'Mapa final'!$O$16),"")</f>
        <v/>
      </c>
      <c r="T26" s="51" t="str">
        <f>IF(AND('Mapa final'!$Y$17="Media",'Mapa final'!$AA$17="Menor"),CONCATENATE("R1C",'Mapa final'!$O$17),"")</f>
        <v/>
      </c>
      <c r="U26" s="52" t="str">
        <f>IF(AND('Mapa final'!$Y$18="Media",'Mapa final'!$AA$18="Menor"),CONCATENATE("R1C",'Mapa final'!$O$18),"")</f>
        <v/>
      </c>
      <c r="V26" s="50" t="str">
        <f>IF(AND('Mapa final'!$Y$13="Media",'Mapa final'!$AA$13="Moderado"),CONCATENATE("R1C",'Mapa final'!$O$13),"")</f>
        <v/>
      </c>
      <c r="W26" s="51" t="str">
        <f>IF(AND('Mapa final'!$Y$14="Media",'Mapa final'!$AA$14="Moderado"),CONCATENATE("R1C",'Mapa final'!$O$14),"")</f>
        <v/>
      </c>
      <c r="X26" s="51" t="str">
        <f>IF(AND('Mapa final'!$Y$15="Media",'Mapa final'!$AA$15="Moderado"),CONCATENATE("R1C",'Mapa final'!$O$15),"")</f>
        <v/>
      </c>
      <c r="Y26" s="51" t="str">
        <f>IF(AND('Mapa final'!$Y$16="Media",'Mapa final'!$AA$16="Moderado"),CONCATENATE("R1C",'Mapa final'!$O$16),"")</f>
        <v/>
      </c>
      <c r="Z26" s="51" t="str">
        <f>IF(AND('Mapa final'!$Y$17="Media",'Mapa final'!$AA$17="Moderado"),CONCATENATE("R1C",'Mapa final'!$O$17),"")</f>
        <v/>
      </c>
      <c r="AA26" s="52" t="str">
        <f>IF(AND('Mapa final'!$Y$18="Media",'Mapa final'!$AA$18="Moderado"),CONCATENATE("R1C",'Mapa final'!$O$18),"")</f>
        <v/>
      </c>
      <c r="AB26" s="32" t="str">
        <f>IF(AND('Mapa final'!$Y$13="Media",'Mapa final'!$AA$13="Mayor"),CONCATENATE("R1C",'Mapa final'!$O$13),"")</f>
        <v/>
      </c>
      <c r="AC26" s="33" t="str">
        <f>IF(AND('Mapa final'!$Y$14="Media",'Mapa final'!$AA$14="Mayor"),CONCATENATE("R1C",'Mapa final'!$O$14),"")</f>
        <v/>
      </c>
      <c r="AD26" s="33" t="str">
        <f>IF(AND('Mapa final'!$Y$15="Media",'Mapa final'!$AA$15="Mayor"),CONCATENATE("R1C",'Mapa final'!$O$15),"")</f>
        <v/>
      </c>
      <c r="AE26" s="33" t="str">
        <f>IF(AND('Mapa final'!$Y$16="Media",'Mapa final'!$AA$16="Mayor"),CONCATENATE("R1C",'Mapa final'!$O$16),"")</f>
        <v/>
      </c>
      <c r="AF26" s="33" t="str">
        <f>IF(AND('Mapa final'!$Y$17="Media",'Mapa final'!$AA$17="Mayor"),CONCATENATE("R1C",'Mapa final'!$O$17),"")</f>
        <v/>
      </c>
      <c r="AG26" s="34" t="str">
        <f>IF(AND('Mapa final'!$Y$18="Media",'Mapa final'!$AA$18="Mayor"),CONCATENATE("R1C",'Mapa final'!$O$18),"")</f>
        <v/>
      </c>
      <c r="AH26" s="35" t="str">
        <f>IF(AND('Mapa final'!$Y$13="Media",'Mapa final'!$AA$13="Catastrófico"),CONCATENATE("R1C",'Mapa final'!$O$13),"")</f>
        <v/>
      </c>
      <c r="AI26" s="36" t="str">
        <f>IF(AND('Mapa final'!$Y$14="Media",'Mapa final'!$AA$14="Catastrófico"),CONCATENATE("R1C",'Mapa final'!$O$14),"")</f>
        <v/>
      </c>
      <c r="AJ26" s="36" t="str">
        <f>IF(AND('Mapa final'!$Y$15="Media",'Mapa final'!$AA$15="Catastrófico"),CONCATENATE("R1C",'Mapa final'!$O$15),"")</f>
        <v/>
      </c>
      <c r="AK26" s="36" t="str">
        <f>IF(AND('Mapa final'!$Y$16="Media",'Mapa final'!$AA$16="Catastrófico"),CONCATENATE("R1C",'Mapa final'!$O$16),"")</f>
        <v/>
      </c>
      <c r="AL26" s="36" t="str">
        <f>IF(AND('Mapa final'!$Y$17="Media",'Mapa final'!$AA$17="Catastrófico"),CONCATENATE("R1C",'Mapa final'!$O$17),"")</f>
        <v/>
      </c>
      <c r="AM26" s="37" t="str">
        <f>IF(AND('Mapa final'!$Y$18="Media",'Mapa final'!$AA$18="Catastrófico"),CONCATENATE("R1C",'Mapa final'!$O$18),"")</f>
        <v/>
      </c>
      <c r="AN26" s="69"/>
      <c r="AO26" s="384" t="s">
        <v>79</v>
      </c>
      <c r="AP26" s="385"/>
      <c r="AQ26" s="385"/>
      <c r="AR26" s="385"/>
      <c r="AS26" s="385"/>
      <c r="AT26" s="386"/>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306"/>
      <c r="C27" s="306"/>
      <c r="D27" s="307"/>
      <c r="E27" s="363"/>
      <c r="F27" s="348"/>
      <c r="G27" s="348"/>
      <c r="H27" s="348"/>
      <c r="I27" s="349"/>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387"/>
      <c r="AP27" s="388"/>
      <c r="AQ27" s="388"/>
      <c r="AR27" s="388"/>
      <c r="AS27" s="388"/>
      <c r="AT27" s="38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306"/>
      <c r="C28" s="306"/>
      <c r="D28" s="307"/>
      <c r="E28" s="347"/>
      <c r="F28" s="348"/>
      <c r="G28" s="348"/>
      <c r="H28" s="348"/>
      <c r="I28" s="349"/>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387"/>
      <c r="AP28" s="388"/>
      <c r="AQ28" s="388"/>
      <c r="AR28" s="388"/>
      <c r="AS28" s="388"/>
      <c r="AT28" s="38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306"/>
      <c r="C29" s="306"/>
      <c r="D29" s="307"/>
      <c r="E29" s="347"/>
      <c r="F29" s="348"/>
      <c r="G29" s="348"/>
      <c r="H29" s="348"/>
      <c r="I29" s="349"/>
      <c r="J29" s="53" t="e">
        <f>IF(AND('Mapa final'!#REF!="Media",'Mapa final'!#REF!="Leve"),CONCATENATE("R4C",'Mapa final'!#REF!),"")</f>
        <v>#REF!</v>
      </c>
      <c r="K29" s="54" t="e">
        <f>IF(AND('Mapa final'!#REF!="Media",'Mapa final'!#REF!="Leve"),CONCATENATE("R4C",'Mapa final'!#REF!),"")</f>
        <v>#REF!</v>
      </c>
      <c r="L29" s="54" t="e">
        <f>IF(AND('Mapa final'!#REF!="Media",'Mapa final'!#REF!="Leve"),CONCATENATE("R4C",'Mapa final'!#REF!),"")</f>
        <v>#REF!</v>
      </c>
      <c r="M29" s="54" t="e">
        <f>IF(AND('Mapa final'!#REF!="Media",'Mapa final'!#REF!="Leve"),CONCATENATE("R4C",'Mapa final'!#REF!),"")</f>
        <v>#REF!</v>
      </c>
      <c r="N29" s="54" t="e">
        <f>IF(AND('Mapa final'!#REF!="Media",'Mapa final'!#REF!="Leve"),CONCATENATE("R4C",'Mapa final'!#REF!),"")</f>
        <v>#REF!</v>
      </c>
      <c r="O29" s="55" t="e">
        <f>IF(AND('Mapa final'!#REF!="Media",'Mapa final'!#REF!="Leve"),CONCATENATE("R4C",'Mapa final'!#REF!),"")</f>
        <v>#REF!</v>
      </c>
      <c r="P29" s="53" t="e">
        <f>IF(AND('Mapa final'!#REF!="Media",'Mapa final'!#REF!="Menor"),CONCATENATE("R4C",'Mapa final'!#REF!),"")</f>
        <v>#REF!</v>
      </c>
      <c r="Q29" s="54" t="e">
        <f>IF(AND('Mapa final'!#REF!="Media",'Mapa final'!#REF!="Menor"),CONCATENATE("R4C",'Mapa final'!#REF!),"")</f>
        <v>#REF!</v>
      </c>
      <c r="R29" s="54" t="e">
        <f>IF(AND('Mapa final'!#REF!="Media",'Mapa final'!#REF!="Menor"),CONCATENATE("R4C",'Mapa final'!#REF!),"")</f>
        <v>#REF!</v>
      </c>
      <c r="S29" s="54" t="e">
        <f>IF(AND('Mapa final'!#REF!="Media",'Mapa final'!#REF!="Menor"),CONCATENATE("R4C",'Mapa final'!#REF!),"")</f>
        <v>#REF!</v>
      </c>
      <c r="T29" s="54" t="e">
        <f>IF(AND('Mapa final'!#REF!="Media",'Mapa final'!#REF!="Menor"),CONCATENATE("R4C",'Mapa final'!#REF!),"")</f>
        <v>#REF!</v>
      </c>
      <c r="U29" s="55" t="e">
        <f>IF(AND('Mapa final'!#REF!="Media",'Mapa final'!#REF!="Menor"),CONCATENATE("R4C",'Mapa final'!#REF!),"")</f>
        <v>#REF!</v>
      </c>
      <c r="V29" s="53" t="e">
        <f>IF(AND('Mapa final'!#REF!="Media",'Mapa final'!#REF!="Moderado"),CONCATENATE("R4C",'Mapa final'!#REF!),"")</f>
        <v>#REF!</v>
      </c>
      <c r="W29" s="54" t="e">
        <f>IF(AND('Mapa final'!#REF!="Media",'Mapa final'!#REF!="Moderado"),CONCATENATE("R4C",'Mapa final'!#REF!),"")</f>
        <v>#REF!</v>
      </c>
      <c r="X29" s="54" t="e">
        <f>IF(AND('Mapa final'!#REF!="Media",'Mapa final'!#REF!="Moderado"),CONCATENATE("R4C",'Mapa final'!#REF!),"")</f>
        <v>#REF!</v>
      </c>
      <c r="Y29" s="54" t="e">
        <f>IF(AND('Mapa final'!#REF!="Media",'Mapa final'!#REF!="Moderado"),CONCATENATE("R4C",'Mapa final'!#REF!),"")</f>
        <v>#REF!</v>
      </c>
      <c r="Z29" s="54" t="e">
        <f>IF(AND('Mapa final'!#REF!="Media",'Mapa final'!#REF!="Moderado"),CONCATENATE("R4C",'Mapa final'!#REF!),"")</f>
        <v>#REF!</v>
      </c>
      <c r="AA29" s="55" t="e">
        <f>IF(AND('Mapa final'!#REF!="Media",'Mapa final'!#REF!="Moderado"),CONCATENATE("R4C",'Mapa final'!#REF!),"")</f>
        <v>#REF!</v>
      </c>
      <c r="AB29" s="38" t="e">
        <f>IF(AND('Mapa final'!#REF!="Media",'Mapa final'!#REF!="Mayor"),CONCATENATE("R4C",'Mapa final'!#REF!),"")</f>
        <v>#REF!</v>
      </c>
      <c r="AC29" s="39" t="e">
        <f>IF(AND('Mapa final'!#REF!="Media",'Mapa final'!#REF!="Mayor"),CONCATENATE("R4C",'Mapa final'!#REF!),"")</f>
        <v>#REF!</v>
      </c>
      <c r="AD29" s="39" t="e">
        <f>IF(AND('Mapa final'!#REF!="Media",'Mapa final'!#REF!="Mayor"),CONCATENATE("R4C",'Mapa final'!#REF!),"")</f>
        <v>#REF!</v>
      </c>
      <c r="AE29" s="39" t="e">
        <f>IF(AND('Mapa final'!#REF!="Media",'Mapa final'!#REF!="Mayor"),CONCATENATE("R4C",'Mapa final'!#REF!),"")</f>
        <v>#REF!</v>
      </c>
      <c r="AF29" s="39" t="e">
        <f>IF(AND('Mapa final'!#REF!="Media",'Mapa final'!#REF!="Mayor"),CONCATENATE("R4C",'Mapa final'!#REF!),"")</f>
        <v>#REF!</v>
      </c>
      <c r="AG29" s="40" t="e">
        <f>IF(AND('Mapa final'!#REF!="Media",'Mapa final'!#REF!="Mayor"),CONCATENATE("R4C",'Mapa final'!#REF!),"")</f>
        <v>#REF!</v>
      </c>
      <c r="AH29" s="41" t="e">
        <f>IF(AND('Mapa final'!#REF!="Media",'Mapa final'!#REF!="Catastrófico"),CONCATENATE("R4C",'Mapa final'!#REF!),"")</f>
        <v>#REF!</v>
      </c>
      <c r="AI29" s="42" t="e">
        <f>IF(AND('Mapa final'!#REF!="Media",'Mapa final'!#REF!="Catastrófico"),CONCATENATE("R4C",'Mapa final'!#REF!),"")</f>
        <v>#REF!</v>
      </c>
      <c r="AJ29" s="42" t="e">
        <f>IF(AND('Mapa final'!#REF!="Media",'Mapa final'!#REF!="Catastrófico"),CONCATENATE("R4C",'Mapa final'!#REF!),"")</f>
        <v>#REF!</v>
      </c>
      <c r="AK29" s="42" t="e">
        <f>IF(AND('Mapa final'!#REF!="Media",'Mapa final'!#REF!="Catastrófico"),CONCATENATE("R4C",'Mapa final'!#REF!),"")</f>
        <v>#REF!</v>
      </c>
      <c r="AL29" s="42" t="e">
        <f>IF(AND('Mapa final'!#REF!="Media",'Mapa final'!#REF!="Catastrófico"),CONCATENATE("R4C",'Mapa final'!#REF!),"")</f>
        <v>#REF!</v>
      </c>
      <c r="AM29" s="43" t="e">
        <f>IF(AND('Mapa final'!#REF!="Media",'Mapa final'!#REF!="Catastrófico"),CONCATENATE("R4C",'Mapa final'!#REF!),"")</f>
        <v>#REF!</v>
      </c>
      <c r="AN29" s="69"/>
      <c r="AO29" s="387"/>
      <c r="AP29" s="388"/>
      <c r="AQ29" s="388"/>
      <c r="AR29" s="388"/>
      <c r="AS29" s="388"/>
      <c r="AT29" s="38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306"/>
      <c r="C30" s="306"/>
      <c r="D30" s="307"/>
      <c r="E30" s="347"/>
      <c r="F30" s="348"/>
      <c r="G30" s="348"/>
      <c r="H30" s="348"/>
      <c r="I30" s="349"/>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387"/>
      <c r="AP30" s="388"/>
      <c r="AQ30" s="388"/>
      <c r="AR30" s="388"/>
      <c r="AS30" s="388"/>
      <c r="AT30" s="38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306"/>
      <c r="C31" s="306"/>
      <c r="D31" s="307"/>
      <c r="E31" s="347"/>
      <c r="F31" s="348"/>
      <c r="G31" s="348"/>
      <c r="H31" s="348"/>
      <c r="I31" s="349"/>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387"/>
      <c r="AP31" s="388"/>
      <c r="AQ31" s="388"/>
      <c r="AR31" s="388"/>
      <c r="AS31" s="388"/>
      <c r="AT31" s="38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306"/>
      <c r="C32" s="306"/>
      <c r="D32" s="307"/>
      <c r="E32" s="347"/>
      <c r="F32" s="348"/>
      <c r="G32" s="348"/>
      <c r="H32" s="348"/>
      <c r="I32" s="349"/>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387"/>
      <c r="AP32" s="388"/>
      <c r="AQ32" s="388"/>
      <c r="AR32" s="388"/>
      <c r="AS32" s="388"/>
      <c r="AT32" s="38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306"/>
      <c r="C33" s="306"/>
      <c r="D33" s="307"/>
      <c r="E33" s="347"/>
      <c r="F33" s="348"/>
      <c r="G33" s="348"/>
      <c r="H33" s="348"/>
      <c r="I33" s="349"/>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387"/>
      <c r="AP33" s="388"/>
      <c r="AQ33" s="388"/>
      <c r="AR33" s="388"/>
      <c r="AS33" s="388"/>
      <c r="AT33" s="38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306"/>
      <c r="C34" s="306"/>
      <c r="D34" s="307"/>
      <c r="E34" s="347"/>
      <c r="F34" s="348"/>
      <c r="G34" s="348"/>
      <c r="H34" s="348"/>
      <c r="I34" s="349"/>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387"/>
      <c r="AP34" s="388"/>
      <c r="AQ34" s="388"/>
      <c r="AR34" s="388"/>
      <c r="AS34" s="388"/>
      <c r="AT34" s="38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306"/>
      <c r="C35" s="306"/>
      <c r="D35" s="307"/>
      <c r="E35" s="350"/>
      <c r="F35" s="351"/>
      <c r="G35" s="351"/>
      <c r="H35" s="351"/>
      <c r="I35" s="352"/>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390"/>
      <c r="AP35" s="391"/>
      <c r="AQ35" s="391"/>
      <c r="AR35" s="391"/>
      <c r="AS35" s="391"/>
      <c r="AT35" s="392"/>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306"/>
      <c r="C36" s="306"/>
      <c r="D36" s="307"/>
      <c r="E36" s="344" t="s">
        <v>112</v>
      </c>
      <c r="F36" s="345"/>
      <c r="G36" s="345"/>
      <c r="H36" s="345"/>
      <c r="I36" s="345"/>
      <c r="J36" s="59" t="str">
        <f>IF(AND('Mapa final'!$Y$13="Baja",'Mapa final'!$AA$13="Leve"),CONCATENATE("R1C",'Mapa final'!$O$13),"")</f>
        <v/>
      </c>
      <c r="K36" s="60" t="str">
        <f>IF(AND('Mapa final'!$Y$14="Baja",'Mapa final'!$AA$14="Leve"),CONCATENATE("R1C",'Mapa final'!$O$14),"")</f>
        <v/>
      </c>
      <c r="L36" s="60" t="str">
        <f>IF(AND('Mapa final'!$Y$15="Baja",'Mapa final'!$AA$15="Leve"),CONCATENATE("R1C",'Mapa final'!$O$15),"")</f>
        <v/>
      </c>
      <c r="M36" s="60" t="str">
        <f>IF(AND('Mapa final'!$Y$16="Baja",'Mapa final'!$AA$16="Leve"),CONCATENATE("R1C",'Mapa final'!$O$16),"")</f>
        <v/>
      </c>
      <c r="N36" s="60" t="str">
        <f>IF(AND('Mapa final'!$Y$17="Baja",'Mapa final'!$AA$17="Leve"),CONCATENATE("R1C",'Mapa final'!$O$17),"")</f>
        <v/>
      </c>
      <c r="O36" s="61" t="str">
        <f>IF(AND('Mapa final'!$Y$18="Baja",'Mapa final'!$AA$18="Leve"),CONCATENATE("R1C",'Mapa final'!$O$18),"")</f>
        <v/>
      </c>
      <c r="P36" s="50" t="str">
        <f>IF(AND('Mapa final'!$Y$13="Baja",'Mapa final'!$AA$13="Menor"),CONCATENATE("R1C",'Mapa final'!$O$13),"")</f>
        <v/>
      </c>
      <c r="Q36" s="51" t="str">
        <f>IF(AND('Mapa final'!$Y$14="Baja",'Mapa final'!$AA$14="Menor"),CONCATENATE("R1C",'Mapa final'!$O$14),"")</f>
        <v/>
      </c>
      <c r="R36" s="51" t="str">
        <f>IF(AND('Mapa final'!$Y$15="Baja",'Mapa final'!$AA$15="Menor"),CONCATENATE("R1C",'Mapa final'!$O$15),"")</f>
        <v/>
      </c>
      <c r="S36" s="51" t="str">
        <f>IF(AND('Mapa final'!$Y$16="Baja",'Mapa final'!$AA$16="Menor"),CONCATENATE("R1C",'Mapa final'!$O$16),"")</f>
        <v/>
      </c>
      <c r="T36" s="51" t="str">
        <f>IF(AND('Mapa final'!$Y$17="Baja",'Mapa final'!$AA$17="Menor"),CONCATENATE("R1C",'Mapa final'!$O$17),"")</f>
        <v/>
      </c>
      <c r="U36" s="52" t="str">
        <f>IF(AND('Mapa final'!$Y$18="Baja",'Mapa final'!$AA$18="Menor"),CONCATENATE("R1C",'Mapa final'!$O$18),"")</f>
        <v/>
      </c>
      <c r="V36" s="50" t="str">
        <f>IF(AND('Mapa final'!$Y$13="Baja",'Mapa final'!$AA$13="Moderado"),CONCATENATE("R1C",'Mapa final'!$O$13),"")</f>
        <v>R1C1</v>
      </c>
      <c r="W36" s="51" t="str">
        <f>IF(AND('Mapa final'!$Y$14="Baja",'Mapa final'!$AA$14="Moderado"),CONCATENATE("R1C",'Mapa final'!$O$14),"")</f>
        <v/>
      </c>
      <c r="X36" s="51" t="str">
        <f>IF(AND('Mapa final'!$Y$15="Baja",'Mapa final'!$AA$15="Moderado"),CONCATENATE("R1C",'Mapa final'!$O$15),"")</f>
        <v/>
      </c>
      <c r="Y36" s="51" t="str">
        <f>IF(AND('Mapa final'!$Y$16="Baja",'Mapa final'!$AA$16="Moderado"),CONCATENATE("R1C",'Mapa final'!$O$16),"")</f>
        <v>R1C1</v>
      </c>
      <c r="Z36" s="51" t="str">
        <f>IF(AND('Mapa final'!$Y$17="Baja",'Mapa final'!$AA$17="Moderado"),CONCATENATE("R1C",'Mapa final'!$O$17),"")</f>
        <v/>
      </c>
      <c r="AA36" s="52" t="str">
        <f>IF(AND('Mapa final'!$Y$18="Baja",'Mapa final'!$AA$18="Moderado"),CONCATENATE("R1C",'Mapa final'!$O$18),"")</f>
        <v>R1C1</v>
      </c>
      <c r="AB36" s="32" t="str">
        <f>IF(AND('Mapa final'!$Y$13="Baja",'Mapa final'!$AA$13="Mayor"),CONCATENATE("R1C",'Mapa final'!$O$13),"")</f>
        <v/>
      </c>
      <c r="AC36" s="33" t="str">
        <f>IF(AND('Mapa final'!$Y$14="Baja",'Mapa final'!$AA$14="Mayor"),CONCATENATE("R1C",'Mapa final'!$O$14),"")</f>
        <v/>
      </c>
      <c r="AD36" s="33" t="str">
        <f>IF(AND('Mapa final'!$Y$15="Baja",'Mapa final'!$AA$15="Mayor"),CONCATENATE("R1C",'Mapa final'!$O$15),"")</f>
        <v/>
      </c>
      <c r="AE36" s="33" t="str">
        <f>IF(AND('Mapa final'!$Y$16="Baja",'Mapa final'!$AA$16="Mayor"),CONCATENATE("R1C",'Mapa final'!$O$16),"")</f>
        <v/>
      </c>
      <c r="AF36" s="33" t="str">
        <f>IF(AND('Mapa final'!$Y$17="Baja",'Mapa final'!$AA$17="Mayor"),CONCATENATE("R1C",'Mapa final'!$O$17),"")</f>
        <v/>
      </c>
      <c r="AG36" s="34" t="str">
        <f>IF(AND('Mapa final'!$Y$18="Baja",'Mapa final'!$AA$18="Mayor"),CONCATENATE("R1C",'Mapa final'!$O$18),"")</f>
        <v/>
      </c>
      <c r="AH36" s="35" t="str">
        <f>IF(AND('Mapa final'!$Y$13="Baja",'Mapa final'!$AA$13="Catastrófico"),CONCATENATE("R1C",'Mapa final'!$O$13),"")</f>
        <v/>
      </c>
      <c r="AI36" s="36" t="str">
        <f>IF(AND('Mapa final'!$Y$14="Baja",'Mapa final'!$AA$14="Catastrófico"),CONCATENATE("R1C",'Mapa final'!$O$14),"")</f>
        <v/>
      </c>
      <c r="AJ36" s="36" t="str">
        <f>IF(AND('Mapa final'!$Y$15="Baja",'Mapa final'!$AA$15="Catastrófico"),CONCATENATE("R1C",'Mapa final'!$O$15),"")</f>
        <v/>
      </c>
      <c r="AK36" s="36" t="str">
        <f>IF(AND('Mapa final'!$Y$16="Baja",'Mapa final'!$AA$16="Catastrófico"),CONCATENATE("R1C",'Mapa final'!$O$16),"")</f>
        <v/>
      </c>
      <c r="AL36" s="36" t="str">
        <f>IF(AND('Mapa final'!$Y$17="Baja",'Mapa final'!$AA$17="Catastrófico"),CONCATENATE("R1C",'Mapa final'!$O$17),"")</f>
        <v/>
      </c>
      <c r="AM36" s="37" t="str">
        <f>IF(AND('Mapa final'!$Y$18="Baja",'Mapa final'!$AA$18="Catastrófico"),CONCATENATE("R1C",'Mapa final'!$O$18),"")</f>
        <v/>
      </c>
      <c r="AN36" s="69"/>
      <c r="AO36" s="375" t="s">
        <v>80</v>
      </c>
      <c r="AP36" s="376"/>
      <c r="AQ36" s="376"/>
      <c r="AR36" s="376"/>
      <c r="AS36" s="376"/>
      <c r="AT36" s="377"/>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306"/>
      <c r="C37" s="306"/>
      <c r="D37" s="307"/>
      <c r="E37" s="363"/>
      <c r="F37" s="348"/>
      <c r="G37" s="348"/>
      <c r="H37" s="348"/>
      <c r="I37" s="348"/>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378"/>
      <c r="AP37" s="379"/>
      <c r="AQ37" s="379"/>
      <c r="AR37" s="379"/>
      <c r="AS37" s="379"/>
      <c r="AT37" s="380"/>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306"/>
      <c r="C38" s="306"/>
      <c r="D38" s="307"/>
      <c r="E38" s="347"/>
      <c r="F38" s="348"/>
      <c r="G38" s="348"/>
      <c r="H38" s="348"/>
      <c r="I38" s="348"/>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378"/>
      <c r="AP38" s="379"/>
      <c r="AQ38" s="379"/>
      <c r="AR38" s="379"/>
      <c r="AS38" s="379"/>
      <c r="AT38" s="380"/>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306"/>
      <c r="C39" s="306"/>
      <c r="D39" s="307"/>
      <c r="E39" s="347"/>
      <c r="F39" s="348"/>
      <c r="G39" s="348"/>
      <c r="H39" s="348"/>
      <c r="I39" s="348"/>
      <c r="J39" s="62" t="e">
        <f>IF(AND('Mapa final'!#REF!="Baja",'Mapa final'!#REF!="Leve"),CONCATENATE("R4C",'Mapa final'!#REF!),"")</f>
        <v>#REF!</v>
      </c>
      <c r="K39" s="63" t="e">
        <f>IF(AND('Mapa final'!#REF!="Baja",'Mapa final'!#REF!="Leve"),CONCATENATE("R4C",'Mapa final'!#REF!),"")</f>
        <v>#REF!</v>
      </c>
      <c r="L39" s="63" t="e">
        <f>IF(AND('Mapa final'!#REF!="Baja",'Mapa final'!#REF!="Leve"),CONCATENATE("R4C",'Mapa final'!#REF!),"")</f>
        <v>#REF!</v>
      </c>
      <c r="M39" s="63" t="e">
        <f>IF(AND('Mapa final'!#REF!="Baja",'Mapa final'!#REF!="Leve"),CONCATENATE("R4C",'Mapa final'!#REF!),"")</f>
        <v>#REF!</v>
      </c>
      <c r="N39" s="63" t="e">
        <f>IF(AND('Mapa final'!#REF!="Baja",'Mapa final'!#REF!="Leve"),CONCATENATE("R4C",'Mapa final'!#REF!),"")</f>
        <v>#REF!</v>
      </c>
      <c r="O39" s="64" t="e">
        <f>IF(AND('Mapa final'!#REF!="Baja",'Mapa final'!#REF!="Leve"),CONCATENATE("R4C",'Mapa final'!#REF!),"")</f>
        <v>#REF!</v>
      </c>
      <c r="P39" s="53" t="e">
        <f>IF(AND('Mapa final'!#REF!="Baja",'Mapa final'!#REF!="Menor"),CONCATENATE("R4C",'Mapa final'!#REF!),"")</f>
        <v>#REF!</v>
      </c>
      <c r="Q39" s="54" t="e">
        <f>IF(AND('Mapa final'!#REF!="Baja",'Mapa final'!#REF!="Menor"),CONCATENATE("R4C",'Mapa final'!#REF!),"")</f>
        <v>#REF!</v>
      </c>
      <c r="R39" s="54" t="e">
        <f>IF(AND('Mapa final'!#REF!="Baja",'Mapa final'!#REF!="Menor"),CONCATENATE("R4C",'Mapa final'!#REF!),"")</f>
        <v>#REF!</v>
      </c>
      <c r="S39" s="54" t="e">
        <f>IF(AND('Mapa final'!#REF!="Baja",'Mapa final'!#REF!="Menor"),CONCATENATE("R4C",'Mapa final'!#REF!),"")</f>
        <v>#REF!</v>
      </c>
      <c r="T39" s="54" t="e">
        <f>IF(AND('Mapa final'!#REF!="Baja",'Mapa final'!#REF!="Menor"),CONCATENATE("R4C",'Mapa final'!#REF!),"")</f>
        <v>#REF!</v>
      </c>
      <c r="U39" s="55" t="e">
        <f>IF(AND('Mapa final'!#REF!="Baja",'Mapa final'!#REF!="Menor"),CONCATENATE("R4C",'Mapa final'!#REF!),"")</f>
        <v>#REF!</v>
      </c>
      <c r="V39" s="53" t="e">
        <f>IF(AND('Mapa final'!#REF!="Baja",'Mapa final'!#REF!="Moderado"),CONCATENATE("R4C",'Mapa final'!#REF!),"")</f>
        <v>#REF!</v>
      </c>
      <c r="W39" s="54" t="e">
        <f>IF(AND('Mapa final'!#REF!="Baja",'Mapa final'!#REF!="Moderado"),CONCATENATE("R4C",'Mapa final'!#REF!),"")</f>
        <v>#REF!</v>
      </c>
      <c r="X39" s="54" t="e">
        <f>IF(AND('Mapa final'!#REF!="Baja",'Mapa final'!#REF!="Moderado"),CONCATENATE("R4C",'Mapa final'!#REF!),"")</f>
        <v>#REF!</v>
      </c>
      <c r="Y39" s="54" t="e">
        <f>IF(AND('Mapa final'!#REF!="Baja",'Mapa final'!#REF!="Moderado"),CONCATENATE("R4C",'Mapa final'!#REF!),"")</f>
        <v>#REF!</v>
      </c>
      <c r="Z39" s="54" t="e">
        <f>IF(AND('Mapa final'!#REF!="Baja",'Mapa final'!#REF!="Moderado"),CONCATENATE("R4C",'Mapa final'!#REF!),"")</f>
        <v>#REF!</v>
      </c>
      <c r="AA39" s="55" t="e">
        <f>IF(AND('Mapa final'!#REF!="Baja",'Mapa final'!#REF!="Moderado"),CONCATENATE("R4C",'Mapa final'!#REF!),"")</f>
        <v>#REF!</v>
      </c>
      <c r="AB39" s="38" t="e">
        <f>IF(AND('Mapa final'!#REF!="Baja",'Mapa final'!#REF!="Mayor"),CONCATENATE("R4C",'Mapa final'!#REF!),"")</f>
        <v>#REF!</v>
      </c>
      <c r="AC39" s="39" t="e">
        <f>IF(AND('Mapa final'!#REF!="Baja",'Mapa final'!#REF!="Mayor"),CONCATENATE("R4C",'Mapa final'!#REF!),"")</f>
        <v>#REF!</v>
      </c>
      <c r="AD39" s="39" t="e">
        <f>IF(AND('Mapa final'!#REF!="Baja",'Mapa final'!#REF!="Mayor"),CONCATENATE("R4C",'Mapa final'!#REF!),"")</f>
        <v>#REF!</v>
      </c>
      <c r="AE39" s="39" t="e">
        <f>IF(AND('Mapa final'!#REF!="Baja",'Mapa final'!#REF!="Mayor"),CONCATENATE("R4C",'Mapa final'!#REF!),"")</f>
        <v>#REF!</v>
      </c>
      <c r="AF39" s="39" t="e">
        <f>IF(AND('Mapa final'!#REF!="Baja",'Mapa final'!#REF!="Mayor"),CONCATENATE("R4C",'Mapa final'!#REF!),"")</f>
        <v>#REF!</v>
      </c>
      <c r="AG39" s="40" t="e">
        <f>IF(AND('Mapa final'!#REF!="Baja",'Mapa final'!#REF!="Mayor"),CONCATENATE("R4C",'Mapa final'!#REF!),"")</f>
        <v>#REF!</v>
      </c>
      <c r="AH39" s="41" t="e">
        <f>IF(AND('Mapa final'!#REF!="Baja",'Mapa final'!#REF!="Catastrófico"),CONCATENATE("R4C",'Mapa final'!#REF!),"")</f>
        <v>#REF!</v>
      </c>
      <c r="AI39" s="42" t="e">
        <f>IF(AND('Mapa final'!#REF!="Baja",'Mapa final'!#REF!="Catastrófico"),CONCATENATE("R4C",'Mapa final'!#REF!),"")</f>
        <v>#REF!</v>
      </c>
      <c r="AJ39" s="42" t="e">
        <f>IF(AND('Mapa final'!#REF!="Baja",'Mapa final'!#REF!="Catastrófico"),CONCATENATE("R4C",'Mapa final'!#REF!),"")</f>
        <v>#REF!</v>
      </c>
      <c r="AK39" s="42" t="e">
        <f>IF(AND('Mapa final'!#REF!="Baja",'Mapa final'!#REF!="Catastrófico"),CONCATENATE("R4C",'Mapa final'!#REF!),"")</f>
        <v>#REF!</v>
      </c>
      <c r="AL39" s="42" t="e">
        <f>IF(AND('Mapa final'!#REF!="Baja",'Mapa final'!#REF!="Catastrófico"),CONCATENATE("R4C",'Mapa final'!#REF!),"")</f>
        <v>#REF!</v>
      </c>
      <c r="AM39" s="43" t="e">
        <f>IF(AND('Mapa final'!#REF!="Baja",'Mapa final'!#REF!="Catastrófico"),CONCATENATE("R4C",'Mapa final'!#REF!),"")</f>
        <v>#REF!</v>
      </c>
      <c r="AN39" s="69"/>
      <c r="AO39" s="378"/>
      <c r="AP39" s="379"/>
      <c r="AQ39" s="379"/>
      <c r="AR39" s="379"/>
      <c r="AS39" s="379"/>
      <c r="AT39" s="380"/>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306"/>
      <c r="C40" s="306"/>
      <c r="D40" s="307"/>
      <c r="E40" s="347"/>
      <c r="F40" s="348"/>
      <c r="G40" s="348"/>
      <c r="H40" s="348"/>
      <c r="I40" s="348"/>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378"/>
      <c r="AP40" s="379"/>
      <c r="AQ40" s="379"/>
      <c r="AR40" s="379"/>
      <c r="AS40" s="379"/>
      <c r="AT40" s="380"/>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306"/>
      <c r="C41" s="306"/>
      <c r="D41" s="307"/>
      <c r="E41" s="347"/>
      <c r="F41" s="348"/>
      <c r="G41" s="348"/>
      <c r="H41" s="348"/>
      <c r="I41" s="348"/>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378"/>
      <c r="AP41" s="379"/>
      <c r="AQ41" s="379"/>
      <c r="AR41" s="379"/>
      <c r="AS41" s="379"/>
      <c r="AT41" s="380"/>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306"/>
      <c r="C42" s="306"/>
      <c r="D42" s="307"/>
      <c r="E42" s="347"/>
      <c r="F42" s="348"/>
      <c r="G42" s="348"/>
      <c r="H42" s="348"/>
      <c r="I42" s="348"/>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378"/>
      <c r="AP42" s="379"/>
      <c r="AQ42" s="379"/>
      <c r="AR42" s="379"/>
      <c r="AS42" s="379"/>
      <c r="AT42" s="380"/>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306"/>
      <c r="C43" s="306"/>
      <c r="D43" s="307"/>
      <c r="E43" s="347"/>
      <c r="F43" s="348"/>
      <c r="G43" s="348"/>
      <c r="H43" s="348"/>
      <c r="I43" s="348"/>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378"/>
      <c r="AP43" s="379"/>
      <c r="AQ43" s="379"/>
      <c r="AR43" s="379"/>
      <c r="AS43" s="379"/>
      <c r="AT43" s="380"/>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306"/>
      <c r="C44" s="306"/>
      <c r="D44" s="307"/>
      <c r="E44" s="347"/>
      <c r="F44" s="348"/>
      <c r="G44" s="348"/>
      <c r="H44" s="348"/>
      <c r="I44" s="348"/>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378"/>
      <c r="AP44" s="379"/>
      <c r="AQ44" s="379"/>
      <c r="AR44" s="379"/>
      <c r="AS44" s="379"/>
      <c r="AT44" s="380"/>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306"/>
      <c r="C45" s="306"/>
      <c r="D45" s="307"/>
      <c r="E45" s="350"/>
      <c r="F45" s="351"/>
      <c r="G45" s="351"/>
      <c r="H45" s="351"/>
      <c r="I45" s="351"/>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381"/>
      <c r="AP45" s="382"/>
      <c r="AQ45" s="382"/>
      <c r="AR45" s="382"/>
      <c r="AS45" s="382"/>
      <c r="AT45" s="383"/>
    </row>
    <row r="46" spans="1:80" ht="46.5" customHeight="1" x14ac:dyDescent="0.35">
      <c r="A46" s="69"/>
      <c r="B46" s="306"/>
      <c r="C46" s="306"/>
      <c r="D46" s="307"/>
      <c r="E46" s="344" t="s">
        <v>111</v>
      </c>
      <c r="F46" s="345"/>
      <c r="G46" s="345"/>
      <c r="H46" s="345"/>
      <c r="I46" s="346"/>
      <c r="J46" s="59" t="str">
        <f>IF(AND('Mapa final'!$Y$13="Muy Baja",'Mapa final'!$AA$13="Leve"),CONCATENATE("R1C",'Mapa final'!$O$13),"")</f>
        <v/>
      </c>
      <c r="K46" s="60" t="str">
        <f>IF(AND('Mapa final'!$Y$14="Muy Baja",'Mapa final'!$AA$14="Leve"),CONCATENATE("R1C",'Mapa final'!$O$14),"")</f>
        <v/>
      </c>
      <c r="L46" s="60" t="str">
        <f>IF(AND('Mapa final'!$Y$15="Muy Baja",'Mapa final'!$AA$15="Leve"),CONCATENATE("R1C",'Mapa final'!$O$15),"")</f>
        <v/>
      </c>
      <c r="M46" s="60" t="str">
        <f>IF(AND('Mapa final'!$Y$16="Muy Baja",'Mapa final'!$AA$16="Leve"),CONCATENATE("R1C",'Mapa final'!$O$16),"")</f>
        <v/>
      </c>
      <c r="N46" s="60" t="str">
        <f>IF(AND('Mapa final'!$Y$17="Muy Baja",'Mapa final'!$AA$17="Leve"),CONCATENATE("R1C",'Mapa final'!$O$17),"")</f>
        <v/>
      </c>
      <c r="O46" s="61" t="str">
        <f>IF(AND('Mapa final'!$Y$18="Muy Baja",'Mapa final'!$AA$18="Leve"),CONCATENATE("R1C",'Mapa final'!$O$18),"")</f>
        <v/>
      </c>
      <c r="P46" s="59" t="str">
        <f>IF(AND('Mapa final'!$Y$13="Muy Baja",'Mapa final'!$AA$13="Menor"),CONCATENATE("R1C",'Mapa final'!$O$13),"")</f>
        <v/>
      </c>
      <c r="Q46" s="60" t="str">
        <f>IF(AND('Mapa final'!$Y$14="Muy Baja",'Mapa final'!$AA$14="Menor"),CONCATENATE("R1C",'Mapa final'!$O$14),"")</f>
        <v/>
      </c>
      <c r="R46" s="60" t="str">
        <f>IF(AND('Mapa final'!$Y$15="Muy Baja",'Mapa final'!$AA$15="Menor"),CONCATENATE("R1C",'Mapa final'!$O$15),"")</f>
        <v/>
      </c>
      <c r="S46" s="60" t="str">
        <f>IF(AND('Mapa final'!$Y$16="Muy Baja",'Mapa final'!$AA$16="Menor"),CONCATENATE("R1C",'Mapa final'!$O$16),"")</f>
        <v/>
      </c>
      <c r="T46" s="60" t="str">
        <f>IF(AND('Mapa final'!$Y$17="Muy Baja",'Mapa final'!$AA$17="Menor"),CONCATENATE("R1C",'Mapa final'!$O$17),"")</f>
        <v/>
      </c>
      <c r="U46" s="61" t="str">
        <f>IF(AND('Mapa final'!$Y$18="Muy Baja",'Mapa final'!$AA$18="Menor"),CONCATENATE("R1C",'Mapa final'!$O$18),"")</f>
        <v/>
      </c>
      <c r="V46" s="50" t="str">
        <f>IF(AND('Mapa final'!$Y$13="Muy Baja",'Mapa final'!$AA$13="Moderado"),CONCATENATE("R1C",'Mapa final'!$O$13),"")</f>
        <v/>
      </c>
      <c r="W46" s="68" t="str">
        <f>IF(AND('Mapa final'!$Y$14="Muy Baja",'Mapa final'!$AA$14="Moderado"),CONCATENATE("R1C",'Mapa final'!$O$14),"")</f>
        <v/>
      </c>
      <c r="X46" s="51" t="str">
        <f>IF(AND('Mapa final'!$Y$15="Muy Baja",'Mapa final'!$AA$15="Moderado"),CONCATENATE("R1C",'Mapa final'!$O$15),"")</f>
        <v>R1C3</v>
      </c>
      <c r="Y46" s="51" t="str">
        <f>IF(AND('Mapa final'!$Y$16="Muy Baja",'Mapa final'!$AA$16="Moderado"),CONCATENATE("R1C",'Mapa final'!$O$16),"")</f>
        <v/>
      </c>
      <c r="Z46" s="51" t="str">
        <f>IF(AND('Mapa final'!$Y$17="Muy Baja",'Mapa final'!$AA$17="Moderado"),CONCATENATE("R1C",'Mapa final'!$O$17),"")</f>
        <v>R1C2</v>
      </c>
      <c r="AA46" s="52" t="str">
        <f>IF(AND('Mapa final'!$Y$18="Muy Baja",'Mapa final'!$AA$18="Moderado"),CONCATENATE("R1C",'Mapa final'!$O$18),"")</f>
        <v/>
      </c>
      <c r="AB46" s="32" t="str">
        <f>IF(AND('Mapa final'!$Y$13="Muy Baja",'Mapa final'!$AA$13="Mayor"),CONCATENATE("R1C",'Mapa final'!$O$13),"")</f>
        <v/>
      </c>
      <c r="AC46" s="33" t="str">
        <f>IF(AND('Mapa final'!$Y$14="Muy Baja",'Mapa final'!$AA$14="Mayor"),CONCATENATE("R1C",'Mapa final'!$O$14),"")</f>
        <v/>
      </c>
      <c r="AD46" s="33" t="str">
        <f>IF(AND('Mapa final'!$Y$15="Muy Baja",'Mapa final'!$AA$15="Mayor"),CONCATENATE("R1C",'Mapa final'!$O$15),"")</f>
        <v/>
      </c>
      <c r="AE46" s="33" t="str">
        <f>IF(AND('Mapa final'!$Y$16="Muy Baja",'Mapa final'!$AA$16="Mayor"),CONCATENATE("R1C",'Mapa final'!$O$16),"")</f>
        <v/>
      </c>
      <c r="AF46" s="33" t="str">
        <f>IF(AND('Mapa final'!$Y$17="Muy Baja",'Mapa final'!$AA$17="Mayor"),CONCATENATE("R1C",'Mapa final'!$O$17),"")</f>
        <v/>
      </c>
      <c r="AG46" s="34" t="str">
        <f>IF(AND('Mapa final'!$Y$18="Muy Baja",'Mapa final'!$AA$18="Mayor"),CONCATENATE("R1C",'Mapa final'!$O$18),"")</f>
        <v/>
      </c>
      <c r="AH46" s="35" t="str">
        <f>IF(AND('Mapa final'!$Y$13="Muy Baja",'Mapa final'!$AA$13="Catastrófico"),CONCATENATE("R1C",'Mapa final'!$O$13),"")</f>
        <v/>
      </c>
      <c r="AI46" s="36" t="str">
        <f>IF(AND('Mapa final'!$Y$14="Muy Baja",'Mapa final'!$AA$14="Catastrófico"),CONCATENATE("R1C",'Mapa final'!$O$14),"")</f>
        <v/>
      </c>
      <c r="AJ46" s="36" t="str">
        <f>IF(AND('Mapa final'!$Y$15="Muy Baja",'Mapa final'!$AA$15="Catastrófico"),CONCATENATE("R1C",'Mapa final'!$O$15),"")</f>
        <v/>
      </c>
      <c r="AK46" s="36" t="str">
        <f>IF(AND('Mapa final'!$Y$16="Muy Baja",'Mapa final'!$AA$16="Catastrófico"),CONCATENATE("R1C",'Mapa final'!$O$16),"")</f>
        <v/>
      </c>
      <c r="AL46" s="36" t="str">
        <f>IF(AND('Mapa final'!$Y$17="Muy Baja",'Mapa final'!$AA$17="Catastrófico"),CONCATENATE("R1C",'Mapa final'!$O$17),"")</f>
        <v/>
      </c>
      <c r="AM46" s="37" t="str">
        <f>IF(AND('Mapa final'!$Y$18="Muy Baja",'Mapa final'!$AA$18="Catastrófico"),CONCATENATE("R1C",'Mapa final'!$O$18),"")</f>
        <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306"/>
      <c r="C47" s="306"/>
      <c r="D47" s="307"/>
      <c r="E47" s="363"/>
      <c r="F47" s="348"/>
      <c r="G47" s="348"/>
      <c r="H47" s="348"/>
      <c r="I47" s="349"/>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306"/>
      <c r="C48" s="306"/>
      <c r="D48" s="307"/>
      <c r="E48" s="363"/>
      <c r="F48" s="348"/>
      <c r="G48" s="348"/>
      <c r="H48" s="348"/>
      <c r="I48" s="349"/>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306"/>
      <c r="C49" s="306"/>
      <c r="D49" s="307"/>
      <c r="E49" s="347"/>
      <c r="F49" s="348"/>
      <c r="G49" s="348"/>
      <c r="H49" s="348"/>
      <c r="I49" s="349"/>
      <c r="J49" s="62" t="e">
        <f>IF(AND('Mapa final'!#REF!="Muy Baja",'Mapa final'!#REF!="Leve"),CONCATENATE("R4C",'Mapa final'!#REF!),"")</f>
        <v>#REF!</v>
      </c>
      <c r="K49" s="63" t="e">
        <f>IF(AND('Mapa final'!#REF!="Muy Baja",'Mapa final'!#REF!="Leve"),CONCATENATE("R4C",'Mapa final'!#REF!),"")</f>
        <v>#REF!</v>
      </c>
      <c r="L49" s="63" t="e">
        <f>IF(AND('Mapa final'!#REF!="Muy Baja",'Mapa final'!#REF!="Leve"),CONCATENATE("R4C",'Mapa final'!#REF!),"")</f>
        <v>#REF!</v>
      </c>
      <c r="M49" s="63" t="e">
        <f>IF(AND('Mapa final'!#REF!="Muy Baja",'Mapa final'!#REF!="Leve"),CONCATENATE("R4C",'Mapa final'!#REF!),"")</f>
        <v>#REF!</v>
      </c>
      <c r="N49" s="63" t="e">
        <f>IF(AND('Mapa final'!#REF!="Muy Baja",'Mapa final'!#REF!="Leve"),CONCATENATE("R4C",'Mapa final'!#REF!),"")</f>
        <v>#REF!</v>
      </c>
      <c r="O49" s="64" t="e">
        <f>IF(AND('Mapa final'!#REF!="Muy Baja",'Mapa final'!#REF!="Leve"),CONCATENATE("R4C",'Mapa final'!#REF!),"")</f>
        <v>#REF!</v>
      </c>
      <c r="P49" s="62" t="e">
        <f>IF(AND('Mapa final'!#REF!="Muy Baja",'Mapa final'!#REF!="Menor"),CONCATENATE("R4C",'Mapa final'!#REF!),"")</f>
        <v>#REF!</v>
      </c>
      <c r="Q49" s="63" t="e">
        <f>IF(AND('Mapa final'!#REF!="Muy Baja",'Mapa final'!#REF!="Menor"),CONCATENATE("R4C",'Mapa final'!#REF!),"")</f>
        <v>#REF!</v>
      </c>
      <c r="R49" s="63" t="e">
        <f>IF(AND('Mapa final'!#REF!="Muy Baja",'Mapa final'!#REF!="Menor"),CONCATENATE("R4C",'Mapa final'!#REF!),"")</f>
        <v>#REF!</v>
      </c>
      <c r="S49" s="63" t="e">
        <f>IF(AND('Mapa final'!#REF!="Muy Baja",'Mapa final'!#REF!="Menor"),CONCATENATE("R4C",'Mapa final'!#REF!),"")</f>
        <v>#REF!</v>
      </c>
      <c r="T49" s="63" t="e">
        <f>IF(AND('Mapa final'!#REF!="Muy Baja",'Mapa final'!#REF!="Menor"),CONCATENATE("R4C",'Mapa final'!#REF!),"")</f>
        <v>#REF!</v>
      </c>
      <c r="U49" s="64" t="e">
        <f>IF(AND('Mapa final'!#REF!="Muy Baja",'Mapa final'!#REF!="Menor"),CONCATENATE("R4C",'Mapa final'!#REF!),"")</f>
        <v>#REF!</v>
      </c>
      <c r="V49" s="53" t="e">
        <f>IF(AND('Mapa final'!#REF!="Muy Baja",'Mapa final'!#REF!="Moderado"),CONCATENATE("R4C",'Mapa final'!#REF!),"")</f>
        <v>#REF!</v>
      </c>
      <c r="W49" s="54" t="e">
        <f>IF(AND('Mapa final'!#REF!="Muy Baja",'Mapa final'!#REF!="Moderado"),CONCATENATE("R4C",'Mapa final'!#REF!),"")</f>
        <v>#REF!</v>
      </c>
      <c r="X49" s="54" t="e">
        <f>IF(AND('Mapa final'!#REF!="Muy Baja",'Mapa final'!#REF!="Moderado"),CONCATENATE("R4C",'Mapa final'!#REF!),"")</f>
        <v>#REF!</v>
      </c>
      <c r="Y49" s="54" t="e">
        <f>IF(AND('Mapa final'!#REF!="Muy Baja",'Mapa final'!#REF!="Moderado"),CONCATENATE("R4C",'Mapa final'!#REF!),"")</f>
        <v>#REF!</v>
      </c>
      <c r="Z49" s="54" t="e">
        <f>IF(AND('Mapa final'!#REF!="Muy Baja",'Mapa final'!#REF!="Moderado"),CONCATENATE("R4C",'Mapa final'!#REF!),"")</f>
        <v>#REF!</v>
      </c>
      <c r="AA49" s="55" t="e">
        <f>IF(AND('Mapa final'!#REF!="Muy Baja",'Mapa final'!#REF!="Moderado"),CONCATENATE("R4C",'Mapa final'!#REF!),"")</f>
        <v>#REF!</v>
      </c>
      <c r="AB49" s="38" t="e">
        <f>IF(AND('Mapa final'!#REF!="Muy Baja",'Mapa final'!#REF!="Mayor"),CONCATENATE("R4C",'Mapa final'!#REF!),"")</f>
        <v>#REF!</v>
      </c>
      <c r="AC49" s="39" t="e">
        <f>IF(AND('Mapa final'!#REF!="Muy Baja",'Mapa final'!#REF!="Mayor"),CONCATENATE("R4C",'Mapa final'!#REF!),"")</f>
        <v>#REF!</v>
      </c>
      <c r="AD49" s="39" t="e">
        <f>IF(AND('Mapa final'!#REF!="Muy Baja",'Mapa final'!#REF!="Mayor"),CONCATENATE("R4C",'Mapa final'!#REF!),"")</f>
        <v>#REF!</v>
      </c>
      <c r="AE49" s="39" t="e">
        <f>IF(AND('Mapa final'!#REF!="Muy Baja",'Mapa final'!#REF!="Mayor"),CONCATENATE("R4C",'Mapa final'!#REF!),"")</f>
        <v>#REF!</v>
      </c>
      <c r="AF49" s="39" t="e">
        <f>IF(AND('Mapa final'!#REF!="Muy Baja",'Mapa final'!#REF!="Mayor"),CONCATENATE("R4C",'Mapa final'!#REF!),"")</f>
        <v>#REF!</v>
      </c>
      <c r="AG49" s="40" t="e">
        <f>IF(AND('Mapa final'!#REF!="Muy Baja",'Mapa final'!#REF!="Mayor"),CONCATENATE("R4C",'Mapa final'!#REF!),"")</f>
        <v>#REF!</v>
      </c>
      <c r="AH49" s="41" t="e">
        <f>IF(AND('Mapa final'!#REF!="Muy Baja",'Mapa final'!#REF!="Catastrófico"),CONCATENATE("R4C",'Mapa final'!#REF!),"")</f>
        <v>#REF!</v>
      </c>
      <c r="AI49" s="42" t="e">
        <f>IF(AND('Mapa final'!#REF!="Muy Baja",'Mapa final'!#REF!="Catastrófico"),CONCATENATE("R4C",'Mapa final'!#REF!),"")</f>
        <v>#REF!</v>
      </c>
      <c r="AJ49" s="42" t="e">
        <f>IF(AND('Mapa final'!#REF!="Muy Baja",'Mapa final'!#REF!="Catastrófico"),CONCATENATE("R4C",'Mapa final'!#REF!),"")</f>
        <v>#REF!</v>
      </c>
      <c r="AK49" s="42" t="e">
        <f>IF(AND('Mapa final'!#REF!="Muy Baja",'Mapa final'!#REF!="Catastrófico"),CONCATENATE("R4C",'Mapa final'!#REF!),"")</f>
        <v>#REF!</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306"/>
      <c r="C50" s="306"/>
      <c r="D50" s="307"/>
      <c r="E50" s="347"/>
      <c r="F50" s="348"/>
      <c r="G50" s="348"/>
      <c r="H50" s="348"/>
      <c r="I50" s="349"/>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306"/>
      <c r="C51" s="306"/>
      <c r="D51" s="307"/>
      <c r="E51" s="347"/>
      <c r="F51" s="348"/>
      <c r="G51" s="348"/>
      <c r="H51" s="348"/>
      <c r="I51" s="349"/>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306"/>
      <c r="C52" s="306"/>
      <c r="D52" s="307"/>
      <c r="E52" s="347"/>
      <c r="F52" s="348"/>
      <c r="G52" s="348"/>
      <c r="H52" s="348"/>
      <c r="I52" s="349"/>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306"/>
      <c r="C53" s="306"/>
      <c r="D53" s="307"/>
      <c r="E53" s="347"/>
      <c r="F53" s="348"/>
      <c r="G53" s="348"/>
      <c r="H53" s="348"/>
      <c r="I53" s="349"/>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306"/>
      <c r="C54" s="306"/>
      <c r="D54" s="307"/>
      <c r="E54" s="347"/>
      <c r="F54" s="348"/>
      <c r="G54" s="348"/>
      <c r="H54" s="348"/>
      <c r="I54" s="349"/>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306"/>
      <c r="C55" s="306"/>
      <c r="D55" s="307"/>
      <c r="E55" s="350"/>
      <c r="F55" s="351"/>
      <c r="G55" s="351"/>
      <c r="H55" s="351"/>
      <c r="I55" s="352"/>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44" t="s">
        <v>110</v>
      </c>
      <c r="K56" s="345"/>
      <c r="L56" s="345"/>
      <c r="M56" s="345"/>
      <c r="N56" s="345"/>
      <c r="O56" s="346"/>
      <c r="P56" s="344" t="s">
        <v>109</v>
      </c>
      <c r="Q56" s="345"/>
      <c r="R56" s="345"/>
      <c r="S56" s="345"/>
      <c r="T56" s="345"/>
      <c r="U56" s="346"/>
      <c r="V56" s="344" t="s">
        <v>108</v>
      </c>
      <c r="W56" s="345"/>
      <c r="X56" s="345"/>
      <c r="Y56" s="345"/>
      <c r="Z56" s="345"/>
      <c r="AA56" s="346"/>
      <c r="AB56" s="344" t="s">
        <v>107</v>
      </c>
      <c r="AC56" s="353"/>
      <c r="AD56" s="345"/>
      <c r="AE56" s="345"/>
      <c r="AF56" s="345"/>
      <c r="AG56" s="346"/>
      <c r="AH56" s="344" t="s">
        <v>106</v>
      </c>
      <c r="AI56" s="345"/>
      <c r="AJ56" s="345"/>
      <c r="AK56" s="345"/>
      <c r="AL56" s="345"/>
      <c r="AM56" s="346"/>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47"/>
      <c r="K57" s="348"/>
      <c r="L57" s="348"/>
      <c r="M57" s="348"/>
      <c r="N57" s="348"/>
      <c r="O57" s="349"/>
      <c r="P57" s="347"/>
      <c r="Q57" s="348"/>
      <c r="R57" s="348"/>
      <c r="S57" s="348"/>
      <c r="T57" s="348"/>
      <c r="U57" s="349"/>
      <c r="V57" s="347"/>
      <c r="W57" s="348"/>
      <c r="X57" s="348"/>
      <c r="Y57" s="348"/>
      <c r="Z57" s="348"/>
      <c r="AA57" s="349"/>
      <c r="AB57" s="347"/>
      <c r="AC57" s="348"/>
      <c r="AD57" s="348"/>
      <c r="AE57" s="348"/>
      <c r="AF57" s="348"/>
      <c r="AG57" s="349"/>
      <c r="AH57" s="347"/>
      <c r="AI57" s="348"/>
      <c r="AJ57" s="348"/>
      <c r="AK57" s="348"/>
      <c r="AL57" s="348"/>
      <c r="AM57" s="34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47"/>
      <c r="K58" s="348"/>
      <c r="L58" s="348"/>
      <c r="M58" s="348"/>
      <c r="N58" s="348"/>
      <c r="O58" s="349"/>
      <c r="P58" s="347"/>
      <c r="Q58" s="348"/>
      <c r="R58" s="348"/>
      <c r="S58" s="348"/>
      <c r="T58" s="348"/>
      <c r="U58" s="349"/>
      <c r="V58" s="347"/>
      <c r="W58" s="348"/>
      <c r="X58" s="348"/>
      <c r="Y58" s="348"/>
      <c r="Z58" s="348"/>
      <c r="AA58" s="349"/>
      <c r="AB58" s="347"/>
      <c r="AC58" s="348"/>
      <c r="AD58" s="348"/>
      <c r="AE58" s="348"/>
      <c r="AF58" s="348"/>
      <c r="AG58" s="349"/>
      <c r="AH58" s="347"/>
      <c r="AI58" s="348"/>
      <c r="AJ58" s="348"/>
      <c r="AK58" s="348"/>
      <c r="AL58" s="348"/>
      <c r="AM58" s="34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47"/>
      <c r="K59" s="348"/>
      <c r="L59" s="348"/>
      <c r="M59" s="348"/>
      <c r="N59" s="348"/>
      <c r="O59" s="349"/>
      <c r="P59" s="347"/>
      <c r="Q59" s="348"/>
      <c r="R59" s="348"/>
      <c r="S59" s="348"/>
      <c r="T59" s="348"/>
      <c r="U59" s="349"/>
      <c r="V59" s="347"/>
      <c r="W59" s="348"/>
      <c r="X59" s="348"/>
      <c r="Y59" s="348"/>
      <c r="Z59" s="348"/>
      <c r="AA59" s="349"/>
      <c r="AB59" s="347"/>
      <c r="AC59" s="348"/>
      <c r="AD59" s="348"/>
      <c r="AE59" s="348"/>
      <c r="AF59" s="348"/>
      <c r="AG59" s="349"/>
      <c r="AH59" s="347"/>
      <c r="AI59" s="348"/>
      <c r="AJ59" s="348"/>
      <c r="AK59" s="348"/>
      <c r="AL59" s="348"/>
      <c r="AM59" s="34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47"/>
      <c r="K60" s="348"/>
      <c r="L60" s="348"/>
      <c r="M60" s="348"/>
      <c r="N60" s="348"/>
      <c r="O60" s="349"/>
      <c r="P60" s="347"/>
      <c r="Q60" s="348"/>
      <c r="R60" s="348"/>
      <c r="S60" s="348"/>
      <c r="T60" s="348"/>
      <c r="U60" s="349"/>
      <c r="V60" s="347"/>
      <c r="W60" s="348"/>
      <c r="X60" s="348"/>
      <c r="Y60" s="348"/>
      <c r="Z60" s="348"/>
      <c r="AA60" s="349"/>
      <c r="AB60" s="347"/>
      <c r="AC60" s="348"/>
      <c r="AD60" s="348"/>
      <c r="AE60" s="348"/>
      <c r="AF60" s="348"/>
      <c r="AG60" s="349"/>
      <c r="AH60" s="347"/>
      <c r="AI60" s="348"/>
      <c r="AJ60" s="348"/>
      <c r="AK60" s="348"/>
      <c r="AL60" s="348"/>
      <c r="AM60" s="34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50"/>
      <c r="K61" s="351"/>
      <c r="L61" s="351"/>
      <c r="M61" s="351"/>
      <c r="N61" s="351"/>
      <c r="O61" s="352"/>
      <c r="P61" s="350"/>
      <c r="Q61" s="351"/>
      <c r="R61" s="351"/>
      <c r="S61" s="351"/>
      <c r="T61" s="351"/>
      <c r="U61" s="352"/>
      <c r="V61" s="350"/>
      <c r="W61" s="351"/>
      <c r="X61" s="351"/>
      <c r="Y61" s="351"/>
      <c r="Z61" s="351"/>
      <c r="AA61" s="352"/>
      <c r="AB61" s="350"/>
      <c r="AC61" s="351"/>
      <c r="AD61" s="351"/>
      <c r="AE61" s="351"/>
      <c r="AF61" s="351"/>
      <c r="AG61" s="352"/>
      <c r="AH61" s="350"/>
      <c r="AI61" s="351"/>
      <c r="AJ61" s="351"/>
      <c r="AK61" s="351"/>
      <c r="AL61" s="351"/>
      <c r="AM61" s="352"/>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B6" sqref="B6:D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393" t="s">
        <v>53</v>
      </c>
      <c r="C1" s="393"/>
      <c r="D1" s="393"/>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50</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49</v>
      </c>
      <c r="C4" s="6" t="s">
        <v>100</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51</v>
      </c>
      <c r="C5" s="9" t="s">
        <v>101</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105</v>
      </c>
      <c r="C6" s="9" t="s">
        <v>102</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103</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52</v>
      </c>
      <c r="C8" s="9" t="s">
        <v>104</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zoomScale="60" zoomScaleNormal="60" workbookViewId="0">
      <selection activeCell="D30" sqref="D30"/>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394" t="s">
        <v>61</v>
      </c>
      <c r="C1" s="394"/>
      <c r="D1" s="394"/>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30" x14ac:dyDescent="0.25">
      <c r="A3" s="69"/>
      <c r="B3" s="90"/>
      <c r="C3" s="22" t="s">
        <v>54</v>
      </c>
      <c r="D3" s="22" t="s">
        <v>55</v>
      </c>
      <c r="E3" s="69"/>
      <c r="F3" s="69"/>
      <c r="G3" s="69"/>
      <c r="H3" s="69"/>
      <c r="I3" s="69"/>
      <c r="J3" s="69"/>
      <c r="K3" s="69"/>
      <c r="L3" s="69"/>
      <c r="M3" s="69"/>
      <c r="N3" s="69"/>
      <c r="O3" s="69"/>
      <c r="P3" s="69"/>
      <c r="Q3" s="69"/>
      <c r="R3" s="69"/>
      <c r="S3" s="69"/>
      <c r="T3" s="69"/>
      <c r="U3" s="69"/>
    </row>
    <row r="4" spans="1:21" ht="33.75" x14ac:dyDescent="0.25">
      <c r="A4" s="89" t="s">
        <v>81</v>
      </c>
      <c r="B4" s="25" t="s">
        <v>99</v>
      </c>
      <c r="C4" s="30" t="s">
        <v>154</v>
      </c>
      <c r="D4" s="23" t="s">
        <v>95</v>
      </c>
      <c r="E4" s="69"/>
      <c r="F4" s="69"/>
      <c r="G4" s="69"/>
      <c r="H4" s="69"/>
      <c r="I4" s="69"/>
      <c r="J4" s="69"/>
      <c r="K4" s="69"/>
      <c r="L4" s="69"/>
      <c r="M4" s="69"/>
      <c r="N4" s="69"/>
      <c r="O4" s="69"/>
      <c r="P4" s="69"/>
      <c r="Q4" s="69"/>
      <c r="R4" s="69"/>
      <c r="S4" s="69"/>
      <c r="T4" s="69"/>
      <c r="U4" s="69"/>
    </row>
    <row r="5" spans="1:21" ht="101.25" x14ac:dyDescent="0.25">
      <c r="A5" s="89" t="s">
        <v>82</v>
      </c>
      <c r="B5" s="26" t="s">
        <v>57</v>
      </c>
      <c r="C5" s="31" t="s">
        <v>91</v>
      </c>
      <c r="D5" s="24" t="s">
        <v>96</v>
      </c>
      <c r="E5" s="69"/>
      <c r="F5" s="69"/>
      <c r="G5" s="69"/>
      <c r="H5" s="69"/>
      <c r="I5" s="69"/>
      <c r="J5" s="69"/>
      <c r="K5" s="69"/>
      <c r="L5" s="69"/>
      <c r="M5" s="69"/>
      <c r="N5" s="69"/>
      <c r="O5" s="69"/>
      <c r="P5" s="69"/>
      <c r="Q5" s="69"/>
      <c r="R5" s="69"/>
      <c r="S5" s="69"/>
      <c r="T5" s="69"/>
      <c r="U5" s="69"/>
    </row>
    <row r="6" spans="1:21" ht="67.5" x14ac:dyDescent="0.25">
      <c r="A6" s="89" t="s">
        <v>79</v>
      </c>
      <c r="B6" s="27" t="s">
        <v>58</v>
      </c>
      <c r="C6" s="31" t="s">
        <v>92</v>
      </c>
      <c r="D6" s="24" t="s">
        <v>98</v>
      </c>
      <c r="E6" s="69"/>
      <c r="F6" s="69"/>
      <c r="G6" s="69"/>
      <c r="H6" s="69"/>
      <c r="I6" s="69"/>
      <c r="J6" s="69"/>
      <c r="K6" s="69"/>
      <c r="L6" s="69"/>
      <c r="M6" s="69"/>
      <c r="N6" s="69"/>
      <c r="O6" s="69"/>
      <c r="P6" s="69"/>
      <c r="Q6" s="69"/>
      <c r="R6" s="69"/>
      <c r="S6" s="69"/>
      <c r="T6" s="69"/>
      <c r="U6" s="69"/>
    </row>
    <row r="7" spans="1:21" ht="101.25" x14ac:dyDescent="0.25">
      <c r="A7" s="89" t="s">
        <v>7</v>
      </c>
      <c r="B7" s="28" t="s">
        <v>59</v>
      </c>
      <c r="C7" s="31" t="s">
        <v>93</v>
      </c>
      <c r="D7" s="24" t="s">
        <v>97</v>
      </c>
      <c r="E7" s="69"/>
      <c r="F7" s="69"/>
      <c r="G7" s="69"/>
      <c r="H7" s="69"/>
      <c r="I7" s="69"/>
      <c r="J7" s="69"/>
      <c r="K7" s="69"/>
      <c r="L7" s="69"/>
      <c r="M7" s="69"/>
      <c r="N7" s="69"/>
      <c r="O7" s="69"/>
      <c r="P7" s="69"/>
      <c r="Q7" s="69"/>
      <c r="R7" s="69"/>
      <c r="S7" s="69"/>
      <c r="T7" s="69"/>
      <c r="U7" s="69"/>
    </row>
    <row r="8" spans="1:21" ht="67.5" x14ac:dyDescent="0.25">
      <c r="A8" s="89" t="s">
        <v>83</v>
      </c>
      <c r="B8" s="29" t="s">
        <v>60</v>
      </c>
      <c r="C8" s="31" t="s">
        <v>94</v>
      </c>
      <c r="D8" s="24" t="s">
        <v>116</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89</v>
      </c>
      <c r="C11" s="89" t="s">
        <v>142</v>
      </c>
      <c r="D11" s="89" t="s">
        <v>149</v>
      </c>
      <c r="E11" s="69"/>
      <c r="F11" s="69"/>
      <c r="G11" s="69"/>
      <c r="H11" s="69"/>
      <c r="I11" s="69"/>
      <c r="J11" s="69"/>
      <c r="K11" s="69"/>
      <c r="L11" s="69"/>
      <c r="M11" s="69"/>
      <c r="N11" s="69"/>
      <c r="O11" s="69"/>
      <c r="P11" s="69"/>
      <c r="Q11" s="69"/>
      <c r="R11" s="69"/>
      <c r="S11" s="69"/>
      <c r="T11" s="69"/>
      <c r="U11" s="69"/>
    </row>
    <row r="12" spans="1:21" x14ac:dyDescent="0.25">
      <c r="A12" s="89"/>
      <c r="B12" s="89" t="s">
        <v>87</v>
      </c>
      <c r="C12" s="89" t="s">
        <v>146</v>
      </c>
      <c r="D12" s="89" t="s">
        <v>150</v>
      </c>
      <c r="E12" s="69"/>
      <c r="F12" s="69"/>
      <c r="G12" s="69"/>
      <c r="H12" s="69"/>
      <c r="I12" s="69"/>
      <c r="J12" s="69"/>
      <c r="K12" s="69"/>
      <c r="L12" s="69"/>
      <c r="M12" s="69"/>
      <c r="N12" s="69"/>
      <c r="O12" s="69"/>
      <c r="P12" s="69"/>
      <c r="Q12" s="69"/>
      <c r="R12" s="69"/>
      <c r="S12" s="69"/>
      <c r="T12" s="69"/>
      <c r="U12" s="69"/>
    </row>
    <row r="13" spans="1:21" x14ac:dyDescent="0.25">
      <c r="A13" s="89"/>
      <c r="B13" s="89"/>
      <c r="C13" s="89" t="s">
        <v>145</v>
      </c>
      <c r="D13" s="89" t="s">
        <v>151</v>
      </c>
      <c r="E13" s="69"/>
      <c r="F13" s="69"/>
      <c r="G13" s="69"/>
      <c r="H13" s="69"/>
      <c r="I13" s="69"/>
      <c r="J13" s="69"/>
      <c r="K13" s="69"/>
      <c r="L13" s="69"/>
      <c r="M13" s="69"/>
      <c r="N13" s="69"/>
      <c r="O13" s="69"/>
      <c r="P13" s="69"/>
      <c r="Q13" s="69"/>
      <c r="R13" s="69"/>
      <c r="S13" s="69"/>
      <c r="T13" s="69"/>
      <c r="U13" s="69"/>
    </row>
    <row r="14" spans="1:21" x14ac:dyDescent="0.25">
      <c r="A14" s="89"/>
      <c r="B14" s="89"/>
      <c r="C14" s="89" t="s">
        <v>147</v>
      </c>
      <c r="D14" s="89" t="s">
        <v>152</v>
      </c>
      <c r="E14" s="69"/>
      <c r="F14" s="69"/>
      <c r="G14" s="69"/>
      <c r="H14" s="69"/>
      <c r="I14" s="69"/>
      <c r="J14" s="69"/>
      <c r="K14" s="69"/>
      <c r="L14" s="69"/>
      <c r="M14" s="69"/>
      <c r="N14" s="69"/>
      <c r="O14" s="69"/>
      <c r="P14" s="69"/>
      <c r="Q14" s="69"/>
      <c r="R14" s="69"/>
      <c r="S14" s="69"/>
      <c r="T14" s="69"/>
      <c r="U14" s="69"/>
    </row>
    <row r="15" spans="1:21" x14ac:dyDescent="0.25">
      <c r="A15" s="89"/>
      <c r="B15" s="89"/>
      <c r="C15" s="89" t="s">
        <v>148</v>
      </c>
      <c r="D15" s="89" t="s">
        <v>153</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86</v>
      </c>
      <c r="C209" s="16" t="s">
        <v>141</v>
      </c>
      <c r="D209" s="19" t="s">
        <v>86</v>
      </c>
      <c r="E209" s="19" t="s">
        <v>141</v>
      </c>
    </row>
    <row r="210" spans="1:8" ht="21" x14ac:dyDescent="0.35">
      <c r="A210" s="69"/>
      <c r="B210" s="17" t="s">
        <v>88</v>
      </c>
      <c r="C210" s="17" t="s">
        <v>56</v>
      </c>
      <c r="D210" t="s">
        <v>88</v>
      </c>
      <c r="F210" t="str">
        <f>IF(NOT(ISBLANK(D210)),D210,IF(NOT(ISBLANK(E210)),"     "&amp;E210,FALSE))</f>
        <v>Afectación Económica o presupuestal</v>
      </c>
      <c r="G210" t="s">
        <v>88</v>
      </c>
      <c r="H210" t="str">
        <f>IF(NOT(ISERROR(MATCH(G210,_xlfn.ANCHORARRAY(B221),0))),F223&amp;"Por favor no seleccionar los criterios de impacto",G210)</f>
        <v>❌Por favor no seleccionar los criterios de impacto</v>
      </c>
    </row>
    <row r="211" spans="1:8" ht="21" x14ac:dyDescent="0.35">
      <c r="A211" s="69"/>
      <c r="B211" s="17" t="s">
        <v>88</v>
      </c>
      <c r="C211" s="17" t="s">
        <v>91</v>
      </c>
      <c r="E211" t="s">
        <v>56</v>
      </c>
      <c r="F211" t="str">
        <f t="shared" ref="F211:F221" si="0">IF(NOT(ISBLANK(D211)),D211,IF(NOT(ISBLANK(E211)),"     "&amp;E211,FALSE))</f>
        <v xml:space="preserve">     Afectación menor a 10 SMLMV .</v>
      </c>
    </row>
    <row r="212" spans="1:8" ht="21" x14ac:dyDescent="0.35">
      <c r="A212" s="69"/>
      <c r="B212" s="17" t="s">
        <v>88</v>
      </c>
      <c r="C212" s="17" t="s">
        <v>92</v>
      </c>
      <c r="E212" t="s">
        <v>91</v>
      </c>
      <c r="F212" t="str">
        <f t="shared" si="0"/>
        <v xml:space="preserve">     Entre 10 y 50 SMLMV </v>
      </c>
    </row>
    <row r="213" spans="1:8" ht="21" x14ac:dyDescent="0.35">
      <c r="A213" s="69"/>
      <c r="B213" s="17" t="s">
        <v>88</v>
      </c>
      <c r="C213" s="17" t="s">
        <v>93</v>
      </c>
      <c r="E213" t="s">
        <v>92</v>
      </c>
      <c r="F213" t="str">
        <f t="shared" si="0"/>
        <v xml:space="preserve">     Entre 50 y 100 SMLMV </v>
      </c>
    </row>
    <row r="214" spans="1:8" ht="21" x14ac:dyDescent="0.35">
      <c r="A214" s="69"/>
      <c r="B214" s="17" t="s">
        <v>88</v>
      </c>
      <c r="C214" s="17" t="s">
        <v>94</v>
      </c>
      <c r="E214" t="s">
        <v>93</v>
      </c>
      <c r="F214" t="str">
        <f t="shared" si="0"/>
        <v xml:space="preserve">     Entre 100 y 500 SMLMV </v>
      </c>
    </row>
    <row r="215" spans="1:8" ht="21" x14ac:dyDescent="0.35">
      <c r="A215" s="69"/>
      <c r="B215" s="17" t="s">
        <v>55</v>
      </c>
      <c r="C215" s="17" t="s">
        <v>95</v>
      </c>
      <c r="E215" t="s">
        <v>94</v>
      </c>
      <c r="F215" t="str">
        <f t="shared" si="0"/>
        <v xml:space="preserve">     Mayor a 500 SMLMV </v>
      </c>
    </row>
    <row r="216" spans="1:8" ht="21" x14ac:dyDescent="0.35">
      <c r="A216" s="69"/>
      <c r="B216" s="17" t="s">
        <v>55</v>
      </c>
      <c r="C216" s="17" t="s">
        <v>96</v>
      </c>
      <c r="D216" t="s">
        <v>55</v>
      </c>
      <c r="F216" t="str">
        <f t="shared" si="0"/>
        <v>Pérdida Reputacional</v>
      </c>
    </row>
    <row r="217" spans="1:8" ht="21" x14ac:dyDescent="0.35">
      <c r="A217" s="69"/>
      <c r="B217" s="17" t="s">
        <v>55</v>
      </c>
      <c r="C217" s="17" t="s">
        <v>98</v>
      </c>
      <c r="E217" t="s">
        <v>95</v>
      </c>
      <c r="F217" t="str">
        <f t="shared" si="0"/>
        <v xml:space="preserve">     El riesgo afecta la imagen de alguna área de la organización</v>
      </c>
    </row>
    <row r="218" spans="1:8" ht="21" x14ac:dyDescent="0.35">
      <c r="A218" s="69"/>
      <c r="B218" s="17" t="s">
        <v>55</v>
      </c>
      <c r="C218" s="17" t="s">
        <v>97</v>
      </c>
      <c r="E218" t="s">
        <v>96</v>
      </c>
      <c r="F218" t="str">
        <f t="shared" si="0"/>
        <v xml:space="preserve">     El riesgo afecta la imagen de la entidad internamente, de conocimiento general, nivel interno, de junta dircetiva y accionistas y/o de provedores</v>
      </c>
    </row>
    <row r="219" spans="1:8" ht="21" x14ac:dyDescent="0.35">
      <c r="A219" s="69"/>
      <c r="B219" s="17" t="s">
        <v>55</v>
      </c>
      <c r="C219" s="17" t="s">
        <v>116</v>
      </c>
      <c r="E219" t="s">
        <v>98</v>
      </c>
      <c r="F219" t="str">
        <f t="shared" si="0"/>
        <v xml:space="preserve">     El riesgo afecta la imagen de la entidad con algunos usuarios de relevancia frente al logro de los objetivos</v>
      </c>
    </row>
    <row r="220" spans="1:8" x14ac:dyDescent="0.25">
      <c r="A220" s="69"/>
      <c r="B220" s="18"/>
      <c r="C220" s="18"/>
      <c r="E220" t="s">
        <v>97</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116</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143</v>
      </c>
    </row>
    <row r="224" spans="1:8" x14ac:dyDescent="0.25">
      <c r="B224" s="14"/>
      <c r="C224" s="14"/>
      <c r="F224" s="21" t="s">
        <v>144</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workbookViewId="0">
      <selection activeCell="F9" sqref="F9"/>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395" t="s">
        <v>76</v>
      </c>
      <c r="C1" s="396"/>
      <c r="D1" s="396"/>
      <c r="E1" s="396"/>
      <c r="F1" s="397"/>
    </row>
    <row r="2" spans="2:6" ht="16.5" thickBot="1" x14ac:dyDescent="0.3">
      <c r="B2" s="75"/>
      <c r="C2" s="75"/>
      <c r="D2" s="75"/>
      <c r="E2" s="75"/>
      <c r="F2" s="75"/>
    </row>
    <row r="3" spans="2:6" ht="16.5" thickBot="1" x14ac:dyDescent="0.25">
      <c r="B3" s="399" t="s">
        <v>62</v>
      </c>
      <c r="C3" s="400"/>
      <c r="D3" s="400"/>
      <c r="E3" s="87" t="s">
        <v>63</v>
      </c>
      <c r="F3" s="88" t="s">
        <v>64</v>
      </c>
    </row>
    <row r="4" spans="2:6" ht="31.5" x14ac:dyDescent="0.2">
      <c r="B4" s="401" t="s">
        <v>65</v>
      </c>
      <c r="C4" s="403" t="s">
        <v>13</v>
      </c>
      <c r="D4" s="76" t="s">
        <v>14</v>
      </c>
      <c r="E4" s="77" t="s">
        <v>66</v>
      </c>
      <c r="F4" s="78">
        <v>0.25</v>
      </c>
    </row>
    <row r="5" spans="2:6" ht="47.25" x14ac:dyDescent="0.2">
      <c r="B5" s="402"/>
      <c r="C5" s="404"/>
      <c r="D5" s="79" t="s">
        <v>15</v>
      </c>
      <c r="E5" s="80" t="s">
        <v>67</v>
      </c>
      <c r="F5" s="81">
        <v>0.15</v>
      </c>
    </row>
    <row r="6" spans="2:6" ht="47.25" x14ac:dyDescent="0.2">
      <c r="B6" s="402"/>
      <c r="C6" s="404"/>
      <c r="D6" s="79" t="s">
        <v>16</v>
      </c>
      <c r="E6" s="80" t="s">
        <v>68</v>
      </c>
      <c r="F6" s="81">
        <v>0.1</v>
      </c>
    </row>
    <row r="7" spans="2:6" ht="63" x14ac:dyDescent="0.2">
      <c r="B7" s="402"/>
      <c r="C7" s="404" t="s">
        <v>17</v>
      </c>
      <c r="D7" s="79" t="s">
        <v>10</v>
      </c>
      <c r="E7" s="80" t="s">
        <v>69</v>
      </c>
      <c r="F7" s="81">
        <v>0.25</v>
      </c>
    </row>
    <row r="8" spans="2:6" ht="31.5" x14ac:dyDescent="0.2">
      <c r="B8" s="402"/>
      <c r="C8" s="404"/>
      <c r="D8" s="79" t="s">
        <v>9</v>
      </c>
      <c r="E8" s="80" t="s">
        <v>70</v>
      </c>
      <c r="F8" s="81">
        <v>0.15</v>
      </c>
    </row>
    <row r="9" spans="2:6" ht="47.25" x14ac:dyDescent="0.2">
      <c r="B9" s="402" t="s">
        <v>158</v>
      </c>
      <c r="C9" s="404" t="s">
        <v>18</v>
      </c>
      <c r="D9" s="79" t="s">
        <v>19</v>
      </c>
      <c r="E9" s="80" t="s">
        <v>71</v>
      </c>
      <c r="F9" s="82" t="s">
        <v>72</v>
      </c>
    </row>
    <row r="10" spans="2:6" ht="63" x14ac:dyDescent="0.2">
      <c r="B10" s="402"/>
      <c r="C10" s="404"/>
      <c r="D10" s="79" t="s">
        <v>20</v>
      </c>
      <c r="E10" s="80" t="s">
        <v>73</v>
      </c>
      <c r="F10" s="82" t="s">
        <v>72</v>
      </c>
    </row>
    <row r="11" spans="2:6" ht="47.25" x14ac:dyDescent="0.2">
      <c r="B11" s="402"/>
      <c r="C11" s="404" t="s">
        <v>21</v>
      </c>
      <c r="D11" s="79" t="s">
        <v>22</v>
      </c>
      <c r="E11" s="80" t="s">
        <v>74</v>
      </c>
      <c r="F11" s="82" t="s">
        <v>72</v>
      </c>
    </row>
    <row r="12" spans="2:6" ht="47.25" x14ac:dyDescent="0.2">
      <c r="B12" s="402"/>
      <c r="C12" s="404"/>
      <c r="D12" s="79" t="s">
        <v>23</v>
      </c>
      <c r="E12" s="80" t="s">
        <v>75</v>
      </c>
      <c r="F12" s="82" t="s">
        <v>72</v>
      </c>
    </row>
    <row r="13" spans="2:6" ht="31.5" x14ac:dyDescent="0.2">
      <c r="B13" s="402"/>
      <c r="C13" s="404" t="s">
        <v>24</v>
      </c>
      <c r="D13" s="79" t="s">
        <v>117</v>
      </c>
      <c r="E13" s="80" t="s">
        <v>120</v>
      </c>
      <c r="F13" s="82" t="s">
        <v>72</v>
      </c>
    </row>
    <row r="14" spans="2:6" ht="32.25" thickBot="1" x14ac:dyDescent="0.25">
      <c r="B14" s="405"/>
      <c r="C14" s="406"/>
      <c r="D14" s="83" t="s">
        <v>118</v>
      </c>
      <c r="E14" s="84" t="s">
        <v>119</v>
      </c>
      <c r="F14" s="85" t="s">
        <v>72</v>
      </c>
    </row>
    <row r="15" spans="2:6" ht="49.5" customHeight="1" x14ac:dyDescent="0.2">
      <c r="B15" s="398" t="s">
        <v>155</v>
      </c>
      <c r="C15" s="398"/>
      <c r="D15" s="398"/>
      <c r="E15" s="398"/>
      <c r="F15" s="398"/>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130</v>
      </c>
    </row>
    <row r="3" spans="2:5" x14ac:dyDescent="0.25">
      <c r="B3" t="s">
        <v>32</v>
      </c>
      <c r="E3" t="s">
        <v>129</v>
      </c>
    </row>
    <row r="4" spans="2:5" x14ac:dyDescent="0.25">
      <c r="B4" t="s">
        <v>134</v>
      </c>
      <c r="E4" t="s">
        <v>131</v>
      </c>
    </row>
    <row r="5" spans="2:5" x14ac:dyDescent="0.25">
      <c r="B5" t="s">
        <v>133</v>
      </c>
    </row>
    <row r="8" spans="2:5" x14ac:dyDescent="0.25">
      <c r="B8" t="s">
        <v>84</v>
      </c>
    </row>
    <row r="9" spans="2:5" x14ac:dyDescent="0.25">
      <c r="B9" t="s">
        <v>38</v>
      </c>
    </row>
    <row r="10" spans="2:5" x14ac:dyDescent="0.25">
      <c r="B10" t="s">
        <v>39</v>
      </c>
    </row>
    <row r="13" spans="2:5" x14ac:dyDescent="0.25">
      <c r="B13" t="s">
        <v>127</v>
      </c>
    </row>
    <row r="14" spans="2:5" x14ac:dyDescent="0.25">
      <c r="B14" t="s">
        <v>121</v>
      </c>
    </row>
    <row r="15" spans="2:5" x14ac:dyDescent="0.25">
      <c r="B15" t="s">
        <v>124</v>
      </c>
    </row>
    <row r="16" spans="2:5" x14ac:dyDescent="0.25">
      <c r="B16" t="s">
        <v>122</v>
      </c>
    </row>
    <row r="17" spans="2:2" x14ac:dyDescent="0.25">
      <c r="B17" t="s">
        <v>123</v>
      </c>
    </row>
    <row r="18" spans="2:2" x14ac:dyDescent="0.25">
      <c r="B18" t="s">
        <v>125</v>
      </c>
    </row>
    <row r="19" spans="2:2" x14ac:dyDescent="0.25">
      <c r="B19" t="s">
        <v>126</v>
      </c>
    </row>
  </sheetData>
  <sortState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38</v>
      </c>
    </row>
    <row r="21" spans="1:1" x14ac:dyDescent="0.2">
      <c r="A21"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cp:lastPrinted>2020-05-13T01:12:22Z</cp:lastPrinted>
  <dcterms:created xsi:type="dcterms:W3CDTF">2020-03-24T23:12:47Z</dcterms:created>
  <dcterms:modified xsi:type="dcterms:W3CDTF">2026-02-25T18:25:59Z</dcterms:modified>
</cp:coreProperties>
</file>