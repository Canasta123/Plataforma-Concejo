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30.30.30.51\compartida\SGC CONCEJO CHIA\6. Riesgos y oportunidades\Riesgos\Matrices de Riesgos 2026\Riesgos Gestión de Evaluacion Independiente\"/>
    </mc:Choice>
  </mc:AlternateContent>
  <xr:revisionPtr revIDLastSave="0" documentId="13_ncr:1_{89576F99-C91D-4B55-A429-33EC442AF11D}" xr6:coauthVersionLast="47" xr6:coauthVersionMax="47" xr10:uidLastSave="{00000000-0000-0000-0000-000000000000}"/>
  <bookViews>
    <workbookView xWindow="-120" yWindow="-120" windowWidth="29040" windowHeight="15720" tabRatio="882" activeTab="1" xr2:uid="{00000000-000D-0000-FFFF-FFFF00000000}"/>
  </bookViews>
  <sheets>
    <sheet name="Intructivo" sheetId="20" r:id="rId1"/>
    <sheet name="Mapa final" sheetId="1" r:id="rId2"/>
    <sheet name="EJEMPLOS" sheetId="21" r:id="rId3"/>
    <sheet name="Matriz Calor Inherente" sheetId="18" r:id="rId4"/>
    <sheet name="Matriz Calor Residual" sheetId="19" r:id="rId5"/>
    <sheet name="Tabla probabilidad" sheetId="12" r:id="rId6"/>
    <sheet name="Tabla Impacto" sheetId="13" r:id="rId7"/>
    <sheet name="Tabla Valoración controles" sheetId="15" r:id="rId8"/>
    <sheet name="Opciones Tratamiento" sheetId="16" state="hidden" r:id="rId9"/>
    <sheet name="Hoja1" sheetId="11" state="hidden" r:id="rId10"/>
  </sheet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K17" i="1"/>
  <c r="K16" i="1"/>
  <c r="K15" i="1"/>
  <c r="K14" i="1"/>
  <c r="K13" i="1"/>
  <c r="H13" i="1"/>
  <c r="T15" i="1"/>
  <c r="Q15" i="1"/>
  <c r="T14" i="1"/>
  <c r="Q14" i="1"/>
  <c r="T13" i="1"/>
  <c r="Q13" i="1"/>
  <c r="I13" i="1" l="1"/>
  <c r="AB14" i="1"/>
  <c r="AB15" i="1"/>
  <c r="F221" i="13"/>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X13" i="1" l="1"/>
  <c r="Y13" i="1" s="1"/>
  <c r="Z13" i="1" l="1"/>
  <c r="X14" i="1" s="1"/>
  <c r="Z14" i="1" l="1"/>
  <c r="X15" i="1" s="1"/>
  <c r="Z15" i="1" l="1"/>
  <c r="X16" i="1"/>
  <c r="X17" i="1" l="1"/>
  <c r="X18" i="1" l="1"/>
  <c r="AD38" i="18" l="1"/>
  <c r="L30" i="18"/>
  <c r="AD30" i="18"/>
  <c r="AJ6" i="18"/>
  <c r="L14" i="18"/>
  <c r="L22" i="18"/>
  <c r="X6" i="18"/>
  <c r="L6" i="18"/>
  <c r="R38" i="18"/>
  <c r="AJ38" i="18"/>
  <c r="L38" i="18"/>
  <c r="AD6" i="18"/>
  <c r="R6" i="18"/>
  <c r="AJ30" i="18"/>
  <c r="R30" i="18"/>
  <c r="AD22" i="18"/>
  <c r="AJ14" i="18"/>
  <c r="AJ22" i="18"/>
  <c r="AD14" i="18"/>
  <c r="X38" i="18"/>
  <c r="X14" i="18"/>
  <c r="R22" i="18"/>
  <c r="X22" i="18"/>
  <c r="R14" i="18"/>
  <c r="X30" i="18"/>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L16" i="18" l="1"/>
  <c r="R40" i="18"/>
  <c r="R24" i="18"/>
  <c r="L40" i="18"/>
  <c r="L8" i="18"/>
  <c r="X16" i="18"/>
  <c r="AJ8" i="18"/>
  <c r="AD16" i="18"/>
  <c r="X32" i="18"/>
  <c r="R32" i="18"/>
  <c r="AJ40" i="18"/>
  <c r="AJ16" i="18"/>
  <c r="R16" i="18"/>
  <c r="R8" i="18"/>
  <c r="AD40" i="18"/>
  <c r="L32" i="18"/>
  <c r="AD32" i="18"/>
  <c r="AJ32" i="18"/>
  <c r="AD24" i="18"/>
  <c r="AD8" i="18"/>
  <c r="L24" i="18"/>
  <c r="X40" i="18"/>
  <c r="X24" i="18"/>
  <c r="AJ24" i="18"/>
  <c r="X8" i="18"/>
  <c r="Z42" i="18"/>
  <c r="AF18" i="18"/>
  <c r="T18" i="18"/>
  <c r="Z26" i="18"/>
  <c r="AF34" i="18"/>
  <c r="AL34" i="18"/>
  <c r="AF42" i="18"/>
  <c r="N26" i="18"/>
  <c r="T42" i="18"/>
  <c r="Z34" i="18"/>
  <c r="N42" i="18"/>
  <c r="T10" i="18"/>
  <c r="Z18" i="18"/>
  <c r="AL10" i="18"/>
  <c r="AL42" i="18"/>
  <c r="AL26" i="18"/>
  <c r="T34" i="18"/>
  <c r="N10" i="18"/>
  <c r="AF26" i="18"/>
  <c r="N34" i="18"/>
  <c r="Z10" i="18"/>
  <c r="N18" i="18"/>
  <c r="AF10" i="18"/>
  <c r="T26" i="18"/>
  <c r="AL18" i="18"/>
  <c r="AH12" i="18"/>
  <c r="V12" i="18"/>
  <c r="J20" i="18"/>
  <c r="V28" i="18"/>
  <c r="J44" i="18"/>
  <c r="AH44" i="18"/>
  <c r="AB28" i="18"/>
  <c r="AB44" i="18"/>
  <c r="J36" i="18"/>
  <c r="P28" i="18"/>
  <c r="AH28" i="18"/>
  <c r="V36" i="18"/>
  <c r="P12" i="18"/>
  <c r="V20" i="18"/>
  <c r="AB36" i="18"/>
  <c r="J12" i="18"/>
  <c r="V44" i="18"/>
  <c r="AH20" i="18"/>
  <c r="AB20" i="18"/>
  <c r="P44" i="18"/>
  <c r="J28" i="18"/>
  <c r="AB12" i="18"/>
  <c r="P20" i="18"/>
  <c r="P36" i="18"/>
  <c r="AH36" i="18"/>
  <c r="J40" i="18"/>
  <c r="J8" i="18"/>
  <c r="AB40" i="18"/>
  <c r="AB32" i="18"/>
  <c r="AH32" i="18"/>
  <c r="AB8" i="18"/>
  <c r="AB24" i="18"/>
  <c r="AB16" i="18"/>
  <c r="AH8" i="18"/>
  <c r="J16" i="18"/>
  <c r="J24" i="18"/>
  <c r="P32" i="18"/>
  <c r="J32" i="18"/>
  <c r="V24" i="18"/>
  <c r="P8" i="18"/>
  <c r="P24" i="18"/>
  <c r="V8" i="18"/>
  <c r="V40" i="18"/>
  <c r="P16" i="18"/>
  <c r="AH16" i="18"/>
  <c r="P40" i="18"/>
  <c r="V16" i="18"/>
  <c r="V32" i="18"/>
  <c r="AH24" i="18"/>
  <c r="AH40" i="18"/>
  <c r="AF30" i="18"/>
  <c r="T14" i="18"/>
  <c r="Z22" i="18"/>
  <c r="AL38" i="18"/>
  <c r="T30" i="18"/>
  <c r="N14" i="18"/>
  <c r="AL30" i="18"/>
  <c r="AL22" i="18"/>
  <c r="T38" i="18"/>
  <c r="AL6" i="18"/>
  <c r="T22" i="18"/>
  <c r="Z14" i="18"/>
  <c r="AL14" i="18"/>
  <c r="Z38" i="18"/>
  <c r="N22" i="18"/>
  <c r="N30" i="18"/>
  <c r="AF22" i="18"/>
  <c r="Z6" i="18"/>
  <c r="N6" i="18"/>
  <c r="AF6" i="18"/>
  <c r="AF14" i="18"/>
  <c r="AF38" i="18"/>
  <c r="N38" i="18"/>
  <c r="Z30" i="18"/>
  <c r="T6" i="18"/>
  <c r="AB38" i="18"/>
  <c r="AB22" i="18"/>
  <c r="P22" i="18"/>
  <c r="V30" i="18"/>
  <c r="AB30" i="18"/>
  <c r="AB14" i="18"/>
  <c r="AB13" i="1"/>
  <c r="AA13" i="1" s="1"/>
  <c r="AH14" i="18"/>
  <c r="AH22" i="18"/>
  <c r="P6" i="18"/>
  <c r="AH30" i="18"/>
  <c r="J30" i="18"/>
  <c r="J22" i="18"/>
  <c r="P38" i="18"/>
  <c r="V38" i="18"/>
  <c r="AB6" i="18"/>
  <c r="J6" i="18"/>
  <c r="P30" i="18"/>
  <c r="J14" i="18"/>
  <c r="P14" i="18"/>
  <c r="J38" i="18"/>
  <c r="V22" i="18"/>
  <c r="AH6" i="18"/>
  <c r="V14" i="18"/>
  <c r="V6" i="18"/>
  <c r="AH38" i="18"/>
  <c r="R34" i="18"/>
  <c r="X42" i="18"/>
  <c r="L34" i="18"/>
  <c r="AD34" i="18"/>
  <c r="AJ42" i="18"/>
  <c r="AD10" i="18"/>
  <c r="R10" i="18"/>
  <c r="X10" i="18"/>
  <c r="L18" i="18"/>
  <c r="R42" i="18"/>
  <c r="L42" i="18"/>
  <c r="X26" i="18"/>
  <c r="L26" i="18"/>
  <c r="AJ18" i="18"/>
  <c r="X18" i="18"/>
  <c r="AJ34" i="18"/>
  <c r="R26" i="18"/>
  <c r="L10" i="18"/>
  <c r="AJ26" i="18"/>
  <c r="R18" i="18"/>
  <c r="X34" i="18"/>
  <c r="AJ10" i="18"/>
  <c r="AD26" i="18"/>
  <c r="AD42" i="18"/>
  <c r="AD18" i="18"/>
  <c r="AH42" i="18"/>
  <c r="V18" i="18"/>
  <c r="AB26" i="18"/>
  <c r="AB34" i="18"/>
  <c r="AH26" i="18"/>
  <c r="AB42" i="18"/>
  <c r="V26" i="18"/>
  <c r="P34" i="18"/>
  <c r="P10" i="18"/>
  <c r="P18" i="18"/>
  <c r="AH18" i="18"/>
  <c r="V42" i="18"/>
  <c r="J34" i="18"/>
  <c r="P26" i="18"/>
  <c r="J10" i="18"/>
  <c r="V10" i="18"/>
  <c r="J26" i="18"/>
  <c r="V34" i="18"/>
  <c r="P42" i="18"/>
  <c r="AB10" i="18"/>
  <c r="J42" i="18"/>
  <c r="J18" i="18"/>
  <c r="AB18" i="18"/>
  <c r="AH34" i="18"/>
  <c r="AH10" i="18"/>
  <c r="AL40" i="18"/>
  <c r="Z16" i="18"/>
  <c r="T8" i="18"/>
  <c r="T24" i="18"/>
  <c r="AF16" i="18"/>
  <c r="AL24" i="18"/>
  <c r="N24" i="18"/>
  <c r="T32" i="18"/>
  <c r="T40" i="18"/>
  <c r="Z32" i="18"/>
  <c r="N8" i="18"/>
  <c r="N32" i="18"/>
  <c r="N16" i="18"/>
  <c r="Z8" i="18"/>
  <c r="AF24" i="18"/>
  <c r="T16" i="18"/>
  <c r="AF40" i="18"/>
  <c r="AF32" i="18"/>
  <c r="AL8" i="18"/>
  <c r="AL32" i="18"/>
  <c r="Z24" i="18"/>
  <c r="AF8" i="18"/>
  <c r="N40" i="18"/>
  <c r="Z40" i="18"/>
  <c r="AL16" i="18"/>
  <c r="P16" i="19" l="1"/>
  <c r="V26" i="19"/>
  <c r="P6" i="19"/>
  <c r="AH36" i="19"/>
  <c r="AH6" i="19"/>
  <c r="P26" i="19"/>
  <c r="V46" i="19"/>
  <c r="V16" i="19"/>
  <c r="AH46" i="19"/>
  <c r="V36" i="19"/>
  <c r="AB46" i="19"/>
  <c r="AC13" i="1"/>
  <c r="AB16" i="19"/>
  <c r="AH26" i="19"/>
  <c r="J16" i="19"/>
  <c r="AB36" i="19"/>
  <c r="J6" i="19"/>
  <c r="AB6" i="19"/>
  <c r="P46" i="19"/>
  <c r="P36" i="19"/>
  <c r="AB26" i="19"/>
  <c r="J36" i="19"/>
  <c r="AH16" i="19"/>
  <c r="J26" i="19"/>
  <c r="V6" i="19"/>
  <c r="J46" i="19"/>
  <c r="V25" i="19"/>
  <c r="AH15" i="19"/>
  <c r="V45" i="19"/>
  <c r="V35" i="19"/>
  <c r="J15" i="19"/>
  <c r="J55" i="19"/>
  <c r="AB45" i="19"/>
  <c r="AH25" i="19"/>
  <c r="AB55" i="19"/>
  <c r="AH55" i="19"/>
  <c r="AB15" i="19"/>
  <c r="AB25" i="19"/>
  <c r="P15" i="19"/>
  <c r="AH35" i="19"/>
  <c r="J25" i="19"/>
  <c r="P55" i="19"/>
  <c r="P45" i="19"/>
  <c r="J45" i="19"/>
  <c r="V15" i="19"/>
  <c r="P25" i="19"/>
  <c r="J35" i="19"/>
  <c r="P35" i="19"/>
  <c r="AH45" i="19"/>
  <c r="V55" i="19"/>
  <c r="AB35"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<sst xmlns="http://schemas.openxmlformats.org/spreadsheetml/2006/main" count="1406" uniqueCount="442">
  <si>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</si>
  <si>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</si>
  <si>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</si>
  <si>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</si>
  <si>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</si>
  <si>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</si>
  <si>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</si>
  <si>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</si>
  <si>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</si>
  <si>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</si>
  <si>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</si>
  <si>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</si>
  <si>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</si>
  <si>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</si>
  <si>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</si>
  <si>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</si>
  <si>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</si>
  <si>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</si>
  <si>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</si>
  <si>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</si>
  <si>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</si>
  <si>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</si>
  <si>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</si>
  <si>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</si>
  <si>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</si>
  <si>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</si>
  <si>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</si>
  <si>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</si>
  <si>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</si>
  <si>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</si>
  <si>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</si>
  <si>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</si>
  <si>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</si>
  <si>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</si>
  <si>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</si>
  <si>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</si>
  <si>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</si>
  <si>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Seguimiento</t>
  </si>
  <si>
    <t>Fecha Seguimiento</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</si>
  <si>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</si>
  <si>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</si>
  <si>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</si>
  <si>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</si>
  <si>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</si>
  <si>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</si>
  <si>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</si>
  <si>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</si>
  <si>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</si>
  <si>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</si>
  <si>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</si>
  <si>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</si>
  <si>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</si>
  <si>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</si>
  <si>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</si>
  <si>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</si>
  <si>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</si>
  <si>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</si>
  <si>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</si>
  <si>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</si>
  <si>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</si>
  <si>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</si>
  <si>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</si>
  <si>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</si>
  <si>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</si>
  <si>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</si>
  <si>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</si>
  <si>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</si>
  <si>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</si>
  <si>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</si>
  <si>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</si>
  <si>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</si>
  <si>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</si>
  <si>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</si>
  <si>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</si>
  <si>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</si>
  <si>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</si>
  <si>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</si>
  <si>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</si>
  <si>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</si>
  <si>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</si>
  <si>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</si>
  <si>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</si>
  <si>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</si>
  <si>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</si>
  <si>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</si>
  <si>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</si>
  <si>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</si>
  <si>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</si>
  <si>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</si>
  <si>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</si>
  <si>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</si>
  <si>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</si>
  <si>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</si>
  <si>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</si>
  <si>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</si>
  <si>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</si>
  <si>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</si>
  <si>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</si>
  <si>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</si>
  <si>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</si>
  <si>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</si>
  <si>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</si>
  <si>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</si>
  <si>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</si>
  <si>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</si>
  <si>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</si>
  <si>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</si>
  <si>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</si>
  <si>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</si>
  <si>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</si>
  <si>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</si>
  <si>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</si>
  <si>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</si>
  <si>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</si>
  <si>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</si>
  <si>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</si>
  <si>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</si>
  <si>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</si>
  <si>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</si>
  <si>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</si>
  <si>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</si>
  <si>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</si>
  <si>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</si>
  <si>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</si>
  <si>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</si>
  <si>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</si>
  <si>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</si>
  <si>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</si>
  <si>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</si>
  <si>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</si>
  <si>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</si>
  <si>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</si>
  <si>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</si>
  <si>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</si>
  <si>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</si>
  <si>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</si>
  <si>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</si>
  <si>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</si>
  <si>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</si>
  <si>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</si>
  <si>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</si>
  <si>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</si>
  <si>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</si>
  <si>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</si>
  <si>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</si>
  <si>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</si>
  <si>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</si>
  <si>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</si>
  <si>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</si>
  <si>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</si>
  <si>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</si>
  <si>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</si>
  <si>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</si>
  <si>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</si>
  <si>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</si>
  <si>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</si>
  <si>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</si>
  <si>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</si>
  <si>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</si>
  <si>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</si>
  <si>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</si>
  <si>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</si>
  <si>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</si>
  <si>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</si>
  <si>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</si>
  <si>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</si>
  <si>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</si>
  <si>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</si>
  <si>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</si>
  <si>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</si>
  <si>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</si>
  <si>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</si>
  <si>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</si>
  <si>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</si>
  <si>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</si>
  <si>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</si>
  <si>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</si>
  <si>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</si>
  <si>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</si>
  <si>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</si>
  <si>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</si>
  <si>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</si>
  <si>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</si>
  <si>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</si>
  <si>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</si>
  <si>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</si>
  <si>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</si>
  <si>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</si>
  <si>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</si>
  <si>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</si>
  <si>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</si>
  <si>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</si>
  <si>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</si>
  <si>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</si>
  <si>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</si>
  <si>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</si>
  <si>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</si>
  <si>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</si>
  <si>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</si>
  <si>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</si>
  <si>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</si>
  <si>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</si>
  <si>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</si>
  <si>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</si>
  <si>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</si>
  <si>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</si>
  <si>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</si>
  <si>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</si>
  <si>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</si>
  <si>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</si>
  <si>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</si>
  <si>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</si>
  <si>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</si>
  <si>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</si>
  <si>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</si>
  <si>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</si>
  <si>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</si>
  <si>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 xml:space="preserve">multa y sanción del ente regulador </t>
  </si>
  <si>
    <t xml:space="preserve">manejo de inventarios  de la entidad fuera de los lineamientos procedimientales y normativos </t>
  </si>
  <si>
    <t xml:space="preserve">Posibilidad de afectación económica por multa y sanción del ente regulador debido al manejo de iventarios de la entidad fuera de los lineamientos procedimientales y normativos  </t>
  </si>
  <si>
    <t>El tecnico, profesional , contratista efectua mensualmente la actualizacion  de  la carpeta compartida de los  movimientos de ingresos, traslados y egresos  de almacen dejando como evidencia los soportes respectivos.</t>
  </si>
  <si>
    <t xml:space="preserve">El profesional universitario efectua  seguimiento mensual de verificacion y/o convalidacion de los movimientos de almacen por cada rubro contable con el detallado de inventario de bienes y el profesional especializado reviza y convalida la informacion dejando como evidencia los movimientos de inventarios. </t>
  </si>
  <si>
    <t>investigaciones de entes reguladores, quejas o requerimientos de servidores y usuarios</t>
  </si>
  <si>
    <t xml:space="preserve"> realización de mantenimientos preventivos y correctivos en la infraestructura fuera de los tiempos y requerimientos normativos y procedimentales</t>
  </si>
  <si>
    <t>Posibilidad de afectación reputacional por investigaciones de entes reguladores, quejas o requerimientos de servidores y usuarios debido a la realización de mantenimientos preventivos y correctivos en la infraestructura fuera de los tiempos y requerimientos normativos y procedimentales</t>
  </si>
  <si>
    <t>El profesional del proceso identifica las necesidades y verfica semestralmente  el cumplimiento del cronograma definido a través de la matriz de necesidades de infraestructura, dejando como evidencia el seguimiento semestral</t>
  </si>
  <si>
    <t>El Subdirector Administrativo deberá realizar un contrato de prestación de servicios de mantenimiento preventivo y correctivo con empresas que cuenten con capacidad técnica y experiencia suficiente en este tipo de actividades, dejando establecidos los requisitos en los pliegos de condiciones de los procesos de selección</t>
  </si>
  <si>
    <t>El Subdirector Administrativo debe contratar una firma interventora experta que realice el seguimiento técnico, jurídico, ambiental y financiero a las actividades a realizar por el contratista de mantenimiento locativo, quien presenta mensualmente  como registro los informes de ejecución y gestión</t>
  </si>
  <si>
    <t>RECURSOS FISICOS Y TECNOLOGICOS</t>
  </si>
  <si>
    <t>perdida de imagen de usuarios internos, externos y directivos de la SDM</t>
  </si>
  <si>
    <t xml:space="preserve"> prestación de los servicios generales y administrativos fuera de las necesidades requeridas.</t>
  </si>
  <si>
    <t>Posibilidad de afectación reputacional  por perdida de imagen de usuarios internos, externos y directivos de la SDM, por la prestación de los servicios generales y administrativos fuera de las necesidades requeridas.</t>
  </si>
  <si>
    <t>El profesional del area hará seguimiento anual al tablero de control con semaforos de alertas que permira identificar las fechas de los vencimientos de los contratos y el flujo de proceso de los docuemntos en caso de adiciones, prorrogas y suscripcion de nuevos contratos, como evidencias se aportara el seguimiento del tablero de control.</t>
  </si>
  <si>
    <t>GESTIÓN DOCUMENTAL</t>
  </si>
  <si>
    <t xml:space="preserve"> ejecución del sistema de gestión documental fuera de los requerimiento normativos y procedimientales </t>
  </si>
  <si>
    <t xml:space="preserve">El profesional debe asegurar la actualización y/o creación mensual de los instrumentos archivísticos de la Entidad dejando como evidencia cronograma e instrumentos actualizados </t>
  </si>
  <si>
    <t xml:space="preserve">El profesional del área deberá presentar los avances de la gestión documental en dos sesiones de Comité Interno de Archivo en el año, dejando como evidencia acta del comité </t>
  </si>
  <si>
    <t>El profesional del proceso verifica trimestralmente el cumplimiento de las transferencias documentales  y las actividades contenidas en el PINAR  dejando como evidencia las actas de transferencias primarias- suscritas.</t>
  </si>
  <si>
    <t>El supervisor del contrato hace segimiento mensual de los documentos del proceso, las sanciones y/o consecuencias del incumplimiento de alguna o algunas de las obligaciones contractuales asumidas por el contratista del contrato de almacenamiento y custodia, así como del arrendamiento de la bodega dejando como evidencia  actas de seguimiento al contrato y compromisos allí pactados.</t>
  </si>
  <si>
    <t>El Subdirector administrativio hará seguimiento mensual al plan de contingencia para garantizar la continuidad del Sistema de Información Orfeo en caso de indisponibilidad</t>
  </si>
  <si>
    <t>sanciones de la contraloria, archivo departanmentaly quejas de ususarios internos y externos</t>
  </si>
  <si>
    <t xml:space="preserve">posibilidad de afectación reputacional por sanciones del archivo departamental y quejas de ususarios internos y externos debido a la ejecución del sistema de gestión documental fuera de los requerimiento normativos y procedimientales </t>
  </si>
  <si>
    <t>CONTROL INTERNO</t>
  </si>
  <si>
    <t>sanciones administrativas por entes gubernamentales</t>
  </si>
  <si>
    <t>presentación de informes de Ley,como producto de seguimientos fuera la normatividad vigente.</t>
  </si>
  <si>
    <t>Posibilidad de afectación reputacional por sanciones administrativas por entes gubernamentales debido a la presentación de informes de Ley,como producto de seguimientos fuera la normatividad vigente.</t>
  </si>
  <si>
    <t>Los profesionales de control interno realizan mensualmente reuniones de seguimiento y autoevaluación del PAAI,  a través de la verificación  de la ejecución de actividades del mes en curso y las actividades programadas para el mes siguiente, teniendo como resultado el registro  de actas de seguimiento.</t>
  </si>
  <si>
    <t>Jefe de la Oficina de Control Interno presenta en el CICI las fechas establecidas para la presentación de  los informes de ley , con el fin de tomar acciones necesarias para cumplir con los lineamientos normativos.</t>
  </si>
  <si>
    <t>GESTIÓN FINANCIERA</t>
  </si>
  <si>
    <t>requerimientos de los usuarios e incumplimiento del procedimiento en terminos procedimentales</t>
  </si>
  <si>
    <t>Realización del proceso de devolucion  o Compensación de Pagos en Exceso y Pagos de lo no Debido por Conceptos no Tributarios  y de lo no debido por inconsistencias y desactualizacion del sistema SICON fuera de los terminos procedimentales.</t>
  </si>
  <si>
    <t>Posibilidad de afectación reputacional por requerimientos de los usuarios e investigaciones  administrativas,legales por entes de control por la realizacion del proceso de devoluciones fuera de los terminos procedimentales.</t>
  </si>
  <si>
    <t xml:space="preserve">EL profesional Especializado  del proceso verifica permanentemente que las devoluciones cargadas en la carpeta compartida STORAGE_ADMIN cumplan con los requisitos establecidos  en el procedimiento dejando como registro la verificacion mediante-orden de devolucion </t>
  </si>
  <si>
    <t xml:space="preserve">El profesional especializado del proceso y  el técnico verifican permanente que las devoluciones registradas  en los  sistema SICON   y  BOGDATA  cumplan con los requisitos  establecidos en el procedimiento dejando registrada la verificación en los aplicativos.
</t>
  </si>
  <si>
    <t>Requerimientos de los usuarios e incumplimiento en terminos procedimentales  por el no pago a tiempo</t>
  </si>
  <si>
    <t>Realización del proceso de pagos con incumplmiento de los requistos establecido fuera de   los terminos procedimentales.</t>
  </si>
  <si>
    <t>Posibilidad de afectación reputacional por requerimientos de los usuarios  e investigaciones administrativas, legales pon entes de control, debido a realización del proceso de pagos fuera de los requsitos  establecidos en los  terminos procedimentales.</t>
  </si>
  <si>
    <t>El tecnico del proceso verifica permanentemente  que los documentos cargados en la  ventanilla vitual cumplan con los requisitos establecidos en el procedimiento dejando registrado la verificación mediante una plantila  numerada en el sistema de radiacación  del aplicativo SICAPITAL</t>
  </si>
  <si>
    <t>el profesional del proceso realiza la causación permanentemente del pago de contratitas y proveedores a través del aplicativo SICAPITAL, generando una plantilla de causación</t>
  </si>
  <si>
    <t xml:space="preserve">El profesional del proceso realiza la revision permenentemente de los documentos radicados por contratista y provedores  para que  cumplan con los requistos establecidos en el procedimiento dejando registrada la verificacion  en  el drive </t>
  </si>
  <si>
    <t>Requerimientos internos e incumplimiento en terminos procedimentales por la afectacion de la contratacion de la Entidad</t>
  </si>
  <si>
    <t>realización del proceso de expedicion de certificados de disponibilidad presupuestal  fuera de los requisitos  procedimentales.</t>
  </si>
  <si>
    <t>Posibilidad de afectación reputacional por requerimientos internos  e investigaciones administrativas, debido a realización del proceso de expedicion de certificados de disponibilidad presupuestal  fuera de los requisitos  procedimentales.</t>
  </si>
  <si>
    <t>El profesional Especializado  del proceso verifica permanenemte el contenido de la solicitud de CDP efectuada por los ordenadores del gasto , para que cumpla con los requisitos establecidos en el procedimiento dejando registrada la verificacion mediante la expediciendo del CDP</t>
  </si>
  <si>
    <t>El responsable de presupuesto verifica permanentemente los certificados de  disponibilidad expedidos, para que cumplam con los requisitos  establecidos en el procedimiento dejando como registro los CDP firmados  los cuales  descarga en una carpeta compartida drive , para disposicion de los solicitandes</t>
  </si>
  <si>
    <t>Requerimientos internos e incumplimiento en terminos procedimentales  por la afectacion de la contratacion de la Entidad.</t>
  </si>
  <si>
    <t>realización del proceso de expedicion de  certificados de registros  presupuestales fuera de los requisitos establecidos en los terminos procedimentales.</t>
  </si>
  <si>
    <t>Posibilidad de afectación reputacional por requerimientos internos    e investigaciones administrativas,  debido a realización del proceso de expedicion de  certificados de registros  presupuestales fuera de los requisitos establecidos en los terminos procedimentales.</t>
  </si>
  <si>
    <t>El profesional Especializado  del proceso verifica permanentemente, los contratos, actos Adminitrativo, para que  cumpla con los requisitos establecidos en el procedimiento dejando registrada la verificacion mediante la expedicion del CRP.en el aplicativo BOGDATA</t>
  </si>
  <si>
    <t>El responsable de presupuesto verifica permanentemente los certificados de  registros  presupuestal expedidos, para que cumplam con los requisitos  establecidos en el procedimiento dejando como registro los CRP firmados  los cuales  descarga en una carpeta compartida drive , para disposicion de los solicitandes</t>
  </si>
  <si>
    <t>Requerimientos internos  y externo e incumplimiento en terminos procedimentales por la afectacion de la  informacion contable de la Entidad</t>
  </si>
  <si>
    <t>entrega de estados contables fuera  de las fechas establecidas y de los terminos procedimientales</t>
  </si>
  <si>
    <t>Posibilidad de afectación reputacional por requerimientos internos externo   e investigaciones administrativas, disciplinarias ,fiscales y penales debido a la entrega de estados contables fuera  de las fechas establecidas y de los terminos procedimientales</t>
  </si>
  <si>
    <t>El profesional Epecializado  del proceso verifica  permanentemente  la informacion registrada,  para que cumpla con los requisitos establecidos en el procedimiento dejando registrada la verificacion mediante los formatos anexos.</t>
  </si>
  <si>
    <t>El profesional  Especializado( Contador) del Proceso, el Director(a) Administrativo y Financiero y el Secretario(a) Distrital de Movilidad  verifican la informacion de los estados contable  que cumpla con los requisitos establecidos en el procedimiento  dejando registrada la verificacion mediante sus firmas en  los formatos de los  estados contables de la SDM.</t>
  </si>
  <si>
    <t>GESTIÓN JURIDICA</t>
  </si>
  <si>
    <t>investigaciones administrativas, fiscales y judiciales</t>
  </si>
  <si>
    <t>expedición de actos administrativos fuera de los requisitos legales y procedimentales establecidos en la normatividad.</t>
  </si>
  <si>
    <t>Posibilidad de afectación reputacional por investigaciones administrativas, fiscales y judiciales,asi como,requerimientos de los usuarios debido a la expedición de actos administrativos fuera de los requisitos legales y procedimentales establecidos en la normatividad.</t>
  </si>
  <si>
    <t>El jefe de area realiza permanentemente la revisiòn de los proyectos de actos administrativos  que son proyectados o revisados por los profesionales de la Direccion  con el fin de que cumplan los requisitos establecidos en la Norma,a traves de los procedimientos y las normas aplicables a cada caso particular;los actos administrativos de caracter general seran publicados en la Pagina web y Intranet, a traves de la Matriz de cumplimiento Legal.</t>
  </si>
  <si>
    <t>El profesional de la Direcciòn de Nomatividad y conceptos realiza permanentemente la publicacion de  los acto administrativo para observaciones, opiniones o sugerencias,en la pagina web de la entidad donde queda el registro correspondiente de la Publicacion.</t>
  </si>
  <si>
    <t>El profesional del area efectuara cada vez que se requiera las actualizaciones  al instructivo de Normatividad y Conceptos en la intranet, quedando el registro de las actualizaciones en el control de cambios del documento.</t>
  </si>
  <si>
    <t>sancion del ente correspondiente</t>
  </si>
  <si>
    <t xml:space="preserve">inadecuada gestion del proceso administrativo y de defensa </t>
  </si>
  <si>
    <t>Posibilidad de afectacion ecomica y reputacional por sancion del ente correspondiente, debido a la gestion del proceso administrativo y de defensa fuera de los terminos legales establecidos.</t>
  </si>
  <si>
    <t>Leve</t>
  </si>
  <si>
    <t>El profesional de la Direccion de Representacion judicial permanentemente  analiza,evalua y realiza seguimiento a la gestion de defensa y los procesos activos,a traves de bases de datos y registros de procesos en el sistema Siprojweb.</t>
  </si>
  <si>
    <t>El comité de conciliacion de la Direccion de Representacion Judicial realizaran seguimiento trimestral  a las politicas de prevencion del daño antijurico a traves de los informes que presenta las areas .</t>
  </si>
  <si>
    <t xml:space="preserve">El jefe area realiza seguimiento permanente a la gestion adecuada de los procesos a cargo de los profesionales de la Direccion de respresentacion Judicial </t>
  </si>
  <si>
    <t>perdida de imagen institucional ante la comunidad</t>
  </si>
  <si>
    <t>consecusión de contratos sin el lleno de los requisitos contemplados en la norma</t>
  </si>
  <si>
    <t>Posibilidad de afectación reputacional por  perdida de imagen institucional ante la comunidad, debido a la consecusión de contratos sin el lleno de los requisitos contemplados en la norma.</t>
  </si>
  <si>
    <t>El profesional de contratación verifica PERMANENTE, que la información suministrada por el posible proveedor o contratista, corresponda a los requisitos establecidos en el estudio previo y  la  norma aplicable según el proceso de seleccion empleado. Esta verificación se realiza  a través de la lista de chequeo y los requisitos habilitantes establecidos  en el pliego de condiciones, verificando los documentos a travez de las plataformas destinadas para tal fin. los contratos que cumplen los requisitos, continúan con el proceso contractual a traves de los sistemas de información de contratación (SECOP).</t>
  </si>
  <si>
    <t>El profesional  de contratacion con el rol de revisor  y la Directora de Contratación  verifican  permanentemente en el sistema de información de contratación (SECOP)  la información registrada por el profesional asignado y aprueba el proceso para firma del ordenador del gasto. En el sistema de información queda el registro correspondient; en caso de encontrar inconsistencias o no concordancias , devuelve el proceso al profesional de contratos asignado.</t>
  </si>
  <si>
    <t xml:space="preserve">multa y sancion del ente regulador </t>
  </si>
  <si>
    <t>debido a adquisición de bienes y servicios sin identificar la necesidad real.</t>
  </si>
  <si>
    <t>Posibilidad de afectación económica  y reputacional por multa y sanción del ente regulador,  debido a adquisición de bienes y servicios sin identificar la necesidad real</t>
  </si>
  <si>
    <t>El profesional de la Direccion de contratacion  verifica permanente que los estudios previos,prepliegos y pliegos de condiciones corresponda a la necesidad establecida por el area solicitante del contrato a traves de una lista de chequeo donde estan los requisitos de la informacion solicitada y la revisa con la informacion  digital aportada por el ordenador del gasto,una vez aprobados seran cargados en secop.</t>
  </si>
  <si>
    <t>el jefe del área de contratos verifica en el sistema de información de contratación la información registrada por el profesional asignado y aprueba el proceso para firma del ordenador del gasto, en el sistema de información queda el registro correspondiente, en caso de encontrar inconsistencias , devuelve el proceso al profesional de contratos asignado</t>
  </si>
  <si>
    <t>liquidacion de contratos fuera de los terminos normativos.</t>
  </si>
  <si>
    <t>Posibilidad de afectación económica y reputacional por multa y sancion del ente regulador,debido a la liquidacion de contratos fuera de los terminos normativos.</t>
  </si>
  <si>
    <t>El jefe de area hara seguimiento permanente a los procesos que requieran liquidcion y remitira   mediante circular o memorando a los ordenadores del gasto solicitud  para el envio de los documentos necesarios para tal fin en los terminos estabecidos por el proceso.</t>
  </si>
  <si>
    <t>El jefe de area  realiza seguimiento PERMANENTE al profesional designado por la direccion para el estudio y apoyo de la liquidación del contrato , atraves de una alerta que se remite por correo electronico.</t>
  </si>
  <si>
    <t>inicio del proceso administrativo sancionatorio  fuera de los terminos establecidos por la norma  o sin el acompañamiento en el desarrollo del proceso.</t>
  </si>
  <si>
    <t>Posible afectación económica y reputacional por multa y sancion del ente regulador, debido al inicio del proceso administrativo sancionatorio  fuera de los terminos establecidos por la norma  o sin el acompañamiento en el desarrollo del proceso.</t>
  </si>
  <si>
    <t xml:space="preserve">El pofesional de la Direccion de Contratacion verifica permanentemente  que los documentos aportados por el ordenador del gasto para el inicio del proceso sancionatorio corresponda con  los lineamientos establecidos en el procedimiento sancionatorio  ; si cumple o no cumple los requisitos sera informado mediante correo electronico .
</t>
  </si>
  <si>
    <t>requerimientos,quejas y/o reclamos de ciudadanos</t>
  </si>
  <si>
    <t>respuestas fuera de los  terminos establecidos.</t>
  </si>
  <si>
    <t>Posibilidad de afectacion reputacional por posibles requerimientos,quejas y/o reclamos de ciudadanos  debido a respuestas a solicitudes fuera de los  terminos establecidos.</t>
  </si>
  <si>
    <t>El profesional de la Direccion de Gestion de Cobro verifica PERMANENTE la información suministrada por el contratista que corresponda con los requisitos establecidos en el manual ce cobro coactivo en concordancia con el tipo de gestion a relizar por el ciudadano través de la verificacion en fisico y digital del cumplimiento de los requisitos establecidos, mediante una base de datos donde se evidencia la gestion de desembargos realizados por la DGC.</t>
  </si>
  <si>
    <t xml:space="preserve">El profesional de la Direccion de Gestion  de cobro encargado de orientar al ciudadano verifica la informacion  de la cartera  reportada traves del sistema de información  contravencional sicon plus,a fin de orientar al ciudadano de manera oportuna que tramites debe realizar para atender su solicitud o peticion.dejando registro  de los ciudadanos atendidos mediante una base de datos.
</t>
  </si>
  <si>
    <t>DIRECCIONAMIENTO ESTRATÉGICO</t>
  </si>
  <si>
    <t>Investigaciones de tipo administrativas y disciplinarios por entes de control, y requerimientos de las áreas de la entidad.</t>
  </si>
  <si>
    <t>Debido a la formulación, construcción y seguimiento de los Planes Operativos Anuales fuera de los lineamientos establecidos en los procedimientos internos, de orden distrital y/o nacional.</t>
  </si>
  <si>
    <t>Posibilidad de afectación reputacional por posibles investigaciones de tipo administrativas y disciplinarios por entes de control, y requerimientos de las áreas de la entidad, y entidades distritales, debido a la formulación, construcción y seguimiento de los Planes Operativos Anuales fuera de los lineamientos establecidos en los procedimientos internos, de orden distrital y/o nacional.</t>
  </si>
  <si>
    <t>El profesional de la Oficina Asesora de Planeación Institucional verifica que la formulación de los proyectos realizada por el Ordenador del Gasto y Gerentes de los proyectos,   corresponda con los requisitos establecidos en el procedimiento interno, a través de la validación de la completitud, coherencia y suficiencia de la información relacionada en la ficha de formulación del proyecto, quedando ésta como registro de fomulación oficial.</t>
  </si>
  <si>
    <t>40%</t>
  </si>
  <si>
    <t>El profesional de la Oficina Asesora de Planeación Institucional verifica que los Planes Operativos Anuales POA, remitidos por los Subsecretarios de la entidad, corresponda con los requisitos establecidos en el procedimiento interno, a través de la validación de la completitud, calidad, coherencia y suficiencia de la información reportada en los POA, quedando éstos como registro de la planeación y avance de las metas de la entidad.</t>
  </si>
  <si>
    <t>Los profesionales de la Oficina Asesora de Planeación Instiucional programa y realiza mesas de seguimiento trimestrales con las diferentes dependencias responsables del reporte de avance de las metas de la entidad, en las cuales se presentan las alertas frente al cumplimiento de las metas, así como las observaciones o incosistencias identificadas en el proceso de seguimiento. Como evidencia se genera el acta de la mesa, y el correo que se envía a los Subsecretarios con las alertas identificadas.</t>
  </si>
  <si>
    <t>30%</t>
  </si>
  <si>
    <t>El profesional de la Oficina Asesora de Planeación Institucional verifica la información cargada en los sistemas de seguimiento a la inversión, y remite a las áreas mediante correo electrónico los informes de cierre de seguimiento para que se valide la información, y si es el caso se realicen los ajustes a que haya lugar.</t>
  </si>
  <si>
    <t>25%</t>
  </si>
  <si>
    <t>El profesional de la Oficina Asesora de Planeación Institucional reporta información en el Sistema de Seguimiento a los Programas Proyectos y Metas al Plan de Desarrollo (SEGPLAN) y genera los reportes preliminares de inversión, gestión, territorialización y actividades,  los cuales se envian por correo electrónico a las áreas para su viabilización y/o ajustes cuando haya lugar.</t>
  </si>
  <si>
    <t>El profesional de la Oficina Asesora de Planeación Institucional valida a través del rol de consulta en el Sistema de Seguimiento de Proyectos de Inversión (SPI), la información reportada por el Gerente del Proyecto, y en caso de encontrar inconsistencias, informa a las áreas mediante correo electrónico para que realicen los ajustes en el próximo seguimiento.</t>
  </si>
  <si>
    <t xml:space="preserve"> posibles investigaciones de entes de control y aumento de requerimientos por la secretaria de hacienda y usuarios internos</t>
  </si>
  <si>
    <t xml:space="preserve">Debido a la asignación, programación (anteproyecto de presupuesto) y seguimiento a la ejecución presupuestal, fuera de los requerimientos definidos en la circular conjunta de las secretaria Distrital de Hacienda y Planeación, al igual que de los procedimientos internos. </t>
  </si>
  <si>
    <t xml:space="preserve">Posibilidad de afectación, reputacional y economico  por posibles investigaciones de entes de control y aumento de requerimientos por la secretaria de hacienda y usuarios internos debido a la asignación, programación (anteproyecto de presupuesto) y seguimiento a la ejecución presupuestal, fuera de los requerimientos definidos en la circular conjunta de las secretaria Distrital de Hacienda y Planeación, al igual que de los procedimientos internos. </t>
  </si>
  <si>
    <t>El profesional de la Oficina Asesora de Planeacion Institucional realiza emite y socializa internamente una circular interna con los lineamientos de cierre y programación pptal dando cumplimeinto a las  Circulares conjunta definida por la Secretaría Distrital de Hacienda y la Secretaría Distrital de Planeación,  en la construcción del Anteproyecto de Presupuesto.</t>
  </si>
  <si>
    <t xml:space="preserve">El profesional de la Oficina Asesora de Planeacion Institucional, verifica que la información registrada en el formato PE01-PR06-F01 PLANEACIÓN, ELABORACIÓN Y SEGUIMIENTO DEL P.A.A. cumpla con lineamientos establecidos en el procedimiento  PE01-PR03 PROCEDIMIENTO ANTEPROYECTO PRESUPUESTO, dejando como registro correos y el plan anual de adquisicones. </t>
  </si>
  <si>
    <t xml:space="preserve">El profesional de la Oficina Asesora de Planeacion Insitucional realiza  seguimiento mensual a la ejecución  presupuestal y contractual del Plan Anual de Adquisiciones.  A traves del aplicativo de BOGDATA. Dejando como registro el informe de ejecución pptal y el P.A.A. publicado en la pagina web. </t>
  </si>
  <si>
    <t xml:space="preserve">El profesional de la Oficina Asesora de Planeacion Insitucional realiza actualizacion, seguimiento y verificación permanente al P.A.A a traves de memorandos internos y solicitudes presupuestales de CDP. Dejando como registro el correo con su respectiva viabilidad y actualización realizada al P.A.A </t>
  </si>
  <si>
    <t/>
  </si>
  <si>
    <t xml:space="preserve">requerimiento de los usuarios e investigaciones administrativas por entes de control  </t>
  </si>
  <si>
    <t xml:space="preserve">debido a realización de nombramientos fuera  de los requisitos establecidos en el  manual de funciones y los procedimientos </t>
  </si>
  <si>
    <t xml:space="preserve">Posibilidad de afectación reputacional por requerimiento de los usuarios e investigaciones administrativas por entes de control debido a realización de nombramientos fuera  de los requisitos establecidos en el  manual de funciones y los procedimientos </t>
  </si>
  <si>
    <t xml:space="preserve">El profesional  del area de la DTH revisa de manera permanente los requisitos establecidos en el Manual de Funciones y Competencias Laborales vigente, se encuentra evidenciado en el formato PA02-PR01-F02 </t>
  </si>
  <si>
    <t>El profesional del area de la DTH verifica e manera permanente la lista chequeo donde se estabelce la documentación requeridad para el ingreso, se encuentra evidenciado el formato PA02-PR01-F03</t>
  </si>
  <si>
    <t xml:space="preserve">El profesional  del area de la DTH solicita de manera permanente la verificaicón de titulos de educaión formal y la certificaciones laborales ante las instituciones competentes y se evidnecia en el oficio de solicitud </t>
  </si>
  <si>
    <t xml:space="preserve">requerimiento de los usuarios internos e investigaciones administrativas y legales por entes de control </t>
  </si>
  <si>
    <t>debido a la implementación del SGSST fuera de los requerimientos normativos.</t>
  </si>
  <si>
    <t>Posibilidad de afectación económico y reputacional por requerimiento de los usuarios internos e investigaciones administrativas y legales por entes de control debido a la implementación del SGSST fuera de los requerimientos normativos.</t>
  </si>
  <si>
    <t>El profesional del area de la DTH actualiza periodicamente de la Matriz de Requisito Legales en Seguridad y Salud en el Trabajo, se evidencia en el formato PA05-IN02-F03 Matriz de Cumplimiento Legal</t>
  </si>
  <si>
    <t>El profesional del area de la DTH envia de manera permanente correo eletcronico al grupo de SST la Matriz de Requisito Legales en Seguridad y Salud en el Trabajo actualizada se evidencia en el formatoPA05-IN02-F03 Matriz de Cumplimiento Legal</t>
  </si>
  <si>
    <t>El profesional del area de la DTH   define dos indicadores  para hacer seguimiento a los nuevos requerimientos normativos</t>
  </si>
  <si>
    <t>requerimiento de los usuarios internos e investigaciones administrativas por entes de control</t>
  </si>
  <si>
    <t>debido al cumplimiento del plan institucional de capacitación fuera de la normatividad vigente</t>
  </si>
  <si>
    <t>Posibilidad de afectación reputacional por requerimiento de los usuarios internos e investigaciones administrativas por entes de control debido al cumplimiento del plan institucional de capacitación fuera de la normatividad vigente</t>
  </si>
  <si>
    <t>Profesional del area que realiza de manera permanente la capacitación igual o superior a cuatro horas realiza de manera permanente una encuesta al inicio y al finalizar cada capacitación, charlas o talleres y se evidencia en los resultado entregados por el area competente</t>
  </si>
  <si>
    <t>Profesional realiza la de manera permanente encuestas concertadas con entidades interistictucionales de acuerdo a los reportes enviados por la entidad competente y  se evidencia en los reportes entregado por la entidas y en la encuestas aplicadas,</t>
  </si>
  <si>
    <t xml:space="preserve">El profesional del area de la DTH   define dos indicadores  para hacer seguimiento dal plan institucional de capacitación </t>
  </si>
  <si>
    <t xml:space="preserve">requerimiento de los usuarios internos e investigaciones administrativas por entes de control </t>
  </si>
  <si>
    <t>debido al cumplimiento del plan de Bienestar e incentivos fuera de la normatividad vigente</t>
  </si>
  <si>
    <t>Posibilidad de afectación reputacional por requerimiento de los usuarios internos e investigaciones administrativas por entes de control debido al cumplimiento del plan de Bienestar e incentivos fuera de la normatividad vigente</t>
  </si>
  <si>
    <t>El funcionario del area  qestablece anualmente un cronograma para el cumplimientod elas actividades establecidas en el plande bienestar e incenctivos, el cual se puede evidneciar en el plan publicado en la intranet</t>
  </si>
  <si>
    <t>TALENTO HUMANO</t>
  </si>
  <si>
    <t xml:space="preserve">Disminución en la evaluación por debajo del 97% de cumplimiento de los NS y aumento de quejas de usuarios. </t>
  </si>
  <si>
    <t xml:space="preserve">Debido a la realización de atención de necesidades de servicios tecnológicos fuera de los tiempos requeridos. </t>
  </si>
  <si>
    <t xml:space="preserve">Posibilidad de afectación reputacional por disminución en la evaluación por debajo del 97% de cumplimiento de los NS y aumento de quejas de usuarios debido a la realización de atención de necesidades de servicios tecnológicos fuera de los tiempos requeridos. </t>
  </si>
  <si>
    <t>La Herramienta tecnológica ARANDA recepciona constantemente todas las solicitudes o requerimientos tecnológicos generando un ticket a corde al orden de llegada de la solicitud.</t>
  </si>
  <si>
    <t>50%</t>
  </si>
  <si>
    <t xml:space="preserve">
El profesional del operador tecnológico asigna constantemente la solicitud acorde a la categoría definida para la atención de las solicitudes, mediante correo electrónico, llamadas telefónica, dejando la trazabilidad de la ejecución en la Herramienta Aranda.
</t>
  </si>
  <si>
    <t>La Herramienta tecnológica Aranda genera constantemente la solicitud de calificación de niéveles de servicio (Mediante la encuesta de satisfacción) dejando la trazabilidad de la ejecución en la Herramienta Aranda.</t>
  </si>
  <si>
    <t xml:space="preserve">
La Herramienta tecnológica Aranda genera la solicitud de calificación de niéveles de servicio (Mediante la encuesta de satisfacción) dejando la trazabilidad de la ejecución en la Herramienta Aranda.
</t>
  </si>
  <si>
    <t>Aumento de requerimientos de los usuarios internos solicitantes de asesoría en adquisición y cambios tecnológicos .</t>
  </si>
  <si>
    <t xml:space="preserve">Debido a la gestión del control de cambios fuera de los lineamientos procedimentales.  </t>
  </si>
  <si>
    <t xml:space="preserve">
Posibilidad de afectación reputacional por aumento de requerimientos de los usuarios internos solicitantes de asesoría en adquisición y cambios tecnológicos debido a la gestión del control de cambios fuera de los lineamientos procedimentales.  
</t>
  </si>
  <si>
    <t>El profesional de la OTIC realiza la Reunión semanal denominada (Comité de Cambios) donde se evalúa el seguimiento a cualquier tipo de cambio en la Infraestructura tecnológica de la entidad.</t>
  </si>
  <si>
    <t xml:space="preserve">
El profesional de la OTIC una vez aprobado el control de cambios se realiza la gestión administrativa y aplicación del cambio en la infraestructura TI con los proveedores y con el Operador Tecnológico con los lineamientos establecidos en el documento PA04-PR04-F01 RFC para componentes de infraestructura tecnológica, comunicaciones y sistemas de información.
</t>
  </si>
  <si>
    <t>Aumento de requerimientos de los usuarios internos solicitando verificaciones en su infraestructura TI y aumento de quejas.</t>
  </si>
  <si>
    <t xml:space="preserve">Debido a la gestión de Mantenimientos Preventivos fuera de los tiempos establecidos. 
</t>
  </si>
  <si>
    <t xml:space="preserve">
Posibilidad de afectación reputacional por aumento de requerimientos de los usuarios internos solicitando verificaciones en su infraestructura TI y aumento de quejas debido a la gestión de Mantenimientos Preventivos fuera de los tiempos establecidos. 
</t>
  </si>
  <si>
    <t>La Auxiliar de la OTIC recibe la solicitud o requerimiento esporádico vía correo electrónico o memorando por parte de la dependencia  solicitando la realización del Concepto Técnico frente adquisición o Desarrollo de Software.</t>
  </si>
  <si>
    <t xml:space="preserve">
El profesional de la OTIC realiza la verificación de la disponibilidad y requisitos establecidos referente al tipo de Software y licencias si las hay existentes en la entidad y emite la respuesta de la solicitud vía correo electrónico o memorando con la recomendación de la viabilidad de los Softwares y licencias por medio de un concepto Técnico emitido por la OTIC.
</t>
  </si>
  <si>
    <t>Aumento de requermientos de los usuarios internos solicitando verificaciones  en su infraestructura TI y aumento de quejas</t>
  </si>
  <si>
    <t xml:space="preserve">Debido a la gestion de Mantenimientos Preventivos fuera de los tiempos establesidos. 
</t>
  </si>
  <si>
    <t xml:space="preserve">
Posibilidad de afectación reputacional  por aumento de requermientos de los usuarios internos solicitando verificaciones  en su infraestructura TI y aumento de quejas debido a la gestion de Mantenimientos Preventivos fuera de los tiempos establesidos. 
</t>
  </si>
  <si>
    <t>El profesional de la OTIC realiza el seguimiento contantemente el agendamiento del cronograma de mantenimientos preventivos a la infraestructura TI de la entidad por medio del anexo técnico al contrato Mesa de ayuda que obliga al operador a realizar el cronograma de mantenimientos preventivos a la infraestructura TI.</t>
  </si>
  <si>
    <t>El profesional de la OTIC realiza el seguimiento Constante a la ejecución del cronograma de mantenimientos preventivos a la infraestructura TI de la entidad por medio de actas y verificaciones a los mantenimientos ejecutados en el periodo establecido.</t>
  </si>
  <si>
    <t>Aumento de requerimientos de los usuarios internos y externos solicitando la atención a sus necesidades y aumento de quejas.</t>
  </si>
  <si>
    <t xml:space="preserve">Debido a la gestiona del plan de continuidad fuera de los lineamientos técnicos.
</t>
  </si>
  <si>
    <t xml:space="preserve">
Posibilidad de afectación reputaciones por aumento de requerimientos de los usuarios internos y externos solicitando la atención a sus necesidades y aumento de quejas debido a la gestiona del plan de continuidad fuera de los lineamientos técnicos.
</t>
  </si>
  <si>
    <t xml:space="preserve">
El profesional de la OTIC y el Operador Tecnológico realizan el seguimiento constante al uso de los servicios brindados por la Suite de Google y el manejo de información en el Drive de los Usuarios de la entidad.  
</t>
  </si>
  <si>
    <t xml:space="preserve">El profesional de la OTIC y el Operador Tecnológico realiza el seguimiento constante a la utilización de la herramienta VPN (Virtual Private Network) frente a su utilización y funcionamiento por usuario de la entidad.  </t>
  </si>
  <si>
    <t>El profesional de la OTIC y el Operador Tecnológico realiza el seguimiento constante a la ejecución de los envíos de las cintas de Backup, respaldos,  y custodias por el proveedor establecido de la  entidad.</t>
  </si>
  <si>
    <t>Aumento de Incidentes de seguridad en la plataforma tecnológica y requerimientos de los usuarios internos.</t>
  </si>
  <si>
    <t xml:space="preserve">Debido a la gestión del Subsistema de Gestión de Seguridad de la Información fuera de los lineamientos procedimentales. 
</t>
  </si>
  <si>
    <t xml:space="preserve">
Posibilidad de afectación reputacional por aumento de Incidentes de seguridad en la plataforma tecnológica y requerimientos de los usuarios internos debido a la gestión del Subsistema de Gestión de Seguridad de la Información fuera de los lineamientos procedimentales. 
</t>
  </si>
  <si>
    <t>El Jefe de la OTIC realiza la solicitud de Bases de Datos Personales Nuevas de manera Anual vía correo Electrónico a los directivos de todas las dependencias de la entidad.</t>
  </si>
  <si>
    <t xml:space="preserve">
El Jefe de la OTIC realiza el cargue de las Bases de Datos Personales nuevas de la entidad en la plataforma de la Súper Intendencia de Industria y Comercio (SIC) en el primer semestre del año 2021 dando cumplimiento a la norma vigente. 
</t>
  </si>
  <si>
    <t xml:space="preserve">
El profesional de la OTIC realiza el seguimiento constante a la gestión de las políticas de Seguridad de la Información de la entidad y a los controles establecidos. 
</t>
  </si>
  <si>
    <t xml:space="preserve">El profesional de la OTIC realiza el seguimiento a la ejecución de los procesos de contratación relacionados con seguridad de la Información. </t>
  </si>
  <si>
    <t xml:space="preserve">
El profesional de la OTIC realiza el seguimiento constante a los controles establecidos frente a las vulnerabilidades informáticas encontradas y su plan de Trabajo establecido.
</t>
  </si>
  <si>
    <t>TRAMITES Y SERVICIOS</t>
  </si>
  <si>
    <t>GESTIÓN TICS</t>
  </si>
  <si>
    <t xml:space="preserve">pérdida de confianza por parte de la ciudadania al igual de posibles investigaciones por entes de control </t>
  </si>
  <si>
    <t>prestación de tramites y servicios fuera de los requermientos normativos, legales y del ciudadano</t>
  </si>
  <si>
    <t>Posibilidad de afectación reputacional por pérdida de confianza por parte de la ciudadania al igual de posibles investigaciones por entes de control debido a prestación de tramites y servicios fuera de los requermientos normativos, legales y del ciudadano</t>
  </si>
  <si>
    <t>El profesional de la DAC lider de los puntos de atención, verifica Cuatrimestralmente  los protocolos de atención al ciudadano, a través de la implemetación de la matriz de cumplimiento de los atributos del manual de servicio a la ciudadanía.</t>
  </si>
  <si>
    <t>el supervisor de cada orientador que hace presencia en los puntos de atención, verifica cuatrimestralmente la prestación eficiente y oportuna  de los trámitesy servicios  a través de las quejas y reclamos interpuestas por los ciudadanos, con el fin de realizar el tratamiento adecuado acorde con los lineamientos establecidos en el manual del servicio a la ciudadania, dejando registro del acta de reunión</t>
  </si>
  <si>
    <t>El profesional de la DAC, lider de los mecanismos de medición , consolida y análiza  trimestralmente los resultados de la encuesta de satisfacción de los ciudadanos, usuarios y partes interesadas, acorde con los lineamientos establecidos en el Procedimiento-PM04-PR07-Retroalimentación con el Ciudadano, dejando como registro un informe trimestral.</t>
  </si>
  <si>
    <t>El profesional de la DAC, lider del equipo técnico de gestión y desempeño,  construye y realiza seguimiento a los Planes Operativos Anuales (POA) de Gestión y de los proyectos de inversión, que conforman el Plan de Acción Institucional (PAI), acorde con lo lineamientos del procedimientoPE01-PR01-Formulación de proyectos, construcción y seguimiento del Plan de Acción Institucional, dejando como registro los reportes trimestrales  a la OAPI.</t>
  </si>
  <si>
    <t>El profesional de la DAC, líder del equipo de exceptuados,  identifica e implementa mensualmente los mecanismos para la atención de requerimientos a grupos protegidos, con respecto al trámite de excepción a la restricción de circulación vial, acorde con los lineamientos establecidos en el procedimiento PM04-PR06-Vehículos Exceptuados, dejando como registro base de datos de solicitudes de requerimientos a grupos protegidos.</t>
  </si>
  <si>
    <t>El profesional de la DAC, líder del equipo de las concesiones,  realiza seguimiento mensual a los informes  presentados por las interventorías , con respecto al cumplimiento de las obligaciones contractuales y anexos técnicos , acorde con los lineamientos establecidos y adoptados por la entidad , dejando como registro actas  e informes de seguimientos.</t>
  </si>
  <si>
    <t xml:space="preserve"> pérdida de confianza por parte de la ciudadanía, así como la posible cancelación  de la certificación bajo la norma NTC ISO 9001:2015</t>
  </si>
  <si>
    <t xml:space="preserve"> Prestación del servicio de cursos pedagógicos por infracción a las normas de tránsito, sin el cumplimiento de los requisitos legales y lineamientos internos y externos.</t>
  </si>
  <si>
    <t>Posibilidad de afectación reputacional por pérdida de confianza por parte de la ciudadanía, así como la posible cancelación  de la certificación bajo la norma NTC ISO 9001:2015,  debido a la  Prestación del servicio de cursos pedagógicos por infracción a las normas de tránsito , sin el cumplimiento de los requisitos legales y lineamientos internos y externos.</t>
  </si>
  <si>
    <t>El profesional de la DAC, líder de cursos pedagógicos verifica semestralmente los  lineamientos para la atención de los ciudadanos que asistan a los cursos pedagógicos por infracciones a las normas de tránsito, a través del seguimiento a los requisitos establecidos en la Resolución No. 20203040011355 de 2020, dejando como registro las actas de seguimiento.</t>
  </si>
  <si>
    <t>El profesional de la DAC, líder de cursos pedagógicos verifica  semestralmente los  requisitos legales y normativos frente a las necesidades de los usuarios, a través del seguimiento de los lineamientos establecidos en el procedimiento PM04-PR01-cursos pedagógicos por infracción a las normas de tránsito, dejando como registro la matriz de seguimiento del cumpliento de la norma ISO 9001-2015.</t>
  </si>
  <si>
    <t>El profesional de la DAC líder de cursos pedagógicos,  analiza trimestralmente las técnicas didácticas o estrategias pedagógicas utilizadas durante los cursos de pedagógicos por infracción a las normas de tránsito , a través del seguimiento de los lineamientos establecidos en el procedimiento PM04-PR01-cursos pedagógicos, dejando como registro las actas de seguimiento.</t>
  </si>
  <si>
    <t>El profesional de la DAC líder de cursos pedagógicos,  verifica trimestralmente la aplicación de los mecanismos de medición, a través del seguimiento de los lineamientos establecidos en el procedimiento PM04-PR01-Cursos Pedagógicos y PM04-PR07-Retroalimentación con el Ciudadano, dejando como registro los formatos anexos al procedimiento documentado.</t>
  </si>
  <si>
    <t>El profesional de la DAC líder de cursos pedagógicos, remite trimestralmente a la Oficina de Seguridad Vial, el reporte con evidencia de las actividades desarrolladas por la dependencia para cumplir con las acciones establecidas en el Plan Distrital de Seguridad Vial y del motociclista (PDSVM), acorde con los dispuesto en el Decreto 813 de 2017, dejando como registro la trazabilidad del envío de la matriz  PDSVM.</t>
  </si>
  <si>
    <t xml:space="preserve">pérdida de la imagen institucional por parte de la ciudadanía </t>
  </si>
  <si>
    <t xml:space="preserve"> ejecución de la política de racionalización (estrategias tecnológicas de simplificación, estandarización, eliminación y automatización), fuera de los lineamientos normativos para su efectividad en la prestación de trámites y servicios </t>
  </si>
  <si>
    <t xml:space="preserve">Posibilidad de afectación reputacional por pérdida de la imagen institucional por parte de la ciudadanía debido a la ejecución de la política de racionalización (estrategias tecnológicas de simplificación, estandarización, eliminación y automatización), fuera de los lineamientos normativos para su efectividad en la prestación de trámites y servicios </t>
  </si>
  <si>
    <t>El profesional de la DAC líder de racionalización de trámites, actualiza mensualmente,  la información publicada en la Guía de Trámites y Servicios, el Sistema Único de Información de Trámites (SUIT) y el portafolio de Trámites y Servicios de la Entidad,  acorde con los lineamientos establecidos en el procedimiento PM04-PR08-Gestión información trámites y servicios, dejando como registro los certificados de confiabilidad de la información.</t>
  </si>
  <si>
    <t>El profesional de la DAC líder de racionalización de trámites,  análiza  variables internas y externas, e implementa estrategias de tecnologías de simplificación, estandarización, eliminación y automatización de los servicios prestados por la entidad,  acorde con los lineamientos establecidos en la política de racionalización de trámites del Departamento Administrativo de la Función Pública-DAFP, dejando como registro los seguimientos trimestrales a las acciones propuestas en la estrategia de racionalización de trámites.</t>
  </si>
  <si>
    <t>pérdida de la imagen institucional por parte de la ciudadanía</t>
  </si>
  <si>
    <t>administración y custodia de los vehículos remanentes inmovilizados en los parqueaderos de la Secretaría Distrital de Movilidad , fuera de los establecido en  la Ley 1730 de 2014 para identificar los vehículos susceptibles de declarar en abandono, y de los lineamientos establecidos y adoptados por la entidad.</t>
  </si>
  <si>
    <t>Posibilidad de afectación reputacional por pérdida de la imagen institucional por parte de la ciudadania, debido a  la administración y custodia de los vehículos remanentes inmovilizados en los parqueaderos de la Secretaría Distrital de Movilidad , fuera de los establecido en  la Ley 1730 de 2014 para identificar los vehículos susceptibles de declarar en abandono, y de los lineamientos establecidos y adoptados por la entidad.</t>
  </si>
  <si>
    <t xml:space="preserve">El profesional de la DAC líder de la aplicación de la Ley 1730, consolida mensualmente la documentación de los vehículos susceptibles de aplicación Ley 1730 de 2014, con el fin de adelantar el procedimiento de enajenación de los vehículos declarados en abandono, acorde con los lineamientos establecidos en el procedimiento PM04-PR03- ley 1730, dejando como registro una base de datos con la identificación de estos vehículos. </t>
  </si>
  <si>
    <t xml:space="preserve">El profesional de la DAC líder de patios remanetes, implementa  actividades permanentes para retirar automotores que se encuentran inmovilizados en los parqueaderos de remanentes administrados por la Secretaría Distrital de Movilidad,  en cumplimiento de las normas contenidas en el Código Nacional de Tránsito y los lineamientos establecidos en el PM04-PR02-Entrega automotores inmovilizados en parqueadero remanente, dejando como registro una base de datos con la identificación de estos vehículos. </t>
  </si>
  <si>
    <t>Control Interno</t>
  </si>
  <si>
    <t>Mejorar y proteger el valor de la organización a través de la ejecución del programa de auditorías, de manera independiente y objetiva en el marco del sistema de control interno  con el fin de ofrecer una seguridad razonable respecto al logro de los objetivos institucionales</t>
  </si>
  <si>
    <t>Inicia desde la definición de la estrategia y métodos para evaluar la gestión institucional con enfoque preventivo hasta la revisión de la estrategia y metodología  para la evaluación de la gestión institucional</t>
  </si>
  <si>
    <t>Estado del Plan de Acción</t>
  </si>
  <si>
    <t xml:space="preserve">Estado del Plan de Acción </t>
  </si>
  <si>
    <t>Gestion de Evaluación Independiente</t>
  </si>
  <si>
    <t>CUATRIMESTRAL</t>
  </si>
  <si>
    <t>El Jefe de la Oficina de Control Interno realiza seguimiento trimestral al cumplimiento del Plan Anual de Auditorias, en caso de no cumplimiento se lleva reporte o informes al Comité Institucional de Coordinación de Control Interno, para que se tomen las acciones correspondientes</t>
  </si>
  <si>
    <t>Realizar seguimiento cuatrimestral al cumplimiento de los términos establecidos  para la auditoria interna  elaborados y aprobados en el cronograma anual, por parte del Comité Institucional de Coordinación de Control Interno de la presente vigencia.</t>
  </si>
  <si>
    <t>El jefe de la Oficina de Control Interno, realiza seguimiento cuatrimestral a la presentación de los informes a los auditados, establecidos en la carta plan de auditoría interna, con el fin de asegurar su cumplimiento en las fechas establecidas.</t>
  </si>
  <si>
    <t>El jefe de Control interno  lleva propuesta  al comité de Control Interno  sobre el ajuste del Plan de Auditorias, la situacion que se presento y explicar el porque se debera modificar el plan de Auditorias para que de esta forma se apruebe el nuevo plan .</t>
  </si>
  <si>
    <t>Rendir informe al Comité Institucional de Coordinación de Control sobre los cambios en el cronograma anual de auditorías internas, con su respectiva sustentación de cambio y nueva propuesta.</t>
  </si>
  <si>
    <r>
      <t xml:space="preserve">VERSIÓN: </t>
    </r>
    <r>
      <rPr>
        <sz val="11"/>
        <color rgb="FF000000"/>
        <rFont val="Arial"/>
        <family val="2"/>
      </rPr>
      <t>05</t>
    </r>
  </si>
  <si>
    <t>I SEGUIMIENTO 2025
Corte: 30 de abril 2025</t>
  </si>
  <si>
    <t>III SEGUIMIENTO 2025
Corte: 31 de agosto 2025</t>
  </si>
  <si>
    <t>III SEGUIMIENTO 2025
Corte: 31 diciembre 2025</t>
  </si>
  <si>
    <t>Falta de mejora de los procesos de la Corporacion y perdida de credibilidad por parte de la ciudadania</t>
  </si>
  <si>
    <t>Incumplimiento de Plan Anual de Auditoria  aprobado por el comité Insttitucional de Coordinación de Control Interno, por aspectos internos y externos.</t>
  </si>
  <si>
    <t>Posibilidad de afectación reputaciones por la falta de mejora de los procesos de la Corporacion y perdida de credibilidad por parte de la ciudadania por incumplimiento del Plan Anual de Auditoria aprobado por el comité Insttitucional de Coordinación de Control Interno</t>
  </si>
  <si>
    <r>
      <t xml:space="preserve">FECHA: </t>
    </r>
    <r>
      <rPr>
        <sz val="11"/>
        <color rgb="FF000000"/>
        <rFont val="Arial"/>
        <family val="2"/>
      </rPr>
      <t>07-05-2025</t>
    </r>
  </si>
  <si>
    <t>Realizar seguimiento a la presentación de los informes a los auditados, en carpeta física verificando la radicación y las fechas acordadas con los auditados.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</si>
</sst>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6"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b/>
      <sz val="14"/>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11"/>
      <color theme="1"/>
      <name val="Calibri"/>
      <family val="2"/>
      <scheme val="minor"/>
    </font>
    <font>
      <b/>
      <sz val="22"/>
      <color theme="1"/>
      <name val="Arial"/>
      <family val="2"/>
    </font>
    <font>
      <sz val="11"/>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24"/>
      <color theme="1"/>
      <name val="Calibri"/>
      <family val="2"/>
      <scheme val="minor"/>
    </font>
    <font>
      <b/>
      <sz val="26"/>
      <color theme="1"/>
      <name val="Calibri"/>
      <family val="2"/>
      <scheme val="minor"/>
    </font>
    <font>
      <b/>
      <sz val="11"/>
      <name val="Arial"/>
      <family val="2"/>
    </font>
    <font>
      <b/>
      <sz val="11"/>
      <color rgb="FF000000"/>
      <name val="Arial"/>
      <family val="2"/>
    </font>
    <font>
      <sz val="11"/>
      <color rgb="FF000000"/>
      <name val="Arial"/>
      <family val="2"/>
    </font>
  </fonts>
  <fills count="2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4"/>
        <bgColor indexed="64"/>
      </patternFill>
    </fill>
    <fill>
      <patternFill patternType="solid">
        <fgColor theme="8"/>
        <bgColor indexed="64"/>
      </patternFill>
    </fill>
    <fill>
      <patternFill patternType="solid">
        <fgColor theme="4"/>
        <bgColor rgb="FF92D050"/>
      </patternFill>
    </fill>
    <fill>
      <patternFill patternType="solid">
        <fgColor theme="8"/>
        <bgColor rgb="FF92D050"/>
      </patternFill>
    </fill>
    <fill>
      <patternFill patternType="solid">
        <fgColor theme="4" tint="-0.249977111117893"/>
        <bgColor indexed="64"/>
      </patternFill>
    </fill>
    <fill>
      <patternFill patternType="solid">
        <fgColor theme="4" tint="-0.249977111117893"/>
        <bgColor rgb="FF92D050"/>
      </patternFill>
    </fill>
  </fills>
  <borders count="79">
    <border>
      <left/>
      <right/>
      <top/>
      <bottom/>
      <diagonal/>
    </border>
    <border>
      <left style="dotted">
        <color rgb="FFF79646"/>
      </left>
      <right style="dotted">
        <color rgb="FFF79646"/>
      </right>
      <top style="dotted">
        <color rgb="FFF79646"/>
      </top>
      <bottom style="dotted">
        <color rgb="FFF79646"/>
      </bottom>
      <diagonal/>
    </border>
    <border>
      <left style="dashed">
        <color theme="9" tint="-0.24994659260841701"/>
      </left>
      <right style="dashed">
        <color theme="9" tint="-0.24994659260841701"/>
      </right>
      <top style="dashed">
        <color theme="9" tint="-0.24994659260841701"/>
      </top>
      <bottom style="dashed">
        <color theme="9" tint="-0.24994659260841701"/>
      </bottom>
      <diagonal/>
    </border>
    <border>
      <left style="dashed">
        <color theme="9" tint="-0.24994659260841701"/>
      </left>
      <right/>
      <top/>
      <bottom style="dashed">
        <color theme="9" tint="-0.24994659260841701"/>
      </bottom>
      <diagonal/>
    </border>
    <border>
      <left style="dashed">
        <color theme="9" tint="-0.24994659260841701"/>
      </left>
      <right style="dashed">
        <color theme="9" tint="-0.24994659260841701"/>
      </right>
      <top style="dashed">
        <color theme="9" tint="-0.24994659260841701"/>
      </top>
      <bottom/>
      <diagonal/>
    </border>
    <border>
      <left style="dashed">
        <color theme="9" tint="-0.24994659260841701"/>
      </left>
      <right style="dashed">
        <color theme="9" tint="-0.24994659260841701"/>
      </right>
      <top/>
      <bottom style="dashed">
        <color theme="9" tint="-0.24994659260841701"/>
      </bottom>
      <diagonal/>
    </border>
    <border>
      <left style="dashed">
        <color theme="9" tint="-0.24994659260841701"/>
      </left>
      <right/>
      <top style="dashed">
        <color theme="9" tint="-0.24994659260841701"/>
      </top>
      <bottom style="dashed">
        <color theme="9" tint="-0.24994659260841701"/>
      </bottom>
      <diagonal/>
    </border>
    <border>
      <left/>
      <right style="dashed">
        <color theme="9" tint="-0.24994659260841701"/>
      </right>
      <top style="dashed">
        <color theme="9" tint="-0.24994659260841701"/>
      </top>
      <bottom style="dashed">
        <color theme="9" tint="-0.24994659260841701"/>
      </bottom>
      <diagonal/>
    </border>
    <border>
      <left style="dashed">
        <color theme="9" tint="-0.24994659260841701"/>
      </left>
      <right style="dashed">
        <color theme="9" tint="-0.24994659260841701"/>
      </right>
      <top/>
      <bottom/>
      <diagonal/>
    </border>
    <border>
      <left style="dashed">
        <color theme="9" tint="-0.24994659260841701"/>
      </left>
      <right/>
      <top/>
      <bottom/>
      <diagonal/>
    </border>
    <border>
      <left/>
      <right/>
      <top style="dashed">
        <color theme="9" tint="-0.24994659260841701"/>
      </top>
      <bottom style="dashed">
        <color theme="9" tint="-0.24994659260841701"/>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9" fontId="14" fillId="0" borderId="0" applyFont="0" applyFill="0" applyBorder="0" applyAlignment="0" applyProtection="0"/>
    <xf numFmtId="0" fontId="47" fillId="0" borderId="0"/>
    <xf numFmtId="0" fontId="48" fillId="0" borderId="0"/>
    <xf numFmtId="0" fontId="5" fillId="0" borderId="0"/>
  </cellStyleXfs>
  <cellXfs count="477">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6" borderId="0" xfId="0" applyFont="1" applyFill="1" applyAlignment="1">
      <alignment horizontal="center" vertical="center" wrapText="1" readingOrder="1"/>
    </xf>
    <xf numFmtId="0" fontId="10" fillId="5" borderId="11" xfId="0" applyFont="1" applyFill="1" applyBorder="1" applyAlignment="1">
      <alignment horizontal="center" vertical="center" wrapText="1" readingOrder="1"/>
    </xf>
    <xf numFmtId="0" fontId="10" fillId="0" borderId="11" xfId="0" applyFont="1" applyBorder="1" applyAlignment="1">
      <alignment horizontal="justify" vertical="center" wrapText="1" readingOrder="1"/>
    </xf>
    <xf numFmtId="9" fontId="10" fillId="0" borderId="11" xfId="0" applyNumberFormat="1" applyFont="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4" borderId="1" xfId="0" applyFont="1" applyFill="1" applyBorder="1" applyAlignment="1">
      <alignment horizontal="center" vertical="center" wrapText="1" readingOrder="1"/>
    </xf>
    <xf numFmtId="0" fontId="10" fillId="8" borderId="1" xfId="0" applyFont="1" applyFill="1" applyBorder="1" applyAlignment="1">
      <alignment horizontal="center" vertical="center" wrapText="1" readingOrder="1"/>
    </xf>
    <xf numFmtId="0" fontId="11" fillId="9" borderId="1" xfId="0" applyFont="1" applyFill="1" applyBorder="1" applyAlignment="1">
      <alignment horizontal="center" vertical="center" wrapText="1" readingOrder="1"/>
    </xf>
    <xf numFmtId="0" fontId="15" fillId="0" borderId="0" xfId="0" applyFont="1"/>
    <xf numFmtId="0" fontId="13" fillId="0" borderId="0" xfId="0" applyFont="1"/>
    <xf numFmtId="0" fontId="28" fillId="0" borderId="0" xfId="0" applyFont="1" applyAlignment="1">
      <alignment vertical="center"/>
    </xf>
    <xf numFmtId="0" fontId="29" fillId="0" borderId="0" xfId="0" applyFont="1"/>
    <xf numFmtId="0" fontId="27" fillId="0" borderId="0" xfId="0" applyFont="1"/>
    <xf numFmtId="0" fontId="0" fillId="0" borderId="0" xfId="0" pivotButton="1"/>
    <xf numFmtId="0" fontId="12" fillId="0" borderId="0" xfId="0" applyFont="1" applyAlignment="1">
      <alignment horizontal="justify" vertical="center" wrapText="1" readingOrder="1"/>
    </xf>
    <xf numFmtId="0" fontId="30" fillId="0" borderId="0" xfId="0" applyFont="1"/>
    <xf numFmtId="0" fontId="32" fillId="6" borderId="0" xfId="0" applyFont="1" applyFill="1" applyAlignment="1">
      <alignment horizontal="center" vertical="center" wrapText="1" readingOrder="1"/>
    </xf>
    <xf numFmtId="0" fontId="33" fillId="0" borderId="11" xfId="0" applyFont="1" applyBorder="1" applyAlignment="1">
      <alignment horizontal="justify" vertical="center" wrapText="1" readingOrder="1"/>
    </xf>
    <xf numFmtId="0" fontId="33" fillId="0" borderId="1" xfId="0" applyFont="1" applyBorder="1" applyAlignment="1">
      <alignment horizontal="justify" vertical="center" wrapText="1" readingOrder="1"/>
    </xf>
    <xf numFmtId="0" fontId="33" fillId="5" borderId="11" xfId="0" applyFont="1" applyFill="1" applyBorder="1" applyAlignment="1">
      <alignment horizontal="center" vertical="center" wrapText="1" readingOrder="1"/>
    </xf>
    <xf numFmtId="0" fontId="33" fillId="7" borderId="1" xfId="0" applyFont="1" applyFill="1" applyBorder="1" applyAlignment="1">
      <alignment horizontal="center" vertical="center" wrapText="1" readingOrder="1"/>
    </xf>
    <xf numFmtId="0" fontId="33" fillId="4"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4" fillId="9" borderId="1" xfId="0" applyFont="1" applyFill="1" applyBorder="1" applyAlignment="1">
      <alignment horizontal="center" vertical="center" wrapText="1" readingOrder="1"/>
    </xf>
    <xf numFmtId="0" fontId="33" fillId="0" borderId="11" xfId="0" applyFont="1" applyBorder="1" applyAlignment="1">
      <alignment horizontal="center" vertical="center" wrapText="1" readingOrder="1"/>
    </xf>
    <xf numFmtId="0" fontId="33" fillId="0" borderId="1" xfId="0" applyFont="1" applyBorder="1" applyAlignment="1">
      <alignment horizontal="center" vertical="center" wrapText="1" readingOrder="1"/>
    </xf>
    <xf numFmtId="0" fontId="19" fillId="11" borderId="12" xfId="0" applyFont="1" applyFill="1" applyBorder="1" applyAlignment="1" applyProtection="1">
      <alignment horizontal="center" vertical="center" wrapText="1" readingOrder="1"/>
      <protection hidden="1"/>
    </xf>
    <xf numFmtId="0" fontId="19" fillId="11" borderId="19" xfId="0" applyFont="1" applyFill="1" applyBorder="1" applyAlignment="1" applyProtection="1">
      <alignment horizontal="center" vertical="center" wrapText="1" readingOrder="1"/>
      <protection hidden="1"/>
    </xf>
    <xf numFmtId="0" fontId="19" fillId="11" borderId="13" xfId="0" applyFont="1" applyFill="1" applyBorder="1" applyAlignment="1" applyProtection="1">
      <alignment horizontal="center" vertical="center" wrapText="1" readingOrder="1"/>
      <protection hidden="1"/>
    </xf>
    <xf numFmtId="0" fontId="19" fillId="12" borderId="12" xfId="0" applyFont="1" applyFill="1" applyBorder="1" applyAlignment="1" applyProtection="1">
      <alignment horizontal="center" wrapText="1" readingOrder="1"/>
      <protection hidden="1"/>
    </xf>
    <xf numFmtId="0" fontId="19" fillId="12" borderId="19" xfId="0" applyFont="1" applyFill="1" applyBorder="1" applyAlignment="1" applyProtection="1">
      <alignment horizontal="center" wrapText="1" readingOrder="1"/>
      <protection hidden="1"/>
    </xf>
    <xf numFmtId="0" fontId="19" fillId="12" borderId="13" xfId="0" applyFont="1" applyFill="1" applyBorder="1" applyAlignment="1" applyProtection="1">
      <alignment horizontal="center" wrapText="1" readingOrder="1"/>
      <protection hidden="1"/>
    </xf>
    <xf numFmtId="0" fontId="19" fillId="11" borderId="14" xfId="0" applyFont="1" applyFill="1" applyBorder="1" applyAlignment="1" applyProtection="1">
      <alignment horizontal="center" vertical="center" wrapText="1" readingOrder="1"/>
      <protection hidden="1"/>
    </xf>
    <xf numFmtId="0" fontId="19" fillId="11" borderId="0" xfId="0" applyFont="1" applyFill="1" applyAlignment="1" applyProtection="1">
      <alignment horizontal="center" vertical="center" wrapText="1" readingOrder="1"/>
      <protection hidden="1"/>
    </xf>
    <xf numFmtId="0" fontId="19" fillId="11" borderId="15" xfId="0" applyFont="1" applyFill="1" applyBorder="1" applyAlignment="1" applyProtection="1">
      <alignment horizontal="center" vertical="center" wrapText="1" readingOrder="1"/>
      <protection hidden="1"/>
    </xf>
    <xf numFmtId="0" fontId="19" fillId="12" borderId="14"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15" xfId="0" applyFont="1" applyFill="1" applyBorder="1" applyAlignment="1" applyProtection="1">
      <alignment horizontal="center" wrapText="1" readingOrder="1"/>
      <protection hidden="1"/>
    </xf>
    <xf numFmtId="0" fontId="19" fillId="11" borderId="16" xfId="0" applyFont="1" applyFill="1" applyBorder="1" applyAlignment="1" applyProtection="1">
      <alignment horizontal="center" vertical="center" wrapText="1" readingOrder="1"/>
      <protection hidden="1"/>
    </xf>
    <xf numFmtId="0" fontId="19" fillId="11" borderId="18" xfId="0" applyFont="1" applyFill="1" applyBorder="1" applyAlignment="1" applyProtection="1">
      <alignment horizontal="center" vertical="center" wrapText="1" readingOrder="1"/>
      <protection hidden="1"/>
    </xf>
    <xf numFmtId="0" fontId="19" fillId="11" borderId="17" xfId="0" applyFont="1" applyFill="1" applyBorder="1" applyAlignment="1" applyProtection="1">
      <alignment horizontal="center" vertical="center" wrapText="1" readingOrder="1"/>
      <protection hidden="1"/>
    </xf>
    <xf numFmtId="0" fontId="19" fillId="12" borderId="16" xfId="0" applyFont="1" applyFill="1" applyBorder="1" applyAlignment="1" applyProtection="1">
      <alignment horizontal="center" wrapText="1" readingOrder="1"/>
      <protection hidden="1"/>
    </xf>
    <xf numFmtId="0" fontId="19" fillId="12" borderId="18" xfId="0" applyFont="1" applyFill="1" applyBorder="1" applyAlignment="1" applyProtection="1">
      <alignment horizontal="center" wrapText="1" readingOrder="1"/>
      <protection hidden="1"/>
    </xf>
    <xf numFmtId="0" fontId="19" fillId="12" borderId="17" xfId="0" applyFont="1" applyFill="1" applyBorder="1" applyAlignment="1" applyProtection="1">
      <alignment horizontal="center" wrapText="1" readingOrder="1"/>
      <protection hidden="1"/>
    </xf>
    <xf numFmtId="0" fontId="19" fillId="13" borderId="12" xfId="0" applyFont="1" applyFill="1" applyBorder="1" applyAlignment="1" applyProtection="1">
      <alignment horizontal="center" wrapText="1" readingOrder="1"/>
      <protection hidden="1"/>
    </xf>
    <xf numFmtId="0" fontId="19" fillId="13" borderId="19" xfId="0" applyFont="1" applyFill="1" applyBorder="1" applyAlignment="1" applyProtection="1">
      <alignment horizontal="center" wrapText="1" readingOrder="1"/>
      <protection hidden="1"/>
    </xf>
    <xf numFmtId="0" fontId="19" fillId="13" borderId="13" xfId="0" applyFont="1" applyFill="1" applyBorder="1" applyAlignment="1" applyProtection="1">
      <alignment horizontal="center" wrapText="1" readingOrder="1"/>
      <protection hidden="1"/>
    </xf>
    <xf numFmtId="0" fontId="19" fillId="13" borderId="14" xfId="0" applyFont="1" applyFill="1" applyBorder="1" applyAlignment="1" applyProtection="1">
      <alignment horizontal="center" wrapText="1" readingOrder="1"/>
      <protection hidden="1"/>
    </xf>
    <xf numFmtId="0" fontId="19" fillId="13" borderId="0" xfId="0" applyFont="1" applyFill="1" applyAlignment="1" applyProtection="1">
      <alignment horizontal="center" wrapText="1" readingOrder="1"/>
      <protection hidden="1"/>
    </xf>
    <xf numFmtId="0" fontId="19" fillId="13" borderId="15" xfId="0" applyFont="1" applyFill="1" applyBorder="1" applyAlignment="1" applyProtection="1">
      <alignment horizontal="center" wrapText="1" readingOrder="1"/>
      <protection hidden="1"/>
    </xf>
    <xf numFmtId="0" fontId="19" fillId="13" borderId="16" xfId="0" applyFont="1" applyFill="1" applyBorder="1" applyAlignment="1" applyProtection="1">
      <alignment horizontal="center" wrapText="1" readingOrder="1"/>
      <protection hidden="1"/>
    </xf>
    <xf numFmtId="0" fontId="19" fillId="13" borderId="18" xfId="0" applyFont="1" applyFill="1" applyBorder="1" applyAlignment="1" applyProtection="1">
      <alignment horizontal="center" wrapText="1" readingOrder="1"/>
      <protection hidden="1"/>
    </xf>
    <xf numFmtId="0" fontId="19" fillId="13" borderId="17" xfId="0" applyFont="1" applyFill="1" applyBorder="1" applyAlignment="1" applyProtection="1">
      <alignment horizontal="center" wrapText="1" readingOrder="1"/>
      <protection hidden="1"/>
    </xf>
    <xf numFmtId="0" fontId="19" fillId="5" borderId="12" xfId="0" applyFont="1" applyFill="1" applyBorder="1" applyAlignment="1" applyProtection="1">
      <alignment horizontal="center" wrapText="1" readingOrder="1"/>
      <protection hidden="1"/>
    </xf>
    <xf numFmtId="0" fontId="19" fillId="5" borderId="19" xfId="0" applyFont="1" applyFill="1" applyBorder="1" applyAlignment="1" applyProtection="1">
      <alignment horizontal="center" wrapText="1" readingOrder="1"/>
      <protection hidden="1"/>
    </xf>
    <xf numFmtId="0" fontId="19" fillId="5" borderId="13" xfId="0" applyFont="1" applyFill="1" applyBorder="1" applyAlignment="1" applyProtection="1">
      <alignment horizontal="center" wrapText="1" readingOrder="1"/>
      <protection hidden="1"/>
    </xf>
    <xf numFmtId="0" fontId="19" fillId="5" borderId="14" xfId="0" applyFont="1" applyFill="1" applyBorder="1" applyAlignment="1" applyProtection="1">
      <alignment horizontal="center" wrapText="1" readingOrder="1"/>
      <protection hidden="1"/>
    </xf>
    <xf numFmtId="0" fontId="19" fillId="5" borderId="0" xfId="0" applyFont="1" applyFill="1" applyAlignment="1" applyProtection="1">
      <alignment horizontal="center" wrapText="1" readingOrder="1"/>
      <protection hidden="1"/>
    </xf>
    <xf numFmtId="0" fontId="19" fillId="5" borderId="15" xfId="0" applyFont="1" applyFill="1" applyBorder="1" applyAlignment="1" applyProtection="1">
      <alignment horizontal="center" wrapText="1" readingOrder="1"/>
      <protection hidden="1"/>
    </xf>
    <xf numFmtId="0" fontId="19" fillId="5" borderId="16" xfId="0" applyFont="1" applyFill="1" applyBorder="1" applyAlignment="1" applyProtection="1">
      <alignment horizontal="center" wrapText="1" readingOrder="1"/>
      <protection hidden="1"/>
    </xf>
    <xf numFmtId="0" fontId="19" fillId="5" borderId="18" xfId="0" applyFont="1" applyFill="1" applyBorder="1" applyAlignment="1" applyProtection="1">
      <alignment horizontal="center" wrapText="1" readingOrder="1"/>
      <protection hidden="1"/>
    </xf>
    <xf numFmtId="0" fontId="19" fillId="5" borderId="17" xfId="0" applyFont="1" applyFill="1" applyBorder="1" applyAlignment="1" applyProtection="1">
      <alignment horizontal="center" wrapText="1" readingOrder="1"/>
      <protection hidden="1"/>
    </xf>
    <xf numFmtId="0" fontId="23" fillId="13" borderId="19" xfId="0" applyFont="1" applyFill="1" applyBorder="1" applyAlignment="1" applyProtection="1">
      <alignment horizontal="center" wrapText="1" readingOrder="1"/>
      <protection hidden="1"/>
    </xf>
    <xf numFmtId="0" fontId="0" fillId="3" borderId="0" xfId="0" applyFill="1"/>
    <xf numFmtId="0" fontId="49" fillId="3" borderId="46" xfId="2" applyFont="1" applyFill="1" applyBorder="1"/>
    <xf numFmtId="0" fontId="49" fillId="3" borderId="47" xfId="2" applyFont="1" applyFill="1" applyBorder="1"/>
    <xf numFmtId="0" fontId="49" fillId="3" borderId="48" xfId="2" applyFont="1" applyFill="1" applyBorder="1"/>
    <xf numFmtId="0" fontId="16" fillId="3" borderId="0" xfId="0" applyFont="1" applyFill="1" applyAlignment="1">
      <alignment vertical="center"/>
    </xf>
    <xf numFmtId="0" fontId="5" fillId="3" borderId="0" xfId="0" applyFont="1" applyFill="1"/>
    <xf numFmtId="0" fontId="36" fillId="3" borderId="0" xfId="0" applyFont="1" applyFill="1"/>
    <xf numFmtId="0" fontId="37" fillId="3" borderId="29" xfId="0" applyFont="1" applyFill="1" applyBorder="1" applyAlignment="1">
      <alignment horizontal="center" vertical="center" wrapText="1" readingOrder="1"/>
    </xf>
    <xf numFmtId="0" fontId="38" fillId="3" borderId="29" xfId="0" applyFont="1" applyFill="1" applyBorder="1" applyAlignment="1">
      <alignment horizontal="justify" vertical="center" wrapText="1" readingOrder="1"/>
    </xf>
    <xf numFmtId="9" fontId="37" fillId="3" borderId="38" xfId="0" applyNumberFormat="1" applyFont="1" applyFill="1" applyBorder="1" applyAlignment="1">
      <alignment horizontal="center" vertical="center" wrapText="1" readingOrder="1"/>
    </xf>
    <xf numFmtId="0" fontId="37" fillId="3" borderId="28" xfId="0" applyFont="1" applyFill="1" applyBorder="1" applyAlignment="1">
      <alignment horizontal="center" vertical="center" wrapText="1" readingOrder="1"/>
    </xf>
    <xf numFmtId="0" fontId="38" fillId="3" borderId="28" xfId="0" applyFont="1" applyFill="1" applyBorder="1" applyAlignment="1">
      <alignment horizontal="justify" vertical="center" wrapText="1" readingOrder="1"/>
    </xf>
    <xf numFmtId="9" fontId="37" fillId="3" borderId="33" xfId="0" applyNumberFormat="1" applyFont="1" applyFill="1" applyBorder="1" applyAlignment="1">
      <alignment horizontal="center" vertical="center" wrapText="1" readingOrder="1"/>
    </xf>
    <xf numFmtId="0" fontId="38" fillId="3" borderId="33" xfId="0" applyFont="1" applyFill="1" applyBorder="1" applyAlignment="1">
      <alignment horizontal="center" vertical="center" wrapText="1" readingOrder="1"/>
    </xf>
    <xf numFmtId="0" fontId="37" fillId="3" borderId="35" xfId="0" applyFont="1" applyFill="1" applyBorder="1" applyAlignment="1">
      <alignment horizontal="center" vertical="center" wrapText="1" readingOrder="1"/>
    </xf>
    <xf numFmtId="0" fontId="38" fillId="3" borderId="35" xfId="0" applyFont="1" applyFill="1" applyBorder="1" applyAlignment="1">
      <alignment horizontal="justify" vertical="center" wrapText="1" readingOrder="1"/>
    </xf>
    <xf numFmtId="0" fontId="38" fillId="3" borderId="36" xfId="0" applyFont="1" applyFill="1" applyBorder="1" applyAlignment="1">
      <alignment horizontal="center" vertical="center" wrapText="1" readingOrder="1"/>
    </xf>
    <xf numFmtId="0" fontId="46" fillId="3" borderId="0" xfId="0" applyFont="1" applyFill="1"/>
    <xf numFmtId="0" fontId="37" fillId="15" borderId="40" xfId="0" applyFont="1" applyFill="1" applyBorder="1" applyAlignment="1">
      <alignment horizontal="center" vertical="center" wrapText="1" readingOrder="1"/>
    </xf>
    <xf numFmtId="0" fontId="37" fillId="15" borderId="41" xfId="0" applyFont="1" applyFill="1" applyBorder="1" applyAlignment="1">
      <alignment horizontal="center" vertical="center" wrapText="1" readingOrder="1"/>
    </xf>
    <xf numFmtId="0" fontId="13" fillId="3" borderId="0" xfId="0" applyFont="1" applyFill="1"/>
    <xf numFmtId="0" fontId="31" fillId="3" borderId="0" xfId="0" applyFont="1" applyFill="1" applyAlignment="1">
      <alignment horizontal="center" vertical="center" wrapText="1"/>
    </xf>
    <xf numFmtId="0" fontId="12" fillId="3" borderId="0" xfId="0" applyFont="1" applyFill="1" applyAlignment="1">
      <alignment horizontal="justify" vertical="center" wrapText="1" readingOrder="1"/>
    </xf>
    <xf numFmtId="0" fontId="4" fillId="3" borderId="0" xfId="0" applyFont="1" applyFill="1" applyAlignment="1">
      <alignment vertical="center"/>
    </xf>
    <xf numFmtId="0" fontId="15" fillId="3" borderId="0" xfId="0" applyFont="1" applyFill="1"/>
    <xf numFmtId="0" fontId="4" fillId="3" borderId="0" xfId="0" applyFont="1" applyFill="1" applyAlignment="1">
      <alignment horizontal="left" vertical="center"/>
    </xf>
    <xf numFmtId="0" fontId="49" fillId="3" borderId="14" xfId="2" applyFont="1" applyFill="1" applyBorder="1"/>
    <xf numFmtId="0" fontId="54" fillId="3" borderId="0" xfId="0" applyFont="1" applyFill="1" applyAlignment="1">
      <alignment horizontal="left" vertical="center" wrapText="1"/>
    </xf>
    <xf numFmtId="0" fontId="55" fillId="3" borderId="0" xfId="0" applyFont="1" applyFill="1" applyAlignment="1">
      <alignment horizontal="left" vertical="top" wrapText="1"/>
    </xf>
    <xf numFmtId="0" fontId="49" fillId="3" borderId="0" xfId="2" applyFont="1" applyFill="1"/>
    <xf numFmtId="0" fontId="49" fillId="3" borderId="15" xfId="2" applyFont="1" applyFill="1" applyBorder="1"/>
    <xf numFmtId="0" fontId="49" fillId="3" borderId="16" xfId="2" applyFont="1" applyFill="1" applyBorder="1"/>
    <xf numFmtId="0" fontId="49" fillId="3" borderId="18" xfId="2" applyFont="1" applyFill="1" applyBorder="1"/>
    <xf numFmtId="0" fontId="49" fillId="3" borderId="17" xfId="2" applyFont="1" applyFill="1" applyBorder="1"/>
    <xf numFmtId="0" fontId="53" fillId="3" borderId="0" xfId="2" applyFont="1" applyFill="1" applyAlignment="1">
      <alignment horizontal="left" vertical="center" wrapText="1"/>
    </xf>
    <xf numFmtId="0" fontId="49" fillId="3" borderId="0" xfId="2" applyFont="1" applyFill="1" applyAlignment="1">
      <alignment horizontal="left" vertical="center" wrapText="1"/>
    </xf>
    <xf numFmtId="0" fontId="49" fillId="3" borderId="0" xfId="2" quotePrefix="1" applyFont="1" applyFill="1" applyAlignment="1">
      <alignment horizontal="left" vertical="center" wrapText="1"/>
    </xf>
    <xf numFmtId="0" fontId="51" fillId="3" borderId="14" xfId="2" quotePrefix="1" applyFont="1" applyFill="1" applyBorder="1" applyAlignment="1">
      <alignment horizontal="left" vertical="top" wrapText="1"/>
    </xf>
    <xf numFmtId="0" fontId="52" fillId="3" borderId="0" xfId="2" quotePrefix="1" applyFont="1" applyFill="1" applyAlignment="1">
      <alignment horizontal="left" vertical="top" wrapText="1"/>
    </xf>
    <xf numFmtId="0" fontId="52" fillId="3" borderId="15" xfId="2" quotePrefix="1" applyFont="1" applyFill="1" applyBorder="1" applyAlignment="1">
      <alignment horizontal="left" vertical="top" wrapText="1"/>
    </xf>
    <xf numFmtId="0" fontId="60" fillId="3" borderId="0" xfId="0" applyFont="1" applyFill="1"/>
    <xf numFmtId="0" fontId="60" fillId="0" borderId="0" xfId="0" applyFont="1"/>
    <xf numFmtId="0" fontId="63" fillId="3" borderId="0" xfId="0" applyFont="1" applyFill="1" applyAlignment="1">
      <alignment horizontal="center" vertical="center"/>
    </xf>
    <xf numFmtId="0" fontId="63" fillId="2" borderId="0" xfId="0" applyFont="1" applyFill="1" applyAlignment="1">
      <alignment horizontal="center" vertical="center"/>
    </xf>
    <xf numFmtId="0" fontId="60" fillId="3" borderId="0" xfId="0" applyFont="1" applyFill="1" applyAlignment="1">
      <alignment vertical="center"/>
    </xf>
    <xf numFmtId="0" fontId="60" fillId="0" borderId="0" xfId="0" applyFont="1" applyAlignment="1">
      <alignment vertical="center"/>
    </xf>
    <xf numFmtId="0" fontId="63" fillId="0" borderId="0" xfId="0" applyFont="1" applyAlignment="1">
      <alignment horizontal="left" vertical="center"/>
    </xf>
    <xf numFmtId="0" fontId="60" fillId="0" borderId="0" xfId="0" applyFont="1" applyAlignment="1">
      <alignment horizontal="center" vertical="center"/>
    </xf>
    <xf numFmtId="0" fontId="60" fillId="0" borderId="0" xfId="0" applyFont="1" applyAlignment="1">
      <alignment horizontal="center"/>
    </xf>
    <xf numFmtId="0" fontId="60" fillId="0" borderId="28" xfId="0" applyFont="1" applyBorder="1" applyAlignment="1">
      <alignment horizontal="center" vertical="center"/>
    </xf>
    <xf numFmtId="0" fontId="66" fillId="0" borderId="28" xfId="0" applyFont="1" applyBorder="1" applyAlignment="1" applyProtection="1">
      <alignment horizontal="justify" vertical="center" wrapText="1"/>
      <protection locked="0"/>
    </xf>
    <xf numFmtId="0" fontId="60" fillId="0" borderId="28" xfId="0" applyFont="1" applyBorder="1" applyAlignment="1" applyProtection="1">
      <alignment horizontal="center" vertical="center"/>
      <protection hidden="1"/>
    </xf>
    <xf numFmtId="0" fontId="60" fillId="0" borderId="28" xfId="0" applyFont="1" applyBorder="1" applyAlignment="1" applyProtection="1">
      <alignment horizontal="center" vertical="center" textRotation="90"/>
      <protection locked="0"/>
    </xf>
    <xf numFmtId="9" fontId="60" fillId="0" borderId="28" xfId="0" applyNumberFormat="1" applyFont="1" applyBorder="1" applyAlignment="1" applyProtection="1">
      <alignment horizontal="center" vertical="center"/>
      <protection hidden="1"/>
    </xf>
    <xf numFmtId="164" fontId="60" fillId="0" borderId="28" xfId="1" applyNumberFormat="1" applyFont="1" applyBorder="1" applyAlignment="1">
      <alignment horizontal="center" vertical="center"/>
    </xf>
    <xf numFmtId="0" fontId="60" fillId="0" borderId="28" xfId="0" applyFont="1" applyBorder="1" applyAlignment="1" applyProtection="1">
      <alignment horizontal="center" vertical="center" wrapText="1"/>
      <protection locked="0"/>
    </xf>
    <xf numFmtId="0" fontId="60" fillId="0" borderId="28" xfId="0" applyFont="1" applyBorder="1" applyAlignment="1" applyProtection="1">
      <alignment horizontal="center" vertical="center"/>
      <protection locked="0"/>
    </xf>
    <xf numFmtId="14" fontId="60" fillId="0" borderId="28" xfId="0" applyNumberFormat="1" applyFont="1" applyBorder="1" applyAlignment="1" applyProtection="1">
      <alignment horizontal="center" vertical="center"/>
      <protection locked="0"/>
    </xf>
    <xf numFmtId="0" fontId="63" fillId="18" borderId="28" xfId="0" applyFont="1" applyFill="1" applyBorder="1" applyAlignment="1">
      <alignment horizontal="center" vertical="center" textRotation="90"/>
    </xf>
    <xf numFmtId="0" fontId="59" fillId="3" borderId="0" xfId="0" applyFont="1" applyFill="1" applyAlignment="1">
      <alignment vertical="center"/>
    </xf>
    <xf numFmtId="0" fontId="68" fillId="0" borderId="64" xfId="0" applyFont="1" applyBorder="1" applyAlignment="1">
      <alignment vertical="center"/>
    </xf>
    <xf numFmtId="0" fontId="69" fillId="0" borderId="64" xfId="0" applyFont="1" applyBorder="1" applyAlignment="1">
      <alignment horizontal="center" vertical="center" wrapText="1"/>
    </xf>
    <xf numFmtId="0" fontId="70" fillId="0" borderId="64" xfId="0" applyFont="1" applyBorder="1" applyAlignment="1">
      <alignment horizontal="center" vertical="center" wrapText="1"/>
    </xf>
    <xf numFmtId="0" fontId="60" fillId="3" borderId="64" xfId="0" applyFont="1" applyFill="1" applyBorder="1"/>
    <xf numFmtId="0" fontId="6" fillId="0" borderId="2" xfId="0" applyFont="1" applyBorder="1" applyAlignment="1" applyProtection="1">
      <alignment horizontal="justify" vertical="center" wrapText="1"/>
      <protection locked="0"/>
    </xf>
    <xf numFmtId="0" fontId="1" fillId="0" borderId="2" xfId="0" applyFont="1" applyBorder="1" applyAlignment="1" applyProtection="1">
      <alignment horizontal="justify" vertical="center"/>
      <protection locked="0"/>
    </xf>
    <xf numFmtId="0" fontId="1" fillId="0" borderId="2" xfId="0" applyFont="1" applyBorder="1" applyAlignment="1">
      <alignment horizontal="center" vertical="center"/>
    </xf>
    <xf numFmtId="0" fontId="1" fillId="0" borderId="2" xfId="0" applyFont="1" applyBorder="1" applyAlignment="1" applyProtection="1">
      <alignment horizontal="center" vertical="center" wrapText="1"/>
      <protection locked="0"/>
    </xf>
    <xf numFmtId="0" fontId="1" fillId="0" borderId="0" xfId="0" applyFont="1" applyProtection="1">
      <protection locked="0"/>
    </xf>
    <xf numFmtId="0" fontId="4" fillId="2" borderId="2" xfId="0" applyFont="1" applyFill="1" applyBorder="1" applyAlignment="1">
      <alignment horizontal="center" vertical="center" textRotation="90"/>
    </xf>
    <xf numFmtId="0" fontId="1" fillId="0" borderId="2" xfId="0" applyFont="1" applyBorder="1" applyAlignment="1" applyProtection="1">
      <alignment horizontal="center" vertical="center"/>
      <protection hidden="1"/>
    </xf>
    <xf numFmtId="0" fontId="1" fillId="0" borderId="2" xfId="0" applyFont="1" applyBorder="1" applyAlignment="1" applyProtection="1">
      <alignment horizontal="center" vertical="center" textRotation="90"/>
      <protection locked="0"/>
    </xf>
    <xf numFmtId="9" fontId="1" fillId="0" borderId="2" xfId="0" applyNumberFormat="1" applyFont="1" applyBorder="1" applyAlignment="1" applyProtection="1">
      <alignment horizontal="center" vertical="center"/>
      <protection hidden="1"/>
    </xf>
    <xf numFmtId="0" fontId="1" fillId="0" borderId="5"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hidden="1"/>
    </xf>
    <xf numFmtId="0" fontId="1" fillId="0" borderId="5" xfId="0" applyFont="1" applyBorder="1" applyAlignment="1">
      <alignment horizontal="center" vertical="center"/>
    </xf>
    <xf numFmtId="0" fontId="2" fillId="0" borderId="5"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hidden="1"/>
    </xf>
    <xf numFmtId="9" fontId="1" fillId="0" borderId="5" xfId="0" applyNumberFormat="1" applyFont="1" applyBorder="1" applyAlignment="1" applyProtection="1">
      <alignment horizontal="center" vertical="center" wrapText="1"/>
      <protection hidden="1"/>
    </xf>
    <xf numFmtId="9" fontId="1" fillId="0" borderId="5" xfId="0" applyNumberFormat="1" applyFont="1" applyBorder="1" applyAlignment="1" applyProtection="1">
      <alignment horizontal="center" vertical="center" wrapText="1"/>
      <protection locked="0"/>
    </xf>
    <xf numFmtId="165" fontId="0" fillId="0" borderId="28" xfId="0" applyNumberFormat="1" applyBorder="1" applyAlignment="1">
      <alignment vertical="center"/>
    </xf>
    <xf numFmtId="0" fontId="0" fillId="0" borderId="28" xfId="0" applyBorder="1" applyAlignment="1">
      <alignment vertical="center" wrapText="1"/>
    </xf>
    <xf numFmtId="0" fontId="0" fillId="0" borderId="28" xfId="0" applyBorder="1" applyAlignment="1">
      <alignment vertical="center"/>
    </xf>
    <xf numFmtId="0" fontId="65" fillId="0" borderId="28" xfId="0" applyFont="1" applyBorder="1" applyAlignment="1">
      <alignment vertical="center" wrapText="1"/>
    </xf>
    <xf numFmtId="165" fontId="0" fillId="0" borderId="28" xfId="0" applyNumberFormat="1" applyBorder="1" applyAlignment="1">
      <alignment horizontal="center" vertical="center"/>
    </xf>
    <xf numFmtId="0" fontId="65" fillId="0" borderId="70" xfId="0" applyFont="1" applyBorder="1" applyAlignment="1">
      <alignment horizontal="center" vertical="center" wrapText="1"/>
    </xf>
    <xf numFmtId="0" fontId="65" fillId="0" borderId="78" xfId="0" applyFont="1" applyBorder="1" applyAlignment="1">
      <alignment horizontal="center" vertical="center" wrapText="1"/>
    </xf>
    <xf numFmtId="0" fontId="65" fillId="0" borderId="29" xfId="0" applyFont="1" applyBorder="1" applyAlignment="1">
      <alignment horizontal="center" vertical="center" wrapText="1"/>
    </xf>
    <xf numFmtId="0" fontId="0" fillId="0" borderId="70" xfId="0" applyBorder="1" applyAlignment="1">
      <alignment horizontal="center" vertical="center"/>
    </xf>
    <xf numFmtId="0" fontId="0" fillId="0" borderId="78" xfId="0" applyBorder="1" applyAlignment="1">
      <alignment horizontal="center" vertical="center"/>
    </xf>
    <xf numFmtId="0" fontId="0" fillId="0" borderId="29" xfId="0" applyBorder="1" applyAlignment="1">
      <alignment horizontal="center" vertical="center"/>
    </xf>
    <xf numFmtId="0" fontId="60" fillId="0" borderId="70" xfId="0" applyFont="1" applyBorder="1" applyAlignment="1" applyProtection="1">
      <alignment horizontal="center" vertical="center" textRotation="90"/>
      <protection locked="0"/>
    </xf>
    <xf numFmtId="0" fontId="60" fillId="0" borderId="78" xfId="0" applyFont="1" applyBorder="1" applyAlignment="1" applyProtection="1">
      <alignment horizontal="center" vertical="center" textRotation="90"/>
      <protection locked="0"/>
    </xf>
    <xf numFmtId="0" fontId="60" fillId="0" borderId="29" xfId="0" applyFont="1" applyBorder="1" applyAlignment="1" applyProtection="1">
      <alignment horizontal="center" vertical="center" textRotation="90"/>
      <protection locked="0"/>
    </xf>
    <xf numFmtId="0" fontId="60" fillId="0" borderId="70" xfId="0" applyFont="1" applyBorder="1" applyAlignment="1" applyProtection="1">
      <alignment horizontal="center" vertical="center" wrapText="1"/>
      <protection locked="0"/>
    </xf>
    <xf numFmtId="0" fontId="60" fillId="0" borderId="78" xfId="0" applyFont="1" applyBorder="1" applyAlignment="1" applyProtection="1">
      <alignment horizontal="center" vertical="center" wrapText="1"/>
      <protection locked="0"/>
    </xf>
    <xf numFmtId="0" fontId="60" fillId="0" borderId="29" xfId="0" applyFont="1" applyBorder="1" applyAlignment="1" applyProtection="1">
      <alignment horizontal="center" vertical="center" wrapText="1"/>
      <protection locked="0"/>
    </xf>
    <xf numFmtId="0" fontId="60" fillId="0" borderId="70" xfId="0" applyFont="1" applyBorder="1" applyAlignment="1" applyProtection="1">
      <alignment horizontal="center" vertical="center"/>
      <protection locked="0"/>
    </xf>
    <xf numFmtId="0" fontId="60" fillId="0" borderId="78" xfId="0" applyFont="1" applyBorder="1" applyAlignment="1" applyProtection="1">
      <alignment horizontal="center" vertical="center"/>
      <protection locked="0"/>
    </xf>
    <xf numFmtId="0" fontId="60" fillId="0" borderId="29" xfId="0" applyFont="1" applyBorder="1" applyAlignment="1" applyProtection="1">
      <alignment horizontal="center" vertical="center"/>
      <protection locked="0"/>
    </xf>
    <xf numFmtId="14" fontId="60" fillId="0" borderId="70" xfId="0" applyNumberFormat="1" applyFont="1" applyBorder="1" applyAlignment="1" applyProtection="1">
      <alignment horizontal="center" vertical="center"/>
      <protection locked="0"/>
    </xf>
    <xf numFmtId="14" fontId="60" fillId="0" borderId="78" xfId="0" applyNumberFormat="1" applyFont="1" applyBorder="1" applyAlignment="1" applyProtection="1">
      <alignment horizontal="center" vertical="center"/>
      <protection locked="0"/>
    </xf>
    <xf numFmtId="14" fontId="60" fillId="0" borderId="29" xfId="0" applyNumberFormat="1" applyFont="1" applyBorder="1" applyAlignment="1" applyProtection="1">
      <alignment horizontal="center" vertical="center"/>
      <protection locked="0"/>
    </xf>
    <xf numFmtId="165" fontId="0" fillId="0" borderId="70" xfId="0" applyNumberFormat="1" applyBorder="1" applyAlignment="1">
      <alignment horizontal="center" vertical="center"/>
    </xf>
    <xf numFmtId="165" fontId="0" fillId="0" borderId="78" xfId="0" applyNumberFormat="1" applyBorder="1" applyAlignment="1">
      <alignment horizontal="center" vertical="center"/>
    </xf>
    <xf numFmtId="165" fontId="0" fillId="0" borderId="29" xfId="0" applyNumberFormat="1" applyBorder="1" applyAlignment="1">
      <alignment horizontal="center" vertical="center"/>
    </xf>
    <xf numFmtId="0" fontId="0" fillId="0" borderId="70" xfId="0" applyBorder="1" applyAlignment="1">
      <alignment horizontal="center" vertical="center" wrapText="1"/>
    </xf>
    <xf numFmtId="0" fontId="0" fillId="0" borderId="78" xfId="0" applyBorder="1" applyAlignment="1">
      <alignment horizontal="center" vertical="center" wrapText="1"/>
    </xf>
    <xf numFmtId="0" fontId="0" fillId="0" borderId="29" xfId="0" applyBorder="1" applyAlignment="1">
      <alignment horizontal="center" vertical="center" wrapText="1"/>
    </xf>
    <xf numFmtId="0" fontId="63" fillId="0" borderId="70" xfId="0" applyFont="1" applyBorder="1" applyAlignment="1" applyProtection="1">
      <alignment horizontal="center" vertical="center" textRotation="90" wrapText="1"/>
      <protection hidden="1"/>
    </xf>
    <xf numFmtId="0" fontId="63" fillId="0" borderId="78" xfId="0" applyFont="1" applyBorder="1" applyAlignment="1" applyProtection="1">
      <alignment horizontal="center" vertical="center" textRotation="90" wrapText="1"/>
      <protection hidden="1"/>
    </xf>
    <xf numFmtId="0" fontId="63" fillId="0" borderId="29" xfId="0" applyFont="1" applyBorder="1" applyAlignment="1" applyProtection="1">
      <alignment horizontal="center" vertical="center" textRotation="90" wrapText="1"/>
      <protection hidden="1"/>
    </xf>
    <xf numFmtId="9" fontId="60" fillId="0" borderId="70" xfId="0" applyNumberFormat="1" applyFont="1" applyBorder="1" applyAlignment="1" applyProtection="1">
      <alignment horizontal="center" vertical="center"/>
      <protection hidden="1"/>
    </xf>
    <xf numFmtId="9" fontId="60" fillId="0" borderId="78" xfId="0" applyNumberFormat="1" applyFont="1" applyBorder="1" applyAlignment="1" applyProtection="1">
      <alignment horizontal="center" vertical="center"/>
      <protection hidden="1"/>
    </xf>
    <xf numFmtId="9" fontId="60" fillId="0" borderId="29" xfId="0" applyNumberFormat="1" applyFont="1" applyBorder="1" applyAlignment="1" applyProtection="1">
      <alignment horizontal="center" vertical="center"/>
      <protection hidden="1"/>
    </xf>
    <xf numFmtId="0" fontId="63" fillId="0" borderId="70" xfId="0" applyFont="1" applyBorder="1" applyAlignment="1" applyProtection="1">
      <alignment horizontal="center" vertical="center" textRotation="90"/>
      <protection hidden="1"/>
    </xf>
    <xf numFmtId="0" fontId="63" fillId="0" borderId="78" xfId="0" applyFont="1" applyBorder="1" applyAlignment="1" applyProtection="1">
      <alignment horizontal="center" vertical="center" textRotation="90"/>
      <protection hidden="1"/>
    </xf>
    <xf numFmtId="0" fontId="63" fillId="0" borderId="29" xfId="0" applyFont="1" applyBorder="1" applyAlignment="1" applyProtection="1">
      <alignment horizontal="center" vertical="center" textRotation="90"/>
      <protection hidden="1"/>
    </xf>
    <xf numFmtId="0" fontId="73" fillId="23" borderId="71" xfId="0" applyFont="1" applyFill="1" applyBorder="1" applyAlignment="1">
      <alignment horizontal="center" wrapText="1"/>
    </xf>
    <xf numFmtId="0" fontId="73" fillId="23" borderId="71" xfId="0" applyFont="1" applyFill="1" applyBorder="1" applyAlignment="1">
      <alignment horizontal="center"/>
    </xf>
    <xf numFmtId="0" fontId="73" fillId="23" borderId="72" xfId="0" applyFont="1" applyFill="1" applyBorder="1" applyAlignment="1">
      <alignment horizontal="center"/>
    </xf>
    <xf numFmtId="0" fontId="63" fillId="24" borderId="73" xfId="0" applyFont="1" applyFill="1" applyBorder="1" applyAlignment="1">
      <alignment horizontal="center" vertical="center" wrapText="1"/>
    </xf>
    <xf numFmtId="0" fontId="65" fillId="23" borderId="74" xfId="0" applyFont="1" applyFill="1" applyBorder="1"/>
    <xf numFmtId="0" fontId="61" fillId="16" borderId="28" xfId="0" applyFont="1" applyFill="1" applyBorder="1" applyAlignment="1">
      <alignment horizontal="left" vertical="center"/>
    </xf>
    <xf numFmtId="0" fontId="61" fillId="16" borderId="70" xfId="0" applyFont="1" applyFill="1" applyBorder="1" applyAlignment="1">
      <alignment horizontal="left" vertical="center"/>
    </xf>
    <xf numFmtId="0" fontId="64" fillId="3" borderId="28" xfId="0" applyFont="1" applyFill="1" applyBorder="1" applyAlignment="1">
      <alignment horizontal="center" vertical="center" textRotation="90"/>
    </xf>
    <xf numFmtId="0" fontId="63" fillId="3" borderId="28" xfId="0" applyFont="1" applyFill="1" applyBorder="1" applyAlignment="1">
      <alignment horizontal="center" vertical="center" wrapText="1"/>
    </xf>
    <xf numFmtId="0" fontId="63" fillId="3" borderId="28" xfId="0" applyFont="1" applyFill="1" applyBorder="1" applyAlignment="1">
      <alignment horizontal="center" vertical="center"/>
    </xf>
    <xf numFmtId="0" fontId="63" fillId="17" borderId="28" xfId="0" applyFont="1" applyFill="1" applyBorder="1" applyAlignment="1">
      <alignment horizontal="center" vertical="center"/>
    </xf>
    <xf numFmtId="0" fontId="63" fillId="18" borderId="28" xfId="0" applyFont="1" applyFill="1" applyBorder="1" applyAlignment="1">
      <alignment horizontal="center" vertical="center" wrapText="1"/>
    </xf>
    <xf numFmtId="0" fontId="63" fillId="18" borderId="28" xfId="0" applyFont="1" applyFill="1" applyBorder="1" applyAlignment="1">
      <alignment horizontal="center" vertical="center" textRotation="90" wrapText="1"/>
    </xf>
    <xf numFmtId="0" fontId="63" fillId="17" borderId="28" xfId="0" applyFont="1" applyFill="1" applyBorder="1" applyAlignment="1">
      <alignment horizontal="center" vertical="center" textRotation="90" wrapText="1"/>
    </xf>
    <xf numFmtId="0" fontId="63" fillId="5" borderId="75" xfId="0" applyFont="1" applyFill="1" applyBorder="1" applyAlignment="1">
      <alignment horizontal="center" vertical="center"/>
    </xf>
    <xf numFmtId="0" fontId="63" fillId="5" borderId="76" xfId="0" applyFont="1" applyFill="1" applyBorder="1" applyAlignment="1">
      <alignment horizontal="center" vertical="center"/>
    </xf>
    <xf numFmtId="0" fontId="63" fillId="5" borderId="77" xfId="0" applyFont="1" applyFill="1" applyBorder="1" applyAlignment="1">
      <alignment horizontal="center" vertical="center"/>
    </xf>
    <xf numFmtId="0" fontId="73" fillId="19" borderId="71" xfId="0" applyFont="1" applyFill="1" applyBorder="1" applyAlignment="1">
      <alignment horizontal="center" wrapText="1"/>
    </xf>
    <xf numFmtId="0" fontId="73" fillId="19" borderId="71" xfId="0" applyFont="1" applyFill="1" applyBorder="1" applyAlignment="1">
      <alignment horizontal="center"/>
    </xf>
    <xf numFmtId="0" fontId="73" fillId="19" borderId="72" xfId="0" applyFont="1" applyFill="1" applyBorder="1" applyAlignment="1">
      <alignment horizontal="center"/>
    </xf>
    <xf numFmtId="0" fontId="68" fillId="0" borderId="28" xfId="0" applyFont="1" applyBorder="1" applyAlignment="1">
      <alignment horizontal="center" vertical="center"/>
    </xf>
    <xf numFmtId="0" fontId="74" fillId="3" borderId="28" xfId="0" applyFont="1" applyFill="1" applyBorder="1" applyAlignment="1">
      <alignment horizontal="center" vertical="center" wrapText="1"/>
    </xf>
    <xf numFmtId="0" fontId="73" fillId="0" borderId="28" xfId="0" applyFont="1" applyBorder="1" applyAlignment="1">
      <alignment horizontal="center" vertical="center" wrapText="1"/>
    </xf>
    <xf numFmtId="0" fontId="74" fillId="0" borderId="28" xfId="0" applyFont="1" applyBorder="1" applyAlignment="1">
      <alignment horizontal="center" vertical="center" wrapText="1"/>
    </xf>
    <xf numFmtId="0" fontId="62" fillId="3" borderId="28" xfId="0" applyFont="1" applyFill="1" applyBorder="1" applyAlignment="1" applyProtection="1">
      <alignment horizontal="left" vertical="center"/>
      <protection locked="0"/>
    </xf>
    <xf numFmtId="0" fontId="60" fillId="3" borderId="0" xfId="0" applyFont="1" applyFill="1" applyAlignment="1">
      <alignment horizontal="left" vertical="center"/>
    </xf>
    <xf numFmtId="0" fontId="60" fillId="0" borderId="28" xfId="0" applyFont="1" applyBorder="1" applyAlignment="1" applyProtection="1">
      <alignment horizontal="center" vertical="center" wrapText="1"/>
      <protection locked="0"/>
    </xf>
    <xf numFmtId="0" fontId="60" fillId="0" borderId="28" xfId="0" applyFont="1" applyBorder="1" applyAlignment="1" applyProtection="1">
      <alignment horizontal="center" vertical="center"/>
      <protection locked="0"/>
    </xf>
    <xf numFmtId="0" fontId="63" fillId="0" borderId="28" xfId="0" applyFont="1" applyBorder="1" applyAlignment="1" applyProtection="1">
      <alignment horizontal="center" vertical="center" wrapText="1"/>
      <protection hidden="1"/>
    </xf>
    <xf numFmtId="0" fontId="60" fillId="0" borderId="28" xfId="0" applyFont="1" applyBorder="1" applyAlignment="1">
      <alignment horizontal="center" vertical="center"/>
    </xf>
    <xf numFmtId="0" fontId="65" fillId="0" borderId="28" xfId="0" applyFont="1" applyBorder="1" applyAlignment="1" applyProtection="1">
      <alignment horizontal="center" vertical="center" wrapText="1"/>
      <protection locked="0"/>
    </xf>
    <xf numFmtId="0" fontId="63" fillId="13" borderId="28" xfId="0" applyFont="1" applyFill="1" applyBorder="1" applyAlignment="1" applyProtection="1">
      <alignment horizontal="center" vertical="center"/>
      <protection hidden="1"/>
    </xf>
    <xf numFmtId="9" fontId="60" fillId="0" borderId="28" xfId="0" applyNumberFormat="1" applyFont="1" applyBorder="1" applyAlignment="1" applyProtection="1">
      <alignment horizontal="center" vertical="center" wrapText="1"/>
      <protection hidden="1"/>
    </xf>
    <xf numFmtId="9" fontId="60" fillId="0" borderId="28" xfId="0" applyNumberFormat="1" applyFont="1" applyBorder="1" applyAlignment="1" applyProtection="1">
      <alignment horizontal="center" vertical="center" wrapText="1"/>
      <protection locked="0"/>
    </xf>
    <xf numFmtId="0" fontId="63" fillId="5" borderId="28" xfId="0" applyFont="1" applyFill="1" applyBorder="1" applyAlignment="1" applyProtection="1">
      <alignment horizontal="center" vertical="center" wrapText="1"/>
      <protection hidden="1"/>
    </xf>
    <xf numFmtId="0" fontId="62" fillId="3" borderId="28" xfId="0" applyFont="1" applyFill="1" applyBorder="1" applyAlignment="1" applyProtection="1">
      <alignment horizontal="left" vertical="center" wrapText="1"/>
      <protection locked="0"/>
    </xf>
    <xf numFmtId="0" fontId="62" fillId="3" borderId="70" xfId="0" applyFont="1" applyFill="1" applyBorder="1" applyAlignment="1" applyProtection="1">
      <alignment horizontal="left" vertical="center" wrapText="1"/>
      <protection locked="0"/>
    </xf>
    <xf numFmtId="0" fontId="63" fillId="18" borderId="28" xfId="0" applyFont="1" applyFill="1" applyBorder="1" applyAlignment="1">
      <alignment horizontal="center" vertical="center"/>
    </xf>
    <xf numFmtId="0" fontId="63" fillId="17" borderId="28" xfId="0" applyFont="1" applyFill="1" applyBorder="1" applyAlignment="1">
      <alignment horizontal="center" vertical="center" wrapText="1"/>
    </xf>
    <xf numFmtId="0" fontId="73" fillId="20" borderId="71" xfId="0" applyFont="1" applyFill="1" applyBorder="1" applyAlignment="1">
      <alignment horizontal="center" wrapText="1"/>
    </xf>
    <xf numFmtId="0" fontId="73" fillId="20" borderId="71" xfId="0" applyFont="1" applyFill="1" applyBorder="1" applyAlignment="1">
      <alignment horizontal="center"/>
    </xf>
    <xf numFmtId="0" fontId="73" fillId="20" borderId="72" xfId="0" applyFont="1" applyFill="1" applyBorder="1" applyAlignment="1">
      <alignment horizontal="center"/>
    </xf>
    <xf numFmtId="0" fontId="63" fillId="22" borderId="73" xfId="0" applyFont="1" applyFill="1" applyBorder="1" applyAlignment="1">
      <alignment horizontal="center" vertical="center" wrapText="1"/>
    </xf>
    <xf numFmtId="0" fontId="65" fillId="20" borderId="74" xfId="0" applyFont="1" applyFill="1" applyBorder="1"/>
    <xf numFmtId="0" fontId="60" fillId="0" borderId="28" xfId="0" applyFont="1" applyBorder="1" applyAlignment="1">
      <alignment horizontal="left" vertical="center" wrapText="1"/>
    </xf>
    <xf numFmtId="0" fontId="63" fillId="5" borderId="28" xfId="0" applyFont="1" applyFill="1" applyBorder="1" applyAlignment="1">
      <alignment horizontal="center" vertical="center" wrapText="1"/>
    </xf>
    <xf numFmtId="0" fontId="63" fillId="21" borderId="73" xfId="0" applyFont="1" applyFill="1" applyBorder="1" applyAlignment="1">
      <alignment horizontal="center" vertical="center" wrapText="1"/>
    </xf>
    <xf numFmtId="0" fontId="65" fillId="19" borderId="74" xfId="0" applyFont="1" applyFill="1" applyBorder="1"/>
    <xf numFmtId="0" fontId="60" fillId="0" borderId="70" xfId="0" applyFont="1" applyBorder="1" applyAlignment="1">
      <alignment horizontal="center" vertical="center"/>
    </xf>
    <xf numFmtId="0" fontId="60" fillId="0" borderId="78" xfId="0" applyFont="1" applyBorder="1" applyAlignment="1">
      <alignment horizontal="center" vertical="center"/>
    </xf>
    <xf numFmtId="0" fontId="60" fillId="0" borderId="29" xfId="0" applyFont="1" applyBorder="1" applyAlignment="1">
      <alignment horizontal="center" vertical="center"/>
    </xf>
    <xf numFmtId="0" fontId="66" fillId="0" borderId="70" xfId="0" applyFont="1" applyBorder="1" applyAlignment="1" applyProtection="1">
      <alignment horizontal="center" vertical="center" wrapText="1"/>
      <protection locked="0"/>
    </xf>
    <xf numFmtId="0" fontId="66" fillId="0" borderId="78" xfId="0" applyFont="1" applyBorder="1" applyAlignment="1" applyProtection="1">
      <alignment horizontal="center" vertical="center" wrapText="1"/>
      <protection locked="0"/>
    </xf>
    <xf numFmtId="0" fontId="66" fillId="0" borderId="29" xfId="0" applyFont="1" applyBorder="1" applyAlignment="1" applyProtection="1">
      <alignment horizontal="center" vertical="center" wrapText="1"/>
      <protection locked="0"/>
    </xf>
    <xf numFmtId="0" fontId="60" fillId="0" borderId="70" xfId="0" applyFont="1" applyBorder="1" applyAlignment="1" applyProtection="1">
      <alignment horizontal="center" vertical="center"/>
      <protection hidden="1"/>
    </xf>
    <xf numFmtId="0" fontId="60" fillId="0" borderId="78" xfId="0" applyFont="1" applyBorder="1" applyAlignment="1" applyProtection="1">
      <alignment horizontal="center" vertical="center"/>
      <protection hidden="1"/>
    </xf>
    <xf numFmtId="0" fontId="60" fillId="0" borderId="29" xfId="0" applyFont="1" applyBorder="1" applyAlignment="1" applyProtection="1">
      <alignment horizontal="center" vertical="center"/>
      <protection hidden="1"/>
    </xf>
    <xf numFmtId="0" fontId="50" fillId="14" borderId="43" xfId="2" applyFont="1" applyFill="1" applyBorder="1" applyAlignment="1">
      <alignment horizontal="center" vertical="center" wrapText="1"/>
    </xf>
    <xf numFmtId="0" fontId="50" fillId="14" borderId="44" xfId="2" applyFont="1" applyFill="1" applyBorder="1" applyAlignment="1">
      <alignment horizontal="center" vertical="center" wrapText="1"/>
    </xf>
    <xf numFmtId="0" fontId="50" fillId="14" borderId="45" xfId="2" applyFont="1" applyFill="1" applyBorder="1" applyAlignment="1">
      <alignment horizontal="center" vertical="center" wrapText="1"/>
    </xf>
    <xf numFmtId="0" fontId="49" fillId="0" borderId="14" xfId="2" quotePrefix="1" applyFont="1" applyBorder="1" applyAlignment="1">
      <alignment horizontal="left" vertical="center" wrapText="1"/>
    </xf>
    <xf numFmtId="0" fontId="49" fillId="0" borderId="0" xfId="2" quotePrefix="1" applyFont="1" applyAlignment="1">
      <alignment horizontal="left" vertical="center" wrapText="1"/>
    </xf>
    <xf numFmtId="0" fontId="49" fillId="0" borderId="15" xfId="2" quotePrefix="1" applyFont="1" applyBorder="1" applyAlignment="1">
      <alignment horizontal="left" vertical="center" wrapText="1"/>
    </xf>
    <xf numFmtId="0" fontId="49" fillId="0" borderId="63" xfId="2" quotePrefix="1" applyFont="1" applyBorder="1" applyAlignment="1">
      <alignment horizontal="left" vertical="center" wrapText="1"/>
    </xf>
    <xf numFmtId="0" fontId="49" fillId="0" borderId="64" xfId="2" quotePrefix="1" applyFont="1" applyBorder="1" applyAlignment="1">
      <alignment horizontal="left" vertical="center" wrapText="1"/>
    </xf>
    <xf numFmtId="0" fontId="49" fillId="0" borderId="65" xfId="2" quotePrefix="1" applyFont="1" applyBorder="1" applyAlignment="1">
      <alignment horizontal="left" vertical="center" wrapText="1"/>
    </xf>
    <xf numFmtId="0" fontId="51" fillId="3" borderId="46" xfId="2" quotePrefix="1" applyFont="1" applyFill="1" applyBorder="1" applyAlignment="1">
      <alignment horizontal="left" vertical="top" wrapText="1"/>
    </xf>
    <xf numFmtId="0" fontId="52" fillId="3" borderId="47" xfId="2" quotePrefix="1" applyFont="1" applyFill="1" applyBorder="1" applyAlignment="1">
      <alignment horizontal="left" vertical="top" wrapText="1"/>
    </xf>
    <xf numFmtId="0" fontId="52" fillId="3" borderId="48" xfId="2" quotePrefix="1" applyFont="1" applyFill="1" applyBorder="1" applyAlignment="1">
      <alignment horizontal="left" vertical="top" wrapText="1"/>
    </xf>
    <xf numFmtId="0" fontId="49" fillId="0" borderId="14" xfId="2" quotePrefix="1" applyFont="1" applyBorder="1" applyAlignment="1">
      <alignment horizontal="left" vertical="top" wrapText="1"/>
    </xf>
    <xf numFmtId="0" fontId="49" fillId="0" borderId="0" xfId="2" quotePrefix="1" applyFont="1" applyAlignment="1">
      <alignment horizontal="left" vertical="top" wrapText="1"/>
    </xf>
    <xf numFmtId="0" fontId="49" fillId="0" borderId="15" xfId="2" quotePrefix="1" applyFont="1" applyBorder="1" applyAlignment="1">
      <alignment horizontal="left" vertical="top" wrapText="1"/>
    </xf>
    <xf numFmtId="0" fontId="54" fillId="14" borderId="49" xfId="3" applyFont="1" applyFill="1" applyBorder="1" applyAlignment="1">
      <alignment horizontal="center" vertical="center" wrapText="1"/>
    </xf>
    <xf numFmtId="0" fontId="54" fillId="14" borderId="50" xfId="3" applyFont="1" applyFill="1" applyBorder="1" applyAlignment="1">
      <alignment horizontal="center" vertical="center" wrapText="1"/>
    </xf>
    <xf numFmtId="0" fontId="54" fillId="14" borderId="51" xfId="2" applyFont="1" applyFill="1" applyBorder="1" applyAlignment="1">
      <alignment horizontal="center" vertical="center"/>
    </xf>
    <xf numFmtId="0" fontId="54" fillId="14" borderId="52" xfId="2" applyFont="1" applyFill="1" applyBorder="1" applyAlignment="1">
      <alignment horizontal="center" vertical="center"/>
    </xf>
    <xf numFmtId="0" fontId="2" fillId="3" borderId="63" xfId="2" quotePrefix="1" applyFont="1" applyFill="1" applyBorder="1" applyAlignment="1">
      <alignment horizontal="justify" vertical="center" wrapText="1"/>
    </xf>
    <xf numFmtId="0" fontId="2" fillId="3" borderId="64" xfId="2" quotePrefix="1" applyFont="1" applyFill="1" applyBorder="1" applyAlignment="1">
      <alignment horizontal="justify" vertical="center" wrapText="1"/>
    </xf>
    <xf numFmtId="0" fontId="2" fillId="3" borderId="65" xfId="2" quotePrefix="1" applyFont="1" applyFill="1" applyBorder="1" applyAlignment="1">
      <alignment horizontal="justify" vertical="center" wrapText="1"/>
    </xf>
    <xf numFmtId="0" fontId="54" fillId="3" borderId="53" xfId="3" applyFont="1" applyFill="1" applyBorder="1" applyAlignment="1">
      <alignment horizontal="left" vertical="top" wrapText="1" readingOrder="1"/>
    </xf>
    <xf numFmtId="0" fontId="54" fillId="3" borderId="54" xfId="3" applyFont="1" applyFill="1" applyBorder="1" applyAlignment="1">
      <alignment horizontal="left" vertical="top" wrapText="1" readingOrder="1"/>
    </xf>
    <xf numFmtId="0" fontId="55" fillId="3" borderId="55" xfId="2" applyFont="1" applyFill="1" applyBorder="1" applyAlignment="1">
      <alignment horizontal="justify" vertical="center" wrapText="1"/>
    </xf>
    <xf numFmtId="0" fontId="55" fillId="3" borderId="56" xfId="2" applyFont="1" applyFill="1" applyBorder="1" applyAlignment="1">
      <alignment horizontal="justify" vertical="center" wrapText="1"/>
    </xf>
    <xf numFmtId="0" fontId="54" fillId="3" borderId="57" xfId="0" applyFont="1" applyFill="1" applyBorder="1" applyAlignment="1">
      <alignment horizontal="left" vertical="center" wrapText="1"/>
    </xf>
    <xf numFmtId="0" fontId="54" fillId="3" borderId="58" xfId="0" applyFont="1" applyFill="1" applyBorder="1" applyAlignment="1">
      <alignment horizontal="left" vertical="center" wrapText="1"/>
    </xf>
    <xf numFmtId="0" fontId="55" fillId="3" borderId="59" xfId="2" applyFont="1" applyFill="1" applyBorder="1" applyAlignment="1">
      <alignment horizontal="justify" vertical="center" wrapText="1"/>
    </xf>
    <xf numFmtId="0" fontId="55" fillId="3" borderId="60" xfId="2" applyFont="1" applyFill="1" applyBorder="1" applyAlignment="1">
      <alignment horizontal="justify" vertical="center" wrapText="1"/>
    </xf>
    <xf numFmtId="0" fontId="49" fillId="3" borderId="14" xfId="2" applyFont="1" applyFill="1" applyBorder="1" applyAlignment="1">
      <alignment horizontal="left" vertical="top" wrapText="1"/>
    </xf>
    <xf numFmtId="0" fontId="49" fillId="3" borderId="0" xfId="2" applyFont="1" applyFill="1" applyAlignment="1">
      <alignment horizontal="left" vertical="top" wrapText="1"/>
    </xf>
    <xf numFmtId="0" fontId="49" fillId="3" borderId="15" xfId="2" applyFont="1" applyFill="1" applyBorder="1" applyAlignment="1">
      <alignment horizontal="left" vertical="top" wrapText="1"/>
    </xf>
    <xf numFmtId="0" fontId="54" fillId="3" borderId="66" xfId="0" applyFont="1" applyFill="1" applyBorder="1" applyAlignment="1">
      <alignment horizontal="left" vertical="center" wrapText="1"/>
    </xf>
    <xf numFmtId="0" fontId="54" fillId="3" borderId="67" xfId="0" applyFont="1" applyFill="1" applyBorder="1" applyAlignment="1">
      <alignment horizontal="left" vertical="center" wrapText="1"/>
    </xf>
    <xf numFmtId="0" fontId="54" fillId="3" borderId="68" xfId="0" applyFont="1" applyFill="1" applyBorder="1" applyAlignment="1">
      <alignment horizontal="left" vertical="center" wrapText="1"/>
    </xf>
    <xf numFmtId="0" fontId="54" fillId="3" borderId="69" xfId="0" applyFont="1" applyFill="1" applyBorder="1" applyAlignment="1">
      <alignment horizontal="left" vertical="center" wrapText="1"/>
    </xf>
    <xf numFmtId="0" fontId="55" fillId="3" borderId="61" xfId="0" applyFont="1" applyFill="1" applyBorder="1" applyAlignment="1">
      <alignment horizontal="justify" vertical="center" wrapText="1"/>
    </xf>
    <xf numFmtId="0" fontId="55" fillId="3" borderId="62" xfId="0" applyFont="1" applyFill="1" applyBorder="1" applyAlignment="1">
      <alignment horizontal="justify" vertical="center" wrapText="1"/>
    </xf>
    <xf numFmtId="9" fontId="1" fillId="0" borderId="4" xfId="0" applyNumberFormat="1" applyFont="1" applyBorder="1" applyAlignment="1" applyProtection="1">
      <alignment horizontal="center" vertical="center" wrapText="1"/>
      <protection locked="0"/>
    </xf>
    <xf numFmtId="9" fontId="1" fillId="0" borderId="8" xfId="0" applyNumberFormat="1" applyFont="1" applyBorder="1" applyAlignment="1" applyProtection="1">
      <alignment horizontal="center" vertical="center" wrapText="1"/>
      <protection locked="0"/>
    </xf>
    <xf numFmtId="9" fontId="1" fillId="0" borderId="5" xfId="0" applyNumberFormat="1" applyFont="1" applyBorder="1" applyAlignment="1" applyProtection="1">
      <alignment horizontal="center" vertical="center" wrapText="1"/>
      <protection locked="0"/>
    </xf>
    <xf numFmtId="9" fontId="1" fillId="0" borderId="4" xfId="0" applyNumberFormat="1" applyFont="1" applyBorder="1" applyAlignment="1" applyProtection="1">
      <alignment horizontal="center" vertical="center" wrapText="1"/>
      <protection hidden="1"/>
    </xf>
    <xf numFmtId="9" fontId="1" fillId="0" borderId="8" xfId="0" applyNumberFormat="1" applyFont="1" applyBorder="1" applyAlignment="1" applyProtection="1">
      <alignment horizontal="center" vertical="center" wrapText="1"/>
      <protection hidden="1"/>
    </xf>
    <xf numFmtId="9" fontId="1" fillId="0" borderId="5" xfId="0" applyNumberFormat="1" applyFont="1" applyBorder="1" applyAlignment="1" applyProtection="1">
      <alignment horizontal="center" vertical="center" wrapText="1"/>
      <protection hidden="1"/>
    </xf>
    <xf numFmtId="0" fontId="4" fillId="0" borderId="4" xfId="0" applyFont="1" applyBorder="1" applyAlignment="1" applyProtection="1">
      <alignment horizontal="center" vertical="center" wrapText="1"/>
      <protection hidden="1"/>
    </xf>
    <xf numFmtId="0" fontId="4" fillId="0" borderId="8" xfId="0" applyFont="1" applyBorder="1" applyAlignment="1" applyProtection="1">
      <alignment horizontal="center" vertical="center" wrapText="1"/>
      <protection hidden="1"/>
    </xf>
    <xf numFmtId="0" fontId="4" fillId="0" borderId="5" xfId="0" applyFont="1" applyBorder="1" applyAlignment="1" applyProtection="1">
      <alignment horizontal="center" vertical="center" wrapText="1"/>
      <protection hidden="1"/>
    </xf>
    <xf numFmtId="0" fontId="4" fillId="0" borderId="4"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0" fontId="4" fillId="0" borderId="5" xfId="0" applyFont="1" applyBorder="1" applyAlignment="1" applyProtection="1">
      <alignment horizontal="center" vertical="center"/>
      <protection hidden="1"/>
    </xf>
    <xf numFmtId="0" fontId="1" fillId="0" borderId="4"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4" xfId="0" applyFont="1" applyBorder="1" applyAlignment="1">
      <alignment horizontal="center" vertical="center"/>
    </xf>
    <xf numFmtId="0" fontId="1" fillId="0" borderId="8" xfId="0" applyFont="1" applyBorder="1" applyAlignment="1">
      <alignment horizontal="center" vertical="center"/>
    </xf>
    <xf numFmtId="0" fontId="1" fillId="0" borderId="5" xfId="0" applyFont="1" applyBorder="1" applyAlignment="1">
      <alignment horizontal="center" vertical="center"/>
    </xf>
    <xf numFmtId="0" fontId="2" fillId="0" borderId="4"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5"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4" fillId="2" borderId="6"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7" xfId="0" applyFont="1" applyFill="1" applyBorder="1" applyAlignment="1">
      <alignment horizontal="center" vertical="center"/>
    </xf>
    <xf numFmtId="0" fontId="72" fillId="0" borderId="0" xfId="0" applyFont="1" applyAlignment="1">
      <alignment horizontal="center"/>
    </xf>
    <xf numFmtId="0" fontId="26" fillId="2" borderId="4" xfId="0" applyFont="1" applyFill="1" applyBorder="1" applyAlignment="1">
      <alignment horizontal="center" vertical="center" textRotation="90"/>
    </xf>
    <xf numFmtId="0" fontId="26" fillId="2" borderId="5" xfId="0" applyFont="1" applyFill="1" applyBorder="1" applyAlignment="1">
      <alignment horizontal="center" vertical="center" textRotation="90"/>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textRotation="90" wrapText="1"/>
    </xf>
    <xf numFmtId="0" fontId="4" fillId="2" borderId="5" xfId="0" applyFont="1" applyFill="1" applyBorder="1" applyAlignment="1">
      <alignment horizontal="center" vertical="center" textRotation="90" wrapText="1"/>
    </xf>
    <xf numFmtId="0" fontId="4" fillId="2" borderId="9"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9" xfId="0" applyFont="1" applyFill="1" applyBorder="1" applyAlignment="1">
      <alignment horizontal="center" vertical="center"/>
    </xf>
    <xf numFmtId="0" fontId="71" fillId="0" borderId="0" xfId="0" applyFont="1" applyAlignment="1">
      <alignment horizontal="center"/>
    </xf>
    <xf numFmtId="0" fontId="4" fillId="2" borderId="8" xfId="0" applyFont="1" applyFill="1" applyBorder="1" applyAlignment="1">
      <alignment horizontal="center" vertical="center" wrapText="1"/>
    </xf>
    <xf numFmtId="0" fontId="43" fillId="0" borderId="0" xfId="0" applyFont="1" applyAlignment="1">
      <alignment horizontal="center"/>
    </xf>
    <xf numFmtId="0" fontId="58" fillId="0" borderId="0" xfId="0" applyFont="1" applyAlignment="1">
      <alignment horizontal="center"/>
    </xf>
    <xf numFmtId="0" fontId="25" fillId="0" borderId="0" xfId="0" applyFont="1" applyAlignment="1">
      <alignment horizontal="center" vertical="center" wrapText="1"/>
    </xf>
    <xf numFmtId="0" fontId="20" fillId="5" borderId="14" xfId="0" applyFont="1" applyFill="1" applyBorder="1" applyAlignment="1" applyProtection="1">
      <alignment horizontal="center" wrapText="1" readingOrder="1"/>
      <protection hidden="1"/>
    </xf>
    <xf numFmtId="0" fontId="20" fillId="5" borderId="0" xfId="0" applyFont="1" applyFill="1" applyAlignment="1" applyProtection="1">
      <alignment horizontal="center" wrapText="1" readingOrder="1"/>
      <protection hidden="1"/>
    </xf>
    <xf numFmtId="0" fontId="20" fillId="5" borderId="15" xfId="0" applyFont="1" applyFill="1" applyBorder="1" applyAlignment="1" applyProtection="1">
      <alignment horizontal="center" wrapText="1" readingOrder="1"/>
      <protection hidden="1"/>
    </xf>
    <xf numFmtId="0" fontId="20" fillId="5" borderId="16" xfId="0" applyFont="1" applyFill="1" applyBorder="1" applyAlignment="1" applyProtection="1">
      <alignment horizontal="center" wrapText="1" readingOrder="1"/>
      <protection hidden="1"/>
    </xf>
    <xf numFmtId="0" fontId="20" fillId="5" borderId="18" xfId="0" applyFont="1" applyFill="1" applyBorder="1" applyAlignment="1" applyProtection="1">
      <alignment horizontal="center" wrapText="1" readingOrder="1"/>
      <protection hidden="1"/>
    </xf>
    <xf numFmtId="0" fontId="20" fillId="5" borderId="17" xfId="0" applyFont="1" applyFill="1" applyBorder="1" applyAlignment="1" applyProtection="1">
      <alignment horizontal="center" wrapText="1" readingOrder="1"/>
      <protection hidden="1"/>
    </xf>
    <xf numFmtId="0" fontId="20" fillId="5" borderId="12" xfId="0" applyFont="1" applyFill="1" applyBorder="1" applyAlignment="1" applyProtection="1">
      <alignment horizontal="center" wrapText="1" readingOrder="1"/>
      <protection hidden="1"/>
    </xf>
    <xf numFmtId="0" fontId="20" fillId="5" borderId="19" xfId="0" applyFont="1" applyFill="1" applyBorder="1" applyAlignment="1" applyProtection="1">
      <alignment horizontal="center" wrapText="1" readingOrder="1"/>
      <protection hidden="1"/>
    </xf>
    <xf numFmtId="0" fontId="20" fillId="5" borderId="13" xfId="0" applyFont="1" applyFill="1" applyBorder="1" applyAlignment="1" applyProtection="1">
      <alignment horizontal="center" wrapText="1" readingOrder="1"/>
      <protection hidden="1"/>
    </xf>
    <xf numFmtId="0" fontId="20" fillId="13" borderId="14" xfId="0" applyFont="1" applyFill="1" applyBorder="1" applyAlignment="1" applyProtection="1">
      <alignment horizontal="center" wrapText="1" readingOrder="1"/>
      <protection hidden="1"/>
    </xf>
    <xf numFmtId="0" fontId="20" fillId="13" borderId="0" xfId="0" applyFont="1" applyFill="1" applyAlignment="1" applyProtection="1">
      <alignment horizontal="center" wrapText="1" readingOrder="1"/>
      <protection hidden="1"/>
    </xf>
    <xf numFmtId="0" fontId="20" fillId="13" borderId="15" xfId="0" applyFont="1" applyFill="1" applyBorder="1" applyAlignment="1" applyProtection="1">
      <alignment horizontal="center" wrapText="1" readingOrder="1"/>
      <protection hidden="1"/>
    </xf>
    <xf numFmtId="0" fontId="20" fillId="13" borderId="16" xfId="0" applyFont="1" applyFill="1" applyBorder="1" applyAlignment="1" applyProtection="1">
      <alignment horizontal="center" wrapText="1" readingOrder="1"/>
      <protection hidden="1"/>
    </xf>
    <xf numFmtId="0" fontId="20" fillId="13" borderId="18" xfId="0" applyFont="1" applyFill="1" applyBorder="1" applyAlignment="1" applyProtection="1">
      <alignment horizontal="center" wrapText="1" readingOrder="1"/>
      <protection hidden="1"/>
    </xf>
    <xf numFmtId="0" fontId="20" fillId="13" borderId="17" xfId="0" applyFont="1" applyFill="1" applyBorder="1" applyAlignment="1" applyProtection="1">
      <alignment horizontal="center" wrapText="1" readingOrder="1"/>
      <protection hidden="1"/>
    </xf>
    <xf numFmtId="0" fontId="20" fillId="13" borderId="12" xfId="0" applyFont="1" applyFill="1" applyBorder="1" applyAlignment="1" applyProtection="1">
      <alignment horizontal="center" wrapText="1" readingOrder="1"/>
      <protection hidden="1"/>
    </xf>
    <xf numFmtId="0" fontId="20" fillId="13" borderId="19" xfId="0" applyFont="1" applyFill="1" applyBorder="1" applyAlignment="1" applyProtection="1">
      <alignment horizontal="center" wrapText="1" readingOrder="1"/>
      <protection hidden="1"/>
    </xf>
    <xf numFmtId="0" fontId="20" fillId="13" borderId="13" xfId="0" applyFont="1" applyFill="1" applyBorder="1" applyAlignment="1" applyProtection="1">
      <alignment horizontal="center" wrapText="1" readingOrder="1"/>
      <protection hidden="1"/>
    </xf>
    <xf numFmtId="0" fontId="20" fillId="12" borderId="14"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15" xfId="0" applyFont="1" applyFill="1" applyBorder="1" applyAlignment="1" applyProtection="1">
      <alignment horizontal="center" wrapText="1" readingOrder="1"/>
      <protection hidden="1"/>
    </xf>
    <xf numFmtId="0" fontId="20" fillId="12" borderId="16" xfId="0" applyFont="1" applyFill="1" applyBorder="1" applyAlignment="1" applyProtection="1">
      <alignment horizontal="center" wrapText="1" readingOrder="1"/>
      <protection hidden="1"/>
    </xf>
    <xf numFmtId="0" fontId="20" fillId="12" borderId="18" xfId="0" applyFont="1" applyFill="1" applyBorder="1" applyAlignment="1" applyProtection="1">
      <alignment horizontal="center" wrapText="1" readingOrder="1"/>
      <protection hidden="1"/>
    </xf>
    <xf numFmtId="0" fontId="20" fillId="12" borderId="17" xfId="0" applyFont="1" applyFill="1" applyBorder="1" applyAlignment="1" applyProtection="1">
      <alignment horizontal="center" wrapText="1" readingOrder="1"/>
      <protection hidden="1"/>
    </xf>
    <xf numFmtId="0" fontId="20" fillId="12" borderId="12" xfId="0" applyFont="1" applyFill="1" applyBorder="1" applyAlignment="1" applyProtection="1">
      <alignment horizontal="center" wrapText="1" readingOrder="1"/>
      <protection hidden="1"/>
    </xf>
    <xf numFmtId="0" fontId="20" fillId="12" borderId="19" xfId="0" applyFont="1" applyFill="1" applyBorder="1" applyAlignment="1" applyProtection="1">
      <alignment horizontal="center" wrapText="1" readingOrder="1"/>
      <protection hidden="1"/>
    </xf>
    <xf numFmtId="0" fontId="20" fillId="12" borderId="13" xfId="0" applyFont="1" applyFill="1" applyBorder="1" applyAlignment="1" applyProtection="1">
      <alignment horizontal="center" wrapText="1" readingOrder="1"/>
      <protection hidden="1"/>
    </xf>
    <xf numFmtId="0" fontId="20" fillId="11" borderId="14" xfId="0" applyFont="1" applyFill="1" applyBorder="1" applyAlignment="1" applyProtection="1">
      <alignment horizontal="center" vertical="center" wrapText="1" readingOrder="1"/>
      <protection hidden="1"/>
    </xf>
    <xf numFmtId="0" fontId="20" fillId="11" borderId="0" xfId="0" applyFont="1" applyFill="1" applyAlignment="1" applyProtection="1">
      <alignment horizontal="center" vertical="center" wrapText="1" readingOrder="1"/>
      <protection hidden="1"/>
    </xf>
    <xf numFmtId="0" fontId="20" fillId="11" borderId="15" xfId="0" applyFont="1" applyFill="1" applyBorder="1" applyAlignment="1" applyProtection="1">
      <alignment horizontal="center" vertical="center" wrapText="1" readingOrder="1"/>
      <protection hidden="1"/>
    </xf>
    <xf numFmtId="0" fontId="20" fillId="11" borderId="16" xfId="0" applyFont="1" applyFill="1" applyBorder="1" applyAlignment="1" applyProtection="1">
      <alignment horizontal="center" vertical="center" wrapText="1" readingOrder="1"/>
      <protection hidden="1"/>
    </xf>
    <xf numFmtId="0" fontId="20" fillId="11" borderId="18" xfId="0" applyFont="1" applyFill="1" applyBorder="1" applyAlignment="1" applyProtection="1">
      <alignment horizontal="center" vertical="center" wrapText="1" readingOrder="1"/>
      <protection hidden="1"/>
    </xf>
    <xf numFmtId="0" fontId="20" fillId="11" borderId="17" xfId="0" applyFont="1" applyFill="1" applyBorder="1" applyAlignment="1" applyProtection="1">
      <alignment horizontal="center" vertical="center" wrapText="1" readingOrder="1"/>
      <protection hidden="1"/>
    </xf>
    <xf numFmtId="0" fontId="20" fillId="11" borderId="12" xfId="0" applyFont="1" applyFill="1" applyBorder="1" applyAlignment="1" applyProtection="1">
      <alignment horizontal="center" vertical="center" wrapText="1" readingOrder="1"/>
      <protection hidden="1"/>
    </xf>
    <xf numFmtId="0" fontId="20" fillId="11" borderId="19" xfId="0" applyFont="1" applyFill="1" applyBorder="1" applyAlignment="1" applyProtection="1">
      <alignment horizontal="center" vertical="center" wrapText="1" readingOrder="1"/>
      <protection hidden="1"/>
    </xf>
    <xf numFmtId="0" fontId="20" fillId="11" borderId="13" xfId="0" applyFont="1" applyFill="1" applyBorder="1" applyAlignment="1" applyProtection="1">
      <alignment horizontal="center" vertical="center" wrapText="1" readingOrder="1"/>
      <protection hidden="1"/>
    </xf>
    <xf numFmtId="0" fontId="18" fillId="10" borderId="0" xfId="0" applyFont="1" applyFill="1" applyAlignment="1">
      <alignment horizontal="center" vertical="center" wrapText="1" readingOrder="1"/>
    </xf>
    <xf numFmtId="0" fontId="17" fillId="0" borderId="12" xfId="0" applyFont="1" applyBorder="1" applyAlignment="1">
      <alignment horizontal="center" vertical="center" wrapText="1"/>
    </xf>
    <xf numFmtId="0" fontId="17" fillId="0" borderId="19"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0" xfId="0" applyFont="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8" xfId="0" applyFont="1" applyBorder="1" applyAlignment="1">
      <alignment horizontal="center" vertical="center"/>
    </xf>
    <xf numFmtId="0" fontId="17" fillId="0" borderId="17" xfId="0" applyFont="1" applyBorder="1" applyAlignment="1">
      <alignment horizontal="center" vertical="center"/>
    </xf>
    <xf numFmtId="0" fontId="17" fillId="0" borderId="19" xfId="0" applyFont="1" applyBorder="1" applyAlignment="1">
      <alignment horizontal="center" vertical="center" wrapText="1"/>
    </xf>
    <xf numFmtId="0" fontId="18" fillId="10" borderId="0" xfId="0" applyFont="1" applyFill="1" applyAlignment="1">
      <alignment horizontal="center" vertical="center" textRotation="90" wrapText="1" readingOrder="1"/>
    </xf>
    <xf numFmtId="0" fontId="18" fillId="10" borderId="15" xfId="0" applyFont="1" applyFill="1" applyBorder="1" applyAlignment="1">
      <alignment horizontal="center" vertical="center" textRotation="90" wrapText="1" readingOrder="1"/>
    </xf>
    <xf numFmtId="0" fontId="21" fillId="12" borderId="20" xfId="0" applyFont="1" applyFill="1" applyBorder="1" applyAlignment="1">
      <alignment horizontal="center" vertical="center" wrapText="1" readingOrder="1"/>
    </xf>
    <xf numFmtId="0" fontId="21" fillId="12" borderId="21" xfId="0" applyFont="1" applyFill="1" applyBorder="1" applyAlignment="1">
      <alignment horizontal="center" vertical="center" wrapText="1" readingOrder="1"/>
    </xf>
    <xf numFmtId="0" fontId="21" fillId="12" borderId="22" xfId="0" applyFont="1" applyFill="1" applyBorder="1" applyAlignment="1">
      <alignment horizontal="center" vertical="center" wrapText="1" readingOrder="1"/>
    </xf>
    <xf numFmtId="0" fontId="21" fillId="12" borderId="23"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24" xfId="0" applyFont="1" applyFill="1" applyBorder="1" applyAlignment="1">
      <alignment horizontal="center" vertical="center" wrapText="1" readingOrder="1"/>
    </xf>
    <xf numFmtId="0" fontId="21" fillId="12" borderId="25" xfId="0" applyFont="1" applyFill="1" applyBorder="1" applyAlignment="1">
      <alignment horizontal="center" vertical="center" wrapText="1" readingOrder="1"/>
    </xf>
    <xf numFmtId="0" fontId="21" fillId="12" borderId="26" xfId="0" applyFont="1" applyFill="1" applyBorder="1" applyAlignment="1">
      <alignment horizontal="center" vertical="center" wrapText="1" readingOrder="1"/>
    </xf>
    <xf numFmtId="0" fontId="21" fillId="12" borderId="27" xfId="0" applyFont="1" applyFill="1" applyBorder="1" applyAlignment="1">
      <alignment horizontal="center" vertical="center" wrapText="1" readingOrder="1"/>
    </xf>
    <xf numFmtId="0" fontId="21" fillId="11" borderId="20" xfId="0" applyFont="1" applyFill="1" applyBorder="1" applyAlignment="1">
      <alignment horizontal="center" vertical="center" wrapText="1" readingOrder="1"/>
    </xf>
    <xf numFmtId="0" fontId="21" fillId="11" borderId="21" xfId="0" applyFont="1" applyFill="1" applyBorder="1" applyAlignment="1">
      <alignment horizontal="center" vertical="center" wrapText="1" readingOrder="1"/>
    </xf>
    <xf numFmtId="0" fontId="21" fillId="11" borderId="22" xfId="0" applyFont="1" applyFill="1" applyBorder="1" applyAlignment="1">
      <alignment horizontal="center" vertical="center" wrapText="1" readingOrder="1"/>
    </xf>
    <xf numFmtId="0" fontId="21" fillId="11" borderId="23"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24" xfId="0" applyFont="1" applyFill="1" applyBorder="1" applyAlignment="1">
      <alignment horizontal="center" vertical="center" wrapText="1" readingOrder="1"/>
    </xf>
    <xf numFmtId="0" fontId="21" fillId="11" borderId="25" xfId="0" applyFont="1" applyFill="1" applyBorder="1" applyAlignment="1">
      <alignment horizontal="center" vertical="center" wrapText="1" readingOrder="1"/>
    </xf>
    <xf numFmtId="0" fontId="21" fillId="11" borderId="26" xfId="0" applyFont="1" applyFill="1" applyBorder="1" applyAlignment="1">
      <alignment horizontal="center" vertical="center" wrapText="1" readingOrder="1"/>
    </xf>
    <xf numFmtId="0" fontId="21" fillId="11" borderId="27" xfId="0" applyFont="1" applyFill="1" applyBorder="1" applyAlignment="1">
      <alignment horizontal="center" vertical="center" wrapText="1" readingOrder="1"/>
    </xf>
    <xf numFmtId="0" fontId="21" fillId="13" borderId="20" xfId="0" applyFont="1" applyFill="1" applyBorder="1" applyAlignment="1">
      <alignment horizontal="center" vertical="center" wrapText="1" readingOrder="1"/>
    </xf>
    <xf numFmtId="0" fontId="21" fillId="13" borderId="21" xfId="0" applyFont="1" applyFill="1" applyBorder="1" applyAlignment="1">
      <alignment horizontal="center" vertical="center" wrapText="1" readingOrder="1"/>
    </xf>
    <xf numFmtId="0" fontId="21" fillId="13" borderId="22" xfId="0" applyFont="1" applyFill="1" applyBorder="1" applyAlignment="1">
      <alignment horizontal="center" vertical="center" wrapText="1" readingOrder="1"/>
    </xf>
    <xf numFmtId="0" fontId="21" fillId="13" borderId="23" xfId="0" applyFont="1" applyFill="1" applyBorder="1" applyAlignment="1">
      <alignment horizontal="center" vertical="center" wrapText="1" readingOrder="1"/>
    </xf>
    <xf numFmtId="0" fontId="21" fillId="13" borderId="0" xfId="0" applyFont="1" applyFill="1" applyAlignment="1">
      <alignment horizontal="center" vertical="center" wrapText="1" readingOrder="1"/>
    </xf>
    <xf numFmtId="0" fontId="21" fillId="13" borderId="24" xfId="0" applyFont="1" applyFill="1" applyBorder="1" applyAlignment="1">
      <alignment horizontal="center" vertical="center" wrapText="1" readingOrder="1"/>
    </xf>
    <xf numFmtId="0" fontId="21" fillId="13" borderId="25" xfId="0" applyFont="1" applyFill="1" applyBorder="1" applyAlignment="1">
      <alignment horizontal="center" vertical="center" wrapText="1" readingOrder="1"/>
    </xf>
    <xf numFmtId="0" fontId="21" fillId="13" borderId="26" xfId="0" applyFont="1" applyFill="1" applyBorder="1" applyAlignment="1">
      <alignment horizontal="center" vertical="center" wrapText="1" readingOrder="1"/>
    </xf>
    <xf numFmtId="0" fontId="21" fillId="13" borderId="27" xfId="0" applyFont="1" applyFill="1" applyBorder="1" applyAlignment="1">
      <alignment horizontal="center" vertical="center" wrapText="1" readingOrder="1"/>
    </xf>
    <xf numFmtId="0" fontId="21" fillId="5" borderId="20" xfId="0" applyFont="1" applyFill="1" applyBorder="1" applyAlignment="1">
      <alignment horizontal="center" vertical="center" wrapText="1" readingOrder="1"/>
    </xf>
    <xf numFmtId="0" fontId="21" fillId="5" borderId="21" xfId="0" applyFont="1" applyFill="1" applyBorder="1" applyAlignment="1">
      <alignment horizontal="center" vertical="center" wrapText="1" readingOrder="1"/>
    </xf>
    <xf numFmtId="0" fontId="21" fillId="5" borderId="22" xfId="0" applyFont="1" applyFill="1" applyBorder="1" applyAlignment="1">
      <alignment horizontal="center" vertical="center" wrapText="1" readingOrder="1"/>
    </xf>
    <xf numFmtId="0" fontId="21" fillId="5" borderId="23" xfId="0" applyFont="1" applyFill="1" applyBorder="1" applyAlignment="1">
      <alignment horizontal="center" vertical="center" wrapText="1" readingOrder="1"/>
    </xf>
    <xf numFmtId="0" fontId="21" fillId="5" borderId="0" xfId="0" applyFont="1" applyFill="1" applyAlignment="1">
      <alignment horizontal="center" vertical="center" wrapText="1" readingOrder="1"/>
    </xf>
    <xf numFmtId="0" fontId="21" fillId="5" borderId="24" xfId="0" applyFont="1" applyFill="1" applyBorder="1" applyAlignment="1">
      <alignment horizontal="center" vertical="center" wrapText="1" readingOrder="1"/>
    </xf>
    <xf numFmtId="0" fontId="21" fillId="5" borderId="25" xfId="0" applyFont="1" applyFill="1" applyBorder="1" applyAlignment="1">
      <alignment horizontal="center" vertical="center" wrapText="1" readingOrder="1"/>
    </xf>
    <xf numFmtId="0" fontId="21" fillId="5" borderId="26" xfId="0" applyFont="1" applyFill="1" applyBorder="1" applyAlignment="1">
      <alignment horizontal="center" vertical="center" wrapText="1" readingOrder="1"/>
    </xf>
    <xf numFmtId="0" fontId="21" fillId="5" borderId="27" xfId="0" applyFont="1" applyFill="1" applyBorder="1" applyAlignment="1">
      <alignment horizontal="center" vertical="center" wrapText="1" readingOrder="1"/>
    </xf>
    <xf numFmtId="0" fontId="43" fillId="0" borderId="12" xfId="0" applyFont="1" applyBorder="1" applyAlignment="1">
      <alignment horizontal="center" vertical="center" wrapText="1"/>
    </xf>
    <xf numFmtId="0" fontId="43" fillId="0" borderId="19" xfId="0" applyFont="1" applyBorder="1" applyAlignment="1">
      <alignment horizontal="center" vertical="center"/>
    </xf>
    <xf numFmtId="0" fontId="43" fillId="0" borderId="13" xfId="0" applyFont="1" applyBorder="1" applyAlignment="1">
      <alignment horizontal="center" vertical="center"/>
    </xf>
    <xf numFmtId="0" fontId="43" fillId="0" borderId="14" xfId="0" applyFont="1" applyBorder="1" applyAlignment="1">
      <alignment horizontal="center" vertical="center"/>
    </xf>
    <xf numFmtId="0" fontId="43" fillId="0" borderId="0" xfId="0" applyFont="1" applyAlignment="1">
      <alignment horizontal="center" vertical="center"/>
    </xf>
    <xf numFmtId="0" fontId="43" fillId="0" borderId="15" xfId="0" applyFont="1" applyBorder="1" applyAlignment="1">
      <alignment horizontal="center" vertical="center"/>
    </xf>
    <xf numFmtId="0" fontId="43" fillId="0" borderId="16" xfId="0" applyFont="1" applyBorder="1" applyAlignment="1">
      <alignment horizontal="center" vertical="center"/>
    </xf>
    <xf numFmtId="0" fontId="43" fillId="0" borderId="18" xfId="0" applyFont="1" applyBorder="1" applyAlignment="1">
      <alignment horizontal="center" vertical="center"/>
    </xf>
    <xf numFmtId="0" fontId="43" fillId="0" borderId="17" xfId="0" applyFont="1" applyBorder="1" applyAlignment="1">
      <alignment horizontal="center" vertical="center"/>
    </xf>
    <xf numFmtId="0" fontId="43" fillId="0" borderId="19" xfId="0" applyFont="1" applyBorder="1" applyAlignment="1">
      <alignment horizontal="center" vertical="center" wrapText="1"/>
    </xf>
    <xf numFmtId="0" fontId="42" fillId="11" borderId="20" xfId="0" applyFont="1" applyFill="1" applyBorder="1" applyAlignment="1">
      <alignment horizontal="center" vertical="center" wrapText="1" readingOrder="1"/>
    </xf>
    <xf numFmtId="0" fontId="42" fillId="11" borderId="21" xfId="0" applyFont="1" applyFill="1" applyBorder="1" applyAlignment="1">
      <alignment horizontal="center" vertical="center" wrapText="1" readingOrder="1"/>
    </xf>
    <xf numFmtId="0" fontId="42" fillId="11" borderId="22" xfId="0" applyFont="1" applyFill="1" applyBorder="1" applyAlignment="1">
      <alignment horizontal="center" vertical="center" wrapText="1" readingOrder="1"/>
    </xf>
    <xf numFmtId="0" fontId="42" fillId="11" borderId="23" xfId="0" applyFont="1" applyFill="1" applyBorder="1" applyAlignment="1">
      <alignment horizontal="center" vertical="center" wrapText="1" readingOrder="1"/>
    </xf>
    <xf numFmtId="0" fontId="42" fillId="11" borderId="0" xfId="0" applyFont="1" applyFill="1" applyAlignment="1">
      <alignment horizontal="center" vertical="center" wrapText="1" readingOrder="1"/>
    </xf>
    <xf numFmtId="0" fontId="42" fillId="11" borderId="24" xfId="0" applyFont="1" applyFill="1" applyBorder="1" applyAlignment="1">
      <alignment horizontal="center" vertical="center" wrapText="1" readingOrder="1"/>
    </xf>
    <xf numFmtId="0" fontId="42" fillId="11" borderId="25" xfId="0" applyFont="1" applyFill="1" applyBorder="1" applyAlignment="1">
      <alignment horizontal="center" vertical="center" wrapText="1" readingOrder="1"/>
    </xf>
    <xf numFmtId="0" fontId="42" fillId="11" borderId="26" xfId="0" applyFont="1" applyFill="1" applyBorder="1" applyAlignment="1">
      <alignment horizontal="center" vertical="center" wrapText="1" readingOrder="1"/>
    </xf>
    <xf numFmtId="0" fontId="42" fillId="11" borderId="27" xfId="0" applyFont="1" applyFill="1" applyBorder="1" applyAlignment="1">
      <alignment horizontal="center" vertical="center" wrapText="1" readingOrder="1"/>
    </xf>
    <xf numFmtId="0" fontId="43" fillId="0" borderId="14" xfId="0" applyFont="1" applyBorder="1" applyAlignment="1">
      <alignment horizontal="center" vertical="center" wrapText="1"/>
    </xf>
    <xf numFmtId="0" fontId="42" fillId="12" borderId="20" xfId="0" applyFont="1" applyFill="1" applyBorder="1" applyAlignment="1">
      <alignment horizontal="center" vertical="center" wrapText="1" readingOrder="1"/>
    </xf>
    <xf numFmtId="0" fontId="42" fillId="12" borderId="21" xfId="0" applyFont="1" applyFill="1" applyBorder="1" applyAlignment="1">
      <alignment horizontal="center" vertical="center" wrapText="1" readingOrder="1"/>
    </xf>
    <xf numFmtId="0" fontId="42" fillId="12" borderId="22" xfId="0" applyFont="1" applyFill="1" applyBorder="1" applyAlignment="1">
      <alignment horizontal="center" vertical="center" wrapText="1" readingOrder="1"/>
    </xf>
    <xf numFmtId="0" fontId="42" fillId="12" borderId="23" xfId="0" applyFont="1" applyFill="1" applyBorder="1" applyAlignment="1">
      <alignment horizontal="center" vertical="center" wrapText="1" readingOrder="1"/>
    </xf>
    <xf numFmtId="0" fontId="42" fillId="12" borderId="0" xfId="0" applyFont="1" applyFill="1" applyAlignment="1">
      <alignment horizontal="center" vertical="center" wrapText="1" readingOrder="1"/>
    </xf>
    <xf numFmtId="0" fontId="42" fillId="12" borderId="24" xfId="0" applyFont="1" applyFill="1" applyBorder="1" applyAlignment="1">
      <alignment horizontal="center" vertical="center" wrapText="1" readingOrder="1"/>
    </xf>
    <xf numFmtId="0" fontId="42" fillId="12" borderId="25" xfId="0" applyFont="1" applyFill="1" applyBorder="1" applyAlignment="1">
      <alignment horizontal="center" vertical="center" wrapText="1" readingOrder="1"/>
    </xf>
    <xf numFmtId="0" fontId="42" fillId="12" borderId="26" xfId="0" applyFont="1" applyFill="1" applyBorder="1" applyAlignment="1">
      <alignment horizontal="center" vertical="center" wrapText="1" readingOrder="1"/>
    </xf>
    <xf numFmtId="0" fontId="42" fillId="12" borderId="27" xfId="0" applyFont="1" applyFill="1" applyBorder="1" applyAlignment="1">
      <alignment horizontal="center" vertical="center" wrapText="1" readingOrder="1"/>
    </xf>
    <xf numFmtId="0" fontId="41" fillId="0" borderId="0" xfId="0" applyFont="1" applyAlignment="1">
      <alignment horizontal="center" vertical="center" wrapText="1"/>
    </xf>
    <xf numFmtId="0" fontId="22" fillId="0" borderId="0" xfId="0" applyFont="1" applyAlignment="1">
      <alignment horizontal="center" vertical="center" wrapText="1"/>
    </xf>
    <xf numFmtId="0" fontId="42" fillId="5" borderId="20" xfId="0" applyFont="1" applyFill="1" applyBorder="1" applyAlignment="1">
      <alignment horizontal="center" vertical="center" wrapText="1" readingOrder="1"/>
    </xf>
    <xf numFmtId="0" fontId="42" fillId="5" borderId="21" xfId="0" applyFont="1" applyFill="1" applyBorder="1" applyAlignment="1">
      <alignment horizontal="center" vertical="center" wrapText="1" readingOrder="1"/>
    </xf>
    <xf numFmtId="0" fontId="42" fillId="5" borderId="22" xfId="0" applyFont="1" applyFill="1" applyBorder="1" applyAlignment="1">
      <alignment horizontal="center" vertical="center" wrapText="1" readingOrder="1"/>
    </xf>
    <xf numFmtId="0" fontId="42" fillId="5" borderId="23" xfId="0" applyFont="1" applyFill="1" applyBorder="1" applyAlignment="1">
      <alignment horizontal="center" vertical="center" wrapText="1" readingOrder="1"/>
    </xf>
    <xf numFmtId="0" fontId="42" fillId="5" borderId="0" xfId="0" applyFont="1" applyFill="1" applyAlignment="1">
      <alignment horizontal="center" vertical="center" wrapText="1" readingOrder="1"/>
    </xf>
    <xf numFmtId="0" fontId="42" fillId="5" borderId="24" xfId="0" applyFont="1" applyFill="1" applyBorder="1" applyAlignment="1">
      <alignment horizontal="center" vertical="center" wrapText="1" readingOrder="1"/>
    </xf>
    <xf numFmtId="0" fontId="42" fillId="5" borderId="25" xfId="0" applyFont="1" applyFill="1" applyBorder="1" applyAlignment="1">
      <alignment horizontal="center" vertical="center" wrapText="1" readingOrder="1"/>
    </xf>
    <xf numFmtId="0" fontId="42" fillId="5" borderId="26" xfId="0" applyFont="1" applyFill="1" applyBorder="1" applyAlignment="1">
      <alignment horizontal="center" vertical="center" wrapText="1" readingOrder="1"/>
    </xf>
    <xf numFmtId="0" fontId="42" fillId="5" borderId="27" xfId="0" applyFont="1" applyFill="1" applyBorder="1" applyAlignment="1">
      <alignment horizontal="center" vertical="center" wrapText="1" readingOrder="1"/>
    </xf>
    <xf numFmtId="0" fontId="42" fillId="13" borderId="20" xfId="0" applyFont="1" applyFill="1" applyBorder="1" applyAlignment="1">
      <alignment horizontal="center" vertical="center" wrapText="1" readingOrder="1"/>
    </xf>
    <xf numFmtId="0" fontId="42" fillId="13" borderId="21" xfId="0" applyFont="1" applyFill="1" applyBorder="1" applyAlignment="1">
      <alignment horizontal="center" vertical="center" wrapText="1" readingOrder="1"/>
    </xf>
    <xf numFmtId="0" fontId="42" fillId="13" borderId="22" xfId="0" applyFont="1" applyFill="1" applyBorder="1" applyAlignment="1">
      <alignment horizontal="center" vertical="center" wrapText="1" readingOrder="1"/>
    </xf>
    <xf numFmtId="0" fontId="42" fillId="13" borderId="23" xfId="0" applyFont="1" applyFill="1" applyBorder="1" applyAlignment="1">
      <alignment horizontal="center" vertical="center" wrapText="1" readingOrder="1"/>
    </xf>
    <xf numFmtId="0" fontId="42" fillId="13" borderId="0" xfId="0" applyFont="1" applyFill="1" applyAlignment="1">
      <alignment horizontal="center" vertical="center" wrapText="1" readingOrder="1"/>
    </xf>
    <xf numFmtId="0" fontId="42" fillId="13" borderId="24" xfId="0" applyFont="1" applyFill="1" applyBorder="1" applyAlignment="1">
      <alignment horizontal="center" vertical="center" wrapText="1" readingOrder="1"/>
    </xf>
    <xf numFmtId="0" fontId="42" fillId="13" borderId="25" xfId="0" applyFont="1" applyFill="1" applyBorder="1" applyAlignment="1">
      <alignment horizontal="center" vertical="center" wrapText="1" readingOrder="1"/>
    </xf>
    <xf numFmtId="0" fontId="42" fillId="13" borderId="26" xfId="0" applyFont="1" applyFill="1" applyBorder="1" applyAlignment="1">
      <alignment horizontal="center" vertical="center" wrapText="1" readingOrder="1"/>
    </xf>
    <xf numFmtId="0" fontId="42" fillId="13" borderId="27" xfId="0" applyFont="1" applyFill="1" applyBorder="1" applyAlignment="1">
      <alignment horizontal="center" vertical="center" wrapText="1" readingOrder="1"/>
    </xf>
    <xf numFmtId="0" fontId="24" fillId="0" borderId="0" xfId="0" applyFont="1" applyAlignment="1">
      <alignment horizontal="center" vertical="center"/>
    </xf>
    <xf numFmtId="0" fontId="45" fillId="0" borderId="0" xfId="0" applyFont="1" applyAlignment="1">
      <alignment horizontal="center" vertical="center"/>
    </xf>
    <xf numFmtId="0" fontId="40" fillId="15" borderId="30" xfId="0" applyFont="1" applyFill="1" applyBorder="1" applyAlignment="1">
      <alignment horizontal="center" vertical="center" wrapText="1" readingOrder="1"/>
    </xf>
    <xf numFmtId="0" fontId="40" fillId="15" borderId="31" xfId="0" applyFont="1" applyFill="1" applyBorder="1" applyAlignment="1">
      <alignment horizontal="center" vertical="center" wrapText="1" readingOrder="1"/>
    </xf>
    <xf numFmtId="0" fontId="40" fillId="15" borderId="42" xfId="0" applyFont="1" applyFill="1" applyBorder="1" applyAlignment="1">
      <alignment horizontal="center" vertical="center" wrapText="1" readingOrder="1"/>
    </xf>
    <xf numFmtId="0" fontId="35" fillId="3" borderId="0" xfId="0" applyFont="1" applyFill="1" applyAlignment="1">
      <alignment horizontal="justify" vertical="center" wrapText="1"/>
    </xf>
    <xf numFmtId="0" fontId="37" fillId="15" borderId="39" xfId="0" applyFont="1" applyFill="1" applyBorder="1" applyAlignment="1">
      <alignment horizontal="center" vertical="center" wrapText="1" readingOrder="1"/>
    </xf>
    <xf numFmtId="0" fontId="37" fillId="15" borderId="40" xfId="0" applyFont="1" applyFill="1" applyBorder="1" applyAlignment="1">
      <alignment horizontal="center" vertical="center" wrapText="1" readingOrder="1"/>
    </xf>
    <xf numFmtId="0" fontId="37" fillId="3" borderId="37" xfId="0" applyFont="1" applyFill="1" applyBorder="1" applyAlignment="1">
      <alignment horizontal="center" vertical="center" wrapText="1" readingOrder="1"/>
    </xf>
    <xf numFmtId="0" fontId="37" fillId="3" borderId="32" xfId="0" applyFont="1" applyFill="1" applyBorder="1" applyAlignment="1">
      <alignment horizontal="center" vertical="center" wrapText="1" readingOrder="1"/>
    </xf>
    <xf numFmtId="0" fontId="37" fillId="3" borderId="29" xfId="0" applyFont="1" applyFill="1" applyBorder="1" applyAlignment="1">
      <alignment horizontal="center" vertical="center" wrapText="1" readingOrder="1"/>
    </xf>
    <xf numFmtId="0" fontId="37" fillId="3" borderId="28" xfId="0" applyFont="1" applyFill="1" applyBorder="1" applyAlignment="1">
      <alignment horizontal="center" vertical="center" wrapText="1" readingOrder="1"/>
    </xf>
    <xf numFmtId="0" fontId="37" fillId="3" borderId="34" xfId="0" applyFont="1" applyFill="1" applyBorder="1" applyAlignment="1">
      <alignment horizontal="center" vertical="center" wrapText="1" readingOrder="1"/>
    </xf>
    <xf numFmtId="0" fontId="37" fillId="3" borderId="35" xfId="0" applyFont="1" applyFill="1" applyBorder="1" applyAlignment="1">
      <alignment horizontal="center" vertical="center" wrapText="1" readingOrder="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112">
    <dxf>
      <fill>
        <patternFill>
          <bgColor rgb="FF92D050"/>
        </patternFill>
      </fill>
    </dxf>
    <dxf>
      <fill>
        <patternFill>
          <bgColor rgb="FFC000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0000"/>
        </patternFill>
      </fill>
    </dxf>
    <dxf>
      <font>
        <color auto="1"/>
      </font>
      <fill>
        <patternFill>
          <bgColor rgb="FF92D050"/>
        </patternFill>
      </fill>
    </dxf>
    <dxf>
      <fill>
        <patternFill>
          <bgColor rgb="FFFFFF66"/>
        </patternFill>
      </fill>
    </dxf>
    <dxf>
      <fill>
        <patternFill>
          <bgColor rgb="FF00B050"/>
        </patternFill>
      </fill>
    </dxf>
    <dxf>
      <fill>
        <patternFill>
          <bgColor rgb="FFFFC000"/>
        </patternFill>
      </fill>
    </dxf>
    <dxf>
      <font>
        <color auto="1"/>
      </font>
      <fill>
        <patternFill>
          <bgColor rgb="FF92D050"/>
        </patternFill>
      </fill>
    </dxf>
    <dxf>
      <fill>
        <patternFill>
          <bgColor rgb="FFFFC000"/>
        </patternFill>
      </fill>
    </dxf>
    <dxf>
      <fill>
        <patternFill>
          <bgColor rgb="FFFFFF66"/>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C00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122903</xdr:colOff>
      <xdr:row>2</xdr:row>
      <xdr:rowOff>0</xdr:rowOff>
    </xdr:from>
    <xdr:to>
      <xdr:col>2</xdr:col>
      <xdr:colOff>721252</xdr:colOff>
      <xdr:row>3</xdr:row>
      <xdr:rowOff>720036</xdr:rowOff>
    </xdr:to>
    <xdr:pic>
      <xdr:nvPicPr>
        <xdr:cNvPr id="3" name="Imagen 2">
          <a:extLst>
            <a:ext uri="{FF2B5EF4-FFF2-40B4-BE49-F238E27FC236}">
              <a16:creationId xmlns:a16="http://schemas.microsoft.com/office/drawing/2014/main" id="{F4862070-D84C-4703-80E8-24E8812675B0}"/>
            </a:ext>
          </a:extLst>
        </xdr:cNvPr>
        <xdr:cNvPicPr>
          <a:picLocks noChangeAspect="1"/>
        </xdr:cNvPicPr>
      </xdr:nvPicPr>
      <xdr:blipFill>
        <a:blip xmlns:r="http://schemas.openxmlformats.org/officeDocument/2006/relationships" r:embed="rId1"/>
        <a:stretch>
          <a:fillRect/>
        </a:stretch>
      </xdr:blipFill>
      <xdr:spPr>
        <a:xfrm>
          <a:off x="122903" y="430161"/>
          <a:ext cx="1796655" cy="93511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111" dataDxfId="110">
  <autoFilter ref="B209:C219" xr:uid="{00000000-0009-0000-0100-000001000000}"/>
  <tableColumns count="2">
    <tableColumn id="1" xr3:uid="{00000000-0010-0000-0000-000001000000}" name="Criterios" dataDxfId="109"/>
    <tableColumn id="2" xr3:uid="{00000000-0010-0000-0000-000002000000}" name="Subcriterios" dataDxfId="108"/>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245" t="s">
        <v>164</v>
      </c>
      <c r="C2" s="246"/>
      <c r="D2" s="246"/>
      <c r="E2" s="246"/>
      <c r="F2" s="246"/>
      <c r="G2" s="246"/>
      <c r="H2" s="247"/>
    </row>
    <row r="3" spans="2:8" x14ac:dyDescent="0.25">
      <c r="B3" s="70"/>
      <c r="C3" s="71"/>
      <c r="D3" s="71"/>
      <c r="E3" s="71"/>
      <c r="F3" s="71"/>
      <c r="G3" s="71"/>
      <c r="H3" s="72"/>
    </row>
    <row r="4" spans="2:8" ht="63" customHeight="1" x14ac:dyDescent="0.25">
      <c r="B4" s="248" t="s">
        <v>207</v>
      </c>
      <c r="C4" s="249"/>
      <c r="D4" s="249"/>
      <c r="E4" s="249"/>
      <c r="F4" s="249"/>
      <c r="G4" s="249"/>
      <c r="H4" s="250"/>
    </row>
    <row r="5" spans="2:8" ht="63" customHeight="1" x14ac:dyDescent="0.25">
      <c r="B5" s="251"/>
      <c r="C5" s="252"/>
      <c r="D5" s="252"/>
      <c r="E5" s="252"/>
      <c r="F5" s="252"/>
      <c r="G5" s="252"/>
      <c r="H5" s="253"/>
    </row>
    <row r="6" spans="2:8" ht="16.5" x14ac:dyDescent="0.25">
      <c r="B6" s="254" t="s">
        <v>162</v>
      </c>
      <c r="C6" s="255"/>
      <c r="D6" s="255"/>
      <c r="E6" s="255"/>
      <c r="F6" s="255"/>
      <c r="G6" s="255"/>
      <c r="H6" s="256"/>
    </row>
    <row r="7" spans="2:8" ht="95.25" customHeight="1" x14ac:dyDescent="0.25">
      <c r="B7" s="264" t="s">
        <v>167</v>
      </c>
      <c r="C7" s="265"/>
      <c r="D7" s="265"/>
      <c r="E7" s="265"/>
      <c r="F7" s="265"/>
      <c r="G7" s="265"/>
      <c r="H7" s="266"/>
    </row>
    <row r="8" spans="2:8" ht="16.5" x14ac:dyDescent="0.25">
      <c r="B8" s="106"/>
      <c r="C8" s="107"/>
      <c r="D8" s="107"/>
      <c r="E8" s="107"/>
      <c r="F8" s="107"/>
      <c r="G8" s="107"/>
      <c r="H8" s="108"/>
    </row>
    <row r="9" spans="2:8" ht="16.5" customHeight="1" x14ac:dyDescent="0.25">
      <c r="B9" s="257" t="s">
        <v>200</v>
      </c>
      <c r="C9" s="258"/>
      <c r="D9" s="258"/>
      <c r="E9" s="258"/>
      <c r="F9" s="258"/>
      <c r="G9" s="258"/>
      <c r="H9" s="259"/>
    </row>
    <row r="10" spans="2:8" ht="44.25" customHeight="1" x14ac:dyDescent="0.25">
      <c r="B10" s="257"/>
      <c r="C10" s="258"/>
      <c r="D10" s="258"/>
      <c r="E10" s="258"/>
      <c r="F10" s="258"/>
      <c r="G10" s="258"/>
      <c r="H10" s="259"/>
    </row>
    <row r="11" spans="2:8" ht="15.75" thickBot="1" x14ac:dyDescent="0.3">
      <c r="B11" s="95"/>
      <c r="C11" s="98"/>
      <c r="D11" s="103"/>
      <c r="E11" s="104"/>
      <c r="F11" s="104"/>
      <c r="G11" s="105"/>
      <c r="H11" s="99"/>
    </row>
    <row r="12" spans="2:8" ht="15.75" thickTop="1" x14ac:dyDescent="0.25">
      <c r="B12" s="95"/>
      <c r="C12" s="260" t="s">
        <v>163</v>
      </c>
      <c r="D12" s="261"/>
      <c r="E12" s="262" t="s">
        <v>201</v>
      </c>
      <c r="F12" s="263"/>
      <c r="G12" s="98"/>
      <c r="H12" s="99"/>
    </row>
    <row r="13" spans="2:8" ht="35.25" customHeight="1" x14ac:dyDescent="0.25">
      <c r="B13" s="95"/>
      <c r="C13" s="267" t="s">
        <v>194</v>
      </c>
      <c r="D13" s="268"/>
      <c r="E13" s="269" t="s">
        <v>199</v>
      </c>
      <c r="F13" s="270"/>
      <c r="G13" s="98"/>
      <c r="H13" s="99"/>
    </row>
    <row r="14" spans="2:8" ht="17.25" customHeight="1" x14ac:dyDescent="0.25">
      <c r="B14" s="95"/>
      <c r="C14" s="267" t="s">
        <v>195</v>
      </c>
      <c r="D14" s="268"/>
      <c r="E14" s="269" t="s">
        <v>197</v>
      </c>
      <c r="F14" s="270"/>
      <c r="G14" s="98"/>
      <c r="H14" s="99"/>
    </row>
    <row r="15" spans="2:8" ht="19.5" customHeight="1" x14ac:dyDescent="0.25">
      <c r="B15" s="95"/>
      <c r="C15" s="267" t="s">
        <v>196</v>
      </c>
      <c r="D15" s="268"/>
      <c r="E15" s="269" t="s">
        <v>198</v>
      </c>
      <c r="F15" s="270"/>
      <c r="G15" s="98"/>
      <c r="H15" s="99"/>
    </row>
    <row r="16" spans="2:8" ht="69.75" customHeight="1" x14ac:dyDescent="0.25">
      <c r="B16" s="95"/>
      <c r="C16" s="267" t="s">
        <v>165</v>
      </c>
      <c r="D16" s="268"/>
      <c r="E16" s="269" t="s">
        <v>166</v>
      </c>
      <c r="F16" s="270"/>
      <c r="G16" s="98"/>
      <c r="H16" s="99"/>
    </row>
    <row r="17" spans="2:8" ht="34.5" customHeight="1" x14ac:dyDescent="0.25">
      <c r="B17" s="95"/>
      <c r="C17" s="271" t="s">
        <v>2</v>
      </c>
      <c r="D17" s="272"/>
      <c r="E17" s="273" t="s">
        <v>208</v>
      </c>
      <c r="F17" s="274"/>
      <c r="G17" s="98"/>
      <c r="H17" s="99"/>
    </row>
    <row r="18" spans="2:8" ht="27.75" customHeight="1" x14ac:dyDescent="0.25">
      <c r="B18" s="95"/>
      <c r="C18" s="271" t="s">
        <v>3</v>
      </c>
      <c r="D18" s="272"/>
      <c r="E18" s="273" t="s">
        <v>209</v>
      </c>
      <c r="F18" s="274"/>
      <c r="G18" s="98"/>
      <c r="H18" s="99"/>
    </row>
    <row r="19" spans="2:8" ht="28.5" customHeight="1" x14ac:dyDescent="0.25">
      <c r="B19" s="95"/>
      <c r="C19" s="271" t="s">
        <v>42</v>
      </c>
      <c r="D19" s="272"/>
      <c r="E19" s="273" t="s">
        <v>210</v>
      </c>
      <c r="F19" s="274"/>
      <c r="G19" s="98"/>
      <c r="H19" s="99"/>
    </row>
    <row r="20" spans="2:8" ht="72.75" customHeight="1" x14ac:dyDescent="0.25">
      <c r="B20" s="95"/>
      <c r="C20" s="271" t="s">
        <v>1</v>
      </c>
      <c r="D20" s="272"/>
      <c r="E20" s="273" t="s">
        <v>211</v>
      </c>
      <c r="F20" s="274"/>
      <c r="G20" s="98"/>
      <c r="H20" s="99"/>
    </row>
    <row r="21" spans="2:8" ht="64.5" customHeight="1" x14ac:dyDescent="0.25">
      <c r="B21" s="95"/>
      <c r="C21" s="271" t="s">
        <v>50</v>
      </c>
      <c r="D21" s="272"/>
      <c r="E21" s="273" t="s">
        <v>169</v>
      </c>
      <c r="F21" s="274"/>
      <c r="G21" s="98"/>
      <c r="H21" s="99"/>
    </row>
    <row r="22" spans="2:8" ht="71.25" customHeight="1" x14ac:dyDescent="0.25">
      <c r="B22" s="95"/>
      <c r="C22" s="271" t="s">
        <v>168</v>
      </c>
      <c r="D22" s="272"/>
      <c r="E22" s="273" t="s">
        <v>170</v>
      </c>
      <c r="F22" s="274"/>
      <c r="G22" s="98"/>
      <c r="H22" s="99"/>
    </row>
    <row r="23" spans="2:8" ht="55.5" customHeight="1" x14ac:dyDescent="0.25">
      <c r="B23" s="95"/>
      <c r="C23" s="278" t="s">
        <v>171</v>
      </c>
      <c r="D23" s="279"/>
      <c r="E23" s="273" t="s">
        <v>172</v>
      </c>
      <c r="F23" s="274"/>
      <c r="G23" s="98"/>
      <c r="H23" s="99"/>
    </row>
    <row r="24" spans="2:8" ht="42" customHeight="1" x14ac:dyDescent="0.25">
      <c r="B24" s="95"/>
      <c r="C24" s="278" t="s">
        <v>48</v>
      </c>
      <c r="D24" s="279"/>
      <c r="E24" s="273" t="s">
        <v>173</v>
      </c>
      <c r="F24" s="274"/>
      <c r="G24" s="98"/>
      <c r="H24" s="99"/>
    </row>
    <row r="25" spans="2:8" ht="59.25" customHeight="1" x14ac:dyDescent="0.25">
      <c r="B25" s="95"/>
      <c r="C25" s="278" t="s">
        <v>161</v>
      </c>
      <c r="D25" s="279"/>
      <c r="E25" s="273" t="s">
        <v>174</v>
      </c>
      <c r="F25" s="274"/>
      <c r="G25" s="98"/>
      <c r="H25" s="99"/>
    </row>
    <row r="26" spans="2:8" ht="23.25" customHeight="1" x14ac:dyDescent="0.25">
      <c r="B26" s="95"/>
      <c r="C26" s="278" t="s">
        <v>12</v>
      </c>
      <c r="D26" s="279"/>
      <c r="E26" s="273" t="s">
        <v>175</v>
      </c>
      <c r="F26" s="274"/>
      <c r="G26" s="98"/>
      <c r="H26" s="99"/>
    </row>
    <row r="27" spans="2:8" ht="30.75" customHeight="1" x14ac:dyDescent="0.25">
      <c r="B27" s="95"/>
      <c r="C27" s="278" t="s">
        <v>179</v>
      </c>
      <c r="D27" s="279"/>
      <c r="E27" s="273" t="s">
        <v>176</v>
      </c>
      <c r="F27" s="274"/>
      <c r="G27" s="98"/>
      <c r="H27" s="99"/>
    </row>
    <row r="28" spans="2:8" ht="35.25" customHeight="1" x14ac:dyDescent="0.25">
      <c r="B28" s="95"/>
      <c r="C28" s="278" t="s">
        <v>180</v>
      </c>
      <c r="D28" s="279"/>
      <c r="E28" s="273" t="s">
        <v>177</v>
      </c>
      <c r="F28" s="274"/>
      <c r="G28" s="98"/>
      <c r="H28" s="99"/>
    </row>
    <row r="29" spans="2:8" ht="33" customHeight="1" x14ac:dyDescent="0.25">
      <c r="B29" s="95"/>
      <c r="C29" s="278" t="s">
        <v>180</v>
      </c>
      <c r="D29" s="279"/>
      <c r="E29" s="273" t="s">
        <v>177</v>
      </c>
      <c r="F29" s="274"/>
      <c r="G29" s="98"/>
      <c r="H29" s="99"/>
    </row>
    <row r="30" spans="2:8" ht="30" customHeight="1" x14ac:dyDescent="0.25">
      <c r="B30" s="95"/>
      <c r="C30" s="278" t="s">
        <v>181</v>
      </c>
      <c r="D30" s="279"/>
      <c r="E30" s="273" t="s">
        <v>178</v>
      </c>
      <c r="F30" s="274"/>
      <c r="G30" s="98"/>
      <c r="H30" s="99"/>
    </row>
    <row r="31" spans="2:8" ht="35.25" customHeight="1" x14ac:dyDescent="0.25">
      <c r="B31" s="95"/>
      <c r="C31" s="278" t="s">
        <v>182</v>
      </c>
      <c r="D31" s="279"/>
      <c r="E31" s="273" t="s">
        <v>183</v>
      </c>
      <c r="F31" s="274"/>
      <c r="G31" s="98"/>
      <c r="H31" s="99"/>
    </row>
    <row r="32" spans="2:8" ht="31.5" customHeight="1" x14ac:dyDescent="0.25">
      <c r="B32" s="95"/>
      <c r="C32" s="278" t="s">
        <v>184</v>
      </c>
      <c r="D32" s="279"/>
      <c r="E32" s="273" t="s">
        <v>185</v>
      </c>
      <c r="F32" s="274"/>
      <c r="G32" s="98"/>
      <c r="H32" s="99"/>
    </row>
    <row r="33" spans="2:8" ht="35.25" customHeight="1" x14ac:dyDescent="0.25">
      <c r="B33" s="95"/>
      <c r="C33" s="278" t="s">
        <v>186</v>
      </c>
      <c r="D33" s="279"/>
      <c r="E33" s="273" t="s">
        <v>187</v>
      </c>
      <c r="F33" s="274"/>
      <c r="G33" s="98"/>
      <c r="H33" s="99"/>
    </row>
    <row r="34" spans="2:8" ht="59.25" customHeight="1" x14ac:dyDescent="0.25">
      <c r="B34" s="95"/>
      <c r="C34" s="278" t="s">
        <v>188</v>
      </c>
      <c r="D34" s="279"/>
      <c r="E34" s="273" t="s">
        <v>189</v>
      </c>
      <c r="F34" s="274"/>
      <c r="G34" s="98"/>
      <c r="H34" s="99"/>
    </row>
    <row r="35" spans="2:8" ht="29.25" customHeight="1" x14ac:dyDescent="0.25">
      <c r="B35" s="95"/>
      <c r="C35" s="278" t="s">
        <v>29</v>
      </c>
      <c r="D35" s="279"/>
      <c r="E35" s="273" t="s">
        <v>190</v>
      </c>
      <c r="F35" s="274"/>
      <c r="G35" s="98"/>
      <c r="H35" s="99"/>
    </row>
    <row r="36" spans="2:8" ht="82.5" customHeight="1" x14ac:dyDescent="0.25">
      <c r="B36" s="95"/>
      <c r="C36" s="278" t="s">
        <v>192</v>
      </c>
      <c r="D36" s="279"/>
      <c r="E36" s="273" t="s">
        <v>191</v>
      </c>
      <c r="F36" s="274"/>
      <c r="G36" s="98"/>
      <c r="H36" s="99"/>
    </row>
    <row r="37" spans="2:8" ht="46.5" customHeight="1" x14ac:dyDescent="0.25">
      <c r="B37" s="95"/>
      <c r="C37" s="278" t="s">
        <v>39</v>
      </c>
      <c r="D37" s="279"/>
      <c r="E37" s="273" t="s">
        <v>193</v>
      </c>
      <c r="F37" s="274"/>
      <c r="G37" s="98"/>
      <c r="H37" s="99"/>
    </row>
    <row r="38" spans="2:8" ht="6.75" customHeight="1" thickBot="1" x14ac:dyDescent="0.3">
      <c r="B38" s="95"/>
      <c r="C38" s="280"/>
      <c r="D38" s="281"/>
      <c r="E38" s="282"/>
      <c r="F38" s="283"/>
      <c r="G38" s="98"/>
      <c r="H38" s="99"/>
    </row>
    <row r="39" spans="2:8" ht="15.75" thickTop="1" x14ac:dyDescent="0.25">
      <c r="B39" s="95"/>
      <c r="C39" s="96"/>
      <c r="D39" s="96"/>
      <c r="E39" s="97"/>
      <c r="F39" s="97"/>
      <c r="G39" s="98"/>
      <c r="H39" s="99"/>
    </row>
    <row r="40" spans="2:8" ht="21" customHeight="1" x14ac:dyDescent="0.25">
      <c r="B40" s="275" t="s">
        <v>202</v>
      </c>
      <c r="C40" s="276"/>
      <c r="D40" s="276"/>
      <c r="E40" s="276"/>
      <c r="F40" s="276"/>
      <c r="G40" s="276"/>
      <c r="H40" s="277"/>
    </row>
    <row r="41" spans="2:8" ht="20.25" customHeight="1" x14ac:dyDescent="0.25">
      <c r="B41" s="275" t="s">
        <v>203</v>
      </c>
      <c r="C41" s="276"/>
      <c r="D41" s="276"/>
      <c r="E41" s="276"/>
      <c r="F41" s="276"/>
      <c r="G41" s="276"/>
      <c r="H41" s="277"/>
    </row>
    <row r="42" spans="2:8" ht="20.25" customHeight="1" x14ac:dyDescent="0.25">
      <c r="B42" s="275" t="s">
        <v>204</v>
      </c>
      <c r="C42" s="276"/>
      <c r="D42" s="276"/>
      <c r="E42" s="276"/>
      <c r="F42" s="276"/>
      <c r="G42" s="276"/>
      <c r="H42" s="277"/>
    </row>
    <row r="43" spans="2:8" ht="20.25" customHeight="1" x14ac:dyDescent="0.25">
      <c r="B43" s="275" t="s">
        <v>205</v>
      </c>
      <c r="C43" s="276"/>
      <c r="D43" s="276"/>
      <c r="E43" s="276"/>
      <c r="F43" s="276"/>
      <c r="G43" s="276"/>
      <c r="H43" s="277"/>
    </row>
    <row r="44" spans="2:8" x14ac:dyDescent="0.25">
      <c r="B44" s="275" t="s">
        <v>206</v>
      </c>
      <c r="C44" s="276"/>
      <c r="D44" s="276"/>
      <c r="E44" s="276"/>
      <c r="F44" s="276"/>
      <c r="G44" s="276"/>
      <c r="H44" s="277"/>
    </row>
    <row r="45" spans="2:8" ht="15.75" thickBot="1" x14ac:dyDescent="0.3">
      <c r="B45" s="100"/>
      <c r="C45" s="101"/>
      <c r="D45" s="101"/>
      <c r="E45" s="101"/>
      <c r="F45" s="101"/>
      <c r="G45" s="101"/>
      <c r="H45" s="102"/>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P21"/>
  <sheetViews>
    <sheetView showGridLines="0" tabSelected="1" topLeftCell="O14" zoomScale="118" zoomScaleNormal="118" workbookViewId="0">
      <selection activeCell="AF15" sqref="AF15:AF18"/>
    </sheetView>
  </sheetViews>
  <sheetFormatPr baseColWidth="10" defaultColWidth="11.42578125" defaultRowHeight="14.25" x14ac:dyDescent="0.2"/>
  <cols>
    <col min="1" max="1" width="4" style="116" bestFit="1" customWidth="1" collapsed="1"/>
    <col min="2" max="2" width="14.140625" style="116" customWidth="1" collapsed="1"/>
    <col min="3" max="3" width="13.140625" style="116" customWidth="1" collapsed="1"/>
    <col min="4" max="4" width="16.140625" style="116" customWidth="1" collapsed="1"/>
    <col min="5" max="5" width="32.42578125" style="110" customWidth="1" collapsed="1"/>
    <col min="6" max="6" width="19" style="117" customWidth="1" collapsed="1"/>
    <col min="7" max="7" width="17.85546875" style="110" customWidth="1" collapsed="1"/>
    <col min="8" max="8" width="22.28515625" style="110" customWidth="1" collapsed="1"/>
    <col min="9" max="9" width="10.140625" style="110" customWidth="1" collapsed="1"/>
    <col min="10" max="10" width="27.28515625" style="110" bestFit="1" customWidth="1" collapsed="1"/>
    <col min="11" max="11" width="30.5703125" style="110" hidden="1" customWidth="1" collapsed="1"/>
    <col min="12" max="12" width="17.5703125" style="110" customWidth="1" collapsed="1"/>
    <col min="13" max="13" width="6.28515625" style="110" bestFit="1" customWidth="1" collapsed="1"/>
    <col min="14" max="14" width="16" style="110" customWidth="1" collapsed="1"/>
    <col min="15" max="15" width="5.85546875" style="110" customWidth="1" collapsed="1"/>
    <col min="16" max="16" width="31" style="110" customWidth="1" collapsed="1"/>
    <col min="17" max="17" width="15.140625" style="110" bestFit="1"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hidden="1"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41.7109375" style="110" customWidth="1" collapsed="1"/>
    <col min="32" max="32" width="18.85546875" style="110" customWidth="1" collapsed="1"/>
    <col min="33" max="33" width="24.140625" style="110" customWidth="1" collapsed="1"/>
    <col min="34" max="34" width="21.5703125" style="110" customWidth="1" collapsed="1"/>
    <col min="35" max="35" width="18.5703125" style="110" customWidth="1" collapsed="1"/>
    <col min="36" max="36" width="21" style="110" customWidth="1" collapsed="1"/>
    <col min="37" max="37" width="17.5703125" style="110" customWidth="1" collapsed="1"/>
    <col min="38" max="38" width="31.140625" style="110" customWidth="1" collapsed="1"/>
    <col min="39" max="39" width="11.42578125" style="110" collapsed="1"/>
    <col min="40" max="40" width="17.5703125" style="110" customWidth="1" collapsed="1"/>
    <col min="41" max="41" width="31.140625" style="110" customWidth="1" collapsed="1"/>
    <col min="42" max="16384" width="11.42578125" style="110" collapsed="1"/>
  </cols>
  <sheetData>
    <row r="1" spans="1:68" ht="16.5" customHeight="1" x14ac:dyDescent="0.2">
      <c r="A1" s="208"/>
      <c r="B1" s="208"/>
      <c r="C1" s="208"/>
      <c r="D1" s="209" t="s">
        <v>213</v>
      </c>
      <c r="E1" s="209"/>
      <c r="F1" s="209"/>
      <c r="G1" s="209"/>
      <c r="H1" s="209"/>
      <c r="I1" s="209"/>
      <c r="J1" s="209"/>
      <c r="K1" s="209"/>
      <c r="L1" s="209"/>
      <c r="M1" s="209"/>
      <c r="N1" s="209"/>
      <c r="O1" s="128"/>
      <c r="P1" s="128"/>
      <c r="Q1" s="128"/>
      <c r="R1" s="128"/>
      <c r="S1" s="128"/>
      <c r="T1" s="128"/>
      <c r="U1" s="128"/>
      <c r="V1" s="128"/>
      <c r="W1" s="128"/>
      <c r="X1" s="128"/>
      <c r="Y1" s="128"/>
      <c r="Z1" s="128"/>
      <c r="AA1" s="128"/>
      <c r="AB1" s="128"/>
      <c r="AC1" s="128"/>
      <c r="AD1" s="128"/>
      <c r="AE1" s="128"/>
      <c r="AF1" s="128"/>
      <c r="AG1" s="128"/>
      <c r="AH1" s="128"/>
      <c r="AI1" s="128"/>
      <c r="AJ1" s="128"/>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row>
    <row r="2" spans="1:68" ht="16.5" customHeight="1" x14ac:dyDescent="0.2">
      <c r="A2" s="208"/>
      <c r="B2" s="208"/>
      <c r="C2" s="208"/>
      <c r="D2" s="209"/>
      <c r="E2" s="209"/>
      <c r="F2" s="209"/>
      <c r="G2" s="209"/>
      <c r="H2" s="209"/>
      <c r="I2" s="209"/>
      <c r="J2" s="209"/>
      <c r="K2" s="209"/>
      <c r="L2" s="209"/>
      <c r="M2" s="209"/>
      <c r="N2" s="209"/>
      <c r="O2" s="128"/>
      <c r="P2" s="128"/>
      <c r="Q2" s="128"/>
      <c r="R2" s="128"/>
      <c r="S2" s="128"/>
      <c r="T2" s="128"/>
      <c r="U2" s="128"/>
      <c r="V2" s="128"/>
      <c r="W2" s="128"/>
      <c r="X2" s="128"/>
      <c r="Y2" s="128"/>
      <c r="Z2" s="128"/>
      <c r="AA2" s="128"/>
      <c r="AB2" s="128"/>
      <c r="AC2" s="128"/>
      <c r="AD2" s="128"/>
      <c r="AE2" s="128"/>
      <c r="AF2" s="128"/>
      <c r="AG2" s="128"/>
      <c r="AH2" s="128"/>
      <c r="AI2" s="128"/>
      <c r="AJ2" s="128"/>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row>
    <row r="3" spans="1:68" ht="16.5" customHeight="1" x14ac:dyDescent="0.2">
      <c r="A3" s="208"/>
      <c r="B3" s="208"/>
      <c r="C3" s="208"/>
      <c r="D3" s="210" t="s">
        <v>214</v>
      </c>
      <c r="E3" s="210"/>
      <c r="F3" s="210"/>
      <c r="G3" s="210"/>
      <c r="H3" s="210"/>
      <c r="I3" s="210"/>
      <c r="J3" s="210"/>
      <c r="K3" s="210"/>
      <c r="L3" s="210"/>
      <c r="M3" s="210"/>
      <c r="N3" s="210"/>
      <c r="O3" s="128"/>
      <c r="P3" s="128"/>
      <c r="Q3" s="128"/>
      <c r="R3" s="128"/>
      <c r="S3" s="128"/>
      <c r="T3" s="128"/>
      <c r="U3" s="128"/>
      <c r="V3" s="128"/>
      <c r="W3" s="128"/>
      <c r="X3" s="128"/>
      <c r="Y3" s="128"/>
      <c r="Z3" s="128"/>
      <c r="AA3" s="128"/>
      <c r="AB3" s="128"/>
      <c r="AC3" s="128"/>
      <c r="AD3" s="128"/>
      <c r="AE3" s="128"/>
      <c r="AF3" s="128"/>
      <c r="AG3" s="128"/>
      <c r="AH3" s="128"/>
      <c r="AI3" s="128"/>
      <c r="AJ3" s="128"/>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row>
    <row r="4" spans="1:68" ht="62.25" customHeight="1" x14ac:dyDescent="0.2">
      <c r="A4" s="208"/>
      <c r="B4" s="208"/>
      <c r="C4" s="208"/>
      <c r="D4" s="210" t="s">
        <v>216</v>
      </c>
      <c r="E4" s="210"/>
      <c r="F4" s="210"/>
      <c r="G4" s="210"/>
      <c r="H4" s="210"/>
      <c r="I4" s="210"/>
      <c r="J4" s="210"/>
      <c r="K4" s="210"/>
      <c r="L4" s="210"/>
      <c r="M4" s="210"/>
      <c r="N4" s="210"/>
      <c r="O4" s="128"/>
      <c r="P4" s="128"/>
      <c r="Q4" s="128"/>
      <c r="R4" s="128"/>
      <c r="S4" s="128"/>
      <c r="T4" s="128"/>
      <c r="U4" s="128"/>
      <c r="V4" s="128"/>
      <c r="W4" s="128"/>
      <c r="X4" s="128"/>
      <c r="Y4" s="128"/>
      <c r="Z4" s="128"/>
      <c r="AA4" s="128"/>
      <c r="AB4" s="128"/>
      <c r="AC4" s="128"/>
      <c r="AD4" s="128"/>
      <c r="AE4" s="128"/>
      <c r="AF4" s="128"/>
      <c r="AG4" s="128"/>
      <c r="AH4" s="128"/>
      <c r="AI4" s="128"/>
      <c r="AJ4" s="128"/>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row>
    <row r="5" spans="1:68" ht="15" x14ac:dyDescent="0.2">
      <c r="A5" s="208"/>
      <c r="B5" s="208"/>
      <c r="C5" s="208"/>
      <c r="D5" s="211" t="s">
        <v>433</v>
      </c>
      <c r="E5" s="211"/>
      <c r="F5" s="211"/>
      <c r="G5" s="211" t="s">
        <v>440</v>
      </c>
      <c r="H5" s="211"/>
      <c r="I5" s="211"/>
      <c r="J5" s="210" t="s">
        <v>215</v>
      </c>
      <c r="K5" s="210"/>
      <c r="L5" s="210"/>
      <c r="M5" s="210"/>
      <c r="N5" s="210"/>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row>
    <row r="6" spans="1:68" x14ac:dyDescent="0.2">
      <c r="A6" s="129"/>
      <c r="B6" s="130"/>
      <c r="C6" s="130"/>
      <c r="D6" s="130"/>
      <c r="E6" s="130"/>
      <c r="F6" s="130"/>
      <c r="G6" s="130"/>
      <c r="H6" s="131"/>
      <c r="I6" s="132"/>
      <c r="J6" s="132"/>
      <c r="K6" s="132"/>
      <c r="L6" s="132"/>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row>
    <row r="7" spans="1:68" ht="26.25" customHeight="1" x14ac:dyDescent="0.2">
      <c r="A7" s="193" t="s">
        <v>43</v>
      </c>
      <c r="B7" s="193"/>
      <c r="C7" s="212" t="s">
        <v>426</v>
      </c>
      <c r="D7" s="212"/>
      <c r="E7" s="212"/>
      <c r="F7" s="212"/>
      <c r="G7" s="212"/>
      <c r="H7" s="212"/>
      <c r="I7" s="212"/>
      <c r="J7" s="212"/>
      <c r="K7" s="212"/>
      <c r="L7" s="212"/>
      <c r="M7" s="212"/>
      <c r="N7" s="212"/>
      <c r="O7" s="213"/>
      <c r="P7" s="213"/>
      <c r="Q7" s="213"/>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row>
    <row r="8" spans="1:68" ht="51.75" customHeight="1" x14ac:dyDescent="0.2">
      <c r="A8" s="193" t="s">
        <v>130</v>
      </c>
      <c r="B8" s="193"/>
      <c r="C8" s="223" t="s">
        <v>422</v>
      </c>
      <c r="D8" s="223"/>
      <c r="E8" s="223"/>
      <c r="F8" s="223"/>
      <c r="G8" s="223"/>
      <c r="H8" s="223"/>
      <c r="I8" s="223"/>
      <c r="J8" s="223"/>
      <c r="K8" s="223"/>
      <c r="L8" s="223"/>
      <c r="M8" s="223"/>
      <c r="N8" s="223"/>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row>
    <row r="9" spans="1:68" ht="49.5" customHeight="1" x14ac:dyDescent="0.2">
      <c r="A9" s="194" t="s">
        <v>44</v>
      </c>
      <c r="B9" s="194"/>
      <c r="C9" s="224" t="s">
        <v>423</v>
      </c>
      <c r="D9" s="224"/>
      <c r="E9" s="224"/>
      <c r="F9" s="224"/>
      <c r="G9" s="224"/>
      <c r="H9" s="224"/>
      <c r="I9" s="224"/>
      <c r="J9" s="224"/>
      <c r="K9" s="224"/>
      <c r="L9" s="224"/>
      <c r="M9" s="224"/>
      <c r="N9" s="224"/>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row>
    <row r="10" spans="1:68" ht="31.5" customHeight="1" x14ac:dyDescent="0.25">
      <c r="A10" s="197" t="s">
        <v>138</v>
      </c>
      <c r="B10" s="197"/>
      <c r="C10" s="197"/>
      <c r="D10" s="197"/>
      <c r="E10" s="197"/>
      <c r="F10" s="197"/>
      <c r="G10" s="197"/>
      <c r="H10" s="198" t="s">
        <v>139</v>
      </c>
      <c r="I10" s="198"/>
      <c r="J10" s="198"/>
      <c r="K10" s="198"/>
      <c r="L10" s="198"/>
      <c r="M10" s="198"/>
      <c r="N10" s="198"/>
      <c r="O10" s="225" t="s">
        <v>140</v>
      </c>
      <c r="P10" s="225"/>
      <c r="Q10" s="225"/>
      <c r="R10" s="225"/>
      <c r="S10" s="225"/>
      <c r="T10" s="225"/>
      <c r="U10" s="225"/>
      <c r="V10" s="225"/>
      <c r="W10" s="225"/>
      <c r="X10" s="198" t="s">
        <v>141</v>
      </c>
      <c r="Y10" s="198"/>
      <c r="Z10" s="198"/>
      <c r="AA10" s="198"/>
      <c r="AB10" s="198"/>
      <c r="AC10" s="198"/>
      <c r="AD10" s="198"/>
      <c r="AE10" s="202" t="s">
        <v>34</v>
      </c>
      <c r="AF10" s="203"/>
      <c r="AG10" s="204"/>
      <c r="AH10" s="205" t="s">
        <v>434</v>
      </c>
      <c r="AI10" s="206"/>
      <c r="AJ10" s="207"/>
      <c r="AK10" s="227" t="s">
        <v>435</v>
      </c>
      <c r="AL10" s="228"/>
      <c r="AM10" s="229"/>
      <c r="AN10" s="188" t="s">
        <v>436</v>
      </c>
      <c r="AO10" s="189"/>
      <c r="AP10" s="190"/>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row>
    <row r="11" spans="1:68" ht="16.5" customHeight="1" x14ac:dyDescent="0.2">
      <c r="A11" s="195" t="s">
        <v>0</v>
      </c>
      <c r="B11" s="197" t="s">
        <v>2</v>
      </c>
      <c r="C11" s="196" t="s">
        <v>3</v>
      </c>
      <c r="D11" s="196" t="s">
        <v>42</v>
      </c>
      <c r="E11" s="197" t="s">
        <v>1</v>
      </c>
      <c r="F11" s="196" t="s">
        <v>50</v>
      </c>
      <c r="G11" s="196" t="s">
        <v>134</v>
      </c>
      <c r="H11" s="226" t="s">
        <v>33</v>
      </c>
      <c r="I11" s="198" t="s">
        <v>5</v>
      </c>
      <c r="J11" s="226" t="s">
        <v>87</v>
      </c>
      <c r="K11" s="226" t="s">
        <v>92</v>
      </c>
      <c r="L11" s="226" t="s">
        <v>45</v>
      </c>
      <c r="M11" s="198" t="s">
        <v>5</v>
      </c>
      <c r="N11" s="226" t="s">
        <v>48</v>
      </c>
      <c r="O11" s="200" t="s">
        <v>11</v>
      </c>
      <c r="P11" s="199" t="s">
        <v>161</v>
      </c>
      <c r="Q11" s="199" t="s">
        <v>12</v>
      </c>
      <c r="R11" s="199" t="s">
        <v>8</v>
      </c>
      <c r="S11" s="199"/>
      <c r="T11" s="199"/>
      <c r="U11" s="199"/>
      <c r="V11" s="199"/>
      <c r="W11" s="199"/>
      <c r="X11" s="201" t="s">
        <v>137</v>
      </c>
      <c r="Y11" s="201" t="s">
        <v>46</v>
      </c>
      <c r="Z11" s="201" t="s">
        <v>5</v>
      </c>
      <c r="AA11" s="201" t="s">
        <v>47</v>
      </c>
      <c r="AB11" s="201" t="s">
        <v>5</v>
      </c>
      <c r="AC11" s="201" t="s">
        <v>49</v>
      </c>
      <c r="AD11" s="201" t="s">
        <v>29</v>
      </c>
      <c r="AE11" s="233" t="s">
        <v>34</v>
      </c>
      <c r="AF11" s="233" t="s">
        <v>35</v>
      </c>
      <c r="AG11" s="233" t="s">
        <v>36</v>
      </c>
      <c r="AH11" s="234" t="s">
        <v>38</v>
      </c>
      <c r="AI11" s="234" t="s">
        <v>37</v>
      </c>
      <c r="AJ11" s="234" t="s">
        <v>424</v>
      </c>
      <c r="AK11" s="230" t="s">
        <v>38</v>
      </c>
      <c r="AL11" s="230" t="s">
        <v>37</v>
      </c>
      <c r="AM11" s="230" t="s">
        <v>425</v>
      </c>
      <c r="AN11" s="191" t="s">
        <v>38</v>
      </c>
      <c r="AO11" s="191" t="s">
        <v>37</v>
      </c>
      <c r="AP11" s="191" t="s">
        <v>425</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row>
    <row r="12" spans="1:68" s="112" customFormat="1" ht="94.5" customHeight="1" x14ac:dyDescent="0.25">
      <c r="A12" s="195"/>
      <c r="B12" s="197"/>
      <c r="C12" s="196"/>
      <c r="D12" s="196"/>
      <c r="E12" s="197"/>
      <c r="F12" s="196"/>
      <c r="G12" s="196"/>
      <c r="H12" s="226"/>
      <c r="I12" s="198"/>
      <c r="J12" s="226"/>
      <c r="K12" s="226"/>
      <c r="L12" s="198"/>
      <c r="M12" s="198"/>
      <c r="N12" s="226"/>
      <c r="O12" s="200"/>
      <c r="P12" s="199"/>
      <c r="Q12" s="199"/>
      <c r="R12" s="127" t="s">
        <v>13</v>
      </c>
      <c r="S12" s="127" t="s">
        <v>17</v>
      </c>
      <c r="T12" s="127" t="s">
        <v>28</v>
      </c>
      <c r="U12" s="127" t="s">
        <v>18</v>
      </c>
      <c r="V12" s="127" t="s">
        <v>21</v>
      </c>
      <c r="W12" s="127" t="s">
        <v>24</v>
      </c>
      <c r="X12" s="201"/>
      <c r="Y12" s="201"/>
      <c r="Z12" s="201"/>
      <c r="AA12" s="201"/>
      <c r="AB12" s="201"/>
      <c r="AC12" s="201"/>
      <c r="AD12" s="201"/>
      <c r="AE12" s="233"/>
      <c r="AF12" s="233"/>
      <c r="AG12" s="233"/>
      <c r="AH12" s="235"/>
      <c r="AI12" s="235"/>
      <c r="AJ12" s="235"/>
      <c r="AK12" s="231"/>
      <c r="AL12" s="231"/>
      <c r="AM12" s="231"/>
      <c r="AN12" s="192"/>
      <c r="AO12" s="192"/>
      <c r="AP12" s="192"/>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row>
    <row r="13" spans="1:68" s="114" customFormat="1" ht="183" customHeight="1" x14ac:dyDescent="0.25">
      <c r="A13" s="217">
        <v>1</v>
      </c>
      <c r="B13" s="214" t="s">
        <v>131</v>
      </c>
      <c r="C13" s="214" t="s">
        <v>437</v>
      </c>
      <c r="D13" s="214" t="s">
        <v>438</v>
      </c>
      <c r="E13" s="218" t="s">
        <v>439</v>
      </c>
      <c r="F13" s="214" t="s">
        <v>123</v>
      </c>
      <c r="G13" s="215">
        <v>27</v>
      </c>
      <c r="H13" s="216" t="str">
        <f>IF(G13&lt;=0,"",IF(G13&lt;=2,"Muy Baja",IF(G13&lt;=24,"Baja",IF(G13&lt;=500,"Media",IF(G13&lt;=5000,"Alta","Muy Alta")))))</f>
        <v>Media</v>
      </c>
      <c r="I13" s="220">
        <f>IF(H13="","",IF(H13="Muy Baja",0.2,IF(H13="Baja",0.4,IF(H13="Media",0.6,IF(H13="Alta",0.8,IF(H13="Muy Alta",1,))))))</f>
        <v>0.6</v>
      </c>
      <c r="J13" s="221" t="s">
        <v>152</v>
      </c>
      <c r="K13" s="220" t="str">
        <f>IF(NOT(ISERROR(MATCH(J13,#REF!,0))),#REF!&amp;"Por favor no seleccionar los criterios de impacto(Afectación Económica o presupuestal y Pérdida Reputacional)",J13)</f>
        <v xml:space="preserve">     El riesgo afecta la imagen de la entidad internamente, de conocimiento general, nivel interno, de junta dircetiva y accionistas y/o de provedores</v>
      </c>
      <c r="L13" s="222" t="s">
        <v>82</v>
      </c>
      <c r="M13" s="220"/>
      <c r="N13" s="219" t="s">
        <v>82</v>
      </c>
      <c r="O13" s="118">
        <v>1</v>
      </c>
      <c r="P13" s="119" t="s">
        <v>428</v>
      </c>
      <c r="Q13" s="120" t="str">
        <f>IF(OR(R13="Preventivo",R13="Detectivo"),"Probabilidad",IF(R13="Correctivo","Impacto",""))</f>
        <v>Probabilidad</v>
      </c>
      <c r="R13" s="121" t="s">
        <v>14</v>
      </c>
      <c r="S13" s="121" t="s">
        <v>9</v>
      </c>
      <c r="T13" s="122" t="str">
        <f>IF(AND(R13="Preventivo",S13="Automático"),"50%",IF(AND(R13="Preventivo",S13="Manual"),"40%",IF(AND(R13="Detectivo",S13="Automático"),"40%",IF(AND(R13="Detectivo",S13="Manual"),"30%",IF(AND(R13="Correctivo",S13="Automático"),"35%",IF(AND(R13="Correctivo",S13="Manual"),"25%",""))))))</f>
        <v>40%</v>
      </c>
      <c r="U13" s="121" t="s">
        <v>19</v>
      </c>
      <c r="V13" s="121" t="s">
        <v>23</v>
      </c>
      <c r="W13" s="121" t="s">
        <v>119</v>
      </c>
      <c r="X13" s="123">
        <f>IFERROR(IF(Q13="Probabilidad",(I13-(+I13*T13)),IF(Q13="Impacto",I13,"")),"")</f>
        <v>0.36</v>
      </c>
      <c r="Y13" s="179" t="str">
        <f>IFERROR(IF(X13="","",IF(X13&lt;=0.2,"Muy Baja",IF(X13&lt;=0.4,"Baja",IF(X13&lt;=0.6,"Media",IF(X13&lt;=0.8,"Alta","Muy Alta"))))),"")</f>
        <v>Baja</v>
      </c>
      <c r="Z13" s="122">
        <f>+X13</f>
        <v>0.36</v>
      </c>
      <c r="AA13" s="179" t="str">
        <f>IFERROR(IF(AB13="","",IF(AB13&lt;=0.2,"Leve",IF(AB13&lt;=0.4,"Menor",IF(AB13&lt;=0.6,"Moderado",IF(AB13&lt;=0.8,"Mayor","Catastrófico"))))),"")</f>
        <v>Leve</v>
      </c>
      <c r="AB13" s="122">
        <f>IFERROR(IF(Q13="Impacto",(M13-(+M13*T13)),IF(Q13="Probabilidad",M13,"")),"")</f>
        <v>0</v>
      </c>
      <c r="AC13" s="185"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Bajo</v>
      </c>
      <c r="AD13" s="121" t="s">
        <v>135</v>
      </c>
      <c r="AE13" s="124" t="s">
        <v>429</v>
      </c>
      <c r="AF13" s="125" t="s">
        <v>421</v>
      </c>
      <c r="AG13" s="126" t="s">
        <v>427</v>
      </c>
      <c r="AH13" s="154"/>
      <c r="AI13" s="151"/>
      <c r="AJ13" s="152"/>
      <c r="AK13" s="154"/>
      <c r="AL13" s="151"/>
      <c r="AM13" s="152"/>
      <c r="AN13" s="154"/>
      <c r="AO13" s="153"/>
      <c r="AP13" s="152"/>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row>
    <row r="14" spans="1:68" ht="261" customHeight="1" x14ac:dyDescent="0.2">
      <c r="A14" s="217"/>
      <c r="B14" s="214"/>
      <c r="C14" s="214"/>
      <c r="D14" s="214"/>
      <c r="E14" s="218"/>
      <c r="F14" s="214"/>
      <c r="G14" s="215"/>
      <c r="H14" s="216"/>
      <c r="I14" s="220"/>
      <c r="J14" s="221"/>
      <c r="K14" s="220">
        <f>IF(NOT(ISERROR(MATCH(J14,_xlfn.ANCHORARRAY(E19),0))),I21&amp;"Por favor no seleccionar los criterios de impacto",J14)</f>
        <v>0</v>
      </c>
      <c r="L14" s="222"/>
      <c r="M14" s="220"/>
      <c r="N14" s="219"/>
      <c r="O14" s="118">
        <v>2</v>
      </c>
      <c r="P14" s="119" t="s">
        <v>430</v>
      </c>
      <c r="Q14" s="120" t="str">
        <f>IF(OR(R14="Preventivo",R14="Detectivo"),"Probabilidad",IF(R14="Correctivo","Impacto",""))</f>
        <v>Probabilidad</v>
      </c>
      <c r="R14" s="121" t="s">
        <v>14</v>
      </c>
      <c r="S14" s="121" t="s">
        <v>9</v>
      </c>
      <c r="T14" s="122" t="str">
        <f t="shared" ref="T14:T15" si="0">IF(AND(R14="Preventivo",S14="Automático"),"50%",IF(AND(R14="Preventivo",S14="Manual"),"40%",IF(AND(R14="Detectivo",S14="Automático"),"40%",IF(AND(R14="Detectivo",S14="Manual"),"30%",IF(AND(R14="Correctivo",S14="Automático"),"35%",IF(AND(R14="Correctivo",S14="Manual"),"25%",""))))))</f>
        <v>40%</v>
      </c>
      <c r="U14" s="121" t="s">
        <v>20</v>
      </c>
      <c r="V14" s="121" t="s">
        <v>22</v>
      </c>
      <c r="W14" s="121" t="s">
        <v>120</v>
      </c>
      <c r="X14" s="123">
        <f>IFERROR(IF(AND(Q13="Probabilidad",Q14="Probabilidad"),(Z13-(+Z13*T14)),IF(Q14="Probabilidad",(I13-(+I13*T14)),IF(Q14="Impacto",Z13,""))),"")</f>
        <v>0.216</v>
      </c>
      <c r="Y14" s="180"/>
      <c r="Z14" s="122">
        <f t="shared" ref="Z14:Z15" si="1">+X14</f>
        <v>0.216</v>
      </c>
      <c r="AA14" s="180"/>
      <c r="AB14" s="122">
        <f>IFERROR(IF(AND(Q13="Impacto",Q14="Impacto"),(AB7-(+AB7*T14)),IF(Q14="Impacto",(#REF!-(+#REF!*T14)),IF(Q14="Probabilidad",AB7,""))),"")</f>
        <v>0</v>
      </c>
      <c r="AC14" s="186"/>
      <c r="AD14" s="121" t="s">
        <v>135</v>
      </c>
      <c r="AE14" s="119" t="s">
        <v>441</v>
      </c>
      <c r="AF14" s="125" t="s">
        <v>421</v>
      </c>
      <c r="AG14" s="126" t="s">
        <v>427</v>
      </c>
      <c r="AH14" s="154"/>
      <c r="AI14" s="151"/>
      <c r="AJ14" s="152"/>
      <c r="AK14" s="150"/>
      <c r="AL14" s="151"/>
      <c r="AM14" s="152"/>
      <c r="AN14" s="150"/>
      <c r="AO14" s="151"/>
      <c r="AP14" s="152"/>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row>
    <row r="15" spans="1:68" ht="172.5" customHeight="1" x14ac:dyDescent="0.2">
      <c r="A15" s="217"/>
      <c r="B15" s="214"/>
      <c r="C15" s="214"/>
      <c r="D15" s="214"/>
      <c r="E15" s="218"/>
      <c r="F15" s="214"/>
      <c r="G15" s="215"/>
      <c r="H15" s="216"/>
      <c r="I15" s="220"/>
      <c r="J15" s="221"/>
      <c r="K15" s="220">
        <f>IF(NOT(ISERROR(MATCH(J15,_xlfn.ANCHORARRAY(E20),0))),I22&amp;"Por favor no seleccionar los criterios de impacto",J15)</f>
        <v>0</v>
      </c>
      <c r="L15" s="222"/>
      <c r="M15" s="220"/>
      <c r="N15" s="219"/>
      <c r="O15" s="236">
        <v>3</v>
      </c>
      <c r="P15" s="239" t="s">
        <v>431</v>
      </c>
      <c r="Q15" s="242" t="str">
        <f>IF(OR(R15="Preventivo",R15="Detectivo"),"Probabilidad",IF(R15="Correctivo","Impacto",""))</f>
        <v>Probabilidad</v>
      </c>
      <c r="R15" s="161" t="s">
        <v>14</v>
      </c>
      <c r="S15" s="161" t="s">
        <v>9</v>
      </c>
      <c r="T15" s="182" t="str">
        <f t="shared" si="0"/>
        <v>40%</v>
      </c>
      <c r="U15" s="161" t="s">
        <v>20</v>
      </c>
      <c r="V15" s="161" t="s">
        <v>22</v>
      </c>
      <c r="W15" s="161" t="s">
        <v>120</v>
      </c>
      <c r="X15" s="123">
        <f>IFERROR(IF(AND(Q14="Probabilidad",Q15="Probabilidad"),(Z14-(+Z14*T15)),IF(Q15="Probabilidad",(I14-(+I14*T15)),IF(Q15="Impacto",Z14,""))),"")</f>
        <v>0.12959999999999999</v>
      </c>
      <c r="Y15" s="180"/>
      <c r="Z15" s="182">
        <f t="shared" si="1"/>
        <v>0.12959999999999999</v>
      </c>
      <c r="AA15" s="180"/>
      <c r="AB15" s="182">
        <f>IFERROR(IF(AND(Q14="Impacto",Q15="Impacto"),(AB8-(+AB8*T15)),IF(Q15="Impacto",(#REF!-(+#REF!*T15)),IF(Q15="Probabilidad",AB8,""))),"")</f>
        <v>0</v>
      </c>
      <c r="AC15" s="186"/>
      <c r="AD15" s="161" t="s">
        <v>135</v>
      </c>
      <c r="AE15" s="164" t="s">
        <v>432</v>
      </c>
      <c r="AF15" s="167" t="s">
        <v>421</v>
      </c>
      <c r="AG15" s="170" t="s">
        <v>427</v>
      </c>
      <c r="AH15" s="173"/>
      <c r="AI15" s="176"/>
      <c r="AJ15" s="158"/>
      <c r="AK15" s="173"/>
      <c r="AL15" s="155"/>
      <c r="AM15" s="158"/>
      <c r="AN15" s="173"/>
      <c r="AO15" s="155"/>
      <c r="AP15" s="158"/>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row>
    <row r="16" spans="1:68" ht="14.25" customHeight="1" x14ac:dyDescent="0.2">
      <c r="A16" s="217"/>
      <c r="B16" s="214"/>
      <c r="C16" s="214"/>
      <c r="D16" s="214"/>
      <c r="E16" s="218"/>
      <c r="F16" s="214"/>
      <c r="G16" s="215"/>
      <c r="H16" s="216"/>
      <c r="I16" s="220"/>
      <c r="J16" s="221"/>
      <c r="K16" s="220">
        <f>IF(NOT(ISERROR(MATCH(J16,_xlfn.ANCHORARRAY(E21),0))),I23&amp;"Por favor no seleccionar los criterios de impacto",J16)</f>
        <v>0</v>
      </c>
      <c r="L16" s="222"/>
      <c r="M16" s="220"/>
      <c r="N16" s="219"/>
      <c r="O16" s="237"/>
      <c r="P16" s="240"/>
      <c r="Q16" s="243"/>
      <c r="R16" s="162"/>
      <c r="S16" s="162"/>
      <c r="T16" s="183"/>
      <c r="U16" s="162"/>
      <c r="V16" s="162"/>
      <c r="W16" s="162"/>
      <c r="X16" s="123" t="str">
        <f t="shared" ref="X16:X18" si="2">IFERROR(IF(AND(Q15="Probabilidad",Q16="Probabilidad"),(Z15-(+Z15*T16)),IF(AND(Q15="Impacto",Q16="Probabilidad"),(Z14-(+Z14*T16)),IF(Q16="Impacto",Z15,""))),"")</f>
        <v/>
      </c>
      <c r="Y16" s="180"/>
      <c r="Z16" s="183"/>
      <c r="AA16" s="180"/>
      <c r="AB16" s="183"/>
      <c r="AC16" s="186"/>
      <c r="AD16" s="162"/>
      <c r="AE16" s="165"/>
      <c r="AF16" s="168"/>
      <c r="AG16" s="171"/>
      <c r="AH16" s="174"/>
      <c r="AI16" s="177"/>
      <c r="AJ16" s="159"/>
      <c r="AK16" s="174"/>
      <c r="AL16" s="156"/>
      <c r="AM16" s="159"/>
      <c r="AN16" s="174"/>
      <c r="AO16" s="156"/>
      <c r="AP16" s="15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row>
    <row r="17" spans="1:68" ht="52.5" customHeight="1" x14ac:dyDescent="0.2">
      <c r="A17" s="217"/>
      <c r="B17" s="214"/>
      <c r="C17" s="214"/>
      <c r="D17" s="214"/>
      <c r="E17" s="218"/>
      <c r="F17" s="214"/>
      <c r="G17" s="215"/>
      <c r="H17" s="216"/>
      <c r="I17" s="220"/>
      <c r="J17" s="221"/>
      <c r="K17" s="220">
        <f>IF(NOT(ISERROR(MATCH(J17,_xlfn.ANCHORARRAY(E22),0))),I24&amp;"Por favor no seleccionar los criterios de impacto",J17)</f>
        <v>0</v>
      </c>
      <c r="L17" s="222"/>
      <c r="M17" s="220"/>
      <c r="N17" s="219"/>
      <c r="O17" s="237"/>
      <c r="P17" s="240"/>
      <c r="Q17" s="243"/>
      <c r="R17" s="162"/>
      <c r="S17" s="162"/>
      <c r="T17" s="183"/>
      <c r="U17" s="162"/>
      <c r="V17" s="162"/>
      <c r="W17" s="162"/>
      <c r="X17" s="123" t="str">
        <f t="shared" si="2"/>
        <v/>
      </c>
      <c r="Y17" s="180"/>
      <c r="Z17" s="183"/>
      <c r="AA17" s="180"/>
      <c r="AB17" s="183"/>
      <c r="AC17" s="186"/>
      <c r="AD17" s="162"/>
      <c r="AE17" s="165"/>
      <c r="AF17" s="168"/>
      <c r="AG17" s="171"/>
      <c r="AH17" s="174"/>
      <c r="AI17" s="177"/>
      <c r="AJ17" s="159"/>
      <c r="AK17" s="174"/>
      <c r="AL17" s="156"/>
      <c r="AM17" s="159"/>
      <c r="AN17" s="174"/>
      <c r="AO17" s="156"/>
      <c r="AP17" s="15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row>
    <row r="18" spans="1:68" ht="49.5" customHeight="1" x14ac:dyDescent="0.2">
      <c r="A18" s="217"/>
      <c r="B18" s="214"/>
      <c r="C18" s="214"/>
      <c r="D18" s="214"/>
      <c r="E18" s="218"/>
      <c r="F18" s="214"/>
      <c r="G18" s="215"/>
      <c r="H18" s="216"/>
      <c r="I18" s="220"/>
      <c r="J18" s="221"/>
      <c r="K18" s="220">
        <f>IF(NOT(ISERROR(MATCH(J18,_xlfn.ANCHORARRAY(E23),0))),I25&amp;"Por favor no seleccionar los criterios de impacto",J18)</f>
        <v>0</v>
      </c>
      <c r="L18" s="222"/>
      <c r="M18" s="220"/>
      <c r="N18" s="219"/>
      <c r="O18" s="238"/>
      <c r="P18" s="241"/>
      <c r="Q18" s="244"/>
      <c r="R18" s="163"/>
      <c r="S18" s="163"/>
      <c r="T18" s="184"/>
      <c r="U18" s="163"/>
      <c r="V18" s="163"/>
      <c r="W18" s="163"/>
      <c r="X18" s="123" t="str">
        <f t="shared" si="2"/>
        <v/>
      </c>
      <c r="Y18" s="181"/>
      <c r="Z18" s="184"/>
      <c r="AA18" s="181"/>
      <c r="AB18" s="184"/>
      <c r="AC18" s="187"/>
      <c r="AD18" s="163"/>
      <c r="AE18" s="166"/>
      <c r="AF18" s="169"/>
      <c r="AG18" s="172"/>
      <c r="AH18" s="175"/>
      <c r="AI18" s="178"/>
      <c r="AJ18" s="160"/>
      <c r="AK18" s="175"/>
      <c r="AL18" s="157"/>
      <c r="AM18" s="160"/>
      <c r="AN18" s="175"/>
      <c r="AO18" s="157"/>
      <c r="AP18" s="160"/>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row>
    <row r="19" spans="1:68" ht="49.5" customHeight="1" x14ac:dyDescent="0.2">
      <c r="A19" s="118"/>
      <c r="B19" s="232" t="s">
        <v>212</v>
      </c>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c r="AH19" s="232"/>
      <c r="AI19" s="232"/>
      <c r="AJ19" s="232"/>
    </row>
    <row r="21" spans="1:68" ht="15" x14ac:dyDescent="0.2">
      <c r="A21" s="110"/>
      <c r="B21" s="115" t="s">
        <v>142</v>
      </c>
      <c r="C21" s="110"/>
      <c r="D21" s="110"/>
      <c r="F21" s="110"/>
    </row>
  </sheetData>
  <dataConsolidate/>
  <mergeCells count="101">
    <mergeCell ref="AK10:AM10"/>
    <mergeCell ref="AK11:AK12"/>
    <mergeCell ref="AL11:AL12"/>
    <mergeCell ref="AM11:AM12"/>
    <mergeCell ref="B19:AJ19"/>
    <mergeCell ref="L11:L12"/>
    <mergeCell ref="M11:M12"/>
    <mergeCell ref="AE11:AE12"/>
    <mergeCell ref="AJ11:AJ12"/>
    <mergeCell ref="AI11:AI12"/>
    <mergeCell ref="AH11:AH12"/>
    <mergeCell ref="AG11:AG12"/>
    <mergeCell ref="AF11:AF12"/>
    <mergeCell ref="AD11:AD12"/>
    <mergeCell ref="R11:W11"/>
    <mergeCell ref="O15:O18"/>
    <mergeCell ref="P15:P18"/>
    <mergeCell ref="Q15:Q18"/>
    <mergeCell ref="R15:R18"/>
    <mergeCell ref="S15:S18"/>
    <mergeCell ref="T15:T18"/>
    <mergeCell ref="U15:U18"/>
    <mergeCell ref="H11:H12"/>
    <mergeCell ref="I11:I12"/>
    <mergeCell ref="O7:Q7"/>
    <mergeCell ref="F13:F18"/>
    <mergeCell ref="G13:G18"/>
    <mergeCell ref="H13:H18"/>
    <mergeCell ref="A13:A18"/>
    <mergeCell ref="B13:B18"/>
    <mergeCell ref="D13:D18"/>
    <mergeCell ref="E13:E18"/>
    <mergeCell ref="N13:N18"/>
    <mergeCell ref="I13:I18"/>
    <mergeCell ref="J13:J18"/>
    <mergeCell ref="K13:K18"/>
    <mergeCell ref="L13:L18"/>
    <mergeCell ref="M13:M18"/>
    <mergeCell ref="C13:C18"/>
    <mergeCell ref="C8:N8"/>
    <mergeCell ref="C9:N9"/>
    <mergeCell ref="A10:G10"/>
    <mergeCell ref="H10:N10"/>
    <mergeCell ref="O10:W10"/>
    <mergeCell ref="B11:B12"/>
    <mergeCell ref="N11:N12"/>
    <mergeCell ref="J11:J12"/>
    <mergeCell ref="K11:K12"/>
    <mergeCell ref="A1:C5"/>
    <mergeCell ref="D1:N2"/>
    <mergeCell ref="D3:N3"/>
    <mergeCell ref="D4:N4"/>
    <mergeCell ref="D5:F5"/>
    <mergeCell ref="G5:I5"/>
    <mergeCell ref="J5:N5"/>
    <mergeCell ref="C7:N7"/>
    <mergeCell ref="A7:B7"/>
    <mergeCell ref="AN10:AP10"/>
    <mergeCell ref="AN11:AN12"/>
    <mergeCell ref="AO11:AO12"/>
    <mergeCell ref="AP11:AP12"/>
    <mergeCell ref="A8:B8"/>
    <mergeCell ref="A9:B9"/>
    <mergeCell ref="A11:A12"/>
    <mergeCell ref="F11:F12"/>
    <mergeCell ref="E11:E12"/>
    <mergeCell ref="D11:D12"/>
    <mergeCell ref="C11:C12"/>
    <mergeCell ref="X10:AD10"/>
    <mergeCell ref="Q11:Q12"/>
    <mergeCell ref="O11:O12"/>
    <mergeCell ref="AC11:AC12"/>
    <mergeCell ref="AB11:AB12"/>
    <mergeCell ref="X11:X12"/>
    <mergeCell ref="P11:P12"/>
    <mergeCell ref="AA11:AA12"/>
    <mergeCell ref="Y11:Y12"/>
    <mergeCell ref="Z11:Z12"/>
    <mergeCell ref="G11:G12"/>
    <mergeCell ref="AE10:AG10"/>
    <mergeCell ref="AH10:AJ10"/>
    <mergeCell ref="Y13:Y18"/>
    <mergeCell ref="Z15:Z18"/>
    <mergeCell ref="AA13:AA18"/>
    <mergeCell ref="AB15:AB18"/>
    <mergeCell ref="AC13:AC18"/>
    <mergeCell ref="AM15:AM18"/>
    <mergeCell ref="AN15:AN18"/>
    <mergeCell ref="W15:W18"/>
    <mergeCell ref="V15:V18"/>
    <mergeCell ref="AO15:AO18"/>
    <mergeCell ref="AP15:AP18"/>
    <mergeCell ref="AD15:AD18"/>
    <mergeCell ref="AE15:AE18"/>
    <mergeCell ref="AF15:AF18"/>
    <mergeCell ref="AG15:AG18"/>
    <mergeCell ref="AH15:AH18"/>
    <mergeCell ref="AI15:AI18"/>
    <mergeCell ref="AK15:AK18"/>
    <mergeCell ref="AL15:AL18"/>
    <mergeCell ref="AJ15:AJ18"/>
  </mergeCells>
  <conditionalFormatting sqref="H13">
    <cfRule type="cellIs" dxfId="107" priority="11" operator="equal">
      <formula>"Muy Alta"</formula>
    </cfRule>
    <cfRule type="cellIs" dxfId="106" priority="12" operator="equal">
      <formula>"Alta"</formula>
    </cfRule>
    <cfRule type="cellIs" dxfId="105" priority="13" operator="equal">
      <formula>"Media"</formula>
    </cfRule>
    <cfRule type="cellIs" dxfId="104" priority="14" operator="equal">
      <formula>"Baja"</formula>
    </cfRule>
    <cfRule type="cellIs" dxfId="103" priority="15" operator="equal">
      <formula>"Muy Baja"</formula>
    </cfRule>
  </conditionalFormatting>
  <conditionalFormatting sqref="K13:K18">
    <cfRule type="containsText" dxfId="102" priority="1" operator="containsText" text="❌">
      <formula>NOT(ISERROR(SEARCH("❌",K13)))</formula>
    </cfRule>
  </conditionalFormatting>
  <conditionalFormatting sqref="L13">
    <cfRule type="cellIs" dxfId="101" priority="6" operator="equal">
      <formula>"Catastrófico"</formula>
    </cfRule>
    <cfRule type="cellIs" dxfId="100" priority="7" operator="equal">
      <formula>"Mayor"</formula>
    </cfRule>
    <cfRule type="cellIs" dxfId="99" priority="8" operator="equal">
      <formula>"Moderado"</formula>
    </cfRule>
    <cfRule type="cellIs" dxfId="98" priority="9" operator="equal">
      <formula>"Menor"</formula>
    </cfRule>
    <cfRule type="cellIs" dxfId="97" priority="10" operator="equal">
      <formula>"Leve"</formula>
    </cfRule>
  </conditionalFormatting>
  <conditionalFormatting sqref="N13">
    <cfRule type="cellIs" dxfId="96" priority="2" operator="equal">
      <formula>"Extremo"</formula>
    </cfRule>
    <cfRule type="cellIs" dxfId="95" priority="3" operator="equal">
      <formula>"Alto"</formula>
    </cfRule>
    <cfRule type="cellIs" dxfId="94" priority="4" operator="equal">
      <formula>"Moderado"</formula>
    </cfRule>
    <cfRule type="cellIs" dxfId="93" priority="5" operator="equal">
      <formula>"Bajo"</formula>
    </cfRule>
  </conditionalFormatting>
  <conditionalFormatting sqref="Y13">
    <cfRule type="cellIs" dxfId="92" priority="362" operator="equal">
      <formula>"Muy Alta"</formula>
    </cfRule>
    <cfRule type="cellIs" dxfId="91" priority="363" operator="equal">
      <formula>"Alta"</formula>
    </cfRule>
    <cfRule type="cellIs" dxfId="90" priority="364" operator="equal">
      <formula>"Media"</formula>
    </cfRule>
    <cfRule type="cellIs" dxfId="89" priority="365" operator="equal">
      <formula>"Baja"</formula>
    </cfRule>
    <cfRule type="cellIs" dxfId="88" priority="366" operator="equal">
      <formula>"Muy Baja"</formula>
    </cfRule>
  </conditionalFormatting>
  <conditionalFormatting sqref="AA13">
    <cfRule type="cellIs" dxfId="87" priority="357" operator="equal">
      <formula>"Catastrófico"</formula>
    </cfRule>
    <cfRule type="cellIs" dxfId="86" priority="358" operator="equal">
      <formula>"Mayor"</formula>
    </cfRule>
    <cfRule type="cellIs" dxfId="85" priority="359" operator="equal">
      <formula>"Moderado"</formula>
    </cfRule>
    <cfRule type="cellIs" dxfId="84" priority="360" operator="equal">
      <formula>"Menor"</formula>
    </cfRule>
    <cfRule type="cellIs" dxfId="83" priority="361" operator="equal">
      <formula>"Leve"</formula>
    </cfRule>
  </conditionalFormatting>
  <conditionalFormatting sqref="AC13">
    <cfRule type="cellIs" dxfId="82" priority="353" operator="equal">
      <formula>"Extremo"</formula>
    </cfRule>
    <cfRule type="cellIs" dxfId="81" priority="354" operator="equal">
      <formula>"Alto"</formula>
    </cfRule>
    <cfRule type="cellIs" dxfId="80" priority="355" operator="equal">
      <formula>"Moderado"</formula>
    </cfRule>
    <cfRule type="cellIs" dxfId="79" priority="356" operator="equal">
      <formula>"Bajo"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1000000}">
          <x14:formula1>
            <xm:f>'Tabla Valoración controles'!$D$4:$D$6</xm:f>
          </x14:formula1>
          <xm:sqref>R13:R15</xm:sqref>
        </x14:dataValidation>
        <x14:dataValidation type="list" allowBlank="1" showInputMessage="1" showErrorMessage="1" xr:uid="{00000000-0002-0000-0100-000002000000}">
          <x14:formula1>
            <xm:f>'Tabla Valoración controles'!$D$7:$D$8</xm:f>
          </x14:formula1>
          <xm:sqref>S13:S15</xm:sqref>
        </x14:dataValidation>
        <x14:dataValidation type="list" allowBlank="1" showInputMessage="1" showErrorMessage="1" xr:uid="{00000000-0002-0000-0100-000003000000}">
          <x14:formula1>
            <xm:f>'Tabla Valoración controles'!$D$9:$D$10</xm:f>
          </x14:formula1>
          <xm:sqref>U13:U15</xm:sqref>
        </x14:dataValidation>
        <x14:dataValidation type="list" allowBlank="1" showInputMessage="1" showErrorMessage="1" xr:uid="{00000000-0002-0000-0100-000004000000}">
          <x14:formula1>
            <xm:f>'Tabla Valoración controles'!$D$11:$D$12</xm:f>
          </x14:formula1>
          <xm:sqref>V13:V15</xm:sqref>
        </x14:dataValidation>
        <x14:dataValidation type="list" allowBlank="1" showInputMessage="1" showErrorMessage="1" xr:uid="{00000000-0002-0000-0100-000005000000}">
          <x14:formula1>
            <xm:f>'Tabla Valoración controles'!$D$13:$D$14</xm:f>
          </x14:formula1>
          <xm:sqref>W13:W15</xm:sqref>
        </x14:dataValidation>
        <x14:dataValidation type="list" allowBlank="1" showInputMessage="1" showErrorMessage="1" xr:uid="{00000000-0002-0000-0100-000008000000}">
          <x14:formula1>
            <xm:f>'Opciones Tratamiento'!$B$2:$B$5</xm:f>
          </x14:formula1>
          <xm:sqref>AD13:AD15</xm:sqref>
        </x14:dataValidation>
        <x14:dataValidation type="custom" allowBlank="1" showInputMessage="1" showErrorMessage="1" error="Recuerde que las acciones se generan bajo la medida de mitigar el riesgo" xr:uid="{00000000-0002-0000-0100-00000A000000}">
          <x14:formula1>
            <xm:f>IF(OR(AD13='Opciones Tratamiento'!$B$2,AD13='Opciones Tratamiento'!$B$3,AD13='Opciones Tratamiento'!$B$4),ISBLANK(AD13),ISTEXT(AD13))</xm:f>
          </x14:formula1>
          <xm:sqref>AE13 AE15</xm:sqref>
        </x14:dataValidation>
        <x14:dataValidation type="custom" allowBlank="1" showInputMessage="1" showErrorMessage="1" error="Recuerde que las acciones se generan bajo la medida de mitigar el riesgo" xr:uid="{00000000-0002-0000-0100-00000B000000}">
          <x14:formula1>
            <xm:f>IF(OR(AD13='Opciones Tratamiento'!$B$2,AD13='Opciones Tratamiento'!$B$3,AD13='Opciones Tratamiento'!$B$4),ISBLANK(AD13),ISTEXT(AD13))</xm:f>
          </x14:formula1>
          <xm:sqref>AF13:AF15</xm:sqref>
        </x14:dataValidation>
        <x14:dataValidation type="custom" allowBlank="1" showInputMessage="1" showErrorMessage="1" error="Recuerde que las acciones se generan bajo la medida de mitigar el riesgo" xr:uid="{00000000-0002-0000-0100-00000C000000}">
          <x14:formula1>
            <xm:f>IF(OR(AD13='Opciones Tratamiento'!$B$2,AD13='Opciones Tratamiento'!$B$3,AD13='Opciones Tratamiento'!$B$4),ISBLANK(AD13),ISTEXT(AD13))</xm:f>
          </x14:formula1>
          <xm:sqref>AG13:AG15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70"/>
  <sheetViews>
    <sheetView topLeftCell="C249" zoomScale="70" zoomScaleNormal="70" workbookViewId="0">
      <selection activeCell="I265" sqref="I265:I270"/>
    </sheetView>
  </sheetViews>
  <sheetFormatPr baseColWidth="10" defaultRowHeight="15" x14ac:dyDescent="0.25"/>
  <cols>
    <col min="2" max="2" width="20" customWidth="1"/>
    <col min="3" max="3" width="17.28515625" customWidth="1"/>
    <col min="4" max="4" width="25.140625" customWidth="1"/>
    <col min="5" max="5" width="28" customWidth="1"/>
    <col min="16" max="16" width="45.85546875" customWidth="1"/>
  </cols>
  <sheetData>
    <row r="1" spans="1:16" ht="34.5" customHeight="1" x14ac:dyDescent="0.25">
      <c r="A1" s="327" t="s">
        <v>228</v>
      </c>
      <c r="B1" s="327"/>
      <c r="C1" s="327"/>
      <c r="D1" s="327"/>
      <c r="E1" s="327"/>
      <c r="F1" s="327"/>
      <c r="G1" s="327"/>
      <c r="H1" s="327"/>
      <c r="I1" s="327"/>
      <c r="J1" s="327"/>
      <c r="K1" s="327"/>
      <c r="L1" s="327"/>
      <c r="M1" s="327"/>
      <c r="N1" s="327"/>
      <c r="O1" s="327"/>
      <c r="P1" s="327"/>
    </row>
    <row r="3" spans="1:16" ht="51" x14ac:dyDescent="0.25">
      <c r="A3" s="299">
        <v>1</v>
      </c>
      <c r="B3" s="296" t="s">
        <v>132</v>
      </c>
      <c r="C3" s="296" t="s">
        <v>217</v>
      </c>
      <c r="D3" s="296" t="s">
        <v>218</v>
      </c>
      <c r="E3" s="302" t="s">
        <v>219</v>
      </c>
      <c r="F3" s="296" t="s">
        <v>123</v>
      </c>
      <c r="G3" s="305">
        <v>12</v>
      </c>
      <c r="H3" s="290" t="s">
        <v>53</v>
      </c>
      <c r="I3" s="287">
        <v>0.4</v>
      </c>
      <c r="J3" s="284" t="s">
        <v>148</v>
      </c>
      <c r="K3" s="287" t="s">
        <v>148</v>
      </c>
      <c r="L3" s="290" t="s">
        <v>84</v>
      </c>
      <c r="M3" s="287">
        <v>0.4</v>
      </c>
      <c r="N3" s="293" t="s">
        <v>81</v>
      </c>
      <c r="O3" s="135">
        <v>1</v>
      </c>
      <c r="P3" s="133" t="s">
        <v>220</v>
      </c>
    </row>
    <row r="4" spans="1:16" ht="107.25" customHeight="1" x14ac:dyDescent="0.25">
      <c r="A4" s="300"/>
      <c r="B4" s="297"/>
      <c r="C4" s="297"/>
      <c r="D4" s="297"/>
      <c r="E4" s="303"/>
      <c r="F4" s="297"/>
      <c r="G4" s="306"/>
      <c r="H4" s="291"/>
      <c r="I4" s="288"/>
      <c r="J4" s="285"/>
      <c r="K4" s="288">
        <v>0</v>
      </c>
      <c r="L4" s="291"/>
      <c r="M4" s="288"/>
      <c r="N4" s="294"/>
      <c r="O4" s="135">
        <v>2</v>
      </c>
      <c r="P4" s="134" t="s">
        <v>221</v>
      </c>
    </row>
    <row r="5" spans="1:16" ht="16.5" x14ac:dyDescent="0.25">
      <c r="A5" s="300"/>
      <c r="B5" s="297"/>
      <c r="C5" s="297"/>
      <c r="D5" s="297"/>
      <c r="E5" s="303"/>
      <c r="F5" s="297"/>
      <c r="G5" s="306"/>
      <c r="H5" s="291"/>
      <c r="I5" s="288"/>
      <c r="J5" s="285"/>
      <c r="K5" s="288">
        <v>0</v>
      </c>
      <c r="L5" s="291"/>
      <c r="M5" s="288"/>
      <c r="N5" s="294"/>
      <c r="O5" s="135">
        <v>3</v>
      </c>
      <c r="P5" s="134"/>
    </row>
    <row r="6" spans="1:16" ht="16.5" x14ac:dyDescent="0.25">
      <c r="A6" s="300"/>
      <c r="B6" s="297"/>
      <c r="C6" s="297"/>
      <c r="D6" s="297"/>
      <c r="E6" s="303"/>
      <c r="F6" s="297"/>
      <c r="G6" s="306"/>
      <c r="H6" s="291"/>
      <c r="I6" s="288"/>
      <c r="J6" s="285"/>
      <c r="K6" s="288">
        <v>0</v>
      </c>
      <c r="L6" s="291"/>
      <c r="M6" s="288"/>
      <c r="N6" s="294"/>
      <c r="O6" s="135">
        <v>4</v>
      </c>
      <c r="P6" s="133"/>
    </row>
    <row r="7" spans="1:16" ht="16.5" x14ac:dyDescent="0.25">
      <c r="A7" s="300"/>
      <c r="B7" s="297"/>
      <c r="C7" s="297"/>
      <c r="D7" s="297"/>
      <c r="E7" s="303"/>
      <c r="F7" s="297"/>
      <c r="G7" s="306"/>
      <c r="H7" s="291"/>
      <c r="I7" s="288"/>
      <c r="J7" s="285"/>
      <c r="K7" s="288">
        <v>0</v>
      </c>
      <c r="L7" s="291"/>
      <c r="M7" s="288"/>
      <c r="N7" s="294"/>
      <c r="O7" s="135">
        <v>5</v>
      </c>
      <c r="P7" s="133"/>
    </row>
    <row r="8" spans="1:16" ht="16.5" x14ac:dyDescent="0.25">
      <c r="A8" s="301"/>
      <c r="B8" s="298"/>
      <c r="C8" s="298"/>
      <c r="D8" s="298"/>
      <c r="E8" s="304"/>
      <c r="F8" s="298"/>
      <c r="G8" s="307"/>
      <c r="H8" s="292"/>
      <c r="I8" s="289"/>
      <c r="J8" s="286"/>
      <c r="K8" s="289">
        <v>0</v>
      </c>
      <c r="L8" s="292"/>
      <c r="M8" s="289"/>
      <c r="N8" s="295"/>
      <c r="O8" s="135">
        <v>6</v>
      </c>
      <c r="P8" s="133"/>
    </row>
    <row r="9" spans="1:16" ht="51" x14ac:dyDescent="0.25">
      <c r="A9" s="299">
        <v>2</v>
      </c>
      <c r="B9" s="296" t="s">
        <v>131</v>
      </c>
      <c r="C9" s="296" t="s">
        <v>222</v>
      </c>
      <c r="D9" s="296" t="s">
        <v>223</v>
      </c>
      <c r="E9" s="302" t="s">
        <v>224</v>
      </c>
      <c r="F9" s="296" t="s">
        <v>123</v>
      </c>
      <c r="G9" s="305">
        <v>19</v>
      </c>
      <c r="H9" s="290" t="s">
        <v>53</v>
      </c>
      <c r="I9" s="287">
        <v>0.4</v>
      </c>
      <c r="J9" s="284" t="s">
        <v>153</v>
      </c>
      <c r="K9" s="287" t="s">
        <v>153</v>
      </c>
      <c r="L9" s="290" t="s">
        <v>81</v>
      </c>
      <c r="M9" s="287">
        <v>0.6</v>
      </c>
      <c r="N9" s="293" t="s">
        <v>81</v>
      </c>
      <c r="O9" s="135">
        <v>1</v>
      </c>
      <c r="P9" s="133" t="s">
        <v>225</v>
      </c>
    </row>
    <row r="10" spans="1:16" ht="76.5" x14ac:dyDescent="0.25">
      <c r="A10" s="300"/>
      <c r="B10" s="297"/>
      <c r="C10" s="297"/>
      <c r="D10" s="297"/>
      <c r="E10" s="303"/>
      <c r="F10" s="297"/>
      <c r="G10" s="306"/>
      <c r="H10" s="291"/>
      <c r="I10" s="288"/>
      <c r="J10" s="285"/>
      <c r="K10" s="288">
        <v>0</v>
      </c>
      <c r="L10" s="291"/>
      <c r="M10" s="288"/>
      <c r="N10" s="294"/>
      <c r="O10" s="135">
        <v>2</v>
      </c>
      <c r="P10" s="133" t="s">
        <v>226</v>
      </c>
    </row>
    <row r="11" spans="1:16" ht="63.75" x14ac:dyDescent="0.25">
      <c r="A11" s="300"/>
      <c r="B11" s="297"/>
      <c r="C11" s="297"/>
      <c r="D11" s="297"/>
      <c r="E11" s="303"/>
      <c r="F11" s="297"/>
      <c r="G11" s="306"/>
      <c r="H11" s="291"/>
      <c r="I11" s="288"/>
      <c r="J11" s="285"/>
      <c r="K11" s="288">
        <v>0</v>
      </c>
      <c r="L11" s="291"/>
      <c r="M11" s="288"/>
      <c r="N11" s="294"/>
      <c r="O11" s="135">
        <v>3</v>
      </c>
      <c r="P11" s="133" t="s">
        <v>227</v>
      </c>
    </row>
    <row r="12" spans="1:16" ht="16.5" x14ac:dyDescent="0.25">
      <c r="A12" s="300"/>
      <c r="B12" s="297"/>
      <c r="C12" s="297"/>
      <c r="D12" s="297"/>
      <c r="E12" s="303"/>
      <c r="F12" s="297"/>
      <c r="G12" s="306"/>
      <c r="H12" s="291"/>
      <c r="I12" s="288"/>
      <c r="J12" s="285"/>
      <c r="K12" s="288">
        <v>0</v>
      </c>
      <c r="L12" s="291"/>
      <c r="M12" s="288"/>
      <c r="N12" s="294"/>
      <c r="O12" s="135">
        <v>4</v>
      </c>
      <c r="P12" s="133"/>
    </row>
    <row r="13" spans="1:16" ht="16.5" x14ac:dyDescent="0.25">
      <c r="A13" s="300"/>
      <c r="B13" s="297"/>
      <c r="C13" s="297"/>
      <c r="D13" s="297"/>
      <c r="E13" s="303"/>
      <c r="F13" s="297"/>
      <c r="G13" s="306"/>
      <c r="H13" s="291"/>
      <c r="I13" s="288"/>
      <c r="J13" s="285"/>
      <c r="K13" s="288">
        <v>0</v>
      </c>
      <c r="L13" s="291"/>
      <c r="M13" s="288"/>
      <c r="N13" s="294"/>
      <c r="O13" s="135">
        <v>5</v>
      </c>
      <c r="P13" s="133"/>
    </row>
    <row r="14" spans="1:16" ht="16.5" x14ac:dyDescent="0.25">
      <c r="A14" s="301"/>
      <c r="B14" s="298"/>
      <c r="C14" s="298"/>
      <c r="D14" s="298"/>
      <c r="E14" s="304"/>
      <c r="F14" s="298"/>
      <c r="G14" s="307"/>
      <c r="H14" s="292"/>
      <c r="I14" s="289"/>
      <c r="J14" s="286"/>
      <c r="K14" s="289">
        <v>0</v>
      </c>
      <c r="L14" s="292"/>
      <c r="M14" s="289"/>
      <c r="N14" s="295"/>
      <c r="O14" s="135">
        <v>6</v>
      </c>
      <c r="P14" s="133"/>
    </row>
    <row r="15" spans="1:16" ht="76.5" x14ac:dyDescent="0.25">
      <c r="A15" s="299">
        <v>4</v>
      </c>
      <c r="B15" s="296" t="s">
        <v>131</v>
      </c>
      <c r="C15" s="296" t="s">
        <v>229</v>
      </c>
      <c r="D15" s="296" t="s">
        <v>230</v>
      </c>
      <c r="E15" s="302" t="s">
        <v>231</v>
      </c>
      <c r="F15" s="296" t="s">
        <v>123</v>
      </c>
      <c r="G15" s="305">
        <v>9</v>
      </c>
      <c r="H15" s="290" t="s">
        <v>53</v>
      </c>
      <c r="I15" s="287">
        <v>0.4</v>
      </c>
      <c r="J15" s="284" t="s">
        <v>153</v>
      </c>
      <c r="K15" s="287" t="s">
        <v>153</v>
      </c>
      <c r="L15" s="290" t="s">
        <v>81</v>
      </c>
      <c r="M15" s="287">
        <v>0.6</v>
      </c>
      <c r="N15" s="293" t="s">
        <v>81</v>
      </c>
      <c r="O15" s="135">
        <v>1</v>
      </c>
      <c r="P15" s="133" t="s">
        <v>232</v>
      </c>
    </row>
    <row r="16" spans="1:16" ht="16.5" x14ac:dyDescent="0.25">
      <c r="A16" s="300"/>
      <c r="B16" s="297"/>
      <c r="C16" s="297"/>
      <c r="D16" s="297"/>
      <c r="E16" s="303"/>
      <c r="F16" s="297"/>
      <c r="G16" s="306"/>
      <c r="H16" s="291"/>
      <c r="I16" s="288"/>
      <c r="J16" s="285"/>
      <c r="K16" s="288">
        <v>0</v>
      </c>
      <c r="L16" s="291"/>
      <c r="M16" s="288"/>
      <c r="N16" s="294"/>
      <c r="O16" s="135">
        <v>2</v>
      </c>
      <c r="P16" s="133"/>
    </row>
    <row r="17" spans="1:16" ht="16.5" x14ac:dyDescent="0.25">
      <c r="A17" s="300"/>
      <c r="B17" s="297"/>
      <c r="C17" s="297"/>
      <c r="D17" s="297"/>
      <c r="E17" s="303"/>
      <c r="F17" s="297"/>
      <c r="G17" s="306"/>
      <c r="H17" s="291"/>
      <c r="I17" s="288"/>
      <c r="J17" s="285"/>
      <c r="K17" s="288">
        <v>0</v>
      </c>
      <c r="L17" s="291"/>
      <c r="M17" s="288"/>
      <c r="N17" s="294"/>
      <c r="O17" s="135">
        <v>3</v>
      </c>
      <c r="P17" s="134"/>
    </row>
    <row r="18" spans="1:16" ht="16.5" x14ac:dyDescent="0.25">
      <c r="A18" s="300"/>
      <c r="B18" s="297"/>
      <c r="C18" s="297"/>
      <c r="D18" s="297"/>
      <c r="E18" s="303"/>
      <c r="F18" s="297"/>
      <c r="G18" s="306"/>
      <c r="H18" s="291"/>
      <c r="I18" s="288"/>
      <c r="J18" s="285"/>
      <c r="K18" s="288">
        <v>0</v>
      </c>
      <c r="L18" s="291"/>
      <c r="M18" s="288"/>
      <c r="N18" s="294"/>
      <c r="O18" s="135">
        <v>4</v>
      </c>
      <c r="P18" s="133"/>
    </row>
    <row r="19" spans="1:16" ht="16.5" x14ac:dyDescent="0.25">
      <c r="A19" s="300"/>
      <c r="B19" s="297"/>
      <c r="C19" s="297"/>
      <c r="D19" s="297"/>
      <c r="E19" s="303"/>
      <c r="F19" s="297"/>
      <c r="G19" s="306"/>
      <c r="H19" s="291"/>
      <c r="I19" s="288"/>
      <c r="J19" s="285"/>
      <c r="K19" s="288">
        <v>0</v>
      </c>
      <c r="L19" s="291"/>
      <c r="M19" s="288"/>
      <c r="N19" s="294"/>
      <c r="O19" s="135">
        <v>5</v>
      </c>
      <c r="P19" s="133"/>
    </row>
    <row r="20" spans="1:16" ht="16.5" x14ac:dyDescent="0.25">
      <c r="A20" s="301"/>
      <c r="B20" s="298"/>
      <c r="C20" s="298"/>
      <c r="D20" s="298"/>
      <c r="E20" s="304"/>
      <c r="F20" s="298"/>
      <c r="G20" s="307"/>
      <c r="H20" s="292"/>
      <c r="I20" s="289"/>
      <c r="J20" s="286"/>
      <c r="K20" s="289">
        <v>0</v>
      </c>
      <c r="L20" s="292"/>
      <c r="M20" s="289"/>
      <c r="N20" s="295"/>
      <c r="O20" s="135">
        <v>6</v>
      </c>
      <c r="P20" s="133"/>
    </row>
    <row r="23" spans="1:16" x14ac:dyDescent="0.25">
      <c r="A23" s="326" t="s">
        <v>233</v>
      </c>
      <c r="B23" s="326"/>
      <c r="C23" s="326"/>
      <c r="D23" s="326"/>
      <c r="E23" s="326"/>
      <c r="F23" s="326"/>
      <c r="G23" s="326"/>
      <c r="H23" s="326"/>
      <c r="I23" s="326"/>
      <c r="J23" s="326"/>
      <c r="K23" s="326"/>
      <c r="L23" s="326"/>
      <c r="M23" s="326"/>
      <c r="N23" s="326"/>
      <c r="O23" s="326"/>
      <c r="P23" s="326"/>
    </row>
    <row r="24" spans="1:16" x14ac:dyDescent="0.25">
      <c r="A24" s="326"/>
      <c r="B24" s="326"/>
      <c r="C24" s="326"/>
      <c r="D24" s="326"/>
      <c r="E24" s="326"/>
      <c r="F24" s="326"/>
      <c r="G24" s="326"/>
      <c r="H24" s="326"/>
      <c r="I24" s="326"/>
      <c r="J24" s="326"/>
      <c r="K24" s="326"/>
      <c r="L24" s="326"/>
      <c r="M24" s="326"/>
      <c r="N24" s="326"/>
      <c r="O24" s="326"/>
      <c r="P24" s="326"/>
    </row>
    <row r="26" spans="1:16" ht="38.25" x14ac:dyDescent="0.25">
      <c r="A26" s="299"/>
      <c r="B26" s="296" t="s">
        <v>131</v>
      </c>
      <c r="C26" s="296" t="s">
        <v>240</v>
      </c>
      <c r="D26" s="296" t="s">
        <v>234</v>
      </c>
      <c r="E26" s="296" t="s">
        <v>241</v>
      </c>
      <c r="F26" s="296" t="s">
        <v>123</v>
      </c>
      <c r="G26" s="305">
        <v>12</v>
      </c>
      <c r="H26" s="290" t="s">
        <v>53</v>
      </c>
      <c r="I26" s="287">
        <v>0.4</v>
      </c>
      <c r="J26" s="284" t="s">
        <v>154</v>
      </c>
      <c r="K26" s="287" t="s">
        <v>154</v>
      </c>
      <c r="L26" s="290" t="s">
        <v>7</v>
      </c>
      <c r="M26" s="287">
        <v>0.8</v>
      </c>
      <c r="N26" s="293" t="s">
        <v>80</v>
      </c>
      <c r="O26" s="135">
        <v>1</v>
      </c>
      <c r="P26" s="133" t="s">
        <v>235</v>
      </c>
    </row>
    <row r="27" spans="1:16" ht="38.25" x14ac:dyDescent="0.25">
      <c r="A27" s="300"/>
      <c r="B27" s="297"/>
      <c r="C27" s="297"/>
      <c r="D27" s="297"/>
      <c r="E27" s="297"/>
      <c r="F27" s="297"/>
      <c r="G27" s="306"/>
      <c r="H27" s="291"/>
      <c r="I27" s="288"/>
      <c r="J27" s="285"/>
      <c r="K27" s="288">
        <v>0</v>
      </c>
      <c r="L27" s="291"/>
      <c r="M27" s="288"/>
      <c r="N27" s="294"/>
      <c r="O27" s="135">
        <v>2</v>
      </c>
      <c r="P27" s="133" t="s">
        <v>236</v>
      </c>
    </row>
    <row r="28" spans="1:16" ht="82.5" x14ac:dyDescent="0.25">
      <c r="A28" s="300"/>
      <c r="B28" s="297"/>
      <c r="C28" s="297"/>
      <c r="D28" s="297"/>
      <c r="E28" s="297"/>
      <c r="F28" s="297"/>
      <c r="G28" s="306"/>
      <c r="H28" s="291"/>
      <c r="I28" s="288"/>
      <c r="J28" s="285"/>
      <c r="K28" s="288">
        <v>0</v>
      </c>
      <c r="L28" s="291"/>
      <c r="M28" s="288"/>
      <c r="N28" s="294"/>
      <c r="O28" s="135">
        <v>3</v>
      </c>
      <c r="P28" s="134" t="s">
        <v>237</v>
      </c>
    </row>
    <row r="29" spans="1:16" ht="89.25" x14ac:dyDescent="0.25">
      <c r="A29" s="300"/>
      <c r="B29" s="297"/>
      <c r="C29" s="297"/>
      <c r="D29" s="297"/>
      <c r="E29" s="297"/>
      <c r="F29" s="297"/>
      <c r="G29" s="306"/>
      <c r="H29" s="291"/>
      <c r="I29" s="288"/>
      <c r="J29" s="285"/>
      <c r="K29" s="288">
        <v>0</v>
      </c>
      <c r="L29" s="291"/>
      <c r="M29" s="288"/>
      <c r="N29" s="294"/>
      <c r="O29" s="135">
        <v>4</v>
      </c>
      <c r="P29" s="133" t="s">
        <v>238</v>
      </c>
    </row>
    <row r="30" spans="1:16" ht="38.25" x14ac:dyDescent="0.25">
      <c r="A30" s="300"/>
      <c r="B30" s="297"/>
      <c r="C30" s="297"/>
      <c r="D30" s="297"/>
      <c r="E30" s="297"/>
      <c r="F30" s="297"/>
      <c r="G30" s="306"/>
      <c r="H30" s="291"/>
      <c r="I30" s="288"/>
      <c r="J30" s="285"/>
      <c r="K30" s="288">
        <v>0</v>
      </c>
      <c r="L30" s="291"/>
      <c r="M30" s="288"/>
      <c r="N30" s="294"/>
      <c r="O30" s="135">
        <v>5</v>
      </c>
      <c r="P30" s="133" t="s">
        <v>239</v>
      </c>
    </row>
    <row r="31" spans="1:16" ht="16.5" x14ac:dyDescent="0.25">
      <c r="A31" s="301"/>
      <c r="B31" s="298"/>
      <c r="C31" s="298"/>
      <c r="D31" s="298"/>
      <c r="E31" s="298"/>
      <c r="F31" s="298"/>
      <c r="G31" s="307"/>
      <c r="H31" s="292"/>
      <c r="I31" s="289"/>
      <c r="J31" s="286"/>
      <c r="K31" s="289">
        <v>0</v>
      </c>
      <c r="L31" s="292"/>
      <c r="M31" s="289"/>
      <c r="N31" s="295"/>
      <c r="O31" s="135">
        <v>6</v>
      </c>
      <c r="P31" s="133"/>
    </row>
    <row r="34" spans="1:16" x14ac:dyDescent="0.25">
      <c r="A34" s="326" t="s">
        <v>242</v>
      </c>
      <c r="B34" s="326"/>
      <c r="C34" s="326"/>
      <c r="D34" s="326"/>
      <c r="E34" s="326"/>
      <c r="F34" s="326"/>
      <c r="G34" s="326"/>
      <c r="H34" s="326"/>
      <c r="I34" s="326"/>
      <c r="J34" s="326"/>
      <c r="K34" s="326"/>
      <c r="L34" s="326"/>
      <c r="M34" s="326"/>
      <c r="N34" s="326"/>
      <c r="O34" s="326"/>
      <c r="P34" s="326"/>
    </row>
    <row r="35" spans="1:16" x14ac:dyDescent="0.25">
      <c r="A35" s="326"/>
      <c r="B35" s="326"/>
      <c r="C35" s="326"/>
      <c r="D35" s="326"/>
      <c r="E35" s="326"/>
      <c r="F35" s="326"/>
      <c r="G35" s="326"/>
      <c r="H35" s="326"/>
      <c r="I35" s="326"/>
      <c r="J35" s="326"/>
      <c r="K35" s="326"/>
      <c r="L35" s="326"/>
      <c r="M35" s="326"/>
      <c r="N35" s="326"/>
      <c r="O35" s="326"/>
      <c r="P35" s="326"/>
    </row>
    <row r="36" spans="1:16" ht="115.5" x14ac:dyDescent="0.25">
      <c r="A36" s="299">
        <v>1</v>
      </c>
      <c r="B36" s="296" t="s">
        <v>131</v>
      </c>
      <c r="C36" s="296" t="s">
        <v>243</v>
      </c>
      <c r="D36" s="296" t="s">
        <v>244</v>
      </c>
      <c r="E36" s="302" t="s">
        <v>245</v>
      </c>
      <c r="F36" s="296" t="s">
        <v>123</v>
      </c>
      <c r="G36" s="305">
        <v>39</v>
      </c>
      <c r="H36" s="290" t="s">
        <v>107</v>
      </c>
      <c r="I36" s="287">
        <v>0.6</v>
      </c>
      <c r="J36" s="284" t="s">
        <v>153</v>
      </c>
      <c r="K36" s="287" t="s">
        <v>153</v>
      </c>
      <c r="L36" s="290" t="s">
        <v>81</v>
      </c>
      <c r="M36" s="287">
        <v>0.6</v>
      </c>
      <c r="N36" s="293" t="s">
        <v>81</v>
      </c>
      <c r="O36" s="135">
        <v>1</v>
      </c>
      <c r="P36" s="136" t="s">
        <v>246</v>
      </c>
    </row>
    <row r="37" spans="1:16" ht="82.5" x14ac:dyDescent="0.25">
      <c r="A37" s="300"/>
      <c r="B37" s="297"/>
      <c r="C37" s="297"/>
      <c r="D37" s="297"/>
      <c r="E37" s="303"/>
      <c r="F37" s="297"/>
      <c r="G37" s="306"/>
      <c r="H37" s="291"/>
      <c r="I37" s="288"/>
      <c r="J37" s="285"/>
      <c r="K37" s="288">
        <v>0</v>
      </c>
      <c r="L37" s="291"/>
      <c r="M37" s="288"/>
      <c r="N37" s="294"/>
      <c r="O37" s="135">
        <v>2</v>
      </c>
      <c r="P37" s="134" t="s">
        <v>247</v>
      </c>
    </row>
    <row r="38" spans="1:16" ht="16.5" x14ac:dyDescent="0.3">
      <c r="A38" s="300"/>
      <c r="B38" s="297"/>
      <c r="C38" s="297"/>
      <c r="D38" s="297"/>
      <c r="E38" s="303"/>
      <c r="F38" s="297"/>
      <c r="G38" s="306"/>
      <c r="H38" s="291"/>
      <c r="I38" s="288"/>
      <c r="J38" s="285"/>
      <c r="K38" s="288">
        <v>0</v>
      </c>
      <c r="L38" s="291"/>
      <c r="M38" s="288"/>
      <c r="N38" s="294"/>
      <c r="O38" s="135">
        <v>3</v>
      </c>
      <c r="P38" s="137"/>
    </row>
    <row r="39" spans="1:16" ht="16.5" x14ac:dyDescent="0.25">
      <c r="A39" s="300"/>
      <c r="B39" s="297"/>
      <c r="C39" s="297"/>
      <c r="D39" s="297"/>
      <c r="E39" s="303"/>
      <c r="F39" s="297"/>
      <c r="G39" s="306"/>
      <c r="H39" s="291"/>
      <c r="I39" s="288"/>
      <c r="J39" s="285"/>
      <c r="K39" s="288">
        <v>0</v>
      </c>
      <c r="L39" s="291"/>
      <c r="M39" s="288"/>
      <c r="N39" s="294"/>
      <c r="O39" s="135">
        <v>4</v>
      </c>
      <c r="P39" s="133"/>
    </row>
    <row r="40" spans="1:16" ht="16.5" x14ac:dyDescent="0.25">
      <c r="A40" s="300"/>
      <c r="B40" s="297"/>
      <c r="C40" s="297"/>
      <c r="D40" s="297"/>
      <c r="E40" s="303"/>
      <c r="F40" s="297"/>
      <c r="G40" s="306"/>
      <c r="H40" s="291"/>
      <c r="I40" s="288"/>
      <c r="J40" s="285"/>
      <c r="K40" s="288">
        <v>0</v>
      </c>
      <c r="L40" s="291"/>
      <c r="M40" s="288"/>
      <c r="N40" s="294"/>
      <c r="O40" s="135">
        <v>5</v>
      </c>
      <c r="P40" s="133"/>
    </row>
    <row r="41" spans="1:16" ht="16.5" x14ac:dyDescent="0.25">
      <c r="A41" s="301"/>
      <c r="B41" s="298"/>
      <c r="C41" s="298"/>
      <c r="D41" s="298"/>
      <c r="E41" s="304"/>
      <c r="F41" s="298"/>
      <c r="G41" s="307"/>
      <c r="H41" s="292"/>
      <c r="I41" s="289"/>
      <c r="J41" s="286"/>
      <c r="K41" s="289">
        <v>0</v>
      </c>
      <c r="L41" s="292"/>
      <c r="M41" s="289"/>
      <c r="N41" s="295"/>
      <c r="O41" s="135">
        <v>6</v>
      </c>
      <c r="P41" s="133"/>
    </row>
    <row r="45" spans="1:16" x14ac:dyDescent="0.25">
      <c r="A45" s="326" t="s">
        <v>248</v>
      </c>
      <c r="B45" s="326"/>
      <c r="C45" s="326"/>
      <c r="D45" s="326"/>
      <c r="E45" s="326"/>
      <c r="F45" s="326"/>
      <c r="G45" s="326"/>
      <c r="H45" s="326"/>
      <c r="I45" s="326"/>
      <c r="J45" s="326"/>
      <c r="K45" s="326"/>
      <c r="L45" s="326"/>
      <c r="M45" s="326"/>
      <c r="N45" s="326"/>
      <c r="O45" s="326"/>
      <c r="P45" s="326"/>
    </row>
    <row r="46" spans="1:16" x14ac:dyDescent="0.25">
      <c r="A46" s="326"/>
      <c r="B46" s="326"/>
      <c r="C46" s="326"/>
      <c r="D46" s="326"/>
      <c r="E46" s="326"/>
      <c r="F46" s="326"/>
      <c r="G46" s="326"/>
      <c r="H46" s="326"/>
      <c r="I46" s="326"/>
      <c r="J46" s="326"/>
      <c r="K46" s="326"/>
      <c r="L46" s="326"/>
      <c r="M46" s="326"/>
      <c r="N46" s="326"/>
      <c r="O46" s="326"/>
      <c r="P46" s="326"/>
    </row>
    <row r="47" spans="1:16" x14ac:dyDescent="0.25">
      <c r="A47" s="312" t="s">
        <v>0</v>
      </c>
      <c r="B47" s="317" t="s">
        <v>2</v>
      </c>
      <c r="C47" s="315" t="s">
        <v>3</v>
      </c>
      <c r="D47" s="315" t="s">
        <v>42</v>
      </c>
      <c r="E47" s="316" t="s">
        <v>1</v>
      </c>
      <c r="F47" s="314" t="s">
        <v>50</v>
      </c>
      <c r="G47" s="315" t="s">
        <v>134</v>
      </c>
      <c r="H47" s="325" t="s">
        <v>33</v>
      </c>
      <c r="I47" s="323" t="s">
        <v>5</v>
      </c>
      <c r="J47" s="314" t="s">
        <v>87</v>
      </c>
      <c r="K47" s="314" t="s">
        <v>92</v>
      </c>
      <c r="L47" s="321" t="s">
        <v>45</v>
      </c>
      <c r="M47" s="323" t="s">
        <v>5</v>
      </c>
      <c r="N47" s="315" t="s">
        <v>48</v>
      </c>
      <c r="O47" s="319" t="s">
        <v>11</v>
      </c>
      <c r="P47" s="318" t="s">
        <v>161</v>
      </c>
    </row>
    <row r="48" spans="1:16" x14ac:dyDescent="0.25">
      <c r="A48" s="313"/>
      <c r="B48" s="317"/>
      <c r="C48" s="318"/>
      <c r="D48" s="318"/>
      <c r="E48" s="317"/>
      <c r="F48" s="315"/>
      <c r="G48" s="318"/>
      <c r="H48" s="315"/>
      <c r="I48" s="322"/>
      <c r="J48" s="315"/>
      <c r="K48" s="315"/>
      <c r="L48" s="322"/>
      <c r="M48" s="322"/>
      <c r="N48" s="318"/>
      <c r="O48" s="320"/>
      <c r="P48" s="318"/>
    </row>
    <row r="49" spans="1:16" ht="63.75" x14ac:dyDescent="0.25">
      <c r="A49" s="299">
        <v>1</v>
      </c>
      <c r="B49" s="296" t="s">
        <v>131</v>
      </c>
      <c r="C49" s="296" t="s">
        <v>249</v>
      </c>
      <c r="D49" s="296" t="s">
        <v>250</v>
      </c>
      <c r="E49" s="302" t="s">
        <v>251</v>
      </c>
      <c r="F49" s="296" t="s">
        <v>123</v>
      </c>
      <c r="G49" s="305">
        <v>670</v>
      </c>
      <c r="H49" s="290" t="s">
        <v>6</v>
      </c>
      <c r="I49" s="287">
        <v>0.8</v>
      </c>
      <c r="J49" s="284" t="s">
        <v>153</v>
      </c>
      <c r="K49" s="287" t="s">
        <v>153</v>
      </c>
      <c r="L49" s="290" t="s">
        <v>81</v>
      </c>
      <c r="M49" s="287">
        <v>0.6</v>
      </c>
      <c r="N49" s="293" t="s">
        <v>80</v>
      </c>
      <c r="O49" s="135">
        <v>1</v>
      </c>
      <c r="P49" s="133" t="s">
        <v>252</v>
      </c>
    </row>
    <row r="50" spans="1:16" ht="89.25" x14ac:dyDescent="0.25">
      <c r="A50" s="300"/>
      <c r="B50" s="297"/>
      <c r="C50" s="297"/>
      <c r="D50" s="297"/>
      <c r="E50" s="303"/>
      <c r="F50" s="297"/>
      <c r="G50" s="306"/>
      <c r="H50" s="291"/>
      <c r="I50" s="288"/>
      <c r="J50" s="285"/>
      <c r="K50" s="288">
        <v>0</v>
      </c>
      <c r="L50" s="291"/>
      <c r="M50" s="288"/>
      <c r="N50" s="294"/>
      <c r="O50" s="135">
        <v>2</v>
      </c>
      <c r="P50" s="133" t="s">
        <v>253</v>
      </c>
    </row>
    <row r="51" spans="1:16" ht="16.5" x14ac:dyDescent="0.25">
      <c r="A51" s="300"/>
      <c r="B51" s="297"/>
      <c r="C51" s="297"/>
      <c r="D51" s="297"/>
      <c r="E51" s="303"/>
      <c r="F51" s="297"/>
      <c r="G51" s="306"/>
      <c r="H51" s="291"/>
      <c r="I51" s="288"/>
      <c r="J51" s="285"/>
      <c r="K51" s="288">
        <v>0</v>
      </c>
      <c r="L51" s="291"/>
      <c r="M51" s="288"/>
      <c r="N51" s="294"/>
      <c r="O51" s="135">
        <v>3</v>
      </c>
      <c r="P51" s="134"/>
    </row>
    <row r="52" spans="1:16" ht="16.5" x14ac:dyDescent="0.25">
      <c r="A52" s="300"/>
      <c r="B52" s="297"/>
      <c r="C52" s="297"/>
      <c r="D52" s="297"/>
      <c r="E52" s="303"/>
      <c r="F52" s="297"/>
      <c r="G52" s="306"/>
      <c r="H52" s="291"/>
      <c r="I52" s="288"/>
      <c r="J52" s="285"/>
      <c r="K52" s="288">
        <v>0</v>
      </c>
      <c r="L52" s="291"/>
      <c r="M52" s="288"/>
      <c r="N52" s="294"/>
      <c r="O52" s="135">
        <v>4</v>
      </c>
      <c r="P52" s="133"/>
    </row>
    <row r="53" spans="1:16" ht="16.5" x14ac:dyDescent="0.25">
      <c r="A53" s="300"/>
      <c r="B53" s="297"/>
      <c r="C53" s="297"/>
      <c r="D53" s="297"/>
      <c r="E53" s="303"/>
      <c r="F53" s="297"/>
      <c r="G53" s="306"/>
      <c r="H53" s="291"/>
      <c r="I53" s="288"/>
      <c r="J53" s="285"/>
      <c r="K53" s="288">
        <v>0</v>
      </c>
      <c r="L53" s="291"/>
      <c r="M53" s="288"/>
      <c r="N53" s="294"/>
      <c r="O53" s="135">
        <v>5</v>
      </c>
      <c r="P53" s="133"/>
    </row>
    <row r="54" spans="1:16" ht="16.5" x14ac:dyDescent="0.25">
      <c r="A54" s="301"/>
      <c r="B54" s="298"/>
      <c r="C54" s="298"/>
      <c r="D54" s="298"/>
      <c r="E54" s="304"/>
      <c r="F54" s="298"/>
      <c r="G54" s="307"/>
      <c r="H54" s="292"/>
      <c r="I54" s="289"/>
      <c r="J54" s="286"/>
      <c r="K54" s="289">
        <v>0</v>
      </c>
      <c r="L54" s="292"/>
      <c r="M54" s="289"/>
      <c r="N54" s="295"/>
      <c r="O54" s="135">
        <v>6</v>
      </c>
      <c r="P54" s="133"/>
    </row>
    <row r="55" spans="1:16" ht="63.75" x14ac:dyDescent="0.25">
      <c r="A55" s="299">
        <v>2</v>
      </c>
      <c r="B55" s="296" t="s">
        <v>131</v>
      </c>
      <c r="C55" s="296" t="s">
        <v>254</v>
      </c>
      <c r="D55" s="296" t="s">
        <v>255</v>
      </c>
      <c r="E55" s="302" t="s">
        <v>256</v>
      </c>
      <c r="F55" s="296" t="s">
        <v>123</v>
      </c>
      <c r="G55" s="305">
        <v>33000</v>
      </c>
      <c r="H55" s="290" t="s">
        <v>54</v>
      </c>
      <c r="I55" s="287">
        <v>1</v>
      </c>
      <c r="J55" s="284" t="s">
        <v>153</v>
      </c>
      <c r="K55" s="287" t="s">
        <v>153</v>
      </c>
      <c r="L55" s="290" t="s">
        <v>81</v>
      </c>
      <c r="M55" s="287">
        <v>0.6</v>
      </c>
      <c r="N55" s="293" t="s">
        <v>80</v>
      </c>
      <c r="O55" s="135">
        <v>1</v>
      </c>
      <c r="P55" s="133" t="s">
        <v>257</v>
      </c>
    </row>
    <row r="56" spans="1:16" ht="38.25" x14ac:dyDescent="0.25">
      <c r="A56" s="300"/>
      <c r="B56" s="297"/>
      <c r="C56" s="297"/>
      <c r="D56" s="297"/>
      <c r="E56" s="303"/>
      <c r="F56" s="297"/>
      <c r="G56" s="306"/>
      <c r="H56" s="291"/>
      <c r="I56" s="288"/>
      <c r="J56" s="285"/>
      <c r="K56" s="288">
        <v>0</v>
      </c>
      <c r="L56" s="291"/>
      <c r="M56" s="288"/>
      <c r="N56" s="294"/>
      <c r="O56" s="135">
        <v>2</v>
      </c>
      <c r="P56" s="133" t="s">
        <v>258</v>
      </c>
    </row>
    <row r="57" spans="1:16" ht="82.5" x14ac:dyDescent="0.25">
      <c r="A57" s="300"/>
      <c r="B57" s="297"/>
      <c r="C57" s="297"/>
      <c r="D57" s="297"/>
      <c r="E57" s="303"/>
      <c r="F57" s="297"/>
      <c r="G57" s="306"/>
      <c r="H57" s="291"/>
      <c r="I57" s="288"/>
      <c r="J57" s="285"/>
      <c r="K57" s="288">
        <v>0</v>
      </c>
      <c r="L57" s="291"/>
      <c r="M57" s="288"/>
      <c r="N57" s="294"/>
      <c r="O57" s="135">
        <v>3</v>
      </c>
      <c r="P57" s="134" t="s">
        <v>259</v>
      </c>
    </row>
    <row r="58" spans="1:16" ht="16.5" x14ac:dyDescent="0.25">
      <c r="A58" s="300"/>
      <c r="B58" s="297"/>
      <c r="C58" s="297"/>
      <c r="D58" s="297"/>
      <c r="E58" s="303"/>
      <c r="F58" s="297"/>
      <c r="G58" s="306"/>
      <c r="H58" s="291"/>
      <c r="I58" s="288"/>
      <c r="J58" s="285"/>
      <c r="K58" s="288">
        <v>0</v>
      </c>
      <c r="L58" s="291"/>
      <c r="M58" s="288"/>
      <c r="N58" s="294"/>
      <c r="O58" s="135">
        <v>4</v>
      </c>
      <c r="P58" s="133"/>
    </row>
    <row r="59" spans="1:16" ht="16.5" x14ac:dyDescent="0.25">
      <c r="A59" s="300"/>
      <c r="B59" s="297"/>
      <c r="C59" s="297"/>
      <c r="D59" s="297"/>
      <c r="E59" s="303"/>
      <c r="F59" s="297"/>
      <c r="G59" s="306"/>
      <c r="H59" s="291"/>
      <c r="I59" s="288"/>
      <c r="J59" s="285"/>
      <c r="K59" s="288">
        <v>0</v>
      </c>
      <c r="L59" s="291"/>
      <c r="M59" s="288"/>
      <c r="N59" s="294"/>
      <c r="O59" s="135">
        <v>5</v>
      </c>
      <c r="P59" s="133"/>
    </row>
    <row r="60" spans="1:16" ht="16.5" x14ac:dyDescent="0.25">
      <c r="A60" s="301"/>
      <c r="B60" s="298"/>
      <c r="C60" s="298"/>
      <c r="D60" s="298"/>
      <c r="E60" s="304"/>
      <c r="F60" s="298"/>
      <c r="G60" s="307"/>
      <c r="H60" s="292"/>
      <c r="I60" s="289"/>
      <c r="J60" s="286"/>
      <c r="K60" s="289">
        <v>0</v>
      </c>
      <c r="L60" s="292"/>
      <c r="M60" s="289"/>
      <c r="N60" s="295"/>
      <c r="O60" s="135">
        <v>6</v>
      </c>
      <c r="P60" s="133"/>
    </row>
    <row r="61" spans="1:16" ht="63.75" x14ac:dyDescent="0.25">
      <c r="A61" s="299">
        <v>3</v>
      </c>
      <c r="B61" s="296" t="s">
        <v>131</v>
      </c>
      <c r="C61" s="296" t="s">
        <v>260</v>
      </c>
      <c r="D61" s="296" t="s">
        <v>261</v>
      </c>
      <c r="E61" s="302" t="s">
        <v>262</v>
      </c>
      <c r="F61" s="296" t="s">
        <v>123</v>
      </c>
      <c r="G61" s="305">
        <v>4000</v>
      </c>
      <c r="H61" s="290" t="s">
        <v>6</v>
      </c>
      <c r="I61" s="287">
        <v>0.8</v>
      </c>
      <c r="J61" s="284" t="s">
        <v>152</v>
      </c>
      <c r="K61" s="287" t="s">
        <v>152</v>
      </c>
      <c r="L61" s="290" t="s">
        <v>84</v>
      </c>
      <c r="M61" s="287">
        <v>0.4</v>
      </c>
      <c r="N61" s="293" t="s">
        <v>81</v>
      </c>
      <c r="O61" s="135">
        <v>1</v>
      </c>
      <c r="P61" s="133" t="s">
        <v>263</v>
      </c>
    </row>
    <row r="62" spans="1:16" ht="63.75" x14ac:dyDescent="0.25">
      <c r="A62" s="300"/>
      <c r="B62" s="297"/>
      <c r="C62" s="297"/>
      <c r="D62" s="297"/>
      <c r="E62" s="303"/>
      <c r="F62" s="297"/>
      <c r="G62" s="306"/>
      <c r="H62" s="291"/>
      <c r="I62" s="288"/>
      <c r="J62" s="285"/>
      <c r="K62" s="288">
        <v>0</v>
      </c>
      <c r="L62" s="291"/>
      <c r="M62" s="288"/>
      <c r="N62" s="294"/>
      <c r="O62" s="135">
        <v>2</v>
      </c>
      <c r="P62" s="133" t="s">
        <v>264</v>
      </c>
    </row>
    <row r="63" spans="1:16" ht="16.5" x14ac:dyDescent="0.25">
      <c r="A63" s="300"/>
      <c r="B63" s="297"/>
      <c r="C63" s="297"/>
      <c r="D63" s="297"/>
      <c r="E63" s="303"/>
      <c r="F63" s="297"/>
      <c r="G63" s="306"/>
      <c r="H63" s="291"/>
      <c r="I63" s="288"/>
      <c r="J63" s="285"/>
      <c r="K63" s="288">
        <v>0</v>
      </c>
      <c r="L63" s="291"/>
      <c r="M63" s="288"/>
      <c r="N63" s="294"/>
      <c r="O63" s="135">
        <v>3</v>
      </c>
      <c r="P63" s="134"/>
    </row>
    <row r="64" spans="1:16" ht="16.5" x14ac:dyDescent="0.25">
      <c r="A64" s="300"/>
      <c r="B64" s="297"/>
      <c r="C64" s="297"/>
      <c r="D64" s="297"/>
      <c r="E64" s="303"/>
      <c r="F64" s="297"/>
      <c r="G64" s="306"/>
      <c r="H64" s="291"/>
      <c r="I64" s="288"/>
      <c r="J64" s="285"/>
      <c r="K64" s="288">
        <v>0</v>
      </c>
      <c r="L64" s="291"/>
      <c r="M64" s="288"/>
      <c r="N64" s="294"/>
      <c r="O64" s="135">
        <v>4</v>
      </c>
      <c r="P64" s="133"/>
    </row>
    <row r="65" spans="1:16" ht="16.5" x14ac:dyDescent="0.25">
      <c r="A65" s="300"/>
      <c r="B65" s="297"/>
      <c r="C65" s="297"/>
      <c r="D65" s="297"/>
      <c r="E65" s="303"/>
      <c r="F65" s="297"/>
      <c r="G65" s="306"/>
      <c r="H65" s="291"/>
      <c r="I65" s="288"/>
      <c r="J65" s="285"/>
      <c r="K65" s="288">
        <v>0</v>
      </c>
      <c r="L65" s="291"/>
      <c r="M65" s="288"/>
      <c r="N65" s="294"/>
      <c r="O65" s="135">
        <v>5</v>
      </c>
      <c r="P65" s="133"/>
    </row>
    <row r="66" spans="1:16" ht="16.5" x14ac:dyDescent="0.25">
      <c r="A66" s="301"/>
      <c r="B66" s="298"/>
      <c r="C66" s="298"/>
      <c r="D66" s="298"/>
      <c r="E66" s="304"/>
      <c r="F66" s="298"/>
      <c r="G66" s="307"/>
      <c r="H66" s="292"/>
      <c r="I66" s="289"/>
      <c r="J66" s="286"/>
      <c r="K66" s="289">
        <v>0</v>
      </c>
      <c r="L66" s="292"/>
      <c r="M66" s="289"/>
      <c r="N66" s="295"/>
      <c r="O66" s="135">
        <v>6</v>
      </c>
      <c r="P66" s="133"/>
    </row>
    <row r="67" spans="1:16" ht="63.75" x14ac:dyDescent="0.25">
      <c r="A67" s="299">
        <v>4</v>
      </c>
      <c r="B67" s="296" t="s">
        <v>131</v>
      </c>
      <c r="C67" s="296" t="s">
        <v>265</v>
      </c>
      <c r="D67" s="296" t="s">
        <v>266</v>
      </c>
      <c r="E67" s="302" t="s">
        <v>267</v>
      </c>
      <c r="F67" s="296" t="s">
        <v>123</v>
      </c>
      <c r="G67" s="305">
        <v>4000</v>
      </c>
      <c r="H67" s="290" t="s">
        <v>6</v>
      </c>
      <c r="I67" s="287">
        <v>0.8</v>
      </c>
      <c r="J67" s="284" t="s">
        <v>152</v>
      </c>
      <c r="K67" s="287" t="s">
        <v>152</v>
      </c>
      <c r="L67" s="290" t="s">
        <v>84</v>
      </c>
      <c r="M67" s="287">
        <v>0.4</v>
      </c>
      <c r="N67" s="293" t="s">
        <v>81</v>
      </c>
      <c r="O67" s="135">
        <v>1</v>
      </c>
      <c r="P67" s="133" t="s">
        <v>268</v>
      </c>
    </row>
    <row r="68" spans="1:16" ht="76.5" x14ac:dyDescent="0.25">
      <c r="A68" s="300"/>
      <c r="B68" s="297"/>
      <c r="C68" s="297"/>
      <c r="D68" s="297"/>
      <c r="E68" s="303"/>
      <c r="F68" s="297"/>
      <c r="G68" s="306"/>
      <c r="H68" s="291"/>
      <c r="I68" s="288"/>
      <c r="J68" s="285"/>
      <c r="K68" s="288">
        <v>0</v>
      </c>
      <c r="L68" s="291"/>
      <c r="M68" s="288"/>
      <c r="N68" s="294"/>
      <c r="O68" s="135">
        <v>2</v>
      </c>
      <c r="P68" s="133" t="s">
        <v>269</v>
      </c>
    </row>
    <row r="69" spans="1:16" ht="16.5" x14ac:dyDescent="0.25">
      <c r="A69" s="300"/>
      <c r="B69" s="297"/>
      <c r="C69" s="297"/>
      <c r="D69" s="297"/>
      <c r="E69" s="303"/>
      <c r="F69" s="297"/>
      <c r="G69" s="306"/>
      <c r="H69" s="291"/>
      <c r="I69" s="288"/>
      <c r="J69" s="285"/>
      <c r="K69" s="288">
        <v>0</v>
      </c>
      <c r="L69" s="291"/>
      <c r="M69" s="288"/>
      <c r="N69" s="294"/>
      <c r="O69" s="135">
        <v>3</v>
      </c>
      <c r="P69" s="133"/>
    </row>
    <row r="70" spans="1:16" ht="16.5" x14ac:dyDescent="0.25">
      <c r="A70" s="300"/>
      <c r="B70" s="297"/>
      <c r="C70" s="297"/>
      <c r="D70" s="297"/>
      <c r="E70" s="303"/>
      <c r="F70" s="297"/>
      <c r="G70" s="306"/>
      <c r="H70" s="291"/>
      <c r="I70" s="288"/>
      <c r="J70" s="285"/>
      <c r="K70" s="288">
        <v>0</v>
      </c>
      <c r="L70" s="291"/>
      <c r="M70" s="288"/>
      <c r="N70" s="294"/>
      <c r="O70" s="135">
        <v>4</v>
      </c>
      <c r="P70" s="133"/>
    </row>
    <row r="71" spans="1:16" ht="16.5" x14ac:dyDescent="0.25">
      <c r="A71" s="300"/>
      <c r="B71" s="297"/>
      <c r="C71" s="297"/>
      <c r="D71" s="297"/>
      <c r="E71" s="303"/>
      <c r="F71" s="297"/>
      <c r="G71" s="306"/>
      <c r="H71" s="291"/>
      <c r="I71" s="288"/>
      <c r="J71" s="285"/>
      <c r="K71" s="288">
        <v>0</v>
      </c>
      <c r="L71" s="291"/>
      <c r="M71" s="288"/>
      <c r="N71" s="294"/>
      <c r="O71" s="135">
        <v>5</v>
      </c>
      <c r="P71" s="133"/>
    </row>
    <row r="72" spans="1:16" ht="16.5" x14ac:dyDescent="0.25">
      <c r="A72" s="301"/>
      <c r="B72" s="298"/>
      <c r="C72" s="298"/>
      <c r="D72" s="298"/>
      <c r="E72" s="304"/>
      <c r="F72" s="298"/>
      <c r="G72" s="307"/>
      <c r="H72" s="292"/>
      <c r="I72" s="289"/>
      <c r="J72" s="286"/>
      <c r="K72" s="289">
        <v>0</v>
      </c>
      <c r="L72" s="292"/>
      <c r="M72" s="289"/>
      <c r="N72" s="295"/>
      <c r="O72" s="135">
        <v>6</v>
      </c>
      <c r="P72" s="133"/>
    </row>
    <row r="73" spans="1:16" ht="51" x14ac:dyDescent="0.25">
      <c r="A73" s="299">
        <v>5</v>
      </c>
      <c r="B73" s="296" t="s">
        <v>131</v>
      </c>
      <c r="C73" s="296" t="s">
        <v>270</v>
      </c>
      <c r="D73" s="296" t="s">
        <v>271</v>
      </c>
      <c r="E73" s="302" t="s">
        <v>272</v>
      </c>
      <c r="F73" s="296" t="s">
        <v>123</v>
      </c>
      <c r="G73" s="305">
        <v>12</v>
      </c>
      <c r="H73" s="290" t="s">
        <v>53</v>
      </c>
      <c r="I73" s="287">
        <v>0.4</v>
      </c>
      <c r="J73" s="284" t="s">
        <v>152</v>
      </c>
      <c r="K73" s="287" t="s">
        <v>152</v>
      </c>
      <c r="L73" s="290" t="s">
        <v>84</v>
      </c>
      <c r="M73" s="287">
        <v>0.4</v>
      </c>
      <c r="N73" s="293" t="s">
        <v>81</v>
      </c>
      <c r="O73" s="135">
        <v>1</v>
      </c>
      <c r="P73" s="133" t="s">
        <v>273</v>
      </c>
    </row>
    <row r="74" spans="1:16" ht="76.5" x14ac:dyDescent="0.25">
      <c r="A74" s="300"/>
      <c r="B74" s="297"/>
      <c r="C74" s="297"/>
      <c r="D74" s="297"/>
      <c r="E74" s="303"/>
      <c r="F74" s="297"/>
      <c r="G74" s="306"/>
      <c r="H74" s="291"/>
      <c r="I74" s="288"/>
      <c r="J74" s="285"/>
      <c r="K74" s="288">
        <v>0</v>
      </c>
      <c r="L74" s="291"/>
      <c r="M74" s="288"/>
      <c r="N74" s="294"/>
      <c r="O74" s="135">
        <v>2</v>
      </c>
      <c r="P74" s="133" t="s">
        <v>274</v>
      </c>
    </row>
    <row r="75" spans="1:16" ht="16.5" x14ac:dyDescent="0.25">
      <c r="A75" s="300"/>
      <c r="B75" s="297"/>
      <c r="C75" s="297"/>
      <c r="D75" s="297"/>
      <c r="E75" s="303"/>
      <c r="F75" s="297"/>
      <c r="G75" s="306"/>
      <c r="H75" s="291"/>
      <c r="I75" s="288"/>
      <c r="J75" s="285"/>
      <c r="K75" s="288">
        <v>0</v>
      </c>
      <c r="L75" s="291"/>
      <c r="M75" s="288"/>
      <c r="N75" s="294"/>
      <c r="O75" s="135">
        <v>3</v>
      </c>
      <c r="P75" s="133"/>
    </row>
    <row r="76" spans="1:16" ht="16.5" x14ac:dyDescent="0.25">
      <c r="A76" s="300"/>
      <c r="B76" s="297"/>
      <c r="C76" s="297"/>
      <c r="D76" s="297"/>
      <c r="E76" s="303"/>
      <c r="F76" s="297"/>
      <c r="G76" s="306"/>
      <c r="H76" s="291"/>
      <c r="I76" s="288"/>
      <c r="J76" s="285"/>
      <c r="K76" s="288">
        <v>0</v>
      </c>
      <c r="L76" s="291"/>
      <c r="M76" s="288"/>
      <c r="N76" s="294"/>
      <c r="O76" s="135">
        <v>4</v>
      </c>
      <c r="P76" s="133"/>
    </row>
    <row r="77" spans="1:16" ht="16.5" x14ac:dyDescent="0.25">
      <c r="A77" s="300"/>
      <c r="B77" s="297"/>
      <c r="C77" s="297"/>
      <c r="D77" s="297"/>
      <c r="E77" s="303"/>
      <c r="F77" s="297"/>
      <c r="G77" s="306"/>
      <c r="H77" s="291"/>
      <c r="I77" s="288"/>
      <c r="J77" s="285"/>
      <c r="K77" s="288">
        <v>0</v>
      </c>
      <c r="L77" s="291"/>
      <c r="M77" s="288"/>
      <c r="N77" s="294"/>
      <c r="O77" s="135">
        <v>5</v>
      </c>
      <c r="P77" s="133"/>
    </row>
    <row r="78" spans="1:16" ht="16.5" x14ac:dyDescent="0.25">
      <c r="A78" s="301"/>
      <c r="B78" s="298"/>
      <c r="C78" s="298"/>
      <c r="D78" s="298"/>
      <c r="E78" s="304"/>
      <c r="F78" s="298"/>
      <c r="G78" s="307"/>
      <c r="H78" s="292"/>
      <c r="I78" s="289"/>
      <c r="J78" s="286"/>
      <c r="K78" s="289">
        <v>0</v>
      </c>
      <c r="L78" s="292"/>
      <c r="M78" s="289"/>
      <c r="N78" s="295"/>
      <c r="O78" s="135">
        <v>6</v>
      </c>
      <c r="P78" s="133"/>
    </row>
    <row r="82" spans="1:16" x14ac:dyDescent="0.25">
      <c r="A82" s="326" t="s">
        <v>275</v>
      </c>
      <c r="B82" s="326"/>
      <c r="C82" s="326"/>
      <c r="D82" s="326"/>
      <c r="E82" s="326"/>
      <c r="F82" s="326"/>
      <c r="G82" s="326"/>
      <c r="H82" s="326"/>
      <c r="I82" s="326"/>
      <c r="J82" s="326"/>
      <c r="K82" s="326"/>
      <c r="L82" s="326"/>
      <c r="M82" s="326"/>
      <c r="N82" s="326"/>
      <c r="O82" s="326"/>
      <c r="P82" s="326"/>
    </row>
    <row r="83" spans="1:16" x14ac:dyDescent="0.25">
      <c r="A83" s="326"/>
      <c r="B83" s="326"/>
      <c r="C83" s="326"/>
      <c r="D83" s="326"/>
      <c r="E83" s="326"/>
      <c r="F83" s="326"/>
      <c r="G83" s="326"/>
      <c r="H83" s="326"/>
      <c r="I83" s="326"/>
      <c r="J83" s="326"/>
      <c r="K83" s="326"/>
      <c r="L83" s="326"/>
      <c r="M83" s="326"/>
      <c r="N83" s="326"/>
      <c r="O83" s="326"/>
      <c r="P83" s="326"/>
    </row>
    <row r="84" spans="1:16" x14ac:dyDescent="0.25">
      <c r="A84" s="312" t="s">
        <v>0</v>
      </c>
      <c r="B84" s="317" t="s">
        <v>2</v>
      </c>
      <c r="C84" s="315" t="s">
        <v>3</v>
      </c>
      <c r="D84" s="315" t="s">
        <v>42</v>
      </c>
      <c r="E84" s="316" t="s">
        <v>1</v>
      </c>
      <c r="F84" s="314" t="s">
        <v>50</v>
      </c>
      <c r="G84" s="315" t="s">
        <v>134</v>
      </c>
      <c r="H84" s="325" t="s">
        <v>33</v>
      </c>
      <c r="I84" s="323" t="s">
        <v>5</v>
      </c>
      <c r="J84" s="314" t="s">
        <v>87</v>
      </c>
      <c r="K84" s="314" t="s">
        <v>92</v>
      </c>
      <c r="L84" s="321" t="s">
        <v>45</v>
      </c>
      <c r="M84" s="323" t="s">
        <v>5</v>
      </c>
      <c r="N84" s="315" t="s">
        <v>48</v>
      </c>
      <c r="O84" s="319" t="s">
        <v>11</v>
      </c>
      <c r="P84" s="318" t="s">
        <v>161</v>
      </c>
    </row>
    <row r="85" spans="1:16" x14ac:dyDescent="0.25">
      <c r="A85" s="313"/>
      <c r="B85" s="317"/>
      <c r="C85" s="318"/>
      <c r="D85" s="318"/>
      <c r="E85" s="317"/>
      <c r="F85" s="315"/>
      <c r="G85" s="318"/>
      <c r="H85" s="315"/>
      <c r="I85" s="322"/>
      <c r="J85" s="315"/>
      <c r="K85" s="315"/>
      <c r="L85" s="322"/>
      <c r="M85" s="322"/>
      <c r="N85" s="318"/>
      <c r="O85" s="320"/>
      <c r="P85" s="318"/>
    </row>
    <row r="86" spans="1:16" ht="102" x14ac:dyDescent="0.25">
      <c r="A86" s="299">
        <v>1</v>
      </c>
      <c r="B86" s="296" t="s">
        <v>131</v>
      </c>
      <c r="C86" s="296" t="s">
        <v>276</v>
      </c>
      <c r="D86" s="296" t="s">
        <v>277</v>
      </c>
      <c r="E86" s="302" t="s">
        <v>278</v>
      </c>
      <c r="F86" s="296" t="s">
        <v>123</v>
      </c>
      <c r="G86" s="305">
        <v>84</v>
      </c>
      <c r="H86" s="290" t="s">
        <v>107</v>
      </c>
      <c r="I86" s="287">
        <v>0.6</v>
      </c>
      <c r="J86" s="284" t="s">
        <v>154</v>
      </c>
      <c r="K86" s="287" t="s">
        <v>154</v>
      </c>
      <c r="L86" s="290" t="s">
        <v>7</v>
      </c>
      <c r="M86" s="287">
        <v>0.8</v>
      </c>
      <c r="N86" s="293" t="s">
        <v>80</v>
      </c>
      <c r="O86" s="135">
        <v>1</v>
      </c>
      <c r="P86" s="133" t="s">
        <v>279</v>
      </c>
    </row>
    <row r="87" spans="1:16" ht="63.75" x14ac:dyDescent="0.25">
      <c r="A87" s="300"/>
      <c r="B87" s="297"/>
      <c r="C87" s="297"/>
      <c r="D87" s="297"/>
      <c r="E87" s="303"/>
      <c r="F87" s="297"/>
      <c r="G87" s="306"/>
      <c r="H87" s="291"/>
      <c r="I87" s="288"/>
      <c r="J87" s="285"/>
      <c r="K87" s="288">
        <v>0</v>
      </c>
      <c r="L87" s="291"/>
      <c r="M87" s="288"/>
      <c r="N87" s="294"/>
      <c r="O87" s="135">
        <v>2</v>
      </c>
      <c r="P87" s="133" t="s">
        <v>280</v>
      </c>
    </row>
    <row r="88" spans="1:16" ht="82.5" x14ac:dyDescent="0.25">
      <c r="A88" s="300"/>
      <c r="B88" s="297"/>
      <c r="C88" s="297"/>
      <c r="D88" s="297"/>
      <c r="E88" s="303"/>
      <c r="F88" s="297"/>
      <c r="G88" s="306"/>
      <c r="H88" s="291"/>
      <c r="I88" s="288"/>
      <c r="J88" s="285"/>
      <c r="K88" s="288">
        <v>0</v>
      </c>
      <c r="L88" s="291"/>
      <c r="M88" s="288"/>
      <c r="N88" s="294"/>
      <c r="O88" s="135">
        <v>3</v>
      </c>
      <c r="P88" s="134" t="s">
        <v>281</v>
      </c>
    </row>
    <row r="89" spans="1:16" ht="16.5" x14ac:dyDescent="0.25">
      <c r="A89" s="300"/>
      <c r="B89" s="297"/>
      <c r="C89" s="297"/>
      <c r="D89" s="297"/>
      <c r="E89" s="303"/>
      <c r="F89" s="297"/>
      <c r="G89" s="306"/>
      <c r="H89" s="291"/>
      <c r="I89" s="288"/>
      <c r="J89" s="285"/>
      <c r="K89" s="288">
        <v>0</v>
      </c>
      <c r="L89" s="291"/>
      <c r="M89" s="288"/>
      <c r="N89" s="294"/>
      <c r="O89" s="135">
        <v>4</v>
      </c>
      <c r="P89" s="133"/>
    </row>
    <row r="90" spans="1:16" ht="16.5" x14ac:dyDescent="0.25">
      <c r="A90" s="300"/>
      <c r="B90" s="297"/>
      <c r="C90" s="297"/>
      <c r="D90" s="297"/>
      <c r="E90" s="303"/>
      <c r="F90" s="297"/>
      <c r="G90" s="306"/>
      <c r="H90" s="291"/>
      <c r="I90" s="288"/>
      <c r="J90" s="285"/>
      <c r="K90" s="288">
        <v>0</v>
      </c>
      <c r="L90" s="291"/>
      <c r="M90" s="288"/>
      <c r="N90" s="294"/>
      <c r="O90" s="135">
        <v>5</v>
      </c>
      <c r="P90" s="133"/>
    </row>
    <row r="91" spans="1:16" ht="16.5" x14ac:dyDescent="0.25">
      <c r="A91" s="301"/>
      <c r="B91" s="298"/>
      <c r="C91" s="298"/>
      <c r="D91" s="298"/>
      <c r="E91" s="304"/>
      <c r="F91" s="298"/>
      <c r="G91" s="307"/>
      <c r="H91" s="292"/>
      <c r="I91" s="289"/>
      <c r="J91" s="286"/>
      <c r="K91" s="289">
        <v>0</v>
      </c>
      <c r="L91" s="292"/>
      <c r="M91" s="289"/>
      <c r="N91" s="295"/>
      <c r="O91" s="135">
        <v>6</v>
      </c>
      <c r="P91" s="133"/>
    </row>
    <row r="92" spans="1:16" ht="51" x14ac:dyDescent="0.25">
      <c r="A92" s="299">
        <v>2</v>
      </c>
      <c r="B92" s="296" t="s">
        <v>133</v>
      </c>
      <c r="C92" s="296" t="s">
        <v>282</v>
      </c>
      <c r="D92" s="296" t="s">
        <v>283</v>
      </c>
      <c r="E92" s="302" t="s">
        <v>284</v>
      </c>
      <c r="F92" s="296" t="s">
        <v>123</v>
      </c>
      <c r="G92" s="305">
        <v>7000</v>
      </c>
      <c r="H92" s="290" t="s">
        <v>54</v>
      </c>
      <c r="I92" s="287">
        <v>1</v>
      </c>
      <c r="J92" s="284" t="s">
        <v>144</v>
      </c>
      <c r="K92" s="287" t="s">
        <v>144</v>
      </c>
      <c r="L92" s="290" t="s">
        <v>285</v>
      </c>
      <c r="M92" s="287">
        <v>0.2</v>
      </c>
      <c r="N92" s="293" t="s">
        <v>80</v>
      </c>
      <c r="O92" s="135">
        <v>1</v>
      </c>
      <c r="P92" s="133" t="s">
        <v>286</v>
      </c>
    </row>
    <row r="93" spans="1:16" ht="51" x14ac:dyDescent="0.25">
      <c r="A93" s="300"/>
      <c r="B93" s="297"/>
      <c r="C93" s="297"/>
      <c r="D93" s="297"/>
      <c r="E93" s="303"/>
      <c r="F93" s="297"/>
      <c r="G93" s="306"/>
      <c r="H93" s="291"/>
      <c r="I93" s="288"/>
      <c r="J93" s="285"/>
      <c r="K93" s="288">
        <v>0</v>
      </c>
      <c r="L93" s="291"/>
      <c r="M93" s="288"/>
      <c r="N93" s="294"/>
      <c r="O93" s="135">
        <v>2</v>
      </c>
      <c r="P93" s="133" t="s">
        <v>287</v>
      </c>
    </row>
    <row r="94" spans="1:16" ht="66" x14ac:dyDescent="0.25">
      <c r="A94" s="300"/>
      <c r="B94" s="297"/>
      <c r="C94" s="297"/>
      <c r="D94" s="297"/>
      <c r="E94" s="303"/>
      <c r="F94" s="297"/>
      <c r="G94" s="306"/>
      <c r="H94" s="291"/>
      <c r="I94" s="288"/>
      <c r="J94" s="285"/>
      <c r="K94" s="288">
        <v>0</v>
      </c>
      <c r="L94" s="291"/>
      <c r="M94" s="288"/>
      <c r="N94" s="294"/>
      <c r="O94" s="135">
        <v>3</v>
      </c>
      <c r="P94" s="134" t="s">
        <v>288</v>
      </c>
    </row>
    <row r="95" spans="1:16" ht="16.5" x14ac:dyDescent="0.25">
      <c r="A95" s="300"/>
      <c r="B95" s="297"/>
      <c r="C95" s="297"/>
      <c r="D95" s="297"/>
      <c r="E95" s="303"/>
      <c r="F95" s="297"/>
      <c r="G95" s="306"/>
      <c r="H95" s="291"/>
      <c r="I95" s="288"/>
      <c r="J95" s="285"/>
      <c r="K95" s="288">
        <v>0</v>
      </c>
      <c r="L95" s="291"/>
      <c r="M95" s="288"/>
      <c r="N95" s="294"/>
      <c r="O95" s="135">
        <v>4</v>
      </c>
      <c r="P95" s="133"/>
    </row>
    <row r="96" spans="1:16" ht="16.5" x14ac:dyDescent="0.25">
      <c r="A96" s="300"/>
      <c r="B96" s="297"/>
      <c r="C96" s="297"/>
      <c r="D96" s="297"/>
      <c r="E96" s="303"/>
      <c r="F96" s="297"/>
      <c r="G96" s="306"/>
      <c r="H96" s="291"/>
      <c r="I96" s="288"/>
      <c r="J96" s="285"/>
      <c r="K96" s="288">
        <v>0</v>
      </c>
      <c r="L96" s="291"/>
      <c r="M96" s="288"/>
      <c r="N96" s="294"/>
      <c r="O96" s="135">
        <v>5</v>
      </c>
      <c r="P96" s="133"/>
    </row>
    <row r="97" spans="1:16" ht="16.5" x14ac:dyDescent="0.25">
      <c r="A97" s="301"/>
      <c r="B97" s="298"/>
      <c r="C97" s="298"/>
      <c r="D97" s="298"/>
      <c r="E97" s="304"/>
      <c r="F97" s="298"/>
      <c r="G97" s="307"/>
      <c r="H97" s="292"/>
      <c r="I97" s="289"/>
      <c r="J97" s="286"/>
      <c r="K97" s="289">
        <v>0</v>
      </c>
      <c r="L97" s="292"/>
      <c r="M97" s="289"/>
      <c r="N97" s="295"/>
      <c r="O97" s="135">
        <v>6</v>
      </c>
      <c r="P97" s="133"/>
    </row>
    <row r="98" spans="1:16" ht="127.5" x14ac:dyDescent="0.25">
      <c r="A98" s="299">
        <v>3</v>
      </c>
      <c r="B98" s="296" t="s">
        <v>131</v>
      </c>
      <c r="C98" s="296" t="s">
        <v>289</v>
      </c>
      <c r="D98" s="296" t="s">
        <v>290</v>
      </c>
      <c r="E98" s="302" t="s">
        <v>291</v>
      </c>
      <c r="F98" s="296" t="s">
        <v>123</v>
      </c>
      <c r="G98" s="305">
        <v>2020</v>
      </c>
      <c r="H98" s="290" t="s">
        <v>6</v>
      </c>
      <c r="I98" s="287">
        <v>0.8</v>
      </c>
      <c r="J98" s="284" t="s">
        <v>154</v>
      </c>
      <c r="K98" s="287" t="s">
        <v>154</v>
      </c>
      <c r="L98" s="290" t="s">
        <v>7</v>
      </c>
      <c r="M98" s="287">
        <v>0.8</v>
      </c>
      <c r="N98" s="293" t="s">
        <v>80</v>
      </c>
      <c r="O98" s="135">
        <v>1</v>
      </c>
      <c r="P98" s="133" t="s">
        <v>292</v>
      </c>
    </row>
    <row r="99" spans="1:16" ht="102" x14ac:dyDescent="0.25">
      <c r="A99" s="300"/>
      <c r="B99" s="297"/>
      <c r="C99" s="297"/>
      <c r="D99" s="297"/>
      <c r="E99" s="303"/>
      <c r="F99" s="297"/>
      <c r="G99" s="306"/>
      <c r="H99" s="291"/>
      <c r="I99" s="288"/>
      <c r="J99" s="285"/>
      <c r="K99" s="288">
        <v>0</v>
      </c>
      <c r="L99" s="291"/>
      <c r="M99" s="288"/>
      <c r="N99" s="294"/>
      <c r="O99" s="135">
        <v>2</v>
      </c>
      <c r="P99" s="133" t="s">
        <v>293</v>
      </c>
    </row>
    <row r="100" spans="1:16" ht="16.5" x14ac:dyDescent="0.25">
      <c r="A100" s="300"/>
      <c r="B100" s="297"/>
      <c r="C100" s="297"/>
      <c r="D100" s="297"/>
      <c r="E100" s="303"/>
      <c r="F100" s="297"/>
      <c r="G100" s="306"/>
      <c r="H100" s="291"/>
      <c r="I100" s="288"/>
      <c r="J100" s="285"/>
      <c r="K100" s="288">
        <v>0</v>
      </c>
      <c r="L100" s="291"/>
      <c r="M100" s="288"/>
      <c r="N100" s="294"/>
      <c r="O100" s="135">
        <v>3</v>
      </c>
      <c r="P100" s="134"/>
    </row>
    <row r="101" spans="1:16" ht="16.5" x14ac:dyDescent="0.25">
      <c r="A101" s="300"/>
      <c r="B101" s="297"/>
      <c r="C101" s="297"/>
      <c r="D101" s="297"/>
      <c r="E101" s="303"/>
      <c r="F101" s="297"/>
      <c r="G101" s="306"/>
      <c r="H101" s="291"/>
      <c r="I101" s="288"/>
      <c r="J101" s="285"/>
      <c r="K101" s="288">
        <v>0</v>
      </c>
      <c r="L101" s="291"/>
      <c r="M101" s="288"/>
      <c r="N101" s="294"/>
      <c r="O101" s="135">
        <v>4</v>
      </c>
      <c r="P101" s="133"/>
    </row>
    <row r="102" spans="1:16" ht="16.5" x14ac:dyDescent="0.25">
      <c r="A102" s="300"/>
      <c r="B102" s="297"/>
      <c r="C102" s="297"/>
      <c r="D102" s="297"/>
      <c r="E102" s="303"/>
      <c r="F102" s="297"/>
      <c r="G102" s="306"/>
      <c r="H102" s="291"/>
      <c r="I102" s="288"/>
      <c r="J102" s="285"/>
      <c r="K102" s="288">
        <v>0</v>
      </c>
      <c r="L102" s="291"/>
      <c r="M102" s="288"/>
      <c r="N102" s="294"/>
      <c r="O102" s="135">
        <v>5</v>
      </c>
      <c r="P102" s="133"/>
    </row>
    <row r="103" spans="1:16" ht="16.5" x14ac:dyDescent="0.25">
      <c r="A103" s="301"/>
      <c r="B103" s="298"/>
      <c r="C103" s="298"/>
      <c r="D103" s="298"/>
      <c r="E103" s="304"/>
      <c r="F103" s="298"/>
      <c r="G103" s="307"/>
      <c r="H103" s="292"/>
      <c r="I103" s="289"/>
      <c r="J103" s="286"/>
      <c r="K103" s="289">
        <v>0</v>
      </c>
      <c r="L103" s="292"/>
      <c r="M103" s="289"/>
      <c r="N103" s="295"/>
      <c r="O103" s="135">
        <v>6</v>
      </c>
      <c r="P103" s="133"/>
    </row>
    <row r="104" spans="1:16" ht="89.25" x14ac:dyDescent="0.25">
      <c r="A104" s="299">
        <v>4</v>
      </c>
      <c r="B104" s="296" t="s">
        <v>133</v>
      </c>
      <c r="C104" s="296" t="s">
        <v>294</v>
      </c>
      <c r="D104" s="296" t="s">
        <v>295</v>
      </c>
      <c r="E104" s="302" t="s">
        <v>296</v>
      </c>
      <c r="F104" s="296" t="s">
        <v>123</v>
      </c>
      <c r="G104" s="305">
        <v>2020</v>
      </c>
      <c r="H104" s="290" t="s">
        <v>6</v>
      </c>
      <c r="I104" s="287">
        <v>0.8</v>
      </c>
      <c r="J104" s="284" t="s">
        <v>154</v>
      </c>
      <c r="K104" s="287" t="s">
        <v>154</v>
      </c>
      <c r="L104" s="290" t="s">
        <v>7</v>
      </c>
      <c r="M104" s="287">
        <v>0.8</v>
      </c>
      <c r="N104" s="293" t="s">
        <v>80</v>
      </c>
      <c r="O104" s="135">
        <v>1</v>
      </c>
      <c r="P104" s="133" t="s">
        <v>297</v>
      </c>
    </row>
    <row r="105" spans="1:16" ht="76.5" x14ac:dyDescent="0.25">
      <c r="A105" s="300"/>
      <c r="B105" s="297"/>
      <c r="C105" s="297"/>
      <c r="D105" s="297"/>
      <c r="E105" s="303"/>
      <c r="F105" s="297"/>
      <c r="G105" s="306"/>
      <c r="H105" s="291"/>
      <c r="I105" s="288"/>
      <c r="J105" s="285"/>
      <c r="K105" s="288">
        <v>0</v>
      </c>
      <c r="L105" s="291"/>
      <c r="M105" s="288"/>
      <c r="N105" s="294"/>
      <c r="O105" s="135">
        <v>2</v>
      </c>
      <c r="P105" s="133" t="s">
        <v>298</v>
      </c>
    </row>
    <row r="106" spans="1:16" ht="16.5" x14ac:dyDescent="0.25">
      <c r="A106" s="300"/>
      <c r="B106" s="297"/>
      <c r="C106" s="297"/>
      <c r="D106" s="297"/>
      <c r="E106" s="303"/>
      <c r="F106" s="297"/>
      <c r="G106" s="306"/>
      <c r="H106" s="291"/>
      <c r="I106" s="288"/>
      <c r="J106" s="285"/>
      <c r="K106" s="288">
        <v>0</v>
      </c>
      <c r="L106" s="291"/>
      <c r="M106" s="288"/>
      <c r="N106" s="294"/>
      <c r="O106" s="135">
        <v>3</v>
      </c>
      <c r="P106" s="134"/>
    </row>
    <row r="107" spans="1:16" ht="16.5" x14ac:dyDescent="0.25">
      <c r="A107" s="300"/>
      <c r="B107" s="297"/>
      <c r="C107" s="297"/>
      <c r="D107" s="297"/>
      <c r="E107" s="303"/>
      <c r="F107" s="297"/>
      <c r="G107" s="306"/>
      <c r="H107" s="291"/>
      <c r="I107" s="288"/>
      <c r="J107" s="285"/>
      <c r="K107" s="288">
        <v>0</v>
      </c>
      <c r="L107" s="291"/>
      <c r="M107" s="288"/>
      <c r="N107" s="294"/>
      <c r="O107" s="135">
        <v>4</v>
      </c>
      <c r="P107" s="133"/>
    </row>
    <row r="108" spans="1:16" ht="16.5" x14ac:dyDescent="0.25">
      <c r="A108" s="300"/>
      <c r="B108" s="297"/>
      <c r="C108" s="297"/>
      <c r="D108" s="297"/>
      <c r="E108" s="303"/>
      <c r="F108" s="297"/>
      <c r="G108" s="306"/>
      <c r="H108" s="291"/>
      <c r="I108" s="288"/>
      <c r="J108" s="285"/>
      <c r="K108" s="288">
        <v>0</v>
      </c>
      <c r="L108" s="291"/>
      <c r="M108" s="288"/>
      <c r="N108" s="294"/>
      <c r="O108" s="135">
        <v>5</v>
      </c>
      <c r="P108" s="133"/>
    </row>
    <row r="109" spans="1:16" ht="16.5" x14ac:dyDescent="0.25">
      <c r="A109" s="301"/>
      <c r="B109" s="298"/>
      <c r="C109" s="298"/>
      <c r="D109" s="298"/>
      <c r="E109" s="304"/>
      <c r="F109" s="298"/>
      <c r="G109" s="307"/>
      <c r="H109" s="292"/>
      <c r="I109" s="289"/>
      <c r="J109" s="286"/>
      <c r="K109" s="289">
        <v>0</v>
      </c>
      <c r="L109" s="292"/>
      <c r="M109" s="289"/>
      <c r="N109" s="295"/>
      <c r="O109" s="135">
        <v>6</v>
      </c>
      <c r="P109" s="133"/>
    </row>
    <row r="110" spans="1:16" ht="63.75" x14ac:dyDescent="0.25">
      <c r="A110" s="299">
        <v>5</v>
      </c>
      <c r="B110" s="296" t="s">
        <v>133</v>
      </c>
      <c r="C110" s="296" t="s">
        <v>294</v>
      </c>
      <c r="D110" s="296" t="s">
        <v>299</v>
      </c>
      <c r="E110" s="302" t="s">
        <v>300</v>
      </c>
      <c r="F110" s="296" t="s">
        <v>123</v>
      </c>
      <c r="G110" s="305">
        <v>928</v>
      </c>
      <c r="H110" s="290" t="s">
        <v>6</v>
      </c>
      <c r="I110" s="287">
        <v>0.8</v>
      </c>
      <c r="J110" s="284" t="s">
        <v>149</v>
      </c>
      <c r="K110" s="287" t="s">
        <v>149</v>
      </c>
      <c r="L110" s="290" t="s">
        <v>7</v>
      </c>
      <c r="M110" s="287">
        <v>0.8</v>
      </c>
      <c r="N110" s="293" t="s">
        <v>80</v>
      </c>
      <c r="O110" s="135">
        <v>1</v>
      </c>
      <c r="P110" s="133" t="s">
        <v>301</v>
      </c>
    </row>
    <row r="111" spans="1:16" ht="51" x14ac:dyDescent="0.25">
      <c r="A111" s="300"/>
      <c r="B111" s="297"/>
      <c r="C111" s="297"/>
      <c r="D111" s="297"/>
      <c r="E111" s="303"/>
      <c r="F111" s="297"/>
      <c r="G111" s="306"/>
      <c r="H111" s="291"/>
      <c r="I111" s="288"/>
      <c r="J111" s="285"/>
      <c r="K111" s="288">
        <v>0</v>
      </c>
      <c r="L111" s="291"/>
      <c r="M111" s="288"/>
      <c r="N111" s="294"/>
      <c r="O111" s="135">
        <v>2</v>
      </c>
      <c r="P111" s="133" t="s">
        <v>302</v>
      </c>
    </row>
    <row r="112" spans="1:16" ht="16.5" x14ac:dyDescent="0.25">
      <c r="A112" s="300"/>
      <c r="B112" s="297"/>
      <c r="C112" s="297"/>
      <c r="D112" s="297"/>
      <c r="E112" s="303"/>
      <c r="F112" s="297"/>
      <c r="G112" s="306"/>
      <c r="H112" s="291"/>
      <c r="I112" s="288"/>
      <c r="J112" s="285"/>
      <c r="K112" s="288">
        <v>0</v>
      </c>
      <c r="L112" s="291"/>
      <c r="M112" s="288"/>
      <c r="N112" s="294"/>
      <c r="O112" s="135">
        <v>3</v>
      </c>
      <c r="P112" s="134"/>
    </row>
    <row r="113" spans="1:16" ht="16.5" x14ac:dyDescent="0.25">
      <c r="A113" s="300"/>
      <c r="B113" s="297"/>
      <c r="C113" s="297"/>
      <c r="D113" s="297"/>
      <c r="E113" s="303"/>
      <c r="F113" s="297"/>
      <c r="G113" s="306"/>
      <c r="H113" s="291"/>
      <c r="I113" s="288"/>
      <c r="J113" s="285"/>
      <c r="K113" s="288">
        <v>0</v>
      </c>
      <c r="L113" s="291"/>
      <c r="M113" s="288"/>
      <c r="N113" s="294"/>
      <c r="O113" s="135">
        <v>4</v>
      </c>
      <c r="P113" s="133"/>
    </row>
    <row r="114" spans="1:16" ht="16.5" x14ac:dyDescent="0.25">
      <c r="A114" s="300"/>
      <c r="B114" s="297"/>
      <c r="C114" s="297"/>
      <c r="D114" s="297"/>
      <c r="E114" s="303"/>
      <c r="F114" s="297"/>
      <c r="G114" s="306"/>
      <c r="H114" s="291"/>
      <c r="I114" s="288"/>
      <c r="J114" s="285"/>
      <c r="K114" s="288">
        <v>0</v>
      </c>
      <c r="L114" s="291"/>
      <c r="M114" s="288"/>
      <c r="N114" s="294"/>
      <c r="O114" s="135">
        <v>5</v>
      </c>
      <c r="P114" s="133"/>
    </row>
    <row r="115" spans="1:16" ht="16.5" x14ac:dyDescent="0.25">
      <c r="A115" s="301"/>
      <c r="B115" s="298"/>
      <c r="C115" s="298"/>
      <c r="D115" s="298"/>
      <c r="E115" s="304"/>
      <c r="F115" s="298"/>
      <c r="G115" s="307"/>
      <c r="H115" s="292"/>
      <c r="I115" s="289"/>
      <c r="J115" s="286"/>
      <c r="K115" s="289">
        <v>0</v>
      </c>
      <c r="L115" s="292"/>
      <c r="M115" s="289"/>
      <c r="N115" s="295"/>
      <c r="O115" s="135">
        <v>6</v>
      </c>
      <c r="P115" s="133"/>
    </row>
    <row r="116" spans="1:16" ht="89.25" x14ac:dyDescent="0.25">
      <c r="A116" s="299">
        <v>6</v>
      </c>
      <c r="B116" s="296" t="s">
        <v>133</v>
      </c>
      <c r="C116" s="296" t="s">
        <v>294</v>
      </c>
      <c r="D116" s="296" t="s">
        <v>303</v>
      </c>
      <c r="E116" s="302" t="s">
        <v>304</v>
      </c>
      <c r="F116" s="296" t="s">
        <v>123</v>
      </c>
      <c r="G116" s="305">
        <v>18</v>
      </c>
      <c r="H116" s="290" t="s">
        <v>53</v>
      </c>
      <c r="I116" s="287">
        <v>0.4</v>
      </c>
      <c r="J116" s="284" t="s">
        <v>149</v>
      </c>
      <c r="K116" s="287" t="s">
        <v>149</v>
      </c>
      <c r="L116" s="290" t="s">
        <v>7</v>
      </c>
      <c r="M116" s="287">
        <v>0.8</v>
      </c>
      <c r="N116" s="293" t="s">
        <v>80</v>
      </c>
      <c r="O116" s="135">
        <v>1</v>
      </c>
      <c r="P116" s="133" t="s">
        <v>305</v>
      </c>
    </row>
    <row r="117" spans="1:16" ht="16.5" x14ac:dyDescent="0.25">
      <c r="A117" s="300"/>
      <c r="B117" s="297"/>
      <c r="C117" s="297"/>
      <c r="D117" s="297"/>
      <c r="E117" s="303"/>
      <c r="F117" s="297"/>
      <c r="G117" s="306"/>
      <c r="H117" s="291"/>
      <c r="I117" s="288"/>
      <c r="J117" s="285"/>
      <c r="K117" s="288">
        <v>0</v>
      </c>
      <c r="L117" s="291"/>
      <c r="M117" s="288"/>
      <c r="N117" s="294"/>
      <c r="O117" s="135">
        <v>2</v>
      </c>
      <c r="P117" s="133"/>
    </row>
    <row r="118" spans="1:16" ht="16.5" x14ac:dyDescent="0.25">
      <c r="A118" s="300"/>
      <c r="B118" s="297"/>
      <c r="C118" s="297"/>
      <c r="D118" s="297"/>
      <c r="E118" s="303"/>
      <c r="F118" s="297"/>
      <c r="G118" s="306"/>
      <c r="H118" s="291"/>
      <c r="I118" s="288"/>
      <c r="J118" s="285"/>
      <c r="K118" s="288">
        <v>0</v>
      </c>
      <c r="L118" s="291"/>
      <c r="M118" s="288"/>
      <c r="N118" s="294"/>
      <c r="O118" s="135">
        <v>3</v>
      </c>
      <c r="P118" s="134"/>
    </row>
    <row r="119" spans="1:16" ht="16.5" x14ac:dyDescent="0.25">
      <c r="A119" s="300"/>
      <c r="B119" s="297"/>
      <c r="C119" s="297"/>
      <c r="D119" s="297"/>
      <c r="E119" s="303"/>
      <c r="F119" s="297"/>
      <c r="G119" s="306"/>
      <c r="H119" s="291"/>
      <c r="I119" s="288"/>
      <c r="J119" s="285"/>
      <c r="K119" s="288">
        <v>0</v>
      </c>
      <c r="L119" s="291"/>
      <c r="M119" s="288"/>
      <c r="N119" s="294"/>
      <c r="O119" s="135">
        <v>4</v>
      </c>
      <c r="P119" s="133"/>
    </row>
    <row r="120" spans="1:16" ht="16.5" x14ac:dyDescent="0.25">
      <c r="A120" s="300"/>
      <c r="B120" s="297"/>
      <c r="C120" s="297"/>
      <c r="D120" s="297"/>
      <c r="E120" s="303"/>
      <c r="F120" s="297"/>
      <c r="G120" s="306"/>
      <c r="H120" s="291"/>
      <c r="I120" s="288"/>
      <c r="J120" s="285"/>
      <c r="K120" s="288">
        <v>0</v>
      </c>
      <c r="L120" s="291"/>
      <c r="M120" s="288"/>
      <c r="N120" s="294"/>
      <c r="O120" s="135">
        <v>5</v>
      </c>
      <c r="P120" s="133"/>
    </row>
    <row r="121" spans="1:16" ht="16.5" x14ac:dyDescent="0.25">
      <c r="A121" s="301"/>
      <c r="B121" s="298"/>
      <c r="C121" s="298"/>
      <c r="D121" s="298"/>
      <c r="E121" s="304"/>
      <c r="F121" s="298"/>
      <c r="G121" s="307"/>
      <c r="H121" s="292"/>
      <c r="I121" s="289"/>
      <c r="J121" s="286"/>
      <c r="K121" s="289">
        <v>0</v>
      </c>
      <c r="L121" s="292"/>
      <c r="M121" s="289"/>
      <c r="N121" s="295"/>
      <c r="O121" s="135">
        <v>6</v>
      </c>
      <c r="P121" s="133"/>
    </row>
    <row r="122" spans="1:16" ht="102" x14ac:dyDescent="0.25">
      <c r="A122" s="299">
        <v>7</v>
      </c>
      <c r="B122" s="296" t="s">
        <v>131</v>
      </c>
      <c r="C122" s="296" t="s">
        <v>306</v>
      </c>
      <c r="D122" s="296" t="s">
        <v>307</v>
      </c>
      <c r="E122" s="302" t="s">
        <v>308</v>
      </c>
      <c r="F122" s="296" t="s">
        <v>123</v>
      </c>
      <c r="G122" s="305">
        <v>500</v>
      </c>
      <c r="H122" s="290" t="s">
        <v>107</v>
      </c>
      <c r="I122" s="287">
        <v>0.6</v>
      </c>
      <c r="J122" s="284" t="s">
        <v>153</v>
      </c>
      <c r="K122" s="287" t="s">
        <v>153</v>
      </c>
      <c r="L122" s="290" t="s">
        <v>81</v>
      </c>
      <c r="M122" s="287">
        <v>0.6</v>
      </c>
      <c r="N122" s="293" t="s">
        <v>81</v>
      </c>
      <c r="O122" s="135">
        <v>1</v>
      </c>
      <c r="P122" s="133" t="s">
        <v>309</v>
      </c>
    </row>
    <row r="123" spans="1:16" ht="127.5" x14ac:dyDescent="0.25">
      <c r="A123" s="300"/>
      <c r="B123" s="297"/>
      <c r="C123" s="297"/>
      <c r="D123" s="297"/>
      <c r="E123" s="303"/>
      <c r="F123" s="297"/>
      <c r="G123" s="306"/>
      <c r="H123" s="291"/>
      <c r="I123" s="288"/>
      <c r="J123" s="285"/>
      <c r="K123" s="288">
        <v>0</v>
      </c>
      <c r="L123" s="291"/>
      <c r="M123" s="288"/>
      <c r="N123" s="294"/>
      <c r="O123" s="135">
        <v>2</v>
      </c>
      <c r="P123" s="133" t="s">
        <v>310</v>
      </c>
    </row>
    <row r="124" spans="1:16" ht="16.5" x14ac:dyDescent="0.25">
      <c r="A124" s="300"/>
      <c r="B124" s="297"/>
      <c r="C124" s="297"/>
      <c r="D124" s="297"/>
      <c r="E124" s="303"/>
      <c r="F124" s="297"/>
      <c r="G124" s="306"/>
      <c r="H124" s="291"/>
      <c r="I124" s="288"/>
      <c r="J124" s="285"/>
      <c r="K124" s="288">
        <v>0</v>
      </c>
      <c r="L124" s="291"/>
      <c r="M124" s="288"/>
      <c r="N124" s="294"/>
      <c r="O124" s="135">
        <v>3</v>
      </c>
      <c r="P124" s="134"/>
    </row>
    <row r="125" spans="1:16" ht="16.5" x14ac:dyDescent="0.25">
      <c r="A125" s="300"/>
      <c r="B125" s="297"/>
      <c r="C125" s="297"/>
      <c r="D125" s="297"/>
      <c r="E125" s="303"/>
      <c r="F125" s="297"/>
      <c r="G125" s="306"/>
      <c r="H125" s="291"/>
      <c r="I125" s="288"/>
      <c r="J125" s="285"/>
      <c r="K125" s="288">
        <v>0</v>
      </c>
      <c r="L125" s="291"/>
      <c r="M125" s="288"/>
      <c r="N125" s="294"/>
      <c r="O125" s="135">
        <v>4</v>
      </c>
      <c r="P125" s="133"/>
    </row>
    <row r="126" spans="1:16" ht="16.5" x14ac:dyDescent="0.25">
      <c r="A126" s="300"/>
      <c r="B126" s="297"/>
      <c r="C126" s="297"/>
      <c r="D126" s="297"/>
      <c r="E126" s="303"/>
      <c r="F126" s="297"/>
      <c r="G126" s="306"/>
      <c r="H126" s="291"/>
      <c r="I126" s="288"/>
      <c r="J126" s="285"/>
      <c r="K126" s="288">
        <v>0</v>
      </c>
      <c r="L126" s="291"/>
      <c r="M126" s="288"/>
      <c r="N126" s="294"/>
      <c r="O126" s="135">
        <v>5</v>
      </c>
      <c r="P126" s="133"/>
    </row>
    <row r="127" spans="1:16" ht="16.5" x14ac:dyDescent="0.25">
      <c r="A127" s="301"/>
      <c r="B127" s="298"/>
      <c r="C127" s="298"/>
      <c r="D127" s="298"/>
      <c r="E127" s="304"/>
      <c r="F127" s="298"/>
      <c r="G127" s="307"/>
      <c r="H127" s="292"/>
      <c r="I127" s="289"/>
      <c r="J127" s="286"/>
      <c r="K127" s="289">
        <v>0</v>
      </c>
      <c r="L127" s="292"/>
      <c r="M127" s="289"/>
      <c r="N127" s="295"/>
      <c r="O127" s="135">
        <v>6</v>
      </c>
      <c r="P127" s="133"/>
    </row>
    <row r="130" spans="1:23" x14ac:dyDescent="0.25">
      <c r="A130" s="326" t="s">
        <v>311</v>
      </c>
      <c r="B130" s="326"/>
      <c r="C130" s="326"/>
      <c r="D130" s="326"/>
      <c r="E130" s="326"/>
      <c r="F130" s="326"/>
      <c r="G130" s="326"/>
      <c r="H130" s="326"/>
      <c r="I130" s="326"/>
      <c r="J130" s="326"/>
      <c r="K130" s="326"/>
      <c r="L130" s="326"/>
      <c r="M130" s="326"/>
      <c r="N130" s="326"/>
      <c r="O130" s="326"/>
      <c r="P130" s="326"/>
    </row>
    <row r="131" spans="1:23" x14ac:dyDescent="0.25">
      <c r="A131" s="326"/>
      <c r="B131" s="326"/>
      <c r="C131" s="326"/>
      <c r="D131" s="326"/>
      <c r="E131" s="326"/>
      <c r="F131" s="326"/>
      <c r="G131" s="326"/>
      <c r="H131" s="326"/>
      <c r="I131" s="326"/>
      <c r="J131" s="326"/>
      <c r="K131" s="326"/>
      <c r="L131" s="326"/>
      <c r="M131" s="326"/>
      <c r="N131" s="326"/>
      <c r="O131" s="326"/>
      <c r="P131" s="326"/>
    </row>
    <row r="132" spans="1:23" ht="16.5" x14ac:dyDescent="0.25">
      <c r="A132" s="308" t="s">
        <v>138</v>
      </c>
      <c r="B132" s="309"/>
      <c r="C132" s="309"/>
      <c r="D132" s="309"/>
      <c r="E132" s="309"/>
      <c r="F132" s="309"/>
      <c r="G132" s="310"/>
      <c r="H132" s="308" t="s">
        <v>139</v>
      </c>
      <c r="I132" s="309"/>
      <c r="J132" s="309"/>
      <c r="K132" s="309"/>
      <c r="L132" s="309"/>
      <c r="M132" s="309"/>
      <c r="N132" s="310"/>
      <c r="O132" s="308" t="s">
        <v>140</v>
      </c>
      <c r="P132" s="309"/>
      <c r="Q132" s="309"/>
      <c r="R132" s="309"/>
      <c r="S132" s="309"/>
      <c r="T132" s="309"/>
      <c r="U132" s="309"/>
      <c r="V132" s="309"/>
      <c r="W132" s="310"/>
    </row>
    <row r="133" spans="1:23" ht="16.5" x14ac:dyDescent="0.25">
      <c r="A133" s="312" t="s">
        <v>0</v>
      </c>
      <c r="B133" s="317" t="s">
        <v>2</v>
      </c>
      <c r="C133" s="315" t="s">
        <v>3</v>
      </c>
      <c r="D133" s="315" t="s">
        <v>42</v>
      </c>
      <c r="E133" s="316" t="s">
        <v>1</v>
      </c>
      <c r="F133" s="314" t="s">
        <v>50</v>
      </c>
      <c r="G133" s="315" t="s">
        <v>134</v>
      </c>
      <c r="H133" s="325" t="s">
        <v>33</v>
      </c>
      <c r="I133" s="323" t="s">
        <v>5</v>
      </c>
      <c r="J133" s="314" t="s">
        <v>87</v>
      </c>
      <c r="K133" s="314" t="s">
        <v>92</v>
      </c>
      <c r="L133" s="321" t="s">
        <v>45</v>
      </c>
      <c r="M133" s="323" t="s">
        <v>5</v>
      </c>
      <c r="N133" s="315" t="s">
        <v>48</v>
      </c>
      <c r="O133" s="319" t="s">
        <v>11</v>
      </c>
      <c r="P133" s="318" t="s">
        <v>161</v>
      </c>
      <c r="Q133" s="314" t="s">
        <v>12</v>
      </c>
      <c r="R133" s="318" t="s">
        <v>8</v>
      </c>
      <c r="S133" s="318"/>
      <c r="T133" s="318"/>
      <c r="U133" s="318"/>
      <c r="V133" s="318"/>
      <c r="W133" s="318"/>
    </row>
    <row r="134" spans="1:23" ht="79.5" x14ac:dyDescent="0.25">
      <c r="A134" s="313"/>
      <c r="B134" s="317"/>
      <c r="C134" s="318"/>
      <c r="D134" s="318"/>
      <c r="E134" s="317"/>
      <c r="F134" s="315"/>
      <c r="G134" s="318"/>
      <c r="H134" s="315"/>
      <c r="I134" s="322"/>
      <c r="J134" s="315"/>
      <c r="K134" s="315"/>
      <c r="L134" s="322"/>
      <c r="M134" s="322"/>
      <c r="N134" s="318"/>
      <c r="O134" s="320"/>
      <c r="P134" s="318"/>
      <c r="Q134" s="315"/>
      <c r="R134" s="138" t="s">
        <v>13</v>
      </c>
      <c r="S134" s="138" t="s">
        <v>17</v>
      </c>
      <c r="T134" s="138" t="s">
        <v>28</v>
      </c>
      <c r="U134" s="138" t="s">
        <v>18</v>
      </c>
      <c r="V134" s="138" t="s">
        <v>21</v>
      </c>
      <c r="W134" s="138" t="s">
        <v>24</v>
      </c>
    </row>
    <row r="135" spans="1:23" ht="89.25" x14ac:dyDescent="0.25">
      <c r="A135" s="299">
        <v>1</v>
      </c>
      <c r="B135" s="296" t="s">
        <v>131</v>
      </c>
      <c r="C135" s="296" t="s">
        <v>312</v>
      </c>
      <c r="D135" s="296" t="s">
        <v>313</v>
      </c>
      <c r="E135" s="302" t="s">
        <v>314</v>
      </c>
      <c r="F135" s="296" t="s">
        <v>123</v>
      </c>
      <c r="G135" s="305">
        <v>16</v>
      </c>
      <c r="H135" s="290" t="s">
        <v>53</v>
      </c>
      <c r="I135" s="287">
        <v>0.4</v>
      </c>
      <c r="J135" s="284" t="s">
        <v>153</v>
      </c>
      <c r="K135" s="287" t="s">
        <v>153</v>
      </c>
      <c r="L135" s="290" t="s">
        <v>81</v>
      </c>
      <c r="M135" s="287">
        <v>0.6</v>
      </c>
      <c r="N135" s="293" t="s">
        <v>81</v>
      </c>
      <c r="O135" s="135">
        <v>1</v>
      </c>
      <c r="P135" s="133" t="s">
        <v>315</v>
      </c>
      <c r="Q135" s="139" t="s">
        <v>4</v>
      </c>
      <c r="R135" s="140" t="s">
        <v>14</v>
      </c>
      <c r="S135" s="140" t="s">
        <v>9</v>
      </c>
      <c r="T135" s="141" t="s">
        <v>316</v>
      </c>
      <c r="U135" s="140" t="s">
        <v>19</v>
      </c>
      <c r="V135" s="140" t="s">
        <v>22</v>
      </c>
      <c r="W135" s="140" t="s">
        <v>119</v>
      </c>
    </row>
    <row r="136" spans="1:23" ht="89.25" x14ac:dyDescent="0.25">
      <c r="A136" s="300"/>
      <c r="B136" s="297"/>
      <c r="C136" s="297"/>
      <c r="D136" s="297"/>
      <c r="E136" s="303"/>
      <c r="F136" s="297"/>
      <c r="G136" s="306"/>
      <c r="H136" s="291"/>
      <c r="I136" s="288"/>
      <c r="J136" s="285"/>
      <c r="K136" s="288">
        <v>0</v>
      </c>
      <c r="L136" s="291"/>
      <c r="M136" s="288"/>
      <c r="N136" s="294"/>
      <c r="O136" s="135">
        <v>2</v>
      </c>
      <c r="P136" s="133" t="s">
        <v>317</v>
      </c>
      <c r="Q136" s="139" t="s">
        <v>4</v>
      </c>
      <c r="R136" s="140" t="s">
        <v>14</v>
      </c>
      <c r="S136" s="140" t="s">
        <v>9</v>
      </c>
      <c r="T136" s="141" t="s">
        <v>316</v>
      </c>
      <c r="U136" s="140" t="s">
        <v>19</v>
      </c>
      <c r="V136" s="140" t="s">
        <v>22</v>
      </c>
      <c r="W136" s="140" t="s">
        <v>119</v>
      </c>
    </row>
    <row r="137" spans="1:23" ht="114.75" x14ac:dyDescent="0.25">
      <c r="A137" s="300"/>
      <c r="B137" s="297"/>
      <c r="C137" s="297"/>
      <c r="D137" s="297"/>
      <c r="E137" s="303"/>
      <c r="F137" s="297"/>
      <c r="G137" s="306"/>
      <c r="H137" s="291"/>
      <c r="I137" s="288"/>
      <c r="J137" s="285"/>
      <c r="K137" s="288">
        <v>0</v>
      </c>
      <c r="L137" s="291"/>
      <c r="M137" s="288"/>
      <c r="N137" s="294"/>
      <c r="O137" s="135">
        <v>3</v>
      </c>
      <c r="P137" s="133" t="s">
        <v>318</v>
      </c>
      <c r="Q137" s="139" t="s">
        <v>4</v>
      </c>
      <c r="R137" s="140" t="s">
        <v>15</v>
      </c>
      <c r="S137" s="140" t="s">
        <v>9</v>
      </c>
      <c r="T137" s="141" t="s">
        <v>319</v>
      </c>
      <c r="U137" s="140" t="s">
        <v>19</v>
      </c>
      <c r="V137" s="140" t="s">
        <v>22</v>
      </c>
      <c r="W137" s="140"/>
    </row>
    <row r="138" spans="1:23" ht="76.5" x14ac:dyDescent="0.25">
      <c r="A138" s="300"/>
      <c r="B138" s="297"/>
      <c r="C138" s="297"/>
      <c r="D138" s="297"/>
      <c r="E138" s="303"/>
      <c r="F138" s="297"/>
      <c r="G138" s="306"/>
      <c r="H138" s="291"/>
      <c r="I138" s="288"/>
      <c r="J138" s="285"/>
      <c r="K138" s="288">
        <v>0</v>
      </c>
      <c r="L138" s="291"/>
      <c r="M138" s="288"/>
      <c r="N138" s="294"/>
      <c r="O138" s="135">
        <v>4</v>
      </c>
      <c r="P138" s="133" t="s">
        <v>320</v>
      </c>
      <c r="Q138" s="139" t="s">
        <v>2</v>
      </c>
      <c r="R138" s="140" t="s">
        <v>16</v>
      </c>
      <c r="S138" s="140" t="s">
        <v>9</v>
      </c>
      <c r="T138" s="141" t="s">
        <v>321</v>
      </c>
      <c r="U138" s="140" t="s">
        <v>19</v>
      </c>
      <c r="V138" s="140"/>
      <c r="W138" s="140"/>
    </row>
    <row r="139" spans="1:23" ht="89.25" x14ac:dyDescent="0.25">
      <c r="A139" s="300"/>
      <c r="B139" s="297"/>
      <c r="C139" s="297"/>
      <c r="D139" s="297"/>
      <c r="E139" s="303"/>
      <c r="F139" s="297"/>
      <c r="G139" s="306"/>
      <c r="H139" s="291"/>
      <c r="I139" s="288"/>
      <c r="J139" s="285"/>
      <c r="K139" s="288">
        <v>0</v>
      </c>
      <c r="L139" s="291"/>
      <c r="M139" s="288"/>
      <c r="N139" s="294"/>
      <c r="O139" s="135">
        <v>5</v>
      </c>
      <c r="P139" s="133" t="s">
        <v>322</v>
      </c>
      <c r="Q139" s="139" t="s">
        <v>4</v>
      </c>
      <c r="R139" s="140" t="s">
        <v>14</v>
      </c>
      <c r="S139" s="140" t="s">
        <v>9</v>
      </c>
      <c r="T139" s="141" t="s">
        <v>316</v>
      </c>
      <c r="U139" s="140" t="s">
        <v>19</v>
      </c>
      <c r="V139" s="140"/>
      <c r="W139" s="140"/>
    </row>
    <row r="140" spans="1:23" ht="76.5" x14ac:dyDescent="0.25">
      <c r="A140" s="301"/>
      <c r="B140" s="298"/>
      <c r="C140" s="298"/>
      <c r="D140" s="298"/>
      <c r="E140" s="304"/>
      <c r="F140" s="298"/>
      <c r="G140" s="307"/>
      <c r="H140" s="292"/>
      <c r="I140" s="289"/>
      <c r="J140" s="286"/>
      <c r="K140" s="289">
        <v>0</v>
      </c>
      <c r="L140" s="292"/>
      <c r="M140" s="289"/>
      <c r="N140" s="295"/>
      <c r="O140" s="135">
        <v>6</v>
      </c>
      <c r="P140" s="133" t="s">
        <v>323</v>
      </c>
      <c r="Q140" s="139" t="s">
        <v>4</v>
      </c>
      <c r="R140" s="140" t="s">
        <v>14</v>
      </c>
      <c r="S140" s="140" t="s">
        <v>9</v>
      </c>
      <c r="T140" s="141" t="s">
        <v>316</v>
      </c>
      <c r="U140" s="140" t="s">
        <v>19</v>
      </c>
      <c r="V140" s="140"/>
      <c r="W140" s="140"/>
    </row>
    <row r="141" spans="1:23" ht="76.5" x14ac:dyDescent="0.25">
      <c r="A141" s="299">
        <v>2</v>
      </c>
      <c r="B141" s="296"/>
      <c r="C141" s="296" t="s">
        <v>324</v>
      </c>
      <c r="D141" s="296" t="s">
        <v>325</v>
      </c>
      <c r="E141" s="302" t="s">
        <v>326</v>
      </c>
      <c r="F141" s="296" t="s">
        <v>123</v>
      </c>
      <c r="G141" s="305">
        <v>48</v>
      </c>
      <c r="H141" s="290" t="s">
        <v>107</v>
      </c>
      <c r="I141" s="287">
        <v>0.6</v>
      </c>
      <c r="J141" s="284" t="s">
        <v>153</v>
      </c>
      <c r="K141" s="287" t="s">
        <v>153</v>
      </c>
      <c r="L141" s="290" t="s">
        <v>81</v>
      </c>
      <c r="M141" s="287">
        <v>0.6</v>
      </c>
      <c r="N141" s="293" t="s">
        <v>81</v>
      </c>
      <c r="O141" s="135">
        <v>1</v>
      </c>
      <c r="P141" s="133" t="s">
        <v>327</v>
      </c>
      <c r="Q141" s="139" t="s">
        <v>4</v>
      </c>
      <c r="R141" s="140" t="s">
        <v>14</v>
      </c>
      <c r="S141" s="140" t="s">
        <v>9</v>
      </c>
      <c r="T141" s="141" t="s">
        <v>316</v>
      </c>
      <c r="U141" s="140" t="s">
        <v>19</v>
      </c>
      <c r="V141" s="140" t="s">
        <v>22</v>
      </c>
      <c r="W141" s="140" t="s">
        <v>119</v>
      </c>
    </row>
    <row r="142" spans="1:23" ht="89.25" x14ac:dyDescent="0.25">
      <c r="A142" s="300"/>
      <c r="B142" s="297"/>
      <c r="C142" s="297"/>
      <c r="D142" s="297"/>
      <c r="E142" s="303"/>
      <c r="F142" s="297"/>
      <c r="G142" s="306"/>
      <c r="H142" s="291"/>
      <c r="I142" s="288"/>
      <c r="J142" s="285"/>
      <c r="K142" s="288">
        <v>0</v>
      </c>
      <c r="L142" s="291"/>
      <c r="M142" s="288"/>
      <c r="N142" s="294"/>
      <c r="O142" s="135">
        <v>2</v>
      </c>
      <c r="P142" s="133" t="s">
        <v>328</v>
      </c>
      <c r="Q142" s="139" t="s">
        <v>4</v>
      </c>
      <c r="R142" s="140" t="s">
        <v>14</v>
      </c>
      <c r="S142" s="140" t="s">
        <v>9</v>
      </c>
      <c r="T142" s="141" t="s">
        <v>316</v>
      </c>
      <c r="U142" s="140" t="s">
        <v>19</v>
      </c>
      <c r="V142" s="140" t="s">
        <v>22</v>
      </c>
      <c r="W142" s="140" t="s">
        <v>119</v>
      </c>
    </row>
    <row r="143" spans="1:23" ht="99" x14ac:dyDescent="0.25">
      <c r="A143" s="300"/>
      <c r="B143" s="297"/>
      <c r="C143" s="297"/>
      <c r="D143" s="297"/>
      <c r="E143" s="303"/>
      <c r="F143" s="297"/>
      <c r="G143" s="306"/>
      <c r="H143" s="291"/>
      <c r="I143" s="288"/>
      <c r="J143" s="285"/>
      <c r="K143" s="288">
        <v>0</v>
      </c>
      <c r="L143" s="291"/>
      <c r="M143" s="288"/>
      <c r="N143" s="294"/>
      <c r="O143" s="135">
        <v>3</v>
      </c>
      <c r="P143" s="134" t="s">
        <v>329</v>
      </c>
      <c r="Q143" s="139" t="s">
        <v>4</v>
      </c>
      <c r="R143" s="140" t="s">
        <v>15</v>
      </c>
      <c r="S143" s="140" t="s">
        <v>9</v>
      </c>
      <c r="T143" s="141" t="s">
        <v>319</v>
      </c>
      <c r="U143" s="140" t="s">
        <v>19</v>
      </c>
      <c r="V143" s="140" t="s">
        <v>22</v>
      </c>
      <c r="W143" s="140" t="s">
        <v>119</v>
      </c>
    </row>
    <row r="144" spans="1:23" ht="99" x14ac:dyDescent="0.25">
      <c r="A144" s="300"/>
      <c r="B144" s="297"/>
      <c r="C144" s="297"/>
      <c r="D144" s="297"/>
      <c r="E144" s="303"/>
      <c r="F144" s="297"/>
      <c r="G144" s="306"/>
      <c r="H144" s="291"/>
      <c r="I144" s="288"/>
      <c r="J144" s="285"/>
      <c r="K144" s="288">
        <v>0</v>
      </c>
      <c r="L144" s="291"/>
      <c r="M144" s="288"/>
      <c r="N144" s="294"/>
      <c r="O144" s="135">
        <v>4</v>
      </c>
      <c r="P144" s="134" t="s">
        <v>330</v>
      </c>
      <c r="Q144" s="139" t="s">
        <v>4</v>
      </c>
      <c r="R144" s="140" t="s">
        <v>15</v>
      </c>
      <c r="S144" s="140" t="s">
        <v>9</v>
      </c>
      <c r="T144" s="141" t="s">
        <v>319</v>
      </c>
      <c r="U144" s="140" t="s">
        <v>19</v>
      </c>
      <c r="V144" s="140" t="s">
        <v>22</v>
      </c>
      <c r="W144" s="140" t="s">
        <v>119</v>
      </c>
    </row>
    <row r="145" spans="1:23" ht="16.5" x14ac:dyDescent="0.25">
      <c r="A145" s="300"/>
      <c r="B145" s="297"/>
      <c r="C145" s="297"/>
      <c r="D145" s="297"/>
      <c r="E145" s="303"/>
      <c r="F145" s="297"/>
      <c r="G145" s="306"/>
      <c r="H145" s="291"/>
      <c r="I145" s="288"/>
      <c r="J145" s="285"/>
      <c r="K145" s="288">
        <v>0</v>
      </c>
      <c r="L145" s="291"/>
      <c r="M145" s="288"/>
      <c r="N145" s="294"/>
      <c r="O145" s="135">
        <v>5</v>
      </c>
      <c r="P145" s="133"/>
      <c r="Q145" s="139" t="s">
        <v>331</v>
      </c>
      <c r="R145" s="140"/>
      <c r="S145" s="140"/>
      <c r="T145" s="141" t="s">
        <v>331</v>
      </c>
      <c r="U145" s="140"/>
      <c r="V145" s="140"/>
      <c r="W145" s="140"/>
    </row>
    <row r="146" spans="1:23" ht="16.5" x14ac:dyDescent="0.25">
      <c r="A146" s="301"/>
      <c r="B146" s="298"/>
      <c r="C146" s="298"/>
      <c r="D146" s="298"/>
      <c r="E146" s="304"/>
      <c r="F146" s="298"/>
      <c r="G146" s="307"/>
      <c r="H146" s="292"/>
      <c r="I146" s="289"/>
      <c r="J146" s="286"/>
      <c r="K146" s="289">
        <v>0</v>
      </c>
      <c r="L146" s="292"/>
      <c r="M146" s="289"/>
      <c r="N146" s="295"/>
      <c r="O146" s="135">
        <v>6</v>
      </c>
      <c r="P146" s="133"/>
      <c r="Q146" s="139" t="s">
        <v>331</v>
      </c>
      <c r="R146" s="140"/>
      <c r="S146" s="140"/>
      <c r="T146" s="141" t="s">
        <v>331</v>
      </c>
      <c r="U146" s="140"/>
      <c r="V146" s="140"/>
      <c r="W146" s="140"/>
    </row>
    <row r="147" spans="1:23" ht="16.5" x14ac:dyDescent="0.25">
      <c r="A147" s="145"/>
      <c r="B147" s="142"/>
      <c r="C147" s="142"/>
      <c r="D147" s="142"/>
      <c r="E147" s="146"/>
      <c r="F147" s="142"/>
      <c r="G147" s="143"/>
      <c r="H147" s="144"/>
      <c r="I147" s="148"/>
      <c r="J147" s="149"/>
      <c r="K147" s="148">
        <v>0</v>
      </c>
      <c r="L147" s="144"/>
      <c r="M147" s="148"/>
      <c r="N147" s="147"/>
      <c r="O147" s="135">
        <v>6</v>
      </c>
      <c r="P147" s="133"/>
      <c r="Q147" s="139" t="s">
        <v>331</v>
      </c>
      <c r="R147" s="140"/>
      <c r="S147" s="140"/>
      <c r="T147" s="141" t="s">
        <v>331</v>
      </c>
      <c r="U147" s="140"/>
      <c r="V147" s="140"/>
      <c r="W147" s="140"/>
    </row>
    <row r="148" spans="1:23" ht="64.5" x14ac:dyDescent="0.25">
      <c r="A148" s="299">
        <v>4</v>
      </c>
      <c r="B148" s="296"/>
      <c r="C148" s="296"/>
      <c r="D148" s="296"/>
      <c r="E148" s="302"/>
      <c r="F148" s="296"/>
      <c r="G148" s="305"/>
      <c r="H148" s="290"/>
      <c r="I148" s="287"/>
      <c r="J148" s="284"/>
      <c r="K148" s="287"/>
      <c r="L148" s="290"/>
      <c r="M148" s="287"/>
      <c r="N148" s="293"/>
      <c r="O148" s="135"/>
      <c r="P148" s="133"/>
      <c r="Q148" s="139" t="s">
        <v>4</v>
      </c>
      <c r="R148" s="140" t="s">
        <v>14</v>
      </c>
      <c r="S148" s="140" t="s">
        <v>9</v>
      </c>
      <c r="T148" s="141" t="s">
        <v>316</v>
      </c>
      <c r="U148" s="140" t="s">
        <v>19</v>
      </c>
      <c r="V148" s="140" t="s">
        <v>22</v>
      </c>
      <c r="W148" s="140" t="s">
        <v>119</v>
      </c>
    </row>
    <row r="149" spans="1:23" ht="64.5" x14ac:dyDescent="0.25">
      <c r="A149" s="300"/>
      <c r="B149" s="297"/>
      <c r="C149" s="297"/>
      <c r="D149" s="297"/>
      <c r="E149" s="303"/>
      <c r="F149" s="297"/>
      <c r="G149" s="306"/>
      <c r="H149" s="291"/>
      <c r="I149" s="288"/>
      <c r="J149" s="285"/>
      <c r="K149" s="288"/>
      <c r="L149" s="291"/>
      <c r="M149" s="288"/>
      <c r="N149" s="294"/>
      <c r="O149" s="135"/>
      <c r="P149" s="133"/>
      <c r="Q149" s="139" t="s">
        <v>4</v>
      </c>
      <c r="R149" s="140" t="s">
        <v>15</v>
      </c>
      <c r="S149" s="140" t="s">
        <v>9</v>
      </c>
      <c r="T149" s="141" t="s">
        <v>319</v>
      </c>
      <c r="U149" s="140" t="s">
        <v>19</v>
      </c>
      <c r="V149" s="140" t="s">
        <v>22</v>
      </c>
      <c r="W149" s="140" t="s">
        <v>119</v>
      </c>
    </row>
    <row r="150" spans="1:23" ht="64.5" x14ac:dyDescent="0.25">
      <c r="A150" s="300"/>
      <c r="B150" s="297"/>
      <c r="C150" s="297"/>
      <c r="D150" s="297"/>
      <c r="E150" s="303"/>
      <c r="F150" s="297"/>
      <c r="G150" s="306"/>
      <c r="H150" s="291"/>
      <c r="I150" s="288"/>
      <c r="J150" s="285"/>
      <c r="K150" s="288"/>
      <c r="L150" s="291"/>
      <c r="M150" s="288"/>
      <c r="N150" s="294"/>
      <c r="O150" s="135"/>
      <c r="P150" s="134"/>
      <c r="Q150" s="139" t="s">
        <v>4</v>
      </c>
      <c r="R150" s="140" t="s">
        <v>15</v>
      </c>
      <c r="S150" s="140" t="s">
        <v>9</v>
      </c>
      <c r="T150" s="141" t="s">
        <v>319</v>
      </c>
      <c r="U150" s="140" t="s">
        <v>19</v>
      </c>
      <c r="V150" s="140" t="s">
        <v>22</v>
      </c>
      <c r="W150" s="140" t="s">
        <v>119</v>
      </c>
    </row>
    <row r="151" spans="1:23" ht="16.5" x14ac:dyDescent="0.25">
      <c r="A151" s="300"/>
      <c r="B151" s="297"/>
      <c r="C151" s="297"/>
      <c r="D151" s="297"/>
      <c r="E151" s="303"/>
      <c r="F151" s="297"/>
      <c r="G151" s="306"/>
      <c r="H151" s="291"/>
      <c r="I151" s="288"/>
      <c r="J151" s="285"/>
      <c r="K151" s="288"/>
      <c r="L151" s="291"/>
      <c r="M151" s="288"/>
      <c r="N151" s="294"/>
      <c r="O151" s="135"/>
      <c r="P151" s="133"/>
      <c r="Q151" s="139" t="s">
        <v>331</v>
      </c>
      <c r="R151" s="140"/>
      <c r="S151" s="140"/>
      <c r="T151" s="141" t="s">
        <v>331</v>
      </c>
      <c r="U151" s="140"/>
      <c r="V151" s="140"/>
      <c r="W151" s="140"/>
    </row>
    <row r="152" spans="1:23" ht="16.5" x14ac:dyDescent="0.25">
      <c r="A152" s="300"/>
      <c r="B152" s="297"/>
      <c r="C152" s="297"/>
      <c r="D152" s="297"/>
      <c r="E152" s="303"/>
      <c r="F152" s="297"/>
      <c r="G152" s="306"/>
      <c r="H152" s="291"/>
      <c r="I152" s="288"/>
      <c r="J152" s="285"/>
      <c r="K152" s="288"/>
      <c r="L152" s="291"/>
      <c r="M152" s="288"/>
      <c r="N152" s="294"/>
      <c r="O152" s="135"/>
      <c r="P152" s="133"/>
      <c r="Q152" s="139" t="s">
        <v>331</v>
      </c>
      <c r="R152" s="140"/>
      <c r="S152" s="140"/>
      <c r="T152" s="141" t="s">
        <v>331</v>
      </c>
      <c r="U152" s="140"/>
      <c r="V152" s="140"/>
      <c r="W152" s="140"/>
    </row>
    <row r="153" spans="1:23" ht="16.5" x14ac:dyDescent="0.25">
      <c r="A153" s="301"/>
      <c r="B153" s="298"/>
      <c r="C153" s="298"/>
      <c r="D153" s="298"/>
      <c r="E153" s="304"/>
      <c r="F153" s="298"/>
      <c r="G153" s="307"/>
      <c r="H153" s="292"/>
      <c r="I153" s="289"/>
      <c r="J153" s="286"/>
      <c r="K153" s="289"/>
      <c r="L153" s="292"/>
      <c r="M153" s="289"/>
      <c r="N153" s="295"/>
      <c r="O153" s="135"/>
      <c r="P153" s="133"/>
      <c r="Q153" s="139" t="s">
        <v>331</v>
      </c>
      <c r="R153" s="140"/>
      <c r="S153" s="140"/>
      <c r="T153" s="141" t="s">
        <v>331</v>
      </c>
      <c r="U153" s="140"/>
      <c r="V153" s="140"/>
      <c r="W153" s="140"/>
    </row>
    <row r="155" spans="1:23" x14ac:dyDescent="0.25">
      <c r="A155" s="326" t="s">
        <v>354</v>
      </c>
      <c r="B155" s="326"/>
      <c r="C155" s="326"/>
      <c r="D155" s="326"/>
      <c r="E155" s="326"/>
      <c r="F155" s="326"/>
      <c r="G155" s="326"/>
      <c r="H155" s="326"/>
      <c r="I155" s="326"/>
      <c r="J155" s="326"/>
      <c r="K155" s="326"/>
      <c r="L155" s="326"/>
      <c r="M155" s="326"/>
      <c r="N155" s="326"/>
      <c r="O155" s="326"/>
      <c r="P155" s="326"/>
    </row>
    <row r="156" spans="1:23" x14ac:dyDescent="0.25">
      <c r="A156" s="326"/>
      <c r="B156" s="326"/>
      <c r="C156" s="326"/>
      <c r="D156" s="326"/>
      <c r="E156" s="326"/>
      <c r="F156" s="326"/>
      <c r="G156" s="326"/>
      <c r="H156" s="326"/>
      <c r="I156" s="326"/>
      <c r="J156" s="326"/>
      <c r="K156" s="326"/>
      <c r="L156" s="326"/>
      <c r="M156" s="326"/>
      <c r="N156" s="326"/>
      <c r="O156" s="326"/>
      <c r="P156" s="326"/>
    </row>
    <row r="160" spans="1:23" ht="16.5" x14ac:dyDescent="0.25">
      <c r="A160" s="308" t="s">
        <v>138</v>
      </c>
      <c r="B160" s="309"/>
      <c r="C160" s="309"/>
      <c r="D160" s="309"/>
      <c r="E160" s="309"/>
      <c r="F160" s="309"/>
      <c r="G160" s="310"/>
      <c r="H160" s="308" t="s">
        <v>139</v>
      </c>
      <c r="I160" s="309"/>
      <c r="J160" s="309"/>
      <c r="K160" s="309"/>
      <c r="L160" s="309"/>
      <c r="M160" s="309"/>
      <c r="N160" s="310"/>
      <c r="O160" s="308" t="s">
        <v>140</v>
      </c>
      <c r="P160" s="309"/>
      <c r="Q160" s="309"/>
      <c r="R160" s="309"/>
      <c r="S160" s="309"/>
      <c r="T160" s="309"/>
      <c r="U160" s="309"/>
      <c r="V160" s="309"/>
      <c r="W160" s="310"/>
    </row>
    <row r="161" spans="1:23" ht="16.5" x14ac:dyDescent="0.25">
      <c r="A161" s="312" t="s">
        <v>0</v>
      </c>
      <c r="B161" s="317" t="s">
        <v>2</v>
      </c>
      <c r="C161" s="315" t="s">
        <v>3</v>
      </c>
      <c r="D161" s="315" t="s">
        <v>42</v>
      </c>
      <c r="E161" s="316" t="s">
        <v>1</v>
      </c>
      <c r="F161" s="314" t="s">
        <v>50</v>
      </c>
      <c r="G161" s="315" t="s">
        <v>134</v>
      </c>
      <c r="H161" s="325" t="s">
        <v>33</v>
      </c>
      <c r="I161" s="323" t="s">
        <v>5</v>
      </c>
      <c r="J161" s="314" t="s">
        <v>87</v>
      </c>
      <c r="K161" s="314" t="s">
        <v>92</v>
      </c>
      <c r="L161" s="321" t="s">
        <v>45</v>
      </c>
      <c r="M161" s="323" t="s">
        <v>5</v>
      </c>
      <c r="N161" s="315" t="s">
        <v>48</v>
      </c>
      <c r="O161" s="319" t="s">
        <v>11</v>
      </c>
      <c r="P161" s="318" t="s">
        <v>161</v>
      </c>
      <c r="Q161" s="314" t="s">
        <v>12</v>
      </c>
      <c r="R161" s="318" t="s">
        <v>8</v>
      </c>
      <c r="S161" s="318"/>
      <c r="T161" s="318"/>
      <c r="U161" s="318"/>
      <c r="V161" s="318"/>
      <c r="W161" s="318"/>
    </row>
    <row r="162" spans="1:23" ht="79.5" x14ac:dyDescent="0.25">
      <c r="A162" s="313"/>
      <c r="B162" s="317"/>
      <c r="C162" s="318"/>
      <c r="D162" s="318"/>
      <c r="E162" s="317"/>
      <c r="F162" s="315"/>
      <c r="G162" s="318"/>
      <c r="H162" s="315"/>
      <c r="I162" s="322"/>
      <c r="J162" s="315"/>
      <c r="K162" s="315"/>
      <c r="L162" s="322"/>
      <c r="M162" s="322"/>
      <c r="N162" s="318"/>
      <c r="O162" s="320"/>
      <c r="P162" s="318"/>
      <c r="Q162" s="315"/>
      <c r="R162" s="138" t="s">
        <v>13</v>
      </c>
      <c r="S162" s="138" t="s">
        <v>17</v>
      </c>
      <c r="T162" s="138" t="s">
        <v>28</v>
      </c>
      <c r="U162" s="138" t="s">
        <v>18</v>
      </c>
      <c r="V162" s="138" t="s">
        <v>21</v>
      </c>
      <c r="W162" s="138" t="s">
        <v>24</v>
      </c>
    </row>
    <row r="163" spans="1:23" ht="64.5" x14ac:dyDescent="0.25">
      <c r="A163" s="299">
        <v>1</v>
      </c>
      <c r="B163" s="296" t="s">
        <v>131</v>
      </c>
      <c r="C163" s="296" t="s">
        <v>332</v>
      </c>
      <c r="D163" s="296" t="s">
        <v>333</v>
      </c>
      <c r="E163" s="302" t="s">
        <v>334</v>
      </c>
      <c r="F163" s="296" t="s">
        <v>123</v>
      </c>
      <c r="G163" s="305">
        <v>50</v>
      </c>
      <c r="H163" s="290" t="s">
        <v>107</v>
      </c>
      <c r="I163" s="287">
        <v>0.6</v>
      </c>
      <c r="J163" s="284" t="s">
        <v>153</v>
      </c>
      <c r="K163" s="287" t="s">
        <v>153</v>
      </c>
      <c r="L163" s="290" t="s">
        <v>81</v>
      </c>
      <c r="M163" s="287">
        <v>0.6</v>
      </c>
      <c r="N163" s="293" t="s">
        <v>81</v>
      </c>
      <c r="O163" s="135">
        <v>1</v>
      </c>
      <c r="P163" s="133" t="s">
        <v>335</v>
      </c>
      <c r="Q163" s="139" t="s">
        <v>4</v>
      </c>
      <c r="R163" s="140" t="s">
        <v>14</v>
      </c>
      <c r="S163" s="140" t="s">
        <v>9</v>
      </c>
      <c r="T163" s="141" t="s">
        <v>316</v>
      </c>
      <c r="U163" s="140" t="s">
        <v>19</v>
      </c>
      <c r="V163" s="140" t="s">
        <v>22</v>
      </c>
      <c r="W163" s="140" t="s">
        <v>119</v>
      </c>
    </row>
    <row r="164" spans="1:23" ht="64.5" x14ac:dyDescent="0.25">
      <c r="A164" s="300"/>
      <c r="B164" s="297"/>
      <c r="C164" s="297"/>
      <c r="D164" s="297"/>
      <c r="E164" s="303"/>
      <c r="F164" s="297"/>
      <c r="G164" s="306"/>
      <c r="H164" s="291"/>
      <c r="I164" s="288"/>
      <c r="J164" s="285"/>
      <c r="K164" s="288">
        <v>0</v>
      </c>
      <c r="L164" s="291"/>
      <c r="M164" s="288"/>
      <c r="N164" s="294"/>
      <c r="O164" s="135">
        <v>2</v>
      </c>
      <c r="P164" s="133" t="s">
        <v>336</v>
      </c>
      <c r="Q164" s="139" t="s">
        <v>4</v>
      </c>
      <c r="R164" s="140" t="s">
        <v>14</v>
      </c>
      <c r="S164" s="140" t="s">
        <v>9</v>
      </c>
      <c r="T164" s="141" t="s">
        <v>316</v>
      </c>
      <c r="U164" s="140" t="s">
        <v>19</v>
      </c>
      <c r="V164" s="140" t="s">
        <v>22</v>
      </c>
      <c r="W164" s="140" t="s">
        <v>119</v>
      </c>
    </row>
    <row r="165" spans="1:23" ht="82.5" x14ac:dyDescent="0.25">
      <c r="A165" s="300"/>
      <c r="B165" s="297"/>
      <c r="C165" s="297"/>
      <c r="D165" s="297"/>
      <c r="E165" s="303"/>
      <c r="F165" s="297"/>
      <c r="G165" s="306"/>
      <c r="H165" s="291"/>
      <c r="I165" s="288"/>
      <c r="J165" s="285"/>
      <c r="K165" s="288">
        <v>0</v>
      </c>
      <c r="L165" s="291"/>
      <c r="M165" s="288"/>
      <c r="N165" s="294"/>
      <c r="O165" s="135">
        <v>3</v>
      </c>
      <c r="P165" s="134" t="s">
        <v>337</v>
      </c>
      <c r="Q165" s="139" t="s">
        <v>4</v>
      </c>
      <c r="R165" s="140" t="s">
        <v>14</v>
      </c>
      <c r="S165" s="140" t="s">
        <v>9</v>
      </c>
      <c r="T165" s="141" t="s">
        <v>316</v>
      </c>
      <c r="U165" s="140" t="s">
        <v>19</v>
      </c>
      <c r="V165" s="140" t="s">
        <v>22</v>
      </c>
      <c r="W165" s="140" t="s">
        <v>119</v>
      </c>
    </row>
    <row r="166" spans="1:23" ht="16.5" x14ac:dyDescent="0.25">
      <c r="A166" s="300"/>
      <c r="B166" s="297"/>
      <c r="C166" s="297"/>
      <c r="D166" s="297"/>
      <c r="E166" s="303"/>
      <c r="F166" s="297"/>
      <c r="G166" s="306"/>
      <c r="H166" s="291"/>
      <c r="I166" s="288"/>
      <c r="J166" s="285"/>
      <c r="K166" s="288">
        <v>0</v>
      </c>
      <c r="L166" s="291"/>
      <c r="M166" s="288"/>
      <c r="N166" s="294"/>
      <c r="O166" s="135">
        <v>4</v>
      </c>
      <c r="P166" s="133"/>
      <c r="Q166" s="139" t="s">
        <v>331</v>
      </c>
      <c r="R166" s="140"/>
      <c r="S166" s="140"/>
      <c r="T166" s="141" t="s">
        <v>331</v>
      </c>
      <c r="U166" s="140"/>
      <c r="V166" s="140"/>
      <c r="W166" s="140"/>
    </row>
    <row r="167" spans="1:23" ht="16.5" x14ac:dyDescent="0.25">
      <c r="A167" s="300"/>
      <c r="B167" s="297"/>
      <c r="C167" s="297"/>
      <c r="D167" s="297"/>
      <c r="E167" s="303"/>
      <c r="F167" s="297"/>
      <c r="G167" s="306"/>
      <c r="H167" s="291"/>
      <c r="I167" s="288"/>
      <c r="J167" s="285"/>
      <c r="K167" s="288">
        <v>0</v>
      </c>
      <c r="L167" s="291"/>
      <c r="M167" s="288"/>
      <c r="N167" s="294"/>
      <c r="O167" s="135">
        <v>5</v>
      </c>
      <c r="P167" s="133"/>
      <c r="Q167" s="139" t="s">
        <v>331</v>
      </c>
      <c r="R167" s="140"/>
      <c r="S167" s="140"/>
      <c r="T167" s="141" t="s">
        <v>331</v>
      </c>
      <c r="U167" s="140"/>
      <c r="V167" s="140"/>
      <c r="W167" s="140"/>
    </row>
    <row r="168" spans="1:23" ht="16.5" x14ac:dyDescent="0.25">
      <c r="A168" s="301"/>
      <c r="B168" s="298"/>
      <c r="C168" s="298"/>
      <c r="D168" s="298"/>
      <c r="E168" s="304"/>
      <c r="F168" s="298"/>
      <c r="G168" s="307"/>
      <c r="H168" s="292"/>
      <c r="I168" s="289"/>
      <c r="J168" s="286"/>
      <c r="K168" s="289">
        <v>0</v>
      </c>
      <c r="L168" s="292"/>
      <c r="M168" s="289"/>
      <c r="N168" s="295"/>
      <c r="O168" s="135">
        <v>6</v>
      </c>
      <c r="P168" s="133"/>
      <c r="Q168" s="139" t="s">
        <v>331</v>
      </c>
      <c r="R168" s="140"/>
      <c r="S168" s="140"/>
      <c r="T168" s="141" t="s">
        <v>331</v>
      </c>
      <c r="U168" s="140"/>
      <c r="V168" s="140"/>
      <c r="W168" s="140"/>
    </row>
    <row r="169" spans="1:23" ht="64.5" x14ac:dyDescent="0.25">
      <c r="A169" s="299">
        <v>2</v>
      </c>
      <c r="B169" s="296" t="s">
        <v>133</v>
      </c>
      <c r="C169" s="296" t="s">
        <v>338</v>
      </c>
      <c r="D169" s="296" t="s">
        <v>339</v>
      </c>
      <c r="E169" s="302" t="s">
        <v>340</v>
      </c>
      <c r="F169" s="296" t="s">
        <v>123</v>
      </c>
      <c r="G169" s="305">
        <v>40</v>
      </c>
      <c r="H169" s="290" t="s">
        <v>107</v>
      </c>
      <c r="I169" s="287">
        <v>0.6</v>
      </c>
      <c r="J169" s="284" t="s">
        <v>150</v>
      </c>
      <c r="K169" s="287" t="s">
        <v>150</v>
      </c>
      <c r="L169" s="290" t="s">
        <v>85</v>
      </c>
      <c r="M169" s="287">
        <v>1</v>
      </c>
      <c r="N169" s="293" t="s">
        <v>79</v>
      </c>
      <c r="O169" s="135">
        <v>1</v>
      </c>
      <c r="P169" s="133" t="s">
        <v>341</v>
      </c>
      <c r="Q169" s="139" t="s">
        <v>4</v>
      </c>
      <c r="R169" s="140" t="s">
        <v>14</v>
      </c>
      <c r="S169" s="140" t="s">
        <v>9</v>
      </c>
      <c r="T169" s="141" t="s">
        <v>316</v>
      </c>
      <c r="U169" s="140" t="s">
        <v>19</v>
      </c>
      <c r="V169" s="140" t="s">
        <v>22</v>
      </c>
      <c r="W169" s="140" t="s">
        <v>119</v>
      </c>
    </row>
    <row r="170" spans="1:23" ht="64.5" x14ac:dyDescent="0.25">
      <c r="A170" s="300"/>
      <c r="B170" s="297"/>
      <c r="C170" s="297"/>
      <c r="D170" s="297"/>
      <c r="E170" s="303"/>
      <c r="F170" s="297"/>
      <c r="G170" s="306"/>
      <c r="H170" s="291"/>
      <c r="I170" s="288"/>
      <c r="J170" s="285"/>
      <c r="K170" s="288">
        <v>0</v>
      </c>
      <c r="L170" s="291"/>
      <c r="M170" s="288"/>
      <c r="N170" s="294"/>
      <c r="O170" s="135">
        <v>2</v>
      </c>
      <c r="P170" s="133" t="s">
        <v>342</v>
      </c>
      <c r="Q170" s="139" t="s">
        <v>4</v>
      </c>
      <c r="R170" s="140" t="s">
        <v>14</v>
      </c>
      <c r="S170" s="140" t="s">
        <v>9</v>
      </c>
      <c r="T170" s="141" t="s">
        <v>316</v>
      </c>
      <c r="U170" s="140" t="s">
        <v>19</v>
      </c>
      <c r="V170" s="140" t="s">
        <v>22</v>
      </c>
      <c r="W170" s="140" t="s">
        <v>119</v>
      </c>
    </row>
    <row r="171" spans="1:23" ht="47.25" x14ac:dyDescent="0.25">
      <c r="A171" s="300"/>
      <c r="B171" s="297"/>
      <c r="C171" s="297"/>
      <c r="D171" s="297"/>
      <c r="E171" s="303"/>
      <c r="F171" s="297"/>
      <c r="G171" s="306"/>
      <c r="H171" s="291"/>
      <c r="I171" s="288"/>
      <c r="J171" s="285"/>
      <c r="K171" s="288">
        <v>0</v>
      </c>
      <c r="L171" s="291"/>
      <c r="M171" s="288"/>
      <c r="N171" s="294"/>
      <c r="O171" s="135">
        <v>3</v>
      </c>
      <c r="P171" s="133" t="s">
        <v>343</v>
      </c>
      <c r="Q171" s="139" t="s">
        <v>4</v>
      </c>
      <c r="R171" s="140" t="s">
        <v>14</v>
      </c>
      <c r="S171" s="140" t="s">
        <v>9</v>
      </c>
      <c r="T171" s="141" t="s">
        <v>316</v>
      </c>
      <c r="U171" s="140"/>
      <c r="V171" s="140"/>
      <c r="W171" s="140"/>
    </row>
    <row r="172" spans="1:23" ht="16.5" x14ac:dyDescent="0.25">
      <c r="A172" s="300"/>
      <c r="B172" s="297"/>
      <c r="C172" s="297"/>
      <c r="D172" s="297"/>
      <c r="E172" s="303"/>
      <c r="F172" s="297"/>
      <c r="G172" s="306"/>
      <c r="H172" s="291"/>
      <c r="I172" s="288"/>
      <c r="J172" s="285"/>
      <c r="K172" s="288">
        <v>0</v>
      </c>
      <c r="L172" s="291"/>
      <c r="M172" s="288"/>
      <c r="N172" s="294"/>
      <c r="O172" s="135">
        <v>4</v>
      </c>
      <c r="P172" s="133"/>
      <c r="Q172" s="139" t="s">
        <v>331</v>
      </c>
      <c r="R172" s="140"/>
      <c r="S172" s="140"/>
      <c r="T172" s="141" t="s">
        <v>331</v>
      </c>
      <c r="U172" s="140"/>
      <c r="V172" s="140"/>
      <c r="W172" s="140"/>
    </row>
    <row r="173" spans="1:23" ht="16.5" x14ac:dyDescent="0.25">
      <c r="A173" s="300"/>
      <c r="B173" s="297"/>
      <c r="C173" s="297"/>
      <c r="D173" s="297"/>
      <c r="E173" s="303"/>
      <c r="F173" s="297"/>
      <c r="G173" s="306"/>
      <c r="H173" s="291"/>
      <c r="I173" s="288"/>
      <c r="J173" s="285"/>
      <c r="K173" s="288">
        <v>0</v>
      </c>
      <c r="L173" s="291"/>
      <c r="M173" s="288"/>
      <c r="N173" s="294"/>
      <c r="O173" s="135">
        <v>5</v>
      </c>
      <c r="P173" s="133"/>
      <c r="Q173" s="139" t="s">
        <v>331</v>
      </c>
      <c r="R173" s="140"/>
      <c r="S173" s="140"/>
      <c r="T173" s="141" t="s">
        <v>331</v>
      </c>
      <c r="U173" s="140"/>
      <c r="V173" s="140"/>
      <c r="W173" s="140"/>
    </row>
    <row r="174" spans="1:23" ht="16.5" x14ac:dyDescent="0.25">
      <c r="A174" s="301"/>
      <c r="B174" s="298"/>
      <c r="C174" s="298"/>
      <c r="D174" s="298"/>
      <c r="E174" s="304"/>
      <c r="F174" s="298"/>
      <c r="G174" s="307"/>
      <c r="H174" s="292"/>
      <c r="I174" s="289"/>
      <c r="J174" s="286"/>
      <c r="K174" s="289">
        <v>0</v>
      </c>
      <c r="L174" s="292"/>
      <c r="M174" s="289"/>
      <c r="N174" s="295"/>
      <c r="O174" s="135">
        <v>6</v>
      </c>
      <c r="P174" s="133"/>
      <c r="Q174" s="139" t="s">
        <v>331</v>
      </c>
      <c r="R174" s="140"/>
      <c r="S174" s="140"/>
      <c r="T174" s="141" t="s">
        <v>331</v>
      </c>
      <c r="U174" s="140"/>
      <c r="V174" s="140"/>
      <c r="W174" s="140"/>
    </row>
    <row r="175" spans="1:23" ht="64.5" x14ac:dyDescent="0.25">
      <c r="A175" s="299">
        <v>3</v>
      </c>
      <c r="B175" s="296" t="s">
        <v>131</v>
      </c>
      <c r="C175" s="296" t="s">
        <v>344</v>
      </c>
      <c r="D175" s="296" t="s">
        <v>345</v>
      </c>
      <c r="E175" s="302" t="s">
        <v>346</v>
      </c>
      <c r="F175" s="296" t="s">
        <v>123</v>
      </c>
      <c r="G175" s="305">
        <v>4</v>
      </c>
      <c r="H175" s="290" t="s">
        <v>53</v>
      </c>
      <c r="I175" s="287">
        <v>0.4</v>
      </c>
      <c r="J175" s="284" t="s">
        <v>153</v>
      </c>
      <c r="K175" s="287" t="s">
        <v>153</v>
      </c>
      <c r="L175" s="290" t="s">
        <v>81</v>
      </c>
      <c r="M175" s="287">
        <v>0.6</v>
      </c>
      <c r="N175" s="293" t="s">
        <v>81</v>
      </c>
      <c r="O175" s="135">
        <v>1</v>
      </c>
      <c r="P175" s="133" t="s">
        <v>347</v>
      </c>
      <c r="Q175" s="139" t="s">
        <v>4</v>
      </c>
      <c r="R175" s="140" t="s">
        <v>14</v>
      </c>
      <c r="S175" s="140" t="s">
        <v>9</v>
      </c>
      <c r="T175" s="141" t="s">
        <v>316</v>
      </c>
      <c r="U175" s="140" t="s">
        <v>19</v>
      </c>
      <c r="V175" s="140" t="s">
        <v>22</v>
      </c>
      <c r="W175" s="140" t="s">
        <v>119</v>
      </c>
    </row>
    <row r="176" spans="1:23" ht="64.5" x14ac:dyDescent="0.25">
      <c r="A176" s="300"/>
      <c r="B176" s="297"/>
      <c r="C176" s="297"/>
      <c r="D176" s="297"/>
      <c r="E176" s="303"/>
      <c r="F176" s="297"/>
      <c r="G176" s="306"/>
      <c r="H176" s="291"/>
      <c r="I176" s="288"/>
      <c r="J176" s="285"/>
      <c r="K176" s="288">
        <v>0</v>
      </c>
      <c r="L176" s="291"/>
      <c r="M176" s="288"/>
      <c r="N176" s="294"/>
      <c r="O176" s="135">
        <v>2</v>
      </c>
      <c r="P176" s="133" t="s">
        <v>348</v>
      </c>
      <c r="Q176" s="139" t="s">
        <v>4</v>
      </c>
      <c r="R176" s="140" t="s">
        <v>14</v>
      </c>
      <c r="S176" s="140" t="s">
        <v>9</v>
      </c>
      <c r="T176" s="141" t="s">
        <v>316</v>
      </c>
      <c r="U176" s="140" t="s">
        <v>19</v>
      </c>
      <c r="V176" s="140" t="s">
        <v>22</v>
      </c>
      <c r="W176" s="140" t="s">
        <v>119</v>
      </c>
    </row>
    <row r="177" spans="1:23" ht="64.5" x14ac:dyDescent="0.25">
      <c r="A177" s="300"/>
      <c r="B177" s="297"/>
      <c r="C177" s="297"/>
      <c r="D177" s="297"/>
      <c r="E177" s="303"/>
      <c r="F177" s="297"/>
      <c r="G177" s="306"/>
      <c r="H177" s="291"/>
      <c r="I177" s="288"/>
      <c r="J177" s="285"/>
      <c r="K177" s="288">
        <v>0</v>
      </c>
      <c r="L177" s="291"/>
      <c r="M177" s="288"/>
      <c r="N177" s="294"/>
      <c r="O177" s="135">
        <v>3</v>
      </c>
      <c r="P177" s="133" t="s">
        <v>349</v>
      </c>
      <c r="Q177" s="139" t="s">
        <v>4</v>
      </c>
      <c r="R177" s="140" t="s">
        <v>14</v>
      </c>
      <c r="S177" s="140" t="s">
        <v>9</v>
      </c>
      <c r="T177" s="141" t="s">
        <v>316</v>
      </c>
      <c r="U177" s="140" t="s">
        <v>19</v>
      </c>
      <c r="V177" s="140" t="s">
        <v>22</v>
      </c>
      <c r="W177" s="140" t="s">
        <v>119</v>
      </c>
    </row>
    <row r="178" spans="1:23" ht="16.5" x14ac:dyDescent="0.25">
      <c r="A178" s="300"/>
      <c r="B178" s="297"/>
      <c r="C178" s="297"/>
      <c r="D178" s="297"/>
      <c r="E178" s="303"/>
      <c r="F178" s="297"/>
      <c r="G178" s="306"/>
      <c r="H178" s="291"/>
      <c r="I178" s="288"/>
      <c r="J178" s="285"/>
      <c r="K178" s="288">
        <v>0</v>
      </c>
      <c r="L178" s="291"/>
      <c r="M178" s="288"/>
      <c r="N178" s="294"/>
      <c r="O178" s="135">
        <v>4</v>
      </c>
      <c r="P178" s="133"/>
      <c r="Q178" s="139" t="s">
        <v>331</v>
      </c>
      <c r="R178" s="140"/>
      <c r="S178" s="140"/>
      <c r="T178" s="141" t="s">
        <v>331</v>
      </c>
      <c r="U178" s="140"/>
      <c r="V178" s="140"/>
      <c r="W178" s="140"/>
    </row>
    <row r="179" spans="1:23" ht="16.5" x14ac:dyDescent="0.25">
      <c r="A179" s="300"/>
      <c r="B179" s="297"/>
      <c r="C179" s="297"/>
      <c r="D179" s="297"/>
      <c r="E179" s="303"/>
      <c r="F179" s="297"/>
      <c r="G179" s="306"/>
      <c r="H179" s="291"/>
      <c r="I179" s="288"/>
      <c r="J179" s="285"/>
      <c r="K179" s="288">
        <v>0</v>
      </c>
      <c r="L179" s="291"/>
      <c r="M179" s="288"/>
      <c r="N179" s="294"/>
      <c r="O179" s="135">
        <v>5</v>
      </c>
      <c r="P179" s="133"/>
      <c r="Q179" s="139" t="s">
        <v>331</v>
      </c>
      <c r="R179" s="140"/>
      <c r="S179" s="140"/>
      <c r="T179" s="141" t="s">
        <v>331</v>
      </c>
      <c r="U179" s="140"/>
      <c r="V179" s="140"/>
      <c r="W179" s="140"/>
    </row>
    <row r="180" spans="1:23" ht="16.5" x14ac:dyDescent="0.25">
      <c r="A180" s="301"/>
      <c r="B180" s="298"/>
      <c r="C180" s="298"/>
      <c r="D180" s="298"/>
      <c r="E180" s="304"/>
      <c r="F180" s="298"/>
      <c r="G180" s="307"/>
      <c r="H180" s="292"/>
      <c r="I180" s="289"/>
      <c r="J180" s="286"/>
      <c r="K180" s="289">
        <v>0</v>
      </c>
      <c r="L180" s="292"/>
      <c r="M180" s="289"/>
      <c r="N180" s="295"/>
      <c r="O180" s="135">
        <v>6</v>
      </c>
      <c r="P180" s="133"/>
      <c r="Q180" s="139" t="s">
        <v>331</v>
      </c>
      <c r="R180" s="140"/>
      <c r="S180" s="140"/>
      <c r="T180" s="141" t="s">
        <v>331</v>
      </c>
      <c r="U180" s="140"/>
      <c r="V180" s="140"/>
      <c r="W180" s="140"/>
    </row>
    <row r="181" spans="1:23" ht="64.5" x14ac:dyDescent="0.25">
      <c r="A181" s="299">
        <v>4</v>
      </c>
      <c r="B181" s="296" t="s">
        <v>131</v>
      </c>
      <c r="C181" s="296" t="s">
        <v>350</v>
      </c>
      <c r="D181" s="296" t="s">
        <v>351</v>
      </c>
      <c r="E181" s="302" t="s">
        <v>352</v>
      </c>
      <c r="F181" s="296" t="s">
        <v>123</v>
      </c>
      <c r="G181" s="305">
        <v>43</v>
      </c>
      <c r="H181" s="290" t="s">
        <v>107</v>
      </c>
      <c r="I181" s="287">
        <v>0.6</v>
      </c>
      <c r="J181" s="284" t="s">
        <v>153</v>
      </c>
      <c r="K181" s="287" t="s">
        <v>153</v>
      </c>
      <c r="L181" s="290" t="s">
        <v>81</v>
      </c>
      <c r="M181" s="287">
        <v>0.6</v>
      </c>
      <c r="N181" s="293" t="s">
        <v>81</v>
      </c>
      <c r="O181" s="135">
        <v>1</v>
      </c>
      <c r="P181" s="133" t="s">
        <v>353</v>
      </c>
      <c r="Q181" s="139" t="s">
        <v>4</v>
      </c>
      <c r="R181" s="140" t="s">
        <v>14</v>
      </c>
      <c r="S181" s="140" t="s">
        <v>9</v>
      </c>
      <c r="T181" s="141" t="s">
        <v>316</v>
      </c>
      <c r="U181" s="140" t="s">
        <v>19</v>
      </c>
      <c r="V181" s="140" t="s">
        <v>22</v>
      </c>
      <c r="W181" s="140" t="s">
        <v>119</v>
      </c>
    </row>
    <row r="182" spans="1:23" ht="16.5" x14ac:dyDescent="0.25">
      <c r="A182" s="300"/>
      <c r="B182" s="297"/>
      <c r="C182" s="297"/>
      <c r="D182" s="297"/>
      <c r="E182" s="303"/>
      <c r="F182" s="297"/>
      <c r="G182" s="306"/>
      <c r="H182" s="291"/>
      <c r="I182" s="288"/>
      <c r="J182" s="285"/>
      <c r="K182" s="288">
        <v>0</v>
      </c>
      <c r="L182" s="291"/>
      <c r="M182" s="288"/>
      <c r="N182" s="294"/>
      <c r="O182" s="135">
        <v>2</v>
      </c>
      <c r="P182" s="133"/>
      <c r="Q182" s="139" t="s">
        <v>331</v>
      </c>
      <c r="R182" s="140"/>
      <c r="S182" s="140"/>
      <c r="T182" s="141" t="s">
        <v>331</v>
      </c>
      <c r="U182" s="140"/>
      <c r="V182" s="140"/>
      <c r="W182" s="140"/>
    </row>
    <row r="183" spans="1:23" ht="16.5" x14ac:dyDescent="0.25">
      <c r="A183" s="300"/>
      <c r="B183" s="297"/>
      <c r="C183" s="297"/>
      <c r="D183" s="297"/>
      <c r="E183" s="303"/>
      <c r="F183" s="297"/>
      <c r="G183" s="306"/>
      <c r="H183" s="291"/>
      <c r="I183" s="288"/>
      <c r="J183" s="285"/>
      <c r="K183" s="288">
        <v>0</v>
      </c>
      <c r="L183" s="291"/>
      <c r="M183" s="288"/>
      <c r="N183" s="294"/>
      <c r="O183" s="135">
        <v>3</v>
      </c>
      <c r="P183" s="134"/>
      <c r="Q183" s="139" t="s">
        <v>331</v>
      </c>
      <c r="R183" s="140"/>
      <c r="S183" s="140"/>
      <c r="T183" s="141" t="s">
        <v>331</v>
      </c>
      <c r="U183" s="140"/>
      <c r="V183" s="140"/>
      <c r="W183" s="140"/>
    </row>
    <row r="184" spans="1:23" ht="16.5" x14ac:dyDescent="0.25">
      <c r="A184" s="300"/>
      <c r="B184" s="297"/>
      <c r="C184" s="297"/>
      <c r="D184" s="297"/>
      <c r="E184" s="303"/>
      <c r="F184" s="297"/>
      <c r="G184" s="306"/>
      <c r="H184" s="291"/>
      <c r="I184" s="288"/>
      <c r="J184" s="285"/>
      <c r="K184" s="288">
        <v>0</v>
      </c>
      <c r="L184" s="291"/>
      <c r="M184" s="288"/>
      <c r="N184" s="294"/>
      <c r="O184" s="135">
        <v>4</v>
      </c>
      <c r="P184" s="133"/>
      <c r="Q184" s="139" t="s">
        <v>331</v>
      </c>
      <c r="R184" s="140"/>
      <c r="S184" s="140"/>
      <c r="T184" s="141" t="s">
        <v>331</v>
      </c>
      <c r="U184" s="140"/>
      <c r="V184" s="140"/>
      <c r="W184" s="140"/>
    </row>
    <row r="185" spans="1:23" ht="16.5" x14ac:dyDescent="0.25">
      <c r="A185" s="300"/>
      <c r="B185" s="297"/>
      <c r="C185" s="297"/>
      <c r="D185" s="297"/>
      <c r="E185" s="303"/>
      <c r="F185" s="297"/>
      <c r="G185" s="306"/>
      <c r="H185" s="291"/>
      <c r="I185" s="288"/>
      <c r="J185" s="285"/>
      <c r="K185" s="288">
        <v>0</v>
      </c>
      <c r="L185" s="291"/>
      <c r="M185" s="288"/>
      <c r="N185" s="294"/>
      <c r="O185" s="135">
        <v>5</v>
      </c>
      <c r="P185" s="133"/>
      <c r="Q185" s="139" t="s">
        <v>331</v>
      </c>
      <c r="R185" s="140"/>
      <c r="S185" s="140"/>
      <c r="T185" s="141" t="s">
        <v>331</v>
      </c>
      <c r="U185" s="140"/>
      <c r="V185" s="140"/>
      <c r="W185" s="140"/>
    </row>
    <row r="186" spans="1:23" ht="16.5" x14ac:dyDescent="0.25">
      <c r="A186" s="301"/>
      <c r="B186" s="298"/>
      <c r="C186" s="298"/>
      <c r="D186" s="298"/>
      <c r="E186" s="304"/>
      <c r="F186" s="298"/>
      <c r="G186" s="307"/>
      <c r="H186" s="292"/>
      <c r="I186" s="289"/>
      <c r="J186" s="286"/>
      <c r="K186" s="289">
        <v>0</v>
      </c>
      <c r="L186" s="292"/>
      <c r="M186" s="289"/>
      <c r="N186" s="295"/>
      <c r="O186" s="135">
        <v>6</v>
      </c>
      <c r="P186" s="133"/>
      <c r="Q186" s="139" t="s">
        <v>331</v>
      </c>
      <c r="R186" s="140"/>
      <c r="S186" s="140"/>
      <c r="T186" s="141" t="s">
        <v>331</v>
      </c>
      <c r="U186" s="140"/>
      <c r="V186" s="140"/>
      <c r="W186" s="140"/>
    </row>
    <row r="191" spans="1:23" x14ac:dyDescent="0.25">
      <c r="A191" s="324" t="s">
        <v>393</v>
      </c>
      <c r="B191" s="324"/>
      <c r="C191" s="324"/>
      <c r="D191" s="324"/>
      <c r="E191" s="324"/>
      <c r="F191" s="324"/>
      <c r="G191" s="324"/>
      <c r="H191" s="324"/>
      <c r="I191" s="324"/>
      <c r="J191" s="324"/>
      <c r="K191" s="324"/>
      <c r="L191" s="324"/>
      <c r="M191" s="324"/>
      <c r="N191" s="324"/>
      <c r="O191" s="324"/>
    </row>
    <row r="192" spans="1:23" x14ac:dyDescent="0.25">
      <c r="A192" s="324"/>
      <c r="B192" s="324"/>
      <c r="C192" s="324"/>
      <c r="D192" s="324"/>
      <c r="E192" s="324"/>
      <c r="F192" s="324"/>
      <c r="G192" s="324"/>
      <c r="H192" s="324"/>
      <c r="I192" s="324"/>
      <c r="J192" s="324"/>
      <c r="K192" s="324"/>
      <c r="L192" s="324"/>
      <c r="M192" s="324"/>
      <c r="N192" s="324"/>
      <c r="O192" s="324"/>
    </row>
    <row r="193" spans="1:23" x14ac:dyDescent="0.25">
      <c r="A193" s="324"/>
      <c r="B193" s="324"/>
      <c r="C193" s="324"/>
      <c r="D193" s="324"/>
      <c r="E193" s="324"/>
      <c r="F193" s="324"/>
      <c r="G193" s="324"/>
      <c r="H193" s="324"/>
      <c r="I193" s="324"/>
      <c r="J193" s="324"/>
      <c r="K193" s="324"/>
      <c r="L193" s="324"/>
      <c r="M193" s="324"/>
      <c r="N193" s="324"/>
      <c r="O193" s="324"/>
    </row>
    <row r="198" spans="1:23" ht="16.5" x14ac:dyDescent="0.25">
      <c r="A198" s="308" t="s">
        <v>138</v>
      </c>
      <c r="B198" s="309"/>
      <c r="C198" s="309"/>
      <c r="D198" s="309"/>
      <c r="E198" s="309"/>
      <c r="F198" s="309"/>
      <c r="G198" s="310"/>
      <c r="H198" s="308" t="s">
        <v>139</v>
      </c>
      <c r="I198" s="309"/>
      <c r="J198" s="309"/>
      <c r="K198" s="309"/>
      <c r="L198" s="309"/>
      <c r="M198" s="309"/>
      <c r="N198" s="310"/>
      <c r="O198" s="308" t="s">
        <v>140</v>
      </c>
      <c r="P198" s="309"/>
      <c r="Q198" s="309"/>
      <c r="R198" s="309"/>
      <c r="S198" s="309"/>
      <c r="T198" s="309"/>
      <c r="U198" s="309"/>
      <c r="V198" s="309"/>
      <c r="W198" s="310"/>
    </row>
    <row r="199" spans="1:23" ht="16.5" x14ac:dyDescent="0.25">
      <c r="A199" s="312" t="s">
        <v>0</v>
      </c>
      <c r="B199" s="317" t="s">
        <v>2</v>
      </c>
      <c r="C199" s="315" t="s">
        <v>3</v>
      </c>
      <c r="D199" s="315" t="s">
        <v>42</v>
      </c>
      <c r="E199" s="316" t="s">
        <v>1</v>
      </c>
      <c r="F199" s="314" t="s">
        <v>50</v>
      </c>
      <c r="G199" s="315" t="s">
        <v>134</v>
      </c>
      <c r="H199" s="325" t="s">
        <v>33</v>
      </c>
      <c r="I199" s="323" t="s">
        <v>5</v>
      </c>
      <c r="J199" s="314" t="s">
        <v>87</v>
      </c>
      <c r="K199" s="314" t="s">
        <v>92</v>
      </c>
      <c r="L199" s="321" t="s">
        <v>45</v>
      </c>
      <c r="M199" s="323" t="s">
        <v>5</v>
      </c>
      <c r="N199" s="315" t="s">
        <v>48</v>
      </c>
      <c r="O199" s="319" t="s">
        <v>11</v>
      </c>
      <c r="P199" s="318" t="s">
        <v>161</v>
      </c>
      <c r="Q199" s="314" t="s">
        <v>12</v>
      </c>
      <c r="R199" s="318" t="s">
        <v>8</v>
      </c>
      <c r="S199" s="318"/>
      <c r="T199" s="318"/>
      <c r="U199" s="318"/>
      <c r="V199" s="318"/>
      <c r="W199" s="318"/>
    </row>
    <row r="200" spans="1:23" ht="79.5" x14ac:dyDescent="0.25">
      <c r="A200" s="313"/>
      <c r="B200" s="317"/>
      <c r="C200" s="318"/>
      <c r="D200" s="318"/>
      <c r="E200" s="317"/>
      <c r="F200" s="315"/>
      <c r="G200" s="318"/>
      <c r="H200" s="315"/>
      <c r="I200" s="322"/>
      <c r="J200" s="315"/>
      <c r="K200" s="315"/>
      <c r="L200" s="322"/>
      <c r="M200" s="322"/>
      <c r="N200" s="318"/>
      <c r="O200" s="320"/>
      <c r="P200" s="318"/>
      <c r="Q200" s="315"/>
      <c r="R200" s="138" t="s">
        <v>13</v>
      </c>
      <c r="S200" s="138" t="s">
        <v>17</v>
      </c>
      <c r="T200" s="138" t="s">
        <v>28</v>
      </c>
      <c r="U200" s="138" t="s">
        <v>18</v>
      </c>
      <c r="V200" s="138" t="s">
        <v>21</v>
      </c>
      <c r="W200" s="138" t="s">
        <v>24</v>
      </c>
    </row>
    <row r="201" spans="1:23" ht="64.5" x14ac:dyDescent="0.25">
      <c r="A201" s="299">
        <v>1</v>
      </c>
      <c r="B201" s="296" t="s">
        <v>131</v>
      </c>
      <c r="C201" s="296" t="s">
        <v>355</v>
      </c>
      <c r="D201" s="296" t="s">
        <v>356</v>
      </c>
      <c r="E201" s="302" t="s">
        <v>357</v>
      </c>
      <c r="F201" s="296" t="s">
        <v>123</v>
      </c>
      <c r="G201" s="305">
        <v>24699</v>
      </c>
      <c r="H201" s="290" t="s">
        <v>54</v>
      </c>
      <c r="I201" s="287">
        <v>1</v>
      </c>
      <c r="J201" s="284" t="s">
        <v>153</v>
      </c>
      <c r="K201" s="287" t="s">
        <v>153</v>
      </c>
      <c r="L201" s="290" t="s">
        <v>81</v>
      </c>
      <c r="M201" s="287">
        <v>0.6</v>
      </c>
      <c r="N201" s="293" t="s">
        <v>80</v>
      </c>
      <c r="O201" s="135">
        <v>1</v>
      </c>
      <c r="P201" s="133" t="s">
        <v>358</v>
      </c>
      <c r="Q201" s="139" t="s">
        <v>4</v>
      </c>
      <c r="R201" s="140" t="s">
        <v>14</v>
      </c>
      <c r="S201" s="140" t="s">
        <v>10</v>
      </c>
      <c r="T201" s="141" t="s">
        <v>359</v>
      </c>
      <c r="U201" s="140" t="s">
        <v>19</v>
      </c>
      <c r="V201" s="140" t="s">
        <v>22</v>
      </c>
      <c r="W201" s="140" t="s">
        <v>119</v>
      </c>
    </row>
    <row r="202" spans="1:23" ht="76.5" x14ac:dyDescent="0.25">
      <c r="A202" s="300"/>
      <c r="B202" s="297"/>
      <c r="C202" s="297"/>
      <c r="D202" s="297"/>
      <c r="E202" s="303"/>
      <c r="F202" s="297"/>
      <c r="G202" s="306"/>
      <c r="H202" s="291"/>
      <c r="I202" s="288"/>
      <c r="J202" s="285"/>
      <c r="K202" s="288">
        <v>0</v>
      </c>
      <c r="L202" s="291"/>
      <c r="M202" s="288"/>
      <c r="N202" s="294"/>
      <c r="O202" s="135">
        <v>2</v>
      </c>
      <c r="P202" s="133" t="s">
        <v>360</v>
      </c>
      <c r="Q202" s="139" t="s">
        <v>4</v>
      </c>
      <c r="R202" s="140" t="s">
        <v>15</v>
      </c>
      <c r="S202" s="140" t="s">
        <v>10</v>
      </c>
      <c r="T202" s="141" t="s">
        <v>316</v>
      </c>
      <c r="U202" s="140" t="s">
        <v>19</v>
      </c>
      <c r="V202" s="140" t="s">
        <v>22</v>
      </c>
      <c r="W202" s="140" t="s">
        <v>119</v>
      </c>
    </row>
    <row r="203" spans="1:23" ht="64.5" x14ac:dyDescent="0.25">
      <c r="A203" s="300"/>
      <c r="B203" s="297"/>
      <c r="C203" s="297"/>
      <c r="D203" s="297"/>
      <c r="E203" s="303"/>
      <c r="F203" s="297"/>
      <c r="G203" s="306"/>
      <c r="H203" s="291"/>
      <c r="I203" s="288"/>
      <c r="J203" s="285"/>
      <c r="K203" s="288">
        <v>0</v>
      </c>
      <c r="L203" s="291"/>
      <c r="M203" s="288"/>
      <c r="N203" s="294"/>
      <c r="O203" s="135">
        <v>3</v>
      </c>
      <c r="P203" s="133" t="s">
        <v>361</v>
      </c>
      <c r="Q203" s="139" t="s">
        <v>4</v>
      </c>
      <c r="R203" s="140" t="s">
        <v>15</v>
      </c>
      <c r="S203" s="140" t="s">
        <v>10</v>
      </c>
      <c r="T203" s="141" t="s">
        <v>316</v>
      </c>
      <c r="U203" s="140" t="s">
        <v>19</v>
      </c>
      <c r="V203" s="140" t="s">
        <v>22</v>
      </c>
      <c r="W203" s="140" t="s">
        <v>119</v>
      </c>
    </row>
    <row r="204" spans="1:23" ht="76.5" x14ac:dyDescent="0.25">
      <c r="A204" s="300"/>
      <c r="B204" s="297"/>
      <c r="C204" s="297"/>
      <c r="D204" s="297"/>
      <c r="E204" s="303"/>
      <c r="F204" s="297"/>
      <c r="G204" s="306"/>
      <c r="H204" s="291"/>
      <c r="I204" s="288"/>
      <c r="J204" s="285"/>
      <c r="K204" s="288">
        <v>0</v>
      </c>
      <c r="L204" s="291"/>
      <c r="M204" s="288"/>
      <c r="N204" s="294"/>
      <c r="O204" s="135">
        <v>4</v>
      </c>
      <c r="P204" s="133" t="s">
        <v>362</v>
      </c>
      <c r="Q204" s="139" t="s">
        <v>4</v>
      </c>
      <c r="R204" s="140" t="s">
        <v>15</v>
      </c>
      <c r="S204" s="140" t="s">
        <v>10</v>
      </c>
      <c r="T204" s="141" t="s">
        <v>316</v>
      </c>
      <c r="U204" s="140" t="s">
        <v>19</v>
      </c>
      <c r="V204" s="140" t="s">
        <v>22</v>
      </c>
      <c r="W204" s="140" t="s">
        <v>119</v>
      </c>
    </row>
    <row r="205" spans="1:23" ht="16.5" x14ac:dyDescent="0.25">
      <c r="A205" s="300"/>
      <c r="B205" s="297"/>
      <c r="C205" s="297"/>
      <c r="D205" s="297"/>
      <c r="E205" s="303"/>
      <c r="F205" s="297"/>
      <c r="G205" s="306"/>
      <c r="H205" s="291"/>
      <c r="I205" s="288"/>
      <c r="J205" s="285"/>
      <c r="K205" s="288">
        <v>0</v>
      </c>
      <c r="L205" s="291"/>
      <c r="M205" s="288"/>
      <c r="N205" s="294"/>
      <c r="O205" s="135">
        <v>5</v>
      </c>
      <c r="P205" s="133"/>
      <c r="Q205" s="139" t="s">
        <v>331</v>
      </c>
      <c r="R205" s="140"/>
      <c r="S205" s="140"/>
      <c r="T205" s="141" t="s">
        <v>331</v>
      </c>
      <c r="U205" s="140"/>
      <c r="V205" s="140"/>
      <c r="W205" s="140"/>
    </row>
    <row r="206" spans="1:23" ht="16.5" x14ac:dyDescent="0.25">
      <c r="A206" s="301"/>
      <c r="B206" s="298"/>
      <c r="C206" s="298"/>
      <c r="D206" s="298"/>
      <c r="E206" s="304"/>
      <c r="F206" s="298"/>
      <c r="G206" s="307"/>
      <c r="H206" s="292"/>
      <c r="I206" s="289"/>
      <c r="J206" s="286"/>
      <c r="K206" s="289">
        <v>0</v>
      </c>
      <c r="L206" s="292"/>
      <c r="M206" s="289"/>
      <c r="N206" s="295"/>
      <c r="O206" s="135">
        <v>6</v>
      </c>
      <c r="P206" s="133"/>
      <c r="Q206" s="139" t="s">
        <v>331</v>
      </c>
      <c r="R206" s="140"/>
      <c r="S206" s="140"/>
      <c r="T206" s="141" t="s">
        <v>331</v>
      </c>
      <c r="U206" s="140"/>
      <c r="V206" s="140"/>
      <c r="W206" s="140"/>
    </row>
    <row r="207" spans="1:23" ht="64.5" x14ac:dyDescent="0.25">
      <c r="A207" s="299">
        <v>2</v>
      </c>
      <c r="B207" s="296" t="s">
        <v>131</v>
      </c>
      <c r="C207" s="296" t="s">
        <v>363</v>
      </c>
      <c r="D207" s="296" t="s">
        <v>364</v>
      </c>
      <c r="E207" s="302" t="s">
        <v>365</v>
      </c>
      <c r="F207" s="296" t="s">
        <v>126</v>
      </c>
      <c r="G207" s="305">
        <v>232</v>
      </c>
      <c r="H207" s="290" t="s">
        <v>107</v>
      </c>
      <c r="I207" s="287">
        <v>0.6</v>
      </c>
      <c r="J207" s="284" t="s">
        <v>153</v>
      </c>
      <c r="K207" s="287" t="s">
        <v>153</v>
      </c>
      <c r="L207" s="290" t="s">
        <v>81</v>
      </c>
      <c r="M207" s="287">
        <v>0.6</v>
      </c>
      <c r="N207" s="293" t="s">
        <v>81</v>
      </c>
      <c r="O207" s="135">
        <v>1</v>
      </c>
      <c r="P207" s="133" t="s">
        <v>366</v>
      </c>
      <c r="Q207" s="139" t="s">
        <v>4</v>
      </c>
      <c r="R207" s="140" t="s">
        <v>14</v>
      </c>
      <c r="S207" s="140" t="s">
        <v>10</v>
      </c>
      <c r="T207" s="141" t="s">
        <v>359</v>
      </c>
      <c r="U207" s="140" t="s">
        <v>19</v>
      </c>
      <c r="V207" s="140" t="s">
        <v>23</v>
      </c>
      <c r="W207" s="140" t="s">
        <v>119</v>
      </c>
    </row>
    <row r="208" spans="1:23" ht="114.75" x14ac:dyDescent="0.25">
      <c r="A208" s="300"/>
      <c r="B208" s="297"/>
      <c r="C208" s="297"/>
      <c r="D208" s="297"/>
      <c r="E208" s="303"/>
      <c r="F208" s="297"/>
      <c r="G208" s="306"/>
      <c r="H208" s="291"/>
      <c r="I208" s="288"/>
      <c r="J208" s="285"/>
      <c r="K208" s="288">
        <v>0</v>
      </c>
      <c r="L208" s="291"/>
      <c r="M208" s="288"/>
      <c r="N208" s="294"/>
      <c r="O208" s="135">
        <v>2</v>
      </c>
      <c r="P208" s="133" t="s">
        <v>367</v>
      </c>
      <c r="Q208" s="139" t="s">
        <v>4</v>
      </c>
      <c r="R208" s="140" t="s">
        <v>15</v>
      </c>
      <c r="S208" s="140" t="s">
        <v>9</v>
      </c>
      <c r="T208" s="141" t="s">
        <v>319</v>
      </c>
      <c r="U208" s="140" t="s">
        <v>19</v>
      </c>
      <c r="V208" s="140" t="s">
        <v>23</v>
      </c>
      <c r="W208" s="140" t="s">
        <v>119</v>
      </c>
    </row>
    <row r="209" spans="1:23" ht="16.5" x14ac:dyDescent="0.25">
      <c r="A209" s="300"/>
      <c r="B209" s="297"/>
      <c r="C209" s="297"/>
      <c r="D209" s="297"/>
      <c r="E209" s="303"/>
      <c r="F209" s="297"/>
      <c r="G209" s="306"/>
      <c r="H209" s="291"/>
      <c r="I209" s="288"/>
      <c r="J209" s="285"/>
      <c r="K209" s="288">
        <v>0</v>
      </c>
      <c r="L209" s="291"/>
      <c r="M209" s="288"/>
      <c r="N209" s="294"/>
      <c r="O209" s="135">
        <v>3</v>
      </c>
      <c r="P209" s="134"/>
      <c r="Q209" s="139" t="s">
        <v>331</v>
      </c>
      <c r="R209" s="140"/>
      <c r="S209" s="140"/>
      <c r="T209" s="141" t="s">
        <v>331</v>
      </c>
      <c r="U209" s="140"/>
      <c r="V209" s="140"/>
      <c r="W209" s="140"/>
    </row>
    <row r="210" spans="1:23" ht="16.5" x14ac:dyDescent="0.25">
      <c r="A210" s="300"/>
      <c r="B210" s="297"/>
      <c r="C210" s="297"/>
      <c r="D210" s="297"/>
      <c r="E210" s="303"/>
      <c r="F210" s="297"/>
      <c r="G210" s="306"/>
      <c r="H210" s="291"/>
      <c r="I210" s="288"/>
      <c r="J210" s="285"/>
      <c r="K210" s="288">
        <v>0</v>
      </c>
      <c r="L210" s="291"/>
      <c r="M210" s="288"/>
      <c r="N210" s="294"/>
      <c r="O210" s="135">
        <v>4</v>
      </c>
      <c r="P210" s="133"/>
      <c r="Q210" s="139" t="s">
        <v>331</v>
      </c>
      <c r="R210" s="140"/>
      <c r="S210" s="140"/>
      <c r="T210" s="141" t="s">
        <v>331</v>
      </c>
      <c r="U210" s="140"/>
      <c r="V210" s="140"/>
      <c r="W210" s="140"/>
    </row>
    <row r="211" spans="1:23" ht="16.5" x14ac:dyDescent="0.25">
      <c r="A211" s="300"/>
      <c r="B211" s="297"/>
      <c r="C211" s="297"/>
      <c r="D211" s="297"/>
      <c r="E211" s="303"/>
      <c r="F211" s="297"/>
      <c r="G211" s="306"/>
      <c r="H211" s="291"/>
      <c r="I211" s="288"/>
      <c r="J211" s="285"/>
      <c r="K211" s="288">
        <v>0</v>
      </c>
      <c r="L211" s="291"/>
      <c r="M211" s="288"/>
      <c r="N211" s="294"/>
      <c r="O211" s="135">
        <v>5</v>
      </c>
      <c r="P211" s="133"/>
      <c r="Q211" s="139" t="s">
        <v>331</v>
      </c>
      <c r="R211" s="140"/>
      <c r="S211" s="140"/>
      <c r="T211" s="141" t="s">
        <v>331</v>
      </c>
      <c r="U211" s="140"/>
      <c r="V211" s="140"/>
      <c r="W211" s="140"/>
    </row>
    <row r="212" spans="1:23" ht="16.5" x14ac:dyDescent="0.25">
      <c r="A212" s="301"/>
      <c r="B212" s="298"/>
      <c r="C212" s="298"/>
      <c r="D212" s="298"/>
      <c r="E212" s="304"/>
      <c r="F212" s="298"/>
      <c r="G212" s="307"/>
      <c r="H212" s="292"/>
      <c r="I212" s="289"/>
      <c r="J212" s="286"/>
      <c r="K212" s="289">
        <v>0</v>
      </c>
      <c r="L212" s="292"/>
      <c r="M212" s="289"/>
      <c r="N212" s="295"/>
      <c r="O212" s="135">
        <v>6</v>
      </c>
      <c r="P212" s="133"/>
      <c r="Q212" s="139" t="s">
        <v>331</v>
      </c>
      <c r="R212" s="140"/>
      <c r="S212" s="140"/>
      <c r="T212" s="141" t="s">
        <v>331</v>
      </c>
      <c r="U212" s="140"/>
      <c r="V212" s="140"/>
      <c r="W212" s="140"/>
    </row>
    <row r="213" spans="1:23" ht="64.5" x14ac:dyDescent="0.25">
      <c r="A213" s="299">
        <v>3</v>
      </c>
      <c r="B213" s="296" t="s">
        <v>131</v>
      </c>
      <c r="C213" s="296" t="s">
        <v>368</v>
      </c>
      <c r="D213" s="296" t="s">
        <v>369</v>
      </c>
      <c r="E213" s="302" t="s">
        <v>370</v>
      </c>
      <c r="F213" s="296" t="s">
        <v>126</v>
      </c>
      <c r="G213" s="305">
        <v>13</v>
      </c>
      <c r="H213" s="290" t="s">
        <v>53</v>
      </c>
      <c r="I213" s="287">
        <v>0.4</v>
      </c>
      <c r="J213" s="284" t="s">
        <v>153</v>
      </c>
      <c r="K213" s="287" t="s">
        <v>153</v>
      </c>
      <c r="L213" s="290" t="s">
        <v>81</v>
      </c>
      <c r="M213" s="287">
        <v>0.6</v>
      </c>
      <c r="N213" s="293" t="s">
        <v>81</v>
      </c>
      <c r="O213" s="135">
        <v>1</v>
      </c>
      <c r="P213" s="133" t="s">
        <v>371</v>
      </c>
      <c r="Q213" s="139" t="s">
        <v>4</v>
      </c>
      <c r="R213" s="140" t="s">
        <v>14</v>
      </c>
      <c r="S213" s="140" t="s">
        <v>10</v>
      </c>
      <c r="T213" s="141" t="s">
        <v>359</v>
      </c>
      <c r="U213" s="140" t="s">
        <v>19</v>
      </c>
      <c r="V213" s="140" t="s">
        <v>23</v>
      </c>
      <c r="W213" s="140" t="s">
        <v>119</v>
      </c>
    </row>
    <row r="214" spans="1:23" ht="102" x14ac:dyDescent="0.25">
      <c r="A214" s="300"/>
      <c r="B214" s="297"/>
      <c r="C214" s="297"/>
      <c r="D214" s="297"/>
      <c r="E214" s="303"/>
      <c r="F214" s="297"/>
      <c r="G214" s="306"/>
      <c r="H214" s="291"/>
      <c r="I214" s="288"/>
      <c r="J214" s="285"/>
      <c r="K214" s="288">
        <v>0</v>
      </c>
      <c r="L214" s="291"/>
      <c r="M214" s="288"/>
      <c r="N214" s="294"/>
      <c r="O214" s="135">
        <v>2</v>
      </c>
      <c r="P214" s="133" t="s">
        <v>372</v>
      </c>
      <c r="Q214" s="139" t="s">
        <v>4</v>
      </c>
      <c r="R214" s="140" t="s">
        <v>15</v>
      </c>
      <c r="S214" s="140" t="s">
        <v>9</v>
      </c>
      <c r="T214" s="141" t="s">
        <v>319</v>
      </c>
      <c r="U214" s="140" t="s">
        <v>19</v>
      </c>
      <c r="V214" s="140" t="s">
        <v>23</v>
      </c>
      <c r="W214" s="140" t="s">
        <v>119</v>
      </c>
    </row>
    <row r="215" spans="1:23" ht="16.5" x14ac:dyDescent="0.25">
      <c r="A215" s="300"/>
      <c r="B215" s="297"/>
      <c r="C215" s="297"/>
      <c r="D215" s="297"/>
      <c r="E215" s="303"/>
      <c r="F215" s="297"/>
      <c r="G215" s="306"/>
      <c r="H215" s="291"/>
      <c r="I215" s="288"/>
      <c r="J215" s="285"/>
      <c r="K215" s="288">
        <v>0</v>
      </c>
      <c r="L215" s="291"/>
      <c r="M215" s="288"/>
      <c r="N215" s="294"/>
      <c r="O215" s="135">
        <v>3</v>
      </c>
      <c r="P215" s="133"/>
      <c r="Q215" s="139" t="s">
        <v>331</v>
      </c>
      <c r="R215" s="140"/>
      <c r="S215" s="140"/>
      <c r="T215" s="141" t="s">
        <v>331</v>
      </c>
      <c r="U215" s="140"/>
      <c r="V215" s="140"/>
      <c r="W215" s="140"/>
    </row>
    <row r="216" spans="1:23" ht="16.5" x14ac:dyDescent="0.25">
      <c r="A216" s="300"/>
      <c r="B216" s="297"/>
      <c r="C216" s="297"/>
      <c r="D216" s="297"/>
      <c r="E216" s="303"/>
      <c r="F216" s="297"/>
      <c r="G216" s="306"/>
      <c r="H216" s="291"/>
      <c r="I216" s="288"/>
      <c r="J216" s="285"/>
      <c r="K216" s="288">
        <v>0</v>
      </c>
      <c r="L216" s="291"/>
      <c r="M216" s="288"/>
      <c r="N216" s="294"/>
      <c r="O216" s="135">
        <v>4</v>
      </c>
      <c r="P216" s="133"/>
      <c r="Q216" s="139" t="s">
        <v>331</v>
      </c>
      <c r="R216" s="140"/>
      <c r="S216" s="140"/>
      <c r="T216" s="141" t="s">
        <v>331</v>
      </c>
      <c r="U216" s="140"/>
      <c r="V216" s="140"/>
      <c r="W216" s="140"/>
    </row>
    <row r="217" spans="1:23" ht="16.5" x14ac:dyDescent="0.25">
      <c r="A217" s="300"/>
      <c r="B217" s="297"/>
      <c r="C217" s="297"/>
      <c r="D217" s="297"/>
      <c r="E217" s="303"/>
      <c r="F217" s="297"/>
      <c r="G217" s="306"/>
      <c r="H217" s="291"/>
      <c r="I217" s="288"/>
      <c r="J217" s="285"/>
      <c r="K217" s="288">
        <v>0</v>
      </c>
      <c r="L217" s="291"/>
      <c r="M217" s="288"/>
      <c r="N217" s="294"/>
      <c r="O217" s="135">
        <v>5</v>
      </c>
      <c r="P217" s="133"/>
      <c r="Q217" s="139" t="s">
        <v>331</v>
      </c>
      <c r="R217" s="140"/>
      <c r="S217" s="140"/>
      <c r="T217" s="141" t="s">
        <v>331</v>
      </c>
      <c r="U217" s="140"/>
      <c r="V217" s="140"/>
      <c r="W217" s="140"/>
    </row>
    <row r="218" spans="1:23" ht="16.5" x14ac:dyDescent="0.25">
      <c r="A218" s="301"/>
      <c r="B218" s="298"/>
      <c r="C218" s="298"/>
      <c r="D218" s="298"/>
      <c r="E218" s="304"/>
      <c r="F218" s="298"/>
      <c r="G218" s="307"/>
      <c r="H218" s="292"/>
      <c r="I218" s="289"/>
      <c r="J218" s="286"/>
      <c r="K218" s="289">
        <v>0</v>
      </c>
      <c r="L218" s="292"/>
      <c r="M218" s="289"/>
      <c r="N218" s="295"/>
      <c r="O218" s="135">
        <v>6</v>
      </c>
      <c r="P218" s="133"/>
      <c r="Q218" s="139" t="s">
        <v>331</v>
      </c>
      <c r="R218" s="140"/>
      <c r="S218" s="140"/>
      <c r="T218" s="141" t="s">
        <v>331</v>
      </c>
      <c r="U218" s="140"/>
      <c r="V218" s="140"/>
      <c r="W218" s="140"/>
    </row>
    <row r="219" spans="1:23" ht="76.5" x14ac:dyDescent="0.25">
      <c r="A219" s="299">
        <v>4</v>
      </c>
      <c r="B219" s="296" t="s">
        <v>131</v>
      </c>
      <c r="C219" s="296" t="s">
        <v>373</v>
      </c>
      <c r="D219" s="296" t="s">
        <v>374</v>
      </c>
      <c r="E219" s="302" t="s">
        <v>375</v>
      </c>
      <c r="F219" s="296" t="s">
        <v>126</v>
      </c>
      <c r="G219" s="305">
        <v>1559</v>
      </c>
      <c r="H219" s="290" t="s">
        <v>6</v>
      </c>
      <c r="I219" s="287">
        <v>0.8</v>
      </c>
      <c r="J219" s="284" t="s">
        <v>153</v>
      </c>
      <c r="K219" s="287" t="s">
        <v>153</v>
      </c>
      <c r="L219" s="290" t="s">
        <v>81</v>
      </c>
      <c r="M219" s="287">
        <v>0.6</v>
      </c>
      <c r="N219" s="293" t="s">
        <v>80</v>
      </c>
      <c r="O219" s="135">
        <v>1</v>
      </c>
      <c r="P219" s="133" t="s">
        <v>376</v>
      </c>
      <c r="Q219" s="139" t="s">
        <v>4</v>
      </c>
      <c r="R219" s="140" t="s">
        <v>14</v>
      </c>
      <c r="S219" s="140" t="s">
        <v>10</v>
      </c>
      <c r="T219" s="141" t="s">
        <v>359</v>
      </c>
      <c r="U219" s="140" t="s">
        <v>19</v>
      </c>
      <c r="V219" s="140" t="s">
        <v>22</v>
      </c>
      <c r="W219" s="140" t="s">
        <v>119</v>
      </c>
    </row>
    <row r="220" spans="1:23" ht="64.5" x14ac:dyDescent="0.25">
      <c r="A220" s="300"/>
      <c r="B220" s="297"/>
      <c r="C220" s="297"/>
      <c r="D220" s="297"/>
      <c r="E220" s="303"/>
      <c r="F220" s="297"/>
      <c r="G220" s="306"/>
      <c r="H220" s="291"/>
      <c r="I220" s="288"/>
      <c r="J220" s="285"/>
      <c r="K220" s="288">
        <v>0</v>
      </c>
      <c r="L220" s="291"/>
      <c r="M220" s="288"/>
      <c r="N220" s="294"/>
      <c r="O220" s="135">
        <v>2</v>
      </c>
      <c r="P220" s="133" t="s">
        <v>377</v>
      </c>
      <c r="Q220" s="139" t="s">
        <v>4</v>
      </c>
      <c r="R220" s="140" t="s">
        <v>14</v>
      </c>
      <c r="S220" s="140" t="s">
        <v>10</v>
      </c>
      <c r="T220" s="141" t="s">
        <v>359</v>
      </c>
      <c r="U220" s="140" t="s">
        <v>19</v>
      </c>
      <c r="V220" s="140" t="s">
        <v>22</v>
      </c>
      <c r="W220" s="140" t="s">
        <v>119</v>
      </c>
    </row>
    <row r="221" spans="1:23" ht="16.5" x14ac:dyDescent="0.25">
      <c r="A221" s="300"/>
      <c r="B221" s="297"/>
      <c r="C221" s="297"/>
      <c r="D221" s="297"/>
      <c r="E221" s="303"/>
      <c r="F221" s="297"/>
      <c r="G221" s="306"/>
      <c r="H221" s="291"/>
      <c r="I221" s="288"/>
      <c r="J221" s="285"/>
      <c r="K221" s="288">
        <v>0</v>
      </c>
      <c r="L221" s="291"/>
      <c r="M221" s="288"/>
      <c r="N221" s="294"/>
      <c r="O221" s="135">
        <v>3</v>
      </c>
      <c r="P221" s="134"/>
      <c r="Q221" s="139" t="s">
        <v>331</v>
      </c>
      <c r="R221" s="140"/>
      <c r="S221" s="140"/>
      <c r="T221" s="141" t="s">
        <v>331</v>
      </c>
      <c r="U221" s="140"/>
      <c r="V221" s="140"/>
      <c r="W221" s="140"/>
    </row>
    <row r="222" spans="1:23" ht="16.5" x14ac:dyDescent="0.25">
      <c r="A222" s="300"/>
      <c r="B222" s="297"/>
      <c r="C222" s="297"/>
      <c r="D222" s="297"/>
      <c r="E222" s="303"/>
      <c r="F222" s="297"/>
      <c r="G222" s="306"/>
      <c r="H222" s="291"/>
      <c r="I222" s="288"/>
      <c r="J222" s="285"/>
      <c r="K222" s="288">
        <v>0</v>
      </c>
      <c r="L222" s="291"/>
      <c r="M222" s="288"/>
      <c r="N222" s="294"/>
      <c r="O222" s="135">
        <v>4</v>
      </c>
      <c r="P222" s="133"/>
      <c r="Q222" s="139" t="s">
        <v>331</v>
      </c>
      <c r="R222" s="140"/>
      <c r="S222" s="140"/>
      <c r="T222" s="141" t="s">
        <v>331</v>
      </c>
      <c r="U222" s="140"/>
      <c r="V222" s="140"/>
      <c r="W222" s="140"/>
    </row>
    <row r="223" spans="1:23" ht="16.5" x14ac:dyDescent="0.25">
      <c r="A223" s="300"/>
      <c r="B223" s="297"/>
      <c r="C223" s="297"/>
      <c r="D223" s="297"/>
      <c r="E223" s="303"/>
      <c r="F223" s="297"/>
      <c r="G223" s="306"/>
      <c r="H223" s="291"/>
      <c r="I223" s="288"/>
      <c r="J223" s="285"/>
      <c r="K223" s="288">
        <v>0</v>
      </c>
      <c r="L223" s="291"/>
      <c r="M223" s="288"/>
      <c r="N223" s="294"/>
      <c r="O223" s="135">
        <v>5</v>
      </c>
      <c r="P223" s="133"/>
      <c r="Q223" s="139" t="s">
        <v>331</v>
      </c>
      <c r="R223" s="140"/>
      <c r="S223" s="140"/>
      <c r="T223" s="141" t="s">
        <v>331</v>
      </c>
      <c r="U223" s="140"/>
      <c r="V223" s="140"/>
      <c r="W223" s="140"/>
    </row>
    <row r="224" spans="1:23" ht="16.5" x14ac:dyDescent="0.25">
      <c r="A224" s="301"/>
      <c r="B224" s="298"/>
      <c r="C224" s="298"/>
      <c r="D224" s="298"/>
      <c r="E224" s="304"/>
      <c r="F224" s="298"/>
      <c r="G224" s="307"/>
      <c r="H224" s="292"/>
      <c r="I224" s="289"/>
      <c r="J224" s="286"/>
      <c r="K224" s="289">
        <v>0</v>
      </c>
      <c r="L224" s="292"/>
      <c r="M224" s="289"/>
      <c r="N224" s="295"/>
      <c r="O224" s="135">
        <v>6</v>
      </c>
      <c r="P224" s="133"/>
      <c r="Q224" s="139" t="s">
        <v>331</v>
      </c>
      <c r="R224" s="140"/>
      <c r="S224" s="140"/>
      <c r="T224" s="141" t="s">
        <v>331</v>
      </c>
      <c r="U224" s="140"/>
      <c r="V224" s="140"/>
      <c r="W224" s="140"/>
    </row>
    <row r="225" spans="1:23" ht="76.5" x14ac:dyDescent="0.25">
      <c r="A225" s="299">
        <v>5</v>
      </c>
      <c r="B225" s="296" t="s">
        <v>131</v>
      </c>
      <c r="C225" s="296" t="s">
        <v>378</v>
      </c>
      <c r="D225" s="296" t="s">
        <v>379</v>
      </c>
      <c r="E225" s="302" t="s">
        <v>380</v>
      </c>
      <c r="F225" s="296" t="s">
        <v>126</v>
      </c>
      <c r="G225" s="305">
        <v>286</v>
      </c>
      <c r="H225" s="290" t="s">
        <v>107</v>
      </c>
      <c r="I225" s="287">
        <v>0.6</v>
      </c>
      <c r="J225" s="284" t="s">
        <v>153</v>
      </c>
      <c r="K225" s="287" t="s">
        <v>153</v>
      </c>
      <c r="L225" s="290" t="s">
        <v>81</v>
      </c>
      <c r="M225" s="287">
        <v>0.6</v>
      </c>
      <c r="N225" s="293" t="s">
        <v>81</v>
      </c>
      <c r="O225" s="135">
        <v>1</v>
      </c>
      <c r="P225" s="133" t="s">
        <v>381</v>
      </c>
      <c r="Q225" s="139" t="s">
        <v>4</v>
      </c>
      <c r="R225" s="140" t="s">
        <v>14</v>
      </c>
      <c r="S225" s="140" t="s">
        <v>10</v>
      </c>
      <c r="T225" s="141" t="s">
        <v>359</v>
      </c>
      <c r="U225" s="140" t="s">
        <v>19</v>
      </c>
      <c r="V225" s="140" t="s">
        <v>22</v>
      </c>
      <c r="W225" s="140" t="s">
        <v>119</v>
      </c>
    </row>
    <row r="226" spans="1:23" ht="64.5" x14ac:dyDescent="0.25">
      <c r="A226" s="300"/>
      <c r="B226" s="297"/>
      <c r="C226" s="297"/>
      <c r="D226" s="297"/>
      <c r="E226" s="303"/>
      <c r="F226" s="297"/>
      <c r="G226" s="306"/>
      <c r="H226" s="291"/>
      <c r="I226" s="288"/>
      <c r="J226" s="285"/>
      <c r="K226" s="288">
        <v>0</v>
      </c>
      <c r="L226" s="291"/>
      <c r="M226" s="288"/>
      <c r="N226" s="294"/>
      <c r="O226" s="135">
        <v>2</v>
      </c>
      <c r="P226" s="133" t="s">
        <v>382</v>
      </c>
      <c r="Q226" s="139" t="s">
        <v>4</v>
      </c>
      <c r="R226" s="140" t="s">
        <v>15</v>
      </c>
      <c r="S226" s="140" t="s">
        <v>10</v>
      </c>
      <c r="T226" s="141" t="s">
        <v>316</v>
      </c>
      <c r="U226" s="140" t="s">
        <v>19</v>
      </c>
      <c r="V226" s="140" t="s">
        <v>22</v>
      </c>
      <c r="W226" s="140" t="s">
        <v>119</v>
      </c>
    </row>
    <row r="227" spans="1:23" ht="64.5" x14ac:dyDescent="0.25">
      <c r="A227" s="300"/>
      <c r="B227" s="297"/>
      <c r="C227" s="297"/>
      <c r="D227" s="297"/>
      <c r="E227" s="303"/>
      <c r="F227" s="297"/>
      <c r="G227" s="306"/>
      <c r="H227" s="291"/>
      <c r="I227" s="288"/>
      <c r="J227" s="285"/>
      <c r="K227" s="288">
        <v>0</v>
      </c>
      <c r="L227" s="291"/>
      <c r="M227" s="288"/>
      <c r="N227" s="294"/>
      <c r="O227" s="135">
        <v>3</v>
      </c>
      <c r="P227" s="133" t="s">
        <v>383</v>
      </c>
      <c r="Q227" s="139" t="s">
        <v>4</v>
      </c>
      <c r="R227" s="140" t="s">
        <v>15</v>
      </c>
      <c r="S227" s="140" t="s">
        <v>10</v>
      </c>
      <c r="T227" s="141" t="s">
        <v>316</v>
      </c>
      <c r="U227" s="140" t="s">
        <v>19</v>
      </c>
      <c r="V227" s="140" t="s">
        <v>22</v>
      </c>
      <c r="W227" s="140" t="s">
        <v>119</v>
      </c>
    </row>
    <row r="228" spans="1:23" ht="16.5" x14ac:dyDescent="0.25">
      <c r="A228" s="300"/>
      <c r="B228" s="297"/>
      <c r="C228" s="297"/>
      <c r="D228" s="297"/>
      <c r="E228" s="303"/>
      <c r="F228" s="297"/>
      <c r="G228" s="306"/>
      <c r="H228" s="291"/>
      <c r="I228" s="288"/>
      <c r="J228" s="285"/>
      <c r="K228" s="288">
        <v>0</v>
      </c>
      <c r="L228" s="291"/>
      <c r="M228" s="288"/>
      <c r="N228" s="294"/>
      <c r="O228" s="135">
        <v>4</v>
      </c>
      <c r="P228" s="133"/>
      <c r="Q228" s="139" t="s">
        <v>331</v>
      </c>
      <c r="R228" s="140"/>
      <c r="S228" s="140"/>
      <c r="T228" s="141" t="s">
        <v>331</v>
      </c>
      <c r="U228" s="140"/>
      <c r="V228" s="140"/>
      <c r="W228" s="140"/>
    </row>
    <row r="229" spans="1:23" ht="16.5" x14ac:dyDescent="0.25">
      <c r="A229" s="300"/>
      <c r="B229" s="297"/>
      <c r="C229" s="297"/>
      <c r="D229" s="297"/>
      <c r="E229" s="303"/>
      <c r="F229" s="297"/>
      <c r="G229" s="306"/>
      <c r="H229" s="291"/>
      <c r="I229" s="288"/>
      <c r="J229" s="285"/>
      <c r="K229" s="288">
        <v>0</v>
      </c>
      <c r="L229" s="291"/>
      <c r="M229" s="288"/>
      <c r="N229" s="294"/>
      <c r="O229" s="135">
        <v>5</v>
      </c>
      <c r="P229" s="133"/>
      <c r="Q229" s="139" t="s">
        <v>331</v>
      </c>
      <c r="R229" s="140"/>
      <c r="S229" s="140"/>
      <c r="T229" s="141" t="s">
        <v>331</v>
      </c>
      <c r="U229" s="140"/>
      <c r="V229" s="140"/>
      <c r="W229" s="140"/>
    </row>
    <row r="230" spans="1:23" ht="16.5" x14ac:dyDescent="0.25">
      <c r="A230" s="301"/>
      <c r="B230" s="298"/>
      <c r="C230" s="298"/>
      <c r="D230" s="298"/>
      <c r="E230" s="304"/>
      <c r="F230" s="298"/>
      <c r="G230" s="307"/>
      <c r="H230" s="292"/>
      <c r="I230" s="289"/>
      <c r="J230" s="286"/>
      <c r="K230" s="289">
        <v>0</v>
      </c>
      <c r="L230" s="292"/>
      <c r="M230" s="289"/>
      <c r="N230" s="295"/>
      <c r="O230" s="135">
        <v>6</v>
      </c>
      <c r="P230" s="133"/>
      <c r="Q230" s="139" t="s">
        <v>331</v>
      </c>
      <c r="R230" s="140"/>
      <c r="S230" s="140"/>
      <c r="T230" s="141" t="s">
        <v>331</v>
      </c>
      <c r="U230" s="140"/>
      <c r="V230" s="140"/>
      <c r="W230" s="140"/>
    </row>
    <row r="231" spans="1:23" ht="64.5" x14ac:dyDescent="0.25">
      <c r="A231" s="299">
        <v>6</v>
      </c>
      <c r="B231" s="296" t="s">
        <v>131</v>
      </c>
      <c r="C231" s="296" t="s">
        <v>384</v>
      </c>
      <c r="D231" s="296" t="s">
        <v>385</v>
      </c>
      <c r="E231" s="302" t="s">
        <v>386</v>
      </c>
      <c r="F231" s="296" t="s">
        <v>126</v>
      </c>
      <c r="G231" s="305">
        <v>1198</v>
      </c>
      <c r="H231" s="290" t="s">
        <v>6</v>
      </c>
      <c r="I231" s="287">
        <v>0.8</v>
      </c>
      <c r="J231" s="284" t="s">
        <v>153</v>
      </c>
      <c r="K231" s="287" t="s">
        <v>153</v>
      </c>
      <c r="L231" s="290" t="s">
        <v>81</v>
      </c>
      <c r="M231" s="287">
        <v>0.6</v>
      </c>
      <c r="N231" s="293" t="s">
        <v>80</v>
      </c>
      <c r="O231" s="135">
        <v>1</v>
      </c>
      <c r="P231" s="133" t="s">
        <v>387</v>
      </c>
      <c r="Q231" s="139" t="s">
        <v>4</v>
      </c>
      <c r="R231" s="140" t="s">
        <v>14</v>
      </c>
      <c r="S231" s="140" t="s">
        <v>10</v>
      </c>
      <c r="T231" s="141" t="s">
        <v>359</v>
      </c>
      <c r="U231" s="140" t="s">
        <v>19</v>
      </c>
      <c r="V231" s="140" t="s">
        <v>23</v>
      </c>
      <c r="W231" s="140" t="s">
        <v>119</v>
      </c>
    </row>
    <row r="232" spans="1:23" ht="89.25" x14ac:dyDescent="0.25">
      <c r="A232" s="300"/>
      <c r="B232" s="297"/>
      <c r="C232" s="297"/>
      <c r="D232" s="297"/>
      <c r="E232" s="303"/>
      <c r="F232" s="297"/>
      <c r="G232" s="306"/>
      <c r="H232" s="291"/>
      <c r="I232" s="288"/>
      <c r="J232" s="285"/>
      <c r="K232" s="288">
        <v>0</v>
      </c>
      <c r="L232" s="291"/>
      <c r="M232" s="288"/>
      <c r="N232" s="294"/>
      <c r="O232" s="135">
        <v>2</v>
      </c>
      <c r="P232" s="133" t="s">
        <v>388</v>
      </c>
      <c r="Q232" s="139" t="s">
        <v>4</v>
      </c>
      <c r="R232" s="140" t="s">
        <v>15</v>
      </c>
      <c r="S232" s="140" t="s">
        <v>10</v>
      </c>
      <c r="T232" s="141" t="s">
        <v>316</v>
      </c>
      <c r="U232" s="140" t="s">
        <v>19</v>
      </c>
      <c r="V232" s="140" t="s">
        <v>23</v>
      </c>
      <c r="W232" s="140" t="s">
        <v>119</v>
      </c>
    </row>
    <row r="233" spans="1:23" ht="64.5" x14ac:dyDescent="0.25">
      <c r="A233" s="300"/>
      <c r="B233" s="297"/>
      <c r="C233" s="297"/>
      <c r="D233" s="297"/>
      <c r="E233" s="303"/>
      <c r="F233" s="297"/>
      <c r="G233" s="306"/>
      <c r="H233" s="291"/>
      <c r="I233" s="288"/>
      <c r="J233" s="285"/>
      <c r="K233" s="288">
        <v>0</v>
      </c>
      <c r="L233" s="291"/>
      <c r="M233" s="288"/>
      <c r="N233" s="294"/>
      <c r="O233" s="135">
        <v>3</v>
      </c>
      <c r="P233" s="133" t="s">
        <v>389</v>
      </c>
      <c r="Q233" s="139" t="s">
        <v>4</v>
      </c>
      <c r="R233" s="140" t="s">
        <v>15</v>
      </c>
      <c r="S233" s="140" t="s">
        <v>10</v>
      </c>
      <c r="T233" s="141" t="s">
        <v>316</v>
      </c>
      <c r="U233" s="140" t="s">
        <v>19</v>
      </c>
      <c r="V233" s="140" t="s">
        <v>22</v>
      </c>
      <c r="W233" s="140" t="s">
        <v>119</v>
      </c>
    </row>
    <row r="234" spans="1:23" ht="64.5" x14ac:dyDescent="0.25">
      <c r="A234" s="300"/>
      <c r="B234" s="297"/>
      <c r="C234" s="297"/>
      <c r="D234" s="297"/>
      <c r="E234" s="303"/>
      <c r="F234" s="297"/>
      <c r="G234" s="306"/>
      <c r="H234" s="291"/>
      <c r="I234" s="288"/>
      <c r="J234" s="285"/>
      <c r="K234" s="288">
        <v>0</v>
      </c>
      <c r="L234" s="291"/>
      <c r="M234" s="288"/>
      <c r="N234" s="294"/>
      <c r="O234" s="135">
        <v>4</v>
      </c>
      <c r="P234" s="133" t="s">
        <v>390</v>
      </c>
      <c r="Q234" s="139" t="s">
        <v>4</v>
      </c>
      <c r="R234" s="140" t="s">
        <v>15</v>
      </c>
      <c r="S234" s="140" t="s">
        <v>10</v>
      </c>
      <c r="T234" s="141" t="s">
        <v>316</v>
      </c>
      <c r="U234" s="140" t="s">
        <v>19</v>
      </c>
      <c r="V234" s="140" t="s">
        <v>22</v>
      </c>
      <c r="W234" s="140" t="s">
        <v>119</v>
      </c>
    </row>
    <row r="235" spans="1:23" ht="64.5" x14ac:dyDescent="0.25">
      <c r="A235" s="300"/>
      <c r="B235" s="297"/>
      <c r="C235" s="297"/>
      <c r="D235" s="297"/>
      <c r="E235" s="303"/>
      <c r="F235" s="297"/>
      <c r="G235" s="306"/>
      <c r="H235" s="291"/>
      <c r="I235" s="288"/>
      <c r="J235" s="285"/>
      <c r="K235" s="288">
        <v>0</v>
      </c>
      <c r="L235" s="291"/>
      <c r="M235" s="288"/>
      <c r="N235" s="294"/>
      <c r="O235" s="135">
        <v>5</v>
      </c>
      <c r="P235" s="133" t="s">
        <v>391</v>
      </c>
      <c r="Q235" s="139" t="s">
        <v>4</v>
      </c>
      <c r="R235" s="140" t="s">
        <v>15</v>
      </c>
      <c r="S235" s="140" t="s">
        <v>10</v>
      </c>
      <c r="T235" s="141" t="s">
        <v>316</v>
      </c>
      <c r="U235" s="140" t="s">
        <v>19</v>
      </c>
      <c r="V235" s="140" t="s">
        <v>22</v>
      </c>
      <c r="W235" s="140" t="s">
        <v>119</v>
      </c>
    </row>
    <row r="236" spans="1:23" ht="16.5" x14ac:dyDescent="0.25">
      <c r="A236" s="301"/>
      <c r="B236" s="298"/>
      <c r="C236" s="298"/>
      <c r="D236" s="298"/>
      <c r="E236" s="304"/>
      <c r="F236" s="298"/>
      <c r="G236" s="307"/>
      <c r="H236" s="292"/>
      <c r="I236" s="289"/>
      <c r="J236" s="286"/>
      <c r="K236" s="289">
        <v>0</v>
      </c>
      <c r="L236" s="292"/>
      <c r="M236" s="289"/>
      <c r="N236" s="295"/>
      <c r="O236" s="135">
        <v>6</v>
      </c>
      <c r="P236" s="133"/>
      <c r="Q236" s="139" t="s">
        <v>331</v>
      </c>
      <c r="R236" s="140"/>
      <c r="S236" s="140"/>
      <c r="T236" s="141" t="s">
        <v>331</v>
      </c>
      <c r="U236" s="140"/>
      <c r="V236" s="140"/>
      <c r="W236" s="140"/>
    </row>
    <row r="239" spans="1:23" x14ac:dyDescent="0.25">
      <c r="A239" s="311" t="s">
        <v>392</v>
      </c>
      <c r="B239" s="311"/>
      <c r="C239" s="311"/>
      <c r="D239" s="311"/>
      <c r="E239" s="311"/>
      <c r="F239" s="311"/>
      <c r="G239" s="311"/>
      <c r="H239" s="311"/>
      <c r="I239" s="311"/>
      <c r="J239" s="311"/>
      <c r="K239" s="311"/>
      <c r="L239" s="311"/>
      <c r="M239" s="311"/>
      <c r="N239" s="311"/>
      <c r="O239" s="311"/>
      <c r="P239" s="311"/>
    </row>
    <row r="240" spans="1:23" x14ac:dyDescent="0.25">
      <c r="A240" s="311"/>
      <c r="B240" s="311"/>
      <c r="C240" s="311"/>
      <c r="D240" s="311"/>
      <c r="E240" s="311"/>
      <c r="F240" s="311"/>
      <c r="G240" s="311"/>
      <c r="H240" s="311"/>
      <c r="I240" s="311"/>
      <c r="J240" s="311"/>
      <c r="K240" s="311"/>
      <c r="L240" s="311"/>
      <c r="M240" s="311"/>
      <c r="N240" s="311"/>
      <c r="O240" s="311"/>
      <c r="P240" s="311"/>
    </row>
    <row r="241" spans="1:23" x14ac:dyDescent="0.25">
      <c r="A241" s="311"/>
      <c r="B241" s="311"/>
      <c r="C241" s="311"/>
      <c r="D241" s="311"/>
      <c r="E241" s="311"/>
      <c r="F241" s="311"/>
      <c r="G241" s="311"/>
      <c r="H241" s="311"/>
      <c r="I241" s="311"/>
      <c r="J241" s="311"/>
      <c r="K241" s="311"/>
      <c r="L241" s="311"/>
      <c r="M241" s="311"/>
      <c r="N241" s="311"/>
      <c r="O241" s="311"/>
      <c r="P241" s="311"/>
    </row>
    <row r="244" spans="1:23" ht="16.5" x14ac:dyDescent="0.25">
      <c r="A244" s="308" t="s">
        <v>138</v>
      </c>
      <c r="B244" s="309"/>
      <c r="C244" s="309"/>
      <c r="D244" s="309"/>
      <c r="E244" s="309"/>
      <c r="F244" s="309"/>
      <c r="G244" s="310"/>
      <c r="H244" s="308" t="s">
        <v>139</v>
      </c>
      <c r="I244" s="309"/>
      <c r="J244" s="309"/>
      <c r="K244" s="309"/>
      <c r="L244" s="309"/>
      <c r="M244" s="309"/>
      <c r="N244" s="310"/>
      <c r="O244" s="308" t="s">
        <v>140</v>
      </c>
      <c r="P244" s="309"/>
      <c r="Q244" s="309"/>
      <c r="R244" s="309"/>
      <c r="S244" s="309"/>
      <c r="T244" s="309"/>
      <c r="U244" s="309"/>
      <c r="V244" s="309"/>
      <c r="W244" s="310"/>
    </row>
    <row r="245" spans="1:23" ht="16.5" x14ac:dyDescent="0.25">
      <c r="A245" s="312" t="s">
        <v>0</v>
      </c>
      <c r="B245" s="317" t="s">
        <v>2</v>
      </c>
      <c r="C245" s="315" t="s">
        <v>3</v>
      </c>
      <c r="D245" s="315" t="s">
        <v>42</v>
      </c>
      <c r="E245" s="316" t="s">
        <v>1</v>
      </c>
      <c r="F245" s="314" t="s">
        <v>50</v>
      </c>
      <c r="G245" s="315" t="s">
        <v>134</v>
      </c>
      <c r="H245" s="325" t="s">
        <v>33</v>
      </c>
      <c r="I245" s="323" t="s">
        <v>5</v>
      </c>
      <c r="J245" s="314" t="s">
        <v>87</v>
      </c>
      <c r="K245" s="314" t="s">
        <v>92</v>
      </c>
      <c r="L245" s="321" t="s">
        <v>45</v>
      </c>
      <c r="M245" s="323" t="s">
        <v>5</v>
      </c>
      <c r="N245" s="315" t="s">
        <v>48</v>
      </c>
      <c r="O245" s="319" t="s">
        <v>11</v>
      </c>
      <c r="P245" s="318" t="s">
        <v>161</v>
      </c>
      <c r="Q245" s="314" t="s">
        <v>12</v>
      </c>
      <c r="R245" s="318" t="s">
        <v>8</v>
      </c>
      <c r="S245" s="318"/>
      <c r="T245" s="318"/>
      <c r="U245" s="318"/>
      <c r="V245" s="318"/>
      <c r="W245" s="318"/>
    </row>
    <row r="246" spans="1:23" ht="79.5" x14ac:dyDescent="0.25">
      <c r="A246" s="313"/>
      <c r="B246" s="317"/>
      <c r="C246" s="318"/>
      <c r="D246" s="318"/>
      <c r="E246" s="317"/>
      <c r="F246" s="315"/>
      <c r="G246" s="318"/>
      <c r="H246" s="315"/>
      <c r="I246" s="322"/>
      <c r="J246" s="315"/>
      <c r="K246" s="315"/>
      <c r="L246" s="322"/>
      <c r="M246" s="322"/>
      <c r="N246" s="318"/>
      <c r="O246" s="320"/>
      <c r="P246" s="318"/>
      <c r="Q246" s="315"/>
      <c r="R246" s="138" t="s">
        <v>13</v>
      </c>
      <c r="S246" s="138" t="s">
        <v>17</v>
      </c>
      <c r="T246" s="138" t="s">
        <v>28</v>
      </c>
      <c r="U246" s="138" t="s">
        <v>18</v>
      </c>
      <c r="V246" s="138" t="s">
        <v>21</v>
      </c>
      <c r="W246" s="138" t="s">
        <v>24</v>
      </c>
    </row>
    <row r="247" spans="1:23" ht="64.5" x14ac:dyDescent="0.25">
      <c r="A247" s="299">
        <v>1</v>
      </c>
      <c r="B247" s="296" t="s">
        <v>131</v>
      </c>
      <c r="C247" s="296" t="s">
        <v>394</v>
      </c>
      <c r="D247" s="296" t="s">
        <v>395</v>
      </c>
      <c r="E247" s="302" t="s">
        <v>396</v>
      </c>
      <c r="F247" s="296" t="s">
        <v>128</v>
      </c>
      <c r="G247" s="305">
        <v>3000</v>
      </c>
      <c r="H247" s="290" t="s">
        <v>6</v>
      </c>
      <c r="I247" s="287">
        <v>0.8</v>
      </c>
      <c r="J247" s="284" t="s">
        <v>153</v>
      </c>
      <c r="K247" s="287" t="s">
        <v>153</v>
      </c>
      <c r="L247" s="290" t="s">
        <v>81</v>
      </c>
      <c r="M247" s="287">
        <v>0.6</v>
      </c>
      <c r="N247" s="293" t="s">
        <v>80</v>
      </c>
      <c r="O247" s="135">
        <v>1</v>
      </c>
      <c r="P247" s="133" t="s">
        <v>397</v>
      </c>
      <c r="Q247" s="139" t="s">
        <v>4</v>
      </c>
      <c r="R247" s="140" t="s">
        <v>14</v>
      </c>
      <c r="S247" s="140" t="s">
        <v>9</v>
      </c>
      <c r="T247" s="141" t="s">
        <v>316</v>
      </c>
      <c r="U247" s="140" t="s">
        <v>19</v>
      </c>
      <c r="V247" s="140" t="s">
        <v>22</v>
      </c>
      <c r="W247" s="140" t="s">
        <v>119</v>
      </c>
    </row>
    <row r="248" spans="1:23" ht="89.25" x14ac:dyDescent="0.25">
      <c r="A248" s="300"/>
      <c r="B248" s="297"/>
      <c r="C248" s="297"/>
      <c r="D248" s="297"/>
      <c r="E248" s="303"/>
      <c r="F248" s="297"/>
      <c r="G248" s="306"/>
      <c r="H248" s="291"/>
      <c r="I248" s="288"/>
      <c r="J248" s="285"/>
      <c r="K248" s="288">
        <v>0</v>
      </c>
      <c r="L248" s="291"/>
      <c r="M248" s="288"/>
      <c r="N248" s="294"/>
      <c r="O248" s="135">
        <v>2</v>
      </c>
      <c r="P248" s="133" t="s">
        <v>398</v>
      </c>
      <c r="Q248" s="139" t="s">
        <v>4</v>
      </c>
      <c r="R248" s="140" t="s">
        <v>15</v>
      </c>
      <c r="S248" s="140" t="s">
        <v>9</v>
      </c>
      <c r="T248" s="141" t="s">
        <v>319</v>
      </c>
      <c r="U248" s="140" t="s">
        <v>19</v>
      </c>
      <c r="V248" s="140" t="s">
        <v>22</v>
      </c>
      <c r="W248" s="140" t="s">
        <v>119</v>
      </c>
    </row>
    <row r="249" spans="1:23" ht="115.5" x14ac:dyDescent="0.25">
      <c r="A249" s="300"/>
      <c r="B249" s="297"/>
      <c r="C249" s="297"/>
      <c r="D249" s="297"/>
      <c r="E249" s="303"/>
      <c r="F249" s="297"/>
      <c r="G249" s="306"/>
      <c r="H249" s="291"/>
      <c r="I249" s="288"/>
      <c r="J249" s="285"/>
      <c r="K249" s="288">
        <v>0</v>
      </c>
      <c r="L249" s="291"/>
      <c r="M249" s="288"/>
      <c r="N249" s="294"/>
      <c r="O249" s="135">
        <v>3</v>
      </c>
      <c r="P249" s="134" t="s">
        <v>399</v>
      </c>
      <c r="Q249" s="139" t="s">
        <v>4</v>
      </c>
      <c r="R249" s="140" t="s">
        <v>15</v>
      </c>
      <c r="S249" s="140" t="s">
        <v>9</v>
      </c>
      <c r="T249" s="141" t="s">
        <v>319</v>
      </c>
      <c r="U249" s="140" t="s">
        <v>19</v>
      </c>
      <c r="V249" s="140" t="s">
        <v>22</v>
      </c>
      <c r="W249" s="140" t="s">
        <v>119</v>
      </c>
    </row>
    <row r="250" spans="1:23" ht="102" x14ac:dyDescent="0.25">
      <c r="A250" s="300"/>
      <c r="B250" s="297"/>
      <c r="C250" s="297"/>
      <c r="D250" s="297"/>
      <c r="E250" s="303"/>
      <c r="F250" s="297"/>
      <c r="G250" s="306"/>
      <c r="H250" s="291"/>
      <c r="I250" s="288"/>
      <c r="J250" s="285"/>
      <c r="K250" s="288">
        <v>0</v>
      </c>
      <c r="L250" s="291"/>
      <c r="M250" s="288"/>
      <c r="N250" s="294"/>
      <c r="O250" s="135">
        <v>4</v>
      </c>
      <c r="P250" s="133" t="s">
        <v>400</v>
      </c>
      <c r="Q250" s="139" t="s">
        <v>4</v>
      </c>
      <c r="R250" s="140" t="s">
        <v>14</v>
      </c>
      <c r="S250" s="140" t="s">
        <v>9</v>
      </c>
      <c r="T250" s="141" t="s">
        <v>316</v>
      </c>
      <c r="U250" s="140" t="s">
        <v>19</v>
      </c>
      <c r="V250" s="140" t="s">
        <v>22</v>
      </c>
      <c r="W250" s="140" t="s">
        <v>119</v>
      </c>
    </row>
    <row r="251" spans="1:23" ht="89.25" x14ac:dyDescent="0.25">
      <c r="A251" s="300"/>
      <c r="B251" s="297"/>
      <c r="C251" s="297"/>
      <c r="D251" s="297"/>
      <c r="E251" s="303"/>
      <c r="F251" s="297"/>
      <c r="G251" s="306"/>
      <c r="H251" s="291"/>
      <c r="I251" s="288"/>
      <c r="J251" s="285"/>
      <c r="K251" s="288">
        <v>0</v>
      </c>
      <c r="L251" s="291"/>
      <c r="M251" s="288"/>
      <c r="N251" s="294"/>
      <c r="O251" s="135">
        <v>5</v>
      </c>
      <c r="P251" s="133" t="s">
        <v>401</v>
      </c>
      <c r="Q251" s="139" t="s">
        <v>4</v>
      </c>
      <c r="R251" s="140" t="s">
        <v>15</v>
      </c>
      <c r="S251" s="140" t="s">
        <v>9</v>
      </c>
      <c r="T251" s="141" t="s">
        <v>319</v>
      </c>
      <c r="U251" s="140" t="s">
        <v>19</v>
      </c>
      <c r="V251" s="140" t="s">
        <v>22</v>
      </c>
      <c r="W251" s="140" t="s">
        <v>119</v>
      </c>
    </row>
    <row r="252" spans="1:23" ht="76.5" x14ac:dyDescent="0.25">
      <c r="A252" s="301"/>
      <c r="B252" s="298"/>
      <c r="C252" s="298"/>
      <c r="D252" s="298"/>
      <c r="E252" s="304"/>
      <c r="F252" s="298"/>
      <c r="G252" s="307"/>
      <c r="H252" s="292"/>
      <c r="I252" s="289"/>
      <c r="J252" s="286"/>
      <c r="K252" s="289">
        <v>0</v>
      </c>
      <c r="L252" s="292"/>
      <c r="M252" s="289"/>
      <c r="N252" s="295"/>
      <c r="O252" s="135">
        <v>6</v>
      </c>
      <c r="P252" s="133" t="s">
        <v>402</v>
      </c>
      <c r="Q252" s="139" t="s">
        <v>4</v>
      </c>
      <c r="R252" s="140" t="s">
        <v>15</v>
      </c>
      <c r="S252" s="140" t="s">
        <v>9</v>
      </c>
      <c r="T252" s="141" t="s">
        <v>319</v>
      </c>
      <c r="U252" s="140" t="s">
        <v>19</v>
      </c>
      <c r="V252" s="140" t="s">
        <v>22</v>
      </c>
      <c r="W252" s="140" t="s">
        <v>119</v>
      </c>
    </row>
    <row r="253" spans="1:23" ht="89.25" x14ac:dyDescent="0.25">
      <c r="A253" s="299">
        <v>2</v>
      </c>
      <c r="B253" s="296" t="s">
        <v>131</v>
      </c>
      <c r="C253" s="296" t="s">
        <v>403</v>
      </c>
      <c r="D253" s="296" t="s">
        <v>404</v>
      </c>
      <c r="E253" s="302" t="s">
        <v>405</v>
      </c>
      <c r="F253" s="296" t="s">
        <v>128</v>
      </c>
      <c r="G253" s="305">
        <v>800</v>
      </c>
      <c r="H253" s="290" t="s">
        <v>6</v>
      </c>
      <c r="I253" s="287">
        <v>0.8</v>
      </c>
      <c r="J253" s="284" t="s">
        <v>153</v>
      </c>
      <c r="K253" s="287" t="s">
        <v>153</v>
      </c>
      <c r="L253" s="290" t="s">
        <v>81</v>
      </c>
      <c r="M253" s="287">
        <v>0.6</v>
      </c>
      <c r="N253" s="293" t="s">
        <v>80</v>
      </c>
      <c r="O253" s="135">
        <v>1</v>
      </c>
      <c r="P253" s="133" t="s">
        <v>406</v>
      </c>
      <c r="Q253" s="139" t="s">
        <v>4</v>
      </c>
      <c r="R253" s="140" t="s">
        <v>14</v>
      </c>
      <c r="S253" s="140" t="s">
        <v>9</v>
      </c>
      <c r="T253" s="141" t="s">
        <v>316</v>
      </c>
      <c r="U253" s="140" t="s">
        <v>19</v>
      </c>
      <c r="V253" s="140" t="s">
        <v>22</v>
      </c>
      <c r="W253" s="140" t="s">
        <v>119</v>
      </c>
    </row>
    <row r="254" spans="1:23" ht="89.25" x14ac:dyDescent="0.25">
      <c r="A254" s="300"/>
      <c r="B254" s="297"/>
      <c r="C254" s="297"/>
      <c r="D254" s="297"/>
      <c r="E254" s="303"/>
      <c r="F254" s="297"/>
      <c r="G254" s="306"/>
      <c r="H254" s="291"/>
      <c r="I254" s="288"/>
      <c r="J254" s="285"/>
      <c r="K254" s="288">
        <v>0</v>
      </c>
      <c r="L254" s="291"/>
      <c r="M254" s="288"/>
      <c r="N254" s="294"/>
      <c r="O254" s="135">
        <v>2</v>
      </c>
      <c r="P254" s="133" t="s">
        <v>407</v>
      </c>
      <c r="Q254" s="139" t="s">
        <v>4</v>
      </c>
      <c r="R254" s="140" t="s">
        <v>15</v>
      </c>
      <c r="S254" s="140" t="s">
        <v>9</v>
      </c>
      <c r="T254" s="141" t="s">
        <v>319</v>
      </c>
      <c r="U254" s="140" t="s">
        <v>19</v>
      </c>
      <c r="V254" s="140" t="s">
        <v>22</v>
      </c>
      <c r="W254" s="140" t="s">
        <v>119</v>
      </c>
    </row>
    <row r="255" spans="1:23" ht="76.5" x14ac:dyDescent="0.25">
      <c r="A255" s="300"/>
      <c r="B255" s="297"/>
      <c r="C255" s="297"/>
      <c r="D255" s="297"/>
      <c r="E255" s="303"/>
      <c r="F255" s="297"/>
      <c r="G255" s="306"/>
      <c r="H255" s="291"/>
      <c r="I255" s="288"/>
      <c r="J255" s="285"/>
      <c r="K255" s="288">
        <v>0</v>
      </c>
      <c r="L255" s="291"/>
      <c r="M255" s="288"/>
      <c r="N255" s="294"/>
      <c r="O255" s="135">
        <v>3</v>
      </c>
      <c r="P255" s="133" t="s">
        <v>408</v>
      </c>
      <c r="Q255" s="139" t="s">
        <v>4</v>
      </c>
      <c r="R255" s="140" t="s">
        <v>14</v>
      </c>
      <c r="S255" s="140" t="s">
        <v>9</v>
      </c>
      <c r="T255" s="141" t="s">
        <v>316</v>
      </c>
      <c r="U255" s="140" t="s">
        <v>19</v>
      </c>
      <c r="V255" s="140" t="s">
        <v>22</v>
      </c>
      <c r="W255" s="140" t="s">
        <v>119</v>
      </c>
    </row>
    <row r="256" spans="1:23" ht="76.5" x14ac:dyDescent="0.25">
      <c r="A256" s="300"/>
      <c r="B256" s="297"/>
      <c r="C256" s="297"/>
      <c r="D256" s="297"/>
      <c r="E256" s="303"/>
      <c r="F256" s="297"/>
      <c r="G256" s="306"/>
      <c r="H256" s="291"/>
      <c r="I256" s="288"/>
      <c r="J256" s="285"/>
      <c r="K256" s="288">
        <v>0</v>
      </c>
      <c r="L256" s="291"/>
      <c r="M256" s="288"/>
      <c r="N256" s="294"/>
      <c r="O256" s="135">
        <v>4</v>
      </c>
      <c r="P256" s="133" t="s">
        <v>409</v>
      </c>
      <c r="Q256" s="139" t="s">
        <v>4</v>
      </c>
      <c r="R256" s="140" t="s">
        <v>14</v>
      </c>
      <c r="S256" s="140" t="s">
        <v>9</v>
      </c>
      <c r="T256" s="141" t="s">
        <v>316</v>
      </c>
      <c r="U256" s="140" t="s">
        <v>19</v>
      </c>
      <c r="V256" s="140" t="s">
        <v>22</v>
      </c>
      <c r="W256" s="140" t="s">
        <v>119</v>
      </c>
    </row>
    <row r="257" spans="1:23" ht="132" x14ac:dyDescent="0.25">
      <c r="A257" s="300"/>
      <c r="B257" s="297"/>
      <c r="C257" s="297"/>
      <c r="D257" s="297"/>
      <c r="E257" s="303"/>
      <c r="F257" s="297"/>
      <c r="G257" s="306"/>
      <c r="H257" s="291"/>
      <c r="I257" s="288"/>
      <c r="J257" s="285"/>
      <c r="K257" s="288">
        <v>0</v>
      </c>
      <c r="L257" s="291"/>
      <c r="M257" s="288"/>
      <c r="N257" s="294"/>
      <c r="O257" s="135">
        <v>5</v>
      </c>
      <c r="P257" s="134" t="s">
        <v>410</v>
      </c>
      <c r="Q257" s="139" t="s">
        <v>4</v>
      </c>
      <c r="R257" s="140" t="s">
        <v>14</v>
      </c>
      <c r="S257" s="140" t="s">
        <v>9</v>
      </c>
      <c r="T257" s="141" t="s">
        <v>316</v>
      </c>
      <c r="U257" s="140" t="s">
        <v>19</v>
      </c>
      <c r="V257" s="140" t="s">
        <v>22</v>
      </c>
      <c r="W257" s="140" t="s">
        <v>119</v>
      </c>
    </row>
    <row r="258" spans="1:23" ht="16.5" x14ac:dyDescent="0.25">
      <c r="A258" s="301"/>
      <c r="B258" s="298"/>
      <c r="C258" s="298"/>
      <c r="D258" s="298"/>
      <c r="E258" s="304"/>
      <c r="F258" s="298"/>
      <c r="G258" s="307"/>
      <c r="H258" s="292"/>
      <c r="I258" s="289"/>
      <c r="J258" s="286"/>
      <c r="K258" s="289">
        <v>0</v>
      </c>
      <c r="L258" s="292"/>
      <c r="M258" s="289"/>
      <c r="N258" s="295"/>
      <c r="O258" s="135">
        <v>6</v>
      </c>
      <c r="P258" s="133"/>
      <c r="Q258" s="139" t="s">
        <v>331</v>
      </c>
      <c r="R258" s="140"/>
      <c r="S258" s="140"/>
      <c r="T258" s="141" t="s">
        <v>331</v>
      </c>
      <c r="U258" s="140"/>
      <c r="V258" s="140"/>
      <c r="W258" s="140"/>
    </row>
    <row r="259" spans="1:23" ht="102" x14ac:dyDescent="0.25">
      <c r="A259" s="299">
        <v>3</v>
      </c>
      <c r="B259" s="296" t="s">
        <v>131</v>
      </c>
      <c r="C259" s="296" t="s">
        <v>411</v>
      </c>
      <c r="D259" s="296" t="s">
        <v>412</v>
      </c>
      <c r="E259" s="302" t="s">
        <v>413</v>
      </c>
      <c r="F259" s="296" t="s">
        <v>128</v>
      </c>
      <c r="G259" s="305">
        <v>500</v>
      </c>
      <c r="H259" s="290" t="s">
        <v>107</v>
      </c>
      <c r="I259" s="287">
        <v>0.6</v>
      </c>
      <c r="J259" s="284" t="s">
        <v>153</v>
      </c>
      <c r="K259" s="287" t="s">
        <v>153</v>
      </c>
      <c r="L259" s="290" t="s">
        <v>81</v>
      </c>
      <c r="M259" s="287">
        <v>0.6</v>
      </c>
      <c r="N259" s="293" t="s">
        <v>81</v>
      </c>
      <c r="O259" s="135">
        <v>1</v>
      </c>
      <c r="P259" s="133" t="s">
        <v>414</v>
      </c>
      <c r="Q259" s="139" t="s">
        <v>4</v>
      </c>
      <c r="R259" s="140" t="s">
        <v>15</v>
      </c>
      <c r="S259" s="140" t="s">
        <v>9</v>
      </c>
      <c r="T259" s="141" t="s">
        <v>319</v>
      </c>
      <c r="U259" s="140" t="s">
        <v>19</v>
      </c>
      <c r="V259" s="140" t="s">
        <v>22</v>
      </c>
      <c r="W259" s="140" t="s">
        <v>119</v>
      </c>
    </row>
    <row r="260" spans="1:23" ht="114.75" x14ac:dyDescent="0.25">
      <c r="A260" s="300"/>
      <c r="B260" s="297"/>
      <c r="C260" s="297"/>
      <c r="D260" s="297"/>
      <c r="E260" s="303"/>
      <c r="F260" s="297"/>
      <c r="G260" s="306"/>
      <c r="H260" s="291"/>
      <c r="I260" s="288"/>
      <c r="J260" s="285"/>
      <c r="K260" s="288">
        <v>0</v>
      </c>
      <c r="L260" s="291"/>
      <c r="M260" s="288"/>
      <c r="N260" s="294"/>
      <c r="O260" s="135">
        <v>2</v>
      </c>
      <c r="P260" s="133" t="s">
        <v>415</v>
      </c>
      <c r="Q260" s="139" t="s">
        <v>4</v>
      </c>
      <c r="R260" s="140" t="s">
        <v>14</v>
      </c>
      <c r="S260" s="140" t="s">
        <v>9</v>
      </c>
      <c r="T260" s="141" t="s">
        <v>316</v>
      </c>
      <c r="U260" s="140" t="s">
        <v>19</v>
      </c>
      <c r="V260" s="140" t="s">
        <v>22</v>
      </c>
      <c r="W260" s="140" t="s">
        <v>119</v>
      </c>
    </row>
    <row r="261" spans="1:23" ht="16.5" x14ac:dyDescent="0.25">
      <c r="A261" s="300"/>
      <c r="B261" s="297"/>
      <c r="C261" s="297"/>
      <c r="D261" s="297"/>
      <c r="E261" s="303"/>
      <c r="F261" s="297"/>
      <c r="G261" s="306"/>
      <c r="H261" s="291"/>
      <c r="I261" s="288"/>
      <c r="J261" s="285"/>
      <c r="K261" s="288">
        <v>0</v>
      </c>
      <c r="L261" s="291"/>
      <c r="M261" s="288"/>
      <c r="N261" s="294"/>
      <c r="O261" s="135">
        <v>3</v>
      </c>
      <c r="P261" s="134"/>
      <c r="Q261" s="139" t="s">
        <v>331</v>
      </c>
      <c r="R261" s="140"/>
      <c r="S261" s="140"/>
      <c r="T261" s="141" t="s">
        <v>331</v>
      </c>
      <c r="U261" s="140"/>
      <c r="V261" s="140"/>
      <c r="W261" s="140"/>
    </row>
    <row r="262" spans="1:23" ht="16.5" x14ac:dyDescent="0.25">
      <c r="A262" s="300"/>
      <c r="B262" s="297"/>
      <c r="C262" s="297"/>
      <c r="D262" s="297"/>
      <c r="E262" s="303"/>
      <c r="F262" s="297"/>
      <c r="G262" s="306"/>
      <c r="H262" s="291"/>
      <c r="I262" s="288"/>
      <c r="J262" s="285"/>
      <c r="K262" s="288">
        <v>0</v>
      </c>
      <c r="L262" s="291"/>
      <c r="M262" s="288"/>
      <c r="N262" s="294"/>
      <c r="O262" s="135">
        <v>4</v>
      </c>
      <c r="P262" s="133"/>
      <c r="Q262" s="139" t="s">
        <v>331</v>
      </c>
      <c r="R262" s="140"/>
      <c r="S262" s="140"/>
      <c r="T262" s="141" t="s">
        <v>331</v>
      </c>
      <c r="U262" s="140"/>
      <c r="V262" s="140"/>
      <c r="W262" s="140"/>
    </row>
    <row r="263" spans="1:23" ht="16.5" x14ac:dyDescent="0.25">
      <c r="A263" s="300"/>
      <c r="B263" s="297"/>
      <c r="C263" s="297"/>
      <c r="D263" s="297"/>
      <c r="E263" s="303"/>
      <c r="F263" s="297"/>
      <c r="G263" s="306"/>
      <c r="H263" s="291"/>
      <c r="I263" s="288"/>
      <c r="J263" s="285"/>
      <c r="K263" s="288">
        <v>0</v>
      </c>
      <c r="L263" s="291"/>
      <c r="M263" s="288"/>
      <c r="N263" s="294"/>
      <c r="O263" s="135">
        <v>5</v>
      </c>
      <c r="P263" s="133"/>
      <c r="Q263" s="139" t="s">
        <v>331</v>
      </c>
      <c r="R263" s="140"/>
      <c r="S263" s="140"/>
      <c r="T263" s="141" t="s">
        <v>331</v>
      </c>
      <c r="U263" s="140"/>
      <c r="V263" s="140"/>
      <c r="W263" s="140"/>
    </row>
    <row r="264" spans="1:23" ht="16.5" x14ac:dyDescent="0.25">
      <c r="A264" s="301"/>
      <c r="B264" s="298"/>
      <c r="C264" s="298"/>
      <c r="D264" s="298"/>
      <c r="E264" s="304"/>
      <c r="F264" s="298"/>
      <c r="G264" s="307"/>
      <c r="H264" s="292"/>
      <c r="I264" s="289"/>
      <c r="J264" s="286"/>
      <c r="K264" s="289">
        <v>0</v>
      </c>
      <c r="L264" s="292"/>
      <c r="M264" s="289"/>
      <c r="N264" s="295"/>
      <c r="O264" s="135">
        <v>6</v>
      </c>
      <c r="P264" s="133"/>
      <c r="Q264" s="139" t="s">
        <v>331</v>
      </c>
      <c r="R264" s="140"/>
      <c r="S264" s="140"/>
      <c r="T264" s="141" t="s">
        <v>331</v>
      </c>
      <c r="U264" s="140"/>
      <c r="V264" s="140"/>
      <c r="W264" s="140"/>
    </row>
    <row r="265" spans="1:23" ht="102" x14ac:dyDescent="0.25">
      <c r="A265" s="299">
        <v>4</v>
      </c>
      <c r="B265" s="296" t="s">
        <v>131</v>
      </c>
      <c r="C265" s="296" t="s">
        <v>416</v>
      </c>
      <c r="D265" s="296" t="s">
        <v>417</v>
      </c>
      <c r="E265" s="302" t="s">
        <v>418</v>
      </c>
      <c r="F265" s="296" t="s">
        <v>128</v>
      </c>
      <c r="G265" s="305">
        <v>1000</v>
      </c>
      <c r="H265" s="290" t="s">
        <v>6</v>
      </c>
      <c r="I265" s="287">
        <v>0.8</v>
      </c>
      <c r="J265" s="284" t="s">
        <v>153</v>
      </c>
      <c r="K265" s="287" t="s">
        <v>153</v>
      </c>
      <c r="L265" s="290" t="s">
        <v>81</v>
      </c>
      <c r="M265" s="287">
        <v>0.6</v>
      </c>
      <c r="N265" s="293" t="s">
        <v>80</v>
      </c>
      <c r="O265" s="135">
        <v>1</v>
      </c>
      <c r="P265" s="133" t="s">
        <v>419</v>
      </c>
      <c r="Q265" s="139" t="s">
        <v>4</v>
      </c>
      <c r="R265" s="140" t="s">
        <v>15</v>
      </c>
      <c r="S265" s="140" t="s">
        <v>9</v>
      </c>
      <c r="T265" s="141" t="s">
        <v>319</v>
      </c>
      <c r="U265" s="140" t="s">
        <v>19</v>
      </c>
      <c r="V265" s="140" t="s">
        <v>22</v>
      </c>
      <c r="W265" s="140" t="s">
        <v>119</v>
      </c>
    </row>
    <row r="266" spans="1:23" ht="114.75" x14ac:dyDescent="0.25">
      <c r="A266" s="300"/>
      <c r="B266" s="297"/>
      <c r="C266" s="297"/>
      <c r="D266" s="297"/>
      <c r="E266" s="303"/>
      <c r="F266" s="297"/>
      <c r="G266" s="306"/>
      <c r="H266" s="291"/>
      <c r="I266" s="288"/>
      <c r="J266" s="285"/>
      <c r="K266" s="288">
        <v>0</v>
      </c>
      <c r="L266" s="291"/>
      <c r="M266" s="288"/>
      <c r="N266" s="294"/>
      <c r="O266" s="135">
        <v>2</v>
      </c>
      <c r="P266" s="133" t="s">
        <v>420</v>
      </c>
      <c r="Q266" s="139" t="s">
        <v>4</v>
      </c>
      <c r="R266" s="140" t="s">
        <v>15</v>
      </c>
      <c r="S266" s="140" t="s">
        <v>9</v>
      </c>
      <c r="T266" s="141" t="s">
        <v>319</v>
      </c>
      <c r="U266" s="140" t="s">
        <v>19</v>
      </c>
      <c r="V266" s="140" t="s">
        <v>22</v>
      </c>
      <c r="W266" s="140" t="s">
        <v>119</v>
      </c>
    </row>
    <row r="267" spans="1:23" ht="16.5" x14ac:dyDescent="0.25">
      <c r="A267" s="300"/>
      <c r="B267" s="297"/>
      <c r="C267" s="297"/>
      <c r="D267" s="297"/>
      <c r="E267" s="303"/>
      <c r="F267" s="297"/>
      <c r="G267" s="306"/>
      <c r="H267" s="291"/>
      <c r="I267" s="288"/>
      <c r="J267" s="285"/>
      <c r="K267" s="288">
        <v>0</v>
      </c>
      <c r="L267" s="291"/>
      <c r="M267" s="288"/>
      <c r="N267" s="294"/>
      <c r="O267" s="135">
        <v>3</v>
      </c>
      <c r="P267" s="134"/>
      <c r="Q267" s="139" t="s">
        <v>331</v>
      </c>
      <c r="R267" s="140"/>
      <c r="S267" s="140"/>
      <c r="T267" s="141" t="s">
        <v>331</v>
      </c>
      <c r="U267" s="140"/>
      <c r="V267" s="140"/>
      <c r="W267" s="140"/>
    </row>
    <row r="268" spans="1:23" ht="16.5" x14ac:dyDescent="0.25">
      <c r="A268" s="300"/>
      <c r="B268" s="297"/>
      <c r="C268" s="297"/>
      <c r="D268" s="297"/>
      <c r="E268" s="303"/>
      <c r="F268" s="297"/>
      <c r="G268" s="306"/>
      <c r="H268" s="291"/>
      <c r="I268" s="288"/>
      <c r="J268" s="285"/>
      <c r="K268" s="288">
        <v>0</v>
      </c>
      <c r="L268" s="291"/>
      <c r="M268" s="288"/>
      <c r="N268" s="294"/>
      <c r="O268" s="135">
        <v>4</v>
      </c>
      <c r="P268" s="133"/>
      <c r="Q268" s="139" t="s">
        <v>331</v>
      </c>
      <c r="R268" s="140"/>
      <c r="S268" s="140"/>
      <c r="T268" s="141" t="s">
        <v>331</v>
      </c>
      <c r="U268" s="140"/>
      <c r="V268" s="140"/>
      <c r="W268" s="140"/>
    </row>
    <row r="269" spans="1:23" ht="16.5" x14ac:dyDescent="0.25">
      <c r="A269" s="300"/>
      <c r="B269" s="297"/>
      <c r="C269" s="297"/>
      <c r="D269" s="297"/>
      <c r="E269" s="303"/>
      <c r="F269" s="297"/>
      <c r="G269" s="306"/>
      <c r="H269" s="291"/>
      <c r="I269" s="288"/>
      <c r="J269" s="285"/>
      <c r="K269" s="288">
        <v>0</v>
      </c>
      <c r="L269" s="291"/>
      <c r="M269" s="288"/>
      <c r="N269" s="294"/>
      <c r="O269" s="135">
        <v>5</v>
      </c>
      <c r="P269" s="133"/>
      <c r="Q269" s="139" t="s">
        <v>331</v>
      </c>
      <c r="R269" s="140"/>
      <c r="S269" s="140"/>
      <c r="T269" s="141" t="s">
        <v>331</v>
      </c>
      <c r="U269" s="140"/>
      <c r="V269" s="140"/>
      <c r="W269" s="140"/>
    </row>
    <row r="270" spans="1:23" ht="16.5" x14ac:dyDescent="0.25">
      <c r="A270" s="301"/>
      <c r="B270" s="298"/>
      <c r="C270" s="298"/>
      <c r="D270" s="298"/>
      <c r="E270" s="304"/>
      <c r="F270" s="298"/>
      <c r="G270" s="307"/>
      <c r="H270" s="292"/>
      <c r="I270" s="289"/>
      <c r="J270" s="286"/>
      <c r="K270" s="289">
        <v>0</v>
      </c>
      <c r="L270" s="292"/>
      <c r="M270" s="289"/>
      <c r="N270" s="295"/>
      <c r="O270" s="135">
        <v>6</v>
      </c>
      <c r="P270" s="133"/>
      <c r="Q270" s="139" t="s">
        <v>331</v>
      </c>
      <c r="R270" s="140"/>
      <c r="S270" s="140"/>
      <c r="T270" s="141" t="s">
        <v>331</v>
      </c>
      <c r="U270" s="140"/>
      <c r="V270" s="140"/>
      <c r="W270" s="140"/>
    </row>
  </sheetData>
  <mergeCells count="601">
    <mergeCell ref="B3:B8"/>
    <mergeCell ref="C3:C8"/>
    <mergeCell ref="D3:D8"/>
    <mergeCell ref="E3:E8"/>
    <mergeCell ref="N3:N8"/>
    <mergeCell ref="I3:I8"/>
    <mergeCell ref="J3:J8"/>
    <mergeCell ref="K3:K8"/>
    <mergeCell ref="L3:L8"/>
    <mergeCell ref="M3:M8"/>
    <mergeCell ref="E15:E20"/>
    <mergeCell ref="F15:F20"/>
    <mergeCell ref="G15:G20"/>
    <mergeCell ref="H15:H20"/>
    <mergeCell ref="I15:I20"/>
    <mergeCell ref="A1:P1"/>
    <mergeCell ref="D9:D14"/>
    <mergeCell ref="E9:E14"/>
    <mergeCell ref="K9:K14"/>
    <mergeCell ref="L9:L14"/>
    <mergeCell ref="M9:M14"/>
    <mergeCell ref="N9:N14"/>
    <mergeCell ref="F9:F14"/>
    <mergeCell ref="G9:G14"/>
    <mergeCell ref="H9:H14"/>
    <mergeCell ref="I9:I14"/>
    <mergeCell ref="J9:J14"/>
    <mergeCell ref="A9:A14"/>
    <mergeCell ref="B9:B14"/>
    <mergeCell ref="C9:C14"/>
    <mergeCell ref="F3:F8"/>
    <mergeCell ref="G3:G8"/>
    <mergeCell ref="H3:H8"/>
    <mergeCell ref="A3:A8"/>
    <mergeCell ref="J15:J20"/>
    <mergeCell ref="K15:K20"/>
    <mergeCell ref="L15:L20"/>
    <mergeCell ref="M15:M20"/>
    <mergeCell ref="N15:N20"/>
    <mergeCell ref="M26:M31"/>
    <mergeCell ref="N26:N31"/>
    <mergeCell ref="A26:A31"/>
    <mergeCell ref="B26:B31"/>
    <mergeCell ref="C26:C31"/>
    <mergeCell ref="D26:D31"/>
    <mergeCell ref="E26:E31"/>
    <mergeCell ref="F26:F31"/>
    <mergeCell ref="G26:G31"/>
    <mergeCell ref="H26:H31"/>
    <mergeCell ref="I26:I31"/>
    <mergeCell ref="J26:J31"/>
    <mergeCell ref="K26:K31"/>
    <mergeCell ref="L26:L31"/>
    <mergeCell ref="A23:P24"/>
    <mergeCell ref="A15:A20"/>
    <mergeCell ref="B15:B20"/>
    <mergeCell ref="C15:C20"/>
    <mergeCell ref="D15:D20"/>
    <mergeCell ref="A34:P35"/>
    <mergeCell ref="A36:A41"/>
    <mergeCell ref="B36:B41"/>
    <mergeCell ref="C36:C41"/>
    <mergeCell ref="D36:D41"/>
    <mergeCell ref="E36:E41"/>
    <mergeCell ref="F36:F41"/>
    <mergeCell ref="G36:G41"/>
    <mergeCell ref="H36:H41"/>
    <mergeCell ref="I36:I41"/>
    <mergeCell ref="J36:J41"/>
    <mergeCell ref="K36:K41"/>
    <mergeCell ref="L36:L41"/>
    <mergeCell ref="M36:M41"/>
    <mergeCell ref="N36:N41"/>
    <mergeCell ref="A45:P46"/>
    <mergeCell ref="F49:F54"/>
    <mergeCell ref="G49:G54"/>
    <mergeCell ref="H49:H54"/>
    <mergeCell ref="A49:A54"/>
    <mergeCell ref="B49:B54"/>
    <mergeCell ref="C49:C54"/>
    <mergeCell ref="D49:D54"/>
    <mergeCell ref="E49:E54"/>
    <mergeCell ref="N49:N54"/>
    <mergeCell ref="I49:I54"/>
    <mergeCell ref="J49:J54"/>
    <mergeCell ref="K49:K54"/>
    <mergeCell ref="L49:L54"/>
    <mergeCell ref="M49:M54"/>
    <mergeCell ref="G47:G48"/>
    <mergeCell ref="H47:H48"/>
    <mergeCell ref="I47:I48"/>
    <mergeCell ref="L47:L48"/>
    <mergeCell ref="M47:M48"/>
    <mergeCell ref="B47:B48"/>
    <mergeCell ref="N47:N48"/>
    <mergeCell ref="J47:J48"/>
    <mergeCell ref="K47:K48"/>
    <mergeCell ref="O47:O48"/>
    <mergeCell ref="P47:P48"/>
    <mergeCell ref="K55:K60"/>
    <mergeCell ref="L55:L60"/>
    <mergeCell ref="M55:M60"/>
    <mergeCell ref="N55:N60"/>
    <mergeCell ref="F55:F60"/>
    <mergeCell ref="G55:G60"/>
    <mergeCell ref="H55:H60"/>
    <mergeCell ref="I55:I60"/>
    <mergeCell ref="J55:J60"/>
    <mergeCell ref="F61:F66"/>
    <mergeCell ref="G61:G66"/>
    <mergeCell ref="H61:H66"/>
    <mergeCell ref="I61:I66"/>
    <mergeCell ref="A47:A48"/>
    <mergeCell ref="F47:F48"/>
    <mergeCell ref="E47:E48"/>
    <mergeCell ref="D47:D48"/>
    <mergeCell ref="C47:C48"/>
    <mergeCell ref="A55:A60"/>
    <mergeCell ref="B55:B60"/>
    <mergeCell ref="C55:C60"/>
    <mergeCell ref="D55:D60"/>
    <mergeCell ref="E55:E60"/>
    <mergeCell ref="M61:M66"/>
    <mergeCell ref="N61:N66"/>
    <mergeCell ref="A67:A72"/>
    <mergeCell ref="B67:B72"/>
    <mergeCell ref="C67:C72"/>
    <mergeCell ref="D67:D72"/>
    <mergeCell ref="E67:E72"/>
    <mergeCell ref="F67:F72"/>
    <mergeCell ref="G67:G72"/>
    <mergeCell ref="H67:H72"/>
    <mergeCell ref="I67:I72"/>
    <mergeCell ref="J67:J72"/>
    <mergeCell ref="K67:K72"/>
    <mergeCell ref="L67:L72"/>
    <mergeCell ref="M67:M72"/>
    <mergeCell ref="N67:N72"/>
    <mergeCell ref="J61:J66"/>
    <mergeCell ref="K61:K66"/>
    <mergeCell ref="L61:L66"/>
    <mergeCell ref="A61:A66"/>
    <mergeCell ref="B61:B66"/>
    <mergeCell ref="C61:C66"/>
    <mergeCell ref="D61:D66"/>
    <mergeCell ref="E61:E66"/>
    <mergeCell ref="K86:K91"/>
    <mergeCell ref="L86:L91"/>
    <mergeCell ref="M86:M91"/>
    <mergeCell ref="N86:N91"/>
    <mergeCell ref="M73:M78"/>
    <mergeCell ref="N73:N78"/>
    <mergeCell ref="A73:A78"/>
    <mergeCell ref="B73:B78"/>
    <mergeCell ref="C73:C78"/>
    <mergeCell ref="D73:D78"/>
    <mergeCell ref="E73:E78"/>
    <mergeCell ref="F73:F78"/>
    <mergeCell ref="G73:G78"/>
    <mergeCell ref="H73:H78"/>
    <mergeCell ref="I73:I78"/>
    <mergeCell ref="J73:J78"/>
    <mergeCell ref="K73:K78"/>
    <mergeCell ref="L73:L78"/>
    <mergeCell ref="A82:P83"/>
    <mergeCell ref="A84:A85"/>
    <mergeCell ref="B84:B85"/>
    <mergeCell ref="C84:C85"/>
    <mergeCell ref="D84:D85"/>
    <mergeCell ref="E84:E85"/>
    <mergeCell ref="F84:F85"/>
    <mergeCell ref="G84:G85"/>
    <mergeCell ref="H84:H85"/>
    <mergeCell ref="I84:I85"/>
    <mergeCell ref="J84:J85"/>
    <mergeCell ref="K84:K85"/>
    <mergeCell ref="L84:L85"/>
    <mergeCell ref="M84:M85"/>
    <mergeCell ref="N84:N85"/>
    <mergeCell ref="O84:O85"/>
    <mergeCell ref="P84:P85"/>
    <mergeCell ref="J92:J97"/>
    <mergeCell ref="K92:K97"/>
    <mergeCell ref="L92:L97"/>
    <mergeCell ref="M92:M97"/>
    <mergeCell ref="N92:N97"/>
    <mergeCell ref="A86:A91"/>
    <mergeCell ref="B86:B91"/>
    <mergeCell ref="C86:C91"/>
    <mergeCell ref="D86:D91"/>
    <mergeCell ref="E86:E91"/>
    <mergeCell ref="F86:F91"/>
    <mergeCell ref="G86:G91"/>
    <mergeCell ref="H86:H91"/>
    <mergeCell ref="A92:A97"/>
    <mergeCell ref="B92:B97"/>
    <mergeCell ref="C92:C97"/>
    <mergeCell ref="D92:D97"/>
    <mergeCell ref="E92:E97"/>
    <mergeCell ref="F92:F97"/>
    <mergeCell ref="G92:G97"/>
    <mergeCell ref="H92:H97"/>
    <mergeCell ref="I92:I97"/>
    <mergeCell ref="I86:I91"/>
    <mergeCell ref="J86:J91"/>
    <mergeCell ref="A98:A103"/>
    <mergeCell ref="B98:B103"/>
    <mergeCell ref="C98:C103"/>
    <mergeCell ref="D98:D103"/>
    <mergeCell ref="E98:E103"/>
    <mergeCell ref="F98:F103"/>
    <mergeCell ref="G98:G103"/>
    <mergeCell ref="H98:H103"/>
    <mergeCell ref="I98:I103"/>
    <mergeCell ref="J98:J103"/>
    <mergeCell ref="K110:K115"/>
    <mergeCell ref="L110:L115"/>
    <mergeCell ref="M110:M115"/>
    <mergeCell ref="N110:N115"/>
    <mergeCell ref="A104:A109"/>
    <mergeCell ref="B104:B109"/>
    <mergeCell ref="C104:C109"/>
    <mergeCell ref="D104:D109"/>
    <mergeCell ref="E104:E109"/>
    <mergeCell ref="F104:F109"/>
    <mergeCell ref="G104:G109"/>
    <mergeCell ref="H104:H109"/>
    <mergeCell ref="I104:I109"/>
    <mergeCell ref="K98:K103"/>
    <mergeCell ref="L98:L103"/>
    <mergeCell ref="M98:M103"/>
    <mergeCell ref="N98:N103"/>
    <mergeCell ref="J104:J109"/>
    <mergeCell ref="K104:K109"/>
    <mergeCell ref="L104:L109"/>
    <mergeCell ref="M104:M109"/>
    <mergeCell ref="N104:N109"/>
    <mergeCell ref="J116:J121"/>
    <mergeCell ref="K116:K121"/>
    <mergeCell ref="L116:L121"/>
    <mergeCell ref="M116:M121"/>
    <mergeCell ref="N116:N121"/>
    <mergeCell ref="A110:A115"/>
    <mergeCell ref="B110:B115"/>
    <mergeCell ref="C110:C115"/>
    <mergeCell ref="D110:D115"/>
    <mergeCell ref="E110:E115"/>
    <mergeCell ref="A116:A121"/>
    <mergeCell ref="B116:B121"/>
    <mergeCell ref="C116:C121"/>
    <mergeCell ref="D116:D121"/>
    <mergeCell ref="E116:E121"/>
    <mergeCell ref="F116:F121"/>
    <mergeCell ref="G116:G121"/>
    <mergeCell ref="H116:H121"/>
    <mergeCell ref="I116:I121"/>
    <mergeCell ref="F110:F115"/>
    <mergeCell ref="G110:G115"/>
    <mergeCell ref="H110:H115"/>
    <mergeCell ref="I110:I115"/>
    <mergeCell ref="J110:J115"/>
    <mergeCell ref="N148:N153"/>
    <mergeCell ref="A155:P156"/>
    <mergeCell ref="J122:J127"/>
    <mergeCell ref="K122:K127"/>
    <mergeCell ref="L122:L127"/>
    <mergeCell ref="M122:M127"/>
    <mergeCell ref="N122:N127"/>
    <mergeCell ref="A130:P131"/>
    <mergeCell ref="A132:G132"/>
    <mergeCell ref="H132:N132"/>
    <mergeCell ref="O132:W132"/>
    <mergeCell ref="A122:A127"/>
    <mergeCell ref="B122:B127"/>
    <mergeCell ref="C122:C127"/>
    <mergeCell ref="D122:D127"/>
    <mergeCell ref="E122:E127"/>
    <mergeCell ref="F122:F127"/>
    <mergeCell ref="G122:G127"/>
    <mergeCell ref="H122:H127"/>
    <mergeCell ref="I122:I127"/>
    <mergeCell ref="H141:H146"/>
    <mergeCell ref="G148:G153"/>
    <mergeCell ref="H148:H153"/>
    <mergeCell ref="I148:I153"/>
    <mergeCell ref="J148:J153"/>
    <mergeCell ref="D141:D146"/>
    <mergeCell ref="E141:E146"/>
    <mergeCell ref="K148:K153"/>
    <mergeCell ref="L148:L153"/>
    <mergeCell ref="M148:M153"/>
    <mergeCell ref="A141:A146"/>
    <mergeCell ref="B141:B146"/>
    <mergeCell ref="C141:C146"/>
    <mergeCell ref="A148:A153"/>
    <mergeCell ref="B148:B153"/>
    <mergeCell ref="C148:C153"/>
    <mergeCell ref="D148:D153"/>
    <mergeCell ref="E148:E153"/>
    <mergeCell ref="F148:F153"/>
    <mergeCell ref="K141:K146"/>
    <mergeCell ref="L141:L146"/>
    <mergeCell ref="M141:M146"/>
    <mergeCell ref="A133:A134"/>
    <mergeCell ref="F133:F134"/>
    <mergeCell ref="E133:E134"/>
    <mergeCell ref="D133:D134"/>
    <mergeCell ref="C133:C134"/>
    <mergeCell ref="O133:O134"/>
    <mergeCell ref="P133:P134"/>
    <mergeCell ref="G133:G134"/>
    <mergeCell ref="H133:H134"/>
    <mergeCell ref="I133:I134"/>
    <mergeCell ref="L133:L134"/>
    <mergeCell ref="M133:M134"/>
    <mergeCell ref="B133:B134"/>
    <mergeCell ref="N133:N134"/>
    <mergeCell ref="J133:J134"/>
    <mergeCell ref="K133:K134"/>
    <mergeCell ref="N141:N146"/>
    <mergeCell ref="F141:F146"/>
    <mergeCell ref="G141:G146"/>
    <mergeCell ref="Q133:Q134"/>
    <mergeCell ref="R133:W133"/>
    <mergeCell ref="F135:F140"/>
    <mergeCell ref="G135:G140"/>
    <mergeCell ref="H135:H140"/>
    <mergeCell ref="I141:I146"/>
    <mergeCell ref="J141:J146"/>
    <mergeCell ref="A135:A140"/>
    <mergeCell ref="B135:B140"/>
    <mergeCell ref="C135:C140"/>
    <mergeCell ref="D135:D140"/>
    <mergeCell ref="E135:E140"/>
    <mergeCell ref="N135:N140"/>
    <mergeCell ref="I135:I140"/>
    <mergeCell ref="J135:J140"/>
    <mergeCell ref="K135:K140"/>
    <mergeCell ref="L135:L140"/>
    <mergeCell ref="M135:M140"/>
    <mergeCell ref="A160:G160"/>
    <mergeCell ref="H160:N160"/>
    <mergeCell ref="O160:W160"/>
    <mergeCell ref="M175:M180"/>
    <mergeCell ref="N175:N180"/>
    <mergeCell ref="A181:A186"/>
    <mergeCell ref="B181:B186"/>
    <mergeCell ref="C181:C186"/>
    <mergeCell ref="D181:D186"/>
    <mergeCell ref="E181:E186"/>
    <mergeCell ref="F181:F186"/>
    <mergeCell ref="G181:G186"/>
    <mergeCell ref="H181:H186"/>
    <mergeCell ref="I181:I186"/>
    <mergeCell ref="J181:J186"/>
    <mergeCell ref="K181:K186"/>
    <mergeCell ref="L181:L186"/>
    <mergeCell ref="M181:M186"/>
    <mergeCell ref="N181:N186"/>
    <mergeCell ref="K169:K174"/>
    <mergeCell ref="L169:L174"/>
    <mergeCell ref="M169:M174"/>
    <mergeCell ref="N169:N174"/>
    <mergeCell ref="A175:A180"/>
    <mergeCell ref="A169:A174"/>
    <mergeCell ref="B169:B174"/>
    <mergeCell ref="C169:C174"/>
    <mergeCell ref="D169:D174"/>
    <mergeCell ref="E169:E174"/>
    <mergeCell ref="B175:B180"/>
    <mergeCell ref="C175:C180"/>
    <mergeCell ref="D175:D180"/>
    <mergeCell ref="E175:E180"/>
    <mergeCell ref="H161:H162"/>
    <mergeCell ref="I161:I162"/>
    <mergeCell ref="L161:L162"/>
    <mergeCell ref="M161:M162"/>
    <mergeCell ref="B161:B162"/>
    <mergeCell ref="N161:N162"/>
    <mergeCell ref="J161:J162"/>
    <mergeCell ref="K161:K162"/>
    <mergeCell ref="K175:K180"/>
    <mergeCell ref="L175:L180"/>
    <mergeCell ref="F169:F174"/>
    <mergeCell ref="G169:G174"/>
    <mergeCell ref="H169:H174"/>
    <mergeCell ref="I169:I174"/>
    <mergeCell ref="J169:J174"/>
    <mergeCell ref="F175:F180"/>
    <mergeCell ref="G175:G180"/>
    <mergeCell ref="H175:H180"/>
    <mergeCell ref="I175:I180"/>
    <mergeCell ref="J175:J180"/>
    <mergeCell ref="Q161:Q162"/>
    <mergeCell ref="R161:W161"/>
    <mergeCell ref="F163:F168"/>
    <mergeCell ref="G163:G168"/>
    <mergeCell ref="H163:H168"/>
    <mergeCell ref="A163:A168"/>
    <mergeCell ref="B163:B168"/>
    <mergeCell ref="C163:C168"/>
    <mergeCell ref="D163:D168"/>
    <mergeCell ref="E163:E168"/>
    <mergeCell ref="N163:N168"/>
    <mergeCell ref="I163:I168"/>
    <mergeCell ref="J163:J168"/>
    <mergeCell ref="K163:K168"/>
    <mergeCell ref="L163:L168"/>
    <mergeCell ref="M163:M168"/>
    <mergeCell ref="A161:A162"/>
    <mergeCell ref="F161:F162"/>
    <mergeCell ref="E161:E162"/>
    <mergeCell ref="D161:D162"/>
    <mergeCell ref="C161:C162"/>
    <mergeCell ref="O161:O162"/>
    <mergeCell ref="P161:P162"/>
    <mergeCell ref="G161:G162"/>
    <mergeCell ref="F201:F206"/>
    <mergeCell ref="G201:G206"/>
    <mergeCell ref="H201:H206"/>
    <mergeCell ref="A201:A206"/>
    <mergeCell ref="B201:B206"/>
    <mergeCell ref="C201:C206"/>
    <mergeCell ref="D201:D206"/>
    <mergeCell ref="E201:E206"/>
    <mergeCell ref="N201:N206"/>
    <mergeCell ref="I201:I206"/>
    <mergeCell ref="J201:J206"/>
    <mergeCell ref="K201:K206"/>
    <mergeCell ref="L201:L206"/>
    <mergeCell ref="M201:M206"/>
    <mergeCell ref="Q199:Q200"/>
    <mergeCell ref="R199:W199"/>
    <mergeCell ref="D207:D212"/>
    <mergeCell ref="E207:E212"/>
    <mergeCell ref="A199:A200"/>
    <mergeCell ref="F199:F200"/>
    <mergeCell ref="E199:E200"/>
    <mergeCell ref="D199:D200"/>
    <mergeCell ref="C199:C200"/>
    <mergeCell ref="O199:O200"/>
    <mergeCell ref="P199:P200"/>
    <mergeCell ref="K207:K212"/>
    <mergeCell ref="L207:L212"/>
    <mergeCell ref="M207:M212"/>
    <mergeCell ref="N207:N212"/>
    <mergeCell ref="G199:G200"/>
    <mergeCell ref="H199:H200"/>
    <mergeCell ref="I199:I200"/>
    <mergeCell ref="L199:L200"/>
    <mergeCell ref="M199:M200"/>
    <mergeCell ref="B199:B200"/>
    <mergeCell ref="N199:N200"/>
    <mergeCell ref="J199:J200"/>
    <mergeCell ref="K199:K200"/>
    <mergeCell ref="F207:F212"/>
    <mergeCell ref="G207:G212"/>
    <mergeCell ref="H207:H212"/>
    <mergeCell ref="I207:I212"/>
    <mergeCell ref="J207:J212"/>
    <mergeCell ref="A207:A212"/>
    <mergeCell ref="B207:B212"/>
    <mergeCell ref="C207:C212"/>
    <mergeCell ref="A213:A218"/>
    <mergeCell ref="B213:B218"/>
    <mergeCell ref="C213:C218"/>
    <mergeCell ref="D213:D218"/>
    <mergeCell ref="E213:E218"/>
    <mergeCell ref="F213:F218"/>
    <mergeCell ref="G213:G218"/>
    <mergeCell ref="H213:H218"/>
    <mergeCell ref="I213:I218"/>
    <mergeCell ref="B225:B230"/>
    <mergeCell ref="C225:C230"/>
    <mergeCell ref="J225:J230"/>
    <mergeCell ref="G231:G236"/>
    <mergeCell ref="M213:M218"/>
    <mergeCell ref="N213:N218"/>
    <mergeCell ref="A219:A224"/>
    <mergeCell ref="B219:B224"/>
    <mergeCell ref="C219:C224"/>
    <mergeCell ref="D219:D224"/>
    <mergeCell ref="E219:E224"/>
    <mergeCell ref="F219:F224"/>
    <mergeCell ref="G219:G224"/>
    <mergeCell ref="H219:H224"/>
    <mergeCell ref="I219:I224"/>
    <mergeCell ref="J219:J224"/>
    <mergeCell ref="K219:K224"/>
    <mergeCell ref="L219:L224"/>
    <mergeCell ref="M219:M224"/>
    <mergeCell ref="N219:N224"/>
    <mergeCell ref="J213:J218"/>
    <mergeCell ref="K213:K218"/>
    <mergeCell ref="L213:L218"/>
    <mergeCell ref="H225:H230"/>
    <mergeCell ref="I225:I230"/>
    <mergeCell ref="A191:O193"/>
    <mergeCell ref="F247:F252"/>
    <mergeCell ref="G247:G252"/>
    <mergeCell ref="H247:H252"/>
    <mergeCell ref="A247:A252"/>
    <mergeCell ref="B247:B252"/>
    <mergeCell ref="C247:C252"/>
    <mergeCell ref="D247:D252"/>
    <mergeCell ref="E247:E252"/>
    <mergeCell ref="N247:N252"/>
    <mergeCell ref="I247:I252"/>
    <mergeCell ref="J247:J252"/>
    <mergeCell ref="K247:K252"/>
    <mergeCell ref="L247:L252"/>
    <mergeCell ref="M247:M252"/>
    <mergeCell ref="G245:G246"/>
    <mergeCell ref="H245:H246"/>
    <mergeCell ref="M225:M230"/>
    <mergeCell ref="N225:N230"/>
    <mergeCell ref="M231:M236"/>
    <mergeCell ref="N231:N236"/>
    <mergeCell ref="A225:A230"/>
    <mergeCell ref="I245:I246"/>
    <mergeCell ref="A253:A258"/>
    <mergeCell ref="B253:B258"/>
    <mergeCell ref="Q245:Q246"/>
    <mergeCell ref="R245:W245"/>
    <mergeCell ref="H231:H236"/>
    <mergeCell ref="I231:I236"/>
    <mergeCell ref="K225:K230"/>
    <mergeCell ref="L225:L230"/>
    <mergeCell ref="A198:G198"/>
    <mergeCell ref="H198:N198"/>
    <mergeCell ref="O198:W198"/>
    <mergeCell ref="A231:A236"/>
    <mergeCell ref="B231:B236"/>
    <mergeCell ref="C231:C236"/>
    <mergeCell ref="D231:D236"/>
    <mergeCell ref="E231:E236"/>
    <mergeCell ref="F231:F236"/>
    <mergeCell ref="D225:D230"/>
    <mergeCell ref="E225:E230"/>
    <mergeCell ref="J231:J236"/>
    <mergeCell ref="K231:K236"/>
    <mergeCell ref="L231:L236"/>
    <mergeCell ref="F225:F230"/>
    <mergeCell ref="G225:G230"/>
    <mergeCell ref="B245:B246"/>
    <mergeCell ref="N245:N246"/>
    <mergeCell ref="J245:J246"/>
    <mergeCell ref="K245:K246"/>
    <mergeCell ref="G253:G258"/>
    <mergeCell ref="H253:H258"/>
    <mergeCell ref="I253:I258"/>
    <mergeCell ref="J253:J258"/>
    <mergeCell ref="D253:D258"/>
    <mergeCell ref="E253:E258"/>
    <mergeCell ref="A244:G244"/>
    <mergeCell ref="H244:N244"/>
    <mergeCell ref="O244:W244"/>
    <mergeCell ref="A239:P241"/>
    <mergeCell ref="M259:M264"/>
    <mergeCell ref="N259:N264"/>
    <mergeCell ref="C253:C258"/>
    <mergeCell ref="A259:A264"/>
    <mergeCell ref="B259:B264"/>
    <mergeCell ref="C259:C264"/>
    <mergeCell ref="D259:D264"/>
    <mergeCell ref="E259:E264"/>
    <mergeCell ref="F259:F264"/>
    <mergeCell ref="G259:G264"/>
    <mergeCell ref="H259:H264"/>
    <mergeCell ref="A245:A246"/>
    <mergeCell ref="F245:F246"/>
    <mergeCell ref="E245:E246"/>
    <mergeCell ref="D245:D246"/>
    <mergeCell ref="C245:C246"/>
    <mergeCell ref="O245:O246"/>
    <mergeCell ref="P245:P246"/>
    <mergeCell ref="L245:L246"/>
    <mergeCell ref="M245:M246"/>
    <mergeCell ref="A265:A270"/>
    <mergeCell ref="B265:B270"/>
    <mergeCell ref="C265:C270"/>
    <mergeCell ref="D265:D270"/>
    <mergeCell ref="E265:E270"/>
    <mergeCell ref="F265:F270"/>
    <mergeCell ref="G265:G270"/>
    <mergeCell ref="H265:H270"/>
    <mergeCell ref="I265:I270"/>
    <mergeCell ref="J265:J270"/>
    <mergeCell ref="K265:K270"/>
    <mergeCell ref="L265:L270"/>
    <mergeCell ref="M265:M270"/>
    <mergeCell ref="N265:N270"/>
    <mergeCell ref="J259:J264"/>
    <mergeCell ref="K259:K264"/>
    <mergeCell ref="L259:L264"/>
    <mergeCell ref="F253:F258"/>
    <mergeCell ref="I259:I264"/>
    <mergeCell ref="K253:K258"/>
    <mergeCell ref="L253:L258"/>
    <mergeCell ref="M253:M258"/>
    <mergeCell ref="N253:N258"/>
  </mergeCells>
  <conditionalFormatting sqref="H36">
    <cfRule type="cellIs" dxfId="78" priority="78" operator="equal">
      <formula>"Baja"</formula>
    </cfRule>
    <cfRule type="cellIs" dxfId="77" priority="77" operator="equal">
      <formula>"Media"</formula>
    </cfRule>
    <cfRule type="cellIs" dxfId="76" priority="76" operator="equal">
      <formula>"Alta"</formula>
    </cfRule>
    <cfRule type="cellIs" dxfId="75" priority="75" operator="equal">
      <formula>"Muy Alta"</formula>
    </cfRule>
    <cfRule type="cellIs" dxfId="74" priority="79" operator="equal">
      <formula>"Muy Baja"</formula>
    </cfRule>
  </conditionalFormatting>
  <conditionalFormatting sqref="H86 H92">
    <cfRule type="cellIs" dxfId="73" priority="61" operator="equal">
      <formula>"Alta"</formula>
    </cfRule>
    <cfRule type="cellIs" dxfId="72" priority="64" operator="equal">
      <formula>"Muy Baja"</formula>
    </cfRule>
    <cfRule type="cellIs" dxfId="71" priority="63" operator="equal">
      <formula>"Baja"</formula>
    </cfRule>
    <cfRule type="cellIs" dxfId="70" priority="62" operator="equal">
      <formula>"Media"</formula>
    </cfRule>
    <cfRule type="cellIs" dxfId="69" priority="60" operator="equal">
      <formula>"Muy Alta"</formula>
    </cfRule>
  </conditionalFormatting>
  <conditionalFormatting sqref="H98">
    <cfRule type="cellIs" dxfId="68" priority="45" operator="equal">
      <formula>"Baja"</formula>
    </cfRule>
    <cfRule type="cellIs" dxfId="67" priority="44" operator="equal">
      <formula>"Media"</formula>
    </cfRule>
    <cfRule type="cellIs" dxfId="66" priority="43" operator="equal">
      <formula>"Alta"</formula>
    </cfRule>
    <cfRule type="cellIs" dxfId="65" priority="42" operator="equal">
      <formula>"Muy Alta"</formula>
    </cfRule>
    <cfRule type="cellIs" dxfId="64" priority="46" operator="equal">
      <formula>"Muy Baja"</formula>
    </cfRule>
  </conditionalFormatting>
  <conditionalFormatting sqref="H104">
    <cfRule type="cellIs" dxfId="63" priority="33" operator="equal">
      <formula>"Muy Alta"</formula>
    </cfRule>
    <cfRule type="cellIs" dxfId="62" priority="34" operator="equal">
      <formula>"Alta"</formula>
    </cfRule>
    <cfRule type="cellIs" dxfId="61" priority="35" operator="equal">
      <formula>"Media"</formula>
    </cfRule>
    <cfRule type="cellIs" dxfId="60" priority="36" operator="equal">
      <formula>"Baja"</formula>
    </cfRule>
    <cfRule type="cellIs" dxfId="59" priority="37" operator="equal">
      <formula>"Muy Baja"</formula>
    </cfRule>
  </conditionalFormatting>
  <conditionalFormatting sqref="H110">
    <cfRule type="cellIs" dxfId="58" priority="24" operator="equal">
      <formula>"Muy Alta"</formula>
    </cfRule>
    <cfRule type="cellIs" dxfId="57" priority="25" operator="equal">
      <formula>"Alta"</formula>
    </cfRule>
    <cfRule type="cellIs" dxfId="56" priority="26" operator="equal">
      <formula>"Media"</formula>
    </cfRule>
    <cfRule type="cellIs" dxfId="55" priority="27" operator="equal">
      <formula>"Baja"</formula>
    </cfRule>
    <cfRule type="cellIs" dxfId="54" priority="28" operator="equal">
      <formula>"Muy Baja"</formula>
    </cfRule>
  </conditionalFormatting>
  <conditionalFormatting sqref="H116">
    <cfRule type="cellIs" dxfId="53" priority="19" operator="equal">
      <formula>"Muy Baja"</formula>
    </cfRule>
    <cfRule type="cellIs" dxfId="52" priority="15" operator="equal">
      <formula>"Muy Alta"</formula>
    </cfRule>
    <cfRule type="cellIs" dxfId="51" priority="16" operator="equal">
      <formula>"Alta"</formula>
    </cfRule>
    <cfRule type="cellIs" dxfId="50" priority="17" operator="equal">
      <formula>"Media"</formula>
    </cfRule>
    <cfRule type="cellIs" dxfId="49" priority="18" operator="equal">
      <formula>"Baja"</formula>
    </cfRule>
  </conditionalFormatting>
  <conditionalFormatting sqref="H122">
    <cfRule type="cellIs" dxfId="48" priority="7" operator="equal">
      <formula>"Alta"</formula>
    </cfRule>
    <cfRule type="cellIs" dxfId="47" priority="8" operator="equal">
      <formula>"Media"</formula>
    </cfRule>
    <cfRule type="cellIs" dxfId="46" priority="9" operator="equal">
      <formula>"Baja"</formula>
    </cfRule>
    <cfRule type="cellIs" dxfId="45" priority="10" operator="equal">
      <formula>"Muy Baja"</formula>
    </cfRule>
    <cfRule type="cellIs" dxfId="44" priority="6" operator="equal">
      <formula>"Muy Alta"</formula>
    </cfRule>
  </conditionalFormatting>
  <conditionalFormatting sqref="K36:K41">
    <cfRule type="containsText" dxfId="43" priority="65" operator="containsText" text="❌">
      <formula>NOT(ISERROR(SEARCH("❌",K36)))</formula>
    </cfRule>
  </conditionalFormatting>
  <conditionalFormatting sqref="K86:K127">
    <cfRule type="containsText" dxfId="42" priority="1" operator="containsText" text="❌">
      <formula>NOT(ISERROR(SEARCH("❌",K86)))</formula>
    </cfRule>
  </conditionalFormatting>
  <conditionalFormatting sqref="L36">
    <cfRule type="cellIs" dxfId="41" priority="70" operator="equal">
      <formula>"Catastrófico"</formula>
    </cfRule>
    <cfRule type="cellIs" dxfId="40" priority="73" operator="equal">
      <formula>"Menor"</formula>
    </cfRule>
    <cfRule type="cellIs" dxfId="39" priority="72" operator="equal">
      <formula>"Moderado"</formula>
    </cfRule>
    <cfRule type="cellIs" dxfId="38" priority="71" operator="equal">
      <formula>"Mayor"</formula>
    </cfRule>
    <cfRule type="cellIs" dxfId="37" priority="74" operator="equal">
      <formula>"Leve"</formula>
    </cfRule>
  </conditionalFormatting>
  <conditionalFormatting sqref="L86 L92 L98 L104 L110 L116 L122">
    <cfRule type="cellIs" dxfId="36" priority="56" operator="equal">
      <formula>"Mayor"</formula>
    </cfRule>
    <cfRule type="cellIs" dxfId="35" priority="58" operator="equal">
      <formula>"Menor"</formula>
    </cfRule>
    <cfRule type="cellIs" dxfId="34" priority="57" operator="equal">
      <formula>"Moderado"</formula>
    </cfRule>
    <cfRule type="cellIs" dxfId="33" priority="59" operator="equal">
      <formula>"Leve"</formula>
    </cfRule>
    <cfRule type="cellIs" dxfId="32" priority="55" operator="equal">
      <formula>"Catastrófico"</formula>
    </cfRule>
  </conditionalFormatting>
  <conditionalFormatting sqref="N36">
    <cfRule type="cellIs" dxfId="31" priority="69" operator="equal">
      <formula>"Bajo"</formula>
    </cfRule>
    <cfRule type="cellIs" dxfId="30" priority="68" operator="equal">
      <formula>"Moderado"</formula>
    </cfRule>
    <cfRule type="cellIs" dxfId="29" priority="67" operator="equal">
      <formula>"Alto"</formula>
    </cfRule>
    <cfRule type="cellIs" dxfId="28" priority="66" operator="equal">
      <formula>"Extremo"</formula>
    </cfRule>
  </conditionalFormatting>
  <conditionalFormatting sqref="N86">
    <cfRule type="cellIs" dxfId="27" priority="52" operator="equal">
      <formula>"Alto"</formula>
    </cfRule>
    <cfRule type="cellIs" dxfId="26" priority="54" operator="equal">
      <formula>"Bajo"</formula>
    </cfRule>
    <cfRule type="cellIs" dxfId="25" priority="53" operator="equal">
      <formula>"Moderado"</formula>
    </cfRule>
    <cfRule type="cellIs" dxfId="24" priority="51" operator="equal">
      <formula>"Extremo"</formula>
    </cfRule>
  </conditionalFormatting>
  <conditionalFormatting sqref="N92">
    <cfRule type="cellIs" dxfId="23" priority="50" operator="equal">
      <formula>"Bajo"</formula>
    </cfRule>
    <cfRule type="cellIs" dxfId="22" priority="48" operator="equal">
      <formula>"Alto"</formula>
    </cfRule>
    <cfRule type="cellIs" dxfId="21" priority="47" operator="equal">
      <formula>"Extremo"</formula>
    </cfRule>
    <cfRule type="cellIs" dxfId="20" priority="49" operator="equal">
      <formula>"Moderado"</formula>
    </cfRule>
  </conditionalFormatting>
  <conditionalFormatting sqref="N98">
    <cfRule type="cellIs" dxfId="19" priority="41" operator="equal">
      <formula>"Bajo"</formula>
    </cfRule>
    <cfRule type="cellIs" dxfId="18" priority="40" operator="equal">
      <formula>"Moderado"</formula>
    </cfRule>
    <cfRule type="cellIs" dxfId="17" priority="38" operator="equal">
      <formula>"Extremo"</formula>
    </cfRule>
    <cfRule type="cellIs" dxfId="16" priority="39" operator="equal">
      <formula>"Alto"</formula>
    </cfRule>
  </conditionalFormatting>
  <conditionalFormatting sqref="N104">
    <cfRule type="cellIs" dxfId="15" priority="29" operator="equal">
      <formula>"Extremo"</formula>
    </cfRule>
    <cfRule type="cellIs" dxfId="14" priority="31" operator="equal">
      <formula>"Moderado"</formula>
    </cfRule>
    <cfRule type="cellIs" dxfId="13" priority="32" operator="equal">
      <formula>"Bajo"</formula>
    </cfRule>
    <cfRule type="cellIs" dxfId="12" priority="30" operator="equal">
      <formula>"Alto"</formula>
    </cfRule>
  </conditionalFormatting>
  <conditionalFormatting sqref="N110">
    <cfRule type="cellIs" dxfId="11" priority="23" operator="equal">
      <formula>"Bajo"</formula>
    </cfRule>
    <cfRule type="cellIs" dxfId="10" priority="22" operator="equal">
      <formula>"Moderado"</formula>
    </cfRule>
    <cfRule type="cellIs" dxfId="9" priority="21" operator="equal">
      <formula>"Alto"</formula>
    </cfRule>
    <cfRule type="cellIs" dxfId="8" priority="20" operator="equal">
      <formula>"Extremo"</formula>
    </cfRule>
  </conditionalFormatting>
  <conditionalFormatting sqref="N116">
    <cfRule type="cellIs" dxfId="7" priority="11" operator="equal">
      <formula>"Extremo"</formula>
    </cfRule>
    <cfRule type="cellIs" dxfId="6" priority="14" operator="equal">
      <formula>"Bajo"</formula>
    </cfRule>
    <cfRule type="cellIs" dxfId="5" priority="13" operator="equal">
      <formula>"Moderado"</formula>
    </cfRule>
    <cfRule type="cellIs" dxfId="4" priority="12" operator="equal">
      <formula>"Alto"</formula>
    </cfRule>
  </conditionalFormatting>
  <conditionalFormatting sqref="N122">
    <cfRule type="cellIs" dxfId="3" priority="3" operator="equal">
      <formula>"Alto"</formula>
    </cfRule>
    <cfRule type="cellIs" dxfId="2" priority="4" operator="equal">
      <formula>"Moderado"</formula>
    </cfRule>
    <cfRule type="cellIs" dxfId="1" priority="2" operator="equal">
      <formula>"Extremo"</formula>
    </cfRule>
    <cfRule type="cellIs" dxfId="0" priority="5" operator="equal">
      <formula>"Bajo"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140"/>
  <sheetViews>
    <sheetView zoomScale="50" zoomScaleNormal="50" workbookViewId="0">
      <selection activeCell="F73" sqref="F73"/>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328" t="s">
        <v>159</v>
      </c>
      <c r="C2" s="328"/>
      <c r="D2" s="328"/>
      <c r="E2" s="328"/>
      <c r="F2" s="328"/>
      <c r="G2" s="328"/>
      <c r="H2" s="328"/>
      <c r="I2" s="328"/>
      <c r="J2" s="365" t="s">
        <v>2</v>
      </c>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328"/>
      <c r="C3" s="328"/>
      <c r="D3" s="328"/>
      <c r="E3" s="328"/>
      <c r="F3" s="328"/>
      <c r="G3" s="328"/>
      <c r="H3" s="328"/>
      <c r="I3" s="328"/>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328"/>
      <c r="C4" s="328"/>
      <c r="D4" s="328"/>
      <c r="E4" s="328"/>
      <c r="F4" s="328"/>
      <c r="G4" s="328"/>
      <c r="H4" s="328"/>
      <c r="I4" s="328"/>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376" t="s">
        <v>4</v>
      </c>
      <c r="C6" s="376"/>
      <c r="D6" s="377"/>
      <c r="E6" s="366" t="s">
        <v>116</v>
      </c>
      <c r="F6" s="367"/>
      <c r="G6" s="367"/>
      <c r="H6" s="367"/>
      <c r="I6" s="368"/>
      <c r="J6" s="362" t="str">
        <f>IF(AND('Mapa final'!$H$13="Muy Alta",'Mapa final'!$L$13="Leve"),CONCATENATE("R",'Mapa final'!$A$13),"")</f>
        <v/>
      </c>
      <c r="K6" s="363"/>
      <c r="L6" s="363" t="e">
        <f>IF(AND('Mapa final'!#REF!="Muy Alta",'Mapa final'!#REF!="Leve"),CONCATENATE("R",'Mapa final'!#REF!),"")</f>
        <v>#REF!</v>
      </c>
      <c r="M6" s="363"/>
      <c r="N6" s="363" t="e">
        <f>IF(AND('Mapa final'!#REF!="Muy Alta",'Mapa final'!#REF!="Leve"),CONCATENATE("R",'Mapa final'!#REF!),"")</f>
        <v>#REF!</v>
      </c>
      <c r="O6" s="364"/>
      <c r="P6" s="362" t="str">
        <f>IF(AND('Mapa final'!$H$13="Muy Alta",'Mapa final'!$L$13="Menor"),CONCATENATE("R",'Mapa final'!$A$13),"")</f>
        <v/>
      </c>
      <c r="Q6" s="363"/>
      <c r="R6" s="363" t="e">
        <f>IF(AND('Mapa final'!#REF!="Muy Alta",'Mapa final'!#REF!="Menor"),CONCATENATE("R",'Mapa final'!#REF!),"")</f>
        <v>#REF!</v>
      </c>
      <c r="S6" s="363"/>
      <c r="T6" s="363" t="e">
        <f>IF(AND('Mapa final'!#REF!="Muy Alta",'Mapa final'!#REF!="Menor"),CONCATENATE("R",'Mapa final'!#REF!),"")</f>
        <v>#REF!</v>
      </c>
      <c r="U6" s="364"/>
      <c r="V6" s="362" t="str">
        <f>IF(AND('Mapa final'!$H$13="Muy Alta",'Mapa final'!$L$13="Moderado"),CONCATENATE("R",'Mapa final'!$A$13),"")</f>
        <v/>
      </c>
      <c r="W6" s="363"/>
      <c r="X6" s="363" t="e">
        <f>IF(AND('Mapa final'!#REF!="Muy Alta",'Mapa final'!#REF!="Moderado"),CONCATENATE("R",'Mapa final'!#REF!),"")</f>
        <v>#REF!</v>
      </c>
      <c r="Y6" s="363"/>
      <c r="Z6" s="363" t="e">
        <f>IF(AND('Mapa final'!#REF!="Muy Alta",'Mapa final'!#REF!="Moderado"),CONCATENATE("R",'Mapa final'!#REF!),"")</f>
        <v>#REF!</v>
      </c>
      <c r="AA6" s="364"/>
      <c r="AB6" s="362" t="str">
        <f>IF(AND('Mapa final'!$H$13="Muy Alta",'Mapa final'!$L$13="Mayor"),CONCATENATE("R",'Mapa final'!$A$13),"")</f>
        <v/>
      </c>
      <c r="AC6" s="363"/>
      <c r="AD6" s="363" t="e">
        <f>IF(AND('Mapa final'!#REF!="Muy Alta",'Mapa final'!#REF!="Mayor"),CONCATENATE("R",'Mapa final'!#REF!),"")</f>
        <v>#REF!</v>
      </c>
      <c r="AE6" s="363"/>
      <c r="AF6" s="363" t="e">
        <f>IF(AND('Mapa final'!#REF!="Muy Alta",'Mapa final'!#REF!="Mayor"),CONCATENATE("R",'Mapa final'!#REF!),"")</f>
        <v>#REF!</v>
      </c>
      <c r="AG6" s="364"/>
      <c r="AH6" s="353" t="str">
        <f>IF(AND('Mapa final'!$H$13="Muy Alta",'Mapa final'!$L$13="Catastrófico"),CONCATENATE("R",'Mapa final'!$A$13),"")</f>
        <v/>
      </c>
      <c r="AI6" s="354"/>
      <c r="AJ6" s="354" t="e">
        <f>IF(AND('Mapa final'!#REF!="Muy Alta",'Mapa final'!#REF!="Catastrófico"),CONCATENATE("R",'Mapa final'!#REF!),"")</f>
        <v>#REF!</v>
      </c>
      <c r="AK6" s="354"/>
      <c r="AL6" s="354" t="e">
        <f>IF(AND('Mapa final'!#REF!="Muy Alta",'Mapa final'!#REF!="Catastrófico"),CONCATENATE("R",'Mapa final'!#REF!),"")</f>
        <v>#REF!</v>
      </c>
      <c r="AM6" s="355"/>
      <c r="AO6" s="378" t="s">
        <v>79</v>
      </c>
      <c r="AP6" s="379"/>
      <c r="AQ6" s="379"/>
      <c r="AR6" s="379"/>
      <c r="AS6" s="379"/>
      <c r="AT6" s="380"/>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376"/>
      <c r="C7" s="376"/>
      <c r="D7" s="377"/>
      <c r="E7" s="369"/>
      <c r="F7" s="370"/>
      <c r="G7" s="370"/>
      <c r="H7" s="370"/>
      <c r="I7" s="371"/>
      <c r="J7" s="356"/>
      <c r="K7" s="357"/>
      <c r="L7" s="357"/>
      <c r="M7" s="357"/>
      <c r="N7" s="357"/>
      <c r="O7" s="358"/>
      <c r="P7" s="356"/>
      <c r="Q7" s="357"/>
      <c r="R7" s="357"/>
      <c r="S7" s="357"/>
      <c r="T7" s="357"/>
      <c r="U7" s="358"/>
      <c r="V7" s="356"/>
      <c r="W7" s="357"/>
      <c r="X7" s="357"/>
      <c r="Y7" s="357"/>
      <c r="Z7" s="357"/>
      <c r="AA7" s="358"/>
      <c r="AB7" s="356"/>
      <c r="AC7" s="357"/>
      <c r="AD7" s="357"/>
      <c r="AE7" s="357"/>
      <c r="AF7" s="357"/>
      <c r="AG7" s="358"/>
      <c r="AH7" s="347"/>
      <c r="AI7" s="348"/>
      <c r="AJ7" s="348"/>
      <c r="AK7" s="348"/>
      <c r="AL7" s="348"/>
      <c r="AM7" s="349"/>
      <c r="AN7" s="69"/>
      <c r="AO7" s="381"/>
      <c r="AP7" s="382"/>
      <c r="AQ7" s="382"/>
      <c r="AR7" s="382"/>
      <c r="AS7" s="382"/>
      <c r="AT7" s="383"/>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376"/>
      <c r="C8" s="376"/>
      <c r="D8" s="377"/>
      <c r="E8" s="369"/>
      <c r="F8" s="370"/>
      <c r="G8" s="370"/>
      <c r="H8" s="370"/>
      <c r="I8" s="371"/>
      <c r="J8" s="356" t="e">
        <f>IF(AND('Mapa final'!#REF!="Muy Alta",'Mapa final'!#REF!="Leve"),CONCATENATE("R",'Mapa final'!#REF!),"")</f>
        <v>#REF!</v>
      </c>
      <c r="K8" s="357"/>
      <c r="L8" s="357" t="e">
        <f>IF(AND('Mapa final'!#REF!="Muy Alta",'Mapa final'!#REF!="Leve"),CONCATENATE("R",'Mapa final'!#REF!),"")</f>
        <v>#REF!</v>
      </c>
      <c r="M8" s="357"/>
      <c r="N8" s="357" t="e">
        <f>IF(AND('Mapa final'!#REF!="Muy Alta",'Mapa final'!#REF!="Leve"),CONCATENATE("R",'Mapa final'!#REF!),"")</f>
        <v>#REF!</v>
      </c>
      <c r="O8" s="358"/>
      <c r="P8" s="356" t="e">
        <f>IF(AND('Mapa final'!#REF!="Muy Alta",'Mapa final'!#REF!="Menor"),CONCATENATE("R",'Mapa final'!#REF!),"")</f>
        <v>#REF!</v>
      </c>
      <c r="Q8" s="357"/>
      <c r="R8" s="357" t="e">
        <f>IF(AND('Mapa final'!#REF!="Muy Alta",'Mapa final'!#REF!="Menor"),CONCATENATE("R",'Mapa final'!#REF!),"")</f>
        <v>#REF!</v>
      </c>
      <c r="S8" s="357"/>
      <c r="T8" s="357" t="e">
        <f>IF(AND('Mapa final'!#REF!="Muy Alta",'Mapa final'!#REF!="Menor"),CONCATENATE("R",'Mapa final'!#REF!),"")</f>
        <v>#REF!</v>
      </c>
      <c r="U8" s="358"/>
      <c r="V8" s="356" t="e">
        <f>IF(AND('Mapa final'!#REF!="Muy Alta",'Mapa final'!#REF!="Moderado"),CONCATENATE("R",'Mapa final'!#REF!),"")</f>
        <v>#REF!</v>
      </c>
      <c r="W8" s="357"/>
      <c r="X8" s="357" t="e">
        <f>IF(AND('Mapa final'!#REF!="Muy Alta",'Mapa final'!#REF!="Moderado"),CONCATENATE("R",'Mapa final'!#REF!),"")</f>
        <v>#REF!</v>
      </c>
      <c r="Y8" s="357"/>
      <c r="Z8" s="357" t="e">
        <f>IF(AND('Mapa final'!#REF!="Muy Alta",'Mapa final'!#REF!="Moderado"),CONCATENATE("R",'Mapa final'!#REF!),"")</f>
        <v>#REF!</v>
      </c>
      <c r="AA8" s="358"/>
      <c r="AB8" s="356" t="e">
        <f>IF(AND('Mapa final'!#REF!="Muy Alta",'Mapa final'!#REF!="Mayor"),CONCATENATE("R",'Mapa final'!#REF!),"")</f>
        <v>#REF!</v>
      </c>
      <c r="AC8" s="357"/>
      <c r="AD8" s="357" t="e">
        <f>IF(AND('Mapa final'!#REF!="Muy Alta",'Mapa final'!#REF!="Mayor"),CONCATENATE("R",'Mapa final'!#REF!),"")</f>
        <v>#REF!</v>
      </c>
      <c r="AE8" s="357"/>
      <c r="AF8" s="357" t="e">
        <f>IF(AND('Mapa final'!#REF!="Muy Alta",'Mapa final'!#REF!="Mayor"),CONCATENATE("R",'Mapa final'!#REF!),"")</f>
        <v>#REF!</v>
      </c>
      <c r="AG8" s="358"/>
      <c r="AH8" s="347" t="e">
        <f>IF(AND('Mapa final'!#REF!="Muy Alta",'Mapa final'!#REF!="Catastrófico"),CONCATENATE("R",'Mapa final'!#REF!),"")</f>
        <v>#REF!</v>
      </c>
      <c r="AI8" s="348"/>
      <c r="AJ8" s="348" t="e">
        <f>IF(AND('Mapa final'!#REF!="Muy Alta",'Mapa final'!#REF!="Catastrófico"),CONCATENATE("R",'Mapa final'!#REF!),"")</f>
        <v>#REF!</v>
      </c>
      <c r="AK8" s="348"/>
      <c r="AL8" s="348" t="e">
        <f>IF(AND('Mapa final'!#REF!="Muy Alta",'Mapa final'!#REF!="Catastrófico"),CONCATENATE("R",'Mapa final'!#REF!),"")</f>
        <v>#REF!</v>
      </c>
      <c r="AM8" s="349"/>
      <c r="AN8" s="69"/>
      <c r="AO8" s="381"/>
      <c r="AP8" s="382"/>
      <c r="AQ8" s="382"/>
      <c r="AR8" s="382"/>
      <c r="AS8" s="382"/>
      <c r="AT8" s="383"/>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376"/>
      <c r="C9" s="376"/>
      <c r="D9" s="377"/>
      <c r="E9" s="369"/>
      <c r="F9" s="370"/>
      <c r="G9" s="370"/>
      <c r="H9" s="370"/>
      <c r="I9" s="371"/>
      <c r="J9" s="356"/>
      <c r="K9" s="357"/>
      <c r="L9" s="357"/>
      <c r="M9" s="357"/>
      <c r="N9" s="357"/>
      <c r="O9" s="358"/>
      <c r="P9" s="356"/>
      <c r="Q9" s="357"/>
      <c r="R9" s="357"/>
      <c r="S9" s="357"/>
      <c r="T9" s="357"/>
      <c r="U9" s="358"/>
      <c r="V9" s="356"/>
      <c r="W9" s="357"/>
      <c r="X9" s="357"/>
      <c r="Y9" s="357"/>
      <c r="Z9" s="357"/>
      <c r="AA9" s="358"/>
      <c r="AB9" s="356"/>
      <c r="AC9" s="357"/>
      <c r="AD9" s="357"/>
      <c r="AE9" s="357"/>
      <c r="AF9" s="357"/>
      <c r="AG9" s="358"/>
      <c r="AH9" s="347"/>
      <c r="AI9" s="348"/>
      <c r="AJ9" s="348"/>
      <c r="AK9" s="348"/>
      <c r="AL9" s="348"/>
      <c r="AM9" s="349"/>
      <c r="AN9" s="69"/>
      <c r="AO9" s="381"/>
      <c r="AP9" s="382"/>
      <c r="AQ9" s="382"/>
      <c r="AR9" s="382"/>
      <c r="AS9" s="382"/>
      <c r="AT9" s="383"/>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376"/>
      <c r="C10" s="376"/>
      <c r="D10" s="377"/>
      <c r="E10" s="369"/>
      <c r="F10" s="370"/>
      <c r="G10" s="370"/>
      <c r="H10" s="370"/>
      <c r="I10" s="371"/>
      <c r="J10" s="356" t="e">
        <f>IF(AND('Mapa final'!#REF!="Muy Alta",'Mapa final'!#REF!="Leve"),CONCATENATE("R",'Mapa final'!#REF!),"")</f>
        <v>#REF!</v>
      </c>
      <c r="K10" s="357"/>
      <c r="L10" s="357" t="e">
        <f>IF(AND('Mapa final'!#REF!="Muy Alta",'Mapa final'!#REF!="Leve"),CONCATENATE("R",'Mapa final'!#REF!),"")</f>
        <v>#REF!</v>
      </c>
      <c r="M10" s="357"/>
      <c r="N10" s="357" t="e">
        <f>IF(AND('Mapa final'!#REF!="Muy Alta",'Mapa final'!#REF!="Leve"),CONCATENATE("R",'Mapa final'!#REF!),"")</f>
        <v>#REF!</v>
      </c>
      <c r="O10" s="358"/>
      <c r="P10" s="356" t="e">
        <f>IF(AND('Mapa final'!#REF!="Muy Alta",'Mapa final'!#REF!="Menor"),CONCATENATE("R",'Mapa final'!#REF!),"")</f>
        <v>#REF!</v>
      </c>
      <c r="Q10" s="357"/>
      <c r="R10" s="357" t="e">
        <f>IF(AND('Mapa final'!#REF!="Muy Alta",'Mapa final'!#REF!="Menor"),CONCATENATE("R",'Mapa final'!#REF!),"")</f>
        <v>#REF!</v>
      </c>
      <c r="S10" s="357"/>
      <c r="T10" s="357" t="e">
        <f>IF(AND('Mapa final'!#REF!="Muy Alta",'Mapa final'!#REF!="Menor"),CONCATENATE("R",'Mapa final'!#REF!),"")</f>
        <v>#REF!</v>
      </c>
      <c r="U10" s="358"/>
      <c r="V10" s="356" t="e">
        <f>IF(AND('Mapa final'!#REF!="Muy Alta",'Mapa final'!#REF!="Moderado"),CONCATENATE("R",'Mapa final'!#REF!),"")</f>
        <v>#REF!</v>
      </c>
      <c r="W10" s="357"/>
      <c r="X10" s="357" t="e">
        <f>IF(AND('Mapa final'!#REF!="Muy Alta",'Mapa final'!#REF!="Moderado"),CONCATENATE("R",'Mapa final'!#REF!),"")</f>
        <v>#REF!</v>
      </c>
      <c r="Y10" s="357"/>
      <c r="Z10" s="357" t="e">
        <f>IF(AND('Mapa final'!#REF!="Muy Alta",'Mapa final'!#REF!="Moderado"),CONCATENATE("R",'Mapa final'!#REF!),"")</f>
        <v>#REF!</v>
      </c>
      <c r="AA10" s="358"/>
      <c r="AB10" s="356" t="e">
        <f>IF(AND('Mapa final'!#REF!="Muy Alta",'Mapa final'!#REF!="Mayor"),CONCATENATE("R",'Mapa final'!#REF!),"")</f>
        <v>#REF!</v>
      </c>
      <c r="AC10" s="357"/>
      <c r="AD10" s="357" t="e">
        <f>IF(AND('Mapa final'!#REF!="Muy Alta",'Mapa final'!#REF!="Mayor"),CONCATENATE("R",'Mapa final'!#REF!),"")</f>
        <v>#REF!</v>
      </c>
      <c r="AE10" s="357"/>
      <c r="AF10" s="357" t="e">
        <f>IF(AND('Mapa final'!#REF!="Muy Alta",'Mapa final'!#REF!="Mayor"),CONCATENATE("R",'Mapa final'!#REF!),"")</f>
        <v>#REF!</v>
      </c>
      <c r="AG10" s="358"/>
      <c r="AH10" s="347" t="e">
        <f>IF(AND('Mapa final'!#REF!="Muy Alta",'Mapa final'!#REF!="Catastrófico"),CONCATENATE("R",'Mapa final'!#REF!),"")</f>
        <v>#REF!</v>
      </c>
      <c r="AI10" s="348"/>
      <c r="AJ10" s="348" t="e">
        <f>IF(AND('Mapa final'!#REF!="Muy Alta",'Mapa final'!#REF!="Catastrófico"),CONCATENATE("R",'Mapa final'!#REF!),"")</f>
        <v>#REF!</v>
      </c>
      <c r="AK10" s="348"/>
      <c r="AL10" s="348" t="e">
        <f>IF(AND('Mapa final'!#REF!="Muy Alta",'Mapa final'!#REF!="Catastrófico"),CONCATENATE("R",'Mapa final'!#REF!),"")</f>
        <v>#REF!</v>
      </c>
      <c r="AM10" s="349"/>
      <c r="AN10" s="69"/>
      <c r="AO10" s="381"/>
      <c r="AP10" s="382"/>
      <c r="AQ10" s="382"/>
      <c r="AR10" s="382"/>
      <c r="AS10" s="382"/>
      <c r="AT10" s="383"/>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376"/>
      <c r="C11" s="376"/>
      <c r="D11" s="377"/>
      <c r="E11" s="369"/>
      <c r="F11" s="370"/>
      <c r="G11" s="370"/>
      <c r="H11" s="370"/>
      <c r="I11" s="371"/>
      <c r="J11" s="356"/>
      <c r="K11" s="357"/>
      <c r="L11" s="357"/>
      <c r="M11" s="357"/>
      <c r="N11" s="357"/>
      <c r="O11" s="358"/>
      <c r="P11" s="356"/>
      <c r="Q11" s="357"/>
      <c r="R11" s="357"/>
      <c r="S11" s="357"/>
      <c r="T11" s="357"/>
      <c r="U11" s="358"/>
      <c r="V11" s="356"/>
      <c r="W11" s="357"/>
      <c r="X11" s="357"/>
      <c r="Y11" s="357"/>
      <c r="Z11" s="357"/>
      <c r="AA11" s="358"/>
      <c r="AB11" s="356"/>
      <c r="AC11" s="357"/>
      <c r="AD11" s="357"/>
      <c r="AE11" s="357"/>
      <c r="AF11" s="357"/>
      <c r="AG11" s="358"/>
      <c r="AH11" s="347"/>
      <c r="AI11" s="348"/>
      <c r="AJ11" s="348"/>
      <c r="AK11" s="348"/>
      <c r="AL11" s="348"/>
      <c r="AM11" s="349"/>
      <c r="AN11" s="69"/>
      <c r="AO11" s="381"/>
      <c r="AP11" s="382"/>
      <c r="AQ11" s="382"/>
      <c r="AR11" s="382"/>
      <c r="AS11" s="382"/>
      <c r="AT11" s="383"/>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376"/>
      <c r="C12" s="376"/>
      <c r="D12" s="377"/>
      <c r="E12" s="369"/>
      <c r="F12" s="370"/>
      <c r="G12" s="370"/>
      <c r="H12" s="370"/>
      <c r="I12" s="371"/>
      <c r="J12" s="356" t="e">
        <f>IF(AND('Mapa final'!#REF!="Muy Alta",'Mapa final'!#REF!="Leve"),CONCATENATE("R",'Mapa final'!#REF!),"")</f>
        <v>#REF!</v>
      </c>
      <c r="K12" s="357"/>
      <c r="L12" s="357" t="str">
        <f>IF(AND('Mapa final'!$H$19="Muy Alta",'Mapa final'!$L$19="Leve"),CONCATENATE("R",'Mapa final'!$A$19),"")</f>
        <v/>
      </c>
      <c r="M12" s="357"/>
      <c r="N12" s="357" t="str">
        <f>IF(AND('Mapa final'!$H$25="Muy Alta",'Mapa final'!$L$25="Leve"),CONCATENATE("R",'Mapa final'!$A$25),"")</f>
        <v/>
      </c>
      <c r="O12" s="358"/>
      <c r="P12" s="356" t="e">
        <f>IF(AND('Mapa final'!#REF!="Muy Alta",'Mapa final'!#REF!="Menor"),CONCATENATE("R",'Mapa final'!#REF!),"")</f>
        <v>#REF!</v>
      </c>
      <c r="Q12" s="357"/>
      <c r="R12" s="357" t="str">
        <f>IF(AND('Mapa final'!$H$19="Muy Alta",'Mapa final'!$L$19="Menor"),CONCATENATE("R",'Mapa final'!$A$19),"")</f>
        <v/>
      </c>
      <c r="S12" s="357"/>
      <c r="T12" s="357" t="str">
        <f>IF(AND('Mapa final'!$H$25="Muy Alta",'Mapa final'!$L$25="Menor"),CONCATENATE("R",'Mapa final'!$A$25),"")</f>
        <v/>
      </c>
      <c r="U12" s="358"/>
      <c r="V12" s="356" t="e">
        <f>IF(AND('Mapa final'!#REF!="Muy Alta",'Mapa final'!#REF!="Moderado"),CONCATENATE("R",'Mapa final'!#REF!),"")</f>
        <v>#REF!</v>
      </c>
      <c r="W12" s="357"/>
      <c r="X12" s="357" t="str">
        <f>IF(AND('Mapa final'!$H$19="Muy Alta",'Mapa final'!$L$19="Moderado"),CONCATENATE("R",'Mapa final'!$A$19),"")</f>
        <v/>
      </c>
      <c r="Y12" s="357"/>
      <c r="Z12" s="357" t="str">
        <f>IF(AND('Mapa final'!$H$25="Muy Alta",'Mapa final'!$L$25="Moderado"),CONCATENATE("R",'Mapa final'!$A$25),"")</f>
        <v/>
      </c>
      <c r="AA12" s="358"/>
      <c r="AB12" s="356" t="e">
        <f>IF(AND('Mapa final'!#REF!="Muy Alta",'Mapa final'!#REF!="Mayor"),CONCATENATE("R",'Mapa final'!#REF!),"")</f>
        <v>#REF!</v>
      </c>
      <c r="AC12" s="357"/>
      <c r="AD12" s="357" t="str">
        <f>IF(AND('Mapa final'!$H$19="Muy Alta",'Mapa final'!$L$19="Mayor"),CONCATENATE("R",'Mapa final'!$A$19),"")</f>
        <v/>
      </c>
      <c r="AE12" s="357"/>
      <c r="AF12" s="357" t="str">
        <f>IF(AND('Mapa final'!$H$25="Muy Alta",'Mapa final'!$L$25="Mayor"),CONCATENATE("R",'Mapa final'!$A$25),"")</f>
        <v/>
      </c>
      <c r="AG12" s="358"/>
      <c r="AH12" s="347" t="e">
        <f>IF(AND('Mapa final'!#REF!="Muy Alta",'Mapa final'!#REF!="Catastrófico"),CONCATENATE("R",'Mapa final'!#REF!),"")</f>
        <v>#REF!</v>
      </c>
      <c r="AI12" s="348"/>
      <c r="AJ12" s="348" t="str">
        <f>IF(AND('Mapa final'!$H$19="Muy Alta",'Mapa final'!$L$19="Catastrófico"),CONCATENATE("R",'Mapa final'!$A$19),"")</f>
        <v/>
      </c>
      <c r="AK12" s="348"/>
      <c r="AL12" s="348" t="str">
        <f>IF(AND('Mapa final'!$H$25="Muy Alta",'Mapa final'!$L$25="Catastrófico"),CONCATENATE("R",'Mapa final'!$A$25),"")</f>
        <v/>
      </c>
      <c r="AM12" s="349"/>
      <c r="AN12" s="69"/>
      <c r="AO12" s="381"/>
      <c r="AP12" s="382"/>
      <c r="AQ12" s="382"/>
      <c r="AR12" s="382"/>
      <c r="AS12" s="382"/>
      <c r="AT12" s="383"/>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376"/>
      <c r="C13" s="376"/>
      <c r="D13" s="377"/>
      <c r="E13" s="372"/>
      <c r="F13" s="373"/>
      <c r="G13" s="373"/>
      <c r="H13" s="373"/>
      <c r="I13" s="374"/>
      <c r="J13" s="356"/>
      <c r="K13" s="357"/>
      <c r="L13" s="357"/>
      <c r="M13" s="357"/>
      <c r="N13" s="357"/>
      <c r="O13" s="358"/>
      <c r="P13" s="356"/>
      <c r="Q13" s="357"/>
      <c r="R13" s="357"/>
      <c r="S13" s="357"/>
      <c r="T13" s="357"/>
      <c r="U13" s="358"/>
      <c r="V13" s="356"/>
      <c r="W13" s="357"/>
      <c r="X13" s="357"/>
      <c r="Y13" s="357"/>
      <c r="Z13" s="357"/>
      <c r="AA13" s="358"/>
      <c r="AB13" s="356"/>
      <c r="AC13" s="357"/>
      <c r="AD13" s="357"/>
      <c r="AE13" s="357"/>
      <c r="AF13" s="357"/>
      <c r="AG13" s="358"/>
      <c r="AH13" s="350"/>
      <c r="AI13" s="351"/>
      <c r="AJ13" s="351"/>
      <c r="AK13" s="351"/>
      <c r="AL13" s="351"/>
      <c r="AM13" s="352"/>
      <c r="AN13" s="69"/>
      <c r="AO13" s="384"/>
      <c r="AP13" s="385"/>
      <c r="AQ13" s="385"/>
      <c r="AR13" s="385"/>
      <c r="AS13" s="385"/>
      <c r="AT13" s="386"/>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376"/>
      <c r="C14" s="376"/>
      <c r="D14" s="377"/>
      <c r="E14" s="366" t="s">
        <v>115</v>
      </c>
      <c r="F14" s="367"/>
      <c r="G14" s="367"/>
      <c r="H14" s="367"/>
      <c r="I14" s="367"/>
      <c r="J14" s="344" t="str">
        <f>IF(AND('Mapa final'!$H$13="Alta",'Mapa final'!$L$13="Leve"),CONCATENATE("R",'Mapa final'!$A$13),"")</f>
        <v/>
      </c>
      <c r="K14" s="345"/>
      <c r="L14" s="345" t="e">
        <f>IF(AND('Mapa final'!#REF!="Alta",'Mapa final'!#REF!="Leve"),CONCATENATE("R",'Mapa final'!#REF!),"")</f>
        <v>#REF!</v>
      </c>
      <c r="M14" s="345"/>
      <c r="N14" s="345" t="e">
        <f>IF(AND('Mapa final'!#REF!="Alta",'Mapa final'!#REF!="Leve"),CONCATENATE("R",'Mapa final'!#REF!),"")</f>
        <v>#REF!</v>
      </c>
      <c r="O14" s="346"/>
      <c r="P14" s="344" t="str">
        <f>IF(AND('Mapa final'!$H$13="Alta",'Mapa final'!$L$13="Menor"),CONCATENATE("R",'Mapa final'!$A$13),"")</f>
        <v/>
      </c>
      <c r="Q14" s="345"/>
      <c r="R14" s="345" t="e">
        <f>IF(AND('Mapa final'!#REF!="Alta",'Mapa final'!#REF!="Menor"),CONCATENATE("R",'Mapa final'!#REF!),"")</f>
        <v>#REF!</v>
      </c>
      <c r="S14" s="345"/>
      <c r="T14" s="345" t="e">
        <f>IF(AND('Mapa final'!#REF!="Alta",'Mapa final'!#REF!="Menor"),CONCATENATE("R",'Mapa final'!#REF!),"")</f>
        <v>#REF!</v>
      </c>
      <c r="U14" s="346"/>
      <c r="V14" s="362" t="str">
        <f>IF(AND('Mapa final'!$H$13="Alta",'Mapa final'!$L$13="Moderado"),CONCATENATE("R",'Mapa final'!$A$13),"")</f>
        <v/>
      </c>
      <c r="W14" s="363"/>
      <c r="X14" s="363" t="e">
        <f>IF(AND('Mapa final'!#REF!="Alta",'Mapa final'!#REF!="Moderado"),CONCATENATE("R",'Mapa final'!#REF!),"")</f>
        <v>#REF!</v>
      </c>
      <c r="Y14" s="363"/>
      <c r="Z14" s="363" t="e">
        <f>IF(AND('Mapa final'!#REF!="Alta",'Mapa final'!#REF!="Moderado"),CONCATENATE("R",'Mapa final'!#REF!),"")</f>
        <v>#REF!</v>
      </c>
      <c r="AA14" s="364"/>
      <c r="AB14" s="362" t="str">
        <f>IF(AND('Mapa final'!$H$13="Alta",'Mapa final'!$L$13="Mayor"),CONCATENATE("R",'Mapa final'!$A$13),"")</f>
        <v/>
      </c>
      <c r="AC14" s="363"/>
      <c r="AD14" s="363" t="e">
        <f>IF(AND('Mapa final'!#REF!="Alta",'Mapa final'!#REF!="Mayor"),CONCATENATE("R",'Mapa final'!#REF!),"")</f>
        <v>#REF!</v>
      </c>
      <c r="AE14" s="363"/>
      <c r="AF14" s="363" t="e">
        <f>IF(AND('Mapa final'!#REF!="Alta",'Mapa final'!#REF!="Mayor"),CONCATENATE("R",'Mapa final'!#REF!),"")</f>
        <v>#REF!</v>
      </c>
      <c r="AG14" s="364"/>
      <c r="AH14" s="353" t="str">
        <f>IF(AND('Mapa final'!$H$13="Alta",'Mapa final'!$L$13="Catastrófico"),CONCATENATE("R",'Mapa final'!$A$13),"")</f>
        <v/>
      </c>
      <c r="AI14" s="354"/>
      <c r="AJ14" s="354" t="e">
        <f>IF(AND('Mapa final'!#REF!="Alta",'Mapa final'!#REF!="Catastrófico"),CONCATENATE("R",'Mapa final'!#REF!),"")</f>
        <v>#REF!</v>
      </c>
      <c r="AK14" s="354"/>
      <c r="AL14" s="354" t="e">
        <f>IF(AND('Mapa final'!#REF!="Alta",'Mapa final'!#REF!="Catastrófico"),CONCATENATE("R",'Mapa final'!#REF!),"")</f>
        <v>#REF!</v>
      </c>
      <c r="AM14" s="355"/>
      <c r="AN14" s="69"/>
      <c r="AO14" s="387" t="s">
        <v>80</v>
      </c>
      <c r="AP14" s="388"/>
      <c r="AQ14" s="388"/>
      <c r="AR14" s="388"/>
      <c r="AS14" s="388"/>
      <c r="AT14" s="38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376"/>
      <c r="C15" s="376"/>
      <c r="D15" s="377"/>
      <c r="E15" s="369"/>
      <c r="F15" s="370"/>
      <c r="G15" s="370"/>
      <c r="H15" s="370"/>
      <c r="I15" s="370"/>
      <c r="J15" s="338"/>
      <c r="K15" s="339"/>
      <c r="L15" s="339"/>
      <c r="M15" s="339"/>
      <c r="N15" s="339"/>
      <c r="O15" s="340"/>
      <c r="P15" s="338"/>
      <c r="Q15" s="339"/>
      <c r="R15" s="339"/>
      <c r="S15" s="339"/>
      <c r="T15" s="339"/>
      <c r="U15" s="340"/>
      <c r="V15" s="356"/>
      <c r="W15" s="357"/>
      <c r="X15" s="357"/>
      <c r="Y15" s="357"/>
      <c r="Z15" s="357"/>
      <c r="AA15" s="358"/>
      <c r="AB15" s="356"/>
      <c r="AC15" s="357"/>
      <c r="AD15" s="357"/>
      <c r="AE15" s="357"/>
      <c r="AF15" s="357"/>
      <c r="AG15" s="358"/>
      <c r="AH15" s="347"/>
      <c r="AI15" s="348"/>
      <c r="AJ15" s="348"/>
      <c r="AK15" s="348"/>
      <c r="AL15" s="348"/>
      <c r="AM15" s="349"/>
      <c r="AN15" s="69"/>
      <c r="AO15" s="390"/>
      <c r="AP15" s="391"/>
      <c r="AQ15" s="391"/>
      <c r="AR15" s="391"/>
      <c r="AS15" s="391"/>
      <c r="AT15" s="392"/>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376"/>
      <c r="C16" s="376"/>
      <c r="D16" s="377"/>
      <c r="E16" s="369"/>
      <c r="F16" s="370"/>
      <c r="G16" s="370"/>
      <c r="H16" s="370"/>
      <c r="I16" s="370"/>
      <c r="J16" s="338" t="e">
        <f>IF(AND('Mapa final'!#REF!="Alta",'Mapa final'!#REF!="Leve"),CONCATENATE("R",'Mapa final'!#REF!),"")</f>
        <v>#REF!</v>
      </c>
      <c r="K16" s="339"/>
      <c r="L16" s="339" t="e">
        <f>IF(AND('Mapa final'!#REF!="Alta",'Mapa final'!#REF!="Leve"),CONCATENATE("R",'Mapa final'!#REF!),"")</f>
        <v>#REF!</v>
      </c>
      <c r="M16" s="339"/>
      <c r="N16" s="339" t="e">
        <f>IF(AND('Mapa final'!#REF!="Alta",'Mapa final'!#REF!="Leve"),CONCATENATE("R",'Mapa final'!#REF!),"")</f>
        <v>#REF!</v>
      </c>
      <c r="O16" s="340"/>
      <c r="P16" s="338" t="e">
        <f>IF(AND('Mapa final'!#REF!="Alta",'Mapa final'!#REF!="Menor"),CONCATENATE("R",'Mapa final'!#REF!),"")</f>
        <v>#REF!</v>
      </c>
      <c r="Q16" s="339"/>
      <c r="R16" s="339" t="e">
        <f>IF(AND('Mapa final'!#REF!="Alta",'Mapa final'!#REF!="Menor"),CONCATENATE("R",'Mapa final'!#REF!),"")</f>
        <v>#REF!</v>
      </c>
      <c r="S16" s="339"/>
      <c r="T16" s="339" t="e">
        <f>IF(AND('Mapa final'!#REF!="Alta",'Mapa final'!#REF!="Menor"),CONCATENATE("R",'Mapa final'!#REF!),"")</f>
        <v>#REF!</v>
      </c>
      <c r="U16" s="340"/>
      <c r="V16" s="356" t="e">
        <f>IF(AND('Mapa final'!#REF!="Alta",'Mapa final'!#REF!="Moderado"),CONCATENATE("R",'Mapa final'!#REF!),"")</f>
        <v>#REF!</v>
      </c>
      <c r="W16" s="357"/>
      <c r="X16" s="357" t="e">
        <f>IF(AND('Mapa final'!#REF!="Alta",'Mapa final'!#REF!="Moderado"),CONCATENATE("R",'Mapa final'!#REF!),"")</f>
        <v>#REF!</v>
      </c>
      <c r="Y16" s="357"/>
      <c r="Z16" s="357" t="e">
        <f>IF(AND('Mapa final'!#REF!="Alta",'Mapa final'!#REF!="Moderado"),CONCATENATE("R",'Mapa final'!#REF!),"")</f>
        <v>#REF!</v>
      </c>
      <c r="AA16" s="358"/>
      <c r="AB16" s="356" t="e">
        <f>IF(AND('Mapa final'!#REF!="Alta",'Mapa final'!#REF!="Mayor"),CONCATENATE("R",'Mapa final'!#REF!),"")</f>
        <v>#REF!</v>
      </c>
      <c r="AC16" s="357"/>
      <c r="AD16" s="357" t="e">
        <f>IF(AND('Mapa final'!#REF!="Alta",'Mapa final'!#REF!="Mayor"),CONCATENATE("R",'Mapa final'!#REF!),"")</f>
        <v>#REF!</v>
      </c>
      <c r="AE16" s="357"/>
      <c r="AF16" s="357" t="e">
        <f>IF(AND('Mapa final'!#REF!="Alta",'Mapa final'!#REF!="Mayor"),CONCATENATE("R",'Mapa final'!#REF!),"")</f>
        <v>#REF!</v>
      </c>
      <c r="AG16" s="358"/>
      <c r="AH16" s="347" t="e">
        <f>IF(AND('Mapa final'!#REF!="Alta",'Mapa final'!#REF!="Catastrófico"),CONCATENATE("R",'Mapa final'!#REF!),"")</f>
        <v>#REF!</v>
      </c>
      <c r="AI16" s="348"/>
      <c r="AJ16" s="348" t="e">
        <f>IF(AND('Mapa final'!#REF!="Alta",'Mapa final'!#REF!="Catastrófico"),CONCATENATE("R",'Mapa final'!#REF!),"")</f>
        <v>#REF!</v>
      </c>
      <c r="AK16" s="348"/>
      <c r="AL16" s="348" t="e">
        <f>IF(AND('Mapa final'!#REF!="Alta",'Mapa final'!#REF!="Catastrófico"),CONCATENATE("R",'Mapa final'!#REF!),"")</f>
        <v>#REF!</v>
      </c>
      <c r="AM16" s="349"/>
      <c r="AN16" s="69"/>
      <c r="AO16" s="390"/>
      <c r="AP16" s="391"/>
      <c r="AQ16" s="391"/>
      <c r="AR16" s="391"/>
      <c r="AS16" s="391"/>
      <c r="AT16" s="392"/>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376"/>
      <c r="C17" s="376"/>
      <c r="D17" s="377"/>
      <c r="E17" s="369"/>
      <c r="F17" s="370"/>
      <c r="G17" s="370"/>
      <c r="H17" s="370"/>
      <c r="I17" s="370"/>
      <c r="J17" s="338"/>
      <c r="K17" s="339"/>
      <c r="L17" s="339"/>
      <c r="M17" s="339"/>
      <c r="N17" s="339"/>
      <c r="O17" s="340"/>
      <c r="P17" s="338"/>
      <c r="Q17" s="339"/>
      <c r="R17" s="339"/>
      <c r="S17" s="339"/>
      <c r="T17" s="339"/>
      <c r="U17" s="340"/>
      <c r="V17" s="356"/>
      <c r="W17" s="357"/>
      <c r="X17" s="357"/>
      <c r="Y17" s="357"/>
      <c r="Z17" s="357"/>
      <c r="AA17" s="358"/>
      <c r="AB17" s="356"/>
      <c r="AC17" s="357"/>
      <c r="AD17" s="357"/>
      <c r="AE17" s="357"/>
      <c r="AF17" s="357"/>
      <c r="AG17" s="358"/>
      <c r="AH17" s="347"/>
      <c r="AI17" s="348"/>
      <c r="AJ17" s="348"/>
      <c r="AK17" s="348"/>
      <c r="AL17" s="348"/>
      <c r="AM17" s="349"/>
      <c r="AN17" s="69"/>
      <c r="AO17" s="390"/>
      <c r="AP17" s="391"/>
      <c r="AQ17" s="391"/>
      <c r="AR17" s="391"/>
      <c r="AS17" s="391"/>
      <c r="AT17" s="392"/>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376"/>
      <c r="C18" s="376"/>
      <c r="D18" s="377"/>
      <c r="E18" s="369"/>
      <c r="F18" s="370"/>
      <c r="G18" s="370"/>
      <c r="H18" s="370"/>
      <c r="I18" s="370"/>
      <c r="J18" s="338" t="e">
        <f>IF(AND('Mapa final'!#REF!="Alta",'Mapa final'!#REF!="Leve"),CONCATENATE("R",'Mapa final'!#REF!),"")</f>
        <v>#REF!</v>
      </c>
      <c r="K18" s="339"/>
      <c r="L18" s="339" t="e">
        <f>IF(AND('Mapa final'!#REF!="Alta",'Mapa final'!#REF!="Leve"),CONCATENATE("R",'Mapa final'!#REF!),"")</f>
        <v>#REF!</v>
      </c>
      <c r="M18" s="339"/>
      <c r="N18" s="339" t="e">
        <f>IF(AND('Mapa final'!#REF!="Alta",'Mapa final'!#REF!="Leve"),CONCATENATE("R",'Mapa final'!#REF!),"")</f>
        <v>#REF!</v>
      </c>
      <c r="O18" s="340"/>
      <c r="P18" s="338" t="e">
        <f>IF(AND('Mapa final'!#REF!="Alta",'Mapa final'!#REF!="Menor"),CONCATENATE("R",'Mapa final'!#REF!),"")</f>
        <v>#REF!</v>
      </c>
      <c r="Q18" s="339"/>
      <c r="R18" s="339" t="e">
        <f>IF(AND('Mapa final'!#REF!="Alta",'Mapa final'!#REF!="Menor"),CONCATENATE("R",'Mapa final'!#REF!),"")</f>
        <v>#REF!</v>
      </c>
      <c r="S18" s="339"/>
      <c r="T18" s="339" t="e">
        <f>IF(AND('Mapa final'!#REF!="Alta",'Mapa final'!#REF!="Menor"),CONCATENATE("R",'Mapa final'!#REF!),"")</f>
        <v>#REF!</v>
      </c>
      <c r="U18" s="340"/>
      <c r="V18" s="356" t="e">
        <f>IF(AND('Mapa final'!#REF!="Alta",'Mapa final'!#REF!="Moderado"),CONCATENATE("R",'Mapa final'!#REF!),"")</f>
        <v>#REF!</v>
      </c>
      <c r="W18" s="357"/>
      <c r="X18" s="357" t="e">
        <f>IF(AND('Mapa final'!#REF!="Alta",'Mapa final'!#REF!="Moderado"),CONCATENATE("R",'Mapa final'!#REF!),"")</f>
        <v>#REF!</v>
      </c>
      <c r="Y18" s="357"/>
      <c r="Z18" s="357" t="e">
        <f>IF(AND('Mapa final'!#REF!="Alta",'Mapa final'!#REF!="Moderado"),CONCATENATE("R",'Mapa final'!#REF!),"")</f>
        <v>#REF!</v>
      </c>
      <c r="AA18" s="358"/>
      <c r="AB18" s="356" t="e">
        <f>IF(AND('Mapa final'!#REF!="Alta",'Mapa final'!#REF!="Mayor"),CONCATENATE("R",'Mapa final'!#REF!),"")</f>
        <v>#REF!</v>
      </c>
      <c r="AC18" s="357"/>
      <c r="AD18" s="357" t="e">
        <f>IF(AND('Mapa final'!#REF!="Alta",'Mapa final'!#REF!="Mayor"),CONCATENATE("R",'Mapa final'!#REF!),"")</f>
        <v>#REF!</v>
      </c>
      <c r="AE18" s="357"/>
      <c r="AF18" s="357" t="e">
        <f>IF(AND('Mapa final'!#REF!="Alta",'Mapa final'!#REF!="Mayor"),CONCATENATE("R",'Mapa final'!#REF!),"")</f>
        <v>#REF!</v>
      </c>
      <c r="AG18" s="358"/>
      <c r="AH18" s="347" t="e">
        <f>IF(AND('Mapa final'!#REF!="Alta",'Mapa final'!#REF!="Catastrófico"),CONCATENATE("R",'Mapa final'!#REF!),"")</f>
        <v>#REF!</v>
      </c>
      <c r="AI18" s="348"/>
      <c r="AJ18" s="348" t="e">
        <f>IF(AND('Mapa final'!#REF!="Alta",'Mapa final'!#REF!="Catastrófico"),CONCATENATE("R",'Mapa final'!#REF!),"")</f>
        <v>#REF!</v>
      </c>
      <c r="AK18" s="348"/>
      <c r="AL18" s="348" t="e">
        <f>IF(AND('Mapa final'!#REF!="Alta",'Mapa final'!#REF!="Catastrófico"),CONCATENATE("R",'Mapa final'!#REF!),"")</f>
        <v>#REF!</v>
      </c>
      <c r="AM18" s="349"/>
      <c r="AN18" s="69"/>
      <c r="AO18" s="390"/>
      <c r="AP18" s="391"/>
      <c r="AQ18" s="391"/>
      <c r="AR18" s="391"/>
      <c r="AS18" s="391"/>
      <c r="AT18" s="392"/>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376"/>
      <c r="C19" s="376"/>
      <c r="D19" s="377"/>
      <c r="E19" s="369"/>
      <c r="F19" s="370"/>
      <c r="G19" s="370"/>
      <c r="H19" s="370"/>
      <c r="I19" s="370"/>
      <c r="J19" s="338"/>
      <c r="K19" s="339"/>
      <c r="L19" s="339"/>
      <c r="M19" s="339"/>
      <c r="N19" s="339"/>
      <c r="O19" s="340"/>
      <c r="P19" s="338"/>
      <c r="Q19" s="339"/>
      <c r="R19" s="339"/>
      <c r="S19" s="339"/>
      <c r="T19" s="339"/>
      <c r="U19" s="340"/>
      <c r="V19" s="356"/>
      <c r="W19" s="357"/>
      <c r="X19" s="357"/>
      <c r="Y19" s="357"/>
      <c r="Z19" s="357"/>
      <c r="AA19" s="358"/>
      <c r="AB19" s="356"/>
      <c r="AC19" s="357"/>
      <c r="AD19" s="357"/>
      <c r="AE19" s="357"/>
      <c r="AF19" s="357"/>
      <c r="AG19" s="358"/>
      <c r="AH19" s="347"/>
      <c r="AI19" s="348"/>
      <c r="AJ19" s="348"/>
      <c r="AK19" s="348"/>
      <c r="AL19" s="348"/>
      <c r="AM19" s="349"/>
      <c r="AN19" s="69"/>
      <c r="AO19" s="390"/>
      <c r="AP19" s="391"/>
      <c r="AQ19" s="391"/>
      <c r="AR19" s="391"/>
      <c r="AS19" s="391"/>
      <c r="AT19" s="392"/>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376"/>
      <c r="C20" s="376"/>
      <c r="D20" s="377"/>
      <c r="E20" s="369"/>
      <c r="F20" s="370"/>
      <c r="G20" s="370"/>
      <c r="H20" s="370"/>
      <c r="I20" s="370"/>
      <c r="J20" s="338" t="e">
        <f>IF(AND('Mapa final'!#REF!="Alta",'Mapa final'!#REF!="Leve"),CONCATENATE("R",'Mapa final'!#REF!),"")</f>
        <v>#REF!</v>
      </c>
      <c r="K20" s="339"/>
      <c r="L20" s="339" t="str">
        <f>IF(AND('Mapa final'!$H$19="Alta",'Mapa final'!$L$19="Leve"),CONCATENATE("R",'Mapa final'!$A$19),"")</f>
        <v/>
      </c>
      <c r="M20" s="339"/>
      <c r="N20" s="339" t="str">
        <f>IF(AND('Mapa final'!$H$25="Alta",'Mapa final'!$L$25="Leve"),CONCATENATE("R",'Mapa final'!$A$25),"")</f>
        <v/>
      </c>
      <c r="O20" s="340"/>
      <c r="P20" s="338" t="e">
        <f>IF(AND('Mapa final'!#REF!="Alta",'Mapa final'!#REF!="Menor"),CONCATENATE("R",'Mapa final'!#REF!),"")</f>
        <v>#REF!</v>
      </c>
      <c r="Q20" s="339"/>
      <c r="R20" s="339" t="str">
        <f>IF(AND('Mapa final'!$H$19="Alta",'Mapa final'!$L$19="Menor"),CONCATENATE("R",'Mapa final'!$A$19),"")</f>
        <v/>
      </c>
      <c r="S20" s="339"/>
      <c r="T20" s="339" t="str">
        <f>IF(AND('Mapa final'!$H$25="Alta",'Mapa final'!$L$25="Menor"),CONCATENATE("R",'Mapa final'!$A$25),"")</f>
        <v/>
      </c>
      <c r="U20" s="340"/>
      <c r="V20" s="356" t="e">
        <f>IF(AND('Mapa final'!#REF!="Alta",'Mapa final'!#REF!="Moderado"),CONCATENATE("R",'Mapa final'!#REF!),"")</f>
        <v>#REF!</v>
      </c>
      <c r="W20" s="357"/>
      <c r="X20" s="357" t="str">
        <f>IF(AND('Mapa final'!$H$19="Alta",'Mapa final'!$L$19="Moderado"),CONCATENATE("R",'Mapa final'!$A$19),"")</f>
        <v/>
      </c>
      <c r="Y20" s="357"/>
      <c r="Z20" s="357" t="str">
        <f>IF(AND('Mapa final'!$H$25="Alta",'Mapa final'!$L$25="Moderado"),CONCATENATE("R",'Mapa final'!$A$25),"")</f>
        <v/>
      </c>
      <c r="AA20" s="358"/>
      <c r="AB20" s="356" t="e">
        <f>IF(AND('Mapa final'!#REF!="Alta",'Mapa final'!#REF!="Mayor"),CONCATENATE("R",'Mapa final'!#REF!),"")</f>
        <v>#REF!</v>
      </c>
      <c r="AC20" s="357"/>
      <c r="AD20" s="357" t="str">
        <f>IF(AND('Mapa final'!$H$19="Alta",'Mapa final'!$L$19="Mayor"),CONCATENATE("R",'Mapa final'!$A$19),"")</f>
        <v/>
      </c>
      <c r="AE20" s="357"/>
      <c r="AF20" s="357" t="str">
        <f>IF(AND('Mapa final'!$H$25="Alta",'Mapa final'!$L$25="Mayor"),CONCATENATE("R",'Mapa final'!$A$25),"")</f>
        <v/>
      </c>
      <c r="AG20" s="358"/>
      <c r="AH20" s="347" t="e">
        <f>IF(AND('Mapa final'!#REF!="Alta",'Mapa final'!#REF!="Catastrófico"),CONCATENATE("R",'Mapa final'!#REF!),"")</f>
        <v>#REF!</v>
      </c>
      <c r="AI20" s="348"/>
      <c r="AJ20" s="348" t="str">
        <f>IF(AND('Mapa final'!$H$19="Alta",'Mapa final'!$L$19="Catastrófico"),CONCATENATE("R",'Mapa final'!$A$19),"")</f>
        <v/>
      </c>
      <c r="AK20" s="348"/>
      <c r="AL20" s="348" t="str">
        <f>IF(AND('Mapa final'!$H$25="Alta",'Mapa final'!$L$25="Catastrófico"),CONCATENATE("R",'Mapa final'!$A$25),"")</f>
        <v/>
      </c>
      <c r="AM20" s="349"/>
      <c r="AN20" s="69"/>
      <c r="AO20" s="390"/>
      <c r="AP20" s="391"/>
      <c r="AQ20" s="391"/>
      <c r="AR20" s="391"/>
      <c r="AS20" s="391"/>
      <c r="AT20" s="392"/>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376"/>
      <c r="C21" s="376"/>
      <c r="D21" s="377"/>
      <c r="E21" s="372"/>
      <c r="F21" s="373"/>
      <c r="G21" s="373"/>
      <c r="H21" s="373"/>
      <c r="I21" s="373"/>
      <c r="J21" s="341"/>
      <c r="K21" s="342"/>
      <c r="L21" s="342"/>
      <c r="M21" s="342"/>
      <c r="N21" s="342"/>
      <c r="O21" s="343"/>
      <c r="P21" s="341"/>
      <c r="Q21" s="342"/>
      <c r="R21" s="342"/>
      <c r="S21" s="342"/>
      <c r="T21" s="342"/>
      <c r="U21" s="343"/>
      <c r="V21" s="359"/>
      <c r="W21" s="360"/>
      <c r="X21" s="360"/>
      <c r="Y21" s="360"/>
      <c r="Z21" s="360"/>
      <c r="AA21" s="361"/>
      <c r="AB21" s="359"/>
      <c r="AC21" s="360"/>
      <c r="AD21" s="360"/>
      <c r="AE21" s="360"/>
      <c r="AF21" s="360"/>
      <c r="AG21" s="361"/>
      <c r="AH21" s="350"/>
      <c r="AI21" s="351"/>
      <c r="AJ21" s="351"/>
      <c r="AK21" s="351"/>
      <c r="AL21" s="351"/>
      <c r="AM21" s="352"/>
      <c r="AN21" s="69"/>
      <c r="AO21" s="393"/>
      <c r="AP21" s="394"/>
      <c r="AQ21" s="394"/>
      <c r="AR21" s="394"/>
      <c r="AS21" s="394"/>
      <c r="AT21" s="395"/>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376"/>
      <c r="C22" s="376"/>
      <c r="D22" s="377"/>
      <c r="E22" s="366" t="s">
        <v>117</v>
      </c>
      <c r="F22" s="367"/>
      <c r="G22" s="367"/>
      <c r="H22" s="367"/>
      <c r="I22" s="368"/>
      <c r="J22" s="344" t="str">
        <f>IF(AND('Mapa final'!$H$13="Media",'Mapa final'!$L$13="Leve"),CONCATENATE("R",'Mapa final'!$A$13),"")</f>
        <v/>
      </c>
      <c r="K22" s="345"/>
      <c r="L22" s="345" t="e">
        <f>IF(AND('Mapa final'!#REF!="Media",'Mapa final'!#REF!="Leve"),CONCATENATE("R",'Mapa final'!#REF!),"")</f>
        <v>#REF!</v>
      </c>
      <c r="M22" s="345"/>
      <c r="N22" s="345" t="e">
        <f>IF(AND('Mapa final'!#REF!="Media",'Mapa final'!#REF!="Leve"),CONCATENATE("R",'Mapa final'!#REF!),"")</f>
        <v>#REF!</v>
      </c>
      <c r="O22" s="346"/>
      <c r="P22" s="344" t="str">
        <f>IF(AND('Mapa final'!$H$13="Media",'Mapa final'!$L$13="Menor"),CONCATENATE("R",'Mapa final'!$A$13),"")</f>
        <v/>
      </c>
      <c r="Q22" s="345"/>
      <c r="R22" s="345" t="e">
        <f>IF(AND('Mapa final'!#REF!="Media",'Mapa final'!#REF!="Menor"),CONCATENATE("R",'Mapa final'!#REF!),"")</f>
        <v>#REF!</v>
      </c>
      <c r="S22" s="345"/>
      <c r="T22" s="345" t="e">
        <f>IF(AND('Mapa final'!#REF!="Media",'Mapa final'!#REF!="Menor"),CONCATENATE("R",'Mapa final'!#REF!),"")</f>
        <v>#REF!</v>
      </c>
      <c r="U22" s="346"/>
      <c r="V22" s="344" t="str">
        <f>IF(AND('Mapa final'!$H$13="Media",'Mapa final'!$L$13="Moderado"),CONCATENATE("R",'Mapa final'!$A$13),"")</f>
        <v/>
      </c>
      <c r="W22" s="345"/>
      <c r="X22" s="345" t="e">
        <f>IF(AND('Mapa final'!#REF!="Media",'Mapa final'!#REF!="Moderado"),CONCATENATE("R",'Mapa final'!#REF!),"")</f>
        <v>#REF!</v>
      </c>
      <c r="Y22" s="345"/>
      <c r="Z22" s="345" t="e">
        <f>IF(AND('Mapa final'!#REF!="Media",'Mapa final'!#REF!="Moderado"),CONCATENATE("R",'Mapa final'!#REF!),"")</f>
        <v>#REF!</v>
      </c>
      <c r="AA22" s="346"/>
      <c r="AB22" s="362" t="str">
        <f>IF(AND('Mapa final'!$H$13="Media",'Mapa final'!$L$13="Mayor"),CONCATENATE("R",'Mapa final'!$A$13),"")</f>
        <v/>
      </c>
      <c r="AC22" s="363"/>
      <c r="AD22" s="363" t="e">
        <f>IF(AND('Mapa final'!#REF!="Media",'Mapa final'!#REF!="Mayor"),CONCATENATE("R",'Mapa final'!#REF!),"")</f>
        <v>#REF!</v>
      </c>
      <c r="AE22" s="363"/>
      <c r="AF22" s="363" t="e">
        <f>IF(AND('Mapa final'!#REF!="Media",'Mapa final'!#REF!="Mayor"),CONCATENATE("R",'Mapa final'!#REF!),"")</f>
        <v>#REF!</v>
      </c>
      <c r="AG22" s="364"/>
      <c r="AH22" s="353" t="str">
        <f>IF(AND('Mapa final'!$H$13="Media",'Mapa final'!$L$13="Catastrófico"),CONCATENATE("R",'Mapa final'!$A$13),"")</f>
        <v/>
      </c>
      <c r="AI22" s="354"/>
      <c r="AJ22" s="354" t="e">
        <f>IF(AND('Mapa final'!#REF!="Media",'Mapa final'!#REF!="Catastrófico"),CONCATENATE("R",'Mapa final'!#REF!),"")</f>
        <v>#REF!</v>
      </c>
      <c r="AK22" s="354"/>
      <c r="AL22" s="354" t="e">
        <f>IF(AND('Mapa final'!#REF!="Media",'Mapa final'!#REF!="Catastrófico"),CONCATENATE("R",'Mapa final'!#REF!),"")</f>
        <v>#REF!</v>
      </c>
      <c r="AM22" s="355"/>
      <c r="AN22" s="69"/>
      <c r="AO22" s="396" t="s">
        <v>81</v>
      </c>
      <c r="AP22" s="397"/>
      <c r="AQ22" s="397"/>
      <c r="AR22" s="397"/>
      <c r="AS22" s="397"/>
      <c r="AT22" s="398"/>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376"/>
      <c r="C23" s="376"/>
      <c r="D23" s="377"/>
      <c r="E23" s="369"/>
      <c r="F23" s="370"/>
      <c r="G23" s="370"/>
      <c r="H23" s="370"/>
      <c r="I23" s="371"/>
      <c r="J23" s="338"/>
      <c r="K23" s="339"/>
      <c r="L23" s="339"/>
      <c r="M23" s="339"/>
      <c r="N23" s="339"/>
      <c r="O23" s="340"/>
      <c r="P23" s="338"/>
      <c r="Q23" s="339"/>
      <c r="R23" s="339"/>
      <c r="S23" s="339"/>
      <c r="T23" s="339"/>
      <c r="U23" s="340"/>
      <c r="V23" s="338"/>
      <c r="W23" s="339"/>
      <c r="X23" s="339"/>
      <c r="Y23" s="339"/>
      <c r="Z23" s="339"/>
      <c r="AA23" s="340"/>
      <c r="AB23" s="356"/>
      <c r="AC23" s="357"/>
      <c r="AD23" s="357"/>
      <c r="AE23" s="357"/>
      <c r="AF23" s="357"/>
      <c r="AG23" s="358"/>
      <c r="AH23" s="347"/>
      <c r="AI23" s="348"/>
      <c r="AJ23" s="348"/>
      <c r="AK23" s="348"/>
      <c r="AL23" s="348"/>
      <c r="AM23" s="349"/>
      <c r="AN23" s="69"/>
      <c r="AO23" s="399"/>
      <c r="AP23" s="400"/>
      <c r="AQ23" s="400"/>
      <c r="AR23" s="400"/>
      <c r="AS23" s="400"/>
      <c r="AT23" s="401"/>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376"/>
      <c r="C24" s="376"/>
      <c r="D24" s="377"/>
      <c r="E24" s="369"/>
      <c r="F24" s="370"/>
      <c r="G24" s="370"/>
      <c r="H24" s="370"/>
      <c r="I24" s="371"/>
      <c r="J24" s="338" t="e">
        <f>IF(AND('Mapa final'!#REF!="Media",'Mapa final'!#REF!="Leve"),CONCATENATE("R",'Mapa final'!#REF!),"")</f>
        <v>#REF!</v>
      </c>
      <c r="K24" s="339"/>
      <c r="L24" s="339" t="e">
        <f>IF(AND('Mapa final'!#REF!="Media",'Mapa final'!#REF!="Leve"),CONCATENATE("R",'Mapa final'!#REF!),"")</f>
        <v>#REF!</v>
      </c>
      <c r="M24" s="339"/>
      <c r="N24" s="339" t="e">
        <f>IF(AND('Mapa final'!#REF!="Media",'Mapa final'!#REF!="Leve"),CONCATENATE("R",'Mapa final'!#REF!),"")</f>
        <v>#REF!</v>
      </c>
      <c r="O24" s="340"/>
      <c r="P24" s="338" t="e">
        <f>IF(AND('Mapa final'!#REF!="Media",'Mapa final'!#REF!="Menor"),CONCATENATE("R",'Mapa final'!#REF!),"")</f>
        <v>#REF!</v>
      </c>
      <c r="Q24" s="339"/>
      <c r="R24" s="339" t="e">
        <f>IF(AND('Mapa final'!#REF!="Media",'Mapa final'!#REF!="Menor"),CONCATENATE("R",'Mapa final'!#REF!),"")</f>
        <v>#REF!</v>
      </c>
      <c r="S24" s="339"/>
      <c r="T24" s="339" t="e">
        <f>IF(AND('Mapa final'!#REF!="Media",'Mapa final'!#REF!="Menor"),CONCATENATE("R",'Mapa final'!#REF!),"")</f>
        <v>#REF!</v>
      </c>
      <c r="U24" s="340"/>
      <c r="V24" s="338" t="e">
        <f>IF(AND('Mapa final'!#REF!="Media",'Mapa final'!#REF!="Moderado"),CONCATENATE("R",'Mapa final'!#REF!),"")</f>
        <v>#REF!</v>
      </c>
      <c r="W24" s="339"/>
      <c r="X24" s="339" t="e">
        <f>IF(AND('Mapa final'!#REF!="Media",'Mapa final'!#REF!="Moderado"),CONCATENATE("R",'Mapa final'!#REF!),"")</f>
        <v>#REF!</v>
      </c>
      <c r="Y24" s="339"/>
      <c r="Z24" s="339" t="e">
        <f>IF(AND('Mapa final'!#REF!="Media",'Mapa final'!#REF!="Moderado"),CONCATENATE("R",'Mapa final'!#REF!),"")</f>
        <v>#REF!</v>
      </c>
      <c r="AA24" s="340"/>
      <c r="AB24" s="356" t="e">
        <f>IF(AND('Mapa final'!#REF!="Media",'Mapa final'!#REF!="Mayor"),CONCATENATE("R",'Mapa final'!#REF!),"")</f>
        <v>#REF!</v>
      </c>
      <c r="AC24" s="357"/>
      <c r="AD24" s="357" t="e">
        <f>IF(AND('Mapa final'!#REF!="Media",'Mapa final'!#REF!="Mayor"),CONCATENATE("R",'Mapa final'!#REF!),"")</f>
        <v>#REF!</v>
      </c>
      <c r="AE24" s="357"/>
      <c r="AF24" s="357" t="e">
        <f>IF(AND('Mapa final'!#REF!="Media",'Mapa final'!#REF!="Mayor"),CONCATENATE("R",'Mapa final'!#REF!),"")</f>
        <v>#REF!</v>
      </c>
      <c r="AG24" s="358"/>
      <c r="AH24" s="347" t="e">
        <f>IF(AND('Mapa final'!#REF!="Media",'Mapa final'!#REF!="Catastrófico"),CONCATENATE("R",'Mapa final'!#REF!),"")</f>
        <v>#REF!</v>
      </c>
      <c r="AI24" s="348"/>
      <c r="AJ24" s="348" t="e">
        <f>IF(AND('Mapa final'!#REF!="Media",'Mapa final'!#REF!="Catastrófico"),CONCATENATE("R",'Mapa final'!#REF!),"")</f>
        <v>#REF!</v>
      </c>
      <c r="AK24" s="348"/>
      <c r="AL24" s="348" t="e">
        <f>IF(AND('Mapa final'!#REF!="Media",'Mapa final'!#REF!="Catastrófico"),CONCATENATE("R",'Mapa final'!#REF!),"")</f>
        <v>#REF!</v>
      </c>
      <c r="AM24" s="349"/>
      <c r="AN24" s="69"/>
      <c r="AO24" s="399"/>
      <c r="AP24" s="400"/>
      <c r="AQ24" s="400"/>
      <c r="AR24" s="400"/>
      <c r="AS24" s="400"/>
      <c r="AT24" s="401"/>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376"/>
      <c r="C25" s="376"/>
      <c r="D25" s="377"/>
      <c r="E25" s="369"/>
      <c r="F25" s="370"/>
      <c r="G25" s="370"/>
      <c r="H25" s="370"/>
      <c r="I25" s="371"/>
      <c r="J25" s="338"/>
      <c r="K25" s="339"/>
      <c r="L25" s="339"/>
      <c r="M25" s="339"/>
      <c r="N25" s="339"/>
      <c r="O25" s="340"/>
      <c r="P25" s="338"/>
      <c r="Q25" s="339"/>
      <c r="R25" s="339"/>
      <c r="S25" s="339"/>
      <c r="T25" s="339"/>
      <c r="U25" s="340"/>
      <c r="V25" s="338"/>
      <c r="W25" s="339"/>
      <c r="X25" s="339"/>
      <c r="Y25" s="339"/>
      <c r="Z25" s="339"/>
      <c r="AA25" s="340"/>
      <c r="AB25" s="356"/>
      <c r="AC25" s="357"/>
      <c r="AD25" s="357"/>
      <c r="AE25" s="357"/>
      <c r="AF25" s="357"/>
      <c r="AG25" s="358"/>
      <c r="AH25" s="347"/>
      <c r="AI25" s="348"/>
      <c r="AJ25" s="348"/>
      <c r="AK25" s="348"/>
      <c r="AL25" s="348"/>
      <c r="AM25" s="349"/>
      <c r="AN25" s="69"/>
      <c r="AO25" s="399"/>
      <c r="AP25" s="400"/>
      <c r="AQ25" s="400"/>
      <c r="AR25" s="400"/>
      <c r="AS25" s="400"/>
      <c r="AT25" s="401"/>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376"/>
      <c r="C26" s="376"/>
      <c r="D26" s="377"/>
      <c r="E26" s="369"/>
      <c r="F26" s="370"/>
      <c r="G26" s="370"/>
      <c r="H26" s="370"/>
      <c r="I26" s="371"/>
      <c r="J26" s="338" t="e">
        <f>IF(AND('Mapa final'!#REF!="Media",'Mapa final'!#REF!="Leve"),CONCATENATE("R",'Mapa final'!#REF!),"")</f>
        <v>#REF!</v>
      </c>
      <c r="K26" s="339"/>
      <c r="L26" s="339" t="e">
        <f>IF(AND('Mapa final'!#REF!="Media",'Mapa final'!#REF!="Leve"),CONCATENATE("R",'Mapa final'!#REF!),"")</f>
        <v>#REF!</v>
      </c>
      <c r="M26" s="339"/>
      <c r="N26" s="339" t="e">
        <f>IF(AND('Mapa final'!#REF!="Media",'Mapa final'!#REF!="Leve"),CONCATENATE("R",'Mapa final'!#REF!),"")</f>
        <v>#REF!</v>
      </c>
      <c r="O26" s="340"/>
      <c r="P26" s="338" t="e">
        <f>IF(AND('Mapa final'!#REF!="Media",'Mapa final'!#REF!="Menor"),CONCATENATE("R",'Mapa final'!#REF!),"")</f>
        <v>#REF!</v>
      </c>
      <c r="Q26" s="339"/>
      <c r="R26" s="339" t="e">
        <f>IF(AND('Mapa final'!#REF!="Media",'Mapa final'!#REF!="Menor"),CONCATENATE("R",'Mapa final'!#REF!),"")</f>
        <v>#REF!</v>
      </c>
      <c r="S26" s="339"/>
      <c r="T26" s="339" t="e">
        <f>IF(AND('Mapa final'!#REF!="Media",'Mapa final'!#REF!="Menor"),CONCATENATE("R",'Mapa final'!#REF!),"")</f>
        <v>#REF!</v>
      </c>
      <c r="U26" s="340"/>
      <c r="V26" s="338" t="e">
        <f>IF(AND('Mapa final'!#REF!="Media",'Mapa final'!#REF!="Moderado"),CONCATENATE("R",'Mapa final'!#REF!),"")</f>
        <v>#REF!</v>
      </c>
      <c r="W26" s="339"/>
      <c r="X26" s="339" t="e">
        <f>IF(AND('Mapa final'!#REF!="Media",'Mapa final'!#REF!="Moderado"),CONCATENATE("R",'Mapa final'!#REF!),"")</f>
        <v>#REF!</v>
      </c>
      <c r="Y26" s="339"/>
      <c r="Z26" s="339" t="e">
        <f>IF(AND('Mapa final'!#REF!="Media",'Mapa final'!#REF!="Moderado"),CONCATENATE("R",'Mapa final'!#REF!),"")</f>
        <v>#REF!</v>
      </c>
      <c r="AA26" s="340"/>
      <c r="AB26" s="356" t="e">
        <f>IF(AND('Mapa final'!#REF!="Media",'Mapa final'!#REF!="Mayor"),CONCATENATE("R",'Mapa final'!#REF!),"")</f>
        <v>#REF!</v>
      </c>
      <c r="AC26" s="357"/>
      <c r="AD26" s="357" t="e">
        <f>IF(AND('Mapa final'!#REF!="Media",'Mapa final'!#REF!="Mayor"),CONCATENATE("R",'Mapa final'!#REF!),"")</f>
        <v>#REF!</v>
      </c>
      <c r="AE26" s="357"/>
      <c r="AF26" s="357" t="e">
        <f>IF(AND('Mapa final'!#REF!="Media",'Mapa final'!#REF!="Mayor"),CONCATENATE("R",'Mapa final'!#REF!),"")</f>
        <v>#REF!</v>
      </c>
      <c r="AG26" s="358"/>
      <c r="AH26" s="347" t="e">
        <f>IF(AND('Mapa final'!#REF!="Media",'Mapa final'!#REF!="Catastrófico"),CONCATENATE("R",'Mapa final'!#REF!),"")</f>
        <v>#REF!</v>
      </c>
      <c r="AI26" s="348"/>
      <c r="AJ26" s="348" t="e">
        <f>IF(AND('Mapa final'!#REF!="Media",'Mapa final'!#REF!="Catastrófico"),CONCATENATE("R",'Mapa final'!#REF!),"")</f>
        <v>#REF!</v>
      </c>
      <c r="AK26" s="348"/>
      <c r="AL26" s="348" t="e">
        <f>IF(AND('Mapa final'!#REF!="Media",'Mapa final'!#REF!="Catastrófico"),CONCATENATE("R",'Mapa final'!#REF!),"")</f>
        <v>#REF!</v>
      </c>
      <c r="AM26" s="349"/>
      <c r="AN26" s="69"/>
      <c r="AO26" s="399"/>
      <c r="AP26" s="400"/>
      <c r="AQ26" s="400"/>
      <c r="AR26" s="400"/>
      <c r="AS26" s="400"/>
      <c r="AT26" s="401"/>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376"/>
      <c r="C27" s="376"/>
      <c r="D27" s="377"/>
      <c r="E27" s="369"/>
      <c r="F27" s="370"/>
      <c r="G27" s="370"/>
      <c r="H27" s="370"/>
      <c r="I27" s="371"/>
      <c r="J27" s="338"/>
      <c r="K27" s="339"/>
      <c r="L27" s="339"/>
      <c r="M27" s="339"/>
      <c r="N27" s="339"/>
      <c r="O27" s="340"/>
      <c r="P27" s="338"/>
      <c r="Q27" s="339"/>
      <c r="R27" s="339"/>
      <c r="S27" s="339"/>
      <c r="T27" s="339"/>
      <c r="U27" s="340"/>
      <c r="V27" s="338"/>
      <c r="W27" s="339"/>
      <c r="X27" s="339"/>
      <c r="Y27" s="339"/>
      <c r="Z27" s="339"/>
      <c r="AA27" s="340"/>
      <c r="AB27" s="356"/>
      <c r="AC27" s="357"/>
      <c r="AD27" s="357"/>
      <c r="AE27" s="357"/>
      <c r="AF27" s="357"/>
      <c r="AG27" s="358"/>
      <c r="AH27" s="347"/>
      <c r="AI27" s="348"/>
      <c r="AJ27" s="348"/>
      <c r="AK27" s="348"/>
      <c r="AL27" s="348"/>
      <c r="AM27" s="349"/>
      <c r="AN27" s="69"/>
      <c r="AO27" s="399"/>
      <c r="AP27" s="400"/>
      <c r="AQ27" s="400"/>
      <c r="AR27" s="400"/>
      <c r="AS27" s="400"/>
      <c r="AT27" s="401"/>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376"/>
      <c r="C28" s="376"/>
      <c r="D28" s="377"/>
      <c r="E28" s="369"/>
      <c r="F28" s="370"/>
      <c r="G28" s="370"/>
      <c r="H28" s="370"/>
      <c r="I28" s="371"/>
      <c r="J28" s="338" t="e">
        <f>IF(AND('Mapa final'!#REF!="Media",'Mapa final'!#REF!="Leve"),CONCATENATE("R",'Mapa final'!#REF!),"")</f>
        <v>#REF!</v>
      </c>
      <c r="K28" s="339"/>
      <c r="L28" s="339" t="str">
        <f>IF(AND('Mapa final'!$H$19="Media",'Mapa final'!$L$19="Leve"),CONCATENATE("R",'Mapa final'!$A$19),"")</f>
        <v/>
      </c>
      <c r="M28" s="339"/>
      <c r="N28" s="339" t="str">
        <f>IF(AND('Mapa final'!$H$25="Media",'Mapa final'!$L$25="Leve"),CONCATENATE("R",'Mapa final'!$A$25),"")</f>
        <v/>
      </c>
      <c r="O28" s="340"/>
      <c r="P28" s="338" t="e">
        <f>IF(AND('Mapa final'!#REF!="Media",'Mapa final'!#REF!="Menor"),CONCATENATE("R",'Mapa final'!#REF!),"")</f>
        <v>#REF!</v>
      </c>
      <c r="Q28" s="339"/>
      <c r="R28" s="339" t="str">
        <f>IF(AND('Mapa final'!$H$19="Media",'Mapa final'!$L$19="Menor"),CONCATENATE("R",'Mapa final'!$A$19),"")</f>
        <v/>
      </c>
      <c r="S28" s="339"/>
      <c r="T28" s="339" t="str">
        <f>IF(AND('Mapa final'!$H$25="Media",'Mapa final'!$L$25="Menor"),CONCATENATE("R",'Mapa final'!$A$25),"")</f>
        <v/>
      </c>
      <c r="U28" s="340"/>
      <c r="V28" s="338" t="e">
        <f>IF(AND('Mapa final'!#REF!="Media",'Mapa final'!#REF!="Moderado"),CONCATENATE("R",'Mapa final'!#REF!),"")</f>
        <v>#REF!</v>
      </c>
      <c r="W28" s="339"/>
      <c r="X28" s="339" t="str">
        <f>IF(AND('Mapa final'!$H$19="Media",'Mapa final'!$L$19="Moderado"),CONCATENATE("R",'Mapa final'!$A$19),"")</f>
        <v/>
      </c>
      <c r="Y28" s="339"/>
      <c r="Z28" s="339" t="str">
        <f>IF(AND('Mapa final'!$H$25="Media",'Mapa final'!$L$25="Moderado"),CONCATENATE("R",'Mapa final'!$A$25),"")</f>
        <v/>
      </c>
      <c r="AA28" s="340"/>
      <c r="AB28" s="356" t="e">
        <f>IF(AND('Mapa final'!#REF!="Media",'Mapa final'!#REF!="Mayor"),CONCATENATE("R",'Mapa final'!#REF!),"")</f>
        <v>#REF!</v>
      </c>
      <c r="AC28" s="357"/>
      <c r="AD28" s="357" t="str">
        <f>IF(AND('Mapa final'!$H$19="Media",'Mapa final'!$L$19="Mayor"),CONCATENATE("R",'Mapa final'!$A$19),"")</f>
        <v/>
      </c>
      <c r="AE28" s="357"/>
      <c r="AF28" s="357" t="str">
        <f>IF(AND('Mapa final'!$H$25="Media",'Mapa final'!$L$25="Mayor"),CONCATENATE("R",'Mapa final'!$A$25),"")</f>
        <v/>
      </c>
      <c r="AG28" s="358"/>
      <c r="AH28" s="347" t="e">
        <f>IF(AND('Mapa final'!#REF!="Media",'Mapa final'!#REF!="Catastrófico"),CONCATENATE("R",'Mapa final'!#REF!),"")</f>
        <v>#REF!</v>
      </c>
      <c r="AI28" s="348"/>
      <c r="AJ28" s="348" t="str">
        <f>IF(AND('Mapa final'!$H$19="Media",'Mapa final'!$L$19="Catastrófico"),CONCATENATE("R",'Mapa final'!$A$19),"")</f>
        <v/>
      </c>
      <c r="AK28" s="348"/>
      <c r="AL28" s="348" t="str">
        <f>IF(AND('Mapa final'!$H$25="Media",'Mapa final'!$L$25="Catastrófico"),CONCATENATE("R",'Mapa final'!$A$25),"")</f>
        <v/>
      </c>
      <c r="AM28" s="349"/>
      <c r="AN28" s="69"/>
      <c r="AO28" s="399"/>
      <c r="AP28" s="400"/>
      <c r="AQ28" s="400"/>
      <c r="AR28" s="400"/>
      <c r="AS28" s="400"/>
      <c r="AT28" s="401"/>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376"/>
      <c r="C29" s="376"/>
      <c r="D29" s="377"/>
      <c r="E29" s="372"/>
      <c r="F29" s="373"/>
      <c r="G29" s="373"/>
      <c r="H29" s="373"/>
      <c r="I29" s="374"/>
      <c r="J29" s="338"/>
      <c r="K29" s="339"/>
      <c r="L29" s="339"/>
      <c r="M29" s="339"/>
      <c r="N29" s="339"/>
      <c r="O29" s="340"/>
      <c r="P29" s="341"/>
      <c r="Q29" s="342"/>
      <c r="R29" s="342"/>
      <c r="S29" s="342"/>
      <c r="T29" s="342"/>
      <c r="U29" s="343"/>
      <c r="V29" s="341"/>
      <c r="W29" s="342"/>
      <c r="X29" s="342"/>
      <c r="Y29" s="342"/>
      <c r="Z29" s="342"/>
      <c r="AA29" s="343"/>
      <c r="AB29" s="359"/>
      <c r="AC29" s="360"/>
      <c r="AD29" s="360"/>
      <c r="AE29" s="360"/>
      <c r="AF29" s="360"/>
      <c r="AG29" s="361"/>
      <c r="AH29" s="350"/>
      <c r="AI29" s="351"/>
      <c r="AJ29" s="351"/>
      <c r="AK29" s="351"/>
      <c r="AL29" s="351"/>
      <c r="AM29" s="352"/>
      <c r="AN29" s="69"/>
      <c r="AO29" s="402"/>
      <c r="AP29" s="403"/>
      <c r="AQ29" s="403"/>
      <c r="AR29" s="403"/>
      <c r="AS29" s="403"/>
      <c r="AT29" s="404"/>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376"/>
      <c r="C30" s="376"/>
      <c r="D30" s="377"/>
      <c r="E30" s="366" t="s">
        <v>114</v>
      </c>
      <c r="F30" s="367"/>
      <c r="G30" s="367"/>
      <c r="H30" s="367"/>
      <c r="I30" s="367"/>
      <c r="J30" s="335" t="str">
        <f>IF(AND('Mapa final'!$H$13="Baja",'Mapa final'!$L$13="Leve"),CONCATENATE("R",'Mapa final'!$A$13),"")</f>
        <v/>
      </c>
      <c r="K30" s="336"/>
      <c r="L30" s="336" t="e">
        <f>IF(AND('Mapa final'!#REF!="Baja",'Mapa final'!#REF!="Leve"),CONCATENATE("R",'Mapa final'!#REF!),"")</f>
        <v>#REF!</v>
      </c>
      <c r="M30" s="336"/>
      <c r="N30" s="336" t="e">
        <f>IF(AND('Mapa final'!#REF!="Baja",'Mapa final'!#REF!="Leve"),CONCATENATE("R",'Mapa final'!#REF!),"")</f>
        <v>#REF!</v>
      </c>
      <c r="O30" s="337"/>
      <c r="P30" s="345" t="str">
        <f>IF(AND('Mapa final'!$H$13="Baja",'Mapa final'!$L$13="Menor"),CONCATENATE("R",'Mapa final'!$A$13),"")</f>
        <v/>
      </c>
      <c r="Q30" s="345"/>
      <c r="R30" s="345" t="e">
        <f>IF(AND('Mapa final'!#REF!="Baja",'Mapa final'!#REF!="Menor"),CONCATENATE("R",'Mapa final'!#REF!),"")</f>
        <v>#REF!</v>
      </c>
      <c r="S30" s="345"/>
      <c r="T30" s="345" t="e">
        <f>IF(AND('Mapa final'!#REF!="Baja",'Mapa final'!#REF!="Menor"),CONCATENATE("R",'Mapa final'!#REF!),"")</f>
        <v>#REF!</v>
      </c>
      <c r="U30" s="346"/>
      <c r="V30" s="344" t="str">
        <f>IF(AND('Mapa final'!$H$13="Baja",'Mapa final'!$L$13="Moderado"),CONCATENATE("R",'Mapa final'!$A$13),"")</f>
        <v/>
      </c>
      <c r="W30" s="345"/>
      <c r="X30" s="345" t="e">
        <f>IF(AND('Mapa final'!#REF!="Baja",'Mapa final'!#REF!="Moderado"),CONCATENATE("R",'Mapa final'!#REF!),"")</f>
        <v>#REF!</v>
      </c>
      <c r="Y30" s="345"/>
      <c r="Z30" s="345" t="e">
        <f>IF(AND('Mapa final'!#REF!="Baja",'Mapa final'!#REF!="Moderado"),CONCATENATE("R",'Mapa final'!#REF!),"")</f>
        <v>#REF!</v>
      </c>
      <c r="AA30" s="346"/>
      <c r="AB30" s="362" t="str">
        <f>IF(AND('Mapa final'!$H$13="Baja",'Mapa final'!$L$13="Mayor"),CONCATENATE("R",'Mapa final'!$A$13),"")</f>
        <v/>
      </c>
      <c r="AC30" s="363"/>
      <c r="AD30" s="363" t="e">
        <f>IF(AND('Mapa final'!#REF!="Baja",'Mapa final'!#REF!="Mayor"),CONCATENATE("R",'Mapa final'!#REF!),"")</f>
        <v>#REF!</v>
      </c>
      <c r="AE30" s="363"/>
      <c r="AF30" s="363" t="e">
        <f>IF(AND('Mapa final'!#REF!="Baja",'Mapa final'!#REF!="Mayor"),CONCATENATE("R",'Mapa final'!#REF!),"")</f>
        <v>#REF!</v>
      </c>
      <c r="AG30" s="364"/>
      <c r="AH30" s="353" t="str">
        <f>IF(AND('Mapa final'!$H$13="Baja",'Mapa final'!$L$13="Catastrófico"),CONCATENATE("R",'Mapa final'!$A$13),"")</f>
        <v/>
      </c>
      <c r="AI30" s="354"/>
      <c r="AJ30" s="354" t="e">
        <f>IF(AND('Mapa final'!#REF!="Baja",'Mapa final'!#REF!="Catastrófico"),CONCATENATE("R",'Mapa final'!#REF!),"")</f>
        <v>#REF!</v>
      </c>
      <c r="AK30" s="354"/>
      <c r="AL30" s="354" t="e">
        <f>IF(AND('Mapa final'!#REF!="Baja",'Mapa final'!#REF!="Catastrófico"),CONCATENATE("R",'Mapa final'!#REF!),"")</f>
        <v>#REF!</v>
      </c>
      <c r="AM30" s="355"/>
      <c r="AN30" s="69"/>
      <c r="AO30" s="405" t="s">
        <v>82</v>
      </c>
      <c r="AP30" s="406"/>
      <c r="AQ30" s="406"/>
      <c r="AR30" s="406"/>
      <c r="AS30" s="406"/>
      <c r="AT30" s="407"/>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376"/>
      <c r="C31" s="376"/>
      <c r="D31" s="377"/>
      <c r="E31" s="369"/>
      <c r="F31" s="370"/>
      <c r="G31" s="370"/>
      <c r="H31" s="370"/>
      <c r="I31" s="370"/>
      <c r="J31" s="329"/>
      <c r="K31" s="330"/>
      <c r="L31" s="330"/>
      <c r="M31" s="330"/>
      <c r="N31" s="330"/>
      <c r="O31" s="331"/>
      <c r="P31" s="339"/>
      <c r="Q31" s="339"/>
      <c r="R31" s="339"/>
      <c r="S31" s="339"/>
      <c r="T31" s="339"/>
      <c r="U31" s="340"/>
      <c r="V31" s="338"/>
      <c r="W31" s="339"/>
      <c r="X31" s="339"/>
      <c r="Y31" s="339"/>
      <c r="Z31" s="339"/>
      <c r="AA31" s="340"/>
      <c r="AB31" s="356"/>
      <c r="AC31" s="357"/>
      <c r="AD31" s="357"/>
      <c r="AE31" s="357"/>
      <c r="AF31" s="357"/>
      <c r="AG31" s="358"/>
      <c r="AH31" s="347"/>
      <c r="AI31" s="348"/>
      <c r="AJ31" s="348"/>
      <c r="AK31" s="348"/>
      <c r="AL31" s="348"/>
      <c r="AM31" s="349"/>
      <c r="AN31" s="69"/>
      <c r="AO31" s="408"/>
      <c r="AP31" s="409"/>
      <c r="AQ31" s="409"/>
      <c r="AR31" s="409"/>
      <c r="AS31" s="409"/>
      <c r="AT31" s="410"/>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376"/>
      <c r="C32" s="376"/>
      <c r="D32" s="377"/>
      <c r="E32" s="369"/>
      <c r="F32" s="370"/>
      <c r="G32" s="370"/>
      <c r="H32" s="370"/>
      <c r="I32" s="370"/>
      <c r="J32" s="329" t="e">
        <f>IF(AND('Mapa final'!#REF!="Baja",'Mapa final'!#REF!="Leve"),CONCATENATE("R",'Mapa final'!#REF!),"")</f>
        <v>#REF!</v>
      </c>
      <c r="K32" s="330"/>
      <c r="L32" s="330" t="e">
        <f>IF(AND('Mapa final'!#REF!="Baja",'Mapa final'!#REF!="Leve"),CONCATENATE("R",'Mapa final'!#REF!),"")</f>
        <v>#REF!</v>
      </c>
      <c r="M32" s="330"/>
      <c r="N32" s="330" t="e">
        <f>IF(AND('Mapa final'!#REF!="Baja",'Mapa final'!#REF!="Leve"),CONCATENATE("R",'Mapa final'!#REF!),"")</f>
        <v>#REF!</v>
      </c>
      <c r="O32" s="331"/>
      <c r="P32" s="339" t="e">
        <f>IF(AND('Mapa final'!#REF!="Baja",'Mapa final'!#REF!="Menor"),CONCATENATE("R",'Mapa final'!#REF!),"")</f>
        <v>#REF!</v>
      </c>
      <c r="Q32" s="339"/>
      <c r="R32" s="339" t="e">
        <f>IF(AND('Mapa final'!#REF!="Baja",'Mapa final'!#REF!="Menor"),CONCATENATE("R",'Mapa final'!#REF!),"")</f>
        <v>#REF!</v>
      </c>
      <c r="S32" s="339"/>
      <c r="T32" s="339" t="e">
        <f>IF(AND('Mapa final'!#REF!="Baja",'Mapa final'!#REF!="Menor"),CONCATENATE("R",'Mapa final'!#REF!),"")</f>
        <v>#REF!</v>
      </c>
      <c r="U32" s="340"/>
      <c r="V32" s="338" t="e">
        <f>IF(AND('Mapa final'!#REF!="Baja",'Mapa final'!#REF!="Moderado"),CONCATENATE("R",'Mapa final'!#REF!),"")</f>
        <v>#REF!</v>
      </c>
      <c r="W32" s="339"/>
      <c r="X32" s="339" t="e">
        <f>IF(AND('Mapa final'!#REF!="Baja",'Mapa final'!#REF!="Moderado"),CONCATENATE("R",'Mapa final'!#REF!),"")</f>
        <v>#REF!</v>
      </c>
      <c r="Y32" s="339"/>
      <c r="Z32" s="339" t="e">
        <f>IF(AND('Mapa final'!#REF!="Baja",'Mapa final'!#REF!="Moderado"),CONCATENATE("R",'Mapa final'!#REF!),"")</f>
        <v>#REF!</v>
      </c>
      <c r="AA32" s="340"/>
      <c r="AB32" s="356" t="e">
        <f>IF(AND('Mapa final'!#REF!="Baja",'Mapa final'!#REF!="Mayor"),CONCATENATE("R",'Mapa final'!#REF!),"")</f>
        <v>#REF!</v>
      </c>
      <c r="AC32" s="357"/>
      <c r="AD32" s="357" t="e">
        <f>IF(AND('Mapa final'!#REF!="Baja",'Mapa final'!#REF!="Mayor"),CONCATENATE("R",'Mapa final'!#REF!),"")</f>
        <v>#REF!</v>
      </c>
      <c r="AE32" s="357"/>
      <c r="AF32" s="357" t="e">
        <f>IF(AND('Mapa final'!#REF!="Baja",'Mapa final'!#REF!="Mayor"),CONCATENATE("R",'Mapa final'!#REF!),"")</f>
        <v>#REF!</v>
      </c>
      <c r="AG32" s="358"/>
      <c r="AH32" s="347" t="e">
        <f>IF(AND('Mapa final'!#REF!="Baja",'Mapa final'!#REF!="Catastrófico"),CONCATENATE("R",'Mapa final'!#REF!),"")</f>
        <v>#REF!</v>
      </c>
      <c r="AI32" s="348"/>
      <c r="AJ32" s="348" t="e">
        <f>IF(AND('Mapa final'!#REF!="Baja",'Mapa final'!#REF!="Catastrófico"),CONCATENATE("R",'Mapa final'!#REF!),"")</f>
        <v>#REF!</v>
      </c>
      <c r="AK32" s="348"/>
      <c r="AL32" s="348" t="e">
        <f>IF(AND('Mapa final'!#REF!="Baja",'Mapa final'!#REF!="Catastrófico"),CONCATENATE("R",'Mapa final'!#REF!),"")</f>
        <v>#REF!</v>
      </c>
      <c r="AM32" s="349"/>
      <c r="AN32" s="69"/>
      <c r="AO32" s="408"/>
      <c r="AP32" s="409"/>
      <c r="AQ32" s="409"/>
      <c r="AR32" s="409"/>
      <c r="AS32" s="409"/>
      <c r="AT32" s="410"/>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376"/>
      <c r="C33" s="376"/>
      <c r="D33" s="377"/>
      <c r="E33" s="369"/>
      <c r="F33" s="370"/>
      <c r="G33" s="370"/>
      <c r="H33" s="370"/>
      <c r="I33" s="370"/>
      <c r="J33" s="329"/>
      <c r="K33" s="330"/>
      <c r="L33" s="330"/>
      <c r="M33" s="330"/>
      <c r="N33" s="330"/>
      <c r="O33" s="331"/>
      <c r="P33" s="339"/>
      <c r="Q33" s="339"/>
      <c r="R33" s="339"/>
      <c r="S33" s="339"/>
      <c r="T33" s="339"/>
      <c r="U33" s="340"/>
      <c r="V33" s="338"/>
      <c r="W33" s="339"/>
      <c r="X33" s="339"/>
      <c r="Y33" s="339"/>
      <c r="Z33" s="339"/>
      <c r="AA33" s="340"/>
      <c r="AB33" s="356"/>
      <c r="AC33" s="357"/>
      <c r="AD33" s="357"/>
      <c r="AE33" s="357"/>
      <c r="AF33" s="357"/>
      <c r="AG33" s="358"/>
      <c r="AH33" s="347"/>
      <c r="AI33" s="348"/>
      <c r="AJ33" s="348"/>
      <c r="AK33" s="348"/>
      <c r="AL33" s="348"/>
      <c r="AM33" s="349"/>
      <c r="AN33" s="69"/>
      <c r="AO33" s="408"/>
      <c r="AP33" s="409"/>
      <c r="AQ33" s="409"/>
      <c r="AR33" s="409"/>
      <c r="AS33" s="409"/>
      <c r="AT33" s="410"/>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376"/>
      <c r="C34" s="376"/>
      <c r="D34" s="377"/>
      <c r="E34" s="369"/>
      <c r="F34" s="370"/>
      <c r="G34" s="370"/>
      <c r="H34" s="370"/>
      <c r="I34" s="370"/>
      <c r="J34" s="329" t="e">
        <f>IF(AND('Mapa final'!#REF!="Baja",'Mapa final'!#REF!="Leve"),CONCATENATE("R",'Mapa final'!#REF!),"")</f>
        <v>#REF!</v>
      </c>
      <c r="K34" s="330"/>
      <c r="L34" s="330" t="e">
        <f>IF(AND('Mapa final'!#REF!="Baja",'Mapa final'!#REF!="Leve"),CONCATENATE("R",'Mapa final'!#REF!),"")</f>
        <v>#REF!</v>
      </c>
      <c r="M34" s="330"/>
      <c r="N34" s="330" t="e">
        <f>IF(AND('Mapa final'!#REF!="Baja",'Mapa final'!#REF!="Leve"),CONCATENATE("R",'Mapa final'!#REF!),"")</f>
        <v>#REF!</v>
      </c>
      <c r="O34" s="331"/>
      <c r="P34" s="339" t="e">
        <f>IF(AND('Mapa final'!#REF!="Baja",'Mapa final'!#REF!="Menor"),CONCATENATE("R",'Mapa final'!#REF!),"")</f>
        <v>#REF!</v>
      </c>
      <c r="Q34" s="339"/>
      <c r="R34" s="339" t="e">
        <f>IF(AND('Mapa final'!#REF!="Baja",'Mapa final'!#REF!="Menor"),CONCATENATE("R",'Mapa final'!#REF!),"")</f>
        <v>#REF!</v>
      </c>
      <c r="S34" s="339"/>
      <c r="T34" s="339" t="e">
        <f>IF(AND('Mapa final'!#REF!="Baja",'Mapa final'!#REF!="Menor"),CONCATENATE("R",'Mapa final'!#REF!),"")</f>
        <v>#REF!</v>
      </c>
      <c r="U34" s="340"/>
      <c r="V34" s="338" t="e">
        <f>IF(AND('Mapa final'!#REF!="Baja",'Mapa final'!#REF!="Moderado"),CONCATENATE("R",'Mapa final'!#REF!),"")</f>
        <v>#REF!</v>
      </c>
      <c r="W34" s="339"/>
      <c r="X34" s="339" t="e">
        <f>IF(AND('Mapa final'!#REF!="Baja",'Mapa final'!#REF!="Moderado"),CONCATENATE("R",'Mapa final'!#REF!),"")</f>
        <v>#REF!</v>
      </c>
      <c r="Y34" s="339"/>
      <c r="Z34" s="339" t="e">
        <f>IF(AND('Mapa final'!#REF!="Baja",'Mapa final'!#REF!="Moderado"),CONCATENATE("R",'Mapa final'!#REF!),"")</f>
        <v>#REF!</v>
      </c>
      <c r="AA34" s="340"/>
      <c r="AB34" s="356" t="e">
        <f>IF(AND('Mapa final'!#REF!="Baja",'Mapa final'!#REF!="Mayor"),CONCATENATE("R",'Mapa final'!#REF!),"")</f>
        <v>#REF!</v>
      </c>
      <c r="AC34" s="357"/>
      <c r="AD34" s="357" t="e">
        <f>IF(AND('Mapa final'!#REF!="Baja",'Mapa final'!#REF!="Mayor"),CONCATENATE("R",'Mapa final'!#REF!),"")</f>
        <v>#REF!</v>
      </c>
      <c r="AE34" s="357"/>
      <c r="AF34" s="357" t="e">
        <f>IF(AND('Mapa final'!#REF!="Baja",'Mapa final'!#REF!="Mayor"),CONCATENATE("R",'Mapa final'!#REF!),"")</f>
        <v>#REF!</v>
      </c>
      <c r="AG34" s="358"/>
      <c r="AH34" s="347" t="e">
        <f>IF(AND('Mapa final'!#REF!="Baja",'Mapa final'!#REF!="Catastrófico"),CONCATENATE("R",'Mapa final'!#REF!),"")</f>
        <v>#REF!</v>
      </c>
      <c r="AI34" s="348"/>
      <c r="AJ34" s="348" t="e">
        <f>IF(AND('Mapa final'!#REF!="Baja",'Mapa final'!#REF!="Catastrófico"),CONCATENATE("R",'Mapa final'!#REF!),"")</f>
        <v>#REF!</v>
      </c>
      <c r="AK34" s="348"/>
      <c r="AL34" s="348" t="e">
        <f>IF(AND('Mapa final'!#REF!="Baja",'Mapa final'!#REF!="Catastrófico"),CONCATENATE("R",'Mapa final'!#REF!),"")</f>
        <v>#REF!</v>
      </c>
      <c r="AM34" s="349"/>
      <c r="AN34" s="69"/>
      <c r="AO34" s="408"/>
      <c r="AP34" s="409"/>
      <c r="AQ34" s="409"/>
      <c r="AR34" s="409"/>
      <c r="AS34" s="409"/>
      <c r="AT34" s="410"/>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376"/>
      <c r="C35" s="376"/>
      <c r="D35" s="377"/>
      <c r="E35" s="369"/>
      <c r="F35" s="370"/>
      <c r="G35" s="370"/>
      <c r="H35" s="370"/>
      <c r="I35" s="370"/>
      <c r="J35" s="329"/>
      <c r="K35" s="330"/>
      <c r="L35" s="330"/>
      <c r="M35" s="330"/>
      <c r="N35" s="330"/>
      <c r="O35" s="331"/>
      <c r="P35" s="339"/>
      <c r="Q35" s="339"/>
      <c r="R35" s="339"/>
      <c r="S35" s="339"/>
      <c r="T35" s="339"/>
      <c r="U35" s="340"/>
      <c r="V35" s="338"/>
      <c r="W35" s="339"/>
      <c r="X35" s="339"/>
      <c r="Y35" s="339"/>
      <c r="Z35" s="339"/>
      <c r="AA35" s="340"/>
      <c r="AB35" s="356"/>
      <c r="AC35" s="357"/>
      <c r="AD35" s="357"/>
      <c r="AE35" s="357"/>
      <c r="AF35" s="357"/>
      <c r="AG35" s="358"/>
      <c r="AH35" s="347"/>
      <c r="AI35" s="348"/>
      <c r="AJ35" s="348"/>
      <c r="AK35" s="348"/>
      <c r="AL35" s="348"/>
      <c r="AM35" s="349"/>
      <c r="AN35" s="69"/>
      <c r="AO35" s="408"/>
      <c r="AP35" s="409"/>
      <c r="AQ35" s="409"/>
      <c r="AR35" s="409"/>
      <c r="AS35" s="409"/>
      <c r="AT35" s="410"/>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376"/>
      <c r="C36" s="376"/>
      <c r="D36" s="377"/>
      <c r="E36" s="369"/>
      <c r="F36" s="370"/>
      <c r="G36" s="370"/>
      <c r="H36" s="370"/>
      <c r="I36" s="370"/>
      <c r="J36" s="329" t="e">
        <f>IF(AND('Mapa final'!#REF!="Baja",'Mapa final'!#REF!="Leve"),CONCATENATE("R",'Mapa final'!#REF!),"")</f>
        <v>#REF!</v>
      </c>
      <c r="K36" s="330"/>
      <c r="L36" s="330" t="str">
        <f>IF(AND('Mapa final'!$H$19="Baja",'Mapa final'!$L$19="Leve"),CONCATENATE("R",'Mapa final'!$A$19),"")</f>
        <v/>
      </c>
      <c r="M36" s="330"/>
      <c r="N36" s="330" t="str">
        <f>IF(AND('Mapa final'!$H$25="Baja",'Mapa final'!$L$25="Leve"),CONCATENATE("R",'Mapa final'!$A$25),"")</f>
        <v/>
      </c>
      <c r="O36" s="331"/>
      <c r="P36" s="339" t="e">
        <f>IF(AND('Mapa final'!#REF!="Baja",'Mapa final'!#REF!="Menor"),CONCATENATE("R",'Mapa final'!#REF!),"")</f>
        <v>#REF!</v>
      </c>
      <c r="Q36" s="339"/>
      <c r="R36" s="339" t="str">
        <f>IF(AND('Mapa final'!$H$19="Baja",'Mapa final'!$L$19="Menor"),CONCATENATE("R",'Mapa final'!$A$19),"")</f>
        <v/>
      </c>
      <c r="S36" s="339"/>
      <c r="T36" s="339" t="str">
        <f>IF(AND('Mapa final'!$H$25="Baja",'Mapa final'!$L$25="Menor"),CONCATENATE("R",'Mapa final'!$A$25),"")</f>
        <v/>
      </c>
      <c r="U36" s="340"/>
      <c r="V36" s="338" t="e">
        <f>IF(AND('Mapa final'!#REF!="Baja",'Mapa final'!#REF!="Moderado"),CONCATENATE("R",'Mapa final'!#REF!),"")</f>
        <v>#REF!</v>
      </c>
      <c r="W36" s="339"/>
      <c r="X36" s="339" t="str">
        <f>IF(AND('Mapa final'!$H$19="Baja",'Mapa final'!$L$19="Moderado"),CONCATENATE("R",'Mapa final'!$A$19),"")</f>
        <v/>
      </c>
      <c r="Y36" s="339"/>
      <c r="Z36" s="339" t="str">
        <f>IF(AND('Mapa final'!$H$25="Baja",'Mapa final'!$L$25="Moderado"),CONCATENATE("R",'Mapa final'!$A$25),"")</f>
        <v/>
      </c>
      <c r="AA36" s="340"/>
      <c r="AB36" s="356" t="e">
        <f>IF(AND('Mapa final'!#REF!="Baja",'Mapa final'!#REF!="Mayor"),CONCATENATE("R",'Mapa final'!#REF!),"")</f>
        <v>#REF!</v>
      </c>
      <c r="AC36" s="357"/>
      <c r="AD36" s="357" t="str">
        <f>IF(AND('Mapa final'!$H$19="Baja",'Mapa final'!$L$19="Mayor"),CONCATENATE("R",'Mapa final'!$A$19),"")</f>
        <v/>
      </c>
      <c r="AE36" s="357"/>
      <c r="AF36" s="357" t="str">
        <f>IF(AND('Mapa final'!$H$25="Baja",'Mapa final'!$L$25="Mayor"),CONCATENATE("R",'Mapa final'!$A$25),"")</f>
        <v/>
      </c>
      <c r="AG36" s="358"/>
      <c r="AH36" s="347" t="e">
        <f>IF(AND('Mapa final'!#REF!="Baja",'Mapa final'!#REF!="Catastrófico"),CONCATENATE("R",'Mapa final'!#REF!),"")</f>
        <v>#REF!</v>
      </c>
      <c r="AI36" s="348"/>
      <c r="AJ36" s="348" t="str">
        <f>IF(AND('Mapa final'!$H$19="Baja",'Mapa final'!$L$19="Catastrófico"),CONCATENATE("R",'Mapa final'!$A$19),"")</f>
        <v/>
      </c>
      <c r="AK36" s="348"/>
      <c r="AL36" s="348" t="str">
        <f>IF(AND('Mapa final'!$H$25="Baja",'Mapa final'!$L$25="Catastrófico"),CONCATENATE("R",'Mapa final'!$A$25),"")</f>
        <v/>
      </c>
      <c r="AM36" s="349"/>
      <c r="AN36" s="69"/>
      <c r="AO36" s="408"/>
      <c r="AP36" s="409"/>
      <c r="AQ36" s="409"/>
      <c r="AR36" s="409"/>
      <c r="AS36" s="409"/>
      <c r="AT36" s="410"/>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376"/>
      <c r="C37" s="376"/>
      <c r="D37" s="377"/>
      <c r="E37" s="372"/>
      <c r="F37" s="373"/>
      <c r="G37" s="373"/>
      <c r="H37" s="373"/>
      <c r="I37" s="373"/>
      <c r="J37" s="332"/>
      <c r="K37" s="333"/>
      <c r="L37" s="333"/>
      <c r="M37" s="333"/>
      <c r="N37" s="333"/>
      <c r="O37" s="334"/>
      <c r="P37" s="342"/>
      <c r="Q37" s="342"/>
      <c r="R37" s="342"/>
      <c r="S37" s="342"/>
      <c r="T37" s="342"/>
      <c r="U37" s="343"/>
      <c r="V37" s="341"/>
      <c r="W37" s="342"/>
      <c r="X37" s="342"/>
      <c r="Y37" s="342"/>
      <c r="Z37" s="342"/>
      <c r="AA37" s="343"/>
      <c r="AB37" s="359"/>
      <c r="AC37" s="360"/>
      <c r="AD37" s="360"/>
      <c r="AE37" s="360"/>
      <c r="AF37" s="360"/>
      <c r="AG37" s="361"/>
      <c r="AH37" s="350"/>
      <c r="AI37" s="351"/>
      <c r="AJ37" s="351"/>
      <c r="AK37" s="351"/>
      <c r="AL37" s="351"/>
      <c r="AM37" s="352"/>
      <c r="AN37" s="69"/>
      <c r="AO37" s="411"/>
      <c r="AP37" s="412"/>
      <c r="AQ37" s="412"/>
      <c r="AR37" s="412"/>
      <c r="AS37" s="412"/>
      <c r="AT37" s="413"/>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376"/>
      <c r="C38" s="376"/>
      <c r="D38" s="377"/>
      <c r="E38" s="366" t="s">
        <v>113</v>
      </c>
      <c r="F38" s="367"/>
      <c r="G38" s="367"/>
      <c r="H38" s="367"/>
      <c r="I38" s="368"/>
      <c r="J38" s="335" t="str">
        <f>IF(AND('Mapa final'!$H$13="Muy Baja",'Mapa final'!$L$13="Leve"),CONCATENATE("R",'Mapa final'!$A$13),"")</f>
        <v/>
      </c>
      <c r="K38" s="336"/>
      <c r="L38" s="336" t="e">
        <f>IF(AND('Mapa final'!#REF!="Muy Baja",'Mapa final'!#REF!="Leve"),CONCATENATE("R",'Mapa final'!#REF!),"")</f>
        <v>#REF!</v>
      </c>
      <c r="M38" s="336"/>
      <c r="N38" s="336" t="e">
        <f>IF(AND('Mapa final'!#REF!="Muy Baja",'Mapa final'!#REF!="Leve"),CONCATENATE("R",'Mapa final'!#REF!),"")</f>
        <v>#REF!</v>
      </c>
      <c r="O38" s="337"/>
      <c r="P38" s="335" t="str">
        <f>IF(AND('Mapa final'!$H$13="Muy Baja",'Mapa final'!$L$13="Menor"),CONCATENATE("R",'Mapa final'!$A$13),"")</f>
        <v/>
      </c>
      <c r="Q38" s="336"/>
      <c r="R38" s="336" t="e">
        <f>IF(AND('Mapa final'!#REF!="Muy Baja",'Mapa final'!#REF!="Menor"),CONCATENATE("R",'Mapa final'!#REF!),"")</f>
        <v>#REF!</v>
      </c>
      <c r="S38" s="336"/>
      <c r="T38" s="336" t="e">
        <f>IF(AND('Mapa final'!#REF!="Muy Baja",'Mapa final'!#REF!="Menor"),CONCATENATE("R",'Mapa final'!#REF!),"")</f>
        <v>#REF!</v>
      </c>
      <c r="U38" s="337"/>
      <c r="V38" s="344" t="str">
        <f>IF(AND('Mapa final'!$H$13="Muy Baja",'Mapa final'!$L$13="Moderado"),CONCATENATE("R",'Mapa final'!$A$13),"")</f>
        <v/>
      </c>
      <c r="W38" s="345"/>
      <c r="X38" s="345" t="e">
        <f>IF(AND('Mapa final'!#REF!="Muy Baja",'Mapa final'!#REF!="Moderado"),CONCATENATE("R",'Mapa final'!#REF!),"")</f>
        <v>#REF!</v>
      </c>
      <c r="Y38" s="345"/>
      <c r="Z38" s="345" t="e">
        <f>IF(AND('Mapa final'!#REF!="Muy Baja",'Mapa final'!#REF!="Moderado"),CONCATENATE("R",'Mapa final'!#REF!),"")</f>
        <v>#REF!</v>
      </c>
      <c r="AA38" s="346"/>
      <c r="AB38" s="362" t="str">
        <f>IF(AND('Mapa final'!$H$13="Muy Baja",'Mapa final'!$L$13="Mayor"),CONCATENATE("R",'Mapa final'!$A$13),"")</f>
        <v/>
      </c>
      <c r="AC38" s="363"/>
      <c r="AD38" s="363" t="e">
        <f>IF(AND('Mapa final'!#REF!="Muy Baja",'Mapa final'!#REF!="Mayor"),CONCATENATE("R",'Mapa final'!#REF!),"")</f>
        <v>#REF!</v>
      </c>
      <c r="AE38" s="363"/>
      <c r="AF38" s="363" t="e">
        <f>IF(AND('Mapa final'!#REF!="Muy Baja",'Mapa final'!#REF!="Mayor"),CONCATENATE("R",'Mapa final'!#REF!),"")</f>
        <v>#REF!</v>
      </c>
      <c r="AG38" s="364"/>
      <c r="AH38" s="353" t="str">
        <f>IF(AND('Mapa final'!$H$13="Muy Baja",'Mapa final'!$L$13="Catastrófico"),CONCATENATE("R",'Mapa final'!$A$13),"")</f>
        <v/>
      </c>
      <c r="AI38" s="354"/>
      <c r="AJ38" s="354" t="e">
        <f>IF(AND('Mapa final'!#REF!="Muy Baja",'Mapa final'!#REF!="Catastrófico"),CONCATENATE("R",'Mapa final'!#REF!),"")</f>
        <v>#REF!</v>
      </c>
      <c r="AK38" s="354"/>
      <c r="AL38" s="354" t="e">
        <f>IF(AND('Mapa final'!#REF!="Muy Baja",'Mapa final'!#REF!="Catastrófico"),CONCATENATE("R",'Mapa final'!#REF!),"")</f>
        <v>#REF!</v>
      </c>
      <c r="AM38" s="355"/>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376"/>
      <c r="C39" s="376"/>
      <c r="D39" s="377"/>
      <c r="E39" s="369"/>
      <c r="F39" s="370"/>
      <c r="G39" s="370"/>
      <c r="H39" s="370"/>
      <c r="I39" s="371"/>
      <c r="J39" s="329"/>
      <c r="K39" s="330"/>
      <c r="L39" s="330"/>
      <c r="M39" s="330"/>
      <c r="N39" s="330"/>
      <c r="O39" s="331"/>
      <c r="P39" s="329"/>
      <c r="Q39" s="330"/>
      <c r="R39" s="330"/>
      <c r="S39" s="330"/>
      <c r="T39" s="330"/>
      <c r="U39" s="331"/>
      <c r="V39" s="338"/>
      <c r="W39" s="339"/>
      <c r="X39" s="339"/>
      <c r="Y39" s="339"/>
      <c r="Z39" s="339"/>
      <c r="AA39" s="340"/>
      <c r="AB39" s="356"/>
      <c r="AC39" s="357"/>
      <c r="AD39" s="357"/>
      <c r="AE39" s="357"/>
      <c r="AF39" s="357"/>
      <c r="AG39" s="358"/>
      <c r="AH39" s="347"/>
      <c r="AI39" s="348"/>
      <c r="AJ39" s="348"/>
      <c r="AK39" s="348"/>
      <c r="AL39" s="348"/>
      <c r="AM39" s="34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376"/>
      <c r="C40" s="376"/>
      <c r="D40" s="377"/>
      <c r="E40" s="369"/>
      <c r="F40" s="370"/>
      <c r="G40" s="370"/>
      <c r="H40" s="370"/>
      <c r="I40" s="371"/>
      <c r="J40" s="329" t="e">
        <f>IF(AND('Mapa final'!#REF!="Muy Baja",'Mapa final'!#REF!="Leve"),CONCATENATE("R",'Mapa final'!#REF!),"")</f>
        <v>#REF!</v>
      </c>
      <c r="K40" s="330"/>
      <c r="L40" s="330" t="e">
        <f>IF(AND('Mapa final'!#REF!="Muy Baja",'Mapa final'!#REF!="Leve"),CONCATENATE("R",'Mapa final'!#REF!),"")</f>
        <v>#REF!</v>
      </c>
      <c r="M40" s="330"/>
      <c r="N40" s="330" t="e">
        <f>IF(AND('Mapa final'!#REF!="Muy Baja",'Mapa final'!#REF!="Leve"),CONCATENATE("R",'Mapa final'!#REF!),"")</f>
        <v>#REF!</v>
      </c>
      <c r="O40" s="331"/>
      <c r="P40" s="329" t="e">
        <f>IF(AND('Mapa final'!#REF!="Muy Baja",'Mapa final'!#REF!="Menor"),CONCATENATE("R",'Mapa final'!#REF!),"")</f>
        <v>#REF!</v>
      </c>
      <c r="Q40" s="330"/>
      <c r="R40" s="330" t="e">
        <f>IF(AND('Mapa final'!#REF!="Muy Baja",'Mapa final'!#REF!="Menor"),CONCATENATE("R",'Mapa final'!#REF!),"")</f>
        <v>#REF!</v>
      </c>
      <c r="S40" s="330"/>
      <c r="T40" s="330" t="e">
        <f>IF(AND('Mapa final'!#REF!="Muy Baja",'Mapa final'!#REF!="Menor"),CONCATENATE("R",'Mapa final'!#REF!),"")</f>
        <v>#REF!</v>
      </c>
      <c r="U40" s="331"/>
      <c r="V40" s="338" t="e">
        <f>IF(AND('Mapa final'!#REF!="Muy Baja",'Mapa final'!#REF!="Moderado"),CONCATENATE("R",'Mapa final'!#REF!),"")</f>
        <v>#REF!</v>
      </c>
      <c r="W40" s="339"/>
      <c r="X40" s="339" t="e">
        <f>IF(AND('Mapa final'!#REF!="Muy Baja",'Mapa final'!#REF!="Moderado"),CONCATENATE("R",'Mapa final'!#REF!),"")</f>
        <v>#REF!</v>
      </c>
      <c r="Y40" s="339"/>
      <c r="Z40" s="339" t="e">
        <f>IF(AND('Mapa final'!#REF!="Muy Baja",'Mapa final'!#REF!="Moderado"),CONCATENATE("R",'Mapa final'!#REF!),"")</f>
        <v>#REF!</v>
      </c>
      <c r="AA40" s="340"/>
      <c r="AB40" s="356" t="e">
        <f>IF(AND('Mapa final'!#REF!="Muy Baja",'Mapa final'!#REF!="Mayor"),CONCATENATE("R",'Mapa final'!#REF!),"")</f>
        <v>#REF!</v>
      </c>
      <c r="AC40" s="357"/>
      <c r="AD40" s="357" t="e">
        <f>IF(AND('Mapa final'!#REF!="Muy Baja",'Mapa final'!#REF!="Mayor"),CONCATENATE("R",'Mapa final'!#REF!),"")</f>
        <v>#REF!</v>
      </c>
      <c r="AE40" s="357"/>
      <c r="AF40" s="357" t="e">
        <f>IF(AND('Mapa final'!#REF!="Muy Baja",'Mapa final'!#REF!="Mayor"),CONCATENATE("R",'Mapa final'!#REF!),"")</f>
        <v>#REF!</v>
      </c>
      <c r="AG40" s="358"/>
      <c r="AH40" s="347" t="e">
        <f>IF(AND('Mapa final'!#REF!="Muy Baja",'Mapa final'!#REF!="Catastrófico"),CONCATENATE("R",'Mapa final'!#REF!),"")</f>
        <v>#REF!</v>
      </c>
      <c r="AI40" s="348"/>
      <c r="AJ40" s="348" t="e">
        <f>IF(AND('Mapa final'!#REF!="Muy Baja",'Mapa final'!#REF!="Catastrófico"),CONCATENATE("R",'Mapa final'!#REF!),"")</f>
        <v>#REF!</v>
      </c>
      <c r="AK40" s="348"/>
      <c r="AL40" s="348" t="e">
        <f>IF(AND('Mapa final'!#REF!="Muy Baja",'Mapa final'!#REF!="Catastrófico"),CONCATENATE("R",'Mapa final'!#REF!),"")</f>
        <v>#REF!</v>
      </c>
      <c r="AM40" s="34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376"/>
      <c r="C41" s="376"/>
      <c r="D41" s="377"/>
      <c r="E41" s="369"/>
      <c r="F41" s="370"/>
      <c r="G41" s="370"/>
      <c r="H41" s="370"/>
      <c r="I41" s="371"/>
      <c r="J41" s="329"/>
      <c r="K41" s="330"/>
      <c r="L41" s="330"/>
      <c r="M41" s="330"/>
      <c r="N41" s="330"/>
      <c r="O41" s="331"/>
      <c r="P41" s="329"/>
      <c r="Q41" s="330"/>
      <c r="R41" s="330"/>
      <c r="S41" s="330"/>
      <c r="T41" s="330"/>
      <c r="U41" s="331"/>
      <c r="V41" s="338"/>
      <c r="W41" s="339"/>
      <c r="X41" s="339"/>
      <c r="Y41" s="339"/>
      <c r="Z41" s="339"/>
      <c r="AA41" s="340"/>
      <c r="AB41" s="356"/>
      <c r="AC41" s="357"/>
      <c r="AD41" s="357"/>
      <c r="AE41" s="357"/>
      <c r="AF41" s="357"/>
      <c r="AG41" s="358"/>
      <c r="AH41" s="347"/>
      <c r="AI41" s="348"/>
      <c r="AJ41" s="348"/>
      <c r="AK41" s="348"/>
      <c r="AL41" s="348"/>
      <c r="AM41" s="34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376"/>
      <c r="C42" s="376"/>
      <c r="D42" s="377"/>
      <c r="E42" s="369"/>
      <c r="F42" s="370"/>
      <c r="G42" s="370"/>
      <c r="H42" s="370"/>
      <c r="I42" s="371"/>
      <c r="J42" s="329" t="e">
        <f>IF(AND('Mapa final'!#REF!="Muy Baja",'Mapa final'!#REF!="Leve"),CONCATENATE("R",'Mapa final'!#REF!),"")</f>
        <v>#REF!</v>
      </c>
      <c r="K42" s="330"/>
      <c r="L42" s="330" t="e">
        <f>IF(AND('Mapa final'!#REF!="Muy Baja",'Mapa final'!#REF!="Leve"),CONCATENATE("R",'Mapa final'!#REF!),"")</f>
        <v>#REF!</v>
      </c>
      <c r="M42" s="330"/>
      <c r="N42" s="330" t="e">
        <f>IF(AND('Mapa final'!#REF!="Muy Baja",'Mapa final'!#REF!="Leve"),CONCATENATE("R",'Mapa final'!#REF!),"")</f>
        <v>#REF!</v>
      </c>
      <c r="O42" s="331"/>
      <c r="P42" s="329" t="e">
        <f>IF(AND('Mapa final'!#REF!="Muy Baja",'Mapa final'!#REF!="Menor"),CONCATENATE("R",'Mapa final'!#REF!),"")</f>
        <v>#REF!</v>
      </c>
      <c r="Q42" s="330"/>
      <c r="R42" s="330" t="e">
        <f>IF(AND('Mapa final'!#REF!="Muy Baja",'Mapa final'!#REF!="Menor"),CONCATENATE("R",'Mapa final'!#REF!),"")</f>
        <v>#REF!</v>
      </c>
      <c r="S42" s="330"/>
      <c r="T42" s="330" t="e">
        <f>IF(AND('Mapa final'!#REF!="Muy Baja",'Mapa final'!#REF!="Menor"),CONCATENATE("R",'Mapa final'!#REF!),"")</f>
        <v>#REF!</v>
      </c>
      <c r="U42" s="331"/>
      <c r="V42" s="338" t="e">
        <f>IF(AND('Mapa final'!#REF!="Muy Baja",'Mapa final'!#REF!="Moderado"),CONCATENATE("R",'Mapa final'!#REF!),"")</f>
        <v>#REF!</v>
      </c>
      <c r="W42" s="339"/>
      <c r="X42" s="339" t="e">
        <f>IF(AND('Mapa final'!#REF!="Muy Baja",'Mapa final'!#REF!="Moderado"),CONCATENATE("R",'Mapa final'!#REF!),"")</f>
        <v>#REF!</v>
      </c>
      <c r="Y42" s="339"/>
      <c r="Z42" s="339" t="e">
        <f>IF(AND('Mapa final'!#REF!="Muy Baja",'Mapa final'!#REF!="Moderado"),CONCATENATE("R",'Mapa final'!#REF!),"")</f>
        <v>#REF!</v>
      </c>
      <c r="AA42" s="340"/>
      <c r="AB42" s="356" t="e">
        <f>IF(AND('Mapa final'!#REF!="Muy Baja",'Mapa final'!#REF!="Mayor"),CONCATENATE("R",'Mapa final'!#REF!),"")</f>
        <v>#REF!</v>
      </c>
      <c r="AC42" s="357"/>
      <c r="AD42" s="357" t="e">
        <f>IF(AND('Mapa final'!#REF!="Muy Baja",'Mapa final'!#REF!="Mayor"),CONCATENATE("R",'Mapa final'!#REF!),"")</f>
        <v>#REF!</v>
      </c>
      <c r="AE42" s="357"/>
      <c r="AF42" s="357" t="e">
        <f>IF(AND('Mapa final'!#REF!="Muy Baja",'Mapa final'!#REF!="Mayor"),CONCATENATE("R",'Mapa final'!#REF!),"")</f>
        <v>#REF!</v>
      </c>
      <c r="AG42" s="358"/>
      <c r="AH42" s="347" t="e">
        <f>IF(AND('Mapa final'!#REF!="Muy Baja",'Mapa final'!#REF!="Catastrófico"),CONCATENATE("R",'Mapa final'!#REF!),"")</f>
        <v>#REF!</v>
      </c>
      <c r="AI42" s="348"/>
      <c r="AJ42" s="348" t="e">
        <f>IF(AND('Mapa final'!#REF!="Muy Baja",'Mapa final'!#REF!="Catastrófico"),CONCATENATE("R",'Mapa final'!#REF!),"")</f>
        <v>#REF!</v>
      </c>
      <c r="AK42" s="348"/>
      <c r="AL42" s="348" t="e">
        <f>IF(AND('Mapa final'!#REF!="Muy Baja",'Mapa final'!#REF!="Catastrófico"),CONCATENATE("R",'Mapa final'!#REF!),"")</f>
        <v>#REF!</v>
      </c>
      <c r="AM42" s="34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376"/>
      <c r="C43" s="376"/>
      <c r="D43" s="377"/>
      <c r="E43" s="369"/>
      <c r="F43" s="370"/>
      <c r="G43" s="370"/>
      <c r="H43" s="370"/>
      <c r="I43" s="371"/>
      <c r="J43" s="329"/>
      <c r="K43" s="330"/>
      <c r="L43" s="330"/>
      <c r="M43" s="330"/>
      <c r="N43" s="330"/>
      <c r="O43" s="331"/>
      <c r="P43" s="329"/>
      <c r="Q43" s="330"/>
      <c r="R43" s="330"/>
      <c r="S43" s="330"/>
      <c r="T43" s="330"/>
      <c r="U43" s="331"/>
      <c r="V43" s="338"/>
      <c r="W43" s="339"/>
      <c r="X43" s="339"/>
      <c r="Y43" s="339"/>
      <c r="Z43" s="339"/>
      <c r="AA43" s="340"/>
      <c r="AB43" s="356"/>
      <c r="AC43" s="357"/>
      <c r="AD43" s="357"/>
      <c r="AE43" s="357"/>
      <c r="AF43" s="357"/>
      <c r="AG43" s="358"/>
      <c r="AH43" s="347"/>
      <c r="AI43" s="348"/>
      <c r="AJ43" s="348"/>
      <c r="AK43" s="348"/>
      <c r="AL43" s="348"/>
      <c r="AM43" s="34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376"/>
      <c r="C44" s="376"/>
      <c r="D44" s="377"/>
      <c r="E44" s="369"/>
      <c r="F44" s="370"/>
      <c r="G44" s="370"/>
      <c r="H44" s="370"/>
      <c r="I44" s="371"/>
      <c r="J44" s="329" t="e">
        <f>IF(AND('Mapa final'!#REF!="Muy Baja",'Mapa final'!#REF!="Leve"),CONCATENATE("R",'Mapa final'!#REF!),"")</f>
        <v>#REF!</v>
      </c>
      <c r="K44" s="330"/>
      <c r="L44" s="330" t="str">
        <f>IF(AND('Mapa final'!$H$19="Muy Baja",'Mapa final'!$L$19="Leve"),CONCATENATE("R",'Mapa final'!$A$19),"")</f>
        <v/>
      </c>
      <c r="M44" s="330"/>
      <c r="N44" s="330" t="str">
        <f>IF(AND('Mapa final'!$H$25="Muy Baja",'Mapa final'!$L$25="Leve"),CONCATENATE("R",'Mapa final'!$A$25),"")</f>
        <v/>
      </c>
      <c r="O44" s="331"/>
      <c r="P44" s="329" t="e">
        <f>IF(AND('Mapa final'!#REF!="Muy Baja",'Mapa final'!#REF!="Menor"),CONCATENATE("R",'Mapa final'!#REF!),"")</f>
        <v>#REF!</v>
      </c>
      <c r="Q44" s="330"/>
      <c r="R44" s="330" t="str">
        <f>IF(AND('Mapa final'!$H$19="Muy Baja",'Mapa final'!$L$19="Menor"),CONCATENATE("R",'Mapa final'!$A$19),"")</f>
        <v/>
      </c>
      <c r="S44" s="330"/>
      <c r="T44" s="330" t="str">
        <f>IF(AND('Mapa final'!$H$25="Muy Baja",'Mapa final'!$L$25="Menor"),CONCATENATE("R",'Mapa final'!$A$25),"")</f>
        <v/>
      </c>
      <c r="U44" s="331"/>
      <c r="V44" s="338" t="e">
        <f>IF(AND('Mapa final'!#REF!="Muy Baja",'Mapa final'!#REF!="Moderado"),CONCATENATE("R",'Mapa final'!#REF!),"")</f>
        <v>#REF!</v>
      </c>
      <c r="W44" s="339"/>
      <c r="X44" s="339" t="str">
        <f>IF(AND('Mapa final'!$H$19="Muy Baja",'Mapa final'!$L$19="Moderado"),CONCATENATE("R",'Mapa final'!$A$19),"")</f>
        <v/>
      </c>
      <c r="Y44" s="339"/>
      <c r="Z44" s="339" t="str">
        <f>IF(AND('Mapa final'!$H$25="Muy Baja",'Mapa final'!$L$25="Moderado"),CONCATENATE("R",'Mapa final'!$A$25),"")</f>
        <v/>
      </c>
      <c r="AA44" s="340"/>
      <c r="AB44" s="356" t="e">
        <f>IF(AND('Mapa final'!#REF!="Muy Baja",'Mapa final'!#REF!="Mayor"),CONCATENATE("R",'Mapa final'!#REF!),"")</f>
        <v>#REF!</v>
      </c>
      <c r="AC44" s="357"/>
      <c r="AD44" s="357" t="str">
        <f>IF(AND('Mapa final'!$H$19="Muy Baja",'Mapa final'!$L$19="Mayor"),CONCATENATE("R",'Mapa final'!$A$19),"")</f>
        <v/>
      </c>
      <c r="AE44" s="357"/>
      <c r="AF44" s="357" t="str">
        <f>IF(AND('Mapa final'!$H$25="Muy Baja",'Mapa final'!$L$25="Mayor"),CONCATENATE("R",'Mapa final'!$A$25),"")</f>
        <v/>
      </c>
      <c r="AG44" s="358"/>
      <c r="AH44" s="347" t="e">
        <f>IF(AND('Mapa final'!#REF!="Muy Baja",'Mapa final'!#REF!="Catastrófico"),CONCATENATE("R",'Mapa final'!#REF!),"")</f>
        <v>#REF!</v>
      </c>
      <c r="AI44" s="348"/>
      <c r="AJ44" s="348" t="str">
        <f>IF(AND('Mapa final'!$H$19="Muy Baja",'Mapa final'!$L$19="Catastrófico"),CONCATENATE("R",'Mapa final'!$A$19),"")</f>
        <v/>
      </c>
      <c r="AK44" s="348"/>
      <c r="AL44" s="348" t="str">
        <f>IF(AND('Mapa final'!$H$25="Muy Baja",'Mapa final'!$L$25="Catastrófico"),CONCATENATE("R",'Mapa final'!$A$25),"")</f>
        <v/>
      </c>
      <c r="AM44" s="34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376"/>
      <c r="C45" s="376"/>
      <c r="D45" s="377"/>
      <c r="E45" s="372"/>
      <c r="F45" s="373"/>
      <c r="G45" s="373"/>
      <c r="H45" s="373"/>
      <c r="I45" s="374"/>
      <c r="J45" s="332"/>
      <c r="K45" s="333"/>
      <c r="L45" s="333"/>
      <c r="M45" s="333"/>
      <c r="N45" s="333"/>
      <c r="O45" s="334"/>
      <c r="P45" s="332"/>
      <c r="Q45" s="333"/>
      <c r="R45" s="333"/>
      <c r="S45" s="333"/>
      <c r="T45" s="333"/>
      <c r="U45" s="334"/>
      <c r="V45" s="341"/>
      <c r="W45" s="342"/>
      <c r="X45" s="342"/>
      <c r="Y45" s="342"/>
      <c r="Z45" s="342"/>
      <c r="AA45" s="343"/>
      <c r="AB45" s="359"/>
      <c r="AC45" s="360"/>
      <c r="AD45" s="360"/>
      <c r="AE45" s="360"/>
      <c r="AF45" s="360"/>
      <c r="AG45" s="361"/>
      <c r="AH45" s="350"/>
      <c r="AI45" s="351"/>
      <c r="AJ45" s="351"/>
      <c r="AK45" s="351"/>
      <c r="AL45" s="351"/>
      <c r="AM45" s="352"/>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366" t="s">
        <v>112</v>
      </c>
      <c r="K46" s="367"/>
      <c r="L46" s="367"/>
      <c r="M46" s="367"/>
      <c r="N46" s="367"/>
      <c r="O46" s="368"/>
      <c r="P46" s="366" t="s">
        <v>111</v>
      </c>
      <c r="Q46" s="367"/>
      <c r="R46" s="367"/>
      <c r="S46" s="367"/>
      <c r="T46" s="367"/>
      <c r="U46" s="368"/>
      <c r="V46" s="366" t="s">
        <v>110</v>
      </c>
      <c r="W46" s="367"/>
      <c r="X46" s="367"/>
      <c r="Y46" s="367"/>
      <c r="Z46" s="367"/>
      <c r="AA46" s="368"/>
      <c r="AB46" s="366" t="s">
        <v>109</v>
      </c>
      <c r="AC46" s="375"/>
      <c r="AD46" s="367"/>
      <c r="AE46" s="367"/>
      <c r="AF46" s="367"/>
      <c r="AG46" s="368"/>
      <c r="AH46" s="366" t="s">
        <v>108</v>
      </c>
      <c r="AI46" s="367"/>
      <c r="AJ46" s="367"/>
      <c r="AK46" s="367"/>
      <c r="AL46" s="367"/>
      <c r="AM46" s="368"/>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369"/>
      <c r="K47" s="370"/>
      <c r="L47" s="370"/>
      <c r="M47" s="370"/>
      <c r="N47" s="370"/>
      <c r="O47" s="371"/>
      <c r="P47" s="369"/>
      <c r="Q47" s="370"/>
      <c r="R47" s="370"/>
      <c r="S47" s="370"/>
      <c r="T47" s="370"/>
      <c r="U47" s="371"/>
      <c r="V47" s="369"/>
      <c r="W47" s="370"/>
      <c r="X47" s="370"/>
      <c r="Y47" s="370"/>
      <c r="Z47" s="370"/>
      <c r="AA47" s="371"/>
      <c r="AB47" s="369"/>
      <c r="AC47" s="370"/>
      <c r="AD47" s="370"/>
      <c r="AE47" s="370"/>
      <c r="AF47" s="370"/>
      <c r="AG47" s="371"/>
      <c r="AH47" s="369"/>
      <c r="AI47" s="370"/>
      <c r="AJ47" s="370"/>
      <c r="AK47" s="370"/>
      <c r="AL47" s="370"/>
      <c r="AM47" s="371"/>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369"/>
      <c r="K48" s="370"/>
      <c r="L48" s="370"/>
      <c r="M48" s="370"/>
      <c r="N48" s="370"/>
      <c r="O48" s="371"/>
      <c r="P48" s="369"/>
      <c r="Q48" s="370"/>
      <c r="R48" s="370"/>
      <c r="S48" s="370"/>
      <c r="T48" s="370"/>
      <c r="U48" s="371"/>
      <c r="V48" s="369"/>
      <c r="W48" s="370"/>
      <c r="X48" s="370"/>
      <c r="Y48" s="370"/>
      <c r="Z48" s="370"/>
      <c r="AA48" s="371"/>
      <c r="AB48" s="369"/>
      <c r="AC48" s="370"/>
      <c r="AD48" s="370"/>
      <c r="AE48" s="370"/>
      <c r="AF48" s="370"/>
      <c r="AG48" s="371"/>
      <c r="AH48" s="369"/>
      <c r="AI48" s="370"/>
      <c r="AJ48" s="370"/>
      <c r="AK48" s="370"/>
      <c r="AL48" s="370"/>
      <c r="AM48" s="371"/>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369"/>
      <c r="K49" s="370"/>
      <c r="L49" s="370"/>
      <c r="M49" s="370"/>
      <c r="N49" s="370"/>
      <c r="O49" s="371"/>
      <c r="P49" s="369"/>
      <c r="Q49" s="370"/>
      <c r="R49" s="370"/>
      <c r="S49" s="370"/>
      <c r="T49" s="370"/>
      <c r="U49" s="371"/>
      <c r="V49" s="369"/>
      <c r="W49" s="370"/>
      <c r="X49" s="370"/>
      <c r="Y49" s="370"/>
      <c r="Z49" s="370"/>
      <c r="AA49" s="371"/>
      <c r="AB49" s="369"/>
      <c r="AC49" s="370"/>
      <c r="AD49" s="370"/>
      <c r="AE49" s="370"/>
      <c r="AF49" s="370"/>
      <c r="AG49" s="371"/>
      <c r="AH49" s="369"/>
      <c r="AI49" s="370"/>
      <c r="AJ49" s="370"/>
      <c r="AK49" s="370"/>
      <c r="AL49" s="370"/>
      <c r="AM49" s="371"/>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369"/>
      <c r="K50" s="370"/>
      <c r="L50" s="370"/>
      <c r="M50" s="370"/>
      <c r="N50" s="370"/>
      <c r="O50" s="371"/>
      <c r="P50" s="369"/>
      <c r="Q50" s="370"/>
      <c r="R50" s="370"/>
      <c r="S50" s="370"/>
      <c r="T50" s="370"/>
      <c r="U50" s="371"/>
      <c r="V50" s="369"/>
      <c r="W50" s="370"/>
      <c r="X50" s="370"/>
      <c r="Y50" s="370"/>
      <c r="Z50" s="370"/>
      <c r="AA50" s="371"/>
      <c r="AB50" s="369"/>
      <c r="AC50" s="370"/>
      <c r="AD50" s="370"/>
      <c r="AE50" s="370"/>
      <c r="AF50" s="370"/>
      <c r="AG50" s="371"/>
      <c r="AH50" s="369"/>
      <c r="AI50" s="370"/>
      <c r="AJ50" s="370"/>
      <c r="AK50" s="370"/>
      <c r="AL50" s="370"/>
      <c r="AM50" s="371"/>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72"/>
      <c r="K51" s="373"/>
      <c r="L51" s="373"/>
      <c r="M51" s="373"/>
      <c r="N51" s="373"/>
      <c r="O51" s="374"/>
      <c r="P51" s="372"/>
      <c r="Q51" s="373"/>
      <c r="R51" s="373"/>
      <c r="S51" s="373"/>
      <c r="T51" s="373"/>
      <c r="U51" s="374"/>
      <c r="V51" s="372"/>
      <c r="W51" s="373"/>
      <c r="X51" s="373"/>
      <c r="Y51" s="373"/>
      <c r="Z51" s="373"/>
      <c r="AA51" s="374"/>
      <c r="AB51" s="372"/>
      <c r="AC51" s="373"/>
      <c r="AD51" s="373"/>
      <c r="AE51" s="373"/>
      <c r="AF51" s="373"/>
      <c r="AG51" s="374"/>
      <c r="AH51" s="372"/>
      <c r="AI51" s="373"/>
      <c r="AJ51" s="373"/>
      <c r="AK51" s="373"/>
      <c r="AL51" s="373"/>
      <c r="AM51" s="374"/>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248"/>
  <sheetViews>
    <sheetView topLeftCell="A25" zoomScale="50" zoomScaleNormal="50" workbookViewId="0">
      <selection activeCell="A2" sqref="A2"/>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443" t="s">
        <v>158</v>
      </c>
      <c r="C2" s="444"/>
      <c r="D2" s="444"/>
      <c r="E2" s="444"/>
      <c r="F2" s="444"/>
      <c r="G2" s="444"/>
      <c r="H2" s="444"/>
      <c r="I2" s="444"/>
      <c r="J2" s="365" t="s">
        <v>2</v>
      </c>
      <c r="K2" s="365"/>
      <c r="L2" s="365"/>
      <c r="M2" s="365"/>
      <c r="N2" s="365"/>
      <c r="O2" s="365"/>
      <c r="P2" s="365"/>
      <c r="Q2" s="365"/>
      <c r="R2" s="365"/>
      <c r="S2" s="365"/>
      <c r="T2" s="365"/>
      <c r="U2" s="365"/>
      <c r="V2" s="365"/>
      <c r="W2" s="365"/>
      <c r="X2" s="365"/>
      <c r="Y2" s="365"/>
      <c r="Z2" s="365"/>
      <c r="AA2" s="365"/>
      <c r="AB2" s="365"/>
      <c r="AC2" s="365"/>
      <c r="AD2" s="365"/>
      <c r="AE2" s="365"/>
      <c r="AF2" s="365"/>
      <c r="AG2" s="365"/>
      <c r="AH2" s="365"/>
      <c r="AI2" s="365"/>
      <c r="AJ2" s="365"/>
      <c r="AK2" s="365"/>
      <c r="AL2" s="365"/>
      <c r="AM2" s="365"/>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444"/>
      <c r="C3" s="444"/>
      <c r="D3" s="444"/>
      <c r="E3" s="444"/>
      <c r="F3" s="444"/>
      <c r="G3" s="444"/>
      <c r="H3" s="444"/>
      <c r="I3" s="444"/>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444"/>
      <c r="C4" s="444"/>
      <c r="D4" s="444"/>
      <c r="E4" s="444"/>
      <c r="F4" s="444"/>
      <c r="G4" s="444"/>
      <c r="H4" s="444"/>
      <c r="I4" s="444"/>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376" t="s">
        <v>4</v>
      </c>
      <c r="C6" s="376"/>
      <c r="D6" s="377"/>
      <c r="E6" s="414" t="s">
        <v>116</v>
      </c>
      <c r="F6" s="415"/>
      <c r="G6" s="415"/>
      <c r="H6" s="415"/>
      <c r="I6" s="416"/>
      <c r="J6" s="32" t="str">
        <f>IF(AND('Mapa final'!$Y$13="Muy Alta",'Mapa final'!$AA$13="Leve"),CONCATENATE("R1C",'Mapa final'!$O$13),"")</f>
        <v/>
      </c>
      <c r="K6" s="33" t="str">
        <f>IF(AND('Mapa final'!$Y$14="Muy Alta",'Mapa final'!$AA$14="Leve"),CONCATENATE("R1C",'Mapa final'!$O$14),"")</f>
        <v/>
      </c>
      <c r="L6" s="33" t="str">
        <f>IF(AND('Mapa final'!$Y$15="Muy Alta",'Mapa final'!$AA$15="Leve"),CONCATENATE("R1C",'Mapa final'!$O$15),"")</f>
        <v/>
      </c>
      <c r="M6" s="33" t="str">
        <f>IF(AND('Mapa final'!$Y$16="Muy Alta",'Mapa final'!$AA$16="Leve"),CONCATENATE("R1C",'Mapa final'!$O$16),"")</f>
        <v/>
      </c>
      <c r="N6" s="33" t="str">
        <f>IF(AND('Mapa final'!$Y$17="Muy Alta",'Mapa final'!$AA$17="Leve"),CONCATENATE("R1C",'Mapa final'!$O$17),"")</f>
        <v/>
      </c>
      <c r="O6" s="34" t="str">
        <f>IF(AND('Mapa final'!$Y$18="Muy Alta",'Mapa final'!$AA$18="Leve"),CONCATENATE("R1C",'Mapa final'!$O$18),"")</f>
        <v/>
      </c>
      <c r="P6" s="32" t="str">
        <f>IF(AND('Mapa final'!$Y$13="Muy Alta",'Mapa final'!$AA$13="Menor"),CONCATENATE("R1C",'Mapa final'!$O$13),"")</f>
        <v/>
      </c>
      <c r="Q6" s="33" t="str">
        <f>IF(AND('Mapa final'!$Y$14="Muy Alta",'Mapa final'!$AA$14="Menor"),CONCATENATE("R1C",'Mapa final'!$O$14),"")</f>
        <v/>
      </c>
      <c r="R6" s="33" t="str">
        <f>IF(AND('Mapa final'!$Y$15="Muy Alta",'Mapa final'!$AA$15="Menor"),CONCATENATE("R1C",'Mapa final'!$O$15),"")</f>
        <v/>
      </c>
      <c r="S6" s="33" t="str">
        <f>IF(AND('Mapa final'!$Y$16="Muy Alta",'Mapa final'!$AA$16="Menor"),CONCATENATE("R1C",'Mapa final'!$O$16),"")</f>
        <v/>
      </c>
      <c r="T6" s="33" t="str">
        <f>IF(AND('Mapa final'!$Y$17="Muy Alta",'Mapa final'!$AA$17="Menor"),CONCATENATE("R1C",'Mapa final'!$O$17),"")</f>
        <v/>
      </c>
      <c r="U6" s="34" t="str">
        <f>IF(AND('Mapa final'!$Y$18="Muy Alta",'Mapa final'!$AA$18="Menor"),CONCATENATE("R1C",'Mapa final'!$O$18),"")</f>
        <v/>
      </c>
      <c r="V6" s="32" t="str">
        <f>IF(AND('Mapa final'!$Y$13="Muy Alta",'Mapa final'!$AA$13="Moderado"),CONCATENATE("R1C",'Mapa final'!$O$13),"")</f>
        <v/>
      </c>
      <c r="W6" s="33" t="str">
        <f>IF(AND('Mapa final'!$Y$14="Muy Alta",'Mapa final'!$AA$14="Moderado"),CONCATENATE("R1C",'Mapa final'!$O$14),"")</f>
        <v/>
      </c>
      <c r="X6" s="33" t="str">
        <f>IF(AND('Mapa final'!$Y$15="Muy Alta",'Mapa final'!$AA$15="Moderado"),CONCATENATE("R1C",'Mapa final'!$O$15),"")</f>
        <v/>
      </c>
      <c r="Y6" s="33" t="str">
        <f>IF(AND('Mapa final'!$Y$16="Muy Alta",'Mapa final'!$AA$16="Moderado"),CONCATENATE("R1C",'Mapa final'!$O$16),"")</f>
        <v/>
      </c>
      <c r="Z6" s="33" t="str">
        <f>IF(AND('Mapa final'!$Y$17="Muy Alta",'Mapa final'!$AA$17="Moderado"),CONCATENATE("R1C",'Mapa final'!$O$17),"")</f>
        <v/>
      </c>
      <c r="AA6" s="34" t="str">
        <f>IF(AND('Mapa final'!$Y$18="Muy Alta",'Mapa final'!$AA$18="Moderado"),CONCATENATE("R1C",'Mapa final'!$O$18),"")</f>
        <v/>
      </c>
      <c r="AB6" s="32" t="str">
        <f>IF(AND('Mapa final'!$Y$13="Muy Alta",'Mapa final'!$AA$13="Mayor"),CONCATENATE("R1C",'Mapa final'!$O$13),"")</f>
        <v/>
      </c>
      <c r="AC6" s="33" t="str">
        <f>IF(AND('Mapa final'!$Y$14="Muy Alta",'Mapa final'!$AA$14="Mayor"),CONCATENATE("R1C",'Mapa final'!$O$14),"")</f>
        <v/>
      </c>
      <c r="AD6" s="33" t="str">
        <f>IF(AND('Mapa final'!$Y$15="Muy Alta",'Mapa final'!$AA$15="Mayor"),CONCATENATE("R1C",'Mapa final'!$O$15),"")</f>
        <v/>
      </c>
      <c r="AE6" s="33" t="str">
        <f>IF(AND('Mapa final'!$Y$16="Muy Alta",'Mapa final'!$AA$16="Mayor"),CONCATENATE("R1C",'Mapa final'!$O$16),"")</f>
        <v/>
      </c>
      <c r="AF6" s="33" t="str">
        <f>IF(AND('Mapa final'!$Y$17="Muy Alta",'Mapa final'!$AA$17="Mayor"),CONCATENATE("R1C",'Mapa final'!$O$17),"")</f>
        <v/>
      </c>
      <c r="AG6" s="34" t="str">
        <f>IF(AND('Mapa final'!$Y$18="Muy Alta",'Mapa final'!$AA$18="Mayor"),CONCATENATE("R1C",'Mapa final'!$O$18),"")</f>
        <v/>
      </c>
      <c r="AH6" s="35" t="str">
        <f>IF(AND('Mapa final'!$Y$13="Muy Alta",'Mapa final'!$AA$13="Catastrófico"),CONCATENATE("R1C",'Mapa final'!$O$13),"")</f>
        <v/>
      </c>
      <c r="AI6" s="36" t="str">
        <f>IF(AND('Mapa final'!$Y$14="Muy Alta",'Mapa final'!$AA$14="Catastrófico"),CONCATENATE("R1C",'Mapa final'!$O$14),"")</f>
        <v/>
      </c>
      <c r="AJ6" s="36" t="str">
        <f>IF(AND('Mapa final'!$Y$15="Muy Alta",'Mapa final'!$AA$15="Catastrófico"),CONCATENATE("R1C",'Mapa final'!$O$15),"")</f>
        <v/>
      </c>
      <c r="AK6" s="36" t="str">
        <f>IF(AND('Mapa final'!$Y$16="Muy Alta",'Mapa final'!$AA$16="Catastrófico"),CONCATENATE("R1C",'Mapa final'!$O$16),"")</f>
        <v/>
      </c>
      <c r="AL6" s="36" t="str">
        <f>IF(AND('Mapa final'!$Y$17="Muy Alta",'Mapa final'!$AA$17="Catastrófico"),CONCATENATE("R1C",'Mapa final'!$O$17),"")</f>
        <v/>
      </c>
      <c r="AM6" s="37" t="str">
        <f>IF(AND('Mapa final'!$Y$18="Muy Alta",'Mapa final'!$AA$18="Catastrófico"),CONCATENATE("R1C",'Mapa final'!$O$18),"")</f>
        <v/>
      </c>
      <c r="AN6" s="69"/>
      <c r="AO6" s="434" t="s">
        <v>79</v>
      </c>
      <c r="AP6" s="435"/>
      <c r="AQ6" s="435"/>
      <c r="AR6" s="435"/>
      <c r="AS6" s="435"/>
      <c r="AT6" s="436"/>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376"/>
      <c r="C7" s="376"/>
      <c r="D7" s="377"/>
      <c r="E7" s="417"/>
      <c r="F7" s="418"/>
      <c r="G7" s="418"/>
      <c r="H7" s="418"/>
      <c r="I7" s="419"/>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437"/>
      <c r="AP7" s="438"/>
      <c r="AQ7" s="438"/>
      <c r="AR7" s="438"/>
      <c r="AS7" s="438"/>
      <c r="AT7" s="43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376"/>
      <c r="C8" s="376"/>
      <c r="D8" s="377"/>
      <c r="E8" s="417"/>
      <c r="F8" s="418"/>
      <c r="G8" s="418"/>
      <c r="H8" s="418"/>
      <c r="I8" s="419"/>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437"/>
      <c r="AP8" s="438"/>
      <c r="AQ8" s="438"/>
      <c r="AR8" s="438"/>
      <c r="AS8" s="438"/>
      <c r="AT8" s="43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376"/>
      <c r="C9" s="376"/>
      <c r="D9" s="377"/>
      <c r="E9" s="417"/>
      <c r="F9" s="418"/>
      <c r="G9" s="418"/>
      <c r="H9" s="418"/>
      <c r="I9" s="419"/>
      <c r="J9" s="38" t="e">
        <f>IF(AND('Mapa final'!#REF!="Muy Alta",'Mapa final'!#REF!="Leve"),CONCATENATE("R4C",'Mapa final'!#REF!),"")</f>
        <v>#REF!</v>
      </c>
      <c r="K9" s="39" t="e">
        <f>IF(AND('Mapa final'!#REF!="Muy Alta",'Mapa final'!#REF!="Leve"),CONCATENATE("R4C",'Mapa final'!#REF!),"")</f>
        <v>#REF!</v>
      </c>
      <c r="L9" s="39" t="e">
        <f>IF(AND('Mapa final'!#REF!="Muy Alta",'Mapa final'!#REF!="Leve"),CONCATENATE("R4C",'Mapa final'!#REF!),"")</f>
        <v>#REF!</v>
      </c>
      <c r="M9" s="39" t="e">
        <f>IF(AND('Mapa final'!#REF!="Muy Alta",'Mapa final'!#REF!="Leve"),CONCATENATE("R4C",'Mapa final'!#REF!),"")</f>
        <v>#REF!</v>
      </c>
      <c r="N9" s="39" t="e">
        <f>IF(AND('Mapa final'!#REF!="Muy Alta",'Mapa final'!#REF!="Leve"),CONCATENATE("R4C",'Mapa final'!#REF!),"")</f>
        <v>#REF!</v>
      </c>
      <c r="O9" s="40" t="e">
        <f>IF(AND('Mapa final'!#REF!="Muy Alta",'Mapa final'!#REF!="Leve"),CONCATENATE("R4C",'Mapa final'!#REF!),"")</f>
        <v>#REF!</v>
      </c>
      <c r="P9" s="38" t="e">
        <f>IF(AND('Mapa final'!#REF!="Muy Alta",'Mapa final'!#REF!="Menor"),CONCATENATE("R4C",'Mapa final'!#REF!),"")</f>
        <v>#REF!</v>
      </c>
      <c r="Q9" s="39" t="e">
        <f>IF(AND('Mapa final'!#REF!="Muy Alta",'Mapa final'!#REF!="Menor"),CONCATENATE("R4C",'Mapa final'!#REF!),"")</f>
        <v>#REF!</v>
      </c>
      <c r="R9" s="39" t="e">
        <f>IF(AND('Mapa final'!#REF!="Muy Alta",'Mapa final'!#REF!="Menor"),CONCATENATE("R4C",'Mapa final'!#REF!),"")</f>
        <v>#REF!</v>
      </c>
      <c r="S9" s="39" t="e">
        <f>IF(AND('Mapa final'!#REF!="Muy Alta",'Mapa final'!#REF!="Menor"),CONCATENATE("R4C",'Mapa final'!#REF!),"")</f>
        <v>#REF!</v>
      </c>
      <c r="T9" s="39" t="e">
        <f>IF(AND('Mapa final'!#REF!="Muy Alta",'Mapa final'!#REF!="Menor"),CONCATENATE("R4C",'Mapa final'!#REF!),"")</f>
        <v>#REF!</v>
      </c>
      <c r="U9" s="40" t="e">
        <f>IF(AND('Mapa final'!#REF!="Muy Alta",'Mapa final'!#REF!="Menor"),CONCATENATE("R4C",'Mapa final'!#REF!),"")</f>
        <v>#REF!</v>
      </c>
      <c r="V9" s="38" t="e">
        <f>IF(AND('Mapa final'!#REF!="Muy Alta",'Mapa final'!#REF!="Moderado"),CONCATENATE("R4C",'Mapa final'!#REF!),"")</f>
        <v>#REF!</v>
      </c>
      <c r="W9" s="39" t="e">
        <f>IF(AND('Mapa final'!#REF!="Muy Alta",'Mapa final'!#REF!="Moderado"),CONCATENATE("R4C",'Mapa final'!#REF!),"")</f>
        <v>#REF!</v>
      </c>
      <c r="X9" s="39" t="e">
        <f>IF(AND('Mapa final'!#REF!="Muy Alta",'Mapa final'!#REF!="Moderado"),CONCATENATE("R4C",'Mapa final'!#REF!),"")</f>
        <v>#REF!</v>
      </c>
      <c r="Y9" s="39" t="e">
        <f>IF(AND('Mapa final'!#REF!="Muy Alta",'Mapa final'!#REF!="Moderado"),CONCATENATE("R4C",'Mapa final'!#REF!),"")</f>
        <v>#REF!</v>
      </c>
      <c r="Z9" s="39" t="e">
        <f>IF(AND('Mapa final'!#REF!="Muy Alta",'Mapa final'!#REF!="Moderado"),CONCATENATE("R4C",'Mapa final'!#REF!),"")</f>
        <v>#REF!</v>
      </c>
      <c r="AA9" s="40" t="e">
        <f>IF(AND('Mapa final'!#REF!="Muy Alta",'Mapa final'!#REF!="Moderado"),CONCATENATE("R4C",'Mapa final'!#REF!),"")</f>
        <v>#REF!</v>
      </c>
      <c r="AB9" s="38" t="e">
        <f>IF(AND('Mapa final'!#REF!="Muy Alta",'Mapa final'!#REF!="Mayor"),CONCATENATE("R4C",'Mapa final'!#REF!),"")</f>
        <v>#REF!</v>
      </c>
      <c r="AC9" s="39" t="e">
        <f>IF(AND('Mapa final'!#REF!="Muy Alta",'Mapa final'!#REF!="Mayor"),CONCATENATE("R4C",'Mapa final'!#REF!),"")</f>
        <v>#REF!</v>
      </c>
      <c r="AD9" s="39" t="e">
        <f>IF(AND('Mapa final'!#REF!="Muy Alta",'Mapa final'!#REF!="Mayor"),CONCATENATE("R4C",'Mapa final'!#REF!),"")</f>
        <v>#REF!</v>
      </c>
      <c r="AE9" s="39" t="e">
        <f>IF(AND('Mapa final'!#REF!="Muy Alta",'Mapa final'!#REF!="Mayor"),CONCATENATE("R4C",'Mapa final'!#REF!),"")</f>
        <v>#REF!</v>
      </c>
      <c r="AF9" s="39" t="e">
        <f>IF(AND('Mapa final'!#REF!="Muy Alta",'Mapa final'!#REF!="Mayor"),CONCATENATE("R4C",'Mapa final'!#REF!),"")</f>
        <v>#REF!</v>
      </c>
      <c r="AG9" s="40" t="e">
        <f>IF(AND('Mapa final'!#REF!="Muy Alta",'Mapa final'!#REF!="Mayor"),CONCATENATE("R4C",'Mapa final'!#REF!),"")</f>
        <v>#REF!</v>
      </c>
      <c r="AH9" s="41" t="e">
        <f>IF(AND('Mapa final'!#REF!="Muy Alta",'Mapa final'!#REF!="Catastrófico"),CONCATENATE("R4C",'Mapa final'!#REF!),"")</f>
        <v>#REF!</v>
      </c>
      <c r="AI9" s="42" t="e">
        <f>IF(AND('Mapa final'!#REF!="Muy Alta",'Mapa final'!#REF!="Catastrófico"),CONCATENATE("R4C",'Mapa final'!#REF!),"")</f>
        <v>#REF!</v>
      </c>
      <c r="AJ9" s="42" t="e">
        <f>IF(AND('Mapa final'!#REF!="Muy Alta",'Mapa final'!#REF!="Catastrófico"),CONCATENATE("R4C",'Mapa final'!#REF!),"")</f>
        <v>#REF!</v>
      </c>
      <c r="AK9" s="42" t="e">
        <f>IF(AND('Mapa final'!#REF!="Muy Alta",'Mapa final'!#REF!="Catastrófico"),CONCATENATE("R4C",'Mapa final'!#REF!),"")</f>
        <v>#REF!</v>
      </c>
      <c r="AL9" s="42" t="e">
        <f>IF(AND('Mapa final'!#REF!="Muy Alta",'Mapa final'!#REF!="Catastrófico"),CONCATENATE("R4C",'Mapa final'!#REF!),"")</f>
        <v>#REF!</v>
      </c>
      <c r="AM9" s="43" t="e">
        <f>IF(AND('Mapa final'!#REF!="Muy Alta",'Mapa final'!#REF!="Catastrófico"),CONCATENATE("R4C",'Mapa final'!#REF!),"")</f>
        <v>#REF!</v>
      </c>
      <c r="AN9" s="69"/>
      <c r="AO9" s="437"/>
      <c r="AP9" s="438"/>
      <c r="AQ9" s="438"/>
      <c r="AR9" s="438"/>
      <c r="AS9" s="438"/>
      <c r="AT9" s="43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376"/>
      <c r="C10" s="376"/>
      <c r="D10" s="377"/>
      <c r="E10" s="417"/>
      <c r="F10" s="418"/>
      <c r="G10" s="418"/>
      <c r="H10" s="418"/>
      <c r="I10" s="419"/>
      <c r="J10" s="38" t="e">
        <f>IF(AND('Mapa final'!#REF!="Muy Alta",'Mapa final'!#REF!="Leve"),CONCATENATE("R5C",'Mapa final'!#REF!),"")</f>
        <v>#REF!</v>
      </c>
      <c r="K10" s="39" t="e">
        <f>IF(AND('Mapa final'!#REF!="Muy Alta",'Mapa final'!#REF!="Leve"),CONCATENATE("R5C",'Mapa final'!#REF!),"")</f>
        <v>#REF!</v>
      </c>
      <c r="L10" s="39" t="e">
        <f>IF(AND('Mapa final'!#REF!="Muy Alta",'Mapa final'!#REF!="Leve"),CONCATENATE("R5C",'Mapa final'!#REF!),"")</f>
        <v>#REF!</v>
      </c>
      <c r="M10" s="39" t="e">
        <f>IF(AND('Mapa final'!#REF!="Muy Alta",'Mapa final'!#REF!="Leve"),CONCATENATE("R5C",'Mapa final'!#REF!),"")</f>
        <v>#REF!</v>
      </c>
      <c r="N10" s="39" t="e">
        <f>IF(AND('Mapa final'!#REF!="Muy Alta",'Mapa final'!#REF!="Leve"),CONCATENATE("R5C",'Mapa final'!#REF!),"")</f>
        <v>#REF!</v>
      </c>
      <c r="O10" s="40" t="e">
        <f>IF(AND('Mapa final'!#REF!="Muy Alta",'Mapa final'!#REF!="Leve"),CONCATENATE("R5C",'Mapa final'!#REF!),"")</f>
        <v>#REF!</v>
      </c>
      <c r="P10" s="38" t="e">
        <f>IF(AND('Mapa final'!#REF!="Muy Alta",'Mapa final'!#REF!="Menor"),CONCATENATE("R5C",'Mapa final'!#REF!),"")</f>
        <v>#REF!</v>
      </c>
      <c r="Q10" s="39" t="e">
        <f>IF(AND('Mapa final'!#REF!="Muy Alta",'Mapa final'!#REF!="Menor"),CONCATENATE("R5C",'Mapa final'!#REF!),"")</f>
        <v>#REF!</v>
      </c>
      <c r="R10" s="39" t="e">
        <f>IF(AND('Mapa final'!#REF!="Muy Alta",'Mapa final'!#REF!="Menor"),CONCATENATE("R5C",'Mapa final'!#REF!),"")</f>
        <v>#REF!</v>
      </c>
      <c r="S10" s="39" t="e">
        <f>IF(AND('Mapa final'!#REF!="Muy Alta",'Mapa final'!#REF!="Menor"),CONCATENATE("R5C",'Mapa final'!#REF!),"")</f>
        <v>#REF!</v>
      </c>
      <c r="T10" s="39" t="e">
        <f>IF(AND('Mapa final'!#REF!="Muy Alta",'Mapa final'!#REF!="Menor"),CONCATENATE("R5C",'Mapa final'!#REF!),"")</f>
        <v>#REF!</v>
      </c>
      <c r="U10" s="40" t="e">
        <f>IF(AND('Mapa final'!#REF!="Muy Alta",'Mapa final'!#REF!="Menor"),CONCATENATE("R5C",'Mapa final'!#REF!),"")</f>
        <v>#REF!</v>
      </c>
      <c r="V10" s="38" t="e">
        <f>IF(AND('Mapa final'!#REF!="Muy Alta",'Mapa final'!#REF!="Moderado"),CONCATENATE("R5C",'Mapa final'!#REF!),"")</f>
        <v>#REF!</v>
      </c>
      <c r="W10" s="39" t="e">
        <f>IF(AND('Mapa final'!#REF!="Muy Alta",'Mapa final'!#REF!="Moderado"),CONCATENATE("R5C",'Mapa final'!#REF!),"")</f>
        <v>#REF!</v>
      </c>
      <c r="X10" s="39" t="e">
        <f>IF(AND('Mapa final'!#REF!="Muy Alta",'Mapa final'!#REF!="Moderado"),CONCATENATE("R5C",'Mapa final'!#REF!),"")</f>
        <v>#REF!</v>
      </c>
      <c r="Y10" s="39" t="e">
        <f>IF(AND('Mapa final'!#REF!="Muy Alta",'Mapa final'!#REF!="Moderado"),CONCATENATE("R5C",'Mapa final'!#REF!),"")</f>
        <v>#REF!</v>
      </c>
      <c r="Z10" s="39" t="e">
        <f>IF(AND('Mapa final'!#REF!="Muy Alta",'Mapa final'!#REF!="Moderado"),CONCATENATE("R5C",'Mapa final'!#REF!),"")</f>
        <v>#REF!</v>
      </c>
      <c r="AA10" s="40" t="e">
        <f>IF(AND('Mapa final'!#REF!="Muy Alta",'Mapa final'!#REF!="Moderado"),CONCATENATE("R5C",'Mapa final'!#REF!),"")</f>
        <v>#REF!</v>
      </c>
      <c r="AB10" s="38" t="e">
        <f>IF(AND('Mapa final'!#REF!="Muy Alta",'Mapa final'!#REF!="Mayor"),CONCATENATE("R5C",'Mapa final'!#REF!),"")</f>
        <v>#REF!</v>
      </c>
      <c r="AC10" s="39" t="e">
        <f>IF(AND('Mapa final'!#REF!="Muy Alta",'Mapa final'!#REF!="Mayor"),CONCATENATE("R5C",'Mapa final'!#REF!),"")</f>
        <v>#REF!</v>
      </c>
      <c r="AD10" s="39" t="e">
        <f>IF(AND('Mapa final'!#REF!="Muy Alta",'Mapa final'!#REF!="Mayor"),CONCATENATE("R5C",'Mapa final'!#REF!),"")</f>
        <v>#REF!</v>
      </c>
      <c r="AE10" s="39" t="e">
        <f>IF(AND('Mapa final'!#REF!="Muy Alta",'Mapa final'!#REF!="Mayor"),CONCATENATE("R5C",'Mapa final'!#REF!),"")</f>
        <v>#REF!</v>
      </c>
      <c r="AF10" s="39" t="e">
        <f>IF(AND('Mapa final'!#REF!="Muy Alta",'Mapa final'!#REF!="Mayor"),CONCATENATE("R5C",'Mapa final'!#REF!),"")</f>
        <v>#REF!</v>
      </c>
      <c r="AG10" s="40" t="e">
        <f>IF(AND('Mapa final'!#REF!="Muy Alta",'Mapa final'!#REF!="Mayor"),CONCATENATE("R5C",'Mapa final'!#REF!),"")</f>
        <v>#REF!</v>
      </c>
      <c r="AH10" s="41" t="e">
        <f>IF(AND('Mapa final'!#REF!="Muy Alta",'Mapa final'!#REF!="Catastrófico"),CONCATENATE("R5C",'Mapa final'!#REF!),"")</f>
        <v>#REF!</v>
      </c>
      <c r="AI10" s="42" t="e">
        <f>IF(AND('Mapa final'!#REF!="Muy Alta",'Mapa final'!#REF!="Catastrófico"),CONCATENATE("R5C",'Mapa final'!#REF!),"")</f>
        <v>#REF!</v>
      </c>
      <c r="AJ10" s="42" t="e">
        <f>IF(AND('Mapa final'!#REF!="Muy Alta",'Mapa final'!#REF!="Catastrófico"),CONCATENATE("R5C",'Mapa final'!#REF!),"")</f>
        <v>#REF!</v>
      </c>
      <c r="AK10" s="42" t="e">
        <f>IF(AND('Mapa final'!#REF!="Muy Alta",'Mapa final'!#REF!="Catastrófico"),CONCATENATE("R5C",'Mapa final'!#REF!),"")</f>
        <v>#REF!</v>
      </c>
      <c r="AL10" s="42" t="e">
        <f>IF(AND('Mapa final'!#REF!="Muy Alta",'Mapa final'!#REF!="Catastrófico"),CONCATENATE("R5C",'Mapa final'!#REF!),"")</f>
        <v>#REF!</v>
      </c>
      <c r="AM10" s="43" t="e">
        <f>IF(AND('Mapa final'!#REF!="Muy Alta",'Mapa final'!#REF!="Catastrófico"),CONCATENATE("R5C",'Mapa final'!#REF!),"")</f>
        <v>#REF!</v>
      </c>
      <c r="AN10" s="69"/>
      <c r="AO10" s="437"/>
      <c r="AP10" s="438"/>
      <c r="AQ10" s="438"/>
      <c r="AR10" s="438"/>
      <c r="AS10" s="438"/>
      <c r="AT10" s="43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376"/>
      <c r="C11" s="376"/>
      <c r="D11" s="377"/>
      <c r="E11" s="417"/>
      <c r="F11" s="418"/>
      <c r="G11" s="418"/>
      <c r="H11" s="418"/>
      <c r="I11" s="419"/>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437"/>
      <c r="AP11" s="438"/>
      <c r="AQ11" s="438"/>
      <c r="AR11" s="438"/>
      <c r="AS11" s="438"/>
      <c r="AT11" s="43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376"/>
      <c r="C12" s="376"/>
      <c r="D12" s="377"/>
      <c r="E12" s="417"/>
      <c r="F12" s="418"/>
      <c r="G12" s="418"/>
      <c r="H12" s="418"/>
      <c r="I12" s="419"/>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437"/>
      <c r="AP12" s="438"/>
      <c r="AQ12" s="438"/>
      <c r="AR12" s="438"/>
      <c r="AS12" s="438"/>
      <c r="AT12" s="43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376"/>
      <c r="C13" s="376"/>
      <c r="D13" s="377"/>
      <c r="E13" s="417"/>
      <c r="F13" s="418"/>
      <c r="G13" s="418"/>
      <c r="H13" s="418"/>
      <c r="I13" s="419"/>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437"/>
      <c r="AP13" s="438"/>
      <c r="AQ13" s="438"/>
      <c r="AR13" s="438"/>
      <c r="AS13" s="438"/>
      <c r="AT13" s="43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376"/>
      <c r="C14" s="376"/>
      <c r="D14" s="377"/>
      <c r="E14" s="417"/>
      <c r="F14" s="418"/>
      <c r="G14" s="418"/>
      <c r="H14" s="418"/>
      <c r="I14" s="419"/>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437"/>
      <c r="AP14" s="438"/>
      <c r="AQ14" s="438"/>
      <c r="AR14" s="438"/>
      <c r="AS14" s="438"/>
      <c r="AT14" s="43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376"/>
      <c r="C15" s="376"/>
      <c r="D15" s="377"/>
      <c r="E15" s="420"/>
      <c r="F15" s="421"/>
      <c r="G15" s="421"/>
      <c r="H15" s="421"/>
      <c r="I15" s="422"/>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440"/>
      <c r="AP15" s="441"/>
      <c r="AQ15" s="441"/>
      <c r="AR15" s="441"/>
      <c r="AS15" s="441"/>
      <c r="AT15" s="442"/>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376"/>
      <c r="C16" s="376"/>
      <c r="D16" s="377"/>
      <c r="E16" s="414" t="s">
        <v>115</v>
      </c>
      <c r="F16" s="415"/>
      <c r="G16" s="415"/>
      <c r="H16" s="415"/>
      <c r="I16" s="415"/>
      <c r="J16" s="50" t="str">
        <f>IF(AND('Mapa final'!$Y$13="Alta",'Mapa final'!$AA$13="Leve"),CONCATENATE("R1C",'Mapa final'!$O$13),"")</f>
        <v/>
      </c>
      <c r="K16" s="51" t="str">
        <f>IF(AND('Mapa final'!$Y$14="Alta",'Mapa final'!$AA$14="Leve"),CONCATENATE("R1C",'Mapa final'!$O$14),"")</f>
        <v/>
      </c>
      <c r="L16" s="51" t="str">
        <f>IF(AND('Mapa final'!$Y$15="Alta",'Mapa final'!$AA$15="Leve"),CONCATENATE("R1C",'Mapa final'!$O$15),"")</f>
        <v/>
      </c>
      <c r="M16" s="51" t="str">
        <f>IF(AND('Mapa final'!$Y$16="Alta",'Mapa final'!$AA$16="Leve"),CONCATENATE("R1C",'Mapa final'!$O$16),"")</f>
        <v/>
      </c>
      <c r="N16" s="51" t="str">
        <f>IF(AND('Mapa final'!$Y$17="Alta",'Mapa final'!$AA$17="Leve"),CONCATENATE("R1C",'Mapa final'!$O$17),"")</f>
        <v/>
      </c>
      <c r="O16" s="52" t="str">
        <f>IF(AND('Mapa final'!$Y$18="Alta",'Mapa final'!$AA$18="Leve"),CONCATENATE("R1C",'Mapa final'!$O$18),"")</f>
        <v/>
      </c>
      <c r="P16" s="50" t="str">
        <f>IF(AND('Mapa final'!$Y$13="Alta",'Mapa final'!$AA$13="Menor"),CONCATENATE("R1C",'Mapa final'!$O$13),"")</f>
        <v/>
      </c>
      <c r="Q16" s="51" t="str">
        <f>IF(AND('Mapa final'!$Y$14="Alta",'Mapa final'!$AA$14="Menor"),CONCATENATE("R1C",'Mapa final'!$O$14),"")</f>
        <v/>
      </c>
      <c r="R16" s="51" t="str">
        <f>IF(AND('Mapa final'!$Y$15="Alta",'Mapa final'!$AA$15="Menor"),CONCATENATE("R1C",'Mapa final'!$O$15),"")</f>
        <v/>
      </c>
      <c r="S16" s="51" t="str">
        <f>IF(AND('Mapa final'!$Y$16="Alta",'Mapa final'!$AA$16="Menor"),CONCATENATE("R1C",'Mapa final'!$O$16),"")</f>
        <v/>
      </c>
      <c r="T16" s="51" t="str">
        <f>IF(AND('Mapa final'!$Y$17="Alta",'Mapa final'!$AA$17="Menor"),CONCATENATE("R1C",'Mapa final'!$O$17),"")</f>
        <v/>
      </c>
      <c r="U16" s="52" t="str">
        <f>IF(AND('Mapa final'!$Y$18="Alta",'Mapa final'!$AA$18="Menor"),CONCATENATE("R1C",'Mapa final'!$O$18),"")</f>
        <v/>
      </c>
      <c r="V16" s="32" t="str">
        <f>IF(AND('Mapa final'!$Y$13="Alta",'Mapa final'!$AA$13="Moderado"),CONCATENATE("R1C",'Mapa final'!$O$13),"")</f>
        <v/>
      </c>
      <c r="W16" s="33" t="str">
        <f>IF(AND('Mapa final'!$Y$14="Alta",'Mapa final'!$AA$14="Moderado"),CONCATENATE("R1C",'Mapa final'!$O$14),"")</f>
        <v/>
      </c>
      <c r="X16" s="33" t="str">
        <f>IF(AND('Mapa final'!$Y$15="Alta",'Mapa final'!$AA$15="Moderado"),CONCATENATE("R1C",'Mapa final'!$O$15),"")</f>
        <v/>
      </c>
      <c r="Y16" s="33" t="str">
        <f>IF(AND('Mapa final'!$Y$16="Alta",'Mapa final'!$AA$16="Moderado"),CONCATENATE("R1C",'Mapa final'!$O$16),"")</f>
        <v/>
      </c>
      <c r="Z16" s="33" t="str">
        <f>IF(AND('Mapa final'!$Y$17="Alta",'Mapa final'!$AA$17="Moderado"),CONCATENATE("R1C",'Mapa final'!$O$17),"")</f>
        <v/>
      </c>
      <c r="AA16" s="34" t="str">
        <f>IF(AND('Mapa final'!$Y$18="Alta",'Mapa final'!$AA$18="Moderado"),CONCATENATE("R1C",'Mapa final'!$O$18),"")</f>
        <v/>
      </c>
      <c r="AB16" s="32" t="str">
        <f>IF(AND('Mapa final'!$Y$13="Alta",'Mapa final'!$AA$13="Mayor"),CONCATENATE("R1C",'Mapa final'!$O$13),"")</f>
        <v/>
      </c>
      <c r="AC16" s="33" t="str">
        <f>IF(AND('Mapa final'!$Y$14="Alta",'Mapa final'!$AA$14="Mayor"),CONCATENATE("R1C",'Mapa final'!$O$14),"")</f>
        <v/>
      </c>
      <c r="AD16" s="33" t="str">
        <f>IF(AND('Mapa final'!$Y$15="Alta",'Mapa final'!$AA$15="Mayor"),CONCATENATE("R1C",'Mapa final'!$O$15),"")</f>
        <v/>
      </c>
      <c r="AE16" s="33" t="str">
        <f>IF(AND('Mapa final'!$Y$16="Alta",'Mapa final'!$AA$16="Mayor"),CONCATENATE("R1C",'Mapa final'!$O$16),"")</f>
        <v/>
      </c>
      <c r="AF16" s="33" t="str">
        <f>IF(AND('Mapa final'!$Y$17="Alta",'Mapa final'!$AA$17="Mayor"),CONCATENATE("R1C",'Mapa final'!$O$17),"")</f>
        <v/>
      </c>
      <c r="AG16" s="34" t="str">
        <f>IF(AND('Mapa final'!$Y$18="Alta",'Mapa final'!$AA$18="Mayor"),CONCATENATE("R1C",'Mapa final'!$O$18),"")</f>
        <v/>
      </c>
      <c r="AH16" s="35" t="str">
        <f>IF(AND('Mapa final'!$Y$13="Alta",'Mapa final'!$AA$13="Catastrófico"),CONCATENATE("R1C",'Mapa final'!$O$13),"")</f>
        <v/>
      </c>
      <c r="AI16" s="36" t="str">
        <f>IF(AND('Mapa final'!$Y$14="Alta",'Mapa final'!$AA$14="Catastrófico"),CONCATENATE("R1C",'Mapa final'!$O$14),"")</f>
        <v/>
      </c>
      <c r="AJ16" s="36" t="str">
        <f>IF(AND('Mapa final'!$Y$15="Alta",'Mapa final'!$AA$15="Catastrófico"),CONCATENATE("R1C",'Mapa final'!$O$15),"")</f>
        <v/>
      </c>
      <c r="AK16" s="36" t="str">
        <f>IF(AND('Mapa final'!$Y$16="Alta",'Mapa final'!$AA$16="Catastrófico"),CONCATENATE("R1C",'Mapa final'!$O$16),"")</f>
        <v/>
      </c>
      <c r="AL16" s="36" t="str">
        <f>IF(AND('Mapa final'!$Y$17="Alta",'Mapa final'!$AA$17="Catastrófico"),CONCATENATE("R1C",'Mapa final'!$O$17),"")</f>
        <v/>
      </c>
      <c r="AM16" s="37" t="str">
        <f>IF(AND('Mapa final'!$Y$18="Alta",'Mapa final'!$AA$18="Catastrófico"),CONCATENATE("R1C",'Mapa final'!$O$18),"")</f>
        <v/>
      </c>
      <c r="AN16" s="69"/>
      <c r="AO16" s="424" t="s">
        <v>80</v>
      </c>
      <c r="AP16" s="425"/>
      <c r="AQ16" s="425"/>
      <c r="AR16" s="425"/>
      <c r="AS16" s="425"/>
      <c r="AT16" s="426"/>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376"/>
      <c r="C17" s="376"/>
      <c r="D17" s="377"/>
      <c r="E17" s="433"/>
      <c r="F17" s="418"/>
      <c r="G17" s="418"/>
      <c r="H17" s="418"/>
      <c r="I17" s="418"/>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427"/>
      <c r="AP17" s="428"/>
      <c r="AQ17" s="428"/>
      <c r="AR17" s="428"/>
      <c r="AS17" s="428"/>
      <c r="AT17" s="42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376"/>
      <c r="C18" s="376"/>
      <c r="D18" s="377"/>
      <c r="E18" s="417"/>
      <c r="F18" s="418"/>
      <c r="G18" s="418"/>
      <c r="H18" s="418"/>
      <c r="I18" s="418"/>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427"/>
      <c r="AP18" s="428"/>
      <c r="AQ18" s="428"/>
      <c r="AR18" s="428"/>
      <c r="AS18" s="428"/>
      <c r="AT18" s="42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376"/>
      <c r="C19" s="376"/>
      <c r="D19" s="377"/>
      <c r="E19" s="417"/>
      <c r="F19" s="418"/>
      <c r="G19" s="418"/>
      <c r="H19" s="418"/>
      <c r="I19" s="418"/>
      <c r="J19" s="53" t="e">
        <f>IF(AND('Mapa final'!#REF!="Alta",'Mapa final'!#REF!="Leve"),CONCATENATE("R4C",'Mapa final'!#REF!),"")</f>
        <v>#REF!</v>
      </c>
      <c r="K19" s="54" t="e">
        <f>IF(AND('Mapa final'!#REF!="Alta",'Mapa final'!#REF!="Leve"),CONCATENATE("R4C",'Mapa final'!#REF!),"")</f>
        <v>#REF!</v>
      </c>
      <c r="L19" s="54" t="e">
        <f>IF(AND('Mapa final'!#REF!="Alta",'Mapa final'!#REF!="Leve"),CONCATENATE("R4C",'Mapa final'!#REF!),"")</f>
        <v>#REF!</v>
      </c>
      <c r="M19" s="54" t="e">
        <f>IF(AND('Mapa final'!#REF!="Alta",'Mapa final'!#REF!="Leve"),CONCATENATE("R4C",'Mapa final'!#REF!),"")</f>
        <v>#REF!</v>
      </c>
      <c r="N19" s="54" t="e">
        <f>IF(AND('Mapa final'!#REF!="Alta",'Mapa final'!#REF!="Leve"),CONCATENATE("R4C",'Mapa final'!#REF!),"")</f>
        <v>#REF!</v>
      </c>
      <c r="O19" s="55" t="e">
        <f>IF(AND('Mapa final'!#REF!="Alta",'Mapa final'!#REF!="Leve"),CONCATENATE("R4C",'Mapa final'!#REF!),"")</f>
        <v>#REF!</v>
      </c>
      <c r="P19" s="53" t="e">
        <f>IF(AND('Mapa final'!#REF!="Alta",'Mapa final'!#REF!="Menor"),CONCATENATE("R4C",'Mapa final'!#REF!),"")</f>
        <v>#REF!</v>
      </c>
      <c r="Q19" s="54" t="e">
        <f>IF(AND('Mapa final'!#REF!="Alta",'Mapa final'!#REF!="Menor"),CONCATENATE("R4C",'Mapa final'!#REF!),"")</f>
        <v>#REF!</v>
      </c>
      <c r="R19" s="54" t="e">
        <f>IF(AND('Mapa final'!#REF!="Alta",'Mapa final'!#REF!="Menor"),CONCATENATE("R4C",'Mapa final'!#REF!),"")</f>
        <v>#REF!</v>
      </c>
      <c r="S19" s="54" t="e">
        <f>IF(AND('Mapa final'!#REF!="Alta",'Mapa final'!#REF!="Menor"),CONCATENATE("R4C",'Mapa final'!#REF!),"")</f>
        <v>#REF!</v>
      </c>
      <c r="T19" s="54" t="e">
        <f>IF(AND('Mapa final'!#REF!="Alta",'Mapa final'!#REF!="Menor"),CONCATENATE("R4C",'Mapa final'!#REF!),"")</f>
        <v>#REF!</v>
      </c>
      <c r="U19" s="55" t="e">
        <f>IF(AND('Mapa final'!#REF!="Alta",'Mapa final'!#REF!="Menor"),CONCATENATE("R4C",'Mapa final'!#REF!),"")</f>
        <v>#REF!</v>
      </c>
      <c r="V19" s="38" t="e">
        <f>IF(AND('Mapa final'!#REF!="Alta",'Mapa final'!#REF!="Moderado"),CONCATENATE("R4C",'Mapa final'!#REF!),"")</f>
        <v>#REF!</v>
      </c>
      <c r="W19" s="39" t="e">
        <f>IF(AND('Mapa final'!#REF!="Alta",'Mapa final'!#REF!="Moderado"),CONCATENATE("R4C",'Mapa final'!#REF!),"")</f>
        <v>#REF!</v>
      </c>
      <c r="X19" s="39" t="e">
        <f>IF(AND('Mapa final'!#REF!="Alta",'Mapa final'!#REF!="Moderado"),CONCATENATE("R4C",'Mapa final'!#REF!),"")</f>
        <v>#REF!</v>
      </c>
      <c r="Y19" s="39" t="e">
        <f>IF(AND('Mapa final'!#REF!="Alta",'Mapa final'!#REF!="Moderado"),CONCATENATE("R4C",'Mapa final'!#REF!),"")</f>
        <v>#REF!</v>
      </c>
      <c r="Z19" s="39" t="e">
        <f>IF(AND('Mapa final'!#REF!="Alta",'Mapa final'!#REF!="Moderado"),CONCATENATE("R4C",'Mapa final'!#REF!),"")</f>
        <v>#REF!</v>
      </c>
      <c r="AA19" s="40" t="e">
        <f>IF(AND('Mapa final'!#REF!="Alta",'Mapa final'!#REF!="Moderado"),CONCATENATE("R4C",'Mapa final'!#REF!),"")</f>
        <v>#REF!</v>
      </c>
      <c r="AB19" s="38" t="e">
        <f>IF(AND('Mapa final'!#REF!="Alta",'Mapa final'!#REF!="Mayor"),CONCATENATE("R4C",'Mapa final'!#REF!),"")</f>
        <v>#REF!</v>
      </c>
      <c r="AC19" s="39" t="e">
        <f>IF(AND('Mapa final'!#REF!="Alta",'Mapa final'!#REF!="Mayor"),CONCATENATE("R4C",'Mapa final'!#REF!),"")</f>
        <v>#REF!</v>
      </c>
      <c r="AD19" s="39" t="e">
        <f>IF(AND('Mapa final'!#REF!="Alta",'Mapa final'!#REF!="Mayor"),CONCATENATE("R4C",'Mapa final'!#REF!),"")</f>
        <v>#REF!</v>
      </c>
      <c r="AE19" s="39" t="e">
        <f>IF(AND('Mapa final'!#REF!="Alta",'Mapa final'!#REF!="Mayor"),CONCATENATE("R4C",'Mapa final'!#REF!),"")</f>
        <v>#REF!</v>
      </c>
      <c r="AF19" s="39" t="e">
        <f>IF(AND('Mapa final'!#REF!="Alta",'Mapa final'!#REF!="Mayor"),CONCATENATE("R4C",'Mapa final'!#REF!),"")</f>
        <v>#REF!</v>
      </c>
      <c r="AG19" s="40" t="e">
        <f>IF(AND('Mapa final'!#REF!="Alta",'Mapa final'!#REF!="Mayor"),CONCATENATE("R4C",'Mapa final'!#REF!),"")</f>
        <v>#REF!</v>
      </c>
      <c r="AH19" s="41" t="e">
        <f>IF(AND('Mapa final'!#REF!="Alta",'Mapa final'!#REF!="Catastrófico"),CONCATENATE("R4C",'Mapa final'!#REF!),"")</f>
        <v>#REF!</v>
      </c>
      <c r="AI19" s="42" t="e">
        <f>IF(AND('Mapa final'!#REF!="Alta",'Mapa final'!#REF!="Catastrófico"),CONCATENATE("R4C",'Mapa final'!#REF!),"")</f>
        <v>#REF!</v>
      </c>
      <c r="AJ19" s="42" t="e">
        <f>IF(AND('Mapa final'!#REF!="Alta",'Mapa final'!#REF!="Catastrófico"),CONCATENATE("R4C",'Mapa final'!#REF!),"")</f>
        <v>#REF!</v>
      </c>
      <c r="AK19" s="42" t="e">
        <f>IF(AND('Mapa final'!#REF!="Alta",'Mapa final'!#REF!="Catastrófico"),CONCATENATE("R4C",'Mapa final'!#REF!),"")</f>
        <v>#REF!</v>
      </c>
      <c r="AL19" s="42" t="e">
        <f>IF(AND('Mapa final'!#REF!="Alta",'Mapa final'!#REF!="Catastrófico"),CONCATENATE("R4C",'Mapa final'!#REF!),"")</f>
        <v>#REF!</v>
      </c>
      <c r="AM19" s="43" t="e">
        <f>IF(AND('Mapa final'!#REF!="Alta",'Mapa final'!#REF!="Catastrófico"),CONCATENATE("R4C",'Mapa final'!#REF!),"")</f>
        <v>#REF!</v>
      </c>
      <c r="AN19" s="69"/>
      <c r="AO19" s="427"/>
      <c r="AP19" s="428"/>
      <c r="AQ19" s="428"/>
      <c r="AR19" s="428"/>
      <c r="AS19" s="428"/>
      <c r="AT19" s="42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376"/>
      <c r="C20" s="376"/>
      <c r="D20" s="377"/>
      <c r="E20" s="417"/>
      <c r="F20" s="418"/>
      <c r="G20" s="418"/>
      <c r="H20" s="418"/>
      <c r="I20" s="418"/>
      <c r="J20" s="53" t="e">
        <f>IF(AND('Mapa final'!#REF!="Alta",'Mapa final'!#REF!="Leve"),CONCATENATE("R5C",'Mapa final'!#REF!),"")</f>
        <v>#REF!</v>
      </c>
      <c r="K20" s="54" t="e">
        <f>IF(AND('Mapa final'!#REF!="Alta",'Mapa final'!#REF!="Leve"),CONCATENATE("R5C",'Mapa final'!#REF!),"")</f>
        <v>#REF!</v>
      </c>
      <c r="L20" s="54" t="e">
        <f>IF(AND('Mapa final'!#REF!="Alta",'Mapa final'!#REF!="Leve"),CONCATENATE("R5C",'Mapa final'!#REF!),"")</f>
        <v>#REF!</v>
      </c>
      <c r="M20" s="54" t="e">
        <f>IF(AND('Mapa final'!#REF!="Alta",'Mapa final'!#REF!="Leve"),CONCATENATE("R5C",'Mapa final'!#REF!),"")</f>
        <v>#REF!</v>
      </c>
      <c r="N20" s="54" t="e">
        <f>IF(AND('Mapa final'!#REF!="Alta",'Mapa final'!#REF!="Leve"),CONCATENATE("R5C",'Mapa final'!#REF!),"")</f>
        <v>#REF!</v>
      </c>
      <c r="O20" s="55" t="e">
        <f>IF(AND('Mapa final'!#REF!="Alta",'Mapa final'!#REF!="Leve"),CONCATENATE("R5C",'Mapa final'!#REF!),"")</f>
        <v>#REF!</v>
      </c>
      <c r="P20" s="53" t="e">
        <f>IF(AND('Mapa final'!#REF!="Alta",'Mapa final'!#REF!="Menor"),CONCATENATE("R5C",'Mapa final'!#REF!),"")</f>
        <v>#REF!</v>
      </c>
      <c r="Q20" s="54" t="e">
        <f>IF(AND('Mapa final'!#REF!="Alta",'Mapa final'!#REF!="Menor"),CONCATENATE("R5C",'Mapa final'!#REF!),"")</f>
        <v>#REF!</v>
      </c>
      <c r="R20" s="54" t="e">
        <f>IF(AND('Mapa final'!#REF!="Alta",'Mapa final'!#REF!="Menor"),CONCATENATE("R5C",'Mapa final'!#REF!),"")</f>
        <v>#REF!</v>
      </c>
      <c r="S20" s="54" t="e">
        <f>IF(AND('Mapa final'!#REF!="Alta",'Mapa final'!#REF!="Menor"),CONCATENATE("R5C",'Mapa final'!#REF!),"")</f>
        <v>#REF!</v>
      </c>
      <c r="T20" s="54" t="e">
        <f>IF(AND('Mapa final'!#REF!="Alta",'Mapa final'!#REF!="Menor"),CONCATENATE("R5C",'Mapa final'!#REF!),"")</f>
        <v>#REF!</v>
      </c>
      <c r="U20" s="55" t="e">
        <f>IF(AND('Mapa final'!#REF!="Alta",'Mapa final'!#REF!="Menor"),CONCATENATE("R5C",'Mapa final'!#REF!),"")</f>
        <v>#REF!</v>
      </c>
      <c r="V20" s="38" t="e">
        <f>IF(AND('Mapa final'!#REF!="Alta",'Mapa final'!#REF!="Moderado"),CONCATENATE("R5C",'Mapa final'!#REF!),"")</f>
        <v>#REF!</v>
      </c>
      <c r="W20" s="39" t="e">
        <f>IF(AND('Mapa final'!#REF!="Alta",'Mapa final'!#REF!="Moderado"),CONCATENATE("R5C",'Mapa final'!#REF!),"")</f>
        <v>#REF!</v>
      </c>
      <c r="X20" s="39" t="e">
        <f>IF(AND('Mapa final'!#REF!="Alta",'Mapa final'!#REF!="Moderado"),CONCATENATE("R5C",'Mapa final'!#REF!),"")</f>
        <v>#REF!</v>
      </c>
      <c r="Y20" s="39" t="e">
        <f>IF(AND('Mapa final'!#REF!="Alta",'Mapa final'!#REF!="Moderado"),CONCATENATE("R5C",'Mapa final'!#REF!),"")</f>
        <v>#REF!</v>
      </c>
      <c r="Z20" s="39" t="e">
        <f>IF(AND('Mapa final'!#REF!="Alta",'Mapa final'!#REF!="Moderado"),CONCATENATE("R5C",'Mapa final'!#REF!),"")</f>
        <v>#REF!</v>
      </c>
      <c r="AA20" s="40" t="e">
        <f>IF(AND('Mapa final'!#REF!="Alta",'Mapa final'!#REF!="Moderado"),CONCATENATE("R5C",'Mapa final'!#REF!),"")</f>
        <v>#REF!</v>
      </c>
      <c r="AB20" s="38" t="e">
        <f>IF(AND('Mapa final'!#REF!="Alta",'Mapa final'!#REF!="Mayor"),CONCATENATE("R5C",'Mapa final'!#REF!),"")</f>
        <v>#REF!</v>
      </c>
      <c r="AC20" s="39" t="e">
        <f>IF(AND('Mapa final'!#REF!="Alta",'Mapa final'!#REF!="Mayor"),CONCATENATE("R5C",'Mapa final'!#REF!),"")</f>
        <v>#REF!</v>
      </c>
      <c r="AD20" s="39" t="e">
        <f>IF(AND('Mapa final'!#REF!="Alta",'Mapa final'!#REF!="Mayor"),CONCATENATE("R5C",'Mapa final'!#REF!),"")</f>
        <v>#REF!</v>
      </c>
      <c r="AE20" s="39" t="e">
        <f>IF(AND('Mapa final'!#REF!="Alta",'Mapa final'!#REF!="Mayor"),CONCATENATE("R5C",'Mapa final'!#REF!),"")</f>
        <v>#REF!</v>
      </c>
      <c r="AF20" s="39" t="e">
        <f>IF(AND('Mapa final'!#REF!="Alta",'Mapa final'!#REF!="Mayor"),CONCATENATE("R5C",'Mapa final'!#REF!),"")</f>
        <v>#REF!</v>
      </c>
      <c r="AG20" s="40" t="e">
        <f>IF(AND('Mapa final'!#REF!="Alta",'Mapa final'!#REF!="Mayor"),CONCATENATE("R5C",'Mapa final'!#REF!),"")</f>
        <v>#REF!</v>
      </c>
      <c r="AH20" s="41" t="e">
        <f>IF(AND('Mapa final'!#REF!="Alta",'Mapa final'!#REF!="Catastrófico"),CONCATENATE("R5C",'Mapa final'!#REF!),"")</f>
        <v>#REF!</v>
      </c>
      <c r="AI20" s="42" t="e">
        <f>IF(AND('Mapa final'!#REF!="Alta",'Mapa final'!#REF!="Catastrófico"),CONCATENATE("R5C",'Mapa final'!#REF!),"")</f>
        <v>#REF!</v>
      </c>
      <c r="AJ20" s="42" t="e">
        <f>IF(AND('Mapa final'!#REF!="Alta",'Mapa final'!#REF!="Catastrófico"),CONCATENATE("R5C",'Mapa final'!#REF!),"")</f>
        <v>#REF!</v>
      </c>
      <c r="AK20" s="42" t="e">
        <f>IF(AND('Mapa final'!#REF!="Alta",'Mapa final'!#REF!="Catastrófico"),CONCATENATE("R5C",'Mapa final'!#REF!),"")</f>
        <v>#REF!</v>
      </c>
      <c r="AL20" s="42" t="e">
        <f>IF(AND('Mapa final'!#REF!="Alta",'Mapa final'!#REF!="Catastrófico"),CONCATENATE("R5C",'Mapa final'!#REF!),"")</f>
        <v>#REF!</v>
      </c>
      <c r="AM20" s="43" t="e">
        <f>IF(AND('Mapa final'!#REF!="Alta",'Mapa final'!#REF!="Catastrófico"),CONCATENATE("R5C",'Mapa final'!#REF!),"")</f>
        <v>#REF!</v>
      </c>
      <c r="AN20" s="69"/>
      <c r="AO20" s="427"/>
      <c r="AP20" s="428"/>
      <c r="AQ20" s="428"/>
      <c r="AR20" s="428"/>
      <c r="AS20" s="428"/>
      <c r="AT20" s="42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376"/>
      <c r="C21" s="376"/>
      <c r="D21" s="377"/>
      <c r="E21" s="417"/>
      <c r="F21" s="418"/>
      <c r="G21" s="418"/>
      <c r="H21" s="418"/>
      <c r="I21" s="418"/>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427"/>
      <c r="AP21" s="428"/>
      <c r="AQ21" s="428"/>
      <c r="AR21" s="428"/>
      <c r="AS21" s="428"/>
      <c r="AT21" s="429"/>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376"/>
      <c r="C22" s="376"/>
      <c r="D22" s="377"/>
      <c r="E22" s="417"/>
      <c r="F22" s="418"/>
      <c r="G22" s="418"/>
      <c r="H22" s="418"/>
      <c r="I22" s="418"/>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427"/>
      <c r="AP22" s="428"/>
      <c r="AQ22" s="428"/>
      <c r="AR22" s="428"/>
      <c r="AS22" s="428"/>
      <c r="AT22" s="42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376"/>
      <c r="C23" s="376"/>
      <c r="D23" s="377"/>
      <c r="E23" s="417"/>
      <c r="F23" s="418"/>
      <c r="G23" s="418"/>
      <c r="H23" s="418"/>
      <c r="I23" s="418"/>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427"/>
      <c r="AP23" s="428"/>
      <c r="AQ23" s="428"/>
      <c r="AR23" s="428"/>
      <c r="AS23" s="428"/>
      <c r="AT23" s="42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376"/>
      <c r="C24" s="376"/>
      <c r="D24" s="377"/>
      <c r="E24" s="417"/>
      <c r="F24" s="418"/>
      <c r="G24" s="418"/>
      <c r="H24" s="418"/>
      <c r="I24" s="418"/>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427"/>
      <c r="AP24" s="428"/>
      <c r="AQ24" s="428"/>
      <c r="AR24" s="428"/>
      <c r="AS24" s="428"/>
      <c r="AT24" s="42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376"/>
      <c r="C25" s="376"/>
      <c r="D25" s="377"/>
      <c r="E25" s="420"/>
      <c r="F25" s="421"/>
      <c r="G25" s="421"/>
      <c r="H25" s="421"/>
      <c r="I25" s="421"/>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430"/>
      <c r="AP25" s="431"/>
      <c r="AQ25" s="431"/>
      <c r="AR25" s="431"/>
      <c r="AS25" s="431"/>
      <c r="AT25" s="432"/>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376"/>
      <c r="C26" s="376"/>
      <c r="D26" s="377"/>
      <c r="E26" s="414" t="s">
        <v>117</v>
      </c>
      <c r="F26" s="415"/>
      <c r="G26" s="415"/>
      <c r="H26" s="415"/>
      <c r="I26" s="416"/>
      <c r="J26" s="50" t="str">
        <f>IF(AND('Mapa final'!$Y$13="Media",'Mapa final'!$AA$13="Leve"),CONCATENATE("R1C",'Mapa final'!$O$13),"")</f>
        <v/>
      </c>
      <c r="K26" s="51" t="str">
        <f>IF(AND('Mapa final'!$Y$14="Media",'Mapa final'!$AA$14="Leve"),CONCATENATE("R1C",'Mapa final'!$O$14),"")</f>
        <v/>
      </c>
      <c r="L26" s="51" t="str">
        <f>IF(AND('Mapa final'!$Y$15="Media",'Mapa final'!$AA$15="Leve"),CONCATENATE("R1C",'Mapa final'!$O$15),"")</f>
        <v/>
      </c>
      <c r="M26" s="51" t="str">
        <f>IF(AND('Mapa final'!$Y$16="Media",'Mapa final'!$AA$16="Leve"),CONCATENATE("R1C",'Mapa final'!$O$16),"")</f>
        <v/>
      </c>
      <c r="N26" s="51" t="str">
        <f>IF(AND('Mapa final'!$Y$17="Media",'Mapa final'!$AA$17="Leve"),CONCATENATE("R1C",'Mapa final'!$O$17),"")</f>
        <v/>
      </c>
      <c r="O26" s="52" t="str">
        <f>IF(AND('Mapa final'!$Y$18="Media",'Mapa final'!$AA$18="Leve"),CONCATENATE("R1C",'Mapa final'!$O$18),"")</f>
        <v/>
      </c>
      <c r="P26" s="50" t="str">
        <f>IF(AND('Mapa final'!$Y$13="Media",'Mapa final'!$AA$13="Menor"),CONCATENATE("R1C",'Mapa final'!$O$13),"")</f>
        <v/>
      </c>
      <c r="Q26" s="51" t="str">
        <f>IF(AND('Mapa final'!$Y$14="Media",'Mapa final'!$AA$14="Menor"),CONCATENATE("R1C",'Mapa final'!$O$14),"")</f>
        <v/>
      </c>
      <c r="R26" s="51" t="str">
        <f>IF(AND('Mapa final'!$Y$15="Media",'Mapa final'!$AA$15="Menor"),CONCATENATE("R1C",'Mapa final'!$O$15),"")</f>
        <v/>
      </c>
      <c r="S26" s="51" t="str">
        <f>IF(AND('Mapa final'!$Y$16="Media",'Mapa final'!$AA$16="Menor"),CONCATENATE("R1C",'Mapa final'!$O$16),"")</f>
        <v/>
      </c>
      <c r="T26" s="51" t="str">
        <f>IF(AND('Mapa final'!$Y$17="Media",'Mapa final'!$AA$17="Menor"),CONCATENATE("R1C",'Mapa final'!$O$17),"")</f>
        <v/>
      </c>
      <c r="U26" s="52" t="str">
        <f>IF(AND('Mapa final'!$Y$18="Media",'Mapa final'!$AA$18="Menor"),CONCATENATE("R1C",'Mapa final'!$O$18),"")</f>
        <v/>
      </c>
      <c r="V26" s="50" t="str">
        <f>IF(AND('Mapa final'!$Y$13="Media",'Mapa final'!$AA$13="Moderado"),CONCATENATE("R1C",'Mapa final'!$O$13),"")</f>
        <v/>
      </c>
      <c r="W26" s="51" t="str">
        <f>IF(AND('Mapa final'!$Y$14="Media",'Mapa final'!$AA$14="Moderado"),CONCATENATE("R1C",'Mapa final'!$O$14),"")</f>
        <v/>
      </c>
      <c r="X26" s="51" t="str">
        <f>IF(AND('Mapa final'!$Y$15="Media",'Mapa final'!$AA$15="Moderado"),CONCATENATE("R1C",'Mapa final'!$O$15),"")</f>
        <v/>
      </c>
      <c r="Y26" s="51" t="str">
        <f>IF(AND('Mapa final'!$Y$16="Media",'Mapa final'!$AA$16="Moderado"),CONCATENATE("R1C",'Mapa final'!$O$16),"")</f>
        <v/>
      </c>
      <c r="Z26" s="51" t="str">
        <f>IF(AND('Mapa final'!$Y$17="Media",'Mapa final'!$AA$17="Moderado"),CONCATENATE("R1C",'Mapa final'!$O$17),"")</f>
        <v/>
      </c>
      <c r="AA26" s="52" t="str">
        <f>IF(AND('Mapa final'!$Y$18="Media",'Mapa final'!$AA$18="Moderado"),CONCATENATE("R1C",'Mapa final'!$O$18),"")</f>
        <v/>
      </c>
      <c r="AB26" s="32" t="str">
        <f>IF(AND('Mapa final'!$Y$13="Media",'Mapa final'!$AA$13="Mayor"),CONCATENATE("R1C",'Mapa final'!$O$13),"")</f>
        <v/>
      </c>
      <c r="AC26" s="33" t="str">
        <f>IF(AND('Mapa final'!$Y$14="Media",'Mapa final'!$AA$14="Mayor"),CONCATENATE("R1C",'Mapa final'!$O$14),"")</f>
        <v/>
      </c>
      <c r="AD26" s="33" t="str">
        <f>IF(AND('Mapa final'!$Y$15="Media",'Mapa final'!$AA$15="Mayor"),CONCATENATE("R1C",'Mapa final'!$O$15),"")</f>
        <v/>
      </c>
      <c r="AE26" s="33" t="str">
        <f>IF(AND('Mapa final'!$Y$16="Media",'Mapa final'!$AA$16="Mayor"),CONCATENATE("R1C",'Mapa final'!$O$16),"")</f>
        <v/>
      </c>
      <c r="AF26" s="33" t="str">
        <f>IF(AND('Mapa final'!$Y$17="Media",'Mapa final'!$AA$17="Mayor"),CONCATENATE("R1C",'Mapa final'!$O$17),"")</f>
        <v/>
      </c>
      <c r="AG26" s="34" t="str">
        <f>IF(AND('Mapa final'!$Y$18="Media",'Mapa final'!$AA$18="Mayor"),CONCATENATE("R1C",'Mapa final'!$O$18),"")</f>
        <v/>
      </c>
      <c r="AH26" s="35" t="str">
        <f>IF(AND('Mapa final'!$Y$13="Media",'Mapa final'!$AA$13="Catastrófico"),CONCATENATE("R1C",'Mapa final'!$O$13),"")</f>
        <v/>
      </c>
      <c r="AI26" s="36" t="str">
        <f>IF(AND('Mapa final'!$Y$14="Media",'Mapa final'!$AA$14="Catastrófico"),CONCATENATE("R1C",'Mapa final'!$O$14),"")</f>
        <v/>
      </c>
      <c r="AJ26" s="36" t="str">
        <f>IF(AND('Mapa final'!$Y$15="Media",'Mapa final'!$AA$15="Catastrófico"),CONCATENATE("R1C",'Mapa final'!$O$15),"")</f>
        <v/>
      </c>
      <c r="AK26" s="36" t="str">
        <f>IF(AND('Mapa final'!$Y$16="Media",'Mapa final'!$AA$16="Catastrófico"),CONCATENATE("R1C",'Mapa final'!$O$16),"")</f>
        <v/>
      </c>
      <c r="AL26" s="36" t="str">
        <f>IF(AND('Mapa final'!$Y$17="Media",'Mapa final'!$AA$17="Catastrófico"),CONCATENATE("R1C",'Mapa final'!$O$17),"")</f>
        <v/>
      </c>
      <c r="AM26" s="37" t="str">
        <f>IF(AND('Mapa final'!$Y$18="Media",'Mapa final'!$AA$18="Catastrófico"),CONCATENATE("R1C",'Mapa final'!$O$18),"")</f>
        <v/>
      </c>
      <c r="AN26" s="69"/>
      <c r="AO26" s="454" t="s">
        <v>81</v>
      </c>
      <c r="AP26" s="455"/>
      <c r="AQ26" s="455"/>
      <c r="AR26" s="455"/>
      <c r="AS26" s="455"/>
      <c r="AT26" s="456"/>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376"/>
      <c r="C27" s="376"/>
      <c r="D27" s="377"/>
      <c r="E27" s="433"/>
      <c r="F27" s="418"/>
      <c r="G27" s="418"/>
      <c r="H27" s="418"/>
      <c r="I27" s="419"/>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457"/>
      <c r="AP27" s="458"/>
      <c r="AQ27" s="458"/>
      <c r="AR27" s="458"/>
      <c r="AS27" s="458"/>
      <c r="AT27" s="45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376"/>
      <c r="C28" s="376"/>
      <c r="D28" s="377"/>
      <c r="E28" s="417"/>
      <c r="F28" s="418"/>
      <c r="G28" s="418"/>
      <c r="H28" s="418"/>
      <c r="I28" s="419"/>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457"/>
      <c r="AP28" s="458"/>
      <c r="AQ28" s="458"/>
      <c r="AR28" s="458"/>
      <c r="AS28" s="458"/>
      <c r="AT28" s="45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376"/>
      <c r="C29" s="376"/>
      <c r="D29" s="377"/>
      <c r="E29" s="417"/>
      <c r="F29" s="418"/>
      <c r="G29" s="418"/>
      <c r="H29" s="418"/>
      <c r="I29" s="419"/>
      <c r="J29" s="53" t="e">
        <f>IF(AND('Mapa final'!#REF!="Media",'Mapa final'!#REF!="Leve"),CONCATENATE("R4C",'Mapa final'!#REF!),"")</f>
        <v>#REF!</v>
      </c>
      <c r="K29" s="54" t="e">
        <f>IF(AND('Mapa final'!#REF!="Media",'Mapa final'!#REF!="Leve"),CONCATENATE("R4C",'Mapa final'!#REF!),"")</f>
        <v>#REF!</v>
      </c>
      <c r="L29" s="54" t="e">
        <f>IF(AND('Mapa final'!#REF!="Media",'Mapa final'!#REF!="Leve"),CONCATENATE("R4C",'Mapa final'!#REF!),"")</f>
        <v>#REF!</v>
      </c>
      <c r="M29" s="54" t="e">
        <f>IF(AND('Mapa final'!#REF!="Media",'Mapa final'!#REF!="Leve"),CONCATENATE("R4C",'Mapa final'!#REF!),"")</f>
        <v>#REF!</v>
      </c>
      <c r="N29" s="54" t="e">
        <f>IF(AND('Mapa final'!#REF!="Media",'Mapa final'!#REF!="Leve"),CONCATENATE("R4C",'Mapa final'!#REF!),"")</f>
        <v>#REF!</v>
      </c>
      <c r="O29" s="55" t="e">
        <f>IF(AND('Mapa final'!#REF!="Media",'Mapa final'!#REF!="Leve"),CONCATENATE("R4C",'Mapa final'!#REF!),"")</f>
        <v>#REF!</v>
      </c>
      <c r="P29" s="53" t="e">
        <f>IF(AND('Mapa final'!#REF!="Media",'Mapa final'!#REF!="Menor"),CONCATENATE("R4C",'Mapa final'!#REF!),"")</f>
        <v>#REF!</v>
      </c>
      <c r="Q29" s="54" t="e">
        <f>IF(AND('Mapa final'!#REF!="Media",'Mapa final'!#REF!="Menor"),CONCATENATE("R4C",'Mapa final'!#REF!),"")</f>
        <v>#REF!</v>
      </c>
      <c r="R29" s="54" t="e">
        <f>IF(AND('Mapa final'!#REF!="Media",'Mapa final'!#REF!="Menor"),CONCATENATE("R4C",'Mapa final'!#REF!),"")</f>
        <v>#REF!</v>
      </c>
      <c r="S29" s="54" t="e">
        <f>IF(AND('Mapa final'!#REF!="Media",'Mapa final'!#REF!="Menor"),CONCATENATE("R4C",'Mapa final'!#REF!),"")</f>
        <v>#REF!</v>
      </c>
      <c r="T29" s="54" t="e">
        <f>IF(AND('Mapa final'!#REF!="Media",'Mapa final'!#REF!="Menor"),CONCATENATE("R4C",'Mapa final'!#REF!),"")</f>
        <v>#REF!</v>
      </c>
      <c r="U29" s="55" t="e">
        <f>IF(AND('Mapa final'!#REF!="Media",'Mapa final'!#REF!="Menor"),CONCATENATE("R4C",'Mapa final'!#REF!),"")</f>
        <v>#REF!</v>
      </c>
      <c r="V29" s="53" t="e">
        <f>IF(AND('Mapa final'!#REF!="Media",'Mapa final'!#REF!="Moderado"),CONCATENATE("R4C",'Mapa final'!#REF!),"")</f>
        <v>#REF!</v>
      </c>
      <c r="W29" s="54" t="e">
        <f>IF(AND('Mapa final'!#REF!="Media",'Mapa final'!#REF!="Moderado"),CONCATENATE("R4C",'Mapa final'!#REF!),"")</f>
        <v>#REF!</v>
      </c>
      <c r="X29" s="54" t="e">
        <f>IF(AND('Mapa final'!#REF!="Media",'Mapa final'!#REF!="Moderado"),CONCATENATE("R4C",'Mapa final'!#REF!),"")</f>
        <v>#REF!</v>
      </c>
      <c r="Y29" s="54" t="e">
        <f>IF(AND('Mapa final'!#REF!="Media",'Mapa final'!#REF!="Moderado"),CONCATENATE("R4C",'Mapa final'!#REF!),"")</f>
        <v>#REF!</v>
      </c>
      <c r="Z29" s="54" t="e">
        <f>IF(AND('Mapa final'!#REF!="Media",'Mapa final'!#REF!="Moderado"),CONCATENATE("R4C",'Mapa final'!#REF!),"")</f>
        <v>#REF!</v>
      </c>
      <c r="AA29" s="55" t="e">
        <f>IF(AND('Mapa final'!#REF!="Media",'Mapa final'!#REF!="Moderado"),CONCATENATE("R4C",'Mapa final'!#REF!),"")</f>
        <v>#REF!</v>
      </c>
      <c r="AB29" s="38" t="e">
        <f>IF(AND('Mapa final'!#REF!="Media",'Mapa final'!#REF!="Mayor"),CONCATENATE("R4C",'Mapa final'!#REF!),"")</f>
        <v>#REF!</v>
      </c>
      <c r="AC29" s="39" t="e">
        <f>IF(AND('Mapa final'!#REF!="Media",'Mapa final'!#REF!="Mayor"),CONCATENATE("R4C",'Mapa final'!#REF!),"")</f>
        <v>#REF!</v>
      </c>
      <c r="AD29" s="39" t="e">
        <f>IF(AND('Mapa final'!#REF!="Media",'Mapa final'!#REF!="Mayor"),CONCATENATE("R4C",'Mapa final'!#REF!),"")</f>
        <v>#REF!</v>
      </c>
      <c r="AE29" s="39" t="e">
        <f>IF(AND('Mapa final'!#REF!="Media",'Mapa final'!#REF!="Mayor"),CONCATENATE("R4C",'Mapa final'!#REF!),"")</f>
        <v>#REF!</v>
      </c>
      <c r="AF29" s="39" t="e">
        <f>IF(AND('Mapa final'!#REF!="Media",'Mapa final'!#REF!="Mayor"),CONCATENATE("R4C",'Mapa final'!#REF!),"")</f>
        <v>#REF!</v>
      </c>
      <c r="AG29" s="40" t="e">
        <f>IF(AND('Mapa final'!#REF!="Media",'Mapa final'!#REF!="Mayor"),CONCATENATE("R4C",'Mapa final'!#REF!),"")</f>
        <v>#REF!</v>
      </c>
      <c r="AH29" s="41" t="e">
        <f>IF(AND('Mapa final'!#REF!="Media",'Mapa final'!#REF!="Catastrófico"),CONCATENATE("R4C",'Mapa final'!#REF!),"")</f>
        <v>#REF!</v>
      </c>
      <c r="AI29" s="42" t="e">
        <f>IF(AND('Mapa final'!#REF!="Media",'Mapa final'!#REF!="Catastrófico"),CONCATENATE("R4C",'Mapa final'!#REF!),"")</f>
        <v>#REF!</v>
      </c>
      <c r="AJ29" s="42" t="e">
        <f>IF(AND('Mapa final'!#REF!="Media",'Mapa final'!#REF!="Catastrófico"),CONCATENATE("R4C",'Mapa final'!#REF!),"")</f>
        <v>#REF!</v>
      </c>
      <c r="AK29" s="42" t="e">
        <f>IF(AND('Mapa final'!#REF!="Media",'Mapa final'!#REF!="Catastrófico"),CONCATENATE("R4C",'Mapa final'!#REF!),"")</f>
        <v>#REF!</v>
      </c>
      <c r="AL29" s="42" t="e">
        <f>IF(AND('Mapa final'!#REF!="Media",'Mapa final'!#REF!="Catastrófico"),CONCATENATE("R4C",'Mapa final'!#REF!),"")</f>
        <v>#REF!</v>
      </c>
      <c r="AM29" s="43" t="e">
        <f>IF(AND('Mapa final'!#REF!="Media",'Mapa final'!#REF!="Catastrófico"),CONCATENATE("R4C",'Mapa final'!#REF!),"")</f>
        <v>#REF!</v>
      </c>
      <c r="AN29" s="69"/>
      <c r="AO29" s="457"/>
      <c r="AP29" s="458"/>
      <c r="AQ29" s="458"/>
      <c r="AR29" s="458"/>
      <c r="AS29" s="458"/>
      <c r="AT29" s="45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376"/>
      <c r="C30" s="376"/>
      <c r="D30" s="377"/>
      <c r="E30" s="417"/>
      <c r="F30" s="418"/>
      <c r="G30" s="418"/>
      <c r="H30" s="418"/>
      <c r="I30" s="419"/>
      <c r="J30" s="53" t="e">
        <f>IF(AND('Mapa final'!#REF!="Media",'Mapa final'!#REF!="Leve"),CONCATENATE("R5C",'Mapa final'!#REF!),"")</f>
        <v>#REF!</v>
      </c>
      <c r="K30" s="54" t="e">
        <f>IF(AND('Mapa final'!#REF!="Media",'Mapa final'!#REF!="Leve"),CONCATENATE("R5C",'Mapa final'!#REF!),"")</f>
        <v>#REF!</v>
      </c>
      <c r="L30" s="54" t="e">
        <f>IF(AND('Mapa final'!#REF!="Media",'Mapa final'!#REF!="Leve"),CONCATENATE("R5C",'Mapa final'!#REF!),"")</f>
        <v>#REF!</v>
      </c>
      <c r="M30" s="54" t="e">
        <f>IF(AND('Mapa final'!#REF!="Media",'Mapa final'!#REF!="Leve"),CONCATENATE("R5C",'Mapa final'!#REF!),"")</f>
        <v>#REF!</v>
      </c>
      <c r="N30" s="54" t="e">
        <f>IF(AND('Mapa final'!#REF!="Media",'Mapa final'!#REF!="Leve"),CONCATENATE("R5C",'Mapa final'!#REF!),"")</f>
        <v>#REF!</v>
      </c>
      <c r="O30" s="55" t="e">
        <f>IF(AND('Mapa final'!#REF!="Media",'Mapa final'!#REF!="Leve"),CONCATENATE("R5C",'Mapa final'!#REF!),"")</f>
        <v>#REF!</v>
      </c>
      <c r="P30" s="53" t="e">
        <f>IF(AND('Mapa final'!#REF!="Media",'Mapa final'!#REF!="Menor"),CONCATENATE("R5C",'Mapa final'!#REF!),"")</f>
        <v>#REF!</v>
      </c>
      <c r="Q30" s="54" t="e">
        <f>IF(AND('Mapa final'!#REF!="Media",'Mapa final'!#REF!="Menor"),CONCATENATE("R5C",'Mapa final'!#REF!),"")</f>
        <v>#REF!</v>
      </c>
      <c r="R30" s="54" t="e">
        <f>IF(AND('Mapa final'!#REF!="Media",'Mapa final'!#REF!="Menor"),CONCATENATE("R5C",'Mapa final'!#REF!),"")</f>
        <v>#REF!</v>
      </c>
      <c r="S30" s="54" t="e">
        <f>IF(AND('Mapa final'!#REF!="Media",'Mapa final'!#REF!="Menor"),CONCATENATE("R5C",'Mapa final'!#REF!),"")</f>
        <v>#REF!</v>
      </c>
      <c r="T30" s="54" t="e">
        <f>IF(AND('Mapa final'!#REF!="Media",'Mapa final'!#REF!="Menor"),CONCATENATE("R5C",'Mapa final'!#REF!),"")</f>
        <v>#REF!</v>
      </c>
      <c r="U30" s="55" t="e">
        <f>IF(AND('Mapa final'!#REF!="Media",'Mapa final'!#REF!="Menor"),CONCATENATE("R5C",'Mapa final'!#REF!),"")</f>
        <v>#REF!</v>
      </c>
      <c r="V30" s="53" t="e">
        <f>IF(AND('Mapa final'!#REF!="Media",'Mapa final'!#REF!="Moderado"),CONCATENATE("R5C",'Mapa final'!#REF!),"")</f>
        <v>#REF!</v>
      </c>
      <c r="W30" s="54" t="e">
        <f>IF(AND('Mapa final'!#REF!="Media",'Mapa final'!#REF!="Moderado"),CONCATENATE("R5C",'Mapa final'!#REF!),"")</f>
        <v>#REF!</v>
      </c>
      <c r="X30" s="54" t="e">
        <f>IF(AND('Mapa final'!#REF!="Media",'Mapa final'!#REF!="Moderado"),CONCATENATE("R5C",'Mapa final'!#REF!),"")</f>
        <v>#REF!</v>
      </c>
      <c r="Y30" s="54" t="e">
        <f>IF(AND('Mapa final'!#REF!="Media",'Mapa final'!#REF!="Moderado"),CONCATENATE("R5C",'Mapa final'!#REF!),"")</f>
        <v>#REF!</v>
      </c>
      <c r="Z30" s="54" t="e">
        <f>IF(AND('Mapa final'!#REF!="Media",'Mapa final'!#REF!="Moderado"),CONCATENATE("R5C",'Mapa final'!#REF!),"")</f>
        <v>#REF!</v>
      </c>
      <c r="AA30" s="55" t="e">
        <f>IF(AND('Mapa final'!#REF!="Media",'Mapa final'!#REF!="Moderado"),CONCATENATE("R5C",'Mapa final'!#REF!),"")</f>
        <v>#REF!</v>
      </c>
      <c r="AB30" s="38" t="e">
        <f>IF(AND('Mapa final'!#REF!="Media",'Mapa final'!#REF!="Mayor"),CONCATENATE("R5C",'Mapa final'!#REF!),"")</f>
        <v>#REF!</v>
      </c>
      <c r="AC30" s="39" t="e">
        <f>IF(AND('Mapa final'!#REF!="Media",'Mapa final'!#REF!="Mayor"),CONCATENATE("R5C",'Mapa final'!#REF!),"")</f>
        <v>#REF!</v>
      </c>
      <c r="AD30" s="39" t="e">
        <f>IF(AND('Mapa final'!#REF!="Media",'Mapa final'!#REF!="Mayor"),CONCATENATE("R5C",'Mapa final'!#REF!),"")</f>
        <v>#REF!</v>
      </c>
      <c r="AE30" s="39" t="e">
        <f>IF(AND('Mapa final'!#REF!="Media",'Mapa final'!#REF!="Mayor"),CONCATENATE("R5C",'Mapa final'!#REF!),"")</f>
        <v>#REF!</v>
      </c>
      <c r="AF30" s="39" t="e">
        <f>IF(AND('Mapa final'!#REF!="Media",'Mapa final'!#REF!="Mayor"),CONCATENATE("R5C",'Mapa final'!#REF!),"")</f>
        <v>#REF!</v>
      </c>
      <c r="AG30" s="40" t="e">
        <f>IF(AND('Mapa final'!#REF!="Media",'Mapa final'!#REF!="Mayor"),CONCATENATE("R5C",'Mapa final'!#REF!),"")</f>
        <v>#REF!</v>
      </c>
      <c r="AH30" s="41" t="e">
        <f>IF(AND('Mapa final'!#REF!="Media",'Mapa final'!#REF!="Catastrófico"),CONCATENATE("R5C",'Mapa final'!#REF!),"")</f>
        <v>#REF!</v>
      </c>
      <c r="AI30" s="42" t="e">
        <f>IF(AND('Mapa final'!#REF!="Media",'Mapa final'!#REF!="Catastrófico"),CONCATENATE("R5C",'Mapa final'!#REF!),"")</f>
        <v>#REF!</v>
      </c>
      <c r="AJ30" s="42" t="e">
        <f>IF(AND('Mapa final'!#REF!="Media",'Mapa final'!#REF!="Catastrófico"),CONCATENATE("R5C",'Mapa final'!#REF!),"")</f>
        <v>#REF!</v>
      </c>
      <c r="AK30" s="42" t="e">
        <f>IF(AND('Mapa final'!#REF!="Media",'Mapa final'!#REF!="Catastrófico"),CONCATENATE("R5C",'Mapa final'!#REF!),"")</f>
        <v>#REF!</v>
      </c>
      <c r="AL30" s="42" t="e">
        <f>IF(AND('Mapa final'!#REF!="Media",'Mapa final'!#REF!="Catastrófico"),CONCATENATE("R5C",'Mapa final'!#REF!),"")</f>
        <v>#REF!</v>
      </c>
      <c r="AM30" s="43" t="e">
        <f>IF(AND('Mapa final'!#REF!="Media",'Mapa final'!#REF!="Catastrófico"),CONCATENATE("R5C",'Mapa final'!#REF!),"")</f>
        <v>#REF!</v>
      </c>
      <c r="AN30" s="69"/>
      <c r="AO30" s="457"/>
      <c r="AP30" s="458"/>
      <c r="AQ30" s="458"/>
      <c r="AR30" s="458"/>
      <c r="AS30" s="458"/>
      <c r="AT30" s="45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376"/>
      <c r="C31" s="376"/>
      <c r="D31" s="377"/>
      <c r="E31" s="417"/>
      <c r="F31" s="418"/>
      <c r="G31" s="418"/>
      <c r="H31" s="418"/>
      <c r="I31" s="419"/>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457"/>
      <c r="AP31" s="458"/>
      <c r="AQ31" s="458"/>
      <c r="AR31" s="458"/>
      <c r="AS31" s="458"/>
      <c r="AT31" s="45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376"/>
      <c r="C32" s="376"/>
      <c r="D32" s="377"/>
      <c r="E32" s="417"/>
      <c r="F32" s="418"/>
      <c r="G32" s="418"/>
      <c r="H32" s="418"/>
      <c r="I32" s="419"/>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457"/>
      <c r="AP32" s="458"/>
      <c r="AQ32" s="458"/>
      <c r="AR32" s="458"/>
      <c r="AS32" s="458"/>
      <c r="AT32" s="45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376"/>
      <c r="C33" s="376"/>
      <c r="D33" s="377"/>
      <c r="E33" s="417"/>
      <c r="F33" s="418"/>
      <c r="G33" s="418"/>
      <c r="H33" s="418"/>
      <c r="I33" s="419"/>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457"/>
      <c r="AP33" s="458"/>
      <c r="AQ33" s="458"/>
      <c r="AR33" s="458"/>
      <c r="AS33" s="458"/>
      <c r="AT33" s="45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376"/>
      <c r="C34" s="376"/>
      <c r="D34" s="377"/>
      <c r="E34" s="417"/>
      <c r="F34" s="418"/>
      <c r="G34" s="418"/>
      <c r="H34" s="418"/>
      <c r="I34" s="419"/>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457"/>
      <c r="AP34" s="458"/>
      <c r="AQ34" s="458"/>
      <c r="AR34" s="458"/>
      <c r="AS34" s="458"/>
      <c r="AT34" s="45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376"/>
      <c r="C35" s="376"/>
      <c r="D35" s="377"/>
      <c r="E35" s="420"/>
      <c r="F35" s="421"/>
      <c r="G35" s="421"/>
      <c r="H35" s="421"/>
      <c r="I35" s="422"/>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460"/>
      <c r="AP35" s="461"/>
      <c r="AQ35" s="461"/>
      <c r="AR35" s="461"/>
      <c r="AS35" s="461"/>
      <c r="AT35" s="462"/>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376"/>
      <c r="C36" s="376"/>
      <c r="D36" s="377"/>
      <c r="E36" s="414" t="s">
        <v>114</v>
      </c>
      <c r="F36" s="415"/>
      <c r="G36" s="415"/>
      <c r="H36" s="415"/>
      <c r="I36" s="415"/>
      <c r="J36" s="59" t="str">
        <f>IF(AND('Mapa final'!$Y$13="Baja",'Mapa final'!$AA$13="Leve"),CONCATENATE("R1C",'Mapa final'!$O$13),"")</f>
        <v>R1C1</v>
      </c>
      <c r="K36" s="60" t="str">
        <f>IF(AND('Mapa final'!$Y$14="Baja",'Mapa final'!$AA$14="Leve"),CONCATENATE("R1C",'Mapa final'!$O$14),"")</f>
        <v/>
      </c>
      <c r="L36" s="60" t="str">
        <f>IF(AND('Mapa final'!$Y$15="Baja",'Mapa final'!$AA$15="Leve"),CONCATENATE("R1C",'Mapa final'!$O$15),"")</f>
        <v/>
      </c>
      <c r="M36" s="60" t="str">
        <f>IF(AND('Mapa final'!$Y$16="Baja",'Mapa final'!$AA$16="Leve"),CONCATENATE("R1C",'Mapa final'!$O$16),"")</f>
        <v/>
      </c>
      <c r="N36" s="60" t="str">
        <f>IF(AND('Mapa final'!$Y$17="Baja",'Mapa final'!$AA$17="Leve"),CONCATENATE("R1C",'Mapa final'!$O$17),"")</f>
        <v/>
      </c>
      <c r="O36" s="61" t="str">
        <f>IF(AND('Mapa final'!$Y$18="Baja",'Mapa final'!$AA$18="Leve"),CONCATENATE("R1C",'Mapa final'!$O$18),"")</f>
        <v/>
      </c>
      <c r="P36" s="50" t="str">
        <f>IF(AND('Mapa final'!$Y$13="Baja",'Mapa final'!$AA$13="Menor"),CONCATENATE("R1C",'Mapa final'!$O$13),"")</f>
        <v/>
      </c>
      <c r="Q36" s="51" t="str">
        <f>IF(AND('Mapa final'!$Y$14="Baja",'Mapa final'!$AA$14="Menor"),CONCATENATE("R1C",'Mapa final'!$O$14),"")</f>
        <v/>
      </c>
      <c r="R36" s="51" t="str">
        <f>IF(AND('Mapa final'!$Y$15="Baja",'Mapa final'!$AA$15="Menor"),CONCATENATE("R1C",'Mapa final'!$O$15),"")</f>
        <v/>
      </c>
      <c r="S36" s="51" t="str">
        <f>IF(AND('Mapa final'!$Y$16="Baja",'Mapa final'!$AA$16="Menor"),CONCATENATE("R1C",'Mapa final'!$O$16),"")</f>
        <v/>
      </c>
      <c r="T36" s="51" t="str">
        <f>IF(AND('Mapa final'!$Y$17="Baja",'Mapa final'!$AA$17="Menor"),CONCATENATE("R1C",'Mapa final'!$O$17),"")</f>
        <v/>
      </c>
      <c r="U36" s="52" t="str">
        <f>IF(AND('Mapa final'!$Y$18="Baja",'Mapa final'!$AA$18="Menor"),CONCATENATE("R1C",'Mapa final'!$O$18),"")</f>
        <v/>
      </c>
      <c r="V36" s="50" t="str">
        <f>IF(AND('Mapa final'!$Y$13="Baja",'Mapa final'!$AA$13="Moderado"),CONCATENATE("R1C",'Mapa final'!$O$13),"")</f>
        <v/>
      </c>
      <c r="W36" s="51" t="str">
        <f>IF(AND('Mapa final'!$Y$14="Baja",'Mapa final'!$AA$14="Moderado"),CONCATENATE("R1C",'Mapa final'!$O$14),"")</f>
        <v/>
      </c>
      <c r="X36" s="51" t="str">
        <f>IF(AND('Mapa final'!$Y$15="Baja",'Mapa final'!$AA$15="Moderado"),CONCATENATE("R1C",'Mapa final'!$O$15),"")</f>
        <v/>
      </c>
      <c r="Y36" s="51" t="str">
        <f>IF(AND('Mapa final'!$Y$16="Baja",'Mapa final'!$AA$16="Moderado"),CONCATENATE("R1C",'Mapa final'!$O$16),"")</f>
        <v/>
      </c>
      <c r="Z36" s="51" t="str">
        <f>IF(AND('Mapa final'!$Y$17="Baja",'Mapa final'!$AA$17="Moderado"),CONCATENATE("R1C",'Mapa final'!$O$17),"")</f>
        <v/>
      </c>
      <c r="AA36" s="52" t="str">
        <f>IF(AND('Mapa final'!$Y$18="Baja",'Mapa final'!$AA$18="Moderado"),CONCATENATE("R1C",'Mapa final'!$O$18),"")</f>
        <v/>
      </c>
      <c r="AB36" s="32" t="str">
        <f>IF(AND('Mapa final'!$Y$13="Baja",'Mapa final'!$AA$13="Mayor"),CONCATENATE("R1C",'Mapa final'!$O$13),"")</f>
        <v/>
      </c>
      <c r="AC36" s="33" t="str">
        <f>IF(AND('Mapa final'!$Y$14="Baja",'Mapa final'!$AA$14="Mayor"),CONCATENATE("R1C",'Mapa final'!$O$14),"")</f>
        <v/>
      </c>
      <c r="AD36" s="33" t="str">
        <f>IF(AND('Mapa final'!$Y$15="Baja",'Mapa final'!$AA$15="Mayor"),CONCATENATE("R1C",'Mapa final'!$O$15),"")</f>
        <v/>
      </c>
      <c r="AE36" s="33" t="str">
        <f>IF(AND('Mapa final'!$Y$16="Baja",'Mapa final'!$AA$16="Mayor"),CONCATENATE("R1C",'Mapa final'!$O$16),"")</f>
        <v/>
      </c>
      <c r="AF36" s="33" t="str">
        <f>IF(AND('Mapa final'!$Y$17="Baja",'Mapa final'!$AA$17="Mayor"),CONCATENATE("R1C",'Mapa final'!$O$17),"")</f>
        <v/>
      </c>
      <c r="AG36" s="34" t="str">
        <f>IF(AND('Mapa final'!$Y$18="Baja",'Mapa final'!$AA$18="Mayor"),CONCATENATE("R1C",'Mapa final'!$O$18),"")</f>
        <v/>
      </c>
      <c r="AH36" s="35" t="str">
        <f>IF(AND('Mapa final'!$Y$13="Baja",'Mapa final'!$AA$13="Catastrófico"),CONCATENATE("R1C",'Mapa final'!$O$13),"")</f>
        <v/>
      </c>
      <c r="AI36" s="36" t="str">
        <f>IF(AND('Mapa final'!$Y$14="Baja",'Mapa final'!$AA$14="Catastrófico"),CONCATENATE("R1C",'Mapa final'!$O$14),"")</f>
        <v/>
      </c>
      <c r="AJ36" s="36" t="str">
        <f>IF(AND('Mapa final'!$Y$15="Baja",'Mapa final'!$AA$15="Catastrófico"),CONCATENATE("R1C",'Mapa final'!$O$15),"")</f>
        <v/>
      </c>
      <c r="AK36" s="36" t="str">
        <f>IF(AND('Mapa final'!$Y$16="Baja",'Mapa final'!$AA$16="Catastrófico"),CONCATENATE("R1C",'Mapa final'!$O$16),"")</f>
        <v/>
      </c>
      <c r="AL36" s="36" t="str">
        <f>IF(AND('Mapa final'!$Y$17="Baja",'Mapa final'!$AA$17="Catastrófico"),CONCATENATE("R1C",'Mapa final'!$O$17),"")</f>
        <v/>
      </c>
      <c r="AM36" s="37" t="str">
        <f>IF(AND('Mapa final'!$Y$18="Baja",'Mapa final'!$AA$18="Catastrófico"),CONCATENATE("R1C",'Mapa final'!$O$18),"")</f>
        <v/>
      </c>
      <c r="AN36" s="69"/>
      <c r="AO36" s="445" t="s">
        <v>82</v>
      </c>
      <c r="AP36" s="446"/>
      <c r="AQ36" s="446"/>
      <c r="AR36" s="446"/>
      <c r="AS36" s="446"/>
      <c r="AT36" s="447"/>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376"/>
      <c r="C37" s="376"/>
      <c r="D37" s="377"/>
      <c r="E37" s="433"/>
      <c r="F37" s="418"/>
      <c r="G37" s="418"/>
      <c r="H37" s="418"/>
      <c r="I37" s="418"/>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448"/>
      <c r="AP37" s="449"/>
      <c r="AQ37" s="449"/>
      <c r="AR37" s="449"/>
      <c r="AS37" s="449"/>
      <c r="AT37" s="450"/>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376"/>
      <c r="C38" s="376"/>
      <c r="D38" s="377"/>
      <c r="E38" s="417"/>
      <c r="F38" s="418"/>
      <c r="G38" s="418"/>
      <c r="H38" s="418"/>
      <c r="I38" s="418"/>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448"/>
      <c r="AP38" s="449"/>
      <c r="AQ38" s="449"/>
      <c r="AR38" s="449"/>
      <c r="AS38" s="449"/>
      <c r="AT38" s="450"/>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376"/>
      <c r="C39" s="376"/>
      <c r="D39" s="377"/>
      <c r="E39" s="417"/>
      <c r="F39" s="418"/>
      <c r="G39" s="418"/>
      <c r="H39" s="418"/>
      <c r="I39" s="418"/>
      <c r="J39" s="62" t="e">
        <f>IF(AND('Mapa final'!#REF!="Baja",'Mapa final'!#REF!="Leve"),CONCATENATE("R4C",'Mapa final'!#REF!),"")</f>
        <v>#REF!</v>
      </c>
      <c r="K39" s="63" t="e">
        <f>IF(AND('Mapa final'!#REF!="Baja",'Mapa final'!#REF!="Leve"),CONCATENATE("R4C",'Mapa final'!#REF!),"")</f>
        <v>#REF!</v>
      </c>
      <c r="L39" s="63" t="e">
        <f>IF(AND('Mapa final'!#REF!="Baja",'Mapa final'!#REF!="Leve"),CONCATENATE("R4C",'Mapa final'!#REF!),"")</f>
        <v>#REF!</v>
      </c>
      <c r="M39" s="63" t="e">
        <f>IF(AND('Mapa final'!#REF!="Baja",'Mapa final'!#REF!="Leve"),CONCATENATE("R4C",'Mapa final'!#REF!),"")</f>
        <v>#REF!</v>
      </c>
      <c r="N39" s="63" t="e">
        <f>IF(AND('Mapa final'!#REF!="Baja",'Mapa final'!#REF!="Leve"),CONCATENATE("R4C",'Mapa final'!#REF!),"")</f>
        <v>#REF!</v>
      </c>
      <c r="O39" s="64" t="e">
        <f>IF(AND('Mapa final'!#REF!="Baja",'Mapa final'!#REF!="Leve"),CONCATENATE("R4C",'Mapa final'!#REF!),"")</f>
        <v>#REF!</v>
      </c>
      <c r="P39" s="53" t="e">
        <f>IF(AND('Mapa final'!#REF!="Baja",'Mapa final'!#REF!="Menor"),CONCATENATE("R4C",'Mapa final'!#REF!),"")</f>
        <v>#REF!</v>
      </c>
      <c r="Q39" s="54" t="e">
        <f>IF(AND('Mapa final'!#REF!="Baja",'Mapa final'!#REF!="Menor"),CONCATENATE("R4C",'Mapa final'!#REF!),"")</f>
        <v>#REF!</v>
      </c>
      <c r="R39" s="54" t="e">
        <f>IF(AND('Mapa final'!#REF!="Baja",'Mapa final'!#REF!="Menor"),CONCATENATE("R4C",'Mapa final'!#REF!),"")</f>
        <v>#REF!</v>
      </c>
      <c r="S39" s="54" t="e">
        <f>IF(AND('Mapa final'!#REF!="Baja",'Mapa final'!#REF!="Menor"),CONCATENATE("R4C",'Mapa final'!#REF!),"")</f>
        <v>#REF!</v>
      </c>
      <c r="T39" s="54" t="e">
        <f>IF(AND('Mapa final'!#REF!="Baja",'Mapa final'!#REF!="Menor"),CONCATENATE("R4C",'Mapa final'!#REF!),"")</f>
        <v>#REF!</v>
      </c>
      <c r="U39" s="55" t="e">
        <f>IF(AND('Mapa final'!#REF!="Baja",'Mapa final'!#REF!="Menor"),CONCATENATE("R4C",'Mapa final'!#REF!),"")</f>
        <v>#REF!</v>
      </c>
      <c r="V39" s="53" t="e">
        <f>IF(AND('Mapa final'!#REF!="Baja",'Mapa final'!#REF!="Moderado"),CONCATENATE("R4C",'Mapa final'!#REF!),"")</f>
        <v>#REF!</v>
      </c>
      <c r="W39" s="54" t="e">
        <f>IF(AND('Mapa final'!#REF!="Baja",'Mapa final'!#REF!="Moderado"),CONCATENATE("R4C",'Mapa final'!#REF!),"")</f>
        <v>#REF!</v>
      </c>
      <c r="X39" s="54" t="e">
        <f>IF(AND('Mapa final'!#REF!="Baja",'Mapa final'!#REF!="Moderado"),CONCATENATE("R4C",'Mapa final'!#REF!),"")</f>
        <v>#REF!</v>
      </c>
      <c r="Y39" s="54" t="e">
        <f>IF(AND('Mapa final'!#REF!="Baja",'Mapa final'!#REF!="Moderado"),CONCATENATE("R4C",'Mapa final'!#REF!),"")</f>
        <v>#REF!</v>
      </c>
      <c r="Z39" s="54" t="e">
        <f>IF(AND('Mapa final'!#REF!="Baja",'Mapa final'!#REF!="Moderado"),CONCATENATE("R4C",'Mapa final'!#REF!),"")</f>
        <v>#REF!</v>
      </c>
      <c r="AA39" s="55" t="e">
        <f>IF(AND('Mapa final'!#REF!="Baja",'Mapa final'!#REF!="Moderado"),CONCATENATE("R4C",'Mapa final'!#REF!),"")</f>
        <v>#REF!</v>
      </c>
      <c r="AB39" s="38" t="e">
        <f>IF(AND('Mapa final'!#REF!="Baja",'Mapa final'!#REF!="Mayor"),CONCATENATE("R4C",'Mapa final'!#REF!),"")</f>
        <v>#REF!</v>
      </c>
      <c r="AC39" s="39" t="e">
        <f>IF(AND('Mapa final'!#REF!="Baja",'Mapa final'!#REF!="Mayor"),CONCATENATE("R4C",'Mapa final'!#REF!),"")</f>
        <v>#REF!</v>
      </c>
      <c r="AD39" s="39" t="e">
        <f>IF(AND('Mapa final'!#REF!="Baja",'Mapa final'!#REF!="Mayor"),CONCATENATE("R4C",'Mapa final'!#REF!),"")</f>
        <v>#REF!</v>
      </c>
      <c r="AE39" s="39" t="e">
        <f>IF(AND('Mapa final'!#REF!="Baja",'Mapa final'!#REF!="Mayor"),CONCATENATE("R4C",'Mapa final'!#REF!),"")</f>
        <v>#REF!</v>
      </c>
      <c r="AF39" s="39" t="e">
        <f>IF(AND('Mapa final'!#REF!="Baja",'Mapa final'!#REF!="Mayor"),CONCATENATE("R4C",'Mapa final'!#REF!),"")</f>
        <v>#REF!</v>
      </c>
      <c r="AG39" s="40" t="e">
        <f>IF(AND('Mapa final'!#REF!="Baja",'Mapa final'!#REF!="Mayor"),CONCATENATE("R4C",'Mapa final'!#REF!),"")</f>
        <v>#REF!</v>
      </c>
      <c r="AH39" s="41" t="e">
        <f>IF(AND('Mapa final'!#REF!="Baja",'Mapa final'!#REF!="Catastrófico"),CONCATENATE("R4C",'Mapa final'!#REF!),"")</f>
        <v>#REF!</v>
      </c>
      <c r="AI39" s="42" t="e">
        <f>IF(AND('Mapa final'!#REF!="Baja",'Mapa final'!#REF!="Catastrófico"),CONCATENATE("R4C",'Mapa final'!#REF!),"")</f>
        <v>#REF!</v>
      </c>
      <c r="AJ39" s="42" t="e">
        <f>IF(AND('Mapa final'!#REF!="Baja",'Mapa final'!#REF!="Catastrófico"),CONCATENATE("R4C",'Mapa final'!#REF!),"")</f>
        <v>#REF!</v>
      </c>
      <c r="AK39" s="42" t="e">
        <f>IF(AND('Mapa final'!#REF!="Baja",'Mapa final'!#REF!="Catastrófico"),CONCATENATE("R4C",'Mapa final'!#REF!),"")</f>
        <v>#REF!</v>
      </c>
      <c r="AL39" s="42" t="e">
        <f>IF(AND('Mapa final'!#REF!="Baja",'Mapa final'!#REF!="Catastrófico"),CONCATENATE("R4C",'Mapa final'!#REF!),"")</f>
        <v>#REF!</v>
      </c>
      <c r="AM39" s="43" t="e">
        <f>IF(AND('Mapa final'!#REF!="Baja",'Mapa final'!#REF!="Catastrófico"),CONCATENATE("R4C",'Mapa final'!#REF!),"")</f>
        <v>#REF!</v>
      </c>
      <c r="AN39" s="69"/>
      <c r="AO39" s="448"/>
      <c r="AP39" s="449"/>
      <c r="AQ39" s="449"/>
      <c r="AR39" s="449"/>
      <c r="AS39" s="449"/>
      <c r="AT39" s="450"/>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376"/>
      <c r="C40" s="376"/>
      <c r="D40" s="377"/>
      <c r="E40" s="417"/>
      <c r="F40" s="418"/>
      <c r="G40" s="418"/>
      <c r="H40" s="418"/>
      <c r="I40" s="418"/>
      <c r="J40" s="62" t="e">
        <f>IF(AND('Mapa final'!#REF!="Baja",'Mapa final'!#REF!="Leve"),CONCATENATE("R5C",'Mapa final'!#REF!),"")</f>
        <v>#REF!</v>
      </c>
      <c r="K40" s="63" t="e">
        <f>IF(AND('Mapa final'!#REF!="Baja",'Mapa final'!#REF!="Leve"),CONCATENATE("R5C",'Mapa final'!#REF!),"")</f>
        <v>#REF!</v>
      </c>
      <c r="L40" s="63" t="e">
        <f>IF(AND('Mapa final'!#REF!="Baja",'Mapa final'!#REF!="Leve"),CONCATENATE("R5C",'Mapa final'!#REF!),"")</f>
        <v>#REF!</v>
      </c>
      <c r="M40" s="63" t="e">
        <f>IF(AND('Mapa final'!#REF!="Baja",'Mapa final'!#REF!="Leve"),CONCATENATE("R5C",'Mapa final'!#REF!),"")</f>
        <v>#REF!</v>
      </c>
      <c r="N40" s="63" t="e">
        <f>IF(AND('Mapa final'!#REF!="Baja",'Mapa final'!#REF!="Leve"),CONCATENATE("R5C",'Mapa final'!#REF!),"")</f>
        <v>#REF!</v>
      </c>
      <c r="O40" s="64" t="e">
        <f>IF(AND('Mapa final'!#REF!="Baja",'Mapa final'!#REF!="Leve"),CONCATENATE("R5C",'Mapa final'!#REF!),"")</f>
        <v>#REF!</v>
      </c>
      <c r="P40" s="53" t="e">
        <f>IF(AND('Mapa final'!#REF!="Baja",'Mapa final'!#REF!="Menor"),CONCATENATE("R5C",'Mapa final'!#REF!),"")</f>
        <v>#REF!</v>
      </c>
      <c r="Q40" s="54" t="e">
        <f>IF(AND('Mapa final'!#REF!="Baja",'Mapa final'!#REF!="Menor"),CONCATENATE("R5C",'Mapa final'!#REF!),"")</f>
        <v>#REF!</v>
      </c>
      <c r="R40" s="54" t="e">
        <f>IF(AND('Mapa final'!#REF!="Baja",'Mapa final'!#REF!="Menor"),CONCATENATE("R5C",'Mapa final'!#REF!),"")</f>
        <v>#REF!</v>
      </c>
      <c r="S40" s="54" t="e">
        <f>IF(AND('Mapa final'!#REF!="Baja",'Mapa final'!#REF!="Menor"),CONCATENATE("R5C",'Mapa final'!#REF!),"")</f>
        <v>#REF!</v>
      </c>
      <c r="T40" s="54" t="e">
        <f>IF(AND('Mapa final'!#REF!="Baja",'Mapa final'!#REF!="Menor"),CONCATENATE("R5C",'Mapa final'!#REF!),"")</f>
        <v>#REF!</v>
      </c>
      <c r="U40" s="55" t="e">
        <f>IF(AND('Mapa final'!#REF!="Baja",'Mapa final'!#REF!="Menor"),CONCATENATE("R5C",'Mapa final'!#REF!),"")</f>
        <v>#REF!</v>
      </c>
      <c r="V40" s="53" t="e">
        <f>IF(AND('Mapa final'!#REF!="Baja",'Mapa final'!#REF!="Moderado"),CONCATENATE("R5C",'Mapa final'!#REF!),"")</f>
        <v>#REF!</v>
      </c>
      <c r="W40" s="54" t="e">
        <f>IF(AND('Mapa final'!#REF!="Baja",'Mapa final'!#REF!="Moderado"),CONCATENATE("R5C",'Mapa final'!#REF!),"")</f>
        <v>#REF!</v>
      </c>
      <c r="X40" s="54" t="e">
        <f>IF(AND('Mapa final'!#REF!="Baja",'Mapa final'!#REF!="Moderado"),CONCATENATE("R5C",'Mapa final'!#REF!),"")</f>
        <v>#REF!</v>
      </c>
      <c r="Y40" s="54" t="e">
        <f>IF(AND('Mapa final'!#REF!="Baja",'Mapa final'!#REF!="Moderado"),CONCATENATE("R5C",'Mapa final'!#REF!),"")</f>
        <v>#REF!</v>
      </c>
      <c r="Z40" s="54" t="e">
        <f>IF(AND('Mapa final'!#REF!="Baja",'Mapa final'!#REF!="Moderado"),CONCATENATE("R5C",'Mapa final'!#REF!),"")</f>
        <v>#REF!</v>
      </c>
      <c r="AA40" s="55" t="e">
        <f>IF(AND('Mapa final'!#REF!="Baja",'Mapa final'!#REF!="Moderado"),CONCATENATE("R5C",'Mapa final'!#REF!),"")</f>
        <v>#REF!</v>
      </c>
      <c r="AB40" s="38" t="e">
        <f>IF(AND('Mapa final'!#REF!="Baja",'Mapa final'!#REF!="Mayor"),CONCATENATE("R5C",'Mapa final'!#REF!),"")</f>
        <v>#REF!</v>
      </c>
      <c r="AC40" s="39" t="e">
        <f>IF(AND('Mapa final'!#REF!="Baja",'Mapa final'!#REF!="Mayor"),CONCATENATE("R5C",'Mapa final'!#REF!),"")</f>
        <v>#REF!</v>
      </c>
      <c r="AD40" s="39" t="e">
        <f>IF(AND('Mapa final'!#REF!="Baja",'Mapa final'!#REF!="Mayor"),CONCATENATE("R5C",'Mapa final'!#REF!),"")</f>
        <v>#REF!</v>
      </c>
      <c r="AE40" s="39" t="e">
        <f>IF(AND('Mapa final'!#REF!="Baja",'Mapa final'!#REF!="Mayor"),CONCATENATE("R5C",'Mapa final'!#REF!),"")</f>
        <v>#REF!</v>
      </c>
      <c r="AF40" s="39" t="e">
        <f>IF(AND('Mapa final'!#REF!="Baja",'Mapa final'!#REF!="Mayor"),CONCATENATE("R5C",'Mapa final'!#REF!),"")</f>
        <v>#REF!</v>
      </c>
      <c r="AG40" s="40" t="e">
        <f>IF(AND('Mapa final'!#REF!="Baja",'Mapa final'!#REF!="Mayor"),CONCATENATE("R5C",'Mapa final'!#REF!),"")</f>
        <v>#REF!</v>
      </c>
      <c r="AH40" s="41" t="e">
        <f>IF(AND('Mapa final'!#REF!="Baja",'Mapa final'!#REF!="Catastrófico"),CONCATENATE("R5C",'Mapa final'!#REF!),"")</f>
        <v>#REF!</v>
      </c>
      <c r="AI40" s="42" t="e">
        <f>IF(AND('Mapa final'!#REF!="Baja",'Mapa final'!#REF!="Catastrófico"),CONCATENATE("R5C",'Mapa final'!#REF!),"")</f>
        <v>#REF!</v>
      </c>
      <c r="AJ40" s="42" t="e">
        <f>IF(AND('Mapa final'!#REF!="Baja",'Mapa final'!#REF!="Catastrófico"),CONCATENATE("R5C",'Mapa final'!#REF!),"")</f>
        <v>#REF!</v>
      </c>
      <c r="AK40" s="42" t="e">
        <f>IF(AND('Mapa final'!#REF!="Baja",'Mapa final'!#REF!="Catastrófico"),CONCATENATE("R5C",'Mapa final'!#REF!),"")</f>
        <v>#REF!</v>
      </c>
      <c r="AL40" s="42" t="e">
        <f>IF(AND('Mapa final'!#REF!="Baja",'Mapa final'!#REF!="Catastrófico"),CONCATENATE("R5C",'Mapa final'!#REF!),"")</f>
        <v>#REF!</v>
      </c>
      <c r="AM40" s="43" t="e">
        <f>IF(AND('Mapa final'!#REF!="Baja",'Mapa final'!#REF!="Catastrófico"),CONCATENATE("R5C",'Mapa final'!#REF!),"")</f>
        <v>#REF!</v>
      </c>
      <c r="AN40" s="69"/>
      <c r="AO40" s="448"/>
      <c r="AP40" s="449"/>
      <c r="AQ40" s="449"/>
      <c r="AR40" s="449"/>
      <c r="AS40" s="449"/>
      <c r="AT40" s="450"/>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376"/>
      <c r="C41" s="376"/>
      <c r="D41" s="377"/>
      <c r="E41" s="417"/>
      <c r="F41" s="418"/>
      <c r="G41" s="418"/>
      <c r="H41" s="418"/>
      <c r="I41" s="418"/>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448"/>
      <c r="AP41" s="449"/>
      <c r="AQ41" s="449"/>
      <c r="AR41" s="449"/>
      <c r="AS41" s="449"/>
      <c r="AT41" s="450"/>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376"/>
      <c r="C42" s="376"/>
      <c r="D42" s="377"/>
      <c r="E42" s="417"/>
      <c r="F42" s="418"/>
      <c r="G42" s="418"/>
      <c r="H42" s="418"/>
      <c r="I42" s="418"/>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448"/>
      <c r="AP42" s="449"/>
      <c r="AQ42" s="449"/>
      <c r="AR42" s="449"/>
      <c r="AS42" s="449"/>
      <c r="AT42" s="450"/>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376"/>
      <c r="C43" s="376"/>
      <c r="D43" s="377"/>
      <c r="E43" s="417"/>
      <c r="F43" s="418"/>
      <c r="G43" s="418"/>
      <c r="H43" s="418"/>
      <c r="I43" s="418"/>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448"/>
      <c r="AP43" s="449"/>
      <c r="AQ43" s="449"/>
      <c r="AR43" s="449"/>
      <c r="AS43" s="449"/>
      <c r="AT43" s="450"/>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376"/>
      <c r="C44" s="376"/>
      <c r="D44" s="377"/>
      <c r="E44" s="417"/>
      <c r="F44" s="418"/>
      <c r="G44" s="418"/>
      <c r="H44" s="418"/>
      <c r="I44" s="418"/>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448"/>
      <c r="AP44" s="449"/>
      <c r="AQ44" s="449"/>
      <c r="AR44" s="449"/>
      <c r="AS44" s="449"/>
      <c r="AT44" s="450"/>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376"/>
      <c r="C45" s="376"/>
      <c r="D45" s="377"/>
      <c r="E45" s="420"/>
      <c r="F45" s="421"/>
      <c r="G45" s="421"/>
      <c r="H45" s="421"/>
      <c r="I45" s="421"/>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451"/>
      <c r="AP45" s="452"/>
      <c r="AQ45" s="452"/>
      <c r="AR45" s="452"/>
      <c r="AS45" s="452"/>
      <c r="AT45" s="453"/>
    </row>
    <row r="46" spans="1:80" ht="46.5" customHeight="1" x14ac:dyDescent="0.35">
      <c r="A46" s="69"/>
      <c r="B46" s="376"/>
      <c r="C46" s="376"/>
      <c r="D46" s="377"/>
      <c r="E46" s="414" t="s">
        <v>113</v>
      </c>
      <c r="F46" s="415"/>
      <c r="G46" s="415"/>
      <c r="H46" s="415"/>
      <c r="I46" s="416"/>
      <c r="J46" s="59" t="str">
        <f>IF(AND('Mapa final'!$Y$13="Muy Baja",'Mapa final'!$AA$13="Leve"),CONCATENATE("R1C",'Mapa final'!$O$13),"")</f>
        <v/>
      </c>
      <c r="K46" s="60" t="str">
        <f>IF(AND('Mapa final'!$Y$14="Muy Baja",'Mapa final'!$AA$14="Leve"),CONCATENATE("R1C",'Mapa final'!$O$14),"")</f>
        <v/>
      </c>
      <c r="L46" s="60" t="str">
        <f>IF(AND('Mapa final'!$Y$15="Muy Baja",'Mapa final'!$AA$15="Leve"),CONCATENATE("R1C",'Mapa final'!$O$15),"")</f>
        <v/>
      </c>
      <c r="M46" s="60" t="str">
        <f>IF(AND('Mapa final'!$Y$16="Muy Baja",'Mapa final'!$AA$16="Leve"),CONCATENATE("R1C",'Mapa final'!$O$16),"")</f>
        <v/>
      </c>
      <c r="N46" s="60" t="str">
        <f>IF(AND('Mapa final'!$Y$17="Muy Baja",'Mapa final'!$AA$17="Leve"),CONCATENATE("R1C",'Mapa final'!$O$17),"")</f>
        <v/>
      </c>
      <c r="O46" s="61" t="str">
        <f>IF(AND('Mapa final'!$Y$18="Muy Baja",'Mapa final'!$AA$18="Leve"),CONCATENATE("R1C",'Mapa final'!$O$18),"")</f>
        <v/>
      </c>
      <c r="P46" s="59" t="str">
        <f>IF(AND('Mapa final'!$Y$13="Muy Baja",'Mapa final'!$AA$13="Menor"),CONCATENATE("R1C",'Mapa final'!$O$13),"")</f>
        <v/>
      </c>
      <c r="Q46" s="60" t="str">
        <f>IF(AND('Mapa final'!$Y$14="Muy Baja",'Mapa final'!$AA$14="Menor"),CONCATENATE("R1C",'Mapa final'!$O$14),"")</f>
        <v/>
      </c>
      <c r="R46" s="60" t="str">
        <f>IF(AND('Mapa final'!$Y$15="Muy Baja",'Mapa final'!$AA$15="Menor"),CONCATENATE("R1C",'Mapa final'!$O$15),"")</f>
        <v/>
      </c>
      <c r="S46" s="60" t="str">
        <f>IF(AND('Mapa final'!$Y$16="Muy Baja",'Mapa final'!$AA$16="Menor"),CONCATENATE("R1C",'Mapa final'!$O$16),"")</f>
        <v/>
      </c>
      <c r="T46" s="60" t="str">
        <f>IF(AND('Mapa final'!$Y$17="Muy Baja",'Mapa final'!$AA$17="Menor"),CONCATENATE("R1C",'Mapa final'!$O$17),"")</f>
        <v/>
      </c>
      <c r="U46" s="61" t="str">
        <f>IF(AND('Mapa final'!$Y$18="Muy Baja",'Mapa final'!$AA$18="Menor"),CONCATENATE("R1C",'Mapa final'!$O$18),"")</f>
        <v/>
      </c>
      <c r="V46" s="50" t="str">
        <f>IF(AND('Mapa final'!$Y$13="Muy Baja",'Mapa final'!$AA$13="Moderado"),CONCATENATE("R1C",'Mapa final'!$O$13),"")</f>
        <v/>
      </c>
      <c r="W46" s="68" t="str">
        <f>IF(AND('Mapa final'!$Y$14="Muy Baja",'Mapa final'!$AA$14="Moderado"),CONCATENATE("R1C",'Mapa final'!$O$14),"")</f>
        <v/>
      </c>
      <c r="X46" s="51" t="str">
        <f>IF(AND('Mapa final'!$Y$15="Muy Baja",'Mapa final'!$AA$15="Moderado"),CONCATENATE("R1C",'Mapa final'!$O$15),"")</f>
        <v/>
      </c>
      <c r="Y46" s="51" t="str">
        <f>IF(AND('Mapa final'!$Y$16="Muy Baja",'Mapa final'!$AA$16="Moderado"),CONCATENATE("R1C",'Mapa final'!$O$16),"")</f>
        <v/>
      </c>
      <c r="Z46" s="51" t="str">
        <f>IF(AND('Mapa final'!$Y$17="Muy Baja",'Mapa final'!$AA$17="Moderado"),CONCATENATE("R1C",'Mapa final'!$O$17),"")</f>
        <v/>
      </c>
      <c r="AA46" s="52" t="str">
        <f>IF(AND('Mapa final'!$Y$18="Muy Baja",'Mapa final'!$AA$18="Moderado"),CONCATENATE("R1C",'Mapa final'!$O$18),"")</f>
        <v/>
      </c>
      <c r="AB46" s="32" t="str">
        <f>IF(AND('Mapa final'!$Y$13="Muy Baja",'Mapa final'!$AA$13="Mayor"),CONCATENATE("R1C",'Mapa final'!$O$13),"")</f>
        <v/>
      </c>
      <c r="AC46" s="33" t="str">
        <f>IF(AND('Mapa final'!$Y$14="Muy Baja",'Mapa final'!$AA$14="Mayor"),CONCATENATE("R1C",'Mapa final'!$O$14),"")</f>
        <v/>
      </c>
      <c r="AD46" s="33" t="str">
        <f>IF(AND('Mapa final'!$Y$15="Muy Baja",'Mapa final'!$AA$15="Mayor"),CONCATENATE("R1C",'Mapa final'!$O$15),"")</f>
        <v/>
      </c>
      <c r="AE46" s="33" t="str">
        <f>IF(AND('Mapa final'!$Y$16="Muy Baja",'Mapa final'!$AA$16="Mayor"),CONCATENATE("R1C",'Mapa final'!$O$16),"")</f>
        <v/>
      </c>
      <c r="AF46" s="33" t="str">
        <f>IF(AND('Mapa final'!$Y$17="Muy Baja",'Mapa final'!$AA$17="Mayor"),CONCATENATE("R1C",'Mapa final'!$O$17),"")</f>
        <v/>
      </c>
      <c r="AG46" s="34" t="str">
        <f>IF(AND('Mapa final'!$Y$18="Muy Baja",'Mapa final'!$AA$18="Mayor"),CONCATENATE("R1C",'Mapa final'!$O$18),"")</f>
        <v/>
      </c>
      <c r="AH46" s="35" t="str">
        <f>IF(AND('Mapa final'!$Y$13="Muy Baja",'Mapa final'!$AA$13="Catastrófico"),CONCATENATE("R1C",'Mapa final'!$O$13),"")</f>
        <v/>
      </c>
      <c r="AI46" s="36" t="str">
        <f>IF(AND('Mapa final'!$Y$14="Muy Baja",'Mapa final'!$AA$14="Catastrófico"),CONCATENATE("R1C",'Mapa final'!$O$14),"")</f>
        <v/>
      </c>
      <c r="AJ46" s="36" t="str">
        <f>IF(AND('Mapa final'!$Y$15="Muy Baja",'Mapa final'!$AA$15="Catastrófico"),CONCATENATE("R1C",'Mapa final'!$O$15),"")</f>
        <v/>
      </c>
      <c r="AK46" s="36" t="str">
        <f>IF(AND('Mapa final'!$Y$16="Muy Baja",'Mapa final'!$AA$16="Catastrófico"),CONCATENATE("R1C",'Mapa final'!$O$16),"")</f>
        <v/>
      </c>
      <c r="AL46" s="36" t="str">
        <f>IF(AND('Mapa final'!$Y$17="Muy Baja",'Mapa final'!$AA$17="Catastrófico"),CONCATENATE("R1C",'Mapa final'!$O$17),"")</f>
        <v/>
      </c>
      <c r="AM46" s="37" t="str">
        <f>IF(AND('Mapa final'!$Y$18="Muy Baja",'Mapa final'!$AA$18="Catastrófico"),CONCATENATE("R1C",'Mapa final'!$O$18),"")</f>
        <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376"/>
      <c r="C47" s="376"/>
      <c r="D47" s="377"/>
      <c r="E47" s="433"/>
      <c r="F47" s="418"/>
      <c r="G47" s="418"/>
      <c r="H47" s="418"/>
      <c r="I47" s="419"/>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376"/>
      <c r="C48" s="376"/>
      <c r="D48" s="377"/>
      <c r="E48" s="433"/>
      <c r="F48" s="418"/>
      <c r="G48" s="418"/>
      <c r="H48" s="418"/>
      <c r="I48" s="419"/>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376"/>
      <c r="C49" s="376"/>
      <c r="D49" s="377"/>
      <c r="E49" s="417"/>
      <c r="F49" s="418"/>
      <c r="G49" s="418"/>
      <c r="H49" s="418"/>
      <c r="I49" s="419"/>
      <c r="J49" s="62" t="e">
        <f>IF(AND('Mapa final'!#REF!="Muy Baja",'Mapa final'!#REF!="Leve"),CONCATENATE("R4C",'Mapa final'!#REF!),"")</f>
        <v>#REF!</v>
      </c>
      <c r="K49" s="63" t="e">
        <f>IF(AND('Mapa final'!#REF!="Muy Baja",'Mapa final'!#REF!="Leve"),CONCATENATE("R4C",'Mapa final'!#REF!),"")</f>
        <v>#REF!</v>
      </c>
      <c r="L49" s="63" t="e">
        <f>IF(AND('Mapa final'!#REF!="Muy Baja",'Mapa final'!#REF!="Leve"),CONCATENATE("R4C",'Mapa final'!#REF!),"")</f>
        <v>#REF!</v>
      </c>
      <c r="M49" s="63" t="e">
        <f>IF(AND('Mapa final'!#REF!="Muy Baja",'Mapa final'!#REF!="Leve"),CONCATENATE("R4C",'Mapa final'!#REF!),"")</f>
        <v>#REF!</v>
      </c>
      <c r="N49" s="63" t="e">
        <f>IF(AND('Mapa final'!#REF!="Muy Baja",'Mapa final'!#REF!="Leve"),CONCATENATE("R4C",'Mapa final'!#REF!),"")</f>
        <v>#REF!</v>
      </c>
      <c r="O49" s="64" t="e">
        <f>IF(AND('Mapa final'!#REF!="Muy Baja",'Mapa final'!#REF!="Leve"),CONCATENATE("R4C",'Mapa final'!#REF!),"")</f>
        <v>#REF!</v>
      </c>
      <c r="P49" s="62" t="e">
        <f>IF(AND('Mapa final'!#REF!="Muy Baja",'Mapa final'!#REF!="Menor"),CONCATENATE("R4C",'Mapa final'!#REF!),"")</f>
        <v>#REF!</v>
      </c>
      <c r="Q49" s="63" t="e">
        <f>IF(AND('Mapa final'!#REF!="Muy Baja",'Mapa final'!#REF!="Menor"),CONCATENATE("R4C",'Mapa final'!#REF!),"")</f>
        <v>#REF!</v>
      </c>
      <c r="R49" s="63" t="e">
        <f>IF(AND('Mapa final'!#REF!="Muy Baja",'Mapa final'!#REF!="Menor"),CONCATENATE("R4C",'Mapa final'!#REF!),"")</f>
        <v>#REF!</v>
      </c>
      <c r="S49" s="63" t="e">
        <f>IF(AND('Mapa final'!#REF!="Muy Baja",'Mapa final'!#REF!="Menor"),CONCATENATE("R4C",'Mapa final'!#REF!),"")</f>
        <v>#REF!</v>
      </c>
      <c r="T49" s="63" t="e">
        <f>IF(AND('Mapa final'!#REF!="Muy Baja",'Mapa final'!#REF!="Menor"),CONCATENATE("R4C",'Mapa final'!#REF!),"")</f>
        <v>#REF!</v>
      </c>
      <c r="U49" s="64" t="e">
        <f>IF(AND('Mapa final'!#REF!="Muy Baja",'Mapa final'!#REF!="Menor"),CONCATENATE("R4C",'Mapa final'!#REF!),"")</f>
        <v>#REF!</v>
      </c>
      <c r="V49" s="53" t="e">
        <f>IF(AND('Mapa final'!#REF!="Muy Baja",'Mapa final'!#REF!="Moderado"),CONCATENATE("R4C",'Mapa final'!#REF!),"")</f>
        <v>#REF!</v>
      </c>
      <c r="W49" s="54" t="e">
        <f>IF(AND('Mapa final'!#REF!="Muy Baja",'Mapa final'!#REF!="Moderado"),CONCATENATE("R4C",'Mapa final'!#REF!),"")</f>
        <v>#REF!</v>
      </c>
      <c r="X49" s="54" t="e">
        <f>IF(AND('Mapa final'!#REF!="Muy Baja",'Mapa final'!#REF!="Moderado"),CONCATENATE("R4C",'Mapa final'!#REF!),"")</f>
        <v>#REF!</v>
      </c>
      <c r="Y49" s="54" t="e">
        <f>IF(AND('Mapa final'!#REF!="Muy Baja",'Mapa final'!#REF!="Moderado"),CONCATENATE("R4C",'Mapa final'!#REF!),"")</f>
        <v>#REF!</v>
      </c>
      <c r="Z49" s="54" t="e">
        <f>IF(AND('Mapa final'!#REF!="Muy Baja",'Mapa final'!#REF!="Moderado"),CONCATENATE("R4C",'Mapa final'!#REF!),"")</f>
        <v>#REF!</v>
      </c>
      <c r="AA49" s="55" t="e">
        <f>IF(AND('Mapa final'!#REF!="Muy Baja",'Mapa final'!#REF!="Moderado"),CONCATENATE("R4C",'Mapa final'!#REF!),"")</f>
        <v>#REF!</v>
      </c>
      <c r="AB49" s="38" t="e">
        <f>IF(AND('Mapa final'!#REF!="Muy Baja",'Mapa final'!#REF!="Mayor"),CONCATENATE("R4C",'Mapa final'!#REF!),"")</f>
        <v>#REF!</v>
      </c>
      <c r="AC49" s="39" t="e">
        <f>IF(AND('Mapa final'!#REF!="Muy Baja",'Mapa final'!#REF!="Mayor"),CONCATENATE("R4C",'Mapa final'!#REF!),"")</f>
        <v>#REF!</v>
      </c>
      <c r="AD49" s="39" t="e">
        <f>IF(AND('Mapa final'!#REF!="Muy Baja",'Mapa final'!#REF!="Mayor"),CONCATENATE("R4C",'Mapa final'!#REF!),"")</f>
        <v>#REF!</v>
      </c>
      <c r="AE49" s="39" t="e">
        <f>IF(AND('Mapa final'!#REF!="Muy Baja",'Mapa final'!#REF!="Mayor"),CONCATENATE("R4C",'Mapa final'!#REF!),"")</f>
        <v>#REF!</v>
      </c>
      <c r="AF49" s="39" t="e">
        <f>IF(AND('Mapa final'!#REF!="Muy Baja",'Mapa final'!#REF!="Mayor"),CONCATENATE("R4C",'Mapa final'!#REF!),"")</f>
        <v>#REF!</v>
      </c>
      <c r="AG49" s="40" t="e">
        <f>IF(AND('Mapa final'!#REF!="Muy Baja",'Mapa final'!#REF!="Mayor"),CONCATENATE("R4C",'Mapa final'!#REF!),"")</f>
        <v>#REF!</v>
      </c>
      <c r="AH49" s="41" t="e">
        <f>IF(AND('Mapa final'!#REF!="Muy Baja",'Mapa final'!#REF!="Catastrófico"),CONCATENATE("R4C",'Mapa final'!#REF!),"")</f>
        <v>#REF!</v>
      </c>
      <c r="AI49" s="42" t="e">
        <f>IF(AND('Mapa final'!#REF!="Muy Baja",'Mapa final'!#REF!="Catastrófico"),CONCATENATE("R4C",'Mapa final'!#REF!),"")</f>
        <v>#REF!</v>
      </c>
      <c r="AJ49" s="42" t="e">
        <f>IF(AND('Mapa final'!#REF!="Muy Baja",'Mapa final'!#REF!="Catastrófico"),CONCATENATE("R4C",'Mapa final'!#REF!),"")</f>
        <v>#REF!</v>
      </c>
      <c r="AK49" s="42" t="e">
        <f>IF(AND('Mapa final'!#REF!="Muy Baja",'Mapa final'!#REF!="Catastrófico"),CONCATENATE("R4C",'Mapa final'!#REF!),"")</f>
        <v>#REF!</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376"/>
      <c r="C50" s="376"/>
      <c r="D50" s="377"/>
      <c r="E50" s="417"/>
      <c r="F50" s="418"/>
      <c r="G50" s="418"/>
      <c r="H50" s="418"/>
      <c r="I50" s="419"/>
      <c r="J50" s="62" t="e">
        <f>IF(AND('Mapa final'!#REF!="Muy Baja",'Mapa final'!#REF!="Leve"),CONCATENATE("R5C",'Mapa final'!#REF!),"")</f>
        <v>#REF!</v>
      </c>
      <c r="K50" s="63" t="e">
        <f>IF(AND('Mapa final'!#REF!="Muy Baja",'Mapa final'!#REF!="Leve"),CONCATENATE("R5C",'Mapa final'!#REF!),"")</f>
        <v>#REF!</v>
      </c>
      <c r="L50" s="63" t="e">
        <f>IF(AND('Mapa final'!#REF!="Muy Baja",'Mapa final'!#REF!="Leve"),CONCATENATE("R5C",'Mapa final'!#REF!),"")</f>
        <v>#REF!</v>
      </c>
      <c r="M50" s="63" t="e">
        <f>IF(AND('Mapa final'!#REF!="Muy Baja",'Mapa final'!#REF!="Leve"),CONCATENATE("R5C",'Mapa final'!#REF!),"")</f>
        <v>#REF!</v>
      </c>
      <c r="N50" s="63" t="e">
        <f>IF(AND('Mapa final'!#REF!="Muy Baja",'Mapa final'!#REF!="Leve"),CONCATENATE("R5C",'Mapa final'!#REF!),"")</f>
        <v>#REF!</v>
      </c>
      <c r="O50" s="64" t="e">
        <f>IF(AND('Mapa final'!#REF!="Muy Baja",'Mapa final'!#REF!="Leve"),CONCATENATE("R5C",'Mapa final'!#REF!),"")</f>
        <v>#REF!</v>
      </c>
      <c r="P50" s="62" t="e">
        <f>IF(AND('Mapa final'!#REF!="Muy Baja",'Mapa final'!#REF!="Menor"),CONCATENATE("R5C",'Mapa final'!#REF!),"")</f>
        <v>#REF!</v>
      </c>
      <c r="Q50" s="63" t="e">
        <f>IF(AND('Mapa final'!#REF!="Muy Baja",'Mapa final'!#REF!="Menor"),CONCATENATE("R5C",'Mapa final'!#REF!),"")</f>
        <v>#REF!</v>
      </c>
      <c r="R50" s="63" t="e">
        <f>IF(AND('Mapa final'!#REF!="Muy Baja",'Mapa final'!#REF!="Menor"),CONCATENATE("R5C",'Mapa final'!#REF!),"")</f>
        <v>#REF!</v>
      </c>
      <c r="S50" s="63" t="e">
        <f>IF(AND('Mapa final'!#REF!="Muy Baja",'Mapa final'!#REF!="Menor"),CONCATENATE("R5C",'Mapa final'!#REF!),"")</f>
        <v>#REF!</v>
      </c>
      <c r="T50" s="63" t="e">
        <f>IF(AND('Mapa final'!#REF!="Muy Baja",'Mapa final'!#REF!="Menor"),CONCATENATE("R5C",'Mapa final'!#REF!),"")</f>
        <v>#REF!</v>
      </c>
      <c r="U50" s="64" t="e">
        <f>IF(AND('Mapa final'!#REF!="Muy Baja",'Mapa final'!#REF!="Menor"),CONCATENATE("R5C",'Mapa final'!#REF!),"")</f>
        <v>#REF!</v>
      </c>
      <c r="V50" s="53" t="e">
        <f>IF(AND('Mapa final'!#REF!="Muy Baja",'Mapa final'!#REF!="Moderado"),CONCATENATE("R5C",'Mapa final'!#REF!),"")</f>
        <v>#REF!</v>
      </c>
      <c r="W50" s="54" t="e">
        <f>IF(AND('Mapa final'!#REF!="Muy Baja",'Mapa final'!#REF!="Moderado"),CONCATENATE("R5C",'Mapa final'!#REF!),"")</f>
        <v>#REF!</v>
      </c>
      <c r="X50" s="54" t="e">
        <f>IF(AND('Mapa final'!#REF!="Muy Baja",'Mapa final'!#REF!="Moderado"),CONCATENATE("R5C",'Mapa final'!#REF!),"")</f>
        <v>#REF!</v>
      </c>
      <c r="Y50" s="54" t="e">
        <f>IF(AND('Mapa final'!#REF!="Muy Baja",'Mapa final'!#REF!="Moderado"),CONCATENATE("R5C",'Mapa final'!#REF!),"")</f>
        <v>#REF!</v>
      </c>
      <c r="Z50" s="54" t="e">
        <f>IF(AND('Mapa final'!#REF!="Muy Baja",'Mapa final'!#REF!="Moderado"),CONCATENATE("R5C",'Mapa final'!#REF!),"")</f>
        <v>#REF!</v>
      </c>
      <c r="AA50" s="55" t="e">
        <f>IF(AND('Mapa final'!#REF!="Muy Baja",'Mapa final'!#REF!="Moderado"),CONCATENATE("R5C",'Mapa final'!#REF!),"")</f>
        <v>#REF!</v>
      </c>
      <c r="AB50" s="38" t="e">
        <f>IF(AND('Mapa final'!#REF!="Muy Baja",'Mapa final'!#REF!="Mayor"),CONCATENATE("R5C",'Mapa final'!#REF!),"")</f>
        <v>#REF!</v>
      </c>
      <c r="AC50" s="39" t="e">
        <f>IF(AND('Mapa final'!#REF!="Muy Baja",'Mapa final'!#REF!="Mayor"),CONCATENATE("R5C",'Mapa final'!#REF!),"")</f>
        <v>#REF!</v>
      </c>
      <c r="AD50" s="39" t="e">
        <f>IF(AND('Mapa final'!#REF!="Muy Baja",'Mapa final'!#REF!="Mayor"),CONCATENATE("R5C",'Mapa final'!#REF!),"")</f>
        <v>#REF!</v>
      </c>
      <c r="AE50" s="39" t="e">
        <f>IF(AND('Mapa final'!#REF!="Muy Baja",'Mapa final'!#REF!="Mayor"),CONCATENATE("R5C",'Mapa final'!#REF!),"")</f>
        <v>#REF!</v>
      </c>
      <c r="AF50" s="39" t="e">
        <f>IF(AND('Mapa final'!#REF!="Muy Baja",'Mapa final'!#REF!="Mayor"),CONCATENATE("R5C",'Mapa final'!#REF!),"")</f>
        <v>#REF!</v>
      </c>
      <c r="AG50" s="40" t="e">
        <f>IF(AND('Mapa final'!#REF!="Muy Baja",'Mapa final'!#REF!="Mayor"),CONCATENATE("R5C",'Mapa final'!#REF!),"")</f>
        <v>#REF!</v>
      </c>
      <c r="AH50" s="41" t="e">
        <f>IF(AND('Mapa final'!#REF!="Muy Baja",'Mapa final'!#REF!="Catastrófico"),CONCATENATE("R5C",'Mapa final'!#REF!),"")</f>
        <v>#REF!</v>
      </c>
      <c r="AI50" s="42" t="e">
        <f>IF(AND('Mapa final'!#REF!="Muy Baja",'Mapa final'!#REF!="Catastrófico"),CONCATENATE("R5C",'Mapa final'!#REF!),"")</f>
        <v>#REF!</v>
      </c>
      <c r="AJ50" s="42" t="e">
        <f>IF(AND('Mapa final'!#REF!="Muy Baja",'Mapa final'!#REF!="Catastrófico"),CONCATENATE("R5C",'Mapa final'!#REF!),"")</f>
        <v>#REF!</v>
      </c>
      <c r="AK50" s="42" t="e">
        <f>IF(AND('Mapa final'!#REF!="Muy Baja",'Mapa final'!#REF!="Catastrófico"),CONCATENATE("R5C",'Mapa final'!#REF!),"")</f>
        <v>#REF!</v>
      </c>
      <c r="AL50" s="42" t="e">
        <f>IF(AND('Mapa final'!#REF!="Muy Baja",'Mapa final'!#REF!="Catastrófico"),CONCATENATE("R5C",'Mapa final'!#REF!),"")</f>
        <v>#REF!</v>
      </c>
      <c r="AM50" s="43" t="e">
        <f>IF(AND('Mapa final'!#REF!="Muy Baja",'Mapa final'!#REF!="Catastrófico"),CONCATENATE("R5C",'Mapa final'!#REF!),"")</f>
        <v>#REF!</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376"/>
      <c r="C51" s="376"/>
      <c r="D51" s="377"/>
      <c r="E51" s="417"/>
      <c r="F51" s="418"/>
      <c r="G51" s="418"/>
      <c r="H51" s="418"/>
      <c r="I51" s="419"/>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376"/>
      <c r="C52" s="376"/>
      <c r="D52" s="377"/>
      <c r="E52" s="417"/>
      <c r="F52" s="418"/>
      <c r="G52" s="418"/>
      <c r="H52" s="418"/>
      <c r="I52" s="419"/>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376"/>
      <c r="C53" s="376"/>
      <c r="D53" s="377"/>
      <c r="E53" s="417"/>
      <c r="F53" s="418"/>
      <c r="G53" s="418"/>
      <c r="H53" s="418"/>
      <c r="I53" s="419"/>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376"/>
      <c r="C54" s="376"/>
      <c r="D54" s="377"/>
      <c r="E54" s="417"/>
      <c r="F54" s="418"/>
      <c r="G54" s="418"/>
      <c r="H54" s="418"/>
      <c r="I54" s="419"/>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376"/>
      <c r="C55" s="376"/>
      <c r="D55" s="377"/>
      <c r="E55" s="420"/>
      <c r="F55" s="421"/>
      <c r="G55" s="421"/>
      <c r="H55" s="421"/>
      <c r="I55" s="422"/>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414" t="s">
        <v>112</v>
      </c>
      <c r="K56" s="415"/>
      <c r="L56" s="415"/>
      <c r="M56" s="415"/>
      <c r="N56" s="415"/>
      <c r="O56" s="416"/>
      <c r="P56" s="414" t="s">
        <v>111</v>
      </c>
      <c r="Q56" s="415"/>
      <c r="R56" s="415"/>
      <c r="S56" s="415"/>
      <c r="T56" s="415"/>
      <c r="U56" s="416"/>
      <c r="V56" s="414" t="s">
        <v>110</v>
      </c>
      <c r="W56" s="415"/>
      <c r="X56" s="415"/>
      <c r="Y56" s="415"/>
      <c r="Z56" s="415"/>
      <c r="AA56" s="416"/>
      <c r="AB56" s="414" t="s">
        <v>109</v>
      </c>
      <c r="AC56" s="423"/>
      <c r="AD56" s="415"/>
      <c r="AE56" s="415"/>
      <c r="AF56" s="415"/>
      <c r="AG56" s="416"/>
      <c r="AH56" s="414" t="s">
        <v>108</v>
      </c>
      <c r="AI56" s="415"/>
      <c r="AJ56" s="415"/>
      <c r="AK56" s="415"/>
      <c r="AL56" s="415"/>
      <c r="AM56" s="416"/>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417"/>
      <c r="K57" s="418"/>
      <c r="L57" s="418"/>
      <c r="M57" s="418"/>
      <c r="N57" s="418"/>
      <c r="O57" s="419"/>
      <c r="P57" s="417"/>
      <c r="Q57" s="418"/>
      <c r="R57" s="418"/>
      <c r="S57" s="418"/>
      <c r="T57" s="418"/>
      <c r="U57" s="419"/>
      <c r="V57" s="417"/>
      <c r="W57" s="418"/>
      <c r="X57" s="418"/>
      <c r="Y57" s="418"/>
      <c r="Z57" s="418"/>
      <c r="AA57" s="419"/>
      <c r="AB57" s="417"/>
      <c r="AC57" s="418"/>
      <c r="AD57" s="418"/>
      <c r="AE57" s="418"/>
      <c r="AF57" s="418"/>
      <c r="AG57" s="419"/>
      <c r="AH57" s="417"/>
      <c r="AI57" s="418"/>
      <c r="AJ57" s="418"/>
      <c r="AK57" s="418"/>
      <c r="AL57" s="418"/>
      <c r="AM57" s="41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417"/>
      <c r="K58" s="418"/>
      <c r="L58" s="418"/>
      <c r="M58" s="418"/>
      <c r="N58" s="418"/>
      <c r="O58" s="419"/>
      <c r="P58" s="417"/>
      <c r="Q58" s="418"/>
      <c r="R58" s="418"/>
      <c r="S58" s="418"/>
      <c r="T58" s="418"/>
      <c r="U58" s="419"/>
      <c r="V58" s="417"/>
      <c r="W58" s="418"/>
      <c r="X58" s="418"/>
      <c r="Y58" s="418"/>
      <c r="Z58" s="418"/>
      <c r="AA58" s="419"/>
      <c r="AB58" s="417"/>
      <c r="AC58" s="418"/>
      <c r="AD58" s="418"/>
      <c r="AE58" s="418"/>
      <c r="AF58" s="418"/>
      <c r="AG58" s="419"/>
      <c r="AH58" s="417"/>
      <c r="AI58" s="418"/>
      <c r="AJ58" s="418"/>
      <c r="AK58" s="418"/>
      <c r="AL58" s="418"/>
      <c r="AM58" s="41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417"/>
      <c r="K59" s="418"/>
      <c r="L59" s="418"/>
      <c r="M59" s="418"/>
      <c r="N59" s="418"/>
      <c r="O59" s="419"/>
      <c r="P59" s="417"/>
      <c r="Q59" s="418"/>
      <c r="R59" s="418"/>
      <c r="S59" s="418"/>
      <c r="T59" s="418"/>
      <c r="U59" s="419"/>
      <c r="V59" s="417"/>
      <c r="W59" s="418"/>
      <c r="X59" s="418"/>
      <c r="Y59" s="418"/>
      <c r="Z59" s="418"/>
      <c r="AA59" s="419"/>
      <c r="AB59" s="417"/>
      <c r="AC59" s="418"/>
      <c r="AD59" s="418"/>
      <c r="AE59" s="418"/>
      <c r="AF59" s="418"/>
      <c r="AG59" s="419"/>
      <c r="AH59" s="417"/>
      <c r="AI59" s="418"/>
      <c r="AJ59" s="418"/>
      <c r="AK59" s="418"/>
      <c r="AL59" s="418"/>
      <c r="AM59" s="41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417"/>
      <c r="K60" s="418"/>
      <c r="L60" s="418"/>
      <c r="M60" s="418"/>
      <c r="N60" s="418"/>
      <c r="O60" s="419"/>
      <c r="P60" s="417"/>
      <c r="Q60" s="418"/>
      <c r="R60" s="418"/>
      <c r="S60" s="418"/>
      <c r="T60" s="418"/>
      <c r="U60" s="419"/>
      <c r="V60" s="417"/>
      <c r="W60" s="418"/>
      <c r="X60" s="418"/>
      <c r="Y60" s="418"/>
      <c r="Z60" s="418"/>
      <c r="AA60" s="419"/>
      <c r="AB60" s="417"/>
      <c r="AC60" s="418"/>
      <c r="AD60" s="418"/>
      <c r="AE60" s="418"/>
      <c r="AF60" s="418"/>
      <c r="AG60" s="419"/>
      <c r="AH60" s="417"/>
      <c r="AI60" s="418"/>
      <c r="AJ60" s="418"/>
      <c r="AK60" s="418"/>
      <c r="AL60" s="418"/>
      <c r="AM60" s="41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420"/>
      <c r="K61" s="421"/>
      <c r="L61" s="421"/>
      <c r="M61" s="421"/>
      <c r="N61" s="421"/>
      <c r="O61" s="422"/>
      <c r="P61" s="420"/>
      <c r="Q61" s="421"/>
      <c r="R61" s="421"/>
      <c r="S61" s="421"/>
      <c r="T61" s="421"/>
      <c r="U61" s="422"/>
      <c r="V61" s="420"/>
      <c r="W61" s="421"/>
      <c r="X61" s="421"/>
      <c r="Y61" s="421"/>
      <c r="Z61" s="421"/>
      <c r="AA61" s="422"/>
      <c r="AB61" s="420"/>
      <c r="AC61" s="421"/>
      <c r="AD61" s="421"/>
      <c r="AE61" s="421"/>
      <c r="AF61" s="421"/>
      <c r="AG61" s="422"/>
      <c r="AH61" s="420"/>
      <c r="AI61" s="421"/>
      <c r="AJ61" s="421"/>
      <c r="AK61" s="421"/>
      <c r="AL61" s="421"/>
      <c r="AM61" s="422"/>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K55"/>
  <sheetViews>
    <sheetView zoomScale="90" zoomScaleNormal="90" workbookViewId="0">
      <selection activeCell="C7" sqref="C7"/>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463" t="s">
        <v>55</v>
      </c>
      <c r="C1" s="463"/>
      <c r="D1" s="463"/>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52</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51</v>
      </c>
      <c r="C4" s="6" t="s">
        <v>102</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53</v>
      </c>
      <c r="C5" s="9" t="s">
        <v>103</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107</v>
      </c>
      <c r="C6" s="9" t="s">
        <v>104</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105</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54</v>
      </c>
      <c r="C8" s="9" t="s">
        <v>106</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A1:U232"/>
  <sheetViews>
    <sheetView zoomScale="60" zoomScaleNormal="60" workbookViewId="0">
      <selection activeCell="A6" sqref="A6"/>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464" t="s">
        <v>63</v>
      </c>
      <c r="C1" s="464"/>
      <c r="D1" s="464"/>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56</v>
      </c>
      <c r="D3" s="22" t="s">
        <v>57</v>
      </c>
      <c r="E3" s="69"/>
      <c r="F3" s="69"/>
      <c r="G3" s="69"/>
      <c r="H3" s="69"/>
      <c r="I3" s="69"/>
      <c r="J3" s="69"/>
      <c r="K3" s="69"/>
      <c r="L3" s="69"/>
      <c r="M3" s="69"/>
      <c r="N3" s="69"/>
      <c r="O3" s="69"/>
      <c r="P3" s="69"/>
      <c r="Q3" s="69"/>
      <c r="R3" s="69"/>
      <c r="S3" s="69"/>
      <c r="T3" s="69"/>
      <c r="U3" s="69"/>
    </row>
    <row r="4" spans="1:21" ht="33.75" x14ac:dyDescent="0.25">
      <c r="A4" s="89" t="s">
        <v>83</v>
      </c>
      <c r="B4" s="25" t="s">
        <v>101</v>
      </c>
      <c r="C4" s="30" t="s">
        <v>156</v>
      </c>
      <c r="D4" s="23" t="s">
        <v>97</v>
      </c>
      <c r="E4" s="69"/>
      <c r="F4" s="69"/>
      <c r="G4" s="69"/>
      <c r="H4" s="69"/>
      <c r="I4" s="69"/>
      <c r="J4" s="69"/>
      <c r="K4" s="69"/>
      <c r="L4" s="69"/>
      <c r="M4" s="69"/>
      <c r="N4" s="69"/>
      <c r="O4" s="69"/>
      <c r="P4" s="69"/>
      <c r="Q4" s="69"/>
      <c r="R4" s="69"/>
      <c r="S4" s="69"/>
      <c r="T4" s="69"/>
      <c r="U4" s="69"/>
    </row>
    <row r="5" spans="1:21" ht="101.25" x14ac:dyDescent="0.25">
      <c r="A5" s="89" t="s">
        <v>84</v>
      </c>
      <c r="B5" s="26" t="s">
        <v>59</v>
      </c>
      <c r="C5" s="31" t="s">
        <v>93</v>
      </c>
      <c r="D5" s="24" t="s">
        <v>98</v>
      </c>
      <c r="E5" s="69"/>
      <c r="F5" s="69"/>
      <c r="G5" s="69"/>
      <c r="H5" s="69"/>
      <c r="I5" s="69"/>
      <c r="J5" s="69"/>
      <c r="K5" s="69"/>
      <c r="L5" s="69"/>
      <c r="M5" s="69"/>
      <c r="N5" s="69"/>
      <c r="O5" s="69"/>
      <c r="P5" s="69"/>
      <c r="Q5" s="69"/>
      <c r="R5" s="69"/>
      <c r="S5" s="69"/>
      <c r="T5" s="69"/>
      <c r="U5" s="69"/>
    </row>
    <row r="6" spans="1:21" ht="67.5" x14ac:dyDescent="0.25">
      <c r="A6" s="89" t="s">
        <v>81</v>
      </c>
      <c r="B6" s="27" t="s">
        <v>60</v>
      </c>
      <c r="C6" s="31" t="s">
        <v>94</v>
      </c>
      <c r="D6" s="24" t="s">
        <v>100</v>
      </c>
      <c r="E6" s="69"/>
      <c r="F6" s="69"/>
      <c r="G6" s="69"/>
      <c r="H6" s="69"/>
      <c r="I6" s="69"/>
      <c r="J6" s="69"/>
      <c r="K6" s="69"/>
      <c r="L6" s="69"/>
      <c r="M6" s="69"/>
      <c r="N6" s="69"/>
      <c r="O6" s="69"/>
      <c r="P6" s="69"/>
      <c r="Q6" s="69"/>
      <c r="R6" s="69"/>
      <c r="S6" s="69"/>
      <c r="T6" s="69"/>
      <c r="U6" s="69"/>
    </row>
    <row r="7" spans="1:21" ht="101.25" x14ac:dyDescent="0.25">
      <c r="A7" s="89" t="s">
        <v>7</v>
      </c>
      <c r="B7" s="28" t="s">
        <v>61</v>
      </c>
      <c r="C7" s="31" t="s">
        <v>95</v>
      </c>
      <c r="D7" s="24" t="s">
        <v>99</v>
      </c>
      <c r="E7" s="69"/>
      <c r="F7" s="69"/>
      <c r="G7" s="69"/>
      <c r="H7" s="69"/>
      <c r="I7" s="69"/>
      <c r="J7" s="69"/>
      <c r="K7" s="69"/>
      <c r="L7" s="69"/>
      <c r="M7" s="69"/>
      <c r="N7" s="69"/>
      <c r="O7" s="69"/>
      <c r="P7" s="69"/>
      <c r="Q7" s="69"/>
      <c r="R7" s="69"/>
      <c r="S7" s="69"/>
      <c r="T7" s="69"/>
      <c r="U7" s="69"/>
    </row>
    <row r="8" spans="1:21" ht="67.5" x14ac:dyDescent="0.25">
      <c r="A8" s="89" t="s">
        <v>85</v>
      </c>
      <c r="B8" s="29" t="s">
        <v>62</v>
      </c>
      <c r="C8" s="31" t="s">
        <v>96</v>
      </c>
      <c r="D8" s="24" t="s">
        <v>118</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91</v>
      </c>
      <c r="C11" s="89" t="s">
        <v>144</v>
      </c>
      <c r="D11" s="89" t="s">
        <v>151</v>
      </c>
      <c r="E11" s="69"/>
      <c r="F11" s="69"/>
      <c r="G11" s="69"/>
      <c r="H11" s="69"/>
      <c r="I11" s="69"/>
      <c r="J11" s="69"/>
      <c r="K11" s="69"/>
      <c r="L11" s="69"/>
      <c r="M11" s="69"/>
      <c r="N11" s="69"/>
      <c r="O11" s="69"/>
      <c r="P11" s="69"/>
      <c r="Q11" s="69"/>
      <c r="R11" s="69"/>
      <c r="S11" s="69"/>
      <c r="T11" s="69"/>
      <c r="U11" s="69"/>
    </row>
    <row r="12" spans="1:21" x14ac:dyDescent="0.25">
      <c r="A12" s="89"/>
      <c r="B12" s="89" t="s">
        <v>89</v>
      </c>
      <c r="C12" s="89" t="s">
        <v>148</v>
      </c>
      <c r="D12" s="89" t="s">
        <v>152</v>
      </c>
      <c r="E12" s="69"/>
      <c r="F12" s="69"/>
      <c r="G12" s="69"/>
      <c r="H12" s="69"/>
      <c r="I12" s="69"/>
      <c r="J12" s="69"/>
      <c r="K12" s="69"/>
      <c r="L12" s="69"/>
      <c r="M12" s="69"/>
      <c r="N12" s="69"/>
      <c r="O12" s="69"/>
      <c r="P12" s="69"/>
      <c r="Q12" s="69"/>
      <c r="R12" s="69"/>
      <c r="S12" s="69"/>
      <c r="T12" s="69"/>
      <c r="U12" s="69"/>
    </row>
    <row r="13" spans="1:21" x14ac:dyDescent="0.25">
      <c r="A13" s="89"/>
      <c r="B13" s="89"/>
      <c r="C13" s="89" t="s">
        <v>147</v>
      </c>
      <c r="D13" s="89" t="s">
        <v>153</v>
      </c>
      <c r="E13" s="69"/>
      <c r="F13" s="69"/>
      <c r="G13" s="69"/>
      <c r="H13" s="69"/>
      <c r="I13" s="69"/>
      <c r="J13" s="69"/>
      <c r="K13" s="69"/>
      <c r="L13" s="69"/>
      <c r="M13" s="69"/>
      <c r="N13" s="69"/>
      <c r="O13" s="69"/>
      <c r="P13" s="69"/>
      <c r="Q13" s="69"/>
      <c r="R13" s="69"/>
      <c r="S13" s="69"/>
      <c r="T13" s="69"/>
      <c r="U13" s="69"/>
    </row>
    <row r="14" spans="1:21" x14ac:dyDescent="0.25">
      <c r="A14" s="89"/>
      <c r="B14" s="89"/>
      <c r="C14" s="89" t="s">
        <v>149</v>
      </c>
      <c r="D14" s="89" t="s">
        <v>154</v>
      </c>
      <c r="E14" s="69"/>
      <c r="F14" s="69"/>
      <c r="G14" s="69"/>
      <c r="H14" s="69"/>
      <c r="I14" s="69"/>
      <c r="J14" s="69"/>
      <c r="K14" s="69"/>
      <c r="L14" s="69"/>
      <c r="M14" s="69"/>
      <c r="N14" s="69"/>
      <c r="O14" s="69"/>
      <c r="P14" s="69"/>
      <c r="Q14" s="69"/>
      <c r="R14" s="69"/>
      <c r="S14" s="69"/>
      <c r="T14" s="69"/>
      <c r="U14" s="69"/>
    </row>
    <row r="15" spans="1:21" x14ac:dyDescent="0.25">
      <c r="A15" s="89"/>
      <c r="B15" s="89"/>
      <c r="C15" s="89" t="s">
        <v>150</v>
      </c>
      <c r="D15" s="89" t="s">
        <v>155</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88</v>
      </c>
      <c r="C209" s="16" t="s">
        <v>143</v>
      </c>
      <c r="D209" s="19" t="s">
        <v>88</v>
      </c>
      <c r="E209" s="19" t="s">
        <v>143</v>
      </c>
    </row>
    <row r="210" spans="1:8" ht="21" x14ac:dyDescent="0.35">
      <c r="A210" s="69"/>
      <c r="B210" s="17" t="s">
        <v>90</v>
      </c>
      <c r="C210" s="17" t="s">
        <v>58</v>
      </c>
      <c r="D210" t="s">
        <v>90</v>
      </c>
      <c r="F210" t="str">
        <f>IF(NOT(ISBLANK(D210)),D210,IF(NOT(ISBLANK(E210)),"     "&amp;E210,FALSE))</f>
        <v>Afectación Económica o presupuestal</v>
      </c>
      <c r="G210" t="s">
        <v>90</v>
      </c>
      <c r="H210" t="str">
        <f>IF(NOT(ISERROR(MATCH(G210,_xlfn.ANCHORARRAY(B221),0))),F223&amp;"Por favor no seleccionar los criterios de impacto",G210)</f>
        <v>❌Por favor no seleccionar los criterios de impacto</v>
      </c>
    </row>
    <row r="211" spans="1:8" ht="21" x14ac:dyDescent="0.35">
      <c r="A211" s="69"/>
      <c r="B211" s="17" t="s">
        <v>90</v>
      </c>
      <c r="C211" s="17" t="s">
        <v>93</v>
      </c>
      <c r="E211" t="s">
        <v>58</v>
      </c>
      <c r="F211" t="str">
        <f t="shared" ref="F211:F221" si="0">IF(NOT(ISBLANK(D211)),D211,IF(NOT(ISBLANK(E211)),"     "&amp;E211,FALSE))</f>
        <v xml:space="preserve">     Afectación menor a 10 SMLMV .</v>
      </c>
    </row>
    <row r="212" spans="1:8" ht="21" x14ac:dyDescent="0.35">
      <c r="A212" s="69"/>
      <c r="B212" s="17" t="s">
        <v>90</v>
      </c>
      <c r="C212" s="17" t="s">
        <v>94</v>
      </c>
      <c r="E212" t="s">
        <v>93</v>
      </c>
      <c r="F212" t="str">
        <f t="shared" si="0"/>
        <v xml:space="preserve">     Entre 10 y 50 SMLMV </v>
      </c>
    </row>
    <row r="213" spans="1:8" ht="21" x14ac:dyDescent="0.35">
      <c r="A213" s="69"/>
      <c r="B213" s="17" t="s">
        <v>90</v>
      </c>
      <c r="C213" s="17" t="s">
        <v>95</v>
      </c>
      <c r="E213" t="s">
        <v>94</v>
      </c>
      <c r="F213" t="str">
        <f t="shared" si="0"/>
        <v xml:space="preserve">     Entre 50 y 100 SMLMV </v>
      </c>
    </row>
    <row r="214" spans="1:8" ht="21" x14ac:dyDescent="0.35">
      <c r="A214" s="69"/>
      <c r="B214" s="17" t="s">
        <v>90</v>
      </c>
      <c r="C214" s="17" t="s">
        <v>96</v>
      </c>
      <c r="E214" t="s">
        <v>95</v>
      </c>
      <c r="F214" t="str">
        <f t="shared" si="0"/>
        <v xml:space="preserve">     Entre 100 y 500 SMLMV </v>
      </c>
    </row>
    <row r="215" spans="1:8" ht="21" x14ac:dyDescent="0.35">
      <c r="A215" s="69"/>
      <c r="B215" s="17" t="s">
        <v>57</v>
      </c>
      <c r="C215" s="17" t="s">
        <v>97</v>
      </c>
      <c r="E215" t="s">
        <v>96</v>
      </c>
      <c r="F215" t="str">
        <f t="shared" si="0"/>
        <v xml:space="preserve">     Mayor a 500 SMLMV </v>
      </c>
    </row>
    <row r="216" spans="1:8" ht="21" x14ac:dyDescent="0.35">
      <c r="A216" s="69"/>
      <c r="B216" s="17" t="s">
        <v>57</v>
      </c>
      <c r="C216" s="17" t="s">
        <v>98</v>
      </c>
      <c r="D216" t="s">
        <v>57</v>
      </c>
      <c r="F216" t="str">
        <f t="shared" si="0"/>
        <v>Pérdida Reputacional</v>
      </c>
    </row>
    <row r="217" spans="1:8" ht="21" x14ac:dyDescent="0.35">
      <c r="A217" s="69"/>
      <c r="B217" s="17" t="s">
        <v>57</v>
      </c>
      <c r="C217" s="17" t="s">
        <v>100</v>
      </c>
      <c r="E217" t="s">
        <v>97</v>
      </c>
      <c r="F217" t="str">
        <f t="shared" si="0"/>
        <v xml:space="preserve">     El riesgo afecta la imagen de alguna área de la organización</v>
      </c>
    </row>
    <row r="218" spans="1:8" ht="21" x14ac:dyDescent="0.35">
      <c r="A218" s="69"/>
      <c r="B218" s="17" t="s">
        <v>57</v>
      </c>
      <c r="C218" s="17" t="s">
        <v>99</v>
      </c>
      <c r="E218" t="s">
        <v>98</v>
      </c>
      <c r="F218" t="str">
        <f t="shared" si="0"/>
        <v xml:space="preserve">     El riesgo afecta la imagen de la entidad internamente, de conocimiento general, nivel interno, de junta dircetiva y accionistas y/o de provedores</v>
      </c>
    </row>
    <row r="219" spans="1:8" ht="21" x14ac:dyDescent="0.35">
      <c r="A219" s="69"/>
      <c r="B219" s="17" t="s">
        <v>57</v>
      </c>
      <c r="C219" s="17" t="s">
        <v>118</v>
      </c>
      <c r="E219" t="s">
        <v>100</v>
      </c>
      <c r="F219" t="str">
        <f t="shared" si="0"/>
        <v xml:space="preserve">     El riesgo afecta la imagen de la entidad con algunos usuarios de relevancia frente al logro de los objetivos</v>
      </c>
    </row>
    <row r="220" spans="1:8" x14ac:dyDescent="0.25">
      <c r="A220" s="69"/>
      <c r="B220" s="18"/>
      <c r="C220" s="18"/>
      <c r="E220" t="s">
        <v>99</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118</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145</v>
      </c>
    </row>
    <row r="224" spans="1:8" x14ac:dyDescent="0.25">
      <c r="B224" s="14"/>
      <c r="C224" s="14"/>
      <c r="F224" s="21" t="s">
        <v>146</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600-000000000000}">
      <formula1>$F$210:$F$221</formula1>
    </dataValidation>
  </dataValidations>
  <pageMargins left="0.7" right="0.7" top="0.75" bottom="0.75" header="0.3" footer="0.3"/>
  <pageSetup orientation="portrait"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1:F16"/>
  <sheetViews>
    <sheetView topLeftCell="A10" workbookViewId="0">
      <selection activeCell="H12" sqref="H12"/>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465" t="s">
        <v>78</v>
      </c>
      <c r="C1" s="466"/>
      <c r="D1" s="466"/>
      <c r="E1" s="466"/>
      <c r="F1" s="467"/>
    </row>
    <row r="2" spans="2:6" ht="16.5" thickBot="1" x14ac:dyDescent="0.3">
      <c r="B2" s="75"/>
      <c r="C2" s="75"/>
      <c r="D2" s="75"/>
      <c r="E2" s="75"/>
      <c r="F2" s="75"/>
    </row>
    <row r="3" spans="2:6" ht="16.5" thickBot="1" x14ac:dyDescent="0.25">
      <c r="B3" s="469" t="s">
        <v>64</v>
      </c>
      <c r="C3" s="470"/>
      <c r="D3" s="470"/>
      <c r="E3" s="87" t="s">
        <v>65</v>
      </c>
      <c r="F3" s="88" t="s">
        <v>66</v>
      </c>
    </row>
    <row r="4" spans="2:6" ht="31.5" x14ac:dyDescent="0.2">
      <c r="B4" s="471" t="s">
        <v>67</v>
      </c>
      <c r="C4" s="473" t="s">
        <v>13</v>
      </c>
      <c r="D4" s="76" t="s">
        <v>14</v>
      </c>
      <c r="E4" s="77" t="s">
        <v>68</v>
      </c>
      <c r="F4" s="78">
        <v>0.25</v>
      </c>
    </row>
    <row r="5" spans="2:6" ht="47.25" x14ac:dyDescent="0.2">
      <c r="B5" s="472"/>
      <c r="C5" s="474"/>
      <c r="D5" s="79" t="s">
        <v>15</v>
      </c>
      <c r="E5" s="80" t="s">
        <v>69</v>
      </c>
      <c r="F5" s="81">
        <v>0.15</v>
      </c>
    </row>
    <row r="6" spans="2:6" ht="47.25" x14ac:dyDescent="0.2">
      <c r="B6" s="472"/>
      <c r="C6" s="474"/>
      <c r="D6" s="79" t="s">
        <v>16</v>
      </c>
      <c r="E6" s="80" t="s">
        <v>70</v>
      </c>
      <c r="F6" s="81">
        <v>0.1</v>
      </c>
    </row>
    <row r="7" spans="2:6" ht="63" x14ac:dyDescent="0.2">
      <c r="B7" s="472"/>
      <c r="C7" s="474" t="s">
        <v>17</v>
      </c>
      <c r="D7" s="79" t="s">
        <v>10</v>
      </c>
      <c r="E7" s="80" t="s">
        <v>71</v>
      </c>
      <c r="F7" s="81">
        <v>0.25</v>
      </c>
    </row>
    <row r="8" spans="2:6" ht="31.5" x14ac:dyDescent="0.2">
      <c r="B8" s="472"/>
      <c r="C8" s="474"/>
      <c r="D8" s="79" t="s">
        <v>9</v>
      </c>
      <c r="E8" s="80" t="s">
        <v>72</v>
      </c>
      <c r="F8" s="81">
        <v>0.15</v>
      </c>
    </row>
    <row r="9" spans="2:6" ht="47.25" x14ac:dyDescent="0.2">
      <c r="B9" s="472" t="s">
        <v>160</v>
      </c>
      <c r="C9" s="474" t="s">
        <v>18</v>
      </c>
      <c r="D9" s="79" t="s">
        <v>19</v>
      </c>
      <c r="E9" s="80" t="s">
        <v>73</v>
      </c>
      <c r="F9" s="82" t="s">
        <v>74</v>
      </c>
    </row>
    <row r="10" spans="2:6" ht="63" x14ac:dyDescent="0.2">
      <c r="B10" s="472"/>
      <c r="C10" s="474"/>
      <c r="D10" s="79" t="s">
        <v>20</v>
      </c>
      <c r="E10" s="80" t="s">
        <v>75</v>
      </c>
      <c r="F10" s="82" t="s">
        <v>74</v>
      </c>
    </row>
    <row r="11" spans="2:6" ht="47.25" x14ac:dyDescent="0.2">
      <c r="B11" s="472"/>
      <c r="C11" s="474" t="s">
        <v>21</v>
      </c>
      <c r="D11" s="79" t="s">
        <v>22</v>
      </c>
      <c r="E11" s="80" t="s">
        <v>76</v>
      </c>
      <c r="F11" s="82" t="s">
        <v>74</v>
      </c>
    </row>
    <row r="12" spans="2:6" ht="47.25" x14ac:dyDescent="0.2">
      <c r="B12" s="472"/>
      <c r="C12" s="474"/>
      <c r="D12" s="79" t="s">
        <v>23</v>
      </c>
      <c r="E12" s="80" t="s">
        <v>77</v>
      </c>
      <c r="F12" s="82" t="s">
        <v>74</v>
      </c>
    </row>
    <row r="13" spans="2:6" ht="31.5" x14ac:dyDescent="0.2">
      <c r="B13" s="472"/>
      <c r="C13" s="474" t="s">
        <v>24</v>
      </c>
      <c r="D13" s="79" t="s">
        <v>119</v>
      </c>
      <c r="E13" s="80" t="s">
        <v>122</v>
      </c>
      <c r="F13" s="82" t="s">
        <v>74</v>
      </c>
    </row>
    <row r="14" spans="2:6" ht="32.25" thickBot="1" x14ac:dyDescent="0.25">
      <c r="B14" s="475"/>
      <c r="C14" s="476"/>
      <c r="D14" s="83" t="s">
        <v>120</v>
      </c>
      <c r="E14" s="84" t="s">
        <v>121</v>
      </c>
      <c r="F14" s="85" t="s">
        <v>74</v>
      </c>
    </row>
    <row r="15" spans="2:6" ht="49.5" customHeight="1" x14ac:dyDescent="0.2">
      <c r="B15" s="468" t="s">
        <v>157</v>
      </c>
      <c r="C15" s="468"/>
      <c r="D15" s="468"/>
      <c r="E15" s="468"/>
      <c r="F15" s="468"/>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9"/>
  <sheetViews>
    <sheetView topLeftCell="A4" workbookViewId="0">
      <selection activeCell="B13" sqref="B13:B19"/>
    </sheetView>
  </sheetViews>
  <sheetFormatPr baseColWidth="10" defaultRowHeight="15" x14ac:dyDescent="0.25"/>
  <sheetData>
    <row r="2" spans="2:5" x14ac:dyDescent="0.25">
      <c r="B2" t="s">
        <v>31</v>
      </c>
      <c r="E2" t="s">
        <v>132</v>
      </c>
    </row>
    <row r="3" spans="2:5" x14ac:dyDescent="0.25">
      <c r="B3" t="s">
        <v>32</v>
      </c>
      <c r="E3" t="s">
        <v>131</v>
      </c>
    </row>
    <row r="4" spans="2:5" x14ac:dyDescent="0.25">
      <c r="B4" t="s">
        <v>136</v>
      </c>
      <c r="E4" t="s">
        <v>133</v>
      </c>
    </row>
    <row r="5" spans="2:5" x14ac:dyDescent="0.25">
      <c r="B5" t="s">
        <v>135</v>
      </c>
    </row>
    <row r="8" spans="2:5" x14ac:dyDescent="0.25">
      <c r="B8" t="s">
        <v>86</v>
      </c>
    </row>
    <row r="9" spans="2:5" x14ac:dyDescent="0.25">
      <c r="B9" t="s">
        <v>40</v>
      </c>
    </row>
    <row r="10" spans="2:5" x14ac:dyDescent="0.25">
      <c r="B10" t="s">
        <v>41</v>
      </c>
    </row>
    <row r="13" spans="2:5" x14ac:dyDescent="0.25">
      <c r="B13" t="s">
        <v>129</v>
      </c>
    </row>
    <row r="14" spans="2:5" x14ac:dyDescent="0.25">
      <c r="B14" t="s">
        <v>123</v>
      </c>
    </row>
    <row r="15" spans="2:5" x14ac:dyDescent="0.25">
      <c r="B15" t="s">
        <v>126</v>
      </c>
    </row>
    <row r="16" spans="2:5" x14ac:dyDescent="0.25">
      <c r="B16" t="s">
        <v>124</v>
      </c>
    </row>
    <row r="17" spans="2:2" x14ac:dyDescent="0.25">
      <c r="B17" t="s">
        <v>125</v>
      </c>
    </row>
    <row r="18" spans="2:2" x14ac:dyDescent="0.25">
      <c r="B18" t="s">
        <v>127</v>
      </c>
    </row>
    <row r="19" spans="2:2" x14ac:dyDescent="0.25">
      <c r="B19" t="s">
        <v>128</v>
      </c>
    </row>
  </sheetData>
  <sortState xmlns:xlrd2="http://schemas.microsoft.com/office/spreadsheetml/2017/richdata2" ref="B2:B5">
    <sortCondition ref="B2:B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40</v>
      </c>
    </row>
    <row r="21" spans="1:1" x14ac:dyDescent="0.2">
      <c r="A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Intructivo</vt:lpstr>
      <vt:lpstr>Mapa final</vt:lpstr>
      <vt:lpstr>EJEMPLOS</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2020-05-13T01:12:22Z</cp:lastPrinted>
  <dcterms:created xsi:type="dcterms:W3CDTF">2020-03-24T23:12:47Z</dcterms:created>
  <dcterms:modified xsi:type="dcterms:W3CDTF">2026-03-04T21:11:42Z</dcterms:modified>
</cp:coreProperties>
</file>