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User\Desktop\2026\PLANES 2026\"/>
    </mc:Choice>
  </mc:AlternateContent>
  <xr:revisionPtr revIDLastSave="0" documentId="13_ncr:1_{E100A62F-BA84-4150-9BEA-D7005B043A21}" xr6:coauthVersionLast="47" xr6:coauthVersionMax="47" xr10:uidLastSave="{00000000-0000-0000-0000-000000000000}"/>
  <bookViews>
    <workbookView xWindow="-120" yWindow="-120" windowWidth="29040" windowHeight="15720" xr2:uid="{C5381AB4-D945-427D-BC37-2D4244EF8D1D}"/>
  </bookViews>
  <sheets>
    <sheet name="Hoja1" sheetId="1" r:id="rId1"/>
    <sheet name="Hoja2" sheetId="2" r:id="rId2"/>
  </sheets>
  <externalReferences>
    <externalReference r:id="rId3"/>
    <externalReference r:id="rId4"/>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5" i="1" l="1"/>
  <c r="L114" i="1"/>
  <c r="L113" i="1"/>
  <c r="L112" i="1"/>
  <c r="L111" i="1"/>
  <c r="L110" i="1"/>
  <c r="M110" i="1" s="1"/>
  <c r="N110" i="1" s="1"/>
  <c r="I110" i="1"/>
  <c r="L109" i="1"/>
  <c r="L108" i="1"/>
  <c r="L107" i="1"/>
  <c r="L106" i="1"/>
  <c r="M106" i="1" s="1"/>
  <c r="N106" i="1" s="1"/>
  <c r="I106" i="1"/>
  <c r="O106" i="1" l="1"/>
  <c r="O110" i="1"/>
  <c r="J106" i="1"/>
  <c r="J110" i="1"/>
  <c r="L105" i="1" l="1"/>
  <c r="L104" i="1"/>
  <c r="L103" i="1"/>
  <c r="L102" i="1"/>
  <c r="L101" i="1"/>
  <c r="L100" i="1"/>
  <c r="I100" i="1"/>
  <c r="J100" i="1" l="1"/>
  <c r="I93" i="1" l="1"/>
  <c r="J93" i="1" s="1"/>
  <c r="I91" i="1"/>
  <c r="J91" i="1" s="1"/>
  <c r="N89" i="1"/>
  <c r="L89" i="1"/>
  <c r="I89" i="1"/>
  <c r="O89" i="1" s="1"/>
  <c r="N87" i="1"/>
  <c r="L87" i="1"/>
  <c r="I87" i="1"/>
  <c r="J87" i="1" s="1"/>
  <c r="J89" i="1" l="1"/>
  <c r="O87" i="1"/>
  <c r="L86" i="1" l="1"/>
  <c r="I86" i="1"/>
  <c r="L80" i="1"/>
  <c r="I80" i="1"/>
  <c r="J80" i="1" l="1"/>
  <c r="J86" i="1"/>
  <c r="I74" i="1" l="1"/>
  <c r="J74" i="1" s="1"/>
  <c r="I68" i="1"/>
  <c r="J68" i="1" s="1"/>
  <c r="I62" i="1"/>
  <c r="J62" i="1" s="1"/>
  <c r="L56" i="1"/>
  <c r="I56" i="1"/>
  <c r="J56" i="1" s="1"/>
  <c r="L50" i="1"/>
  <c r="L44" i="1"/>
  <c r="J44" i="1"/>
  <c r="J50" i="1" l="1"/>
  <c r="I35" i="1" l="1"/>
  <c r="J35" i="1" s="1"/>
  <c r="L29" i="1"/>
  <c r="M29" i="1" s="1"/>
  <c r="N29" i="1" s="1"/>
  <c r="I29" i="1"/>
  <c r="O29" i="1" l="1"/>
  <c r="J29" i="1"/>
  <c r="I3" i="2" l="1"/>
  <c r="J3" i="2" s="1"/>
  <c r="I1" i="2"/>
  <c r="J1" i="2" s="1"/>
  <c r="L28" i="1" l="1"/>
  <c r="L27" i="1"/>
  <c r="I27" i="1"/>
  <c r="L26" i="1"/>
  <c r="L25" i="1"/>
  <c r="L24" i="1"/>
  <c r="I24" i="1"/>
  <c r="J24" i="1" l="1"/>
  <c r="J27" i="1"/>
  <c r="L18" i="1" l="1"/>
  <c r="M18" i="1" s="1"/>
  <c r="N18" i="1" s="1"/>
  <c r="I18" i="1"/>
  <c r="L12" i="1"/>
  <c r="M12" i="1" s="1"/>
  <c r="N12" i="1" s="1"/>
  <c r="I12" i="1"/>
  <c r="O12" i="1" l="1"/>
  <c r="O18" i="1"/>
  <c r="J12" i="1"/>
  <c r="J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Paola Guevara</author>
  </authors>
  <commentList>
    <comment ref="H12" authorId="0" shapeId="0" xr:uid="{29C013CB-18D3-4712-934E-112280AAE552}">
      <text>
        <r>
          <rPr>
            <b/>
            <sz val="9"/>
            <color indexed="81"/>
            <rFont val="Tahoma"/>
            <family val="2"/>
          </rPr>
          <t>Paola Guevara:</t>
        </r>
        <r>
          <rPr>
            <sz val="9"/>
            <color indexed="81"/>
            <rFont val="Tahoma"/>
            <family val="2"/>
          </rPr>
          <t xml:space="preserve">
Sesiones de Control Politico</t>
        </r>
      </text>
    </comment>
    <comment ref="H18" authorId="0" shapeId="0" xr:uid="{0FE9192C-6F90-4EB3-A85E-BE7BC4706264}">
      <text>
        <r>
          <rPr>
            <b/>
            <sz val="9"/>
            <color indexed="81"/>
            <rFont val="Tahoma"/>
            <family val="2"/>
          </rPr>
          <t>Paola Guevara:</t>
        </r>
        <r>
          <rPr>
            <sz val="9"/>
            <color indexed="81"/>
            <rFont val="Tahoma"/>
            <family val="2"/>
          </rPr>
          <t xml:space="preserve">
Sesiones de Control Politico</t>
        </r>
      </text>
    </comment>
    <comment ref="H106" authorId="0" shapeId="0" xr:uid="{685BF12F-B233-48E9-B457-060D0A758B93}">
      <text>
        <r>
          <rPr>
            <b/>
            <sz val="9"/>
            <color indexed="81"/>
            <rFont val="Tahoma"/>
            <family val="2"/>
          </rPr>
          <t>Paola Guevara:</t>
        </r>
        <r>
          <rPr>
            <sz val="9"/>
            <color indexed="81"/>
            <rFont val="Tahoma"/>
            <family val="2"/>
          </rPr>
          <t xml:space="preserve">
Cuantas actividades se realizaran en el 2022</t>
        </r>
      </text>
    </comment>
  </commentList>
</comments>
</file>

<file path=xl/sharedStrings.xml><?xml version="1.0" encoding="utf-8"?>
<sst xmlns="http://schemas.openxmlformats.org/spreadsheetml/2006/main" count="281" uniqueCount="139">
  <si>
    <t>SISTEMA DE GESTIÓN DE CALIDAD</t>
  </si>
  <si>
    <t xml:space="preserve">MAPA DE RIESGOS </t>
  </si>
  <si>
    <t>Página 1 de 1</t>
  </si>
  <si>
    <t>Proceso:</t>
  </si>
  <si>
    <t>Objetivo:</t>
  </si>
  <si>
    <t>Ejercer vigilancia y Control Político de la administración municipal de las actuaciones y operaciones administrativas del ejecutivo sus secretarios de despacho y entes descentralizados de conformidad con la normatividad aplicable.</t>
  </si>
  <si>
    <t>Alcance:</t>
  </si>
  <si>
    <t>Inicia con las proposiciones aprobadas en la sesión plenaria y/o en las sesiones de las comisiones permanentes y termina con la rendición del informe de control político.</t>
  </si>
  <si>
    <t>Identificación del riesgo</t>
  </si>
  <si>
    <t>Análisis del riesgo inherente</t>
  </si>
  <si>
    <t xml:space="preserve">Referencia </t>
  </si>
  <si>
    <t>Impacto</t>
  </si>
  <si>
    <t>Causa Inmediata</t>
  </si>
  <si>
    <t>Causa Raíz</t>
  </si>
  <si>
    <t>Descripción del Riesgo</t>
  </si>
  <si>
    <t>Clasificación del Riesgo</t>
  </si>
  <si>
    <t>Frecuencia con la cual se realiza la actividad</t>
  </si>
  <si>
    <t>Probabilidad Inherente</t>
  </si>
  <si>
    <t>%</t>
  </si>
  <si>
    <t>Criterios de impacto</t>
  </si>
  <si>
    <t>Observación de criterio</t>
  </si>
  <si>
    <t>Impacto 
Inherente</t>
  </si>
  <si>
    <t>Zona de Riesgo Inherente</t>
  </si>
  <si>
    <t>Reputacional</t>
  </si>
  <si>
    <t>La no ejecución del debate de Control Político.</t>
  </si>
  <si>
    <t>Debido a la falta de planeación para el desarrollo de los controles políticos.</t>
  </si>
  <si>
    <t>Posibilidad de afectación reputacional por la no ejecución del debate de Control Político debido a la , falta de planeación para el desarrollo de las sesiones de Control Político</t>
  </si>
  <si>
    <t>Ejecucion y Administracion de procesos</t>
  </si>
  <si>
    <t xml:space="preserve">     El riesgo afecta la imagen de de la entidad con efecto publicitario sostenido a nivel de sector administrativo, nivel departamental o municipal</t>
  </si>
  <si>
    <t>Debido al incumplimiento en la citación por parte del funcionario de la Administración Municipal</t>
  </si>
  <si>
    <t>Posibilidad de afectación reputacional por La no ejecución del debate de Control Político.debido al  incumplimiento en la citación por parte del funcionario de la Administración Municipal para el debate de Control Político.</t>
  </si>
  <si>
    <t xml:space="preserve">     El riesgo afecta la imagen de la entidad con algunos usuarios de relevancia frente al logro de los objetivos</t>
  </si>
  <si>
    <t xml:space="preserve">Desinformaciòn </t>
  </si>
  <si>
    <t>Posiblidad de afectación de imagen institucional por desinformación debido a no seguir y realizar seguimiento a los lineamientos de comunicación establecidos en el PECO</t>
  </si>
  <si>
    <t>Usuarios, productos y practicas , organizacionales</t>
  </si>
  <si>
    <t xml:space="preserve">Percepción de imagen institucional negativa ante la comunidad. </t>
  </si>
  <si>
    <t>Por no seguir y realizar seguimiento a los lineamientos de comunicaciòn establecidos en el PECO</t>
  </si>
  <si>
    <t>Moderado</t>
  </si>
  <si>
    <t xml:space="preserve">Por no articular las actividades de comunicación del PECO con las necesidades o temas de interés de la comunidad </t>
  </si>
  <si>
    <t>Posibilidad de afectación de la credibilidad institucional  por negativa percepción de la imagen institucional debido a no articular las actividades de comunicacion del PECO con la realidad de los grupos de valor</t>
  </si>
  <si>
    <t>Media</t>
  </si>
  <si>
    <t>Investigaciones de entes reguladores, quejas o quejas de los usuarios</t>
  </si>
  <si>
    <t>No Cumplimientos de los Planes Institucionales asociados a Tecnologias de la Información</t>
  </si>
  <si>
    <t xml:space="preserve"> No Cumplimientos de los Planes Institucionales asociados a Tecnologias de la Información</t>
  </si>
  <si>
    <t>Aumento de Incidentes de seguridad en la plataforma tecnológica y requerimientos de los usuarios internos.</t>
  </si>
  <si>
    <t>Debido a la gestión del Subsistema de Gestión de Seguridad de la Información fuera de los lineamientos procedimentales.</t>
  </si>
  <si>
    <t>Posibilidad de afectación reputacional por aumento de Incidentes de seguridad en la plataforma tecnológica por el acceso indebido a la red de datos, la información almacenada en los servidores es susceptible de ser accedida por hackers especializados para lucro personal o de terceros</t>
  </si>
  <si>
    <t>Fallas Tecnologicas</t>
  </si>
  <si>
    <t xml:space="preserve">     El riesgo afecta la imagen de alguna área de la organización</t>
  </si>
  <si>
    <t>Bajo</t>
  </si>
  <si>
    <t>CONTROL POLITICO</t>
  </si>
  <si>
    <t>COMUNICACIONES</t>
  </si>
  <si>
    <t>Incumplimiento de las metas establecidas en los planes institucionales</t>
  </si>
  <si>
    <t>No seguimiento al plan de accion y demas planes de manera oportuna</t>
  </si>
  <si>
    <t>Posibilidad de perdida reputacional por el no seguimiento  a las metas establecidas en los planes institucionales establecidos en el decreto 612 del 2018, e indicadores al plan de accion de manera oportuna.</t>
  </si>
  <si>
    <t>DIRECCIONAMIENTO</t>
  </si>
  <si>
    <t>TECNOLOGICAS</t>
  </si>
  <si>
    <t>Económico y Reputacional</t>
  </si>
  <si>
    <t>Sanciones de la contraloria, Archivo General de la Nación y quejas de usuarios internos y externos</t>
  </si>
  <si>
    <t>El riesgo se genera por la no ejecución del Programa de Gestión Documental del Concejo Municipal De Chía.</t>
  </si>
  <si>
    <t>Posibilidad de afectación económica y reputacional por  Sanciones de la contraloria, Archivo General de la Nación y quejas de usuarios internos y externos   debido a la no  ejecución del Programa de Gestión Documental del Concejo Municipal De Chía.</t>
  </si>
  <si>
    <t>DOCUMENTAL</t>
  </si>
  <si>
    <t>Medio</t>
  </si>
  <si>
    <t>Alta</t>
  </si>
  <si>
    <t>El no pago de los impuestos en las fechas establecidas.</t>
  </si>
  <si>
    <t>No tener claridad de las fechas de vencimiento.</t>
  </si>
  <si>
    <t>Posibilidad de afectación economica y reputacional por el no pago de los impuestos, debido a no tener claridad en las fechas de vencimiento.</t>
  </si>
  <si>
    <t xml:space="preserve">     Afectación menor a 10 SMLMV .</t>
  </si>
  <si>
    <t>Incumplimiento del procedimiento del no pago</t>
  </si>
  <si>
    <t>Falta de los requisitos legales y oportunidad de la presentación de la documentación.</t>
  </si>
  <si>
    <t>Posibilidad de afectación economica y reputacional por incumplimiento del procedimiento de pago, debido a la falta de los requisitos legales.</t>
  </si>
  <si>
    <t xml:space="preserve">     El riesgo afecta la imagen de la entidad internamente, de conocimiento general, nivel interno, de Mesa Directiva y /o de provedores</t>
  </si>
  <si>
    <t>Generar informes y estados financieros no razonables</t>
  </si>
  <si>
    <t>No reporte de informaciòn de hechos econòmicos  ocurridos en cualquier dependencia de la entidad</t>
  </si>
  <si>
    <t>Posibilidad de Pérdida Reputacional y económico por generar informes y estados financieros no razonables debido a No reporte de informaciòn de hechos econòmicos  ocurridos en cualquier dependencia de la entidad</t>
  </si>
  <si>
    <t>Baja</t>
  </si>
  <si>
    <t>Económico</t>
  </si>
  <si>
    <t>Inadecuado manejo de inventarios  de la entidad por no realizar conteo fisico de los elementos que se encuentran en bodega y confrontar con el informe arrojado por el aplicativo SINFA.</t>
  </si>
  <si>
    <t>Posibilidad de afectación económica por multa y sanción del ente regulador debido al Inadecuado manejo de inventarios  de la entidad por no realizar conteo fisico de los elementos que se encuentran en bodega y confrontar con el informe arrojado por el aplicativo SINFA</t>
  </si>
  <si>
    <t xml:space="preserve">     Entre 10 y 50 SMLMV </t>
  </si>
  <si>
    <t>Menor</t>
  </si>
  <si>
    <t>Traslado de bienes  sin la debida autorización o información</t>
  </si>
  <si>
    <t>Posibilidad de afectación reputacional  por investigacion y/o memorando del ente regulador debido a  Traslado de bienes  sin la debida autorización o información</t>
  </si>
  <si>
    <t xml:space="preserve">Investigaciòn por ente regulador. </t>
  </si>
  <si>
    <t>Error u omisión en la clasificación e identificación de los bienes  o elementos a dar de baja por obsoletos y/o inservibles.</t>
  </si>
  <si>
    <t>Posibilidad de afectación  economica y reputacional  por Investigaciòn por ente regulador debido  a  errores u omisión en la clasificación e identificación de los bienes  o elementos a dar de baja por obsoletos y/o inservibles.</t>
  </si>
  <si>
    <t>DIRECCION ADMINISTRATIVA Y FIN</t>
  </si>
  <si>
    <t>RIESGOS</t>
  </si>
  <si>
    <t>Inoportuna gestión del Plan Estratègico del Talento Humano</t>
  </si>
  <si>
    <t>Dificultades para el cumplimiento del Plan Estratègico de Talento humano debido a falta de recursos y  participacion funcionarios,.</t>
  </si>
  <si>
    <t>Posibilidad de afectacion reputacional  Inoportuna gestión del Plan Estratègico del Talento Humano debido aDificultades para el cumplimiento del Plan Estratègico de Talento humano debido a falta de recursos y  participacion funcionarios.</t>
  </si>
  <si>
    <t>No desarrollar las actividades propuestas del Plan de Trabajo de Seguridad y Salud en el Trabajo</t>
  </si>
  <si>
    <t>Falta de programacion de actividades de SST durante la vigencia para el cumplimiento de la normatividad legal vigente</t>
  </si>
  <si>
    <t>Posibilidad de afectacion reputacional  por incumplimiento de actividades  de SG-SST, debido a la falta de programacion de actividades de SST durante la vigencia que permita gartantizar el bienestar  de los Funcionarios</t>
  </si>
  <si>
    <t xml:space="preserve">     El riesgo afecta la imagen de la entidad internamente, de conocimiento general, nivel interno, de junta dircetiva y accionistas y/o de provedores</t>
  </si>
  <si>
    <t>TALENTO HUMANO</t>
  </si>
  <si>
    <t>Debido a la no ejecución de las Acciones Correctivas y las actividades programadas en los planes de mejoramiento suscritos.</t>
  </si>
  <si>
    <t>Posibles sanciones administrativas, penales, fiscales y disciplinarias por incumplimiento de las acciones correctivas y la ejecución de las actividades derivadas de los planes de mejoramiento establecidos para los responsables de los procesos del Concejo Municipal.</t>
  </si>
  <si>
    <t>Ejecución y Administración de procesos</t>
  </si>
  <si>
    <t>El riesgo afecta la función administrativa de la Corporación y a nivel externo afecta en el momento de atender auditorias externas con los entes de control o requerimientos de instancias administrativas como la Alcaldia Municipal.</t>
  </si>
  <si>
    <t>Inadecuada actualización, analisis y mejora del Sistema de Gestión de Calidad en la Corporación</t>
  </si>
  <si>
    <t xml:space="preserve">No aplicación del procedimiento de auditora interna especificamente en lo relacionado con el personal idoneo y competente para la actualizacion y mantenimiento del sistema de gestion de calidad, asi como el perfil del auditor y su  verificación. </t>
  </si>
  <si>
    <t>Deficiente mantenimiento y mejora del Sistema de gestión de calidad en la Corporación debido a la contratación de personal sin experiencia e idoneidad para actualizar el Sistema de Gestion de Calidad y ejecutar las auditorias internas.</t>
  </si>
  <si>
    <t xml:space="preserve">     El riesgo afecta directamente las funciones administrativas de la Corporacion ya que puede generar la perdida de la certificacion bajo la norma ISO 9001:2015 o en su defecto mantener un sistema que no le genera ningun valora agregado a la Corporacion.</t>
  </si>
  <si>
    <t>GESTION DE CALIDAD</t>
  </si>
  <si>
    <t>EVALUACION INDEPENDIENTE</t>
  </si>
  <si>
    <t>Por controversias contractuales</t>
  </si>
  <si>
    <t>Posibilidad de pèrdida economica por demandas y reclamaciones debido a controversias contractuales</t>
  </si>
  <si>
    <t xml:space="preserve">     Entre 50 y 100 SMLMV </t>
  </si>
  <si>
    <t>Posibilidad de afectaciòn economica por multa y sanciòn del ente regulador debido a la adquisiciòn de bienes y servicios sin el cumplimiento de los requisitos normativos</t>
  </si>
  <si>
    <t>Liquidaciòn de contratos fuera de los tèrminos normativos</t>
  </si>
  <si>
    <t>Posibilidad de afectaciòn economica y reputacional por multa y sanciòn del ente regulador, debido a la liquidaciòn de contratos fuera de los tèrminos normativos</t>
  </si>
  <si>
    <t>GESTION CONTRACTUAL</t>
  </si>
  <si>
    <t>Investigaciones administrativas, fiscales y judiciales</t>
  </si>
  <si>
    <t xml:space="preserve">Conceptos, Asesorias Juridicas y Expedición de actos administrativos fuera de los requisitos legales y procedimentales establecidos en la normatividad vigente. </t>
  </si>
  <si>
    <t>Posibilidad de afectación reputacional por investigaciones administrativas, fiscales y judiciales, debido a la expedición de actos administrativos fuera de los requisitos legales y procedimentales establecidos en la normatividad.</t>
  </si>
  <si>
    <t>GESTION JURIDICA</t>
  </si>
  <si>
    <t>Imagen negativa de la entidad ante sus grupos de valor.</t>
  </si>
  <si>
    <t xml:space="preserve">Posibilidad Imagen negativa de la entidad ante sus grupos de valor, debido a la falta de receptividad o insatisfacción de la comunidad de ChÍa y demas grupos de valor,  frente a la realización de los ejercicios de relacionamiento con la ciudadanía </t>
  </si>
  <si>
    <t>Investigaciones administrativas y disciplinarias</t>
  </si>
  <si>
    <t>Contestacion y/o respuestas fuera de los Términos Legales (Derechos de Petición, acciones de tutela, demandas y/o acciones)</t>
  </si>
  <si>
    <t>Posibilidad de afectación por Investigaciones administrativas y disciplinarias, por la Contestacion y/o respuestas fuera de los Términos Legales (Derechos de Petición, acciones de tutela, demandas y/o acciones)</t>
  </si>
  <si>
    <t>Sanciones Disciplinarias</t>
  </si>
  <si>
    <t xml:space="preserve">Debido al incumplimiento en el tramite con relación a los terminos establecidos en la normatividad vigente </t>
  </si>
  <si>
    <t>Posibilidad de afectación reputacional por sanciones disciplinarias debido al incumplimiento  en el trámite con relación a los terminos establecidos en la normatividad vigente.</t>
  </si>
  <si>
    <t>RELACIONAMIRNTO CIUDADANIA</t>
  </si>
  <si>
    <t>PROYECTOS DE ACUERDO</t>
  </si>
  <si>
    <t>Administrativo, disciplinario</t>
  </si>
  <si>
    <t>Perdida de la certificación de calidad bajo la norma ISO 9001;2015</t>
  </si>
  <si>
    <t>Incumplimiento de las Acciones correctivas y los planes de mejoramiento derivados de las auditorias del Sistema de Gestión de Calidad.</t>
  </si>
  <si>
    <t>Multa y sanción del ente regulador</t>
  </si>
  <si>
    <t>Investigacion y/o memorando del ente regulador</t>
  </si>
  <si>
    <t xml:space="preserve">Pérdida economica por demandas y reclamaciones </t>
  </si>
  <si>
    <t>Multa y sanción de ente regulador</t>
  </si>
  <si>
    <t>Adquisición de bienes y servicios sin el cummplimiento de los requisitos normativos</t>
  </si>
  <si>
    <t>Falta de receptividad o insatisfacción de la comunidad Chía y demas grupos de valor,  frente a los ejercicios de relacionamiento.</t>
  </si>
  <si>
    <r>
      <t xml:space="preserve">VERSIÓN: </t>
    </r>
    <r>
      <rPr>
        <sz val="11"/>
        <color rgb="FF000000"/>
        <rFont val="Arial"/>
        <family val="2"/>
      </rPr>
      <t>01</t>
    </r>
  </si>
  <si>
    <t>DIRECCIONAMIENTO ESTRATÉGICO</t>
  </si>
  <si>
    <r>
      <t xml:space="preserve">FECHA: </t>
    </r>
    <r>
      <rPr>
        <sz val="11"/>
        <color rgb="FF000000"/>
        <rFont val="Arial"/>
        <family val="2"/>
      </rPr>
      <t xml:space="preserve"> 29/01/2026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</si>
</sst>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Aptos Narrow"/>
      <family val="2"/>
      <scheme val="minor"/>
    </font>
    <font>
      <sz val="11"/>
      <name val="Arial"/>
      <family val="2"/>
    </font>
    <font>
      <b/>
      <sz val="11"/>
      <color rgb="FF000000"/>
      <name val="Arial"/>
      <family val="2"/>
    </font>
    <font>
      <b/>
      <sz val="11"/>
      <color theme="1"/>
      <name val="Arial"/>
      <family val="2"/>
    </font>
    <font>
      <sz val="11"/>
      <color rgb="FF000000"/>
      <name val="Arial"/>
      <family val="2"/>
    </font>
    <font>
      <b/>
      <sz val="9"/>
      <color indexed="81"/>
      <name val="Tahoma"/>
      <family val="2"/>
    </font>
    <font>
      <sz val="9"/>
      <color indexed="81"/>
      <name val="Tahoma"/>
      <family val="2"/>
    </font>
    <font>
      <sz val="11"/>
      <color theme="1"/>
      <name val="Arial"/>
      <family val="2"/>
    </font>
    <font>
      <sz val="10"/>
      <color theme="1"/>
      <name val="Aptos Narrow"/>
      <family val="2"/>
      <scheme val="minor"/>
    </font>
    <font>
      <sz val="10"/>
      <name val="Arial"/>
      <family val="2"/>
    </font>
    <font>
      <sz val="12"/>
      <name val="Times New Roman"/>
      <family val="1"/>
    </font>
  </fonts>
  <fills count="15">
    <fill>
      <patternFill patternType="none"/>
    </fill>
    <fill>
      <patternFill patternType="gray125"/>
    </fill>
    <fill>
      <patternFill patternType="solid">
        <fgColor theme="0"/>
        <bgColor rgb="FF92D050"/>
      </patternFill>
    </fill>
    <fill>
      <patternFill patternType="solid">
        <fgColor theme="0"/>
        <bgColor indexed="64"/>
      </patternFill>
    </fill>
    <fill>
      <patternFill patternType="solid">
        <fgColor theme="0"/>
        <bgColor theme="0"/>
      </patternFill>
    </fill>
    <fill>
      <patternFill patternType="solid">
        <fgColor rgb="FFF2F2F2"/>
        <bgColor rgb="FFF2F2F2"/>
      </patternFill>
    </fill>
    <fill>
      <patternFill patternType="solid">
        <fgColor theme="0"/>
        <bgColor theme="6"/>
      </patternFill>
    </fill>
    <fill>
      <patternFill patternType="solid">
        <fgColor rgb="FFD8D8D8"/>
        <bgColor rgb="FFD8D8D8"/>
      </patternFill>
    </fill>
    <fill>
      <patternFill patternType="solid">
        <fgColor rgb="FFFFFF66"/>
        <bgColor indexed="64"/>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rgb="FF92D050"/>
        <bgColor indexed="64"/>
      </patternFill>
    </fill>
    <fill>
      <patternFill patternType="solid">
        <fgColor theme="6" tint="0.39997558519241921"/>
        <bgColor indexed="64"/>
      </patternFill>
    </fill>
    <fill>
      <patternFill patternType="solid">
        <fgColor rgb="FFFFC000"/>
        <bgColor indexed="64"/>
      </patternFill>
    </fill>
  </fills>
  <borders count="2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rgb="FF000000"/>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s>
  <cellStyleXfs count="16">
    <xf numFmtId="0" fontId="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9" fillId="0" borderId="0"/>
    <xf numFmtId="0" fontId="10" fillId="0" borderId="0"/>
    <xf numFmtId="0" fontId="8" fillId="0" borderId="0"/>
    <xf numFmtId="0" fontId="7" fillId="0" borderId="0"/>
    <xf numFmtId="0" fontId="7" fillId="0" borderId="0"/>
  </cellStyleXfs>
  <cellXfs count="165">
    <xf numFmtId="0" fontId="0" fillId="0" borderId="0" xfId="0"/>
    <xf numFmtId="0" fontId="0" fillId="0" borderId="12" xfId="0" applyBorder="1" applyAlignment="1">
      <alignment horizontal="center" vertical="center"/>
    </xf>
    <xf numFmtId="0" fontId="0" fillId="0" borderId="12" xfId="0" applyBorder="1" applyAlignment="1">
      <alignment horizontal="center" vertical="center" wrapText="1"/>
    </xf>
    <xf numFmtId="0" fontId="3" fillId="0" borderId="12" xfId="0" applyFont="1" applyBorder="1" applyAlignment="1">
      <alignment horizontal="center" vertical="center" wrapText="1"/>
    </xf>
    <xf numFmtId="9" fontId="0" fillId="0" borderId="12" xfId="0" applyNumberFormat="1" applyBorder="1" applyAlignment="1">
      <alignment horizontal="center" vertical="center" wrapText="1"/>
    </xf>
    <xf numFmtId="0" fontId="7" fillId="0" borderId="15" xfId="0" applyFont="1" applyBorder="1" applyAlignment="1" applyProtection="1">
      <alignment horizontal="center" vertical="center" wrapText="1"/>
      <protection locked="0"/>
    </xf>
    <xf numFmtId="0" fontId="7" fillId="0" borderId="15" xfId="0" applyFont="1" applyBorder="1" applyAlignment="1" applyProtection="1">
      <alignment horizontal="center" vertical="center"/>
      <protection locked="0"/>
    </xf>
    <xf numFmtId="9" fontId="7" fillId="0" borderId="15" xfId="0" applyNumberFormat="1" applyFont="1" applyBorder="1" applyAlignment="1" applyProtection="1">
      <alignment horizontal="center" vertical="center" wrapText="1"/>
      <protection hidden="1"/>
    </xf>
    <xf numFmtId="9" fontId="7" fillId="0" borderId="15" xfId="0" applyNumberFormat="1" applyFont="1" applyBorder="1" applyAlignment="1" applyProtection="1">
      <alignment horizontal="center" vertical="center" wrapText="1"/>
      <protection locked="0"/>
    </xf>
    <xf numFmtId="0" fontId="3" fillId="9" borderId="15" xfId="0" applyFont="1" applyFill="1" applyBorder="1" applyAlignment="1" applyProtection="1">
      <alignment horizontal="center" vertical="center" wrapText="1"/>
      <protection hidden="1"/>
    </xf>
    <xf numFmtId="0" fontId="3" fillId="9" borderId="15" xfId="0" applyFont="1" applyFill="1" applyBorder="1" applyAlignment="1" applyProtection="1">
      <alignment horizontal="center" vertical="center"/>
      <protection hidden="1"/>
    </xf>
    <xf numFmtId="0" fontId="3" fillId="9" borderId="12" xfId="0" applyFont="1" applyFill="1" applyBorder="1" applyAlignment="1">
      <alignment horizontal="center" vertical="center"/>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7" fillId="0" borderId="18" xfId="0" applyFont="1" applyBorder="1" applyAlignment="1">
      <alignment horizontal="center" vertical="center"/>
    </xf>
    <xf numFmtId="0" fontId="7" fillId="0" borderId="12" xfId="0" applyFont="1" applyBorder="1" applyAlignment="1">
      <alignment horizontal="center" vertical="center" wrapText="1"/>
    </xf>
    <xf numFmtId="0" fontId="3" fillId="14" borderId="12" xfId="0" applyFont="1" applyFill="1" applyBorder="1" applyAlignment="1">
      <alignment vertical="center"/>
    </xf>
    <xf numFmtId="0" fontId="3" fillId="14" borderId="12" xfId="0" applyFont="1" applyFill="1" applyBorder="1" applyAlignment="1">
      <alignment vertical="center" wrapText="1"/>
    </xf>
    <xf numFmtId="0" fontId="3" fillId="10" borderId="15" xfId="0" applyFont="1" applyFill="1" applyBorder="1" applyAlignment="1" applyProtection="1">
      <alignment horizontal="center" vertical="center" wrapText="1"/>
      <protection hidden="1"/>
    </xf>
    <xf numFmtId="0" fontId="0" fillId="0" borderId="15" xfId="0" applyBorder="1"/>
    <xf numFmtId="0" fontId="7" fillId="0" borderId="0" xfId="0" applyFont="1"/>
    <xf numFmtId="0" fontId="7" fillId="0" borderId="3" xfId="0" applyFont="1" applyBorder="1" applyAlignment="1">
      <alignment horizontal="center" vertical="center"/>
    </xf>
    <xf numFmtId="0" fontId="7" fillId="0" borderId="12" xfId="0" applyFont="1" applyBorder="1" applyAlignment="1">
      <alignment horizontal="center" vertical="center"/>
    </xf>
    <xf numFmtId="9" fontId="7" fillId="0" borderId="12" xfId="0" applyNumberFormat="1" applyFont="1" applyBorder="1" applyAlignment="1">
      <alignment horizontal="center" vertical="center" wrapText="1"/>
    </xf>
    <xf numFmtId="0" fontId="7" fillId="0" borderId="12" xfId="0" applyFont="1" applyBorder="1" applyAlignment="1">
      <alignment vertical="center" wrapText="1"/>
    </xf>
    <xf numFmtId="0" fontId="7" fillId="0" borderId="12" xfId="0" applyFont="1" applyBorder="1" applyAlignment="1">
      <alignment vertical="center"/>
    </xf>
    <xf numFmtId="9" fontId="7" fillId="0" borderId="12" xfId="0" applyNumberFormat="1" applyFont="1" applyBorder="1" applyAlignment="1">
      <alignment vertical="center" wrapText="1"/>
    </xf>
    <xf numFmtId="0" fontId="7" fillId="0" borderId="15" xfId="0" applyFont="1" applyBorder="1" applyAlignment="1" applyProtection="1">
      <alignment vertical="center" wrapText="1"/>
      <protection locked="0"/>
    </xf>
    <xf numFmtId="0" fontId="1" fillId="0" borderId="15" xfId="0" applyFont="1" applyBorder="1" applyAlignment="1" applyProtection="1">
      <alignment vertical="center" wrapText="1"/>
      <protection locked="0"/>
    </xf>
    <xf numFmtId="0" fontId="3" fillId="9" borderId="12" xfId="0" applyFont="1" applyFill="1" applyBorder="1" applyAlignment="1">
      <alignment horizontal="center" vertical="center" wrapText="1"/>
    </xf>
    <xf numFmtId="0" fontId="1" fillId="9" borderId="14" xfId="0" applyFont="1" applyFill="1" applyBorder="1"/>
    <xf numFmtId="0" fontId="1" fillId="9" borderId="13" xfId="0" applyFont="1" applyFill="1" applyBorder="1"/>
    <xf numFmtId="9" fontId="7" fillId="0" borderId="12" xfId="0" applyNumberFormat="1" applyFont="1" applyBorder="1" applyAlignment="1">
      <alignment horizontal="center" vertical="center" wrapText="1"/>
    </xf>
    <xf numFmtId="0" fontId="1" fillId="0" borderId="14" xfId="0" applyFont="1" applyBorder="1"/>
    <xf numFmtId="0" fontId="1" fillId="0" borderId="13" xfId="0" applyFont="1" applyBorder="1"/>
    <xf numFmtId="0" fontId="7" fillId="0" borderId="12" xfId="0" applyFont="1" applyBorder="1" applyAlignment="1">
      <alignment horizontal="center" vertical="center" wrapText="1"/>
    </xf>
    <xf numFmtId="0" fontId="7" fillId="0" borderId="12" xfId="0" applyFont="1" applyBorder="1" applyAlignment="1">
      <alignment vertical="center" wrapText="1"/>
    </xf>
    <xf numFmtId="0" fontId="7" fillId="0" borderId="12" xfId="0" applyFont="1" applyBorder="1" applyAlignment="1">
      <alignment horizontal="center" vertical="center"/>
    </xf>
    <xf numFmtId="0" fontId="3" fillId="0" borderId="12" xfId="0" applyFont="1" applyBorder="1" applyAlignment="1">
      <alignment horizontal="center" vertical="center" wrapText="1"/>
    </xf>
    <xf numFmtId="0" fontId="3" fillId="12" borderId="1" xfId="0" applyFont="1" applyFill="1" applyBorder="1" applyAlignment="1">
      <alignment horizontal="center" vertical="center"/>
    </xf>
    <xf numFmtId="0" fontId="1" fillId="12" borderId="4" xfId="0" applyFont="1" applyFill="1" applyBorder="1"/>
    <xf numFmtId="0" fontId="1" fillId="12" borderId="6" xfId="0" applyFont="1" applyFill="1" applyBorder="1"/>
    <xf numFmtId="0" fontId="3" fillId="0" borderId="12" xfId="0" applyFont="1" applyBorder="1" applyAlignment="1">
      <alignment horizontal="center" vertical="center"/>
    </xf>
    <xf numFmtId="0" fontId="7" fillId="0" borderId="3" xfId="0" applyFont="1" applyBorder="1" applyAlignment="1">
      <alignment horizontal="center" vertical="center"/>
    </xf>
    <xf numFmtId="0" fontId="1" fillId="0" borderId="5" xfId="0" applyFont="1" applyBorder="1"/>
    <xf numFmtId="0" fontId="1" fillId="0" borderId="8" xfId="0" applyFont="1" applyBorder="1"/>
    <xf numFmtId="0" fontId="7" fillId="0" borderId="12" xfId="0" applyFont="1" applyBorder="1" applyAlignment="1">
      <alignment horizontal="left" vertical="center" wrapText="1"/>
    </xf>
    <xf numFmtId="9" fontId="1" fillId="0" borderId="12" xfId="0" applyNumberFormat="1" applyFont="1" applyBorder="1" applyAlignment="1">
      <alignment horizontal="center" vertical="center" wrapText="1"/>
    </xf>
    <xf numFmtId="9" fontId="7" fillId="3" borderId="12" xfId="0" applyNumberFormat="1" applyFont="1" applyFill="1" applyBorder="1" applyAlignment="1">
      <alignment horizontal="center" vertical="center" wrapText="1"/>
    </xf>
    <xf numFmtId="0" fontId="1" fillId="3" borderId="14" xfId="0" applyFont="1" applyFill="1" applyBorder="1"/>
    <xf numFmtId="0" fontId="1" fillId="3" borderId="13" xfId="0" applyFont="1" applyFill="1" applyBorder="1"/>
    <xf numFmtId="0" fontId="3" fillId="3" borderId="12" xfId="0" applyFont="1" applyFill="1" applyBorder="1" applyAlignment="1">
      <alignment horizontal="center" vertical="center" wrapText="1"/>
    </xf>
    <xf numFmtId="0" fontId="7" fillId="3" borderId="3" xfId="0" applyFont="1" applyFill="1" applyBorder="1" applyAlignment="1">
      <alignment horizontal="center" vertical="center"/>
    </xf>
    <xf numFmtId="0" fontId="1" fillId="3" borderId="5" xfId="0" applyFont="1" applyFill="1" applyBorder="1"/>
    <xf numFmtId="0" fontId="1" fillId="3" borderId="8" xfId="0" applyFont="1" applyFill="1" applyBorder="1"/>
    <xf numFmtId="0" fontId="7" fillId="3" borderId="12" xfId="0" applyFont="1" applyFill="1" applyBorder="1" applyAlignment="1">
      <alignment horizontal="center" vertical="center" wrapText="1"/>
    </xf>
    <xf numFmtId="0" fontId="7" fillId="3" borderId="12" xfId="0" applyFont="1" applyFill="1" applyBorder="1" applyAlignment="1">
      <alignment vertical="center" wrapText="1"/>
    </xf>
    <xf numFmtId="0" fontId="7" fillId="3" borderId="12" xfId="0" applyFont="1" applyFill="1" applyBorder="1" applyAlignment="1">
      <alignment horizontal="center" vertical="center"/>
    </xf>
    <xf numFmtId="0" fontId="3" fillId="12" borderId="12" xfId="0" applyFont="1" applyFill="1" applyBorder="1" applyAlignment="1">
      <alignment horizontal="center" vertical="center" wrapText="1"/>
    </xf>
    <xf numFmtId="0" fontId="1" fillId="12" borderId="14" xfId="0" applyFont="1" applyFill="1" applyBorder="1"/>
    <xf numFmtId="0" fontId="1" fillId="12" borderId="13" xfId="0" applyFont="1" applyFill="1" applyBorder="1"/>
    <xf numFmtId="0" fontId="3" fillId="13" borderId="12" xfId="0" applyFont="1" applyFill="1" applyBorder="1" applyAlignment="1">
      <alignment horizontal="center" vertical="center"/>
    </xf>
    <xf numFmtId="0" fontId="1" fillId="13" borderId="14" xfId="0" applyFont="1" applyFill="1" applyBorder="1"/>
    <xf numFmtId="0" fontId="1" fillId="13" borderId="13" xfId="0" applyFont="1" applyFill="1" applyBorder="1"/>
    <xf numFmtId="0" fontId="3" fillId="9" borderId="12" xfId="0" applyFont="1" applyFill="1" applyBorder="1" applyAlignment="1">
      <alignment horizontal="center" vertical="center"/>
    </xf>
    <xf numFmtId="0" fontId="3" fillId="7" borderId="12" xfId="0" applyFont="1" applyFill="1" applyBorder="1" applyAlignment="1">
      <alignment horizontal="center" vertical="center" wrapText="1"/>
    </xf>
    <xf numFmtId="0" fontId="3" fillId="6" borderId="9" xfId="0" applyFont="1" applyFill="1" applyBorder="1" applyAlignment="1">
      <alignment horizontal="center" vertical="center"/>
    </xf>
    <xf numFmtId="0" fontId="1" fillId="3" borderId="10" xfId="0" applyFont="1" applyFill="1" applyBorder="1"/>
    <xf numFmtId="0" fontId="1" fillId="3" borderId="11" xfId="0" applyFont="1" applyFill="1" applyBorder="1"/>
    <xf numFmtId="0" fontId="3" fillId="7" borderId="9" xfId="0" applyFont="1" applyFill="1" applyBorder="1" applyAlignment="1">
      <alignment horizontal="center" vertical="center"/>
    </xf>
    <xf numFmtId="0" fontId="1" fillId="0" borderId="10" xfId="0" applyFont="1" applyBorder="1"/>
    <xf numFmtId="0" fontId="1" fillId="0" borderId="11" xfId="0" applyFont="1" applyBorder="1"/>
    <xf numFmtId="0" fontId="3" fillId="6" borderId="12" xfId="0" applyFont="1" applyFill="1" applyBorder="1" applyAlignment="1">
      <alignment horizontal="center" vertical="center" textRotation="90"/>
    </xf>
    <xf numFmtId="0" fontId="3" fillId="6" borderId="12" xfId="0" applyFont="1" applyFill="1" applyBorder="1" applyAlignment="1">
      <alignment horizontal="center" vertical="center"/>
    </xf>
    <xf numFmtId="0" fontId="3" fillId="6"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7" fillId="0" borderId="1" xfId="0" applyFont="1" applyBorder="1" applyAlignment="1">
      <alignment horizontal="center" vertical="center"/>
    </xf>
    <xf numFmtId="0" fontId="1" fillId="0" borderId="2" xfId="0" applyFont="1" applyBorder="1"/>
    <xf numFmtId="0" fontId="1" fillId="0" borderId="3" xfId="0" applyFont="1" applyBorder="1"/>
    <xf numFmtId="0" fontId="1" fillId="0" borderId="4" xfId="0" applyFont="1" applyBorder="1"/>
    <xf numFmtId="0" fontId="7" fillId="0" borderId="0" xfId="0" applyFont="1"/>
    <xf numFmtId="0" fontId="1" fillId="0" borderId="6" xfId="0" applyFont="1" applyBorder="1"/>
    <xf numFmtId="0" fontId="1" fillId="0" borderId="7" xfId="0" applyFont="1" applyBorder="1"/>
    <xf numFmtId="0" fontId="2" fillId="2" borderId="1" xfId="0" applyFont="1" applyFill="1" applyBorder="1" applyAlignment="1">
      <alignment horizontal="center" vertical="center" wrapText="1"/>
    </xf>
    <xf numFmtId="0" fontId="1" fillId="3" borderId="2" xfId="0" applyFont="1" applyFill="1" applyBorder="1"/>
    <xf numFmtId="0" fontId="1" fillId="3" borderId="3" xfId="0" applyFont="1" applyFill="1" applyBorder="1"/>
    <xf numFmtId="0" fontId="1" fillId="3" borderId="6" xfId="0" applyFont="1" applyFill="1" applyBorder="1"/>
    <xf numFmtId="0" fontId="1" fillId="3" borderId="7" xfId="0" applyFont="1" applyFill="1" applyBorder="1"/>
    <xf numFmtId="0" fontId="3" fillId="0" borderId="9" xfId="0" applyFont="1" applyBorder="1" applyAlignment="1">
      <alignment horizontal="center" vertical="center" wrapText="1"/>
    </xf>
    <xf numFmtId="0" fontId="2" fillId="0" borderId="9" xfId="0" applyFont="1" applyBorder="1" applyAlignment="1">
      <alignment horizontal="center" vertical="center" wrapText="1"/>
    </xf>
    <xf numFmtId="0" fontId="3" fillId="5" borderId="9" xfId="0" applyFont="1" applyFill="1" applyBorder="1" applyAlignment="1">
      <alignment horizontal="left" vertical="center"/>
    </xf>
    <xf numFmtId="0" fontId="7" fillId="4" borderId="9" xfId="0" applyFont="1" applyFill="1" applyBorder="1" applyAlignment="1">
      <alignment horizontal="left" vertical="center"/>
    </xf>
    <xf numFmtId="0" fontId="1" fillId="4" borderId="9" xfId="0" applyFont="1" applyFill="1" applyBorder="1" applyAlignment="1">
      <alignment horizontal="left" wrapText="1"/>
    </xf>
    <xf numFmtId="0" fontId="3" fillId="5" borderId="1" xfId="0" applyFont="1" applyFill="1" applyBorder="1" applyAlignment="1">
      <alignment horizontal="left" vertical="center"/>
    </xf>
    <xf numFmtId="0" fontId="1" fillId="4" borderId="1" xfId="0" applyFont="1" applyFill="1" applyBorder="1" applyAlignment="1">
      <alignment horizontal="left" vertical="center" wrapText="1"/>
    </xf>
    <xf numFmtId="9" fontId="7" fillId="0" borderId="15" xfId="0" applyNumberFormat="1" applyFont="1" applyBorder="1" applyAlignment="1" applyProtection="1">
      <alignment horizontal="center" vertical="center" wrapText="1"/>
      <protection hidden="1"/>
    </xf>
    <xf numFmtId="0" fontId="3" fillId="9" borderId="15" xfId="0" applyFont="1" applyFill="1" applyBorder="1" applyAlignment="1" applyProtection="1">
      <alignment horizontal="center" vertical="center"/>
      <protection hidden="1"/>
    </xf>
    <xf numFmtId="0" fontId="3" fillId="9" borderId="15" xfId="0" applyFont="1" applyFill="1" applyBorder="1" applyAlignment="1" applyProtection="1">
      <alignment horizontal="center" vertical="center" wrapText="1"/>
      <protection hidden="1"/>
    </xf>
    <xf numFmtId="0" fontId="7" fillId="0" borderId="18" xfId="0" applyFont="1" applyBorder="1" applyAlignment="1">
      <alignment horizontal="center" vertical="center"/>
    </xf>
    <xf numFmtId="0" fontId="7" fillId="0" borderId="15" xfId="0" applyFont="1" applyBorder="1" applyAlignment="1" applyProtection="1">
      <alignment horizontal="center" vertical="center" wrapText="1"/>
      <protection locked="0"/>
    </xf>
    <xf numFmtId="0" fontId="7" fillId="0" borderId="15" xfId="0" applyFont="1" applyBorder="1" applyAlignment="1" applyProtection="1">
      <alignment vertical="center" wrapText="1"/>
      <protection locked="0"/>
    </xf>
    <xf numFmtId="0" fontId="1" fillId="0" borderId="15" xfId="0" applyFont="1" applyBorder="1" applyAlignment="1" applyProtection="1">
      <alignment vertical="center" wrapText="1"/>
      <protection locked="0"/>
    </xf>
    <xf numFmtId="0" fontId="7" fillId="0" borderId="15" xfId="0" applyFont="1" applyBorder="1" applyAlignment="1" applyProtection="1">
      <alignment horizontal="center" vertical="center"/>
      <protection locked="0"/>
    </xf>
    <xf numFmtId="0" fontId="3" fillId="0" borderId="15" xfId="0" applyFont="1" applyBorder="1" applyAlignment="1" applyProtection="1">
      <alignment horizontal="center" vertical="center" wrapText="1"/>
      <protection hidden="1"/>
    </xf>
    <xf numFmtId="9" fontId="7" fillId="0" borderId="15" xfId="0" applyNumberFormat="1" applyFont="1" applyBorder="1" applyAlignment="1" applyProtection="1">
      <alignment horizontal="center" vertical="center" wrapText="1"/>
      <protection locked="0"/>
    </xf>
    <xf numFmtId="1" fontId="7" fillId="0" borderId="12" xfId="0" applyNumberFormat="1" applyFont="1" applyBorder="1" applyAlignment="1">
      <alignment horizontal="center" vertical="center"/>
    </xf>
    <xf numFmtId="0" fontId="3" fillId="0" borderId="15" xfId="0" applyFont="1" applyBorder="1" applyAlignment="1">
      <alignment horizontal="center" vertical="center" textRotation="90"/>
    </xf>
    <xf numFmtId="0" fontId="3" fillId="0" borderId="15" xfId="0" applyFont="1" applyBorder="1" applyAlignment="1">
      <alignment horizontal="center" textRotation="90"/>
    </xf>
    <xf numFmtId="0" fontId="4" fillId="0" borderId="5" xfId="0" applyFont="1" applyBorder="1" applyAlignment="1">
      <alignment horizontal="center" vertical="center" wrapText="1"/>
    </xf>
    <xf numFmtId="0" fontId="1" fillId="3" borderId="14" xfId="0" applyFont="1" applyFill="1" applyBorder="1" applyAlignment="1">
      <alignment vertical="center"/>
    </xf>
    <xf numFmtId="0" fontId="1" fillId="3" borderId="13" xfId="0" applyFont="1" applyFill="1" applyBorder="1" applyAlignment="1">
      <alignment vertical="center"/>
    </xf>
    <xf numFmtId="0" fontId="3" fillId="9" borderId="12" xfId="1" applyFont="1" applyFill="1" applyBorder="1" applyAlignment="1">
      <alignment horizontal="center" vertical="center"/>
    </xf>
    <xf numFmtId="0" fontId="1" fillId="9" borderId="14" xfId="1" applyFont="1" applyFill="1" applyBorder="1" applyAlignment="1">
      <alignment vertical="center"/>
    </xf>
    <xf numFmtId="0" fontId="1" fillId="9" borderId="13" xfId="1" applyFont="1" applyFill="1" applyBorder="1" applyAlignment="1">
      <alignment vertical="center"/>
    </xf>
    <xf numFmtId="0" fontId="7" fillId="0" borderId="3" xfId="1" applyBorder="1" applyAlignment="1">
      <alignment horizontal="center" vertical="top"/>
    </xf>
    <xf numFmtId="0" fontId="1" fillId="0" borderId="5" xfId="1" applyFont="1" applyBorder="1"/>
    <xf numFmtId="0" fontId="1" fillId="0" borderId="8" xfId="1" applyFont="1" applyBorder="1"/>
    <xf numFmtId="0" fontId="7" fillId="0" borderId="12" xfId="1" applyBorder="1" applyAlignment="1">
      <alignment horizontal="center" vertical="top" wrapText="1"/>
    </xf>
    <xf numFmtId="0" fontId="1" fillId="0" borderId="14" xfId="1" applyFont="1" applyBorder="1"/>
    <xf numFmtId="0" fontId="1" fillId="0" borderId="13" xfId="1" applyFont="1" applyBorder="1"/>
    <xf numFmtId="0" fontId="7" fillId="0" borderId="12" xfId="1" applyBorder="1" applyAlignment="1">
      <alignment vertical="top" wrapText="1"/>
    </xf>
    <xf numFmtId="0" fontId="3" fillId="9" borderId="12" xfId="1" applyFont="1" applyFill="1" applyBorder="1" applyAlignment="1">
      <alignment horizontal="center" vertical="center" wrapText="1"/>
    </xf>
    <xf numFmtId="9" fontId="7" fillId="0" borderId="12" xfId="1" applyNumberFormat="1" applyBorder="1" applyAlignment="1">
      <alignment horizontal="center" vertical="top" wrapText="1"/>
    </xf>
    <xf numFmtId="0" fontId="7" fillId="0" borderId="12" xfId="1" applyBorder="1" applyAlignment="1">
      <alignment horizontal="center" vertical="top"/>
    </xf>
    <xf numFmtId="0" fontId="3" fillId="13" borderId="12" xfId="0" applyFont="1" applyFill="1" applyBorder="1" applyAlignment="1">
      <alignment horizontal="center" vertical="center" wrapText="1"/>
    </xf>
    <xf numFmtId="0" fontId="7" fillId="0" borderId="14" xfId="0" applyFont="1" applyBorder="1" applyAlignment="1">
      <alignment horizontal="center" vertical="center" wrapText="1"/>
    </xf>
    <xf numFmtId="0" fontId="7" fillId="0" borderId="14" xfId="0" applyFont="1" applyBorder="1" applyAlignment="1">
      <alignment horizontal="center" vertical="center"/>
    </xf>
    <xf numFmtId="0" fontId="7" fillId="0" borderId="14" xfId="0" applyFont="1" applyBorder="1" applyAlignment="1">
      <alignment vertical="center" wrapText="1"/>
    </xf>
    <xf numFmtId="0" fontId="3" fillId="0" borderId="14" xfId="0" applyFont="1" applyBorder="1" applyAlignment="1">
      <alignment horizontal="center" vertical="center" wrapText="1"/>
    </xf>
    <xf numFmtId="9" fontId="7" fillId="0" borderId="14" xfId="0" applyNumberFormat="1" applyFont="1" applyBorder="1" applyAlignment="1">
      <alignment horizontal="center" vertical="center" wrapText="1"/>
    </xf>
    <xf numFmtId="0" fontId="3" fillId="0" borderId="14" xfId="0" applyFont="1" applyBorder="1" applyAlignment="1">
      <alignment horizontal="center" vertical="center"/>
    </xf>
    <xf numFmtId="0" fontId="3" fillId="0" borderId="19" xfId="0" applyFont="1" applyBorder="1" applyAlignment="1">
      <alignment horizontal="center" vertical="center" textRotation="90"/>
    </xf>
    <xf numFmtId="0" fontId="3" fillId="0" borderId="5" xfId="0" applyFont="1" applyBorder="1" applyAlignment="1">
      <alignment horizontal="center" vertical="center" textRotation="90"/>
    </xf>
    <xf numFmtId="0" fontId="3" fillId="10" borderId="15" xfId="0" applyFont="1" applyFill="1" applyBorder="1" applyAlignment="1" applyProtection="1">
      <alignment horizontal="center" vertical="center" wrapText="1"/>
      <protection hidden="1"/>
    </xf>
    <xf numFmtId="0" fontId="3" fillId="8" borderId="15" xfId="0" applyFont="1" applyFill="1" applyBorder="1" applyAlignment="1" applyProtection="1">
      <alignment horizontal="center" vertical="center" wrapText="1"/>
      <protection hidden="1"/>
    </xf>
    <xf numFmtId="0" fontId="7" fillId="0" borderId="15" xfId="0" applyFont="1" applyBorder="1" applyAlignment="1">
      <alignment horizontal="center" vertical="center"/>
    </xf>
    <xf numFmtId="0" fontId="1" fillId="0" borderId="15" xfId="0" applyFont="1" applyBorder="1" applyAlignment="1" applyProtection="1">
      <alignment horizontal="center" vertical="center"/>
      <protection locked="0"/>
    </xf>
    <xf numFmtId="0" fontId="3" fillId="0" borderId="17" xfId="0" applyFont="1" applyBorder="1" applyAlignment="1" applyProtection="1">
      <alignment horizontal="center" vertical="center" wrapText="1"/>
      <protection hidden="1"/>
    </xf>
    <xf numFmtId="0" fontId="3" fillId="0" borderId="20" xfId="0" applyFont="1" applyBorder="1" applyAlignment="1" applyProtection="1">
      <alignment horizontal="center" vertical="center" wrapText="1"/>
      <protection hidden="1"/>
    </xf>
    <xf numFmtId="0" fontId="3" fillId="0" borderId="15" xfId="0" applyFont="1" applyBorder="1" applyAlignment="1" applyProtection="1">
      <alignment horizontal="center" vertical="center"/>
      <protection hidden="1"/>
    </xf>
    <xf numFmtId="0" fontId="3" fillId="8" borderId="15" xfId="15" applyFont="1" applyFill="1" applyBorder="1" applyAlignment="1">
      <alignment horizontal="center" vertical="center"/>
    </xf>
    <xf numFmtId="0" fontId="1" fillId="8" borderId="15" xfId="15" applyFont="1" applyFill="1" applyBorder="1"/>
    <xf numFmtId="9" fontId="7" fillId="0" borderId="17" xfId="0" applyNumberFormat="1" applyFont="1" applyBorder="1" applyAlignment="1" applyProtection="1">
      <alignment horizontal="center" vertical="center" wrapText="1"/>
      <protection hidden="1"/>
    </xf>
    <xf numFmtId="0" fontId="3" fillId="8" borderId="15" xfId="0" applyFont="1" applyFill="1" applyBorder="1" applyAlignment="1" applyProtection="1">
      <alignment horizontal="center" vertical="center"/>
      <protection hidden="1"/>
    </xf>
    <xf numFmtId="0" fontId="3" fillId="8" borderId="17" xfId="0" applyFont="1" applyFill="1" applyBorder="1" applyAlignment="1" applyProtection="1">
      <alignment horizontal="center" vertical="center"/>
      <protection hidden="1"/>
    </xf>
    <xf numFmtId="0" fontId="7" fillId="0" borderId="17" xfId="0" applyFont="1" applyBorder="1" applyAlignment="1" applyProtection="1">
      <alignment horizontal="center" vertical="center" wrapText="1"/>
      <protection locked="0"/>
    </xf>
    <xf numFmtId="0" fontId="7" fillId="0" borderId="17" xfId="0" applyFont="1" applyBorder="1" applyAlignment="1" applyProtection="1">
      <alignment horizontal="center" vertical="center"/>
      <protection locked="0"/>
    </xf>
    <xf numFmtId="9" fontId="7" fillId="0" borderId="17" xfId="0" applyNumberFormat="1" applyFont="1" applyBorder="1" applyAlignment="1" applyProtection="1">
      <alignment horizontal="center" vertical="center" wrapText="1"/>
      <protection locked="0"/>
    </xf>
    <xf numFmtId="0" fontId="3" fillId="0" borderId="21" xfId="0" applyFont="1" applyBorder="1" applyAlignment="1">
      <alignment horizontal="center" vertical="center" textRotation="90"/>
    </xf>
    <xf numFmtId="0" fontId="3" fillId="0" borderId="16" xfId="0" applyFont="1" applyBorder="1" applyAlignment="1">
      <alignment horizontal="center" vertical="center" textRotation="90"/>
    </xf>
    <xf numFmtId="0" fontId="7" fillId="0" borderId="15" xfId="15" applyBorder="1" applyAlignment="1">
      <alignment horizontal="center" vertical="center"/>
    </xf>
    <xf numFmtId="0" fontId="1" fillId="0" borderId="15" xfId="15" applyFont="1" applyBorder="1"/>
    <xf numFmtId="9" fontId="7" fillId="0" borderId="15" xfId="15" applyNumberFormat="1" applyBorder="1" applyAlignment="1">
      <alignment horizontal="center" vertical="center" wrapText="1"/>
    </xf>
    <xf numFmtId="0" fontId="3" fillId="8" borderId="15" xfId="15" applyFont="1" applyFill="1" applyBorder="1" applyAlignment="1">
      <alignment horizontal="center" vertical="center" wrapText="1"/>
    </xf>
    <xf numFmtId="0" fontId="7" fillId="0" borderId="15" xfId="15" applyBorder="1" applyAlignment="1">
      <alignment horizontal="center" vertical="center" wrapText="1"/>
    </xf>
    <xf numFmtId="0" fontId="7" fillId="0" borderId="15" xfId="15" applyBorder="1" applyAlignment="1">
      <alignment vertical="center" wrapText="1"/>
    </xf>
    <xf numFmtId="0" fontId="3" fillId="9" borderId="15" xfId="15" applyFont="1" applyFill="1" applyBorder="1" applyAlignment="1">
      <alignment horizontal="center" vertical="center" wrapText="1"/>
    </xf>
    <xf numFmtId="0" fontId="1" fillId="9" borderId="15" xfId="15" applyFont="1" applyFill="1" applyBorder="1"/>
    <xf numFmtId="0" fontId="7" fillId="0" borderId="17" xfId="0" applyFont="1" applyBorder="1" applyAlignment="1">
      <alignment horizontal="center" vertical="center"/>
    </xf>
    <xf numFmtId="0" fontId="7" fillId="0" borderId="17" xfId="0" applyFont="1" applyBorder="1" applyAlignment="1" applyProtection="1">
      <alignment vertical="center" wrapText="1"/>
      <protection locked="0"/>
    </xf>
    <xf numFmtId="0" fontId="1" fillId="0" borderId="17" xfId="0" applyFont="1" applyBorder="1" applyAlignment="1" applyProtection="1">
      <alignment vertical="center" wrapText="1"/>
      <protection locked="0"/>
    </xf>
    <xf numFmtId="0" fontId="0" fillId="0" borderId="12" xfId="0" applyBorder="1" applyAlignment="1">
      <alignment horizontal="center" vertical="center" wrapText="1"/>
    </xf>
    <xf numFmtId="0" fontId="0" fillId="0" borderId="5" xfId="0" applyBorder="1" applyAlignment="1">
      <alignment horizontal="center"/>
    </xf>
    <xf numFmtId="0" fontId="0" fillId="0" borderId="12" xfId="0" applyBorder="1" applyAlignment="1">
      <alignment horizontal="center" vertical="center"/>
    </xf>
    <xf numFmtId="9" fontId="0" fillId="0" borderId="12" xfId="0" applyNumberFormat="1" applyBorder="1" applyAlignment="1">
      <alignment horizontal="center" vertical="center" wrapText="1"/>
    </xf>
  </cellXfs>
  <cellStyles count="16">
    <cellStyle name="Normal" xfId="0" builtinId="0"/>
    <cellStyle name="Normal - Style1 2" xfId="11" xr:uid="{3D4B2FEC-32D9-4635-915F-DE66D5219B10}"/>
    <cellStyle name="Normal 2" xfId="1" xr:uid="{28A5B09A-455B-4498-9001-1001C446A170}"/>
    <cellStyle name="Normal 2 2" xfId="12" xr:uid="{D2B3A362-C32D-4863-BA5F-8DC1A169DCC4}"/>
    <cellStyle name="Normal 2 3" xfId="13" xr:uid="{F8E51C49-F1E1-4173-BD63-83BA76260C91}"/>
    <cellStyle name="Normal 3" xfId="2" xr:uid="{DA205108-06F5-4056-88CA-C40A75448DA3}"/>
    <cellStyle name="Normal 3 2" xfId="7" xr:uid="{34A76BEE-2E66-4EAD-B156-FFAF1BCC2CEB}"/>
    <cellStyle name="Normal 4" xfId="3" xr:uid="{F34FC20A-E5A4-429A-8F80-AFBA8433553F}"/>
    <cellStyle name="Normal 4 2" xfId="8" xr:uid="{DB37966A-12A5-4DE6-9757-581043D02CE7}"/>
    <cellStyle name="Normal 5" xfId="4" xr:uid="{CBDB291E-5A8E-494F-9393-1999D4AD798F}"/>
    <cellStyle name="Normal 5 2" xfId="9" xr:uid="{407CFE91-C0E1-4B35-A615-B9935889ADDD}"/>
    <cellStyle name="Normal 6" xfId="5" xr:uid="{07B0FC19-FD8C-4ABD-9B1F-BDDE19AF62D1}"/>
    <cellStyle name="Normal 6 2" xfId="10" xr:uid="{29F74683-3DB4-466D-87B4-D18CD60C4B71}"/>
    <cellStyle name="Normal 7" xfId="6" xr:uid="{27145158-C2F5-4142-AE35-D2857147F071}"/>
    <cellStyle name="Normal 8" xfId="14" xr:uid="{8749A706-54EB-4BE3-A810-0527C9962C1F}"/>
    <cellStyle name="Normal 9" xfId="15" xr:uid="{1BC5706F-93D0-446E-B34E-88DBCD2C9618}"/>
  </cellStyles>
  <dxfs count="203">
    <dxf>
      <font>
        <color rgb="FF9C0006"/>
      </font>
      <fill>
        <patternFill patternType="solid">
          <fgColor rgb="FFFFC7CE"/>
          <bgColor rgb="FFFFC7CE"/>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FFC000"/>
        </patternFill>
      </fill>
    </dxf>
    <dxf>
      <font>
        <color auto="1"/>
      </font>
      <fill>
        <patternFill>
          <bgColor rgb="FF92D050"/>
        </patternFill>
      </fill>
    </dxf>
    <dxf>
      <fill>
        <patternFill>
          <bgColor rgb="FFFFFF66"/>
        </patternFill>
      </fill>
    </dxf>
    <dxf>
      <fill>
        <patternFill>
          <bgColor rgb="FFFF0000"/>
        </patternFill>
      </fill>
    </dxf>
    <dxf>
      <fill>
        <patternFill>
          <bgColor rgb="FF00B05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FFFF00"/>
          <bgColor rgb="FFFFFF00"/>
        </patternFill>
      </fill>
    </dxf>
    <dxf>
      <fill>
        <patternFill patternType="solid">
          <fgColor rgb="FFE36C09"/>
          <bgColor rgb="FFE36C09"/>
        </patternFill>
      </fill>
    </dxf>
    <dxf>
      <fill>
        <patternFill patternType="solid">
          <fgColor rgb="FF92D050"/>
          <bgColor rgb="FF92D050"/>
        </patternFill>
      </fill>
    </dxf>
    <dxf>
      <fill>
        <patternFill patternType="solid">
          <fgColor rgb="FFC00000"/>
          <bgColor rgb="FFC00000"/>
        </patternFill>
      </fill>
    </dxf>
    <dxf>
      <fill>
        <patternFill patternType="solid">
          <fgColor rgb="FFFFFF00"/>
          <bgColor rgb="FFFFFF00"/>
        </patternFill>
      </fill>
    </dxf>
    <dxf>
      <fill>
        <patternFill patternType="solid">
          <fgColor rgb="FF92D050"/>
          <bgColor rgb="FF92D050"/>
        </patternFill>
      </fill>
    </dxf>
    <dxf>
      <fill>
        <patternFill patternType="solid">
          <fgColor rgb="FFC00000"/>
          <bgColor rgb="FFC00000"/>
        </patternFill>
      </fill>
    </dxf>
    <dxf>
      <fill>
        <patternFill patternType="solid">
          <fgColor rgb="FFE36C09"/>
          <bgColor rgb="FFE36C09"/>
        </patternFill>
      </fill>
    </dxf>
    <dxf>
      <fill>
        <patternFill patternType="solid">
          <fgColor rgb="FFE36C09"/>
          <bgColor rgb="FFE36C09"/>
        </patternFill>
      </fill>
    </dxf>
    <dxf>
      <fill>
        <patternFill patternType="solid">
          <fgColor rgb="FF92D050"/>
          <bgColor rgb="FF92D050"/>
        </patternFill>
      </fill>
    </dxf>
    <dxf>
      <fill>
        <patternFill patternType="solid">
          <fgColor rgb="FFC00000"/>
          <bgColor rgb="FFC00000"/>
        </patternFill>
      </fill>
    </dxf>
    <dxf>
      <fill>
        <patternFill patternType="solid">
          <fgColor rgb="FFFFFF00"/>
          <bgColor rgb="FFFFFF0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66"/>
          <bgColor rgb="FFFFFF66"/>
        </patternFill>
      </fill>
    </dxf>
    <dxf>
      <fill>
        <patternFill patternType="solid">
          <fgColor rgb="FFFF0000"/>
          <bgColor rgb="FFFF0000"/>
        </patternFill>
      </fill>
    </dxf>
    <dxf>
      <fill>
        <patternFill patternType="solid">
          <fgColor rgb="FFFFC000"/>
          <bgColor rgb="FFFFC000"/>
        </patternFill>
      </fill>
    </dxf>
    <dxf>
      <fill>
        <patternFill patternType="solid">
          <fgColor rgb="FF00B050"/>
          <bgColor rgb="FF00B050"/>
        </patternFill>
      </fill>
    </dxf>
    <dxf>
      <fill>
        <patternFill patternType="solid">
          <fgColor rgb="FF92D050"/>
          <bgColor rgb="FF92D050"/>
        </patternFill>
      </fill>
    </dxf>
    <dxf>
      <fill>
        <patternFill patternType="solid">
          <fgColor rgb="FFE36C09"/>
          <bgColor rgb="FFE36C09"/>
        </patternFill>
      </fill>
    </dxf>
    <dxf>
      <fill>
        <patternFill patternType="solid">
          <fgColor rgb="FFC00000"/>
          <bgColor rgb="FFC00000"/>
        </patternFill>
      </fill>
    </dxf>
    <dxf>
      <fill>
        <patternFill patternType="solid">
          <fgColor rgb="FFFFFF00"/>
          <bgColor rgb="FFFFFF00"/>
        </patternFill>
      </fill>
    </dxf>
    <dxf>
      <fill>
        <patternFill patternType="solid">
          <fgColor rgb="FF92D050"/>
          <bgColor rgb="FF92D050"/>
        </patternFill>
      </fill>
    </dxf>
    <dxf>
      <fill>
        <patternFill>
          <bgColor rgb="FFFFFF00"/>
        </patternFill>
      </fill>
    </dxf>
    <dxf>
      <fill>
        <patternFill>
          <bgColor rgb="FF92D050"/>
        </patternFill>
      </fill>
    </dxf>
    <dxf>
      <fill>
        <patternFill>
          <bgColor theme="9" tint="-0.24994659260841701"/>
        </patternFill>
      </fill>
    </dxf>
    <dxf>
      <fill>
        <patternFill>
          <bgColor rgb="FFC00000"/>
        </patternFill>
      </fill>
    </dxf>
    <dxf>
      <fill>
        <patternFill>
          <bgColor rgb="FF92D050"/>
        </patternFill>
      </fill>
    </dxf>
    <dxf>
      <fill>
        <patternFill>
          <bgColor theme="9" tint="-0.24994659260841701"/>
        </patternFill>
      </fill>
    </dxf>
    <dxf>
      <fill>
        <patternFill>
          <bgColor rgb="FFFFFF00"/>
        </patternFill>
      </fill>
    </dxf>
    <dxf>
      <fill>
        <patternFill>
          <bgColor rgb="FFC00000"/>
        </patternFill>
      </fill>
    </dxf>
    <dxf>
      <fill>
        <patternFill patternType="solid">
          <fgColor rgb="FFC00000"/>
          <bgColor rgb="FFC00000"/>
        </patternFill>
      </fill>
    </dxf>
    <dxf>
      <fill>
        <patternFill patternType="solid">
          <fgColor rgb="FFE36C09"/>
          <bgColor rgb="FFE36C09"/>
        </patternFill>
      </fill>
    </dxf>
    <dxf>
      <fill>
        <patternFill patternType="solid">
          <fgColor rgb="FFFFFF00"/>
          <bgColor rgb="FFFFFF00"/>
        </patternFill>
      </fill>
    </dxf>
    <dxf>
      <fill>
        <patternFill patternType="solid">
          <fgColor rgb="FF92D050"/>
          <bgColor rgb="FF92D050"/>
        </patternFill>
      </fill>
    </dxf>
    <dxf>
      <fill>
        <patternFill patternType="solid">
          <fgColor rgb="FFC00000"/>
          <bgColor rgb="FFC00000"/>
        </patternFill>
      </fill>
    </dxf>
    <dxf>
      <fill>
        <patternFill patternType="solid">
          <fgColor rgb="FFE36C09"/>
          <bgColor rgb="FFE36C09"/>
        </patternFill>
      </fill>
    </dxf>
    <dxf>
      <fill>
        <patternFill patternType="solid">
          <fgColor rgb="FFFFFF00"/>
          <bgColor rgb="FFFFFF00"/>
        </patternFill>
      </fill>
    </dxf>
    <dxf>
      <fill>
        <patternFill patternType="solid">
          <fgColor rgb="FF92D050"/>
          <bgColor rgb="FF92D050"/>
        </patternFill>
      </fill>
    </dxf>
    <dxf>
      <fill>
        <patternFill>
          <bgColor rgb="FFFFC000"/>
        </patternFill>
      </fill>
    </dxf>
    <dxf>
      <fill>
        <patternFill>
          <bgColor rgb="FFFFFF66"/>
        </patternFill>
      </fill>
    </dxf>
    <dxf>
      <fill>
        <patternFill>
          <bgColor rgb="FF00B050"/>
        </patternFill>
      </fill>
    </dxf>
    <dxf>
      <font>
        <color auto="1"/>
      </font>
      <fill>
        <patternFill>
          <bgColor rgb="FF92D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66"/>
        </patternFill>
      </fill>
    </dxf>
    <dxf>
      <font>
        <color auto="1"/>
      </font>
      <fill>
        <patternFill>
          <bgColor rgb="FF92D050"/>
        </patternFill>
      </fill>
    </dxf>
    <dxf>
      <fill>
        <patternFill patternType="solid">
          <fgColor rgb="FFFFFF66"/>
          <bgColor rgb="FFFFFF66"/>
        </patternFill>
      </fill>
    </dxf>
    <dxf>
      <fill>
        <patternFill patternType="solid">
          <fgColor rgb="FF00B050"/>
          <bgColor rgb="FF00B05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FFFF66"/>
          <bgColor rgb="FFFFFF66"/>
        </patternFill>
      </fill>
    </dxf>
    <dxf>
      <fill>
        <patternFill patternType="solid">
          <fgColor rgb="FF00B050"/>
          <bgColor rgb="FF00B050"/>
        </patternFill>
      </fill>
    </dxf>
    <dxf>
      <fill>
        <patternFill patternType="solid">
          <fgColor rgb="FF92D050"/>
          <bgColor rgb="FF92D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0000"/>
          <bgColor rgb="FFFF0000"/>
        </patternFill>
      </fill>
    </dxf>
    <dxf>
      <fill>
        <patternFill patternType="solid">
          <fgColor rgb="FFFFC000"/>
          <bgColor rgb="FFFFC000"/>
        </patternFill>
      </fill>
    </dxf>
    <dxf>
      <fill>
        <patternFill patternType="solid">
          <fgColor rgb="FFFFFF66"/>
          <bgColor rgb="FFFFFF66"/>
        </patternFill>
      </fill>
    </dxf>
    <dxf>
      <fill>
        <patternFill patternType="solid">
          <fgColor rgb="FF00B050"/>
          <bgColor rgb="FF00B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FF66"/>
          <bgColor rgb="FFFFFF66"/>
        </patternFill>
      </fill>
    </dxf>
    <dxf>
      <fill>
        <patternFill patternType="solid">
          <fgColor rgb="FF00B050"/>
          <bgColor rgb="FF00B05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FFFF66"/>
          <bgColor rgb="FFFFFF66"/>
        </patternFill>
      </fill>
    </dxf>
    <dxf>
      <fill>
        <patternFill patternType="solid">
          <fgColor rgb="FF92D050"/>
          <bgColor rgb="FF92D050"/>
        </patternFill>
      </fill>
    </dxf>
    <dxf>
      <font>
        <color rgb="FF9C0006"/>
      </font>
      <fill>
        <patternFill>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patternType="solid">
          <fgColor rgb="FFFFC7CE"/>
          <bgColor rgb="FFFFC7CE"/>
        </patternFill>
      </fill>
    </dxf>
    <dxf>
      <fill>
        <patternFill>
          <bgColor rgb="FFFFFF66"/>
        </patternFill>
      </fill>
    </dxf>
    <dxf>
      <fill>
        <patternFill>
          <bgColor rgb="FF00B050"/>
        </patternFill>
      </fill>
    </dxf>
    <dxf>
      <font>
        <color auto="1"/>
      </font>
      <fill>
        <patternFill>
          <bgColor rgb="FF92D050"/>
        </patternFill>
      </fill>
    </dxf>
    <dxf>
      <fill>
        <patternFill>
          <bgColor rgb="FFFF0000"/>
        </patternFill>
      </fill>
    </dxf>
    <dxf>
      <fill>
        <patternFill>
          <bgColor rgb="FFFFC000"/>
        </patternFill>
      </fill>
    </dxf>
    <dxf>
      <fill>
        <patternFill>
          <bgColor rgb="FFFFFF66"/>
        </patternFill>
      </fill>
    </dxf>
    <dxf>
      <font>
        <color auto="1"/>
      </font>
      <fill>
        <patternFill>
          <bgColor rgb="FF92D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66"/>
        </patternFill>
      </fill>
    </dxf>
    <dxf>
      <fill>
        <patternFill>
          <bgColor rgb="FF00B050"/>
        </patternFill>
      </fill>
    </dxf>
    <dxf>
      <font>
        <color auto="1"/>
      </font>
      <fill>
        <patternFill>
          <bgColor rgb="FF92D050"/>
        </patternFill>
      </fill>
    </dxf>
    <dxf>
      <fill>
        <patternFill>
          <bgColor rgb="FFFF0000"/>
        </patternFill>
      </fill>
    </dxf>
    <dxf>
      <fill>
        <patternFill patternType="solid">
          <fgColor rgb="FF00B050"/>
          <bgColor rgb="FF00B050"/>
        </patternFill>
      </fill>
    </dxf>
    <dxf>
      <fill>
        <patternFill patternType="solid">
          <fgColor rgb="FF92D050"/>
          <bgColor rgb="FF92D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0000"/>
          <bgColor rgb="FFFF0000"/>
        </patternFill>
      </fill>
    </dxf>
    <dxf>
      <fill>
        <patternFill patternType="solid">
          <fgColor rgb="FFFFC000"/>
          <bgColor rgb="FFFFC000"/>
        </patternFill>
      </fill>
    </dxf>
    <dxf>
      <fill>
        <patternFill patternType="solid">
          <fgColor rgb="FFFFFF66"/>
          <bgColor rgb="FFFFFF66"/>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0000"/>
          <bgColor rgb="FFFF0000"/>
        </patternFill>
      </fill>
    </dxf>
    <dxf>
      <fill>
        <patternFill patternType="solid">
          <fgColor rgb="FF00B050"/>
          <bgColor rgb="FF00B050"/>
        </patternFill>
      </fill>
    </dxf>
    <dxf>
      <fill>
        <patternFill patternType="solid">
          <fgColor rgb="FF92D050"/>
          <bgColor rgb="FF92D050"/>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FFFF66"/>
          <bgColor rgb="FFFFFF66"/>
        </patternFill>
      </fill>
    </dxf>
    <dxf>
      <fill>
        <patternFill patternType="solid">
          <fgColor rgb="FF00B050"/>
          <bgColor rgb="FF00B050"/>
        </patternFill>
      </fill>
    </dxf>
    <dxf>
      <fill>
        <patternFill patternType="solid">
          <fgColor rgb="FF92D050"/>
          <bgColor rgb="FF92D050"/>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00B050"/>
          <bgColor rgb="FF00B050"/>
        </patternFill>
      </fill>
    </dxf>
    <dxf>
      <fill>
        <patternFill patternType="solid">
          <fgColor rgb="FFFFFF66"/>
          <bgColor rgb="FFFFFF66"/>
        </patternFill>
      </fill>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FF66"/>
          <bgColor rgb="FFFFFF66"/>
        </patternFill>
      </fill>
    </dxf>
    <dxf>
      <fill>
        <patternFill patternType="solid">
          <fgColor rgb="FF00B050"/>
          <bgColor rgb="FF00B050"/>
        </patternFill>
      </fill>
    </dxf>
    <dxf>
      <fill>
        <patternFill patternType="solid">
          <fgColor rgb="FFFFFF66"/>
          <bgColor rgb="FFFFFF66"/>
        </patternFill>
      </fill>
    </dxf>
    <dxf>
      <fill>
        <patternFill patternType="solid">
          <fgColor rgb="FFFF0000"/>
          <bgColor rgb="FFFF0000"/>
        </patternFill>
      </fill>
    </dxf>
    <dxf>
      <fill>
        <patternFill patternType="solid">
          <fgColor rgb="FFFFC000"/>
          <bgColor rgb="FFFFC000"/>
        </patternFill>
      </fill>
    </dxf>
    <dxf>
      <fill>
        <patternFill patternType="solid">
          <fgColor rgb="FF00B050"/>
          <bgColor rgb="FF00B050"/>
        </patternFill>
      </fill>
    </dxf>
    <dxf>
      <fill>
        <patternFill patternType="solid">
          <fgColor rgb="FF92D050"/>
          <bgColor rgb="FF92D050"/>
        </patternFill>
      </fill>
    </dxf>
    <dxf>
      <fill>
        <patternFill patternType="solid">
          <fgColor rgb="FFFFC000"/>
          <bgColor rgb="FFFFC000"/>
        </patternFill>
      </fill>
    </dxf>
    <dxf>
      <fill>
        <patternFill patternType="solid">
          <fgColor rgb="FFFFFF66"/>
          <bgColor rgb="FFFFFF66"/>
        </patternFill>
      </fill>
    </dxf>
    <dxf>
      <fill>
        <patternFill patternType="solid">
          <fgColor rgb="FF00B050"/>
          <bgColor rgb="FF00B050"/>
        </patternFill>
      </fill>
    </dxf>
    <dxf>
      <fill>
        <patternFill patternType="solid">
          <fgColor rgb="FFFF0000"/>
          <bgColor rgb="FFFF0000"/>
        </patternFill>
      </fill>
    </dxf>
    <dxf>
      <fill>
        <patternFill patternType="solid">
          <fgColor rgb="FF92D050"/>
          <bgColor rgb="FF92D050"/>
        </patternFill>
      </fill>
    </dxf>
    <dxf>
      <font>
        <color auto="1"/>
      </font>
      <fill>
        <patternFill>
          <bgColor rgb="FF92D050"/>
        </patternFill>
      </fill>
    </dxf>
    <dxf>
      <fill>
        <patternFill>
          <bgColor rgb="FFFF0000"/>
        </patternFill>
      </fill>
    </dxf>
    <dxf>
      <fill>
        <patternFill>
          <bgColor rgb="FFFFC000"/>
        </patternFill>
      </fill>
    </dxf>
    <dxf>
      <fill>
        <patternFill>
          <bgColor rgb="FFFFFF66"/>
        </patternFill>
      </fill>
    </dxf>
    <dxf>
      <fill>
        <patternFill>
          <bgColor rgb="FF00B05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defaultTableStyle="TableStyleMedium2" defaultPivotStyle="PivotStyleLight16">
    <tableStyle name="Tabla Impacto-style" pivot="0" count="3" xr9:uid="{24860DA4-F256-406D-AD5F-E7FD27105E27}">
      <tableStyleElement type="headerRow" dxfId="202"/>
      <tableStyleElement type="firstRowStripe" dxfId="201"/>
      <tableStyleElement type="secondRowStripe" dxfId="200"/>
    </tableStyle>
  </tableStyles>
  <colors>
    <mruColors>
      <color rgb="FFFFFF66"/>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276225</xdr:colOff>
      <xdr:row>0</xdr:row>
      <xdr:rowOff>51707</xdr:rowOff>
    </xdr:from>
    <xdr:to>
      <xdr:col>3</xdr:col>
      <xdr:colOff>922111</xdr:colOff>
      <xdr:row>4</xdr:row>
      <xdr:rowOff>72725</xdr:rowOff>
    </xdr:to>
    <xdr:pic>
      <xdr:nvPicPr>
        <xdr:cNvPr id="2" name="Imagen 1">
          <a:extLst>
            <a:ext uri="{FF2B5EF4-FFF2-40B4-BE49-F238E27FC236}">
              <a16:creationId xmlns:a16="http://schemas.microsoft.com/office/drawing/2014/main" id="{EE522E10-8CC7-4C44-8EB0-270F046E780C}"/>
            </a:ext>
          </a:extLst>
        </xdr:cNvPr>
        <xdr:cNvPicPr>
          <a:picLocks noChangeAspect="1"/>
        </xdr:cNvPicPr>
      </xdr:nvPicPr>
      <xdr:blipFill>
        <a:blip xmlns:r="http://schemas.openxmlformats.org/officeDocument/2006/relationships" r:embed="rId1"/>
        <a:stretch>
          <a:fillRect/>
        </a:stretch>
      </xdr:blipFill>
      <xdr:spPr>
        <a:xfrm>
          <a:off x="476250" y="51707"/>
          <a:ext cx="1969861" cy="78301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40.150\compartida\SGC%20CONCEJO%20CHIA%202025\6.%20Riesgos%20y%20oportunidades\Riesgos%20Control%20Pol&#237;tico\Matriz_mapa_riesgos%20Concejo%20de%20Ch&#237;a%20-%20Control%20Pol&#237;tico-%202024.xlsx" TargetMode="External"/><Relationship Id="rId1" Type="http://schemas.openxmlformats.org/officeDocument/2006/relationships/externalLinkPath" Target="file:///\\192.168.40.150\compartida\SGC%20CONCEJO%20CHIA%202025\6.%20Riesgos%20y%20oportunidades\Riesgos%20Control%20Pol&#237;tico\Matriz_mapa_riesgos%20Concejo%20de%20Ch&#237;a%20-%20Control%20Pol&#237;tico-%20202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192.168.40.150\compartida\SGC%20CONCEJO%20CHIA%202025\6.%20Riesgos\Riesgos%20Direccionamiento%20Estrat&#233;gico\Matriz_mapa_riesgos%20Concejo%20de%20Ch&#237;a%20DIRECCIONAMIENTO%202024.xlsx" TargetMode="External"/><Relationship Id="rId1" Type="http://schemas.openxmlformats.org/officeDocument/2006/relationships/externalLinkPath" Target="file:///\\192.168.40.150\compartida\SGC%20CONCEJO%20CHIA%202025\6.%20Riesgos%20y%20oportunidades\Riesgos%20Direccionamiento%20Estrat&#233;gico\Matriz_mapa_riesgos%20Concejo%20de%20Ch&#237;a%20DIRECCIONAMIENTO%202024.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192.168.40.150\compartida\SGC%20CONCEJO%20CHIA%202025\6.%20Riesgos%20y%20oportunidades\Riesgos%20Relacionamiento%20con%20la%20Ciudadan&#237;a\MATRIZ%20MAPA%20DE%20RIESGOS%20-%20RELACI&#211;NAMIENTO%20CON%20LA%20CIUDADAN&#205;A%202024.xlsx" TargetMode="External"/><Relationship Id="rId1" Type="http://schemas.openxmlformats.org/officeDocument/2006/relationships/externalLinkPath" Target="file:///\\192.168.40.150\compartida\SGC%20CONCEJO%20CHIA%202025\6.%20Riesgos%20y%20oportunidades\Riesgos%20Relacionamiento%20con%20la%20Ciudadan&#237;a\MATRIZ%20MAPA%20DE%20RIESGOS%20-%20RELACI&#211;NAMIENTO%20CON%20LA%20CIUDADAN&#205;A%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refreshError="1"/>
      <sheetData sheetId="1" refreshError="1"/>
      <sheetData sheetId="2" refreshError="1"/>
      <sheetData sheetId="3" refreshError="1"/>
      <sheetData sheetId="4" refreshError="1"/>
      <sheetData sheetId="5" refreshError="1">
        <row r="11">
          <cell r="C11" t="str">
            <v xml:space="preserve">     Afectación menor a 10 SMLMV .</v>
          </cell>
          <cell r="D11" t="str">
            <v xml:space="preserve">     El riesgo afecta la imagen de alguna área de la organización</v>
          </cell>
        </row>
        <row r="12">
          <cell r="C12" t="str">
            <v xml:space="preserve">     Entre 10 y 50 SMLMV </v>
          </cell>
          <cell r="D12" t="str">
            <v xml:space="preserve">     El riesgo afecta la imagen de la entidad internamente, de conocimiento general, nivel interno, de junta dircetiva y accionistas y/o de provedores</v>
          </cell>
        </row>
        <row r="13">
          <cell r="C13" t="str">
            <v xml:space="preserve">     Entre 50 y 100 SMLMV </v>
          </cell>
          <cell r="D13" t="str">
            <v xml:space="preserve">     El riesgo afecta la imagen de la entidad con algunos usuarios de relevancia frente al logro de los objetivos</v>
          </cell>
        </row>
        <row r="14">
          <cell r="C14" t="str">
            <v xml:space="preserve">     Entre 100 y 500 SMLMV </v>
          </cell>
          <cell r="D14" t="str">
            <v xml:space="preserve">     El riesgo afecta la imagen de de la entidad con efecto publicitario sostenido a nivel de sector administrativo, nivel departamental o municipal</v>
          </cell>
        </row>
        <row r="15">
          <cell r="C15" t="str">
            <v xml:space="preserve">     Mayor a 500 SMLMV </v>
          </cell>
          <cell r="D15" t="str">
            <v xml:space="preserve">     El riesgo afecta la imagen de la entidad a nivel nacional, con efecto publicitarios sostenible a nivel país</v>
          </cell>
        </row>
      </sheetData>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refreshError="1"/>
      <sheetData sheetId="1" refreshError="1"/>
      <sheetData sheetId="2" refreshError="1"/>
      <sheetData sheetId="3" refreshError="1"/>
      <sheetData sheetId="4" refreshError="1"/>
      <sheetData sheetId="5" refreshError="1">
        <row r="11">
          <cell r="C11" t="str">
            <v xml:space="preserve">     Afectación menor a 10 SMLMV .</v>
          </cell>
          <cell r="D11" t="str">
            <v xml:space="preserve">     El riesgo afecta la imagen de alguna área de la organización</v>
          </cell>
        </row>
        <row r="12">
          <cell r="C12" t="str">
            <v xml:space="preserve">     Entre 10 y 50 SMLMV </v>
          </cell>
          <cell r="D12" t="str">
            <v xml:space="preserve">     El riesgo afecta la imagen de la entidad internamente, de conocimiento general, nivel interno, de junta dircetiva y accionistas y/o de provedores</v>
          </cell>
        </row>
        <row r="13">
          <cell r="C13" t="str">
            <v xml:space="preserve">     Entre 50 y 100 SMLMV </v>
          </cell>
          <cell r="D13" t="str">
            <v xml:space="preserve">     El riesgo afecta la imagen de la entidad con algunos usuarios de relevancia frente al logro de los objetivos</v>
          </cell>
        </row>
        <row r="14">
          <cell r="C14" t="str">
            <v xml:space="preserve">     Entre 100 y 500 SMLMV </v>
          </cell>
          <cell r="D14" t="str">
            <v xml:space="preserve">     El riesgo afecta la imagen de de la entidad con efecto publicitario sostenido a nivel de sector administrativo, nivel departamental o municipal</v>
          </cell>
        </row>
        <row r="15">
          <cell r="C15" t="str">
            <v xml:space="preserve">     Mayor a 500 SMLMV </v>
          </cell>
          <cell r="D15" t="str">
            <v xml:space="preserve">     El riesgo afecta la imagen de la entidad a nivel nacional, con efecto publicitarios sostenible a nivel país</v>
          </cell>
        </row>
        <row r="221">
          <cell r="B221" t="str">
            <v>Criterios</v>
          </cell>
        </row>
        <row r="222">
          <cell r="B222" t="str">
            <v>Afectación Económica o presupuestal</v>
          </cell>
        </row>
        <row r="223">
          <cell r="B223" t="str">
            <v>Pérdida Reputacional</v>
          </cell>
          <cell r="F223" t="str">
            <v>❌</v>
          </cell>
        </row>
      </sheetData>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sheetData sheetId="1"/>
      <sheetData sheetId="2"/>
      <sheetData sheetId="3"/>
      <sheetData sheetId="4"/>
      <sheetData sheetId="5">
        <row r="11">
          <cell r="C11" t="str">
            <v xml:space="preserve">     Afectación menor a 10 SMLMV .</v>
          </cell>
          <cell r="D11" t="str">
            <v xml:space="preserve">     El riesgo afecta la imagen de alguna área de la organización</v>
          </cell>
        </row>
        <row r="12">
          <cell r="C12" t="str">
            <v xml:space="preserve">     Entre 10 y 50 SMLMV </v>
          </cell>
          <cell r="D12" t="str">
            <v xml:space="preserve">     El riesgo afecta la imagen de la entidad internamente, de conocimiento general, nivel interno, de junta dircetiva y accionistas y/o de provedores</v>
          </cell>
        </row>
        <row r="13">
          <cell r="C13" t="str">
            <v xml:space="preserve">     Entre 50 y 100 SMLMV </v>
          </cell>
          <cell r="D13" t="str">
            <v xml:space="preserve">     El riesgo afecta la imagen de la entidad con algunos usuarios de relevancia frente al logro de los objetivos</v>
          </cell>
        </row>
        <row r="14">
          <cell r="C14" t="str">
            <v xml:space="preserve">     Entre 100 y 500 SMLMV </v>
          </cell>
          <cell r="D14" t="str">
            <v xml:space="preserve">     El riesgo afecta la imagen de de la entidad con efecto publicitario sostenido a nivel de sector administrativo, nivel departamental o municipal</v>
          </cell>
        </row>
        <row r="15">
          <cell r="C15" t="str">
            <v xml:space="preserve">     Mayor a 500 SMLMV </v>
          </cell>
          <cell r="D15" t="str">
            <v xml:space="preserve">     El riesgo afecta la imagen de la entidad a nivel nacional, con efecto publicitarios sostenible a nivel país</v>
          </cell>
        </row>
      </sheetData>
      <sheetData sheetId="6"/>
      <sheetData sheetId="7"/>
      <sheetData sheetId="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C8469-31EA-4F48-A696-470CD865FF9E}">
  <dimension ref="A1:P117"/>
  <sheetViews>
    <sheetView tabSelected="1" topLeftCell="A34" workbookViewId="0">
      <selection activeCell="O37" sqref="O37"/>
    </sheetView>
  </sheetViews>
  <sheetFormatPr baseColWidth="10" defaultRowHeight="15" x14ac:dyDescent="0.25"/>
  <cols>
    <col min="1" max="1" width="3" customWidth="1"/>
    <col min="2" max="2" width="4.5703125" bestFit="1" customWidth="1"/>
    <col min="3" max="3" width="15.28515625" customWidth="1"/>
    <col min="4" max="4" width="16.42578125" customWidth="1"/>
    <col min="5" max="5" width="17.140625" customWidth="1"/>
    <col min="6" max="6" width="29" customWidth="1"/>
    <col min="7" max="7" width="17.85546875" customWidth="1"/>
    <col min="8" max="9" width="14.7109375" customWidth="1"/>
    <col min="10" max="10" width="7.85546875" customWidth="1"/>
    <col min="11" max="11" width="26.5703125" customWidth="1"/>
    <col min="12" max="12" width="20.7109375" customWidth="1"/>
    <col min="14" max="14" width="8" customWidth="1"/>
    <col min="16" max="16" width="4.42578125" customWidth="1"/>
  </cols>
  <sheetData>
    <row r="1" spans="1:15" x14ac:dyDescent="0.25">
      <c r="B1" s="76"/>
      <c r="C1" s="77"/>
      <c r="D1" s="78"/>
      <c r="E1" s="83" t="s">
        <v>0</v>
      </c>
      <c r="F1" s="84"/>
      <c r="G1" s="84"/>
      <c r="H1" s="84"/>
      <c r="I1" s="84"/>
      <c r="J1" s="84"/>
      <c r="K1" s="84"/>
      <c r="L1" s="84"/>
      <c r="M1" s="84"/>
      <c r="N1" s="84"/>
      <c r="O1" s="85"/>
    </row>
    <row r="2" spans="1:15" x14ac:dyDescent="0.25">
      <c r="B2" s="79"/>
      <c r="C2" s="80"/>
      <c r="D2" s="44"/>
      <c r="E2" s="86"/>
      <c r="F2" s="87"/>
      <c r="G2" s="87"/>
      <c r="H2" s="87"/>
      <c r="I2" s="87"/>
      <c r="J2" s="87"/>
      <c r="K2" s="87"/>
      <c r="L2" s="87"/>
      <c r="M2" s="87"/>
      <c r="N2" s="87"/>
      <c r="O2" s="54"/>
    </row>
    <row r="3" spans="1:15" x14ac:dyDescent="0.25">
      <c r="B3" s="79"/>
      <c r="C3" s="80"/>
      <c r="D3" s="44"/>
      <c r="E3" s="88" t="s">
        <v>137</v>
      </c>
      <c r="F3" s="70"/>
      <c r="G3" s="70"/>
      <c r="H3" s="70"/>
      <c r="I3" s="70"/>
      <c r="J3" s="70"/>
      <c r="K3" s="70"/>
      <c r="L3" s="70"/>
      <c r="M3" s="70"/>
      <c r="N3" s="70"/>
      <c r="O3" s="71"/>
    </row>
    <row r="4" spans="1:15" x14ac:dyDescent="0.25">
      <c r="B4" s="79"/>
      <c r="C4" s="80"/>
      <c r="D4" s="44"/>
      <c r="E4" s="88" t="s">
        <v>1</v>
      </c>
      <c r="F4" s="70"/>
      <c r="G4" s="70"/>
      <c r="H4" s="70"/>
      <c r="I4" s="70"/>
      <c r="J4" s="70"/>
      <c r="K4" s="70"/>
      <c r="L4" s="70"/>
      <c r="M4" s="70"/>
      <c r="N4" s="70"/>
      <c r="O4" s="71"/>
    </row>
    <row r="5" spans="1:15" x14ac:dyDescent="0.25">
      <c r="B5" s="81"/>
      <c r="C5" s="82"/>
      <c r="D5" s="45"/>
      <c r="E5" s="89" t="s">
        <v>136</v>
      </c>
      <c r="F5" s="70"/>
      <c r="G5" s="71"/>
      <c r="H5" s="89" t="s">
        <v>138</v>
      </c>
      <c r="I5" s="70"/>
      <c r="J5" s="71"/>
      <c r="K5" s="88" t="s">
        <v>2</v>
      </c>
      <c r="L5" s="70"/>
      <c r="M5" s="70"/>
      <c r="N5" s="70"/>
      <c r="O5" s="71"/>
    </row>
    <row r="6" spans="1:15" x14ac:dyDescent="0.25">
      <c r="B6" s="90" t="s">
        <v>3</v>
      </c>
      <c r="C6" s="71"/>
      <c r="D6" s="91" t="s">
        <v>87</v>
      </c>
      <c r="E6" s="70"/>
      <c r="F6" s="70"/>
      <c r="G6" s="70"/>
      <c r="H6" s="70"/>
      <c r="I6" s="70"/>
      <c r="J6" s="70"/>
      <c r="K6" s="70"/>
      <c r="L6" s="70"/>
      <c r="M6" s="70"/>
      <c r="N6" s="70"/>
      <c r="O6" s="71"/>
    </row>
    <row r="7" spans="1:15" ht="31.5" customHeight="1" x14ac:dyDescent="0.25">
      <c r="B7" s="90" t="s">
        <v>4</v>
      </c>
      <c r="C7" s="71"/>
      <c r="D7" s="92" t="s">
        <v>5</v>
      </c>
      <c r="E7" s="70"/>
      <c r="F7" s="70"/>
      <c r="G7" s="70"/>
      <c r="H7" s="70"/>
      <c r="I7" s="70"/>
      <c r="J7" s="70"/>
      <c r="K7" s="70"/>
      <c r="L7" s="70"/>
      <c r="M7" s="70"/>
      <c r="N7" s="70"/>
      <c r="O7" s="71"/>
    </row>
    <row r="8" spans="1:15" ht="31.5" customHeight="1" x14ac:dyDescent="0.25">
      <c r="B8" s="93" t="s">
        <v>6</v>
      </c>
      <c r="C8" s="78"/>
      <c r="D8" s="94" t="s">
        <v>7</v>
      </c>
      <c r="E8" s="77"/>
      <c r="F8" s="77"/>
      <c r="G8" s="77"/>
      <c r="H8" s="77"/>
      <c r="I8" s="77"/>
      <c r="J8" s="77"/>
      <c r="K8" s="77"/>
      <c r="L8" s="77"/>
      <c r="M8" s="77"/>
      <c r="N8" s="77"/>
      <c r="O8" s="78"/>
    </row>
    <row r="9" spans="1:15" x14ac:dyDescent="0.25">
      <c r="B9" s="66" t="s">
        <v>8</v>
      </c>
      <c r="C9" s="67"/>
      <c r="D9" s="67"/>
      <c r="E9" s="67"/>
      <c r="F9" s="67"/>
      <c r="G9" s="67"/>
      <c r="H9" s="68"/>
      <c r="I9" s="69" t="s">
        <v>9</v>
      </c>
      <c r="J9" s="70"/>
      <c r="K9" s="70"/>
      <c r="L9" s="70"/>
      <c r="M9" s="70"/>
      <c r="N9" s="70"/>
      <c r="O9" s="71"/>
    </row>
    <row r="10" spans="1:15" x14ac:dyDescent="0.25">
      <c r="A10" s="20"/>
      <c r="B10" s="72" t="s">
        <v>10</v>
      </c>
      <c r="C10" s="73" t="s">
        <v>11</v>
      </c>
      <c r="D10" s="74" t="s">
        <v>12</v>
      </c>
      <c r="E10" s="74" t="s">
        <v>13</v>
      </c>
      <c r="F10" s="73" t="s">
        <v>14</v>
      </c>
      <c r="G10" s="74" t="s">
        <v>15</v>
      </c>
      <c r="H10" s="74" t="s">
        <v>16</v>
      </c>
      <c r="I10" s="65" t="s">
        <v>17</v>
      </c>
      <c r="J10" s="75" t="s">
        <v>18</v>
      </c>
      <c r="K10" s="65" t="s">
        <v>19</v>
      </c>
      <c r="L10" s="65" t="s">
        <v>20</v>
      </c>
      <c r="M10" s="65" t="s">
        <v>21</v>
      </c>
      <c r="N10" s="75" t="s">
        <v>18</v>
      </c>
      <c r="O10" s="65" t="s">
        <v>22</v>
      </c>
    </row>
    <row r="11" spans="1:15" ht="69" customHeight="1" x14ac:dyDescent="0.25">
      <c r="A11" s="20"/>
      <c r="B11" s="50"/>
      <c r="C11" s="50"/>
      <c r="D11" s="50"/>
      <c r="E11" s="50"/>
      <c r="F11" s="50"/>
      <c r="G11" s="50"/>
      <c r="H11" s="50"/>
      <c r="I11" s="34"/>
      <c r="J11" s="34"/>
      <c r="K11" s="34"/>
      <c r="L11" s="34"/>
      <c r="M11" s="34"/>
      <c r="N11" s="34"/>
      <c r="O11" s="34"/>
    </row>
    <row r="12" spans="1:15" x14ac:dyDescent="0.25">
      <c r="A12" s="106" t="s">
        <v>50</v>
      </c>
      <c r="B12" s="43">
        <v>1</v>
      </c>
      <c r="C12" s="35" t="s">
        <v>23</v>
      </c>
      <c r="D12" s="46" t="s">
        <v>24</v>
      </c>
      <c r="E12" s="36" t="s">
        <v>25</v>
      </c>
      <c r="F12" s="36" t="s">
        <v>26</v>
      </c>
      <c r="G12" s="35" t="s">
        <v>27</v>
      </c>
      <c r="H12" s="37">
        <v>70</v>
      </c>
      <c r="I12" s="38" t="str">
        <f>IF(H12&lt;=0,"",IF(H12&lt;=2,"Muy Baja",IF(H12&lt;=24,"Baja",IF(H12&lt;=500,"Media",IF(H12&lt;=5000,"Alta","Muy Alta")))))</f>
        <v>Media</v>
      </c>
      <c r="J12" s="32">
        <f>IF(I12="","",IF(I12="Muy Baja",0.2,IF(I12="Baja",0.4,IF(I12="Media",0.6,IF(I12="Alta",0.8,IF(I12="Muy Alta",1,))))))</f>
        <v>0.6</v>
      </c>
      <c r="K12" s="47" t="s">
        <v>28</v>
      </c>
      <c r="L12" s="32" t="str">
        <f>IF(NOT(ISERROR(MATCH(K12,#REF!,0))),#REF!&amp;"Por favor no seleccionar los criterios de impacto(Afectación Económica o presupuestal y Pérdida Reputacional)",K12)</f>
        <v xml:space="preserve">     El riesgo afecta la imagen de de la entidad con efecto publicitario sostenido a nivel de sector administrativo, nivel departamental o municipal</v>
      </c>
      <c r="M12" s="38" t="str">
        <f>IF(OR(L12='[1]Tabla Impacto'!$C$11,L12='[1]Tabla Impacto'!$D$11),"Leve",IF(OR(L12='[1]Tabla Impacto'!$C$12,L12='[1]Tabla Impacto'!$D$12),"Menor",IF(OR(L12='[1]Tabla Impacto'!$C$13,L12='[1]Tabla Impacto'!$D$13),"Moderado",IF(OR(L12='[1]Tabla Impacto'!$C$14,L12='[1]Tabla Impacto'!$D$14),"Mayor",IF(OR(L12='[1]Tabla Impacto'!$C$15,L12='[1]Tabla Impacto'!$D$15),"Catastrófico","")))))</f>
        <v>Mayor</v>
      </c>
      <c r="N12" s="32">
        <f>IF(M12="","",IF(M12="Leve",0.2,IF(M12="Menor",0.4,IF(M12="Moderado",0.6,IF(M12="Mayor",0.8,IF(M12="Catastrófico",1,))))))</f>
        <v>0.8</v>
      </c>
      <c r="O12" s="42" t="str">
        <f>IF(OR(AND(I12="Muy Baja",M12="Leve"),AND(I12="Muy Baja",M12="Menor"),AND(I12="Baja",M12="Leve")),"Bajo",IF(OR(AND(I12="Muy baja",M12="Moderado"),AND(I12="Baja",M12="Menor"),AND(I12="Baja",M12="Moderado"),AND(I12="Media",M12="Leve"),AND(I12="Media",M12="Menor"),AND(I12="Media",M12="Moderado"),AND(I12="Alta",M12="Leve"),AND(I12="Alta",M12="Menor")),"Moderado",IF(OR(AND(I12="Muy Baja",M12="Mayor"),AND(I12="Baja",M12="Mayor"),AND(I12="Media",M12="Mayor"),AND(I12="Alta",M12="Moderado"),AND(I12="Alta",M12="Mayor"),AND(I12="Muy Alta",M12="Leve"),AND(I12="Muy Alta",M12="Menor"),AND(I12="Muy Alta",M12="Moderado"),AND(I12="Muy Alta",M12="Mayor")),"Alto",IF(OR(AND(I12="Muy Baja",M12="Catastrófico"),AND(I12="Baja",M12="Catastrófico"),AND(I12="Media",M12="Catastrófico"),AND(I12="Alta",M12="Catastrófico"),AND(I12="Muy Alta",M12="Catastrófico")),"Extremo",""))))</f>
        <v>Alto</v>
      </c>
    </row>
    <row r="13" spans="1:15" x14ac:dyDescent="0.25">
      <c r="A13" s="106"/>
      <c r="B13" s="44"/>
      <c r="C13" s="33"/>
      <c r="D13" s="33"/>
      <c r="E13" s="33"/>
      <c r="F13" s="33"/>
      <c r="G13" s="33"/>
      <c r="H13" s="33"/>
      <c r="I13" s="33"/>
      <c r="J13" s="33"/>
      <c r="K13" s="33"/>
      <c r="L13" s="33"/>
      <c r="M13" s="33"/>
      <c r="N13" s="33"/>
      <c r="O13" s="33"/>
    </row>
    <row r="14" spans="1:15" x14ac:dyDescent="0.25">
      <c r="A14" s="106"/>
      <c r="B14" s="44"/>
      <c r="C14" s="33"/>
      <c r="D14" s="33"/>
      <c r="E14" s="33"/>
      <c r="F14" s="33"/>
      <c r="G14" s="33"/>
      <c r="H14" s="33"/>
      <c r="I14" s="33"/>
      <c r="J14" s="33"/>
      <c r="K14" s="33"/>
      <c r="L14" s="33"/>
      <c r="M14" s="33"/>
      <c r="N14" s="33"/>
      <c r="O14" s="33"/>
    </row>
    <row r="15" spans="1:15" x14ac:dyDescent="0.25">
      <c r="A15" s="106"/>
      <c r="B15" s="44"/>
      <c r="C15" s="33"/>
      <c r="D15" s="33"/>
      <c r="E15" s="33"/>
      <c r="F15" s="33"/>
      <c r="G15" s="33"/>
      <c r="H15" s="33"/>
      <c r="I15" s="33"/>
      <c r="J15" s="33"/>
      <c r="K15" s="33"/>
      <c r="L15" s="33"/>
      <c r="M15" s="33"/>
      <c r="N15" s="33"/>
      <c r="O15" s="33"/>
    </row>
    <row r="16" spans="1:15" x14ac:dyDescent="0.25">
      <c r="A16" s="106"/>
      <c r="B16" s="44"/>
      <c r="C16" s="33"/>
      <c r="D16" s="33"/>
      <c r="E16" s="33"/>
      <c r="F16" s="33"/>
      <c r="G16" s="33"/>
      <c r="H16" s="33"/>
      <c r="I16" s="33"/>
      <c r="J16" s="33"/>
      <c r="K16" s="33"/>
      <c r="L16" s="33"/>
      <c r="M16" s="33"/>
      <c r="N16" s="33"/>
      <c r="O16" s="33"/>
    </row>
    <row r="17" spans="1:15" ht="48" customHeight="1" x14ac:dyDescent="0.25">
      <c r="A17" s="106"/>
      <c r="B17" s="45"/>
      <c r="C17" s="34"/>
      <c r="D17" s="34"/>
      <c r="E17" s="34"/>
      <c r="F17" s="34"/>
      <c r="G17" s="34"/>
      <c r="H17" s="34"/>
      <c r="I17" s="34"/>
      <c r="J17" s="34"/>
      <c r="K17" s="34"/>
      <c r="L17" s="34"/>
      <c r="M17" s="34"/>
      <c r="N17" s="34"/>
      <c r="O17" s="34"/>
    </row>
    <row r="18" spans="1:15" x14ac:dyDescent="0.25">
      <c r="A18" s="106"/>
      <c r="B18" s="43">
        <v>2</v>
      </c>
      <c r="C18" s="35" t="s">
        <v>23</v>
      </c>
      <c r="D18" s="46" t="s">
        <v>24</v>
      </c>
      <c r="E18" s="36" t="s">
        <v>29</v>
      </c>
      <c r="F18" s="36" t="s">
        <v>30</v>
      </c>
      <c r="G18" s="35" t="s">
        <v>27</v>
      </c>
      <c r="H18" s="37">
        <v>70</v>
      </c>
      <c r="I18" s="38" t="str">
        <f>IF(H18&lt;=0,"",IF(H18&lt;=2,"Muy Baja",IF(H18&lt;=24,"Baja",IF(H18&lt;=500,"Media",IF(H18&lt;=5000,"Alta","Muy Alta")))))</f>
        <v>Media</v>
      </c>
      <c r="J18" s="32">
        <f>IF(I18="","",IF(I18="Muy Baja",0.2,IF(I18="Baja",0.4,IF(I18="Media",0.6,IF(I18="Alta",0.8,IF(I18="Muy Alta",1,))))))</f>
        <v>0.6</v>
      </c>
      <c r="K18" s="32" t="s">
        <v>31</v>
      </c>
      <c r="L18" s="32" t="str">
        <f>IF(NOT(ISERROR(MATCH(K18,#REF!,0))),#REF!&amp;"Por favor no seleccionar los criterios de impacto(Afectación Económica o presupuestal y Pérdida Reputacional)",K18)</f>
        <v xml:space="preserve">     El riesgo afecta la imagen de la entidad con algunos usuarios de relevancia frente al logro de los objetivos</v>
      </c>
      <c r="M18" s="38" t="str">
        <f>IF(OR(L18='[1]Tabla Impacto'!$C$11,L18='[1]Tabla Impacto'!$D$11),"Leve",IF(OR(L18='[1]Tabla Impacto'!$C$12,L18='[1]Tabla Impacto'!$D$12),"Menor",IF(OR(L18='[1]Tabla Impacto'!$C$13,L18='[1]Tabla Impacto'!$D$13),"Moderado",IF(OR(L18='[1]Tabla Impacto'!$C$14,L18='[1]Tabla Impacto'!$D$14),"Mayor",IF(OR(L18='[1]Tabla Impacto'!$C$15,L18='[1]Tabla Impacto'!$D$15),"Catastrófico","")))))</f>
        <v>Moderado</v>
      </c>
      <c r="N18" s="32">
        <f>IF(M18="","",IF(M18="Leve",0.2,IF(M18="Menor",0.4,IF(M18="Moderado",0.6,IF(M18="Mayor",0.8,IF(M18="Catastrófico",1,))))))</f>
        <v>0.6</v>
      </c>
      <c r="O18" s="42" t="str">
        <f>IF(OR(AND(I18="Muy Baja",M18="Leve"),AND(I18="Muy Baja",M18="Menor"),AND(I18="Baja",M18="Leve")),"Bajo",IF(OR(AND(I18="Muy baja",M18="Moderado"),AND(I18="Baja",M18="Menor"),AND(I18="Baja",M18="Moderado"),AND(I18="Media",M18="Leve"),AND(I18="Media",M18="Menor"),AND(I18="Media",M18="Moderado"),AND(I18="Alta",M18="Leve"),AND(I18="Alta",M18="Menor")),"Moderado",IF(OR(AND(I18="Muy Baja",M18="Mayor"),AND(I18="Baja",M18="Mayor"),AND(I18="Media",M18="Mayor"),AND(I18="Alta",M18="Moderado"),AND(I18="Alta",M18="Mayor"),AND(I18="Muy Alta",M18="Leve"),AND(I18="Muy Alta",M18="Menor"),AND(I18="Muy Alta",M18="Moderado"),AND(I18="Muy Alta",M18="Mayor")),"Alto",IF(OR(AND(I18="Muy Baja",M18="Catastrófico"),AND(I18="Baja",M18="Catastrófico"),AND(I18="Media",M18="Catastrófico"),AND(I18="Alta",M18="Catastrófico"),AND(I18="Muy Alta",M18="Catastrófico")),"Extremo",""))))</f>
        <v>Moderado</v>
      </c>
    </row>
    <row r="19" spans="1:15" x14ac:dyDescent="0.25">
      <c r="A19" s="106"/>
      <c r="B19" s="44"/>
      <c r="C19" s="33"/>
      <c r="D19" s="33"/>
      <c r="E19" s="33"/>
      <c r="F19" s="33"/>
      <c r="G19" s="33"/>
      <c r="H19" s="33"/>
      <c r="I19" s="33"/>
      <c r="J19" s="33"/>
      <c r="K19" s="33"/>
      <c r="L19" s="33"/>
      <c r="M19" s="33"/>
      <c r="N19" s="33"/>
      <c r="O19" s="33"/>
    </row>
    <row r="20" spans="1:15" x14ac:dyDescent="0.25">
      <c r="A20" s="106"/>
      <c r="B20" s="44"/>
      <c r="C20" s="33"/>
      <c r="D20" s="33"/>
      <c r="E20" s="33"/>
      <c r="F20" s="33"/>
      <c r="G20" s="33"/>
      <c r="H20" s="33"/>
      <c r="I20" s="33"/>
      <c r="J20" s="33"/>
      <c r="K20" s="33"/>
      <c r="L20" s="33"/>
      <c r="M20" s="33"/>
      <c r="N20" s="33"/>
      <c r="O20" s="33"/>
    </row>
    <row r="21" spans="1:15" x14ac:dyDescent="0.25">
      <c r="A21" s="106"/>
      <c r="B21" s="44"/>
      <c r="C21" s="33"/>
      <c r="D21" s="33"/>
      <c r="E21" s="33"/>
      <c r="F21" s="33"/>
      <c r="G21" s="33"/>
      <c r="H21" s="33"/>
      <c r="I21" s="33"/>
      <c r="J21" s="33"/>
      <c r="K21" s="33"/>
      <c r="L21" s="33"/>
      <c r="M21" s="33"/>
      <c r="N21" s="33"/>
      <c r="O21" s="33"/>
    </row>
    <row r="22" spans="1:15" x14ac:dyDescent="0.25">
      <c r="A22" s="106"/>
      <c r="B22" s="44"/>
      <c r="C22" s="33"/>
      <c r="D22" s="33"/>
      <c r="E22" s="33"/>
      <c r="F22" s="33"/>
      <c r="G22" s="33"/>
      <c r="H22" s="33"/>
      <c r="I22" s="33"/>
      <c r="J22" s="33"/>
      <c r="K22" s="33"/>
      <c r="L22" s="33"/>
      <c r="M22" s="33"/>
      <c r="N22" s="33"/>
      <c r="O22" s="33"/>
    </row>
    <row r="23" spans="1:15" ht="49.5" customHeight="1" x14ac:dyDescent="0.25">
      <c r="A23" s="106"/>
      <c r="B23" s="45"/>
      <c r="C23" s="34"/>
      <c r="D23" s="34"/>
      <c r="E23" s="34"/>
      <c r="F23" s="34"/>
      <c r="G23" s="34"/>
      <c r="H23" s="34"/>
      <c r="I23" s="34"/>
      <c r="J23" s="34"/>
      <c r="K23" s="34"/>
      <c r="L23" s="34"/>
      <c r="M23" s="34"/>
      <c r="N23" s="34"/>
      <c r="O23" s="34"/>
    </row>
    <row r="24" spans="1:15" ht="47.25" customHeight="1" x14ac:dyDescent="0.25">
      <c r="A24" s="106" t="s">
        <v>51</v>
      </c>
      <c r="B24" s="98">
        <v>1</v>
      </c>
      <c r="C24" s="99" t="s">
        <v>23</v>
      </c>
      <c r="D24" s="99" t="s">
        <v>32</v>
      </c>
      <c r="E24" s="100" t="s">
        <v>36</v>
      </c>
      <c r="F24" s="101" t="s">
        <v>33</v>
      </c>
      <c r="G24" s="99" t="s">
        <v>34</v>
      </c>
      <c r="H24" s="102">
        <v>365</v>
      </c>
      <c r="I24" s="103" t="str">
        <f>IF(H24&lt;=0,"",IF(H24&lt;=2,"Muy Baja",IF(H24&lt;=24,"Baja",IF(H24&lt;=500,"Media",IF(H24&lt;=5000,"Alta","Muy Alta")))))</f>
        <v>Media</v>
      </c>
      <c r="J24" s="95">
        <f>IF(I24="","",IF(I24="Muy Baja",0.2,IF(I24="Baja",0.4,IF(I24="Media",0.6,IF(I24="Alta",0.8,IF(I24="Muy Alta",1,))))))</f>
        <v>0.6</v>
      </c>
      <c r="K24" s="104" t="s">
        <v>28</v>
      </c>
      <c r="L24" s="95" t="str">
        <f>IF(NOT(ISERROR(MATCH(K24,#REF!,0))),#REF!&amp;"Por favor no seleccionar los criterios de impacto(Afectación Económica o presupuestal y Pérdida Reputacional)",K24)</f>
        <v xml:space="preserve">     El riesgo afecta la imagen de de la entidad con efecto publicitario sostenido a nivel de sector administrativo, nivel departamental o municipal</v>
      </c>
      <c r="M24" s="97" t="s">
        <v>40</v>
      </c>
      <c r="N24" s="95">
        <v>0.6</v>
      </c>
      <c r="O24" s="96" t="s">
        <v>40</v>
      </c>
    </row>
    <row r="25" spans="1:15" ht="47.25" customHeight="1" x14ac:dyDescent="0.25">
      <c r="A25" s="106"/>
      <c r="B25" s="98"/>
      <c r="C25" s="99"/>
      <c r="D25" s="99"/>
      <c r="E25" s="100"/>
      <c r="F25" s="101"/>
      <c r="G25" s="99"/>
      <c r="H25" s="102"/>
      <c r="I25" s="103"/>
      <c r="J25" s="95"/>
      <c r="K25" s="104"/>
      <c r="L25" s="95">
        <f>IF(NOT(ISERROR(MATCH(K25,_xlfn.ANCHORARRAY(#REF!),0))),#REF!&amp;"Por favor no seleccionar los criterios de impacto",K25)</f>
        <v>0</v>
      </c>
      <c r="M25" s="97"/>
      <c r="N25" s="95"/>
      <c r="O25" s="96"/>
    </row>
    <row r="26" spans="1:15" ht="30" customHeight="1" x14ac:dyDescent="0.25">
      <c r="A26" s="106"/>
      <c r="B26" s="98"/>
      <c r="C26" s="99"/>
      <c r="D26" s="99"/>
      <c r="E26" s="100"/>
      <c r="F26" s="101"/>
      <c r="G26" s="99"/>
      <c r="H26" s="102"/>
      <c r="I26" s="103"/>
      <c r="J26" s="95"/>
      <c r="K26" s="104"/>
      <c r="L26" s="95">
        <f>IF(NOT(ISERROR(MATCH(K26,_xlfn.ANCHORARRAY(#REF!),0))),#REF!&amp;"Por favor no seleccionar los criterios de impacto",K26)</f>
        <v>0</v>
      </c>
      <c r="M26" s="97"/>
      <c r="N26" s="95"/>
      <c r="O26" s="96"/>
    </row>
    <row r="27" spans="1:15" x14ac:dyDescent="0.25">
      <c r="A27" s="106"/>
      <c r="B27" s="98">
        <v>2</v>
      </c>
      <c r="C27" s="99" t="s">
        <v>23</v>
      </c>
      <c r="D27" s="99" t="s">
        <v>35</v>
      </c>
      <c r="E27" s="100" t="s">
        <v>38</v>
      </c>
      <c r="F27" s="101" t="s">
        <v>39</v>
      </c>
      <c r="G27" s="99" t="s">
        <v>34</v>
      </c>
      <c r="H27" s="102">
        <v>365</v>
      </c>
      <c r="I27" s="103" t="str">
        <f>IF(H27&lt;=0,"",IF(H27&lt;=2,"Muy Baja",IF(H27&lt;=24,"Baja",IF(H27&lt;=500,"Media",IF(H27&lt;=5000,"Alta","Muy Alta")))))</f>
        <v>Media</v>
      </c>
      <c r="J27" s="95">
        <f>IF(I27="","",IF(I27="Muy Baja",0.2,IF(I27="Baja",0.4,IF(I27="Media",0.6,IF(I27="Alta",0.8,IF(I27="Muy Alta",1,))))))</f>
        <v>0.6</v>
      </c>
      <c r="K27" s="104" t="s">
        <v>28</v>
      </c>
      <c r="L27" s="95" t="str">
        <f>IF(NOT(ISERROR(MATCH(K27,#REF!,0))),#REF!&amp;"Por favor no seleccionar los criterios de impacto(Afectación Económica o presupuestal y Pérdida Reputacional)",K27)</f>
        <v xml:space="preserve">     El riesgo afecta la imagen de de la entidad con efecto publicitario sostenido a nivel de sector administrativo, nivel departamental o municipal</v>
      </c>
      <c r="M27" s="97" t="s">
        <v>40</v>
      </c>
      <c r="N27" s="95">
        <v>0.6</v>
      </c>
      <c r="O27" s="96" t="s">
        <v>40</v>
      </c>
    </row>
    <row r="28" spans="1:15" ht="153.75" customHeight="1" x14ac:dyDescent="0.25">
      <c r="A28" s="106"/>
      <c r="B28" s="98"/>
      <c r="C28" s="99"/>
      <c r="D28" s="99"/>
      <c r="E28" s="100"/>
      <c r="F28" s="101"/>
      <c r="G28" s="99"/>
      <c r="H28" s="102"/>
      <c r="I28" s="103"/>
      <c r="J28" s="95"/>
      <c r="K28" s="104"/>
      <c r="L28" s="95">
        <f>IF(NOT(ISERROR(MATCH(K28,_xlfn.ANCHORARRAY(#REF!),0))),#REF!&amp;"Por favor no seleccionar los criterios de impacto",K28)</f>
        <v>0</v>
      </c>
      <c r="M28" s="97"/>
      <c r="N28" s="95"/>
      <c r="O28" s="96"/>
    </row>
    <row r="29" spans="1:15" x14ac:dyDescent="0.25">
      <c r="A29" s="107" t="s">
        <v>55</v>
      </c>
      <c r="B29" s="43">
        <v>1</v>
      </c>
      <c r="C29" s="35" t="s">
        <v>23</v>
      </c>
      <c r="D29" s="108" t="s">
        <v>52</v>
      </c>
      <c r="E29" s="36" t="s">
        <v>53</v>
      </c>
      <c r="F29" s="36" t="s">
        <v>54</v>
      </c>
      <c r="G29" s="35" t="s">
        <v>27</v>
      </c>
      <c r="H29" s="105">
        <v>2</v>
      </c>
      <c r="I29" s="38" t="str">
        <f>IF(H29&lt;=0,"",IF(H29&lt;=2,"Muy Baja",IF(H29&lt;=24,"Baja",IF(H29&lt;=500,"Media",IF(H29&lt;=5000,"Alta","Muy Alta")))))</f>
        <v>Muy Baja</v>
      </c>
      <c r="J29" s="32">
        <f>IF(I29="","",IF(I29="Muy Baja",0.2,IF(I29="Baja",0.4,IF(I29="Media",0.6,IF(I29="Alta",0.8,IF(I29="Muy Alta",1,))))))</f>
        <v>0.2</v>
      </c>
      <c r="K29" s="32" t="s">
        <v>31</v>
      </c>
      <c r="L29" s="32" t="str">
        <f>IF(NOT(ISERROR(MATCH(K29,'[2]Tabla Impacto'!$B$221:$B$223,0))),'[2]Tabla Impacto'!$F$223&amp;"Por favor no seleccionar los criterios de impacto(Afectación Económica o presupuestal y Pérdida Reputacional)",K29)</f>
        <v xml:space="preserve">     El riesgo afecta la imagen de la entidad con algunos usuarios de relevancia frente al logro de los objetivos</v>
      </c>
      <c r="M29" s="38" t="str">
        <f>IF(OR(L29='[2]Tabla Impacto'!$C$11,L29='[2]Tabla Impacto'!$D$11),"Leve",IF(OR(L29='[2]Tabla Impacto'!$C$12,L29='[2]Tabla Impacto'!$D$12),"Menor",IF(OR(L29='[2]Tabla Impacto'!$C$13,L29='[2]Tabla Impacto'!$D$13),"Moderado",IF(OR(L29='[2]Tabla Impacto'!$C$14,L29='[2]Tabla Impacto'!$D$14),"Mayor",IF(OR(L29='[2]Tabla Impacto'!$C$15,L29='[2]Tabla Impacto'!$D$15),"Catastrófico","")))))</f>
        <v>Moderado</v>
      </c>
      <c r="N29" s="32">
        <f>IF(M29="","",IF(M29="Leve",0.2,IF(M29="Menor",0.4,IF(M29="Moderado",0.6,IF(M29="Mayor",0.8,IF(M29="Catastrófico",1,))))))</f>
        <v>0.6</v>
      </c>
      <c r="O29" s="42" t="str">
        <f>IF(OR(AND(I29="Muy Baja",M29="Leve"),AND(I29="Muy Baja",M29="Menor"),AND(I29="Baja",M29="Leve")),"Bajo",IF(OR(AND(I29="Muy baja",M29="Moderado"),AND(I29="Baja",M29="Menor"),AND(I29="Baja",M29="Moderado"),AND(I29="Media",M29="Leve"),AND(I29="Media",M29="Menor"),AND(I29="Media",M29="Moderado"),AND(I29="Alta",M29="Leve"),AND(I29="Alta",M29="Menor")),"Moderado",IF(OR(AND(I29="Muy Baja",M29="Mayor"),AND(I29="Baja",M29="Mayor"),AND(I29="Media",M29="Mayor"),AND(I29="Alta",M29="Moderado"),AND(I29="Alta",M29="Mayor"),AND(I29="Muy Alta",M29="Leve"),AND(I29="Muy Alta",M29="Menor"),AND(I29="Muy Alta",M29="Moderado"),AND(I29="Muy Alta",M29="Mayor")),"Alto",IF(OR(AND(I29="Muy Baja",M29="Catastrófico"),AND(I29="Baja",M29="Catastrófico"),AND(I29="Media",M29="Catastrófico"),AND(I29="Alta",M29="Catastrófico"),AND(I29="Muy Alta",M29="Catastrófico")),"Extremo",""))))</f>
        <v>Moderado</v>
      </c>
    </row>
    <row r="30" spans="1:15" x14ac:dyDescent="0.25">
      <c r="A30" s="107"/>
      <c r="B30" s="44"/>
      <c r="C30" s="33"/>
      <c r="D30" s="44"/>
      <c r="E30" s="33"/>
      <c r="F30" s="33"/>
      <c r="G30" s="33"/>
      <c r="H30" s="33"/>
      <c r="I30" s="33"/>
      <c r="J30" s="33"/>
      <c r="K30" s="33"/>
      <c r="L30" s="33"/>
      <c r="M30" s="33"/>
      <c r="N30" s="33"/>
      <c r="O30" s="33"/>
    </row>
    <row r="31" spans="1:15" x14ac:dyDescent="0.25">
      <c r="A31" s="107"/>
      <c r="B31" s="44"/>
      <c r="C31" s="33"/>
      <c r="D31" s="44"/>
      <c r="E31" s="33"/>
      <c r="F31" s="33"/>
      <c r="G31" s="33"/>
      <c r="H31" s="33"/>
      <c r="I31" s="33"/>
      <c r="J31" s="33"/>
      <c r="K31" s="33"/>
      <c r="L31" s="33"/>
      <c r="M31" s="33"/>
      <c r="N31" s="33"/>
      <c r="O31" s="33"/>
    </row>
    <row r="32" spans="1:15" x14ac:dyDescent="0.25">
      <c r="A32" s="107"/>
      <c r="B32" s="44"/>
      <c r="C32" s="33"/>
      <c r="D32" s="44"/>
      <c r="E32" s="33"/>
      <c r="F32" s="33"/>
      <c r="G32" s="33"/>
      <c r="H32" s="33"/>
      <c r="I32" s="33"/>
      <c r="J32" s="33"/>
      <c r="K32" s="33"/>
      <c r="L32" s="33"/>
      <c r="M32" s="33"/>
      <c r="N32" s="33"/>
      <c r="O32" s="33"/>
    </row>
    <row r="33" spans="1:15" x14ac:dyDescent="0.25">
      <c r="A33" s="107"/>
      <c r="B33" s="44"/>
      <c r="C33" s="33"/>
      <c r="D33" s="44"/>
      <c r="E33" s="33"/>
      <c r="F33" s="33"/>
      <c r="G33" s="33"/>
      <c r="H33" s="33"/>
      <c r="I33" s="33"/>
      <c r="J33" s="33"/>
      <c r="K33" s="33"/>
      <c r="L33" s="33"/>
      <c r="M33" s="33"/>
      <c r="N33" s="33"/>
      <c r="O33" s="33"/>
    </row>
    <row r="34" spans="1:15" ht="75.75" customHeight="1" x14ac:dyDescent="0.25">
      <c r="A34" s="107"/>
      <c r="B34" s="45"/>
      <c r="C34" s="34"/>
      <c r="D34" s="45"/>
      <c r="E34" s="34"/>
      <c r="F34" s="34"/>
      <c r="G34" s="34"/>
      <c r="H34" s="34"/>
      <c r="I34" s="34"/>
      <c r="J34" s="34"/>
      <c r="K34" s="34"/>
      <c r="L34" s="34"/>
      <c r="M34" s="34"/>
      <c r="N34" s="34"/>
      <c r="O34" s="34"/>
    </row>
    <row r="35" spans="1:15" x14ac:dyDescent="0.25">
      <c r="A35" s="106" t="s">
        <v>56</v>
      </c>
      <c r="B35" s="43">
        <v>1</v>
      </c>
      <c r="C35" s="35" t="s">
        <v>23</v>
      </c>
      <c r="D35" s="35" t="s">
        <v>41</v>
      </c>
      <c r="E35" s="36" t="s">
        <v>42</v>
      </c>
      <c r="F35" s="36" t="s">
        <v>43</v>
      </c>
      <c r="G35" s="35" t="s">
        <v>27</v>
      </c>
      <c r="H35" s="37">
        <v>10</v>
      </c>
      <c r="I35" s="38" t="str">
        <f>IF(H35&lt;=0,"",IF(H35&lt;=2,"Muy Baja",IF(H35&lt;=24,"Baja",IF(H35&lt;=500,"Media",IF(H35&lt;=5000,"Alta","Muy Alta")))))</f>
        <v>Baja</v>
      </c>
      <c r="J35" s="32">
        <f>IF(I35="","",IF(I35="Muy Baja",0.2,IF(I35="Baja",0.4,IF(I35="Media",0.6,IF(I35="Alta",0.8,IF(I35="Muy Alta",1,))))))</f>
        <v>0.4</v>
      </c>
      <c r="K35" s="32" t="s">
        <v>31</v>
      </c>
      <c r="L35" s="32" t="s">
        <v>31</v>
      </c>
      <c r="M35" s="29" t="s">
        <v>37</v>
      </c>
      <c r="N35" s="32">
        <v>0.6</v>
      </c>
      <c r="O35" s="64" t="s">
        <v>37</v>
      </c>
    </row>
    <row r="36" spans="1:15" ht="104.25" customHeight="1" x14ac:dyDescent="0.25">
      <c r="A36" s="106"/>
      <c r="B36" s="44"/>
      <c r="C36" s="33"/>
      <c r="D36" s="33"/>
      <c r="E36" s="33"/>
      <c r="F36" s="33"/>
      <c r="G36" s="33"/>
      <c r="H36" s="33"/>
      <c r="I36" s="33"/>
      <c r="J36" s="33"/>
      <c r="K36" s="33"/>
      <c r="L36" s="33"/>
      <c r="M36" s="30"/>
      <c r="N36" s="33"/>
      <c r="O36" s="30"/>
    </row>
    <row r="37" spans="1:15" ht="197.25" customHeight="1" x14ac:dyDescent="0.25">
      <c r="A37" s="106"/>
      <c r="B37" s="21">
        <v>2</v>
      </c>
      <c r="C37" s="15" t="s">
        <v>23</v>
      </c>
      <c r="D37" s="15" t="s">
        <v>44</v>
      </c>
      <c r="E37" s="24" t="s">
        <v>45</v>
      </c>
      <c r="F37" s="24" t="s">
        <v>46</v>
      </c>
      <c r="G37" s="15" t="s">
        <v>47</v>
      </c>
      <c r="H37" s="22">
        <v>712</v>
      </c>
      <c r="I37" s="13" t="s">
        <v>63</v>
      </c>
      <c r="J37" s="23">
        <v>0.8</v>
      </c>
      <c r="K37" s="23" t="s">
        <v>48</v>
      </c>
      <c r="L37" s="23" t="s">
        <v>48</v>
      </c>
      <c r="M37" s="12" t="s">
        <v>49</v>
      </c>
      <c r="N37" s="23">
        <v>0.2</v>
      </c>
      <c r="O37" s="11" t="s">
        <v>37</v>
      </c>
    </row>
    <row r="38" spans="1:15" x14ac:dyDescent="0.25">
      <c r="A38" s="106" t="s">
        <v>61</v>
      </c>
      <c r="B38" s="114">
        <v>1</v>
      </c>
      <c r="C38" s="117" t="s">
        <v>57</v>
      </c>
      <c r="D38" s="117" t="s">
        <v>58</v>
      </c>
      <c r="E38" s="120" t="s">
        <v>59</v>
      </c>
      <c r="F38" s="120" t="s">
        <v>60</v>
      </c>
      <c r="G38" s="117" t="s">
        <v>34</v>
      </c>
      <c r="H38" s="123">
        <v>365</v>
      </c>
      <c r="I38" s="121" t="s">
        <v>62</v>
      </c>
      <c r="J38" s="122">
        <v>0.6</v>
      </c>
      <c r="K38" s="122" t="s">
        <v>31</v>
      </c>
      <c r="L38" s="122" t="s">
        <v>31</v>
      </c>
      <c r="M38" s="121" t="s">
        <v>37</v>
      </c>
      <c r="N38" s="122">
        <v>0.6</v>
      </c>
      <c r="O38" s="111" t="s">
        <v>37</v>
      </c>
    </row>
    <row r="39" spans="1:15" x14ac:dyDescent="0.25">
      <c r="A39" s="106"/>
      <c r="B39" s="115"/>
      <c r="C39" s="118"/>
      <c r="D39" s="118"/>
      <c r="E39" s="118"/>
      <c r="F39" s="118"/>
      <c r="G39" s="118"/>
      <c r="H39" s="118"/>
      <c r="I39" s="112"/>
      <c r="J39" s="118"/>
      <c r="K39" s="118"/>
      <c r="L39" s="118"/>
      <c r="M39" s="112"/>
      <c r="N39" s="118"/>
      <c r="O39" s="112"/>
    </row>
    <row r="40" spans="1:15" x14ac:dyDescent="0.25">
      <c r="A40" s="106"/>
      <c r="B40" s="115"/>
      <c r="C40" s="118"/>
      <c r="D40" s="118"/>
      <c r="E40" s="118"/>
      <c r="F40" s="118"/>
      <c r="G40" s="118"/>
      <c r="H40" s="118"/>
      <c r="I40" s="112"/>
      <c r="J40" s="118"/>
      <c r="K40" s="118"/>
      <c r="L40" s="118"/>
      <c r="M40" s="112"/>
      <c r="N40" s="118"/>
      <c r="O40" s="112"/>
    </row>
    <row r="41" spans="1:15" x14ac:dyDescent="0.25">
      <c r="A41" s="106"/>
      <c r="B41" s="115"/>
      <c r="C41" s="118"/>
      <c r="D41" s="118"/>
      <c r="E41" s="118"/>
      <c r="F41" s="118"/>
      <c r="G41" s="118"/>
      <c r="H41" s="118"/>
      <c r="I41" s="112"/>
      <c r="J41" s="118"/>
      <c r="K41" s="118"/>
      <c r="L41" s="118"/>
      <c r="M41" s="112"/>
      <c r="N41" s="118"/>
      <c r="O41" s="112"/>
    </row>
    <row r="42" spans="1:15" x14ac:dyDescent="0.25">
      <c r="A42" s="106"/>
      <c r="B42" s="115"/>
      <c r="C42" s="118"/>
      <c r="D42" s="118"/>
      <c r="E42" s="118"/>
      <c r="F42" s="118"/>
      <c r="G42" s="118"/>
      <c r="H42" s="118"/>
      <c r="I42" s="112"/>
      <c r="J42" s="118"/>
      <c r="K42" s="118"/>
      <c r="L42" s="118"/>
      <c r="M42" s="112"/>
      <c r="N42" s="118"/>
      <c r="O42" s="112"/>
    </row>
    <row r="43" spans="1:15" ht="64.5" customHeight="1" x14ac:dyDescent="0.25">
      <c r="A43" s="106"/>
      <c r="B43" s="116"/>
      <c r="C43" s="119"/>
      <c r="D43" s="119"/>
      <c r="E43" s="119"/>
      <c r="F43" s="119"/>
      <c r="G43" s="119"/>
      <c r="H43" s="119"/>
      <c r="I43" s="113"/>
      <c r="J43" s="119"/>
      <c r="K43" s="119"/>
      <c r="L43" s="119"/>
      <c r="M43" s="113"/>
      <c r="N43" s="119"/>
      <c r="O43" s="113"/>
    </row>
    <row r="44" spans="1:15" x14ac:dyDescent="0.25">
      <c r="A44" s="106" t="s">
        <v>86</v>
      </c>
      <c r="B44" s="52">
        <v>1</v>
      </c>
      <c r="C44" s="55" t="s">
        <v>57</v>
      </c>
      <c r="D44" s="55" t="s">
        <v>64</v>
      </c>
      <c r="E44" s="56" t="s">
        <v>65</v>
      </c>
      <c r="F44" s="56" t="s">
        <v>66</v>
      </c>
      <c r="G44" s="55" t="s">
        <v>27</v>
      </c>
      <c r="H44" s="57">
        <v>54</v>
      </c>
      <c r="I44" s="29" t="s">
        <v>62</v>
      </c>
      <c r="J44" s="48">
        <f>IF(I44="","",IF(I44="Muy Baja",0.2,IF(I44="Baja",0.4,IF(I44="Media",0.6,IF(I44="Alta",0.8,IF(I44="Muy Alta",1,))))))</f>
        <v>0</v>
      </c>
      <c r="K44" s="48" t="s">
        <v>67</v>
      </c>
      <c r="L44" s="48" t="str">
        <f>IF(NOT(ISERROR(MATCH(K44,#REF!,0))),#REF!&amp;"Por favor no seleccionar los criterios de impacto(Afectación Económica o presupuestal y Pérdida Reputacional)",K44)</f>
        <v xml:space="preserve">     Afectación menor a 10 SMLMV .</v>
      </c>
      <c r="M44" s="29" t="s">
        <v>37</v>
      </c>
      <c r="N44" s="48">
        <v>0.6</v>
      </c>
      <c r="O44" s="29" t="s">
        <v>37</v>
      </c>
    </row>
    <row r="45" spans="1:15" x14ac:dyDescent="0.25">
      <c r="A45" s="106"/>
      <c r="B45" s="53"/>
      <c r="C45" s="49"/>
      <c r="D45" s="49"/>
      <c r="E45" s="49"/>
      <c r="F45" s="49"/>
      <c r="G45" s="49"/>
      <c r="H45" s="49"/>
      <c r="I45" s="30"/>
      <c r="J45" s="49"/>
      <c r="K45" s="49"/>
      <c r="L45" s="49"/>
      <c r="M45" s="30"/>
      <c r="N45" s="49"/>
      <c r="O45" s="30"/>
    </row>
    <row r="46" spans="1:15" x14ac:dyDescent="0.25">
      <c r="A46" s="106"/>
      <c r="B46" s="53"/>
      <c r="C46" s="49"/>
      <c r="D46" s="49"/>
      <c r="E46" s="49"/>
      <c r="F46" s="49"/>
      <c r="G46" s="49"/>
      <c r="H46" s="49"/>
      <c r="I46" s="30"/>
      <c r="J46" s="49"/>
      <c r="K46" s="49"/>
      <c r="L46" s="49"/>
      <c r="M46" s="30"/>
      <c r="N46" s="49"/>
      <c r="O46" s="30"/>
    </row>
    <row r="47" spans="1:15" x14ac:dyDescent="0.25">
      <c r="A47" s="106"/>
      <c r="B47" s="53"/>
      <c r="C47" s="49"/>
      <c r="D47" s="49"/>
      <c r="E47" s="49"/>
      <c r="F47" s="49"/>
      <c r="G47" s="49"/>
      <c r="H47" s="49"/>
      <c r="I47" s="30"/>
      <c r="J47" s="49"/>
      <c r="K47" s="49"/>
      <c r="L47" s="49"/>
      <c r="M47" s="30"/>
      <c r="N47" s="49"/>
      <c r="O47" s="30"/>
    </row>
    <row r="48" spans="1:15" x14ac:dyDescent="0.25">
      <c r="A48" s="106"/>
      <c r="B48" s="53"/>
      <c r="C48" s="49"/>
      <c r="D48" s="49"/>
      <c r="E48" s="49"/>
      <c r="F48" s="49"/>
      <c r="G48" s="49"/>
      <c r="H48" s="49"/>
      <c r="I48" s="30"/>
      <c r="J48" s="49"/>
      <c r="K48" s="49"/>
      <c r="L48" s="49"/>
      <c r="M48" s="30"/>
      <c r="N48" s="49"/>
      <c r="O48" s="30"/>
    </row>
    <row r="49" spans="1:15" ht="36" customHeight="1" x14ac:dyDescent="0.25">
      <c r="A49" s="106"/>
      <c r="B49" s="54"/>
      <c r="C49" s="50"/>
      <c r="D49" s="50"/>
      <c r="E49" s="50"/>
      <c r="F49" s="50"/>
      <c r="G49" s="50"/>
      <c r="H49" s="50"/>
      <c r="I49" s="31"/>
      <c r="J49" s="50"/>
      <c r="K49" s="50"/>
      <c r="L49" s="50"/>
      <c r="M49" s="31"/>
      <c r="N49" s="50"/>
      <c r="O49" s="31"/>
    </row>
    <row r="50" spans="1:15" x14ac:dyDescent="0.25">
      <c r="A50" s="106"/>
      <c r="B50" s="52">
        <v>2</v>
      </c>
      <c r="C50" s="55" t="s">
        <v>57</v>
      </c>
      <c r="D50" s="55" t="s">
        <v>68</v>
      </c>
      <c r="E50" s="56" t="s">
        <v>69</v>
      </c>
      <c r="F50" s="56" t="s">
        <v>70</v>
      </c>
      <c r="G50" s="55" t="s">
        <v>27</v>
      </c>
      <c r="H50" s="57">
        <v>324</v>
      </c>
      <c r="I50" s="29" t="s">
        <v>37</v>
      </c>
      <c r="J50" s="48">
        <f>IF(I50="","",IF(I50="Muy Baja",0.2,IF(I50="Baja",0.4,IF(I50="Media",0.6,IF(I50="Alta",0.8,IF(I50="Muy Alta",1,))))))</f>
        <v>0</v>
      </c>
      <c r="K50" s="48" t="s">
        <v>71</v>
      </c>
      <c r="L50" s="48" t="str">
        <f>IF(NOT(ISERROR(MATCH(K50,#REF!,0))),#REF!&amp;"Por favor no seleccionar los criterios de impacto(Afectación Económica o presupuestal y Pérdida Reputacional)",K50)</f>
        <v xml:space="preserve">     El riesgo afecta la imagen de la entidad internamente, de conocimiento general, nivel interno, de Mesa Directiva y /o de provedores</v>
      </c>
      <c r="M50" s="29" t="s">
        <v>37</v>
      </c>
      <c r="N50" s="48"/>
      <c r="O50" s="29" t="s">
        <v>37</v>
      </c>
    </row>
    <row r="51" spans="1:15" x14ac:dyDescent="0.25">
      <c r="A51" s="106"/>
      <c r="B51" s="53"/>
      <c r="C51" s="49"/>
      <c r="D51" s="49"/>
      <c r="E51" s="49"/>
      <c r="F51" s="49"/>
      <c r="G51" s="49"/>
      <c r="H51" s="49"/>
      <c r="I51" s="30"/>
      <c r="J51" s="49"/>
      <c r="K51" s="49"/>
      <c r="L51" s="49"/>
      <c r="M51" s="30"/>
      <c r="N51" s="49"/>
      <c r="O51" s="30"/>
    </row>
    <row r="52" spans="1:15" x14ac:dyDescent="0.25">
      <c r="A52" s="106"/>
      <c r="B52" s="53"/>
      <c r="C52" s="49"/>
      <c r="D52" s="49"/>
      <c r="E52" s="49"/>
      <c r="F52" s="49"/>
      <c r="G52" s="49"/>
      <c r="H52" s="49"/>
      <c r="I52" s="30"/>
      <c r="J52" s="49"/>
      <c r="K52" s="49"/>
      <c r="L52" s="49"/>
      <c r="M52" s="30"/>
      <c r="N52" s="49"/>
      <c r="O52" s="30"/>
    </row>
    <row r="53" spans="1:15" x14ac:dyDescent="0.25">
      <c r="A53" s="106"/>
      <c r="B53" s="53"/>
      <c r="C53" s="49"/>
      <c r="D53" s="49"/>
      <c r="E53" s="49"/>
      <c r="F53" s="49"/>
      <c r="G53" s="49"/>
      <c r="H53" s="49"/>
      <c r="I53" s="30"/>
      <c r="J53" s="49"/>
      <c r="K53" s="49"/>
      <c r="L53" s="49"/>
      <c r="M53" s="30"/>
      <c r="N53" s="49"/>
      <c r="O53" s="30"/>
    </row>
    <row r="54" spans="1:15" x14ac:dyDescent="0.25">
      <c r="A54" s="106"/>
      <c r="B54" s="53"/>
      <c r="C54" s="49"/>
      <c r="D54" s="49"/>
      <c r="E54" s="49"/>
      <c r="F54" s="49"/>
      <c r="G54" s="49"/>
      <c r="H54" s="49"/>
      <c r="I54" s="30"/>
      <c r="J54" s="49"/>
      <c r="K54" s="49"/>
      <c r="L54" s="49"/>
      <c r="M54" s="30"/>
      <c r="N54" s="49"/>
      <c r="O54" s="30"/>
    </row>
    <row r="55" spans="1:15" ht="77.25" customHeight="1" x14ac:dyDescent="0.25">
      <c r="A55" s="106"/>
      <c r="B55" s="54"/>
      <c r="C55" s="50"/>
      <c r="D55" s="50"/>
      <c r="E55" s="50"/>
      <c r="F55" s="50"/>
      <c r="G55" s="50"/>
      <c r="H55" s="50"/>
      <c r="I55" s="31"/>
      <c r="J55" s="50"/>
      <c r="K55" s="50"/>
      <c r="L55" s="50"/>
      <c r="M55" s="31"/>
      <c r="N55" s="50"/>
      <c r="O55" s="31"/>
    </row>
    <row r="56" spans="1:15" x14ac:dyDescent="0.25">
      <c r="A56" s="106"/>
      <c r="B56" s="52">
        <v>3</v>
      </c>
      <c r="C56" s="55" t="s">
        <v>23</v>
      </c>
      <c r="D56" s="55" t="s">
        <v>72</v>
      </c>
      <c r="E56" s="56" t="s">
        <v>73</v>
      </c>
      <c r="F56" s="56" t="s">
        <v>74</v>
      </c>
      <c r="G56" s="55" t="s">
        <v>27</v>
      </c>
      <c r="H56" s="57">
        <v>12</v>
      </c>
      <c r="I56" s="51" t="str">
        <f>IF(H56&lt;=0,"",IF(H56&lt;=2,"Muy Baja",IF(H56&lt;=24,"Baja",IF(H56&lt;=500,"Media",IF(H56&lt;=5000,"Alta","Muy Alta")))))</f>
        <v>Baja</v>
      </c>
      <c r="J56" s="48">
        <f>IF(I56="","",IF(I56="Muy Baja",0.2,IF(I56="Baja",0.4,IF(I56="Media",0.6,IF(I56="Alta",0.8,IF(I56="Muy Alta",1,))))))</f>
        <v>0.4</v>
      </c>
      <c r="K56" s="48" t="s">
        <v>67</v>
      </c>
      <c r="L56" s="48" t="str">
        <f>IF(NOT(ISERROR(MATCH(K56,#REF!,0))),#REF!&amp;"Por favor no seleccionar los criterios de impacto(Afectación Económica o presupuestal y Pérdida Reputacional)",K56)</f>
        <v xml:space="preserve">     Afectación menor a 10 SMLMV .</v>
      </c>
      <c r="M56" s="124" t="s">
        <v>75</v>
      </c>
      <c r="N56" s="48">
        <v>0.4</v>
      </c>
      <c r="O56" s="61" t="s">
        <v>75</v>
      </c>
    </row>
    <row r="57" spans="1:15" x14ac:dyDescent="0.25">
      <c r="A57" s="106"/>
      <c r="B57" s="53"/>
      <c r="C57" s="109"/>
      <c r="D57" s="109"/>
      <c r="E57" s="109"/>
      <c r="F57" s="109"/>
      <c r="G57" s="49"/>
      <c r="H57" s="49"/>
      <c r="I57" s="49"/>
      <c r="J57" s="49"/>
      <c r="K57" s="49"/>
      <c r="L57" s="49"/>
      <c r="M57" s="62"/>
      <c r="N57" s="49"/>
      <c r="O57" s="62"/>
    </row>
    <row r="58" spans="1:15" x14ac:dyDescent="0.25">
      <c r="A58" s="106"/>
      <c r="B58" s="53"/>
      <c r="C58" s="109"/>
      <c r="D58" s="109"/>
      <c r="E58" s="109"/>
      <c r="F58" s="109"/>
      <c r="G58" s="49"/>
      <c r="H58" s="49"/>
      <c r="I58" s="49"/>
      <c r="J58" s="49"/>
      <c r="K58" s="49"/>
      <c r="L58" s="49"/>
      <c r="M58" s="62"/>
      <c r="N58" s="49"/>
      <c r="O58" s="62"/>
    </row>
    <row r="59" spans="1:15" x14ac:dyDescent="0.25">
      <c r="A59" s="106"/>
      <c r="B59" s="53"/>
      <c r="C59" s="109"/>
      <c r="D59" s="109"/>
      <c r="E59" s="109"/>
      <c r="F59" s="109"/>
      <c r="G59" s="49"/>
      <c r="H59" s="49"/>
      <c r="I59" s="49"/>
      <c r="J59" s="49"/>
      <c r="K59" s="49"/>
      <c r="L59" s="49"/>
      <c r="M59" s="62"/>
      <c r="N59" s="49"/>
      <c r="O59" s="62"/>
    </row>
    <row r="60" spans="1:15" x14ac:dyDescent="0.25">
      <c r="A60" s="106"/>
      <c r="B60" s="53"/>
      <c r="C60" s="109"/>
      <c r="D60" s="109"/>
      <c r="E60" s="109"/>
      <c r="F60" s="109"/>
      <c r="G60" s="49"/>
      <c r="H60" s="49"/>
      <c r="I60" s="49"/>
      <c r="J60" s="49"/>
      <c r="K60" s="49"/>
      <c r="L60" s="49"/>
      <c r="M60" s="62"/>
      <c r="N60" s="49"/>
      <c r="O60" s="62"/>
    </row>
    <row r="61" spans="1:15" ht="54.75" customHeight="1" x14ac:dyDescent="0.25">
      <c r="A61" s="106"/>
      <c r="B61" s="54"/>
      <c r="C61" s="110"/>
      <c r="D61" s="110"/>
      <c r="E61" s="110"/>
      <c r="F61" s="110"/>
      <c r="G61" s="50"/>
      <c r="H61" s="50"/>
      <c r="I61" s="50"/>
      <c r="J61" s="50"/>
      <c r="K61" s="50"/>
      <c r="L61" s="50"/>
      <c r="M61" s="63"/>
      <c r="N61" s="50"/>
      <c r="O61" s="63"/>
    </row>
    <row r="62" spans="1:15" x14ac:dyDescent="0.25">
      <c r="A62" s="106"/>
      <c r="B62" s="52">
        <v>4</v>
      </c>
      <c r="C62" s="55" t="s">
        <v>76</v>
      </c>
      <c r="D62" s="55" t="s">
        <v>130</v>
      </c>
      <c r="E62" s="56" t="s">
        <v>77</v>
      </c>
      <c r="F62" s="56" t="s">
        <v>78</v>
      </c>
      <c r="G62" s="55" t="s">
        <v>27</v>
      </c>
      <c r="H62" s="57">
        <v>12</v>
      </c>
      <c r="I62" s="51" t="str">
        <f>IF(H62&lt;=0,"",IF(H62&lt;=2,"Muy Baja",IF(H62&lt;=24,"Baja",IF(H62&lt;=500,"Media",IF(H62&lt;=5000,"Alta","Muy Alta")))))</f>
        <v>Baja</v>
      </c>
      <c r="J62" s="48">
        <f>IF(I62="","",IF(I62="Muy Baja",0.2,IF(I62="Baja",0.4,IF(I62="Media",0.6,IF(I62="Alta",0.8,IF(I62="Muy Alta",1,))))))</f>
        <v>0.4</v>
      </c>
      <c r="K62" s="48" t="s">
        <v>79</v>
      </c>
      <c r="L62" s="48" t="s">
        <v>79</v>
      </c>
      <c r="M62" s="51" t="s">
        <v>80</v>
      </c>
      <c r="N62" s="48">
        <v>0.4</v>
      </c>
      <c r="O62" s="64" t="s">
        <v>37</v>
      </c>
    </row>
    <row r="63" spans="1:15" x14ac:dyDescent="0.25">
      <c r="A63" s="106"/>
      <c r="B63" s="53"/>
      <c r="C63" s="49"/>
      <c r="D63" s="49"/>
      <c r="E63" s="49"/>
      <c r="F63" s="49"/>
      <c r="G63" s="49"/>
      <c r="H63" s="49"/>
      <c r="I63" s="49"/>
      <c r="J63" s="49"/>
      <c r="K63" s="49"/>
      <c r="L63" s="49"/>
      <c r="M63" s="49"/>
      <c r="N63" s="49"/>
      <c r="O63" s="30"/>
    </row>
    <row r="64" spans="1:15" x14ac:dyDescent="0.25">
      <c r="A64" s="106"/>
      <c r="B64" s="53"/>
      <c r="C64" s="49"/>
      <c r="D64" s="49"/>
      <c r="E64" s="49"/>
      <c r="F64" s="49"/>
      <c r="G64" s="49"/>
      <c r="H64" s="49"/>
      <c r="I64" s="49"/>
      <c r="J64" s="49"/>
      <c r="K64" s="49"/>
      <c r="L64" s="49"/>
      <c r="M64" s="49"/>
      <c r="N64" s="49"/>
      <c r="O64" s="30"/>
    </row>
    <row r="65" spans="1:15" x14ac:dyDescent="0.25">
      <c r="A65" s="106"/>
      <c r="B65" s="53"/>
      <c r="C65" s="49"/>
      <c r="D65" s="49"/>
      <c r="E65" s="49"/>
      <c r="F65" s="49"/>
      <c r="G65" s="49"/>
      <c r="H65" s="49"/>
      <c r="I65" s="49"/>
      <c r="J65" s="49"/>
      <c r="K65" s="49"/>
      <c r="L65" s="49"/>
      <c r="M65" s="49"/>
      <c r="N65" s="49"/>
      <c r="O65" s="30"/>
    </row>
    <row r="66" spans="1:15" x14ac:dyDescent="0.25">
      <c r="A66" s="106"/>
      <c r="B66" s="53"/>
      <c r="C66" s="49"/>
      <c r="D66" s="49"/>
      <c r="E66" s="49"/>
      <c r="F66" s="49"/>
      <c r="G66" s="49"/>
      <c r="H66" s="49"/>
      <c r="I66" s="49"/>
      <c r="J66" s="49"/>
      <c r="K66" s="49"/>
      <c r="L66" s="49"/>
      <c r="M66" s="49"/>
      <c r="N66" s="49"/>
      <c r="O66" s="30"/>
    </row>
    <row r="67" spans="1:15" ht="111.75" customHeight="1" x14ac:dyDescent="0.25">
      <c r="A67" s="106"/>
      <c r="B67" s="54"/>
      <c r="C67" s="50"/>
      <c r="D67" s="50"/>
      <c r="E67" s="50"/>
      <c r="F67" s="50"/>
      <c r="G67" s="50"/>
      <c r="H67" s="50"/>
      <c r="I67" s="50"/>
      <c r="J67" s="50"/>
      <c r="K67" s="50"/>
      <c r="L67" s="50"/>
      <c r="M67" s="50"/>
      <c r="N67" s="50"/>
      <c r="O67" s="31"/>
    </row>
    <row r="68" spans="1:15" x14ac:dyDescent="0.25">
      <c r="A68" s="106"/>
      <c r="B68" s="52">
        <v>5</v>
      </c>
      <c r="C68" s="55" t="s">
        <v>23</v>
      </c>
      <c r="D68" s="55" t="s">
        <v>131</v>
      </c>
      <c r="E68" s="56" t="s">
        <v>81</v>
      </c>
      <c r="F68" s="56" t="s">
        <v>82</v>
      </c>
      <c r="G68" s="55" t="s">
        <v>27</v>
      </c>
      <c r="H68" s="57">
        <v>2</v>
      </c>
      <c r="I68" s="58" t="str">
        <f>IF(H68&lt;=0,"",IF(H68&lt;=2,"Muy Baja",IF(H68&lt;=24,"Baja",IF(H68&lt;=500,"Media",IF(H68&lt;=5000,"Alta","Muy Alta")))))</f>
        <v>Muy Baja</v>
      </c>
      <c r="J68" s="48">
        <f>IF(I68="","",IF(I68="Muy Baja",0.2,IF(I68="Baja",0.4,IF(I68="Media",0.6,IF(I68="Alta",0.8,IF(I68="Muy Alta",1,))))))</f>
        <v>0.2</v>
      </c>
      <c r="K68" s="48" t="s">
        <v>79</v>
      </c>
      <c r="L68" s="48" t="s">
        <v>79</v>
      </c>
      <c r="M68" s="51" t="s">
        <v>80</v>
      </c>
      <c r="N68" s="48">
        <v>0.4</v>
      </c>
      <c r="O68" s="39" t="s">
        <v>49</v>
      </c>
    </row>
    <row r="69" spans="1:15" x14ac:dyDescent="0.25">
      <c r="A69" s="106"/>
      <c r="B69" s="53"/>
      <c r="C69" s="49"/>
      <c r="D69" s="49"/>
      <c r="E69" s="49"/>
      <c r="F69" s="49"/>
      <c r="G69" s="49"/>
      <c r="H69" s="49"/>
      <c r="I69" s="59"/>
      <c r="J69" s="49"/>
      <c r="K69" s="49"/>
      <c r="L69" s="49"/>
      <c r="M69" s="49"/>
      <c r="N69" s="49"/>
      <c r="O69" s="40"/>
    </row>
    <row r="70" spans="1:15" x14ac:dyDescent="0.25">
      <c r="A70" s="106"/>
      <c r="B70" s="53"/>
      <c r="C70" s="49"/>
      <c r="D70" s="49"/>
      <c r="E70" s="49"/>
      <c r="F70" s="49"/>
      <c r="G70" s="49"/>
      <c r="H70" s="49"/>
      <c r="I70" s="59"/>
      <c r="J70" s="49"/>
      <c r="K70" s="49"/>
      <c r="L70" s="49"/>
      <c r="M70" s="49"/>
      <c r="N70" s="49"/>
      <c r="O70" s="40"/>
    </row>
    <row r="71" spans="1:15" x14ac:dyDescent="0.25">
      <c r="A71" s="106"/>
      <c r="B71" s="53"/>
      <c r="C71" s="49"/>
      <c r="D71" s="49"/>
      <c r="E71" s="49"/>
      <c r="F71" s="49"/>
      <c r="G71" s="49"/>
      <c r="H71" s="49"/>
      <c r="I71" s="59"/>
      <c r="J71" s="49"/>
      <c r="K71" s="49"/>
      <c r="L71" s="49"/>
      <c r="M71" s="49"/>
      <c r="N71" s="49"/>
      <c r="O71" s="40"/>
    </row>
    <row r="72" spans="1:15" x14ac:dyDescent="0.25">
      <c r="A72" s="106"/>
      <c r="B72" s="53"/>
      <c r="C72" s="49"/>
      <c r="D72" s="49"/>
      <c r="E72" s="49"/>
      <c r="F72" s="49"/>
      <c r="G72" s="49"/>
      <c r="H72" s="49"/>
      <c r="I72" s="59"/>
      <c r="J72" s="49"/>
      <c r="K72" s="49"/>
      <c r="L72" s="49"/>
      <c r="M72" s="49"/>
      <c r="N72" s="49"/>
      <c r="O72" s="40"/>
    </row>
    <row r="73" spans="1:15" ht="52.5" customHeight="1" x14ac:dyDescent="0.25">
      <c r="A73" s="106"/>
      <c r="B73" s="54"/>
      <c r="C73" s="50"/>
      <c r="D73" s="50"/>
      <c r="E73" s="50"/>
      <c r="F73" s="50"/>
      <c r="G73" s="50"/>
      <c r="H73" s="50"/>
      <c r="I73" s="60"/>
      <c r="J73" s="50"/>
      <c r="K73" s="50"/>
      <c r="L73" s="50"/>
      <c r="M73" s="50"/>
      <c r="N73" s="50"/>
      <c r="O73" s="41"/>
    </row>
    <row r="74" spans="1:15" x14ac:dyDescent="0.25">
      <c r="A74" s="106"/>
      <c r="B74" s="52">
        <v>6</v>
      </c>
      <c r="C74" s="55" t="s">
        <v>57</v>
      </c>
      <c r="D74" s="55" t="s">
        <v>83</v>
      </c>
      <c r="E74" s="56" t="s">
        <v>84</v>
      </c>
      <c r="F74" s="56" t="s">
        <v>85</v>
      </c>
      <c r="G74" s="55" t="s">
        <v>27</v>
      </c>
      <c r="H74" s="57">
        <v>2</v>
      </c>
      <c r="I74" s="58" t="str">
        <f>IF(H74&lt;=0,"",IF(H74&lt;=2,"Muy Baja",IF(H74&lt;=24,"Baja",IF(H74&lt;=500,"Media",IF(H74&lt;=5000,"Alta","Muy Alta")))))</f>
        <v>Muy Baja</v>
      </c>
      <c r="J74" s="48">
        <f>IF(I74="","",IF(I74="Muy Baja",0.2,IF(I74="Baja",0.4,IF(I74="Media",0.6,IF(I74="Alta",0.8,IF(I74="Muy Alta",1,))))))</f>
        <v>0.2</v>
      </c>
      <c r="K74" s="48" t="s">
        <v>79</v>
      </c>
      <c r="L74" s="48" t="s">
        <v>79</v>
      </c>
      <c r="M74" s="51" t="s">
        <v>80</v>
      </c>
      <c r="N74" s="48">
        <v>0.4</v>
      </c>
      <c r="O74" s="39" t="s">
        <v>49</v>
      </c>
    </row>
    <row r="75" spans="1:15" x14ac:dyDescent="0.25">
      <c r="A75" s="106"/>
      <c r="B75" s="53"/>
      <c r="C75" s="49"/>
      <c r="D75" s="49"/>
      <c r="E75" s="49"/>
      <c r="F75" s="49"/>
      <c r="G75" s="49"/>
      <c r="H75" s="49"/>
      <c r="I75" s="59"/>
      <c r="J75" s="49"/>
      <c r="K75" s="49"/>
      <c r="L75" s="49"/>
      <c r="M75" s="49"/>
      <c r="N75" s="49"/>
      <c r="O75" s="40"/>
    </row>
    <row r="76" spans="1:15" x14ac:dyDescent="0.25">
      <c r="A76" s="106"/>
      <c r="B76" s="53"/>
      <c r="C76" s="49"/>
      <c r="D76" s="49"/>
      <c r="E76" s="49"/>
      <c r="F76" s="49"/>
      <c r="G76" s="49"/>
      <c r="H76" s="49"/>
      <c r="I76" s="59"/>
      <c r="J76" s="49"/>
      <c r="K76" s="49"/>
      <c r="L76" s="49"/>
      <c r="M76" s="49"/>
      <c r="N76" s="49"/>
      <c r="O76" s="40"/>
    </row>
    <row r="77" spans="1:15" x14ac:dyDescent="0.25">
      <c r="A77" s="106"/>
      <c r="B77" s="53"/>
      <c r="C77" s="49"/>
      <c r="D77" s="49"/>
      <c r="E77" s="49"/>
      <c r="F77" s="49"/>
      <c r="G77" s="49"/>
      <c r="H77" s="49"/>
      <c r="I77" s="59"/>
      <c r="J77" s="49"/>
      <c r="K77" s="49"/>
      <c r="L77" s="49"/>
      <c r="M77" s="49"/>
      <c r="N77" s="49"/>
      <c r="O77" s="40"/>
    </row>
    <row r="78" spans="1:15" x14ac:dyDescent="0.25">
      <c r="A78" s="106"/>
      <c r="B78" s="53"/>
      <c r="C78" s="49"/>
      <c r="D78" s="49"/>
      <c r="E78" s="49"/>
      <c r="F78" s="49"/>
      <c r="G78" s="49"/>
      <c r="H78" s="49"/>
      <c r="I78" s="59"/>
      <c r="J78" s="49"/>
      <c r="K78" s="49"/>
      <c r="L78" s="49"/>
      <c r="M78" s="49"/>
      <c r="N78" s="49"/>
      <c r="O78" s="40"/>
    </row>
    <row r="79" spans="1:15" ht="48" customHeight="1" x14ac:dyDescent="0.25">
      <c r="A79" s="106"/>
      <c r="B79" s="54"/>
      <c r="C79" s="50"/>
      <c r="D79" s="50"/>
      <c r="E79" s="50"/>
      <c r="F79" s="50"/>
      <c r="G79" s="50"/>
      <c r="H79" s="50"/>
      <c r="I79" s="60"/>
      <c r="J79" s="50"/>
      <c r="K79" s="50"/>
      <c r="L79" s="50"/>
      <c r="M79" s="50"/>
      <c r="N79" s="50"/>
      <c r="O79" s="41"/>
    </row>
    <row r="80" spans="1:15" x14ac:dyDescent="0.25">
      <c r="A80" s="106" t="s">
        <v>95</v>
      </c>
      <c r="B80" s="43">
        <v>1</v>
      </c>
      <c r="C80" s="35" t="s">
        <v>23</v>
      </c>
      <c r="D80" s="35" t="s">
        <v>88</v>
      </c>
      <c r="E80" s="36" t="s">
        <v>89</v>
      </c>
      <c r="F80" s="36" t="s">
        <v>90</v>
      </c>
      <c r="G80" s="35" t="s">
        <v>27</v>
      </c>
      <c r="H80" s="37">
        <v>7</v>
      </c>
      <c r="I80" s="38" t="str">
        <f>IF(H80&lt;=0,"",IF(H80&lt;=2,"Muy Baja",IF(H80&lt;=24,"Baja",IF(H80&lt;=500,"Media",IF(H80&lt;=5000,"Alta","Muy Alta")))))</f>
        <v>Baja</v>
      </c>
      <c r="J80" s="32">
        <f>IF(I80="","",IF(I80="Muy Baja",0.2,IF(I80="Baja",0.4,IF(I80="Media",0.6,IF(I80="Alta",0.8,IF(I80="Muy Alta",1,))))))</f>
        <v>0.4</v>
      </c>
      <c r="K80" s="32" t="s">
        <v>48</v>
      </c>
      <c r="L80" s="32" t="str">
        <f>IF(NOT(ISERROR(MATCH(K80,#REF!,0))),#REF!&amp;"Por favor no seleccionar los criterios de impacto(Afectación Económica o presupuestal y Pérdida Reputacional)",K80)</f>
        <v xml:space="preserve">     El riesgo afecta la imagen de alguna área de la organización</v>
      </c>
      <c r="M80" s="29"/>
      <c r="N80" s="32">
        <v>0.6</v>
      </c>
      <c r="O80" s="64"/>
    </row>
    <row r="81" spans="1:15" x14ac:dyDescent="0.25">
      <c r="A81" s="106"/>
      <c r="B81" s="44"/>
      <c r="C81" s="33"/>
      <c r="D81" s="33"/>
      <c r="E81" s="33"/>
      <c r="F81" s="33"/>
      <c r="G81" s="33"/>
      <c r="H81" s="33"/>
      <c r="I81" s="33"/>
      <c r="J81" s="33"/>
      <c r="K81" s="33"/>
      <c r="L81" s="33"/>
      <c r="M81" s="30"/>
      <c r="N81" s="33"/>
      <c r="O81" s="30"/>
    </row>
    <row r="82" spans="1:15" x14ac:dyDescent="0.25">
      <c r="A82" s="106"/>
      <c r="B82" s="44"/>
      <c r="C82" s="33"/>
      <c r="D82" s="33"/>
      <c r="E82" s="33"/>
      <c r="F82" s="33"/>
      <c r="G82" s="33"/>
      <c r="H82" s="33"/>
      <c r="I82" s="33"/>
      <c r="J82" s="33"/>
      <c r="K82" s="33"/>
      <c r="L82" s="33"/>
      <c r="M82" s="30"/>
      <c r="N82" s="33"/>
      <c r="O82" s="30"/>
    </row>
    <row r="83" spans="1:15" x14ac:dyDescent="0.25">
      <c r="A83" s="106"/>
      <c r="B83" s="44"/>
      <c r="C83" s="33"/>
      <c r="D83" s="33"/>
      <c r="E83" s="33"/>
      <c r="F83" s="33"/>
      <c r="G83" s="33"/>
      <c r="H83" s="33"/>
      <c r="I83" s="33"/>
      <c r="J83" s="33"/>
      <c r="K83" s="33"/>
      <c r="L83" s="33"/>
      <c r="M83" s="30"/>
      <c r="N83" s="33"/>
      <c r="O83" s="30"/>
    </row>
    <row r="84" spans="1:15" x14ac:dyDescent="0.25">
      <c r="A84" s="106"/>
      <c r="B84" s="44"/>
      <c r="C84" s="33"/>
      <c r="D84" s="33"/>
      <c r="E84" s="33"/>
      <c r="F84" s="33"/>
      <c r="G84" s="33"/>
      <c r="H84" s="33"/>
      <c r="I84" s="33"/>
      <c r="J84" s="33"/>
      <c r="K84" s="33"/>
      <c r="L84" s="33"/>
      <c r="M84" s="30"/>
      <c r="N84" s="33"/>
      <c r="O84" s="30"/>
    </row>
    <row r="85" spans="1:15" ht="69.75" customHeight="1" x14ac:dyDescent="0.25">
      <c r="A85" s="106"/>
      <c r="B85" s="45"/>
      <c r="C85" s="34"/>
      <c r="D85" s="34"/>
      <c r="E85" s="34"/>
      <c r="F85" s="34"/>
      <c r="G85" s="34"/>
      <c r="H85" s="34"/>
      <c r="I85" s="34"/>
      <c r="J85" s="34"/>
      <c r="K85" s="34"/>
      <c r="L85" s="34"/>
      <c r="M85" s="31"/>
      <c r="N85" s="34"/>
      <c r="O85" s="31"/>
    </row>
    <row r="86" spans="1:15" ht="138.75" customHeight="1" x14ac:dyDescent="0.25">
      <c r="A86" s="106"/>
      <c r="B86" s="21">
        <v>2</v>
      </c>
      <c r="C86" s="24" t="s">
        <v>23</v>
      </c>
      <c r="D86" s="24" t="s">
        <v>91</v>
      </c>
      <c r="E86" s="24" t="s">
        <v>92</v>
      </c>
      <c r="F86" s="24" t="s">
        <v>93</v>
      </c>
      <c r="G86" s="24" t="s">
        <v>27</v>
      </c>
      <c r="H86" s="25">
        <v>10</v>
      </c>
      <c r="I86" s="3" t="str">
        <f>IF(H86&lt;=0,"",IF(H86&lt;=2,"Muy Baja",IF(H86&lt;=24,"Baja",IF(H86&lt;=500,"Media",IF(H86&lt;=5000,"Alta","Muy Alta")))))</f>
        <v>Baja</v>
      </c>
      <c r="J86" s="26">
        <f>IF(I86="","",IF(I86="Muy Baja",0.2,IF(I86="Baja",0.4,IF(I86="Media",0.6,IF(I86="Alta",0.8,IF(I86="Muy Alta",1,))))))</f>
        <v>0.4</v>
      </c>
      <c r="K86" s="26" t="s">
        <v>94</v>
      </c>
      <c r="L86" s="26" t="str">
        <f>IF(NOT(ISERROR(MATCH(K86,#REF!,0))),#REF!&amp;"Por favor no seleccionar los criterios de impacto(Afectación Económica o presupuestal y Pérdida Reputacional)",K86)</f>
        <v xml:space="preserve">     El riesgo afecta la imagen de la entidad internamente, de conocimiento general, nivel interno, de junta dircetiva y accionistas y/o de provedores</v>
      </c>
      <c r="M86" s="17" t="s">
        <v>37</v>
      </c>
      <c r="N86" s="26">
        <v>0.6</v>
      </c>
      <c r="O86" s="16" t="s">
        <v>37</v>
      </c>
    </row>
    <row r="87" spans="1:15" x14ac:dyDescent="0.25">
      <c r="A87" s="131" t="s">
        <v>104</v>
      </c>
      <c r="B87" s="37">
        <v>1</v>
      </c>
      <c r="C87" s="35" t="s">
        <v>127</v>
      </c>
      <c r="D87" s="35" t="s">
        <v>129</v>
      </c>
      <c r="E87" s="36" t="s">
        <v>96</v>
      </c>
      <c r="F87" s="36" t="s">
        <v>97</v>
      </c>
      <c r="G87" s="35" t="s">
        <v>98</v>
      </c>
      <c r="H87" s="37">
        <v>25</v>
      </c>
      <c r="I87" s="38" t="str">
        <f>IF(H87&lt;=0,"",IF(H87&lt;=2,"Muy Baja",IF(H87&lt;=24,"Baja",IF(H87&lt;=500,"Media",IF(H87&lt;=5000,"Alta","Muy Alta")))))</f>
        <v>Media</v>
      </c>
      <c r="J87" s="32">
        <f>IF(I87="","",IF(I87="Muy Baja",0.2,IF(I87="Baja",0.4,IF(I87="Media",0.6,IF(I87="Alta",0.8,IF(I87="Muy Alta",1,))))))</f>
        <v>0.6</v>
      </c>
      <c r="K87" s="32" t="s">
        <v>99</v>
      </c>
      <c r="L87" s="32" t="str">
        <f>IF(NOT(ISERROR(MATCH(K87,#REF!,0))),#REF!&amp;"Por favor no seleccionar los criterios de impacto(Afectación Económica o presupuestal y Pérdida Reputacional)",K87)</f>
        <v>El riesgo afecta la función administrativa de la Corporación y a nivel externo afecta en el momento de atender auditorias externas con los entes de control o requerimientos de instancias administrativas como la Alcaldia Municipal.</v>
      </c>
      <c r="M87" s="38" t="s">
        <v>37</v>
      </c>
      <c r="N87" s="32">
        <f>IF(M87="","",IF(M87="Leve",0.2,IF(M87="Menor",0.4,IF(M87="Moderado",0.6,IF(M87="Mayor",0.8,IF(M87="Catastrófico",1,))))))</f>
        <v>0.6</v>
      </c>
      <c r="O87" s="42" t="str">
        <f>IF(OR(AND(I87="Muy Baja",M87="Leve"),AND(I87="Muy Baja",M87="Menor"),AND(I87="Baja",M87="Leve")),"Bajo",IF(OR(AND(I87="Muy baja",M87="Moderado"),AND(I87="Baja",M87="Menor"),AND(I87="Baja",M87="Moderado"),AND(I87="Media",M87="Leve"),AND(I87="Media",M87="Menor"),AND(I87="Media",M87="Moderado"),AND(I87="Alta",M87="Leve"),AND(I87="Alta",M87="Menor")),"Moderado",IF(OR(AND(I87="Muy Baja",M87="Mayor"),AND(I87="Baja",M87="Mayor"),AND(I87="Media",M87="Mayor"),AND(I87="Alta",M87="Moderado"),AND(I87="Alta",M87="Mayor"),AND(I87="Muy Alta",M87="Leve"),AND(I87="Muy Alta",M87="Menor"),AND(I87="Muy Alta",M87="Moderado"),AND(I87="Muy Alta",M87="Mayor")),"Alto",IF(OR(AND(I87="Muy Baja",M87="Catastrófico"),AND(I87="Baja",M87="Catastrófico"),AND(I87="Media",M87="Catastrófico"),AND(I87="Alta",M87="Catastrófico"),AND(I87="Muy Alta",M87="Catastrófico")),"Extremo",""))))</f>
        <v>Moderado</v>
      </c>
    </row>
    <row r="88" spans="1:15" ht="196.5" customHeight="1" x14ac:dyDescent="0.25">
      <c r="A88" s="132"/>
      <c r="B88" s="126"/>
      <c r="C88" s="125"/>
      <c r="D88" s="125"/>
      <c r="E88" s="127"/>
      <c r="F88" s="127"/>
      <c r="G88" s="125"/>
      <c r="H88" s="126"/>
      <c r="I88" s="128"/>
      <c r="J88" s="129"/>
      <c r="K88" s="129"/>
      <c r="L88" s="129"/>
      <c r="M88" s="128"/>
      <c r="N88" s="129"/>
      <c r="O88" s="130"/>
    </row>
    <row r="89" spans="1:15" x14ac:dyDescent="0.25">
      <c r="A89" s="132"/>
      <c r="B89" s="37">
        <v>2</v>
      </c>
      <c r="C89" s="35" t="s">
        <v>128</v>
      </c>
      <c r="D89" s="35" t="s">
        <v>100</v>
      </c>
      <c r="E89" s="36" t="s">
        <v>101</v>
      </c>
      <c r="F89" s="36" t="s">
        <v>102</v>
      </c>
      <c r="G89" s="35" t="s">
        <v>98</v>
      </c>
      <c r="H89" s="37">
        <v>365</v>
      </c>
      <c r="I89" s="38" t="str">
        <f>IF(H89&lt;=0,"",IF(H89&lt;=2,"Muy Baja",IF(H89&lt;=24,"Baja",IF(H89&lt;=500,"Media",IF(H89&lt;=5000,"Alta","Muy Alta")))))</f>
        <v>Media</v>
      </c>
      <c r="J89" s="32">
        <f>IF(I89="","",IF(I89="Muy Baja",0.2,IF(I89="Baja",0.4,IF(I89="Media",0.6,IF(I89="Alta",0.8,IF(I89="Muy Alta",1,))))))</f>
        <v>0.6</v>
      </c>
      <c r="K89" s="32" t="s">
        <v>103</v>
      </c>
      <c r="L89" s="32" t="str">
        <f>IF(NOT(ISERROR(MATCH(K89,#REF!,0))),#REF!&amp;"Por favor no seleccionar los criterios de impacto(Afectación Económica o presupuestal y Pérdida Reputacional)",K89)</f>
        <v xml:space="preserve">     El riesgo afecta directamente las funciones administrativas de la Corporacion ya que puede generar la perdida de la certificacion bajo la norma ISO 9001:2015 o en su defecto mantener un sistema que no le genera ningun valora agregado a la Corporacion.</v>
      </c>
      <c r="M89" s="38" t="s">
        <v>37</v>
      </c>
      <c r="N89" s="32">
        <f>IF(M89="","",IF(M89="Leve",0.2,IF(M89="Menor",0.4,IF(M89="Moderado",0.6,IF(M89="Mayor",0.8,IF(M89="Catastrófico",1,))))))</f>
        <v>0.6</v>
      </c>
      <c r="O89" s="42" t="str">
        <f>IF(OR(AND(I89="Muy Baja",M89="Leve"),AND(I89="Muy Baja",M89="Menor"),AND(I89="Baja",M89="Leve")),"Bajo",IF(OR(AND(I89="Muy baja",M89="Moderado"),AND(I89="Baja",M89="Menor"),AND(I89="Baja",M89="Moderado"),AND(I89="Media",M89="Leve"),AND(I89="Media",M89="Menor"),AND(I89="Media",M89="Moderado"),AND(I89="Alta",M89="Leve"),AND(I89="Alta",M89="Menor")),"Moderado",IF(OR(AND(I89="Muy Baja",M89="Mayor"),AND(I89="Baja",M89="Mayor"),AND(I89="Media",M89="Mayor"),AND(I89="Alta",M89="Moderado"),AND(I89="Alta",M89="Mayor"),AND(I89="Muy Alta",M89="Leve"),AND(I89="Muy Alta",M89="Menor"),AND(I89="Muy Alta",M89="Moderado"),AND(I89="Muy Alta",M89="Mayor")),"Alto",IF(OR(AND(I89="Muy Baja",M89="Catastrófico"),AND(I89="Baja",M89="Catastrófico"),AND(I89="Media",M89="Catastrófico"),AND(I89="Alta",M89="Catastrófico"),AND(I89="Muy Alta",M89="Catastrófico")),"Extremo",""))))</f>
        <v>Moderado</v>
      </c>
    </row>
    <row r="90" spans="1:15" ht="254.25" customHeight="1" x14ac:dyDescent="0.25">
      <c r="A90" s="132"/>
      <c r="B90" s="33"/>
      <c r="C90" s="33"/>
      <c r="D90" s="33"/>
      <c r="E90" s="33"/>
      <c r="F90" s="33"/>
      <c r="G90" s="125"/>
      <c r="H90" s="33"/>
      <c r="I90" s="33"/>
      <c r="J90" s="33"/>
      <c r="K90" s="33"/>
      <c r="L90" s="33"/>
      <c r="M90" s="128"/>
      <c r="N90" s="33"/>
      <c r="O90" s="33"/>
    </row>
    <row r="91" spans="1:15" x14ac:dyDescent="0.25">
      <c r="A91" s="106" t="s">
        <v>105</v>
      </c>
      <c r="B91" s="43">
        <v>1</v>
      </c>
      <c r="C91" s="35" t="s">
        <v>23</v>
      </c>
      <c r="D91" s="35" t="s">
        <v>41</v>
      </c>
      <c r="E91" s="36" t="s">
        <v>42</v>
      </c>
      <c r="F91" s="36" t="s">
        <v>43</v>
      </c>
      <c r="G91" s="35" t="s">
        <v>27</v>
      </c>
      <c r="H91" s="37">
        <v>10</v>
      </c>
      <c r="I91" s="38" t="str">
        <f>IF(H91&lt;=0,"",IF(H91&lt;=2,"Muy Baja",IF(H91&lt;=24,"Baja",IF(H91&lt;=500,"Media",IF(H91&lt;=5000,"Alta","Muy Alta")))))</f>
        <v>Baja</v>
      </c>
      <c r="J91" s="32">
        <f>IF(I91="","",IF(I91="Muy Baja",0.2,IF(I91="Baja",0.4,IF(I91="Media",0.6,IF(I91="Alta",0.8,IF(I91="Muy Alta",1,))))))</f>
        <v>0.4</v>
      </c>
      <c r="K91" s="32" t="s">
        <v>31</v>
      </c>
      <c r="L91" s="32" t="s">
        <v>31</v>
      </c>
      <c r="M91" s="29" t="s">
        <v>37</v>
      </c>
      <c r="N91" s="32">
        <v>0.6</v>
      </c>
      <c r="O91" s="64" t="s">
        <v>37</v>
      </c>
    </row>
    <row r="92" spans="1:15" ht="106.5" customHeight="1" x14ac:dyDescent="0.25">
      <c r="A92" s="106"/>
      <c r="B92" s="44"/>
      <c r="C92" s="33"/>
      <c r="D92" s="33"/>
      <c r="E92" s="33"/>
      <c r="F92" s="33"/>
      <c r="G92" s="33"/>
      <c r="H92" s="33"/>
      <c r="I92" s="33"/>
      <c r="J92" s="33"/>
      <c r="K92" s="33"/>
      <c r="L92" s="33"/>
      <c r="M92" s="30"/>
      <c r="N92" s="33"/>
      <c r="O92" s="30"/>
    </row>
    <row r="93" spans="1:15" ht="156.75" x14ac:dyDescent="0.25">
      <c r="A93" s="106"/>
      <c r="B93" s="21">
        <v>2</v>
      </c>
      <c r="C93" s="15" t="s">
        <v>23</v>
      </c>
      <c r="D93" s="15" t="s">
        <v>44</v>
      </c>
      <c r="E93" s="24" t="s">
        <v>45</v>
      </c>
      <c r="F93" s="24" t="s">
        <v>46</v>
      </c>
      <c r="G93" s="15" t="s">
        <v>47</v>
      </c>
      <c r="H93" s="22">
        <v>712</v>
      </c>
      <c r="I93" s="3" t="str">
        <f>IF(H93&lt;=0,"",IF(H93&lt;=2,"Muy Baja",IF(H93&lt;=24,"Baja",IF(H93&lt;=500,"Media",IF(H93&lt;=5000,"Alta","Muy Alta")))))</f>
        <v>Alta</v>
      </c>
      <c r="J93" s="23">
        <f>IF(I93="","",IF(I93="Muy Baja",0.2,IF(I93="Baja",0.4,IF(I93="Media",0.6,IF(I93="Alta",0.8,IF(I93="Muy Alta",1,))))))</f>
        <v>0.8</v>
      </c>
      <c r="K93" s="23" t="s">
        <v>48</v>
      </c>
      <c r="L93" s="23" t="s">
        <v>48</v>
      </c>
      <c r="M93" s="12" t="s">
        <v>49</v>
      </c>
      <c r="N93" s="23">
        <v>0.2</v>
      </c>
      <c r="O93" s="11" t="s">
        <v>37</v>
      </c>
    </row>
    <row r="94" spans="1:15" x14ac:dyDescent="0.25">
      <c r="A94" s="106" t="s">
        <v>112</v>
      </c>
      <c r="B94" s="98">
        <v>1</v>
      </c>
      <c r="C94" s="99" t="s">
        <v>76</v>
      </c>
      <c r="D94" s="99" t="s">
        <v>132</v>
      </c>
      <c r="E94" s="100" t="s">
        <v>106</v>
      </c>
      <c r="F94" s="101" t="s">
        <v>107</v>
      </c>
      <c r="G94" s="99" t="s">
        <v>34</v>
      </c>
      <c r="H94" s="102">
        <v>12</v>
      </c>
      <c r="I94" s="133" t="s">
        <v>75</v>
      </c>
      <c r="J94" s="95">
        <v>0.4</v>
      </c>
      <c r="K94" s="104" t="s">
        <v>108</v>
      </c>
      <c r="L94" s="95" t="s">
        <v>108</v>
      </c>
      <c r="M94" s="97" t="s">
        <v>37</v>
      </c>
      <c r="N94" s="95">
        <v>0.6</v>
      </c>
      <c r="O94" s="96" t="s">
        <v>37</v>
      </c>
    </row>
    <row r="95" spans="1:15" x14ac:dyDescent="0.25">
      <c r="A95" s="106"/>
      <c r="B95" s="98"/>
      <c r="C95" s="99"/>
      <c r="D95" s="99"/>
      <c r="E95" s="100"/>
      <c r="F95" s="101"/>
      <c r="G95" s="99"/>
      <c r="H95" s="102"/>
      <c r="I95" s="133"/>
      <c r="J95" s="95"/>
      <c r="K95" s="104"/>
      <c r="L95" s="95">
        <v>0</v>
      </c>
      <c r="M95" s="97"/>
      <c r="N95" s="95"/>
      <c r="O95" s="96"/>
    </row>
    <row r="96" spans="1:15" ht="81.75" customHeight="1" x14ac:dyDescent="0.25">
      <c r="A96" s="106"/>
      <c r="B96" s="98"/>
      <c r="C96" s="99"/>
      <c r="D96" s="99"/>
      <c r="E96" s="100"/>
      <c r="F96" s="101"/>
      <c r="G96" s="99"/>
      <c r="H96" s="102"/>
      <c r="I96" s="133"/>
      <c r="J96" s="95"/>
      <c r="K96" s="104"/>
      <c r="L96" s="95">
        <v>0</v>
      </c>
      <c r="M96" s="97"/>
      <c r="N96" s="95"/>
      <c r="O96" s="96"/>
    </row>
    <row r="97" spans="1:15" x14ac:dyDescent="0.25">
      <c r="A97" s="106"/>
      <c r="B97" s="98">
        <v>2</v>
      </c>
      <c r="C97" s="99" t="s">
        <v>76</v>
      </c>
      <c r="D97" s="99" t="s">
        <v>133</v>
      </c>
      <c r="E97" s="100" t="s">
        <v>134</v>
      </c>
      <c r="F97" s="101" t="s">
        <v>109</v>
      </c>
      <c r="G97" s="99" t="s">
        <v>34</v>
      </c>
      <c r="H97" s="102">
        <v>12</v>
      </c>
      <c r="I97" s="133" t="s">
        <v>75</v>
      </c>
      <c r="J97" s="95">
        <v>0.4</v>
      </c>
      <c r="K97" s="104" t="s">
        <v>108</v>
      </c>
      <c r="L97" s="95" t="s">
        <v>108</v>
      </c>
      <c r="M97" s="97" t="s">
        <v>37</v>
      </c>
      <c r="N97" s="95">
        <v>0.6</v>
      </c>
      <c r="O97" s="96" t="s">
        <v>37</v>
      </c>
    </row>
    <row r="98" spans="1:15" ht="95.25" customHeight="1" x14ac:dyDescent="0.25">
      <c r="A98" s="106"/>
      <c r="B98" s="98"/>
      <c r="C98" s="99"/>
      <c r="D98" s="99"/>
      <c r="E98" s="100"/>
      <c r="F98" s="101"/>
      <c r="G98" s="99"/>
      <c r="H98" s="102"/>
      <c r="I98" s="133"/>
      <c r="J98" s="95"/>
      <c r="K98" s="104"/>
      <c r="L98" s="95">
        <v>0</v>
      </c>
      <c r="M98" s="97"/>
      <c r="N98" s="95"/>
      <c r="O98" s="96"/>
    </row>
    <row r="99" spans="1:15" ht="109.5" customHeight="1" x14ac:dyDescent="0.25">
      <c r="A99" s="106"/>
      <c r="B99" s="14">
        <v>3</v>
      </c>
      <c r="C99" s="5" t="s">
        <v>57</v>
      </c>
      <c r="D99" s="5" t="s">
        <v>130</v>
      </c>
      <c r="E99" s="27" t="s">
        <v>110</v>
      </c>
      <c r="F99" s="28" t="s">
        <v>111</v>
      </c>
      <c r="G99" s="5" t="s">
        <v>34</v>
      </c>
      <c r="H99" s="6">
        <v>12</v>
      </c>
      <c r="I99" s="18" t="s">
        <v>75</v>
      </c>
      <c r="J99" s="7">
        <v>0.4</v>
      </c>
      <c r="K99" s="8" t="s">
        <v>108</v>
      </c>
      <c r="L99" s="7" t="s">
        <v>108</v>
      </c>
      <c r="M99" s="9" t="s">
        <v>37</v>
      </c>
      <c r="N99" s="7">
        <v>0.6</v>
      </c>
      <c r="O99" s="10" t="s">
        <v>37</v>
      </c>
    </row>
    <row r="100" spans="1:15" x14ac:dyDescent="0.25">
      <c r="A100" s="106" t="s">
        <v>116</v>
      </c>
      <c r="B100" s="98">
        <v>1</v>
      </c>
      <c r="C100" s="99" t="s">
        <v>23</v>
      </c>
      <c r="D100" s="99" t="s">
        <v>113</v>
      </c>
      <c r="E100" s="100" t="s">
        <v>114</v>
      </c>
      <c r="F100" s="101" t="s">
        <v>115</v>
      </c>
      <c r="G100" s="99" t="s">
        <v>27</v>
      </c>
      <c r="H100" s="102">
        <v>116</v>
      </c>
      <c r="I100" s="103" t="str">
        <f>IF(H100&lt;=0,"",IF(H100&lt;=2,"Muy Baja",IF(H100&lt;=24,"Baja",IF(H100&lt;=500,"Media",IF(H100&lt;=5000,"Alta","Muy Alta")))))</f>
        <v>Media</v>
      </c>
      <c r="J100" s="95">
        <f>IF(I100="","",IF(I100="Muy Baja",0.2,IF(I100="Baja",0.4,IF(I100="Media",0.6,IF(I100="Alta",0.8,IF(I100="Muy Alta",1,))))))</f>
        <v>0.6</v>
      </c>
      <c r="K100" s="104" t="s">
        <v>94</v>
      </c>
      <c r="L100" s="95" t="str">
        <f>IF(NOT(ISERROR(MATCH(K100,#REF!,0))),#REF!&amp;"Por favor no seleccionar los criterios de impacto(Afectación Económica o presupuestal y Pérdida Reputacional)",K100)</f>
        <v xml:space="preserve">     El riesgo afecta la imagen de la entidad internamente, de conocimiento general, nivel interno, de junta dircetiva y accionistas y/o de provedores</v>
      </c>
      <c r="M100" s="134" t="s">
        <v>40</v>
      </c>
      <c r="N100" s="95">
        <v>0.6</v>
      </c>
      <c r="O100" s="134" t="s">
        <v>40</v>
      </c>
    </row>
    <row r="101" spans="1:15" x14ac:dyDescent="0.25">
      <c r="A101" s="106"/>
      <c r="B101" s="98"/>
      <c r="C101" s="99"/>
      <c r="D101" s="99"/>
      <c r="E101" s="100"/>
      <c r="F101" s="101"/>
      <c r="G101" s="99"/>
      <c r="H101" s="102"/>
      <c r="I101" s="103"/>
      <c r="J101" s="95"/>
      <c r="K101" s="104"/>
      <c r="L101" s="95">
        <f>IF(NOT(ISERROR(MATCH(K101,_xlfn.ANCHORARRAY(F106),0))),J108&amp;"Por favor no seleccionar los criterios de impacto",K101)</f>
        <v>0</v>
      </c>
      <c r="M101" s="134"/>
      <c r="N101" s="95"/>
      <c r="O101" s="134"/>
    </row>
    <row r="102" spans="1:15" x14ac:dyDescent="0.25">
      <c r="A102" s="106"/>
      <c r="B102" s="98"/>
      <c r="C102" s="99"/>
      <c r="D102" s="99"/>
      <c r="E102" s="100"/>
      <c r="F102" s="101"/>
      <c r="G102" s="99"/>
      <c r="H102" s="102"/>
      <c r="I102" s="103"/>
      <c r="J102" s="95"/>
      <c r="K102" s="104"/>
      <c r="L102" s="95">
        <f>IF(NOT(ISERROR(MATCH(K102,_xlfn.ANCHORARRAY(F107),0))),J109&amp;"Por favor no seleccionar los criterios de impacto",K102)</f>
        <v>0</v>
      </c>
      <c r="M102" s="134"/>
      <c r="N102" s="95"/>
      <c r="O102" s="134"/>
    </row>
    <row r="103" spans="1:15" x14ac:dyDescent="0.25">
      <c r="A103" s="106"/>
      <c r="B103" s="98"/>
      <c r="C103" s="99"/>
      <c r="D103" s="99"/>
      <c r="E103" s="100"/>
      <c r="F103" s="101"/>
      <c r="G103" s="99"/>
      <c r="H103" s="102"/>
      <c r="I103" s="103"/>
      <c r="J103" s="95"/>
      <c r="K103" s="104"/>
      <c r="L103" s="95">
        <f>IF(NOT(ISERROR(MATCH(K103,_xlfn.ANCHORARRAY(F108),0))),J110&amp;"Por favor no seleccionar los criterios de impacto",K103)</f>
        <v>0</v>
      </c>
      <c r="M103" s="134"/>
      <c r="N103" s="95"/>
      <c r="O103" s="134"/>
    </row>
    <row r="104" spans="1:15" x14ac:dyDescent="0.25">
      <c r="A104" s="106"/>
      <c r="B104" s="98"/>
      <c r="C104" s="99"/>
      <c r="D104" s="99"/>
      <c r="E104" s="100"/>
      <c r="F104" s="101"/>
      <c r="G104" s="99"/>
      <c r="H104" s="102"/>
      <c r="I104" s="103"/>
      <c r="J104" s="95"/>
      <c r="K104" s="104"/>
      <c r="L104" s="95">
        <f>IF(NOT(ISERROR(MATCH(K104,_xlfn.ANCHORARRAY(F109),0))),J111&amp;"Por favor no seleccionar los criterios de impacto",K104)</f>
        <v>0</v>
      </c>
      <c r="M104" s="134"/>
      <c r="N104" s="95"/>
      <c r="O104" s="134"/>
    </row>
    <row r="105" spans="1:15" ht="86.25" customHeight="1" x14ac:dyDescent="0.25">
      <c r="A105" s="106"/>
      <c r="B105" s="98"/>
      <c r="C105" s="99"/>
      <c r="D105" s="99"/>
      <c r="E105" s="100"/>
      <c r="F105" s="101"/>
      <c r="G105" s="99"/>
      <c r="H105" s="102"/>
      <c r="I105" s="103"/>
      <c r="J105" s="95"/>
      <c r="K105" s="104"/>
      <c r="L105" s="95">
        <f>IF(NOT(ISERROR(MATCH(K105,_xlfn.ANCHORARRAY(F110),0))),J112&amp;"Por favor no seleccionar los criterios de impacto",K105)</f>
        <v>0</v>
      </c>
      <c r="M105" s="134"/>
      <c r="N105" s="95"/>
      <c r="O105" s="134"/>
    </row>
    <row r="106" spans="1:15" x14ac:dyDescent="0.25">
      <c r="A106" s="148" t="s">
        <v>125</v>
      </c>
      <c r="B106" s="135">
        <v>1</v>
      </c>
      <c r="C106" s="99" t="s">
        <v>23</v>
      </c>
      <c r="D106" s="99" t="s">
        <v>117</v>
      </c>
      <c r="E106" s="100" t="s">
        <v>135</v>
      </c>
      <c r="F106" s="101" t="s">
        <v>118</v>
      </c>
      <c r="G106" s="99" t="s">
        <v>34</v>
      </c>
      <c r="H106" s="136">
        <v>20</v>
      </c>
      <c r="I106" s="103" t="str">
        <f>IF(H106&lt;=0,"",IF(H106&lt;=2,"Muy Baja",IF(H106&lt;=24,"Baja",IF(H106&lt;=500,"Media",IF(H106&lt;=5000,"Alta","Muy Alta")))))</f>
        <v>Baja</v>
      </c>
      <c r="J106" s="95">
        <f>IF(I106="","",IF(I106="Muy Baja",0.2,IF(I106="Baja",0.4,IF(I106="Media",0.6,IF(I106="Alta",0.8,IF(I106="Muy Alta",1,))))))</f>
        <v>0.4</v>
      </c>
      <c r="K106" s="104" t="s">
        <v>28</v>
      </c>
      <c r="L106" s="95" t="str">
        <f>IF(NOT(ISERROR(MATCH(K106,#REF!,0))),#REF!&amp;"Por favor no seleccionar los criterios de impacto(Afectación Económica o presupuestal y Pérdida Reputacional)",K106)</f>
        <v xml:space="preserve">     El riesgo afecta la imagen de de la entidad con efecto publicitario sostenido a nivel de sector administrativo, nivel departamental o municipal</v>
      </c>
      <c r="M106" s="137" t="str">
        <f>IF(OR(L106='[3]Tabla Impacto'!$C$11,L106='[3]Tabla Impacto'!$D$11),"Leve",IF(OR(L106='[3]Tabla Impacto'!$C$12,L106='[3]Tabla Impacto'!$D$12),"Menor",IF(OR(L106='[3]Tabla Impacto'!$C$13,L106='[3]Tabla Impacto'!$D$13),"Moderado",IF(OR(L106='[3]Tabla Impacto'!$C$14,L106='[3]Tabla Impacto'!$D$14),"Mayor",IF(OR(L106='[3]Tabla Impacto'!$C$15,L106='[3]Tabla Impacto'!$D$15),"Catastrófico","")))))</f>
        <v>Mayor</v>
      </c>
      <c r="N106" s="95">
        <f>IF(M106="","",IF(M106="Leve",0.2,IF(M106="Menor",0.4,IF(M106="Moderado",0.6,IF(M106="Mayor",0.8,IF(M106="Catastrófico",1,))))))</f>
        <v>0.8</v>
      </c>
      <c r="O106" s="139" t="str">
        <f>IF(OR(AND(I106="Muy Baja",M106="Leve"),AND(I106="Muy Baja",M106="Menor"),AND(I106="Baja",M106="Leve")),"Bajo",IF(OR(AND(I106="Muy baja",M106="Moderado"),AND(I106="Baja",M106="Menor"),AND(I106="Baja",M106="Moderado"),AND(I106="Media",M106="Leve"),AND(I106="Media",M106="Menor"),AND(I106="Media",M106="Moderado"),AND(I106="Alta",M106="Leve"),AND(I106="Alta",M106="Menor")),"Moderado",IF(OR(AND(I106="Muy Baja",M106="Mayor"),AND(I106="Baja",M106="Mayor"),AND(I106="Media",M106="Mayor"),AND(I106="Alta",M106="Moderado"),AND(I106="Alta",M106="Mayor"),AND(I106="Muy Alta",M106="Leve"),AND(I106="Muy Alta",M106="Menor"),AND(I106="Muy Alta",M106="Moderado"),AND(I106="Muy Alta",M106="Mayor")),"Alto",IF(OR(AND(I106="Muy Baja",M106="Catastrófico"),AND(I106="Baja",M106="Catastrófico"),AND(I106="Media",M106="Catastrófico"),AND(I106="Alta",M106="Catastrófico"),AND(I106="Muy Alta",M106="Catastrófico")),"Extremo",""))))</f>
        <v>Alto</v>
      </c>
    </row>
    <row r="107" spans="1:15" x14ac:dyDescent="0.25">
      <c r="A107" s="149"/>
      <c r="B107" s="135"/>
      <c r="C107" s="99"/>
      <c r="D107" s="99"/>
      <c r="E107" s="100"/>
      <c r="F107" s="101"/>
      <c r="G107" s="99"/>
      <c r="H107" s="136"/>
      <c r="I107" s="103"/>
      <c r="J107" s="95"/>
      <c r="K107" s="104"/>
      <c r="L107" s="95">
        <f>IF(NOT(ISERROR(MATCH(K107,_xlfn.ANCHORARRAY(F116),0))),J118&amp;"Por favor no seleccionar los criterios de impacto",K107)</f>
        <v>0</v>
      </c>
      <c r="M107" s="138"/>
      <c r="N107" s="95"/>
      <c r="O107" s="139"/>
    </row>
    <row r="108" spans="1:15" x14ac:dyDescent="0.25">
      <c r="A108" s="149"/>
      <c r="B108" s="135"/>
      <c r="C108" s="99"/>
      <c r="D108" s="99"/>
      <c r="E108" s="100"/>
      <c r="F108" s="101"/>
      <c r="G108" s="99"/>
      <c r="H108" s="136"/>
      <c r="I108" s="103"/>
      <c r="J108" s="95"/>
      <c r="K108" s="104"/>
      <c r="L108" s="95">
        <f>IF(NOT(ISERROR(MATCH(K108,_xlfn.ANCHORARRAY(F117),0))),J119&amp;"Por favor no seleccionar los criterios de impacto",K108)</f>
        <v>0</v>
      </c>
      <c r="M108" s="138"/>
      <c r="N108" s="95"/>
      <c r="O108" s="139"/>
    </row>
    <row r="109" spans="1:15" ht="96.75" customHeight="1" x14ac:dyDescent="0.25">
      <c r="A109" s="149"/>
      <c r="B109" s="135"/>
      <c r="C109" s="99"/>
      <c r="D109" s="99"/>
      <c r="E109" s="100"/>
      <c r="F109" s="101"/>
      <c r="G109" s="99"/>
      <c r="H109" s="136"/>
      <c r="I109" s="103"/>
      <c r="J109" s="95"/>
      <c r="K109" s="104"/>
      <c r="L109" s="95">
        <f>IF(NOT(ISERROR(MATCH(K109,_xlfn.ANCHORARRAY(F118),0))),#REF!&amp;"Por favor no seleccionar los criterios de impacto",K109)</f>
        <v>0</v>
      </c>
      <c r="M109" s="138"/>
      <c r="N109" s="95"/>
      <c r="O109" s="139"/>
    </row>
    <row r="110" spans="1:15" x14ac:dyDescent="0.25">
      <c r="A110" s="149"/>
      <c r="B110" s="135">
        <v>2</v>
      </c>
      <c r="C110" s="99" t="s">
        <v>57</v>
      </c>
      <c r="D110" s="99" t="s">
        <v>119</v>
      </c>
      <c r="E110" s="100" t="s">
        <v>120</v>
      </c>
      <c r="F110" s="101" t="s">
        <v>121</v>
      </c>
      <c r="G110" s="99" t="s">
        <v>27</v>
      </c>
      <c r="H110" s="102">
        <v>375</v>
      </c>
      <c r="I110" s="103" t="str">
        <f>IF(H110&lt;=0,"",IF(H110&lt;=2,"Muy Baja",IF(H110&lt;=24,"Baja",IF(H110&lt;=500,"Media",IF(H110&lt;=5000,"Alta","Muy Alta")))))</f>
        <v>Media</v>
      </c>
      <c r="J110" s="95">
        <f>IF(I110="","",IF(I110="Muy Baja",0.2,IF(I110="Baja",0.4,IF(I110="Media",0.6,IF(I110="Alta",0.8,IF(I110="Muy Alta",1,))))))</f>
        <v>0.6</v>
      </c>
      <c r="K110" s="104" t="s">
        <v>31</v>
      </c>
      <c r="L110" s="95" t="str">
        <f>IF(NOT(ISERROR(MATCH(K110,#REF!,0))),#REF!&amp;"Por favor no seleccionar los criterios de impacto(Afectación Económica o presupuestal y Pérdida Reputacional)",K110)</f>
        <v xml:space="preserve">     El riesgo afecta la imagen de la entidad con algunos usuarios de relevancia frente al logro de los objetivos</v>
      </c>
      <c r="M110" s="103" t="str">
        <f>IF(OR(L110='[3]Tabla Impacto'!$C$11,L110='[3]Tabla Impacto'!$D$11),"Leve",IF(OR(L110='[3]Tabla Impacto'!$C$12,L110='[3]Tabla Impacto'!$D$12),"Menor",IF(OR(L110='[3]Tabla Impacto'!$C$13,L110='[3]Tabla Impacto'!$D$13),"Moderado",IF(OR(L110='[3]Tabla Impacto'!$C$14,L110='[3]Tabla Impacto'!$D$14),"Mayor",IF(OR(L110='[3]Tabla Impacto'!$C$15,L110='[3]Tabla Impacto'!$D$15),"Catastrófico","")))))</f>
        <v>Moderado</v>
      </c>
      <c r="N110" s="95">
        <f>IF(M110="","",IF(M110="Leve",0.2,IF(M110="Menor",0.4,IF(M110="Moderado",0.6,IF(M110="Mayor",0.8,IF(M110="Catastrófico",1,))))))</f>
        <v>0.6</v>
      </c>
      <c r="O110" s="143" t="str">
        <f>IF(OR(AND(I110="Muy Baja",M110="Leve"),AND(I110="Muy Baja",M110="Menor"),AND(I110="Baja",M110="Leve")),"Bajo",IF(OR(AND(I110="Muy baja",M110="Moderado"),AND(I110="Baja",M110="Menor"),AND(I110="Baja",M110="Moderado"),AND(I110="Media",M110="Leve"),AND(I110="Media",M110="Menor"),AND(I110="Media",M110="Moderado"),AND(I110="Alta",M110="Leve"),AND(I110="Alta",M110="Menor")),"Moderado",IF(OR(AND(I110="Muy Baja",M110="Mayor"),AND(I110="Baja",M110="Mayor"),AND(I110="Media",M110="Mayor"),AND(I110="Alta",M110="Moderado"),AND(I110="Alta",M110="Mayor"),AND(I110="Muy Alta",M110="Leve"),AND(I110="Muy Alta",M110="Menor"),AND(I110="Muy Alta",M110="Moderado"),AND(I110="Muy Alta",M110="Mayor")),"Alto",IF(OR(AND(I110="Muy Baja",M110="Catastrófico"),AND(I110="Baja",M110="Catastrófico"),AND(I110="Media",M110="Catastrófico"),AND(I110="Alta",M110="Catastrófico"),AND(I110="Muy Alta",M110="Catastrófico")),"Extremo",""))))</f>
        <v>Moderado</v>
      </c>
    </row>
    <row r="111" spans="1:15" x14ac:dyDescent="0.25">
      <c r="A111" s="149"/>
      <c r="B111" s="135"/>
      <c r="C111" s="99"/>
      <c r="D111" s="99"/>
      <c r="E111" s="100"/>
      <c r="F111" s="101"/>
      <c r="G111" s="99"/>
      <c r="H111" s="102"/>
      <c r="I111" s="103"/>
      <c r="J111" s="95"/>
      <c r="K111" s="104"/>
      <c r="L111" s="95">
        <f>IF(NOT(ISERROR(MATCH(K111,_xlfn.ANCHORARRAY(#REF!),0))),#REF!&amp;"Por favor no seleccionar los criterios de impacto",K111)</f>
        <v>0</v>
      </c>
      <c r="M111" s="103"/>
      <c r="N111" s="95"/>
      <c r="O111" s="143"/>
    </row>
    <row r="112" spans="1:15" x14ac:dyDescent="0.25">
      <c r="A112" s="149"/>
      <c r="B112" s="135"/>
      <c r="C112" s="99"/>
      <c r="D112" s="99"/>
      <c r="E112" s="100"/>
      <c r="F112" s="101"/>
      <c r="G112" s="99"/>
      <c r="H112" s="102"/>
      <c r="I112" s="103"/>
      <c r="J112" s="95"/>
      <c r="K112" s="104"/>
      <c r="L112" s="95">
        <f>IF(NOT(ISERROR(MATCH(K112,_xlfn.ANCHORARRAY(#REF!),0))),#REF!&amp;"Por favor no seleccionar los criterios de impacto",K112)</f>
        <v>0</v>
      </c>
      <c r="M112" s="103"/>
      <c r="N112" s="95"/>
      <c r="O112" s="143"/>
    </row>
    <row r="113" spans="1:16" x14ac:dyDescent="0.25">
      <c r="A113" s="149"/>
      <c r="B113" s="135"/>
      <c r="C113" s="99"/>
      <c r="D113" s="99"/>
      <c r="E113" s="100"/>
      <c r="F113" s="101"/>
      <c r="G113" s="99"/>
      <c r="H113" s="102"/>
      <c r="I113" s="103"/>
      <c r="J113" s="95"/>
      <c r="K113" s="104"/>
      <c r="L113" s="95">
        <f>IF(NOT(ISERROR(MATCH(K113,_xlfn.ANCHORARRAY(#REF!),0))),#REF!&amp;"Por favor no seleccionar los criterios de impacto",K113)</f>
        <v>0</v>
      </c>
      <c r="M113" s="103"/>
      <c r="N113" s="95"/>
      <c r="O113" s="143"/>
    </row>
    <row r="114" spans="1:16" x14ac:dyDescent="0.25">
      <c r="A114" s="149"/>
      <c r="B114" s="135"/>
      <c r="C114" s="99"/>
      <c r="D114" s="99"/>
      <c r="E114" s="100"/>
      <c r="F114" s="101"/>
      <c r="G114" s="99"/>
      <c r="H114" s="102"/>
      <c r="I114" s="103"/>
      <c r="J114" s="95"/>
      <c r="K114" s="104"/>
      <c r="L114" s="95">
        <f>IF(NOT(ISERROR(MATCH(K114,_xlfn.ANCHORARRAY(#REF!),0))),#REF!&amp;"Por favor no seleccionar los criterios de impacto",K114)</f>
        <v>0</v>
      </c>
      <c r="M114" s="103"/>
      <c r="N114" s="95"/>
      <c r="O114" s="143"/>
    </row>
    <row r="115" spans="1:16" ht="87" customHeight="1" x14ac:dyDescent="0.25">
      <c r="A115" s="149"/>
      <c r="B115" s="158"/>
      <c r="C115" s="145"/>
      <c r="D115" s="145"/>
      <c r="E115" s="159"/>
      <c r="F115" s="160"/>
      <c r="G115" s="145"/>
      <c r="H115" s="146"/>
      <c r="I115" s="137"/>
      <c r="J115" s="142"/>
      <c r="K115" s="147"/>
      <c r="L115" s="142">
        <f>IF(NOT(ISERROR(MATCH(K115,_xlfn.ANCHORARRAY(#REF!),0))),#REF!&amp;"Por favor no seleccionar los criterios de impacto",K115)</f>
        <v>0</v>
      </c>
      <c r="M115" s="137"/>
      <c r="N115" s="142"/>
      <c r="O115" s="144"/>
    </row>
    <row r="116" spans="1:16" x14ac:dyDescent="0.25">
      <c r="A116" s="106" t="s">
        <v>126</v>
      </c>
      <c r="B116" s="150">
        <v>1</v>
      </c>
      <c r="C116" s="154" t="s">
        <v>23</v>
      </c>
      <c r="D116" s="154" t="s">
        <v>122</v>
      </c>
      <c r="E116" s="155" t="s">
        <v>123</v>
      </c>
      <c r="F116" s="155" t="s">
        <v>124</v>
      </c>
      <c r="G116" s="154" t="s">
        <v>27</v>
      </c>
      <c r="H116" s="150">
        <v>190</v>
      </c>
      <c r="I116" s="156" t="s">
        <v>40</v>
      </c>
      <c r="J116" s="152">
        <v>0.6</v>
      </c>
      <c r="K116" s="152" t="s">
        <v>31</v>
      </c>
      <c r="L116" s="152" t="s">
        <v>31</v>
      </c>
      <c r="M116" s="153" t="s">
        <v>37</v>
      </c>
      <c r="N116" s="152">
        <v>0.6</v>
      </c>
      <c r="O116" s="140" t="s">
        <v>37</v>
      </c>
      <c r="P116" s="19"/>
    </row>
    <row r="117" spans="1:16" ht="154.5" customHeight="1" x14ac:dyDescent="0.25">
      <c r="A117" s="106"/>
      <c r="B117" s="151"/>
      <c r="C117" s="151"/>
      <c r="D117" s="151"/>
      <c r="E117" s="151"/>
      <c r="F117" s="151"/>
      <c r="G117" s="151"/>
      <c r="H117" s="151"/>
      <c r="I117" s="157"/>
      <c r="J117" s="151"/>
      <c r="K117" s="151"/>
      <c r="L117" s="151"/>
      <c r="M117" s="141"/>
      <c r="N117" s="151"/>
      <c r="O117" s="141"/>
      <c r="P117" s="19"/>
    </row>
  </sheetData>
  <mergeCells count="364">
    <mergeCell ref="A106:A115"/>
    <mergeCell ref="A116:A117"/>
    <mergeCell ref="B116:B117"/>
    <mergeCell ref="K116:K117"/>
    <mergeCell ref="L116:L117"/>
    <mergeCell ref="M116:M117"/>
    <mergeCell ref="N116:N117"/>
    <mergeCell ref="C116:C117"/>
    <mergeCell ref="D116:D117"/>
    <mergeCell ref="E116:E117"/>
    <mergeCell ref="F116:F117"/>
    <mergeCell ref="G116:G117"/>
    <mergeCell ref="H116:H117"/>
    <mergeCell ref="J116:J117"/>
    <mergeCell ref="I116:I117"/>
    <mergeCell ref="B110:B115"/>
    <mergeCell ref="C110:C115"/>
    <mergeCell ref="D110:D115"/>
    <mergeCell ref="E110:E115"/>
    <mergeCell ref="F110:F115"/>
    <mergeCell ref="O116:O117"/>
    <mergeCell ref="L110:L115"/>
    <mergeCell ref="M110:M115"/>
    <mergeCell ref="N110:N115"/>
    <mergeCell ref="O110:O115"/>
    <mergeCell ref="G110:G115"/>
    <mergeCell ref="H110:H115"/>
    <mergeCell ref="I110:I115"/>
    <mergeCell ref="J110:J115"/>
    <mergeCell ref="K110:K115"/>
    <mergeCell ref="O100:O105"/>
    <mergeCell ref="A100:A105"/>
    <mergeCell ref="B106:B109"/>
    <mergeCell ref="C106:C109"/>
    <mergeCell ref="D106:D109"/>
    <mergeCell ref="E106:E109"/>
    <mergeCell ref="F106:F109"/>
    <mergeCell ref="G106:G109"/>
    <mergeCell ref="H106:H109"/>
    <mergeCell ref="I106:I109"/>
    <mergeCell ref="J106:J109"/>
    <mergeCell ref="K106:K109"/>
    <mergeCell ref="L106:L109"/>
    <mergeCell ref="M106:M109"/>
    <mergeCell ref="N106:N109"/>
    <mergeCell ref="O106:O109"/>
    <mergeCell ref="B100:B105"/>
    <mergeCell ref="C100:C105"/>
    <mergeCell ref="D100:D105"/>
    <mergeCell ref="E100:E105"/>
    <mergeCell ref="F100:F105"/>
    <mergeCell ref="G100:G105"/>
    <mergeCell ref="H100:H105"/>
    <mergeCell ref="I100:I105"/>
    <mergeCell ref="J100:J105"/>
    <mergeCell ref="K100:K105"/>
    <mergeCell ref="L100:L105"/>
    <mergeCell ref="M100:M105"/>
    <mergeCell ref="N100:N105"/>
    <mergeCell ref="A94:A99"/>
    <mergeCell ref="L97:L98"/>
    <mergeCell ref="M97:M98"/>
    <mergeCell ref="N97:N98"/>
    <mergeCell ref="L94:L96"/>
    <mergeCell ref="O97:O98"/>
    <mergeCell ref="B94:B96"/>
    <mergeCell ref="C94:C96"/>
    <mergeCell ref="D94:D96"/>
    <mergeCell ref="E94:E96"/>
    <mergeCell ref="F94:F96"/>
    <mergeCell ref="G94:G96"/>
    <mergeCell ref="H94:H96"/>
    <mergeCell ref="I94:I96"/>
    <mergeCell ref="J94:J96"/>
    <mergeCell ref="G97:G98"/>
    <mergeCell ref="H97:H98"/>
    <mergeCell ref="I97:I98"/>
    <mergeCell ref="J97:J98"/>
    <mergeCell ref="K97:K98"/>
    <mergeCell ref="B97:B98"/>
    <mergeCell ref="C97:C98"/>
    <mergeCell ref="D97:D98"/>
    <mergeCell ref="E97:E98"/>
    <mergeCell ref="F97:F98"/>
    <mergeCell ref="M94:M96"/>
    <mergeCell ref="N94:N96"/>
    <mergeCell ref="O94:O96"/>
    <mergeCell ref="K94:K96"/>
    <mergeCell ref="K89:K90"/>
    <mergeCell ref="L89:L90"/>
    <mergeCell ref="M89:M90"/>
    <mergeCell ref="N89:N90"/>
    <mergeCell ref="O89:O90"/>
    <mergeCell ref="A87:A90"/>
    <mergeCell ref="B91:B92"/>
    <mergeCell ref="C91:C92"/>
    <mergeCell ref="D91:D92"/>
    <mergeCell ref="E91:E92"/>
    <mergeCell ref="F91:F92"/>
    <mergeCell ref="G91:G92"/>
    <mergeCell ref="H91:H92"/>
    <mergeCell ref="I91:I92"/>
    <mergeCell ref="J91:J92"/>
    <mergeCell ref="K91:K92"/>
    <mergeCell ref="L91:L92"/>
    <mergeCell ref="M91:M92"/>
    <mergeCell ref="N91:N92"/>
    <mergeCell ref="O91:O92"/>
    <mergeCell ref="A91:A93"/>
    <mergeCell ref="B89:B90"/>
    <mergeCell ref="C89:C90"/>
    <mergeCell ref="D89:D90"/>
    <mergeCell ref="E89:E90"/>
    <mergeCell ref="F89:F90"/>
    <mergeCell ref="G89:G90"/>
    <mergeCell ref="H89:H90"/>
    <mergeCell ref="I89:I90"/>
    <mergeCell ref="J89:J90"/>
    <mergeCell ref="O80:O85"/>
    <mergeCell ref="A80:A86"/>
    <mergeCell ref="B87:B88"/>
    <mergeCell ref="C87:C88"/>
    <mergeCell ref="D87:D88"/>
    <mergeCell ref="E87:E88"/>
    <mergeCell ref="F87:F88"/>
    <mergeCell ref="G87:G88"/>
    <mergeCell ref="H87:H88"/>
    <mergeCell ref="I87:I88"/>
    <mergeCell ref="J87:J88"/>
    <mergeCell ref="K87:K88"/>
    <mergeCell ref="L87:L88"/>
    <mergeCell ref="M87:M88"/>
    <mergeCell ref="N87:N88"/>
    <mergeCell ref="O87:O88"/>
    <mergeCell ref="B80:B85"/>
    <mergeCell ref="C80:C85"/>
    <mergeCell ref="A38:A43"/>
    <mergeCell ref="L56:L61"/>
    <mergeCell ref="M56:M61"/>
    <mergeCell ref="J68:J73"/>
    <mergeCell ref="K68:K73"/>
    <mergeCell ref="L68:L73"/>
    <mergeCell ref="M68:M73"/>
    <mergeCell ref="N68:N73"/>
    <mergeCell ref="B68:B73"/>
    <mergeCell ref="C68:C73"/>
    <mergeCell ref="D68:D73"/>
    <mergeCell ref="E68:E73"/>
    <mergeCell ref="F68:F73"/>
    <mergeCell ref="G68:G73"/>
    <mergeCell ref="H68:H73"/>
    <mergeCell ref="I68:I73"/>
    <mergeCell ref="H56:H61"/>
    <mergeCell ref="I56:I61"/>
    <mergeCell ref="J56:J61"/>
    <mergeCell ref="K56:K61"/>
    <mergeCell ref="L50:L55"/>
    <mergeCell ref="M50:M55"/>
    <mergeCell ref="N50:N55"/>
    <mergeCell ref="N56:N61"/>
    <mergeCell ref="H44:H49"/>
    <mergeCell ref="I44:I49"/>
    <mergeCell ref="J44:J49"/>
    <mergeCell ref="O38:O43"/>
    <mergeCell ref="B38:B43"/>
    <mergeCell ref="C38:C43"/>
    <mergeCell ref="D38:D43"/>
    <mergeCell ref="E38:E43"/>
    <mergeCell ref="F38:F43"/>
    <mergeCell ref="I38:I43"/>
    <mergeCell ref="J38:J43"/>
    <mergeCell ref="K38:K43"/>
    <mergeCell ref="L38:L43"/>
    <mergeCell ref="M38:M43"/>
    <mergeCell ref="G38:G43"/>
    <mergeCell ref="H38:H43"/>
    <mergeCell ref="N38:N43"/>
    <mergeCell ref="K44:K49"/>
    <mergeCell ref="L44:L49"/>
    <mergeCell ref="M44:M49"/>
    <mergeCell ref="N44:N49"/>
    <mergeCell ref="B56:B61"/>
    <mergeCell ref="C56:C61"/>
    <mergeCell ref="D56:D61"/>
    <mergeCell ref="E56:E61"/>
    <mergeCell ref="F56:F61"/>
    <mergeCell ref="B50:B55"/>
    <mergeCell ref="C50:C55"/>
    <mergeCell ref="D50:D55"/>
    <mergeCell ref="E50:E55"/>
    <mergeCell ref="F50:F55"/>
    <mergeCell ref="G56:G61"/>
    <mergeCell ref="G50:G55"/>
    <mergeCell ref="H50:H55"/>
    <mergeCell ref="I50:I55"/>
    <mergeCell ref="B44:B49"/>
    <mergeCell ref="C44:C49"/>
    <mergeCell ref="D44:D49"/>
    <mergeCell ref="E44:E49"/>
    <mergeCell ref="F44:F49"/>
    <mergeCell ref="G44:G49"/>
    <mergeCell ref="B35:B36"/>
    <mergeCell ref="A35:A37"/>
    <mergeCell ref="O44:O49"/>
    <mergeCell ref="A44:A79"/>
    <mergeCell ref="N29:N34"/>
    <mergeCell ref="O29:O34"/>
    <mergeCell ref="A29:A34"/>
    <mergeCell ref="C35:C36"/>
    <mergeCell ref="D35:D36"/>
    <mergeCell ref="E35:E36"/>
    <mergeCell ref="F35:F36"/>
    <mergeCell ref="G35:G36"/>
    <mergeCell ref="H35:H36"/>
    <mergeCell ref="I35:I36"/>
    <mergeCell ref="J35:J36"/>
    <mergeCell ref="K35:K36"/>
    <mergeCell ref="L35:L36"/>
    <mergeCell ref="M35:M36"/>
    <mergeCell ref="N35:N36"/>
    <mergeCell ref="O35:O36"/>
    <mergeCell ref="B29:B34"/>
    <mergeCell ref="C29:C34"/>
    <mergeCell ref="D29:D34"/>
    <mergeCell ref="E29:E34"/>
    <mergeCell ref="F29:F34"/>
    <mergeCell ref="G29:G34"/>
    <mergeCell ref="H29:H34"/>
    <mergeCell ref="I29:I34"/>
    <mergeCell ref="J29:J34"/>
    <mergeCell ref="K29:K34"/>
    <mergeCell ref="L29:L34"/>
    <mergeCell ref="M29:M34"/>
    <mergeCell ref="A12:A23"/>
    <mergeCell ref="A24:A28"/>
    <mergeCell ref="C24:C26"/>
    <mergeCell ref="D24:D26"/>
    <mergeCell ref="E24:E26"/>
    <mergeCell ref="F24:F26"/>
    <mergeCell ref="K27:K28"/>
    <mergeCell ref="L27:L28"/>
    <mergeCell ref="M27:M28"/>
    <mergeCell ref="G24:G26"/>
    <mergeCell ref="H24:H26"/>
    <mergeCell ref="I24:I26"/>
    <mergeCell ref="J24:J26"/>
    <mergeCell ref="K24:K26"/>
    <mergeCell ref="B24:B26"/>
    <mergeCell ref="B27:B28"/>
    <mergeCell ref="C27:C28"/>
    <mergeCell ref="D27:D28"/>
    <mergeCell ref="E27:E28"/>
    <mergeCell ref="F27:F28"/>
    <mergeCell ref="G27:G28"/>
    <mergeCell ref="H27:H28"/>
    <mergeCell ref="I27:I28"/>
    <mergeCell ref="J27:J28"/>
    <mergeCell ref="I62:I67"/>
    <mergeCell ref="J62:J67"/>
    <mergeCell ref="B1:D5"/>
    <mergeCell ref="E1:O2"/>
    <mergeCell ref="E3:O3"/>
    <mergeCell ref="E4:O4"/>
    <mergeCell ref="E5:G5"/>
    <mergeCell ref="H5:J5"/>
    <mergeCell ref="K5:O5"/>
    <mergeCell ref="J50:J55"/>
    <mergeCell ref="K50:K55"/>
    <mergeCell ref="O50:O55"/>
    <mergeCell ref="B6:C6"/>
    <mergeCell ref="D6:O6"/>
    <mergeCell ref="B7:C7"/>
    <mergeCell ref="D7:O7"/>
    <mergeCell ref="B8:C8"/>
    <mergeCell ref="D8:O8"/>
    <mergeCell ref="N27:N28"/>
    <mergeCell ref="O27:O28"/>
    <mergeCell ref="L24:L26"/>
    <mergeCell ref="M24:M26"/>
    <mergeCell ref="N24:N26"/>
    <mergeCell ref="O24:O26"/>
    <mergeCell ref="O56:O61"/>
    <mergeCell ref="O62:O67"/>
    <mergeCell ref="O10:O11"/>
    <mergeCell ref="B9:H9"/>
    <mergeCell ref="I9:O9"/>
    <mergeCell ref="B10:B11"/>
    <mergeCell ref="C10:C11"/>
    <mergeCell ref="D10:D11"/>
    <mergeCell ref="E10:E11"/>
    <mergeCell ref="F10:F11"/>
    <mergeCell ref="G10:G11"/>
    <mergeCell ref="H10:H11"/>
    <mergeCell ref="I10:I11"/>
    <mergeCell ref="J10:J11"/>
    <mergeCell ref="K10:K11"/>
    <mergeCell ref="L10:L11"/>
    <mergeCell ref="M10:M11"/>
    <mergeCell ref="N10:N11"/>
    <mergeCell ref="B62:B67"/>
    <mergeCell ref="C62:C67"/>
    <mergeCell ref="D62:D67"/>
    <mergeCell ref="E62:E67"/>
    <mergeCell ref="F62:F67"/>
    <mergeCell ref="G62:G67"/>
    <mergeCell ref="L74:L79"/>
    <mergeCell ref="M74:M79"/>
    <mergeCell ref="N74:N79"/>
    <mergeCell ref="M12:M17"/>
    <mergeCell ref="B12:B17"/>
    <mergeCell ref="C12:C17"/>
    <mergeCell ref="D12:D17"/>
    <mergeCell ref="E12:E17"/>
    <mergeCell ref="F12:F17"/>
    <mergeCell ref="G12:G17"/>
    <mergeCell ref="B74:B79"/>
    <mergeCell ref="C74:C79"/>
    <mergeCell ref="D74:D79"/>
    <mergeCell ref="E74:E79"/>
    <mergeCell ref="F74:F79"/>
    <mergeCell ref="G74:G79"/>
    <mergeCell ref="H74:H79"/>
    <mergeCell ref="I74:I79"/>
    <mergeCell ref="J74:J79"/>
    <mergeCell ref="K62:K67"/>
    <mergeCell ref="L62:L67"/>
    <mergeCell ref="M62:M67"/>
    <mergeCell ref="N62:N67"/>
    <mergeCell ref="H62:H67"/>
    <mergeCell ref="O68:O73"/>
    <mergeCell ref="O74:O79"/>
    <mergeCell ref="O18:O23"/>
    <mergeCell ref="N12:N17"/>
    <mergeCell ref="O12:O17"/>
    <mergeCell ref="B18:B23"/>
    <mergeCell ref="C18:C23"/>
    <mergeCell ref="D18:D23"/>
    <mergeCell ref="E18:E23"/>
    <mergeCell ref="F18:F23"/>
    <mergeCell ref="G18:G23"/>
    <mergeCell ref="H18:H23"/>
    <mergeCell ref="I18:I23"/>
    <mergeCell ref="H12:H17"/>
    <mergeCell ref="I12:I17"/>
    <mergeCell ref="J12:J17"/>
    <mergeCell ref="K12:K17"/>
    <mergeCell ref="L12:L17"/>
    <mergeCell ref="J18:J23"/>
    <mergeCell ref="K18:K23"/>
    <mergeCell ref="L18:L23"/>
    <mergeCell ref="M18:M23"/>
    <mergeCell ref="N18:N23"/>
    <mergeCell ref="K74:K79"/>
    <mergeCell ref="M80:M85"/>
    <mergeCell ref="N80:N85"/>
    <mergeCell ref="D80:D85"/>
    <mergeCell ref="E80:E85"/>
    <mergeCell ref="F80:F85"/>
    <mergeCell ref="G80:G85"/>
    <mergeCell ref="H80:H85"/>
    <mergeCell ref="I80:I85"/>
    <mergeCell ref="J80:J85"/>
    <mergeCell ref="K80:K85"/>
    <mergeCell ref="L80:L85"/>
  </mergeCells>
  <conditionalFormatting sqref="I12 I18">
    <cfRule type="cellIs" dxfId="199" priority="226" operator="equal">
      <formula>"Muy Alta"</formula>
    </cfRule>
    <cfRule type="cellIs" dxfId="198" priority="227" operator="equal">
      <formula>"Alta"</formula>
    </cfRule>
    <cfRule type="cellIs" dxfId="197" priority="228" operator="equal">
      <formula>"Media"</formula>
    </cfRule>
    <cfRule type="cellIs" dxfId="196" priority="229" operator="equal">
      <formula>"Baja"</formula>
    </cfRule>
    <cfRule type="cellIs" dxfId="195" priority="230" operator="equal">
      <formula>"Muy Baja"</formula>
    </cfRule>
  </conditionalFormatting>
  <conditionalFormatting sqref="I24 I27">
    <cfRule type="cellIs" dxfId="194" priority="211" operator="equal">
      <formula>"Baja"</formula>
    </cfRule>
    <cfRule type="cellIs" dxfId="193" priority="210" operator="equal">
      <formula>"Media"</formula>
    </cfRule>
    <cfRule type="cellIs" dxfId="192" priority="209" operator="equal">
      <formula>"Alta"</formula>
    </cfRule>
    <cfRule type="cellIs" dxfId="191" priority="208" operator="equal">
      <formula>"Muy Alta"</formula>
    </cfRule>
    <cfRule type="cellIs" dxfId="190" priority="212" operator="equal">
      <formula>"Muy Baja"</formula>
    </cfRule>
  </conditionalFormatting>
  <conditionalFormatting sqref="I29">
    <cfRule type="cellIs" dxfId="189" priority="177" operator="equal">
      <formula>"Muy Baja"</formula>
    </cfRule>
    <cfRule type="cellIs" dxfId="188" priority="173" operator="equal">
      <formula>"Muy Alta"</formula>
    </cfRule>
    <cfRule type="cellIs" dxfId="187" priority="176" operator="equal">
      <formula>"Baja"</formula>
    </cfRule>
    <cfRule type="cellIs" dxfId="186" priority="175" operator="equal">
      <formula>"Media"</formula>
    </cfRule>
    <cfRule type="cellIs" dxfId="185" priority="174" operator="equal">
      <formula>"Alta"</formula>
    </cfRule>
  </conditionalFormatting>
  <conditionalFormatting sqref="I35">
    <cfRule type="cellIs" dxfId="184" priority="171" operator="equal">
      <formula>"Muy Baja"</formula>
    </cfRule>
    <cfRule type="cellIs" dxfId="183" priority="170" operator="equal">
      <formula>"Baja"</formula>
    </cfRule>
    <cfRule type="cellIs" dxfId="182" priority="168" operator="equal">
      <formula>"Alta"</formula>
    </cfRule>
    <cfRule type="cellIs" dxfId="181" priority="167" operator="equal">
      <formula>"Muy Alta"</formula>
    </cfRule>
    <cfRule type="cellIs" dxfId="180" priority="169" operator="equal">
      <formula>"Media"</formula>
    </cfRule>
  </conditionalFormatting>
  <conditionalFormatting sqref="I44">
    <cfRule type="cellIs" dxfId="179" priority="112" operator="equal">
      <formula>"Baja"</formula>
    </cfRule>
    <cfRule type="cellIs" dxfId="178" priority="111" operator="equal">
      <formula>"Media"</formula>
    </cfRule>
    <cfRule type="cellIs" dxfId="177" priority="110" operator="equal">
      <formula>"Alta"</formula>
    </cfRule>
    <cfRule type="cellIs" dxfId="176" priority="113" operator="equal">
      <formula>"Muy Baja"</formula>
    </cfRule>
    <cfRule type="cellIs" dxfId="175" priority="109" operator="equal">
      <formula>"Muy Alta"</formula>
    </cfRule>
  </conditionalFormatting>
  <conditionalFormatting sqref="I50">
    <cfRule type="cellIs" dxfId="174" priority="101" operator="equal">
      <formula>"Moderado"</formula>
    </cfRule>
    <cfRule type="cellIs" dxfId="173" priority="102" operator="equal">
      <formula>"Menor"</formula>
    </cfRule>
    <cfRule type="cellIs" dxfId="172" priority="100" operator="equal">
      <formula>"Mayor"</formula>
    </cfRule>
    <cfRule type="cellIs" dxfId="171" priority="103" operator="equal">
      <formula>"Leve"</formula>
    </cfRule>
    <cfRule type="cellIs" dxfId="170" priority="99" operator="equal">
      <formula>"Catastrófico"</formula>
    </cfRule>
  </conditionalFormatting>
  <conditionalFormatting sqref="I56">
    <cfRule type="cellIs" dxfId="169" priority="162" operator="equal">
      <formula>"Muy Baja"</formula>
    </cfRule>
    <cfRule type="cellIs" dxfId="168" priority="161" operator="equal">
      <formula>"Baja"</formula>
    </cfRule>
    <cfRule type="cellIs" dxfId="167" priority="160" operator="equal">
      <formula>"Media"</formula>
    </cfRule>
    <cfRule type="cellIs" dxfId="166" priority="158" operator="equal">
      <formula>"Muy Alta"</formula>
    </cfRule>
    <cfRule type="cellIs" dxfId="165" priority="159" operator="equal">
      <formula>"Alta"</formula>
    </cfRule>
  </conditionalFormatting>
  <conditionalFormatting sqref="I62">
    <cfRule type="cellIs" dxfId="164" priority="136" operator="equal">
      <formula>"Media"</formula>
    </cfRule>
    <cfRule type="cellIs" dxfId="163" priority="137" operator="equal">
      <formula>"Baja"</formula>
    </cfRule>
    <cfRule type="cellIs" dxfId="162" priority="135" operator="equal">
      <formula>"Alta"</formula>
    </cfRule>
    <cfRule type="cellIs" dxfId="161" priority="134" operator="equal">
      <formula>"Muy Alta"</formula>
    </cfRule>
    <cfRule type="cellIs" dxfId="160" priority="138" operator="equal">
      <formula>"Muy Baja"</formula>
    </cfRule>
  </conditionalFormatting>
  <conditionalFormatting sqref="I68">
    <cfRule type="cellIs" dxfId="159" priority="130" operator="equal">
      <formula>"Mayor"</formula>
    </cfRule>
    <cfRule type="cellIs" dxfId="158" priority="133" operator="equal">
      <formula>"Leve"</formula>
    </cfRule>
    <cfRule type="cellIs" dxfId="157" priority="132" operator="equal">
      <formula>"Menor"</formula>
    </cfRule>
    <cfRule type="cellIs" dxfId="156" priority="129" operator="equal">
      <formula>"Catastrófico"</formula>
    </cfRule>
    <cfRule type="cellIs" dxfId="155" priority="131" operator="equal">
      <formula>"Moderado"</formula>
    </cfRule>
  </conditionalFormatting>
  <conditionalFormatting sqref="I80">
    <cfRule type="cellIs" dxfId="154" priority="73" operator="equal">
      <formula>"Baja"</formula>
    </cfRule>
    <cfRule type="cellIs" dxfId="153" priority="74" operator="equal">
      <formula>"Muy Baja"</formula>
    </cfRule>
    <cfRule type="cellIs" dxfId="152" priority="72" operator="equal">
      <formula>"Media"</formula>
    </cfRule>
    <cfRule type="cellIs" dxfId="151" priority="71" operator="equal">
      <formula>"Alta"</formula>
    </cfRule>
    <cfRule type="cellIs" dxfId="150" priority="70" operator="equal">
      <formula>"Muy Alta"</formula>
    </cfRule>
  </conditionalFormatting>
  <conditionalFormatting sqref="I86:I87 I89">
    <cfRule type="cellIs" dxfId="149" priority="54" operator="equal">
      <formula>"Baja"</formula>
    </cfRule>
    <cfRule type="cellIs" dxfId="148" priority="55" operator="equal">
      <formula>"Muy Baja"</formula>
    </cfRule>
    <cfRule type="cellIs" dxfId="147" priority="51" operator="equal">
      <formula>"Muy Alta"</formula>
    </cfRule>
    <cfRule type="cellIs" dxfId="146" priority="52" operator="equal">
      <formula>"Alta"</formula>
    </cfRule>
    <cfRule type="cellIs" dxfId="145" priority="53" operator="equal">
      <formula>"Media"</formula>
    </cfRule>
  </conditionalFormatting>
  <conditionalFormatting sqref="I91 I93">
    <cfRule type="cellIs" dxfId="144" priority="45" operator="equal">
      <formula>"Muy Alta"</formula>
    </cfRule>
    <cfRule type="cellIs" dxfId="143" priority="46" operator="equal">
      <formula>"Alta"</formula>
    </cfRule>
    <cfRule type="cellIs" dxfId="142" priority="47" operator="equal">
      <formula>"Media"</formula>
    </cfRule>
    <cfRule type="cellIs" dxfId="141" priority="49" operator="equal">
      <formula>"Muy Baja"</formula>
    </cfRule>
    <cfRule type="cellIs" dxfId="140" priority="48" operator="equal">
      <formula>"Baja"</formula>
    </cfRule>
  </conditionalFormatting>
  <conditionalFormatting sqref="I100">
    <cfRule type="cellIs" dxfId="139" priority="35" operator="equal">
      <formula>"Muy Alta"</formula>
    </cfRule>
    <cfRule type="cellIs" dxfId="138" priority="39" operator="equal">
      <formula>"Muy Baja"</formula>
    </cfRule>
    <cfRule type="cellIs" dxfId="137" priority="38" operator="equal">
      <formula>"Baja"</formula>
    </cfRule>
    <cfRule type="cellIs" dxfId="136" priority="37" operator="equal">
      <formula>"Media"</formula>
    </cfRule>
    <cfRule type="cellIs" dxfId="135" priority="36" operator="equal">
      <formula>"Alta"</formula>
    </cfRule>
  </conditionalFormatting>
  <conditionalFormatting sqref="I106">
    <cfRule type="cellIs" dxfId="134" priority="20" operator="equal">
      <formula>"Muy Alta"</formula>
    </cfRule>
    <cfRule type="cellIs" dxfId="133" priority="21" operator="equal">
      <formula>"Alta"</formula>
    </cfRule>
    <cfRule type="cellIs" dxfId="132" priority="23" operator="equal">
      <formula>"Baja"</formula>
    </cfRule>
    <cfRule type="cellIs" dxfId="131" priority="24" operator="equal">
      <formula>"Muy Baja"</formula>
    </cfRule>
    <cfRule type="cellIs" dxfId="130" priority="22" operator="equal">
      <formula>"Media"</formula>
    </cfRule>
  </conditionalFormatting>
  <conditionalFormatting sqref="I110">
    <cfRule type="cellIs" dxfId="129" priority="16" operator="equal">
      <formula>"Alta"</formula>
    </cfRule>
    <cfRule type="cellIs" dxfId="128" priority="15" operator="equal">
      <formula>"Muy Alta"</formula>
    </cfRule>
    <cfRule type="cellIs" dxfId="127" priority="19" operator="equal">
      <formula>"Muy Baja"</formula>
    </cfRule>
    <cfRule type="cellIs" dxfId="126" priority="18" operator="equal">
      <formula>"Baja"</formula>
    </cfRule>
    <cfRule type="cellIs" dxfId="125" priority="17" operator="equal">
      <formula>"Media"</formula>
    </cfRule>
  </conditionalFormatting>
  <conditionalFormatting sqref="L12:L23">
    <cfRule type="containsText" dxfId="124" priority="231" operator="containsText" text="❌">
      <formula>NOT(ISERROR(SEARCH(("❌"),(L12))))</formula>
    </cfRule>
  </conditionalFormatting>
  <conditionalFormatting sqref="L24:L28">
    <cfRule type="containsText" dxfId="123" priority="194" operator="containsText" text="❌">
      <formula>NOT(ISERROR(SEARCH("❌",L24)))</formula>
    </cfRule>
  </conditionalFormatting>
  <conditionalFormatting sqref="L29:L37">
    <cfRule type="containsText" dxfId="122" priority="172" operator="containsText" text="❌">
      <formula>NOT(ISERROR(SEARCH(("❌"),(L29))))</formula>
    </cfRule>
  </conditionalFormatting>
  <conditionalFormatting sqref="L44:L93">
    <cfRule type="containsText" dxfId="121" priority="50" operator="containsText" text="❌">
      <formula>NOT(ISERROR(SEARCH(("❌"),(L44))))</formula>
    </cfRule>
  </conditionalFormatting>
  <conditionalFormatting sqref="L100:L115">
    <cfRule type="containsText" dxfId="120" priority="14" operator="containsText" text="❌">
      <formula>NOT(ISERROR(SEARCH("❌",L100)))</formula>
    </cfRule>
  </conditionalFormatting>
  <conditionalFormatting sqref="M12 M18">
    <cfRule type="cellIs" dxfId="119" priority="217" operator="equal">
      <formula>"Leve"</formula>
    </cfRule>
    <cfRule type="cellIs" dxfId="118" priority="215" operator="equal">
      <formula>"Moderado"</formula>
    </cfRule>
    <cfRule type="cellIs" dxfId="117" priority="213" operator="equal">
      <formula>"Catastrófico"</formula>
    </cfRule>
    <cfRule type="cellIs" dxfId="116" priority="214" operator="equal">
      <formula>"Mayor"</formula>
    </cfRule>
    <cfRule type="cellIs" dxfId="115" priority="216" operator="equal">
      <formula>"Menor"</formula>
    </cfRule>
  </conditionalFormatting>
  <conditionalFormatting sqref="M24 M27">
    <cfRule type="cellIs" dxfId="114" priority="203" operator="equal">
      <formula>"Catastrófico"</formula>
    </cfRule>
    <cfRule type="cellIs" dxfId="113" priority="204" operator="equal">
      <formula>"Mayor"</formula>
    </cfRule>
    <cfRule type="cellIs" dxfId="112" priority="205" operator="equal">
      <formula>"Moderado"</formula>
    </cfRule>
    <cfRule type="cellIs" dxfId="111" priority="206" operator="equal">
      <formula>"Menor"</formula>
    </cfRule>
    <cfRule type="cellIs" dxfId="110" priority="207" operator="equal">
      <formula>"Leve"</formula>
    </cfRule>
  </conditionalFormatting>
  <conditionalFormatting sqref="M29">
    <cfRule type="cellIs" dxfId="109" priority="179" operator="equal">
      <formula>"Mayor"</formula>
    </cfRule>
    <cfRule type="cellIs" dxfId="108" priority="180" operator="equal">
      <formula>"Moderado"</formula>
    </cfRule>
    <cfRule type="cellIs" dxfId="107" priority="181" operator="equal">
      <formula>"Menor"</formula>
    </cfRule>
    <cfRule type="cellIs" dxfId="106" priority="182" operator="equal">
      <formula>"Leve"</formula>
    </cfRule>
    <cfRule type="cellIs" dxfId="105" priority="178" operator="equal">
      <formula>"Catastrófico"</formula>
    </cfRule>
  </conditionalFormatting>
  <conditionalFormatting sqref="M44 M50 M56">
    <cfRule type="cellIs" dxfId="104" priority="146" operator="equal">
      <formula>"Mayor"</formula>
    </cfRule>
    <cfRule type="cellIs" dxfId="103" priority="147" operator="equal">
      <formula>"Moderado"</formula>
    </cfRule>
    <cfRule type="cellIs" dxfId="102" priority="148" operator="equal">
      <formula>"Menor"</formula>
    </cfRule>
    <cfRule type="cellIs" dxfId="101" priority="149" operator="equal">
      <formula>"Leve"</formula>
    </cfRule>
    <cfRule type="cellIs" dxfId="100" priority="145" operator="equal">
      <formula>"Catastrófico"</formula>
    </cfRule>
  </conditionalFormatting>
  <conditionalFormatting sqref="M62">
    <cfRule type="cellIs" dxfId="99" priority="128" operator="equal">
      <formula>"Leve"</formula>
    </cfRule>
    <cfRule type="cellIs" dxfId="98" priority="127" operator="equal">
      <formula>"Menor"</formula>
    </cfRule>
    <cfRule type="cellIs" dxfId="97" priority="126" operator="equal">
      <formula>"Moderado"</formula>
    </cfRule>
    <cfRule type="cellIs" dxfId="96" priority="125" operator="equal">
      <formula>"Mayor"</formula>
    </cfRule>
    <cfRule type="cellIs" dxfId="95" priority="124" operator="equal">
      <formula>"Catastrófico"</formula>
    </cfRule>
  </conditionalFormatting>
  <conditionalFormatting sqref="M68">
    <cfRule type="cellIs" dxfId="94" priority="123" operator="equal">
      <formula>"Leve"</formula>
    </cfRule>
    <cfRule type="cellIs" dxfId="93" priority="122" operator="equal">
      <formula>"Menor"</formula>
    </cfRule>
    <cfRule type="cellIs" dxfId="92" priority="121" operator="equal">
      <formula>"Moderado"</formula>
    </cfRule>
    <cfRule type="cellIs" dxfId="91" priority="120" operator="equal">
      <formula>"Mayor"</formula>
    </cfRule>
    <cfRule type="cellIs" dxfId="90" priority="119" operator="equal">
      <formula>"Catastrófico"</formula>
    </cfRule>
  </conditionalFormatting>
  <conditionalFormatting sqref="M74">
    <cfRule type="cellIs" dxfId="89" priority="117" operator="equal">
      <formula>"Menor"</formula>
    </cfRule>
    <cfRule type="cellIs" dxfId="88" priority="118" operator="equal">
      <formula>"Leve"</formula>
    </cfRule>
    <cfRule type="cellIs" dxfId="87" priority="114" operator="equal">
      <formula>"Catastrófico"</formula>
    </cfRule>
    <cfRule type="cellIs" dxfId="86" priority="115" operator="equal">
      <formula>"Mayor"</formula>
    </cfRule>
    <cfRule type="cellIs" dxfId="85" priority="116" operator="equal">
      <formula>"Moderado"</formula>
    </cfRule>
  </conditionalFormatting>
  <conditionalFormatting sqref="M80">
    <cfRule type="cellIs" dxfId="84" priority="79" operator="equal">
      <formula>"Leve"</formula>
    </cfRule>
    <cfRule type="cellIs" dxfId="83" priority="78" operator="equal">
      <formula>"Menor"</formula>
    </cfRule>
    <cfRule type="cellIs" dxfId="82" priority="77" operator="equal">
      <formula>"Moderado"</formula>
    </cfRule>
    <cfRule type="cellIs" dxfId="81" priority="76" operator="equal">
      <formula>"Mayor"</formula>
    </cfRule>
    <cfRule type="cellIs" dxfId="80" priority="75" operator="equal">
      <formula>"Catastrófico"</formula>
    </cfRule>
  </conditionalFormatting>
  <conditionalFormatting sqref="M86:M87 M89">
    <cfRule type="cellIs" dxfId="79" priority="56" operator="equal">
      <formula>"Catastrófico"</formula>
    </cfRule>
    <cfRule type="cellIs" dxfId="78" priority="57" operator="equal">
      <formula>"Mayor"</formula>
    </cfRule>
    <cfRule type="cellIs" dxfId="77" priority="60" operator="equal">
      <formula>"Leve"</formula>
    </cfRule>
    <cfRule type="cellIs" dxfId="76" priority="59" operator="equal">
      <formula>"Menor"</formula>
    </cfRule>
    <cfRule type="cellIs" dxfId="75" priority="58" operator="equal">
      <formula>"Moderado"</formula>
    </cfRule>
  </conditionalFormatting>
  <conditionalFormatting sqref="M100">
    <cfRule type="cellIs" dxfId="74" priority="44" operator="equal">
      <formula>"Leve"</formula>
    </cfRule>
    <cfRule type="cellIs" dxfId="73" priority="42" operator="equal">
      <formula>"Moderado"</formula>
    </cfRule>
    <cfRule type="cellIs" dxfId="72" priority="43" operator="equal">
      <formula>"Menor"</formula>
    </cfRule>
    <cfRule type="cellIs" dxfId="71" priority="41" operator="equal">
      <formula>"Mayor"</formula>
    </cfRule>
    <cfRule type="cellIs" dxfId="70" priority="40" operator="equal">
      <formula>"Catastrófico"</formula>
    </cfRule>
  </conditionalFormatting>
  <conditionalFormatting sqref="M106 M110">
    <cfRule type="cellIs" dxfId="69" priority="9" operator="equal">
      <formula>"Catastrófico"</formula>
    </cfRule>
    <cfRule type="cellIs" dxfId="68" priority="13" operator="equal">
      <formula>"Leve"</formula>
    </cfRule>
    <cfRule type="cellIs" dxfId="67" priority="12" operator="equal">
      <formula>"Menor"</formula>
    </cfRule>
    <cfRule type="cellIs" dxfId="66" priority="11" operator="equal">
      <formula>"Moderado"</formula>
    </cfRule>
    <cfRule type="cellIs" dxfId="65" priority="10" operator="equal">
      <formula>"Mayor"</formula>
    </cfRule>
  </conditionalFormatting>
  <conditionalFormatting sqref="O12">
    <cfRule type="cellIs" dxfId="64" priority="221" operator="equal">
      <formula>"Bajo"</formula>
    </cfRule>
    <cfRule type="cellIs" dxfId="63" priority="220" operator="equal">
      <formula>"Moderado"</formula>
    </cfRule>
    <cfRule type="cellIs" dxfId="62" priority="219" operator="equal">
      <formula>"Alto"</formula>
    </cfRule>
    <cfRule type="cellIs" dxfId="61" priority="218" operator="equal">
      <formula>"Extremo"</formula>
    </cfRule>
  </conditionalFormatting>
  <conditionalFormatting sqref="O18">
    <cfRule type="cellIs" dxfId="60" priority="225" operator="equal">
      <formula>"Bajo"</formula>
    </cfRule>
    <cfRule type="cellIs" dxfId="59" priority="224" operator="equal">
      <formula>"Moderado"</formula>
    </cfRule>
    <cfRule type="cellIs" dxfId="58" priority="223" operator="equal">
      <formula>"Alto"</formula>
    </cfRule>
    <cfRule type="cellIs" dxfId="57" priority="222" operator="equal">
      <formula>"Extremo"</formula>
    </cfRule>
  </conditionalFormatting>
  <conditionalFormatting sqref="O24">
    <cfRule type="cellIs" dxfId="56" priority="199" operator="equal">
      <formula>"Extremo"</formula>
    </cfRule>
    <cfRule type="cellIs" dxfId="55" priority="201" operator="equal">
      <formula>"Moderado"</formula>
    </cfRule>
    <cfRule type="cellIs" dxfId="54" priority="200" operator="equal">
      <formula>"Alto"</formula>
    </cfRule>
    <cfRule type="cellIs" dxfId="53" priority="202" operator="equal">
      <formula>"Bajo"</formula>
    </cfRule>
  </conditionalFormatting>
  <conditionalFormatting sqref="O27">
    <cfRule type="cellIs" dxfId="52" priority="195" operator="equal">
      <formula>"Extremo"</formula>
    </cfRule>
    <cfRule type="cellIs" dxfId="51" priority="196" operator="equal">
      <formula>"Alto"</formula>
    </cfRule>
    <cfRule type="cellIs" dxfId="50" priority="198" operator="equal">
      <formula>"Bajo"</formula>
    </cfRule>
    <cfRule type="cellIs" dxfId="49" priority="197" operator="equal">
      <formula>"Moderado"</formula>
    </cfRule>
  </conditionalFormatting>
  <conditionalFormatting sqref="O29">
    <cfRule type="cellIs" dxfId="48" priority="186" operator="equal">
      <formula>"Bajo"</formula>
    </cfRule>
    <cfRule type="cellIs" dxfId="47" priority="185" operator="equal">
      <formula>"Moderado"</formula>
    </cfRule>
    <cfRule type="cellIs" dxfId="46" priority="183" operator="equal">
      <formula>"Extremo"</formula>
    </cfRule>
    <cfRule type="cellIs" dxfId="45" priority="184" operator="equal">
      <formula>"Alto"</formula>
    </cfRule>
  </conditionalFormatting>
  <conditionalFormatting sqref="O44">
    <cfRule type="cellIs" dxfId="44" priority="108" operator="equal">
      <formula>"Leve"</formula>
    </cfRule>
    <cfRule type="cellIs" dxfId="43" priority="107" operator="equal">
      <formula>"Menor"</formula>
    </cfRule>
    <cfRule type="cellIs" dxfId="42" priority="105" operator="equal">
      <formula>"Mayor"</formula>
    </cfRule>
    <cfRule type="cellIs" dxfId="41" priority="104" operator="equal">
      <formula>"Catastrófico"</formula>
    </cfRule>
    <cfRule type="cellIs" dxfId="40" priority="106" operator="equal">
      <formula>"Moderado"</formula>
    </cfRule>
  </conditionalFormatting>
  <conditionalFormatting sqref="O50">
    <cfRule type="cellIs" dxfId="39" priority="98" operator="equal">
      <formula>"Leve"</formula>
    </cfRule>
    <cfRule type="cellIs" dxfId="38" priority="94" operator="equal">
      <formula>"Catastrófico"</formula>
    </cfRule>
    <cfRule type="cellIs" dxfId="37" priority="95" operator="equal">
      <formula>"Mayor"</formula>
    </cfRule>
    <cfRule type="cellIs" dxfId="36" priority="96" operator="equal">
      <formula>"Moderado"</formula>
    </cfRule>
    <cfRule type="cellIs" dxfId="35" priority="97" operator="equal">
      <formula>"Menor"</formula>
    </cfRule>
  </conditionalFormatting>
  <conditionalFormatting sqref="O56">
    <cfRule type="cellIs" dxfId="34" priority="165" operator="equal">
      <formula>"Moderado"</formula>
    </cfRule>
    <cfRule type="cellIs" dxfId="33" priority="163" operator="equal">
      <formula>"Extremo"</formula>
    </cfRule>
    <cfRule type="cellIs" dxfId="32" priority="166" operator="equal">
      <formula>"Bajo"</formula>
    </cfRule>
    <cfRule type="cellIs" dxfId="31" priority="164" operator="equal">
      <formula>"Alto"</formula>
    </cfRule>
  </conditionalFormatting>
  <conditionalFormatting sqref="O80">
    <cfRule type="cellIs" dxfId="30" priority="81" operator="equal">
      <formula>"Alto"</formula>
    </cfRule>
    <cfRule type="cellIs" dxfId="29" priority="80" operator="equal">
      <formula>"Extremo"</formula>
    </cfRule>
    <cfRule type="cellIs" dxfId="28" priority="83" operator="equal">
      <formula>"Bajo"</formula>
    </cfRule>
    <cfRule type="cellIs" dxfId="27" priority="82" operator="equal">
      <formula>"Moderado"</formula>
    </cfRule>
  </conditionalFormatting>
  <conditionalFormatting sqref="O86:O87">
    <cfRule type="cellIs" dxfId="26" priority="61" operator="equal">
      <formula>"Extremo"</formula>
    </cfRule>
    <cfRule type="cellIs" dxfId="25" priority="64" operator="equal">
      <formula>"Bajo"</formula>
    </cfRule>
    <cfRule type="cellIs" dxfId="24" priority="62" operator="equal">
      <formula>"Alto"</formula>
    </cfRule>
    <cfRule type="cellIs" dxfId="23" priority="63" operator="equal">
      <formula>"Moderado"</formula>
    </cfRule>
  </conditionalFormatting>
  <conditionalFormatting sqref="O89">
    <cfRule type="cellIs" dxfId="22" priority="65" operator="equal">
      <formula>"Extremo"</formula>
    </cfRule>
    <cfRule type="cellIs" dxfId="21" priority="66" operator="equal">
      <formula>"Alto"</formula>
    </cfRule>
    <cfRule type="cellIs" dxfId="20" priority="67" operator="equal">
      <formula>"Moderado"</formula>
    </cfRule>
    <cfRule type="cellIs" dxfId="19" priority="68" operator="equal">
      <formula>"Bajo"</formula>
    </cfRule>
  </conditionalFormatting>
  <conditionalFormatting sqref="O100">
    <cfRule type="cellIs" dxfId="18" priority="28" operator="equal">
      <formula>"Menor"</formula>
    </cfRule>
    <cfRule type="cellIs" dxfId="17" priority="25" operator="equal">
      <formula>"Catastrófico"</formula>
    </cfRule>
    <cfRule type="cellIs" dxfId="16" priority="27" operator="equal">
      <formula>"Moderado"</formula>
    </cfRule>
    <cfRule type="cellIs" dxfId="15" priority="29" operator="equal">
      <formula>"Leve"</formula>
    </cfRule>
    <cfRule type="cellIs" dxfId="14" priority="26" operator="equal">
      <formula>"Mayor"</formula>
    </cfRule>
  </conditionalFormatting>
  <conditionalFormatting sqref="O106">
    <cfRule type="cellIs" dxfId="13" priority="8" operator="equal">
      <formula>"Bajo"</formula>
    </cfRule>
    <cfRule type="cellIs" dxfId="12" priority="7" operator="equal">
      <formula>"Moderado"</formula>
    </cfRule>
    <cfRule type="cellIs" dxfId="11" priority="6" operator="equal">
      <formula>"Alto"</formula>
    </cfRule>
    <cfRule type="cellIs" dxfId="10" priority="5" operator="equal">
      <formula>"Extremo"</formula>
    </cfRule>
  </conditionalFormatting>
  <conditionalFormatting sqref="O110">
    <cfRule type="cellIs" dxfId="9" priority="2" operator="equal">
      <formula>"Alto"</formula>
    </cfRule>
    <cfRule type="cellIs" dxfId="8" priority="3" operator="equal">
      <formula>"Moderado"</formula>
    </cfRule>
    <cfRule type="cellIs" dxfId="7" priority="4" operator="equal">
      <formula>"Bajo"</formula>
    </cfRule>
    <cfRule type="cellIs" dxfId="6" priority="1" operator="equal">
      <formula>"Extremo"</formula>
    </cfRule>
  </conditionalFormatting>
  <dataValidations count="1">
    <dataValidation type="list" allowBlank="1" showErrorMessage="1" sqref="K35 K37 K62 K68 K74 K91 K93" xr:uid="{F9DDC2DA-17FD-4739-80CC-DB05A0E4159B}">
      <formula1>#REF!</formula1>
    </dataValidation>
  </dataValidation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DA786-8171-4DD5-928E-9D57F744D37D}">
  <dimension ref="A1:O3"/>
  <sheetViews>
    <sheetView topLeftCell="A3" workbookViewId="0">
      <selection activeCell="B1" sqref="B1:O3"/>
    </sheetView>
  </sheetViews>
  <sheetFormatPr baseColWidth="10" defaultRowHeight="15" x14ac:dyDescent="0.25"/>
  <sheetData>
    <row r="1" spans="1:15" x14ac:dyDescent="0.25">
      <c r="A1" s="162"/>
      <c r="B1" s="163">
        <v>1</v>
      </c>
      <c r="C1" s="161" t="s">
        <v>23</v>
      </c>
      <c r="D1" s="161" t="s">
        <v>41</v>
      </c>
      <c r="E1" s="161" t="s">
        <v>42</v>
      </c>
      <c r="F1" s="161" t="s">
        <v>43</v>
      </c>
      <c r="G1" s="161" t="s">
        <v>27</v>
      </c>
      <c r="H1" s="163">
        <v>10</v>
      </c>
      <c r="I1" s="38" t="str">
        <f>IF(H1&lt;=0,"",IF(H1&lt;=2,"Muy Baja",IF(H1&lt;=24,"Baja",IF(H1&lt;=500,"Media",IF(H1&lt;=5000,"Alta","Muy Alta")))))</f>
        <v>Baja</v>
      </c>
      <c r="J1" s="164">
        <f>IF(I1="","",IF(I1="Muy Baja",0.2,IF(I1="Baja",0.4,IF(I1="Media",0.6,IF(I1="Alta",0.8,IF(I1="Muy Alta",1,))))))</f>
        <v>0.4</v>
      </c>
      <c r="K1" s="164" t="s">
        <v>31</v>
      </c>
      <c r="L1" s="164" t="s">
        <v>31</v>
      </c>
      <c r="M1" s="29" t="s">
        <v>37</v>
      </c>
      <c r="N1" s="164">
        <v>0.6</v>
      </c>
      <c r="O1" s="64" t="s">
        <v>37</v>
      </c>
    </row>
    <row r="2" spans="1:15" x14ac:dyDescent="0.25">
      <c r="A2" s="162"/>
      <c r="B2" s="33"/>
      <c r="C2" s="33"/>
      <c r="D2" s="33"/>
      <c r="E2" s="33"/>
      <c r="F2" s="33"/>
      <c r="G2" s="33"/>
      <c r="H2" s="33"/>
      <c r="I2" s="33"/>
      <c r="J2" s="33"/>
      <c r="K2" s="33"/>
      <c r="L2" s="33"/>
      <c r="M2" s="30"/>
      <c r="N2" s="33"/>
      <c r="O2" s="30"/>
    </row>
    <row r="3" spans="1:15" ht="409.5" x14ac:dyDescent="0.25">
      <c r="A3" s="162"/>
      <c r="B3" s="1">
        <v>2</v>
      </c>
      <c r="C3" s="2" t="s">
        <v>23</v>
      </c>
      <c r="D3" s="2" t="s">
        <v>44</v>
      </c>
      <c r="E3" s="2" t="s">
        <v>45</v>
      </c>
      <c r="F3" s="2" t="s">
        <v>46</v>
      </c>
      <c r="G3" s="2" t="s">
        <v>47</v>
      </c>
      <c r="H3" s="1">
        <v>712</v>
      </c>
      <c r="I3" s="3" t="str">
        <f>IF(H3&lt;=0,"",IF(H3&lt;=2,"Muy Baja",IF(H3&lt;=24,"Baja",IF(H3&lt;=500,"Media",IF(H3&lt;=5000,"Alta","Muy Alta")))))</f>
        <v>Alta</v>
      </c>
      <c r="J3" s="4">
        <f>IF(I3="","",IF(I3="Muy Baja",0.2,IF(I3="Baja",0.4,IF(I3="Media",0.6,IF(I3="Alta",0.8,IF(I3="Muy Alta",1,))))))</f>
        <v>0.8</v>
      </c>
      <c r="K3" s="4" t="s">
        <v>48</v>
      </c>
      <c r="L3" s="4" t="s">
        <v>48</v>
      </c>
      <c r="M3" s="12" t="s">
        <v>49</v>
      </c>
      <c r="N3" s="4">
        <v>0.2</v>
      </c>
      <c r="O3" s="11" t="s">
        <v>37</v>
      </c>
    </row>
  </sheetData>
  <mergeCells count="15">
    <mergeCell ref="M1:M2"/>
    <mergeCell ref="N1:N2"/>
    <mergeCell ref="O1:O2"/>
    <mergeCell ref="G1:G2"/>
    <mergeCell ref="H1:H2"/>
    <mergeCell ref="I1:I2"/>
    <mergeCell ref="J1:J2"/>
    <mergeCell ref="K1:K2"/>
    <mergeCell ref="L1:L2"/>
    <mergeCell ref="F1:F2"/>
    <mergeCell ref="A1:A3"/>
    <mergeCell ref="B1:B2"/>
    <mergeCell ref="C1:C2"/>
    <mergeCell ref="D1:D2"/>
    <mergeCell ref="E1:E2"/>
  </mergeCells>
  <conditionalFormatting sqref="I1 I3">
    <cfRule type="cellIs" dxfId="5" priority="1" operator="equal">
      <formula>"Muy Alta"</formula>
    </cfRule>
    <cfRule type="cellIs" dxfId="4" priority="2" operator="equal">
      <formula>"Alta"</formula>
    </cfRule>
    <cfRule type="cellIs" dxfId="3" priority="3" operator="equal">
      <formula>"Media"</formula>
    </cfRule>
    <cfRule type="cellIs" dxfId="2" priority="4" operator="equal">
      <formula>"Baja"</formula>
    </cfRule>
    <cfRule type="cellIs" dxfId="1" priority="5" operator="equal">
      <formula>"Muy Baja"</formula>
    </cfRule>
  </conditionalFormatting>
  <conditionalFormatting sqref="L1:L3">
    <cfRule type="containsText" dxfId="0" priority="6" operator="containsText" text="❌">
      <formula>NOT(ISERROR(SEARCH(("❌"),(L1))))</formula>
    </cfRule>
  </conditionalFormatting>
  <dataValidations count="1">
    <dataValidation type="list" allowBlank="1" showErrorMessage="1" sqref="K1 K3" xr:uid="{248B4406-636B-4886-9998-CBEAF7465B48}">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Concejo Municipal de Chia</dc:creator>
  <cp:lastModifiedBy>concejo chia</cp:lastModifiedBy>
  <cp:lastPrinted>2026-01-29T21:00:49Z</cp:lastPrinted>
  <dcterms:created xsi:type="dcterms:W3CDTF">2026-01-28T15:44:12Z</dcterms:created>
  <dcterms:modified xsi:type="dcterms:W3CDTF">2026-01-29T21:03:04Z</dcterms:modified>
</cp:coreProperties>
</file>