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30.30.30.51\compartida\SGC CONCEJO CHIA 2025\6. Riesgos y oportunidades\Riesgos\Matrices de Riesgos 2026\Riesgos Control Político\"/>
    </mc:Choice>
  </mc:AlternateContent>
  <xr:revisionPtr revIDLastSave="0" documentId="13_ncr:1_{6F3F9DF3-9BFA-4CE1-82AC-E69BD464DF4B}" xr6:coauthVersionLast="47" xr6:coauthVersionMax="47" xr10:uidLastSave="{00000000-0000-0000-0000-000000000000}"/>
  <bookViews>
    <workbookView xWindow="-120" yWindow="-120" windowWidth="29040" windowHeight="15720" activeTab="1" xr2:uid="{00000000-000D-0000-FFFF-FFFF00000000}"/>
  </bookViews>
  <sheets>
    <sheet name="Intructivo" sheetId="1" r:id="rId1"/>
    <sheet name="Mapa final" sheetId="2" r:id="rId2"/>
    <sheet name="Matriz Calor Inherente" sheetId="3" r:id="rId3"/>
    <sheet name="Matriz Calor Residual" sheetId="4" r:id="rId4"/>
    <sheet name="Tabla probabilidad" sheetId="5" r:id="rId5"/>
    <sheet name="Tabla Impacto" sheetId="6" r:id="rId6"/>
    <sheet name="Tabla Valoración controles" sheetId="7" r:id="rId7"/>
    <sheet name="Opciones Tratamiento" sheetId="8" state="hidden" r:id="rId8"/>
    <sheet name="Hoja1" sheetId="9" state="hidden" r:id="rId9"/>
  </sheets>
  <externalReferences>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 i="2" l="1"/>
  <c r="H19" i="2" l="1"/>
  <c r="H13" i="2"/>
  <c r="K13" i="2"/>
  <c r="L13" i="2" s="1"/>
  <c r="M13" i="2" s="1"/>
  <c r="N13" i="2" l="1"/>
  <c r="K19" i="2"/>
  <c r="I13" i="2"/>
  <c r="I19" i="2"/>
  <c r="M19" i="2" l="1"/>
  <c r="F221" i="6"/>
  <c r="F220" i="6"/>
  <c r="F219" i="6"/>
  <c r="F218" i="6"/>
  <c r="F217" i="6"/>
  <c r="F216" i="6"/>
  <c r="F215" i="6"/>
  <c r="F214" i="6"/>
  <c r="F213" i="6"/>
  <c r="F212" i="6"/>
  <c r="F211" i="6"/>
  <c r="F210" i="6"/>
  <c r="AL44" i="3"/>
  <c r="AJ44" i="3"/>
  <c r="AF44" i="3"/>
  <c r="AD44" i="3"/>
  <c r="Z44" i="3"/>
  <c r="X44" i="3"/>
  <c r="T44" i="3"/>
  <c r="R44" i="3"/>
  <c r="N44" i="3"/>
  <c r="L44" i="3"/>
  <c r="AL36" i="3"/>
  <c r="AJ36" i="3"/>
  <c r="AF36" i="3"/>
  <c r="AD36" i="3"/>
  <c r="Z36" i="3"/>
  <c r="X36" i="3"/>
  <c r="T36" i="3"/>
  <c r="R36" i="3"/>
  <c r="N36" i="3"/>
  <c r="L36" i="3"/>
  <c r="AL28" i="3"/>
  <c r="AJ28" i="3"/>
  <c r="AF28" i="3"/>
  <c r="AD28" i="3"/>
  <c r="Z28" i="3"/>
  <c r="X28" i="3"/>
  <c r="T28" i="3"/>
  <c r="R28" i="3"/>
  <c r="N28" i="3"/>
  <c r="L28" i="3"/>
  <c r="AL20" i="3"/>
  <c r="AJ20" i="3"/>
  <c r="AF20" i="3"/>
  <c r="AD20" i="3"/>
  <c r="Z20" i="3"/>
  <c r="X20" i="3"/>
  <c r="T20" i="3"/>
  <c r="R20" i="3"/>
  <c r="N20" i="3"/>
  <c r="L20" i="3"/>
  <c r="AL12" i="3"/>
  <c r="AJ12" i="3"/>
  <c r="AF12" i="3"/>
  <c r="AD12" i="3"/>
  <c r="Z12" i="3"/>
  <c r="X12" i="3"/>
  <c r="T12" i="3"/>
  <c r="R12" i="3"/>
  <c r="N12" i="3"/>
  <c r="L12" i="3"/>
  <c r="T19" i="2"/>
  <c r="Q19" i="2"/>
  <c r="X18" i="2"/>
  <c r="T13" i="2"/>
  <c r="Q13" i="2"/>
  <c r="H210" i="6"/>
  <c r="B223" i="6"/>
  <c r="B221" i="6"/>
  <c r="B222" i="6"/>
  <c r="N19" i="2" l="1"/>
  <c r="X24" i="2"/>
  <c r="X16" i="2"/>
  <c r="U36" i="4"/>
  <c r="X15" i="2"/>
  <c r="X14" i="2"/>
  <c r="AG50" i="4"/>
  <c r="X22" i="2"/>
  <c r="T16" i="3"/>
  <c r="V20" i="3"/>
  <c r="AA30" i="4"/>
  <c r="AM10" i="4"/>
  <c r="AG36" i="4"/>
  <c r="AM36" i="4"/>
  <c r="U46" i="4"/>
  <c r="AG26" i="4"/>
  <c r="AM26" i="4"/>
  <c r="O26" i="4"/>
  <c r="O36" i="4"/>
  <c r="AA26" i="4"/>
  <c r="AM16" i="4"/>
  <c r="AA6" i="4"/>
  <c r="AG16" i="4"/>
  <c r="O16" i="4"/>
  <c r="X19" i="2"/>
  <c r="X21" i="2"/>
  <c r="N20" i="4"/>
  <c r="X26" i="4"/>
  <c r="X20" i="2"/>
  <c r="X17" i="2"/>
  <c r="X23" i="2"/>
  <c r="X13" i="2"/>
  <c r="AA47" i="4"/>
  <c r="AB19" i="2" l="1"/>
  <c r="AA19" i="2" s="1"/>
  <c r="AB13" i="2"/>
  <c r="AA13" i="2" s="1"/>
  <c r="U10" i="4"/>
  <c r="AA40" i="4"/>
  <c r="T40" i="4"/>
  <c r="S34" i="4"/>
  <c r="AG20" i="4"/>
  <c r="AA50" i="4"/>
  <c r="O10" i="4"/>
  <c r="O40" i="4"/>
  <c r="AK47" i="4"/>
  <c r="AD43" i="4"/>
  <c r="AL50" i="4"/>
  <c r="AG6" i="4"/>
  <c r="U26" i="4"/>
  <c r="AG46" i="4"/>
  <c r="AL30" i="4"/>
  <c r="AJ48" i="4"/>
  <c r="O6" i="4"/>
  <c r="U6" i="4"/>
  <c r="AA36" i="4"/>
  <c r="O46" i="4"/>
  <c r="Z33" i="4"/>
  <c r="AH53" i="4"/>
  <c r="AM6" i="4"/>
  <c r="AA16" i="4"/>
  <c r="AM46" i="4"/>
  <c r="AA46" i="4"/>
  <c r="U16" i="4"/>
  <c r="AM20" i="4"/>
  <c r="O50" i="4"/>
  <c r="AM50" i="4"/>
  <c r="O20" i="4"/>
  <c r="AA20" i="4"/>
  <c r="U30" i="4"/>
  <c r="K41" i="4"/>
  <c r="AG10" i="4"/>
  <c r="AG40" i="4"/>
  <c r="U50" i="4"/>
  <c r="AG30" i="4"/>
  <c r="U20" i="4"/>
  <c r="AM30" i="4"/>
  <c r="AA10" i="4"/>
  <c r="O30" i="4"/>
  <c r="U40" i="4"/>
  <c r="AM40" i="4"/>
  <c r="AF10" i="4"/>
  <c r="T30" i="4"/>
  <c r="AL40" i="4"/>
  <c r="Z10" i="4"/>
  <c r="Z20" i="4"/>
  <c r="T20" i="4"/>
  <c r="Z40" i="4"/>
  <c r="AF50" i="4"/>
  <c r="AF30" i="4"/>
  <c r="AF20" i="4"/>
  <c r="Z30" i="4"/>
  <c r="AF40" i="4"/>
  <c r="AB38" i="4"/>
  <c r="N10" i="4"/>
  <c r="T10" i="4"/>
  <c r="Z50" i="4"/>
  <c r="T50" i="4"/>
  <c r="N30" i="4"/>
  <c r="AL10" i="4"/>
  <c r="N40" i="4"/>
  <c r="AL20" i="4"/>
  <c r="N50" i="4"/>
  <c r="X10" i="3"/>
  <c r="R42" i="3"/>
  <c r="AD18" i="3"/>
  <c r="R10" i="3"/>
  <c r="L26" i="3"/>
  <c r="L34" i="3"/>
  <c r="R26" i="3"/>
  <c r="AJ26" i="3"/>
  <c r="X18" i="3"/>
  <c r="AD10" i="3"/>
  <c r="AJ18" i="3"/>
  <c r="X26" i="3"/>
  <c r="AD34" i="3"/>
  <c r="AJ42" i="3"/>
  <c r="L18" i="3"/>
  <c r="L42" i="3"/>
  <c r="AJ10" i="3"/>
  <c r="L10" i="3"/>
  <c r="AD26" i="3"/>
  <c r="X42" i="3"/>
  <c r="R18" i="3"/>
  <c r="AD42" i="3"/>
  <c r="R34" i="3"/>
  <c r="X34" i="3"/>
  <c r="AJ34" i="3"/>
  <c r="T8" i="3"/>
  <c r="N24" i="3"/>
  <c r="AL24" i="3"/>
  <c r="N32" i="3"/>
  <c r="AF24" i="3"/>
  <c r="N8" i="3"/>
  <c r="T32" i="3"/>
  <c r="N16" i="3"/>
  <c r="AL32" i="3"/>
  <c r="Z40" i="3"/>
  <c r="Z32" i="3"/>
  <c r="AF16" i="3"/>
  <c r="AL40" i="3"/>
  <c r="Z24" i="3"/>
  <c r="AF32" i="3"/>
  <c r="Z16" i="3"/>
  <c r="N40" i="3"/>
  <c r="AL8" i="3"/>
  <c r="AF40" i="3"/>
  <c r="T24" i="3"/>
  <c r="N18" i="3"/>
  <c r="AF42" i="3"/>
  <c r="T18" i="3"/>
  <c r="AF34" i="3"/>
  <c r="Z26" i="3"/>
  <c r="T34" i="3"/>
  <c r="Z10" i="3"/>
  <c r="AL10" i="3"/>
  <c r="Z42" i="3"/>
  <c r="AF10" i="3"/>
  <c r="AF26" i="3"/>
  <c r="AL34" i="3"/>
  <c r="N34" i="3"/>
  <c r="T42" i="3"/>
  <c r="AF18" i="3"/>
  <c r="N42" i="3"/>
  <c r="Z18" i="3"/>
  <c r="N10" i="3"/>
  <c r="P32" i="3"/>
  <c r="AL42" i="3"/>
  <c r="V32" i="3"/>
  <c r="AH32" i="3"/>
  <c r="AL16" i="3"/>
  <c r="Z8" i="3"/>
  <c r="AF8" i="3"/>
  <c r="T40" i="3"/>
  <c r="AH20" i="3"/>
  <c r="AB20" i="3"/>
  <c r="J8" i="3"/>
  <c r="J12" i="3"/>
  <c r="AB40" i="3"/>
  <c r="V38" i="3"/>
  <c r="P14" i="3"/>
  <c r="V36" i="3"/>
  <c r="AB6" i="3"/>
  <c r="AB30" i="3"/>
  <c r="AH38" i="3"/>
  <c r="V14" i="3"/>
  <c r="P16" i="3"/>
  <c r="AB14" i="3"/>
  <c r="AH6" i="3"/>
  <c r="P28" i="3"/>
  <c r="P36" i="3"/>
  <c r="J28" i="3"/>
  <c r="J38" i="3"/>
  <c r="AH14" i="3"/>
  <c r="V6" i="3"/>
  <c r="V30" i="3"/>
  <c r="AH8" i="3"/>
  <c r="V8" i="3"/>
  <c r="AB32" i="3"/>
  <c r="V24" i="3"/>
  <c r="AF14" i="3"/>
  <c r="P44" i="3"/>
  <c r="P8" i="3"/>
  <c r="V40" i="3"/>
  <c r="V22" i="3"/>
  <c r="N6" i="3"/>
  <c r="AL14" i="3"/>
  <c r="N14" i="3"/>
  <c r="AB34" i="3"/>
  <c r="T38" i="3"/>
  <c r="AH36" i="3"/>
  <c r="AH12" i="3"/>
  <c r="P22" i="3"/>
  <c r="AB38" i="3"/>
  <c r="Z22" i="3"/>
  <c r="AB12" i="3"/>
  <c r="V12" i="3"/>
  <c r="J22" i="3"/>
  <c r="J14" i="3"/>
  <c r="P38" i="3"/>
  <c r="N30" i="3"/>
  <c r="AJ6" i="3"/>
  <c r="AJ16" i="3"/>
  <c r="R8" i="3"/>
  <c r="AJ22" i="3"/>
  <c r="AJ14" i="3"/>
  <c r="X22" i="3"/>
  <c r="L30" i="3"/>
  <c r="L32" i="3"/>
  <c r="L16" i="3"/>
  <c r="AD40" i="3"/>
  <c r="V28" i="3"/>
  <c r="P34" i="3"/>
  <c r="AB22" i="3"/>
  <c r="AH22" i="3"/>
  <c r="J30" i="3"/>
  <c r="P30" i="3"/>
  <c r="AD6" i="3"/>
  <c r="AD14" i="3"/>
  <c r="AJ38" i="3"/>
  <c r="X32" i="3"/>
  <c r="L22" i="3"/>
  <c r="AD38" i="3"/>
  <c r="L8" i="3"/>
  <c r="R32" i="3"/>
  <c r="AD22" i="3"/>
  <c r="X30" i="3"/>
  <c r="AJ32" i="3"/>
  <c r="AB18" i="3"/>
  <c r="V44" i="3"/>
  <c r="J6" i="3"/>
  <c r="P6" i="3"/>
  <c r="AH30" i="3"/>
  <c r="X6" i="3"/>
  <c r="R30" i="3"/>
  <c r="AD30" i="3"/>
  <c r="P12" i="3"/>
  <c r="AD8" i="3"/>
  <c r="AD16" i="3"/>
  <c r="R40" i="3"/>
  <c r="R6" i="3"/>
  <c r="AJ40" i="3"/>
  <c r="X8" i="3"/>
  <c r="L6" i="3"/>
  <c r="AJ8" i="3"/>
  <c r="L40" i="3"/>
  <c r="R38" i="3"/>
  <c r="X14" i="3"/>
  <c r="AJ30" i="3"/>
  <c r="X38" i="3"/>
  <c r="R16" i="3"/>
  <c r="X16" i="3"/>
  <c r="L24" i="3"/>
  <c r="AD32" i="3"/>
  <c r="L14" i="3"/>
  <c r="R24" i="3"/>
  <c r="R14" i="3"/>
  <c r="R22" i="3"/>
  <c r="L38" i="3"/>
  <c r="AJ24" i="3"/>
  <c r="X24" i="3"/>
  <c r="AD24" i="3"/>
  <c r="X40" i="3"/>
  <c r="J10" i="3"/>
  <c r="AH34" i="3"/>
  <c r="V10" i="3"/>
  <c r="J18" i="3"/>
  <c r="P10" i="3"/>
  <c r="Z30" i="3"/>
  <c r="AF6" i="3"/>
  <c r="Z38" i="3"/>
  <c r="AL38" i="3"/>
  <c r="AH10" i="3"/>
  <c r="AB26" i="3"/>
  <c r="AL22" i="3"/>
  <c r="AH26" i="3"/>
  <c r="AF30" i="3"/>
  <c r="AB42" i="3"/>
  <c r="AH16" i="3"/>
  <c r="P40" i="3"/>
  <c r="J40" i="3"/>
  <c r="AL30" i="3"/>
  <c r="AH18" i="3"/>
  <c r="J36" i="3"/>
  <c r="J44" i="3"/>
  <c r="P24" i="3"/>
  <c r="AB16" i="3"/>
  <c r="AH24" i="3"/>
  <c r="J20" i="3"/>
  <c r="P18" i="3"/>
  <c r="Z34" i="3"/>
  <c r="P20" i="3"/>
  <c r="AH28" i="3"/>
  <c r="T10" i="3"/>
  <c r="AL26" i="3"/>
  <c r="AH44" i="3"/>
  <c r="AB28" i="3"/>
  <c r="J34" i="3"/>
  <c r="AL18" i="3"/>
  <c r="AB10" i="3"/>
  <c r="AB8" i="3"/>
  <c r="J24" i="3"/>
  <c r="J32" i="3"/>
  <c r="N22" i="3"/>
  <c r="T6" i="3"/>
  <c r="AF38" i="3"/>
  <c r="J42" i="3"/>
  <c r="Z6" i="3"/>
  <c r="T30" i="3"/>
  <c r="J26" i="3"/>
  <c r="V26" i="3"/>
  <c r="V42" i="3"/>
  <c r="V34" i="3"/>
  <c r="J16" i="3"/>
  <c r="Z14" i="3"/>
  <c r="P42" i="3"/>
  <c r="T14" i="3"/>
  <c r="N38" i="3"/>
  <c r="T26" i="3"/>
  <c r="P26" i="3"/>
  <c r="N26" i="3"/>
  <c r="AB36" i="3"/>
  <c r="AB44" i="3"/>
  <c r="AH42" i="3"/>
  <c r="V18" i="3"/>
  <c r="V16" i="3"/>
  <c r="AB24" i="3"/>
  <c r="AH40" i="3"/>
  <c r="AF22" i="3"/>
  <c r="AL6" i="3"/>
  <c r="T22" i="3"/>
  <c r="Y13" i="2"/>
  <c r="Z13" i="2"/>
  <c r="M17" i="4"/>
  <c r="AL51" i="4"/>
  <c r="N51" i="4"/>
  <c r="Z41" i="4"/>
  <c r="Z51" i="4"/>
  <c r="AL41" i="4"/>
  <c r="T41" i="4"/>
  <c r="Z31" i="4"/>
  <c r="AF31" i="4"/>
  <c r="AF51" i="4"/>
  <c r="T51" i="4"/>
  <c r="AL31" i="4"/>
  <c r="N31" i="4"/>
  <c r="T31" i="4"/>
  <c r="T21" i="4"/>
  <c r="N41" i="4"/>
  <c r="Z21" i="4"/>
  <c r="AF41" i="4"/>
  <c r="AL21" i="4"/>
  <c r="AL11" i="4"/>
  <c r="N11" i="4"/>
  <c r="AF21" i="4"/>
  <c r="T11" i="4"/>
  <c r="N21" i="4"/>
  <c r="Z11" i="4"/>
  <c r="AF11" i="4"/>
  <c r="S7" i="4"/>
  <c r="M27" i="4"/>
  <c r="S27" i="4"/>
  <c r="X6" i="4"/>
  <c r="AA38" i="4"/>
  <c r="AM48" i="4"/>
  <c r="AA48" i="4"/>
  <c r="O48" i="4"/>
  <c r="AG38" i="4"/>
  <c r="O38" i="4"/>
  <c r="AG48" i="4"/>
  <c r="U38" i="4"/>
  <c r="U28" i="4"/>
  <c r="AG18" i="4"/>
  <c r="AM38" i="4"/>
  <c r="AA28" i="4"/>
  <c r="AM18" i="4"/>
  <c r="U48" i="4"/>
  <c r="AG28" i="4"/>
  <c r="O28" i="4"/>
  <c r="AM28" i="4"/>
  <c r="AA18" i="4"/>
  <c r="AG8" i="4"/>
  <c r="O18" i="4"/>
  <c r="AM8" i="4"/>
  <c r="O8" i="4"/>
  <c r="U18" i="4"/>
  <c r="U8" i="4"/>
  <c r="AA8" i="4"/>
  <c r="N33" i="4"/>
  <c r="Z43" i="4"/>
  <c r="AL13" i="4"/>
  <c r="Y17" i="4"/>
  <c r="AK27" i="4"/>
  <c r="Y37" i="4"/>
  <c r="P48" i="4"/>
  <c r="P38" i="4"/>
  <c r="AH28" i="4"/>
  <c r="J28" i="4"/>
  <c r="P28" i="4"/>
  <c r="P8" i="4"/>
  <c r="AH18" i="4"/>
  <c r="V18" i="4"/>
  <c r="AB8" i="4"/>
  <c r="J18" i="4"/>
  <c r="AH8" i="4"/>
  <c r="J8" i="4"/>
  <c r="Y51" i="4"/>
  <c r="M51" i="4"/>
  <c r="AK41" i="4"/>
  <c r="S41" i="4"/>
  <c r="Y31" i="4"/>
  <c r="Y41" i="4"/>
  <c r="AE31" i="4"/>
  <c r="AE51" i="4"/>
  <c r="AE21" i="4"/>
  <c r="AK31" i="4"/>
  <c r="S31" i="4"/>
  <c r="S51" i="4"/>
  <c r="M31" i="4"/>
  <c r="AK21" i="4"/>
  <c r="M21" i="4"/>
  <c r="M41" i="4"/>
  <c r="AK51" i="4"/>
  <c r="AE11" i="4"/>
  <c r="S21" i="4"/>
  <c r="AK11" i="4"/>
  <c r="M11" i="4"/>
  <c r="S11" i="4"/>
  <c r="AE41" i="4"/>
  <c r="Y21" i="4"/>
  <c r="Y11" i="4"/>
  <c r="R6" i="4"/>
  <c r="AJ36" i="4"/>
  <c r="L36" i="4"/>
  <c r="O7" i="4"/>
  <c r="AG27" i="4"/>
  <c r="U37" i="4"/>
  <c r="AB54" i="4"/>
  <c r="P44" i="4"/>
  <c r="AB34" i="4"/>
  <c r="P54" i="4"/>
  <c r="AB44" i="4"/>
  <c r="J54" i="4"/>
  <c r="V44" i="4"/>
  <c r="J34" i="4"/>
  <c r="J44" i="4"/>
  <c r="AH34" i="4"/>
  <c r="P34" i="4"/>
  <c r="V54" i="4"/>
  <c r="AB24" i="4"/>
  <c r="AH44" i="4"/>
  <c r="AH24" i="4"/>
  <c r="J24" i="4"/>
  <c r="AH54" i="4"/>
  <c r="P24" i="4"/>
  <c r="V24" i="4"/>
  <c r="AB14" i="4"/>
  <c r="AH14" i="4"/>
  <c r="J14" i="4"/>
  <c r="P14" i="4"/>
  <c r="V34" i="4"/>
  <c r="V14" i="4"/>
  <c r="AK17" i="4"/>
  <c r="AE17" i="4"/>
  <c r="AG43" i="4"/>
  <c r="O43" i="4"/>
  <c r="AM53" i="4"/>
  <c r="AM33" i="4"/>
  <c r="U33" i="4"/>
  <c r="AA53" i="4"/>
  <c r="U43" i="4"/>
  <c r="O53" i="4"/>
  <c r="AM43" i="4"/>
  <c r="AA33" i="4"/>
  <c r="AA23" i="4"/>
  <c r="U53" i="4"/>
  <c r="AG23" i="4"/>
  <c r="AA43" i="4"/>
  <c r="O33" i="4"/>
  <c r="AG53" i="4"/>
  <c r="AG33" i="4"/>
  <c r="AA13" i="4"/>
  <c r="AG13" i="4"/>
  <c r="U23" i="4"/>
  <c r="AM23" i="4"/>
  <c r="AM13" i="4"/>
  <c r="O13" i="4"/>
  <c r="O23" i="4"/>
  <c r="U13" i="4"/>
  <c r="L16" i="4"/>
  <c r="AD46" i="4"/>
  <c r="S53" i="4"/>
  <c r="AE33" i="4"/>
  <c r="M43" i="4"/>
  <c r="M33" i="4"/>
  <c r="AK53" i="4"/>
  <c r="AE43" i="4"/>
  <c r="Y53" i="4"/>
  <c r="AK33" i="4"/>
  <c r="S33" i="4"/>
  <c r="M53" i="4"/>
  <c r="AK43" i="4"/>
  <c r="S43" i="4"/>
  <c r="S23" i="4"/>
  <c r="Y23" i="4"/>
  <c r="Y43" i="4"/>
  <c r="Y33" i="4"/>
  <c r="S13" i="4"/>
  <c r="AE53" i="4"/>
  <c r="Y13" i="4"/>
  <c r="AE13" i="4"/>
  <c r="AK23" i="4"/>
  <c r="M23" i="4"/>
  <c r="AK13" i="4"/>
  <c r="M13" i="4"/>
  <c r="AE23" i="4"/>
  <c r="AE37" i="4"/>
  <c r="M37" i="4"/>
  <c r="M47" i="4"/>
  <c r="R16" i="4"/>
  <c r="L26" i="4"/>
  <c r="AD36" i="4"/>
  <c r="AC48" i="4"/>
  <c r="AI38" i="4"/>
  <c r="Q38" i="4"/>
  <c r="Q48" i="4"/>
  <c r="AI48" i="4"/>
  <c r="W38" i="4"/>
  <c r="AC28" i="4"/>
  <c r="Q18" i="4"/>
  <c r="W48" i="4"/>
  <c r="AI28" i="4"/>
  <c r="K28" i="4"/>
  <c r="W18" i="4"/>
  <c r="K38" i="4"/>
  <c r="Q28" i="4"/>
  <c r="K48" i="4"/>
  <c r="AC38" i="4"/>
  <c r="W28" i="4"/>
  <c r="Q8" i="4"/>
  <c r="AI18" i="4"/>
  <c r="W8" i="4"/>
  <c r="AC8" i="4"/>
  <c r="K18" i="4"/>
  <c r="AC18" i="4"/>
  <c r="AI8" i="4"/>
  <c r="K8" i="4"/>
  <c r="AM7" i="4"/>
  <c r="O17" i="4"/>
  <c r="AM37" i="4"/>
  <c r="AE54" i="4"/>
  <c r="AE44" i="4"/>
  <c r="AK34" i="4"/>
  <c r="AK54" i="4"/>
  <c r="AK44" i="4"/>
  <c r="M24" i="4"/>
  <c r="M34" i="4"/>
  <c r="Y44" i="4"/>
  <c r="AE34" i="4"/>
  <c r="M14" i="4"/>
  <c r="S14" i="4"/>
  <c r="Y24" i="4"/>
  <c r="AE14" i="4"/>
  <c r="U54" i="4"/>
  <c r="AG44" i="4"/>
  <c r="U44" i="4"/>
  <c r="AA34" i="4"/>
  <c r="AM54" i="4"/>
  <c r="AA54" i="4"/>
  <c r="AM44" i="4"/>
  <c r="O54" i="4"/>
  <c r="AA44" i="4"/>
  <c r="AG34" i="4"/>
  <c r="O34" i="4"/>
  <c r="U34" i="4"/>
  <c r="U24" i="4"/>
  <c r="AM34" i="4"/>
  <c r="AA24" i="4"/>
  <c r="AG54" i="4"/>
  <c r="O44" i="4"/>
  <c r="U14" i="4"/>
  <c r="AM24" i="4"/>
  <c r="O24" i="4"/>
  <c r="AA14" i="4"/>
  <c r="AG24" i="4"/>
  <c r="AG14" i="4"/>
  <c r="AM14" i="4"/>
  <c r="O14" i="4"/>
  <c r="T54" i="4"/>
  <c r="AF44" i="4"/>
  <c r="T34" i="4"/>
  <c r="AF54" i="4"/>
  <c r="T44" i="4"/>
  <c r="AL34" i="4"/>
  <c r="Z34" i="4"/>
  <c r="AL54" i="4"/>
  <c r="Z54" i="4"/>
  <c r="AL44" i="4"/>
  <c r="N34" i="4"/>
  <c r="T24" i="4"/>
  <c r="N54" i="4"/>
  <c r="Z44" i="4"/>
  <c r="AF34" i="4"/>
  <c r="Z24" i="4"/>
  <c r="AF24" i="4"/>
  <c r="T14" i="4"/>
  <c r="AL24" i="4"/>
  <c r="N44" i="4"/>
  <c r="N24" i="4"/>
  <c r="Z14" i="4"/>
  <c r="AF14" i="4"/>
  <c r="AL14" i="4"/>
  <c r="N14" i="4"/>
  <c r="R53" i="4"/>
  <c r="X43" i="4"/>
  <c r="AD33" i="4"/>
  <c r="AJ53" i="4"/>
  <c r="X53" i="4"/>
  <c r="X33" i="4"/>
  <c r="AJ43" i="4"/>
  <c r="X23" i="4"/>
  <c r="AD23" i="4"/>
  <c r="R43" i="4"/>
  <c r="AD13" i="4"/>
  <c r="AJ13" i="4"/>
  <c r="L13" i="4"/>
  <c r="M7" i="4"/>
  <c r="S47" i="4"/>
  <c r="S37" i="4"/>
  <c r="AJ50" i="4"/>
  <c r="L50" i="4"/>
  <c r="X40" i="4"/>
  <c r="X50" i="4"/>
  <c r="X30" i="4"/>
  <c r="AD40" i="4"/>
  <c r="L40" i="4"/>
  <c r="AD30" i="4"/>
  <c r="AD50" i="4"/>
  <c r="R50" i="4"/>
  <c r="AJ40" i="4"/>
  <c r="R40" i="4"/>
  <c r="AJ30" i="4"/>
  <c r="L30" i="4"/>
  <c r="R20" i="4"/>
  <c r="R30" i="4"/>
  <c r="AJ20" i="4"/>
  <c r="AJ10" i="4"/>
  <c r="L10" i="4"/>
  <c r="R10" i="4"/>
  <c r="AD20" i="4"/>
  <c r="X10" i="4"/>
  <c r="X20" i="4"/>
  <c r="L20" i="4"/>
  <c r="AD10" i="4"/>
  <c r="AJ16" i="4"/>
  <c r="AJ26" i="4"/>
  <c r="X46" i="4"/>
  <c r="AG7" i="4"/>
  <c r="U27" i="4"/>
  <c r="AM17" i="4"/>
  <c r="AM47" i="4"/>
  <c r="AK7" i="4"/>
  <c r="AE27" i="4"/>
  <c r="AK37" i="4"/>
  <c r="R26" i="4"/>
  <c r="R46" i="4"/>
  <c r="X36" i="4"/>
  <c r="M50" i="4"/>
  <c r="AE40" i="4"/>
  <c r="M40" i="4"/>
  <c r="AE30" i="4"/>
  <c r="AE50" i="4"/>
  <c r="S50" i="4"/>
  <c r="AK40" i="4"/>
  <c r="S40" i="4"/>
  <c r="AK30" i="4"/>
  <c r="M30" i="4"/>
  <c r="AK20" i="4"/>
  <c r="M20" i="4"/>
  <c r="Y50" i="4"/>
  <c r="Y30" i="4"/>
  <c r="S20" i="4"/>
  <c r="Y40" i="4"/>
  <c r="S30" i="4"/>
  <c r="AK50" i="4"/>
  <c r="AK10" i="4"/>
  <c r="M10" i="4"/>
  <c r="S10" i="4"/>
  <c r="AE20" i="4"/>
  <c r="Y10" i="4"/>
  <c r="Y20" i="4"/>
  <c r="AE10" i="4"/>
  <c r="U17" i="4"/>
  <c r="AG37" i="4"/>
  <c r="AA27" i="4"/>
  <c r="L6" i="4"/>
  <c r="R36" i="4"/>
  <c r="L46" i="4"/>
  <c r="AA7" i="4"/>
  <c r="O27" i="4"/>
  <c r="AG47" i="4"/>
  <c r="W36" i="4"/>
  <c r="AI46" i="4"/>
  <c r="W46" i="4"/>
  <c r="K46" i="4"/>
  <c r="AC36" i="4"/>
  <c r="K36" i="4"/>
  <c r="Q26" i="4"/>
  <c r="AC16" i="4"/>
  <c r="AC46" i="4"/>
  <c r="W26" i="4"/>
  <c r="AC26" i="4"/>
  <c r="Q36" i="4"/>
  <c r="Q46" i="4"/>
  <c r="AI26" i="4"/>
  <c r="K26" i="4"/>
  <c r="AC6" i="4"/>
  <c r="K16" i="4"/>
  <c r="AI6" i="4"/>
  <c r="K6" i="4"/>
  <c r="AI36" i="4"/>
  <c r="AI16" i="4"/>
  <c r="Q16" i="4"/>
  <c r="Q6" i="4"/>
  <c r="W6" i="4"/>
  <c r="W16" i="4"/>
  <c r="AC53" i="4"/>
  <c r="Q53" i="4"/>
  <c r="W43" i="4"/>
  <c r="AC33" i="4"/>
  <c r="AC43" i="4"/>
  <c r="K43" i="4"/>
  <c r="K33" i="4"/>
  <c r="AI53" i="4"/>
  <c r="W53" i="4"/>
  <c r="Q43" i="4"/>
  <c r="AI23" i="4"/>
  <c r="K23" i="4"/>
  <c r="W33" i="4"/>
  <c r="AI43" i="4"/>
  <c r="Q33" i="4"/>
  <c r="Q23" i="4"/>
  <c r="K53" i="4"/>
  <c r="AI33" i="4"/>
  <c r="AC23" i="4"/>
  <c r="AI13" i="4"/>
  <c r="K13" i="4"/>
  <c r="W23" i="4"/>
  <c r="Q13" i="4"/>
  <c r="W13" i="4"/>
  <c r="AC13" i="4"/>
  <c r="AJ38" i="4"/>
  <c r="L38" i="4"/>
  <c r="AD48" i="4"/>
  <c r="R38" i="4"/>
  <c r="X38" i="4"/>
  <c r="L28" i="4"/>
  <c r="X28" i="4"/>
  <c r="AD28" i="4"/>
  <c r="X18" i="4"/>
  <c r="AD8" i="4"/>
  <c r="AJ8" i="4"/>
  <c r="L8" i="4"/>
  <c r="AJ54" i="4"/>
  <c r="L54" i="4"/>
  <c r="X44" i="4"/>
  <c r="AJ34" i="4"/>
  <c r="L34" i="4"/>
  <c r="X54" i="4"/>
  <c r="AJ44" i="4"/>
  <c r="L44" i="4"/>
  <c r="AD54" i="4"/>
  <c r="R34" i="4"/>
  <c r="R54" i="4"/>
  <c r="AD44" i="4"/>
  <c r="R44" i="4"/>
  <c r="X34" i="4"/>
  <c r="AJ24" i="4"/>
  <c r="L24" i="4"/>
  <c r="R24" i="4"/>
  <c r="AD34" i="4"/>
  <c r="X24" i="4"/>
  <c r="AJ14" i="4"/>
  <c r="L14" i="4"/>
  <c r="R14" i="4"/>
  <c r="AD24" i="4"/>
  <c r="X14" i="4"/>
  <c r="AD14" i="4"/>
  <c r="AH33" i="4"/>
  <c r="P53" i="4"/>
  <c r="J33" i="4"/>
  <c r="P33" i="4"/>
  <c r="AB23" i="4"/>
  <c r="V13" i="4"/>
  <c r="AD51" i="4"/>
  <c r="R41" i="4"/>
  <c r="R51" i="4"/>
  <c r="AJ51" i="4"/>
  <c r="R31" i="4"/>
  <c r="X51" i="4"/>
  <c r="L51" i="4"/>
  <c r="AJ41" i="4"/>
  <c r="X31" i="4"/>
  <c r="X41" i="4"/>
  <c r="AD31" i="4"/>
  <c r="AD41" i="4"/>
  <c r="AJ31" i="4"/>
  <c r="L31" i="4"/>
  <c r="AJ21" i="4"/>
  <c r="L21" i="4"/>
  <c r="R21" i="4"/>
  <c r="L41" i="4"/>
  <c r="AD11" i="4"/>
  <c r="AJ11" i="4"/>
  <c r="L11" i="4"/>
  <c r="AD21" i="4"/>
  <c r="R11" i="4"/>
  <c r="X21" i="4"/>
  <c r="X11" i="4"/>
  <c r="AE7" i="4"/>
  <c r="Y27" i="4"/>
  <c r="Y47" i="4"/>
  <c r="AB50" i="4"/>
  <c r="P40" i="4"/>
  <c r="P50" i="4"/>
  <c r="AH50" i="4"/>
  <c r="V40" i="4"/>
  <c r="P30" i="4"/>
  <c r="V50" i="4"/>
  <c r="J50" i="4"/>
  <c r="V30" i="4"/>
  <c r="AB40" i="4"/>
  <c r="J40" i="4"/>
  <c r="AB30" i="4"/>
  <c r="AH40" i="4"/>
  <c r="J30" i="4"/>
  <c r="AH20" i="4"/>
  <c r="J20" i="4"/>
  <c r="AH30" i="4"/>
  <c r="V20" i="4"/>
  <c r="AB10" i="4"/>
  <c r="AH10" i="4"/>
  <c r="J10" i="4"/>
  <c r="P20" i="4"/>
  <c r="AB20" i="4"/>
  <c r="P10" i="4"/>
  <c r="V10" i="4"/>
  <c r="AC34" i="4"/>
  <c r="K44" i="4"/>
  <c r="AC54" i="4"/>
  <c r="AI34" i="4"/>
  <c r="Q34" i="4"/>
  <c r="Q54" i="4"/>
  <c r="AC44" i="4"/>
  <c r="Q44" i="4"/>
  <c r="W54" i="4"/>
  <c r="AC24" i="4"/>
  <c r="AI44" i="4"/>
  <c r="AI24" i="4"/>
  <c r="K24" i="4"/>
  <c r="K34" i="4"/>
  <c r="AI54" i="4"/>
  <c r="K54" i="4"/>
  <c r="W44" i="4"/>
  <c r="W34" i="4"/>
  <c r="AC14" i="4"/>
  <c r="Q24" i="4"/>
  <c r="AI14" i="4"/>
  <c r="K14" i="4"/>
  <c r="Q14" i="4"/>
  <c r="W14" i="4"/>
  <c r="W24" i="4"/>
  <c r="Y7" i="4"/>
  <c r="S17" i="4"/>
  <c r="AE47" i="4"/>
  <c r="AC41" i="4"/>
  <c r="W51" i="4"/>
  <c r="W31" i="4"/>
  <c r="Q51" i="4"/>
  <c r="W11" i="4"/>
  <c r="AC51" i="4"/>
  <c r="Q11" i="4"/>
  <c r="AD6" i="4"/>
  <c r="AJ6" i="4"/>
  <c r="AD26" i="4"/>
  <c r="AJ46" i="4"/>
  <c r="W50" i="4"/>
  <c r="K50" i="4"/>
  <c r="AC40" i="4"/>
  <c r="K40" i="4"/>
  <c r="AC30" i="4"/>
  <c r="AC50" i="4"/>
  <c r="AC20" i="4"/>
  <c r="K30" i="4"/>
  <c r="AI20" i="4"/>
  <c r="K20" i="4"/>
  <c r="Q50" i="4"/>
  <c r="W30" i="4"/>
  <c r="W40" i="4"/>
  <c r="Q40" i="4"/>
  <c r="AI30" i="4"/>
  <c r="W20" i="4"/>
  <c r="AC10" i="4"/>
  <c r="AI10" i="4"/>
  <c r="K10" i="4"/>
  <c r="Q20" i="4"/>
  <c r="AI50" i="4"/>
  <c r="Q10" i="4"/>
  <c r="Q30" i="4"/>
  <c r="W10" i="4"/>
  <c r="AI40" i="4"/>
  <c r="AG17" i="4"/>
  <c r="AM27" i="4"/>
  <c r="AA37" i="4"/>
  <c r="Y19" i="2"/>
  <c r="Z19" i="2"/>
  <c r="X16" i="4"/>
  <c r="AD16" i="4"/>
  <c r="O51" i="4"/>
  <c r="AG31" i="4"/>
  <c r="AG51" i="4"/>
  <c r="AA41" i="4"/>
  <c r="U51" i="4"/>
  <c r="AM31" i="4"/>
  <c r="O31" i="4"/>
  <c r="AG41" i="4"/>
  <c r="O41" i="4"/>
  <c r="AM21" i="4"/>
  <c r="O21" i="4"/>
  <c r="AA51" i="4"/>
  <c r="U21" i="4"/>
  <c r="U41" i="4"/>
  <c r="AM51" i="4"/>
  <c r="AM41" i="4"/>
  <c r="AA31" i="4"/>
  <c r="AM11" i="4"/>
  <c r="O11" i="4"/>
  <c r="AG21" i="4"/>
  <c r="U11" i="4"/>
  <c r="U31" i="4"/>
  <c r="AA11" i="4"/>
  <c r="AA21" i="4"/>
  <c r="AG11" i="4"/>
  <c r="U7" i="4"/>
  <c r="O37" i="4"/>
  <c r="O47" i="4"/>
  <c r="AA17" i="4"/>
  <c r="U47" i="4"/>
  <c r="AK46" i="4"/>
  <c r="Y46" i="4"/>
  <c r="AE36" i="4"/>
  <c r="M36" i="4"/>
  <c r="M46" i="4"/>
  <c r="AE46" i="4"/>
  <c r="AK36" i="4"/>
  <c r="S36" i="4"/>
  <c r="Y26" i="4"/>
  <c r="AK16" i="4"/>
  <c r="M16" i="4"/>
  <c r="AE26" i="4"/>
  <c r="Y36" i="4"/>
  <c r="S46" i="4"/>
  <c r="AK26" i="4"/>
  <c r="M26" i="4"/>
  <c r="S26" i="4"/>
  <c r="AE16" i="4"/>
  <c r="AK6" i="4"/>
  <c r="M6" i="4"/>
  <c r="S16" i="4"/>
  <c r="S6" i="4"/>
  <c r="Y6" i="4"/>
  <c r="Y16" i="4"/>
  <c r="AE6" i="4"/>
  <c r="T23" i="4" l="1"/>
  <c r="N53" i="4"/>
  <c r="R8" i="4"/>
  <c r="AD18" i="4"/>
  <c r="X8" i="4"/>
  <c r="AD38" i="4"/>
  <c r="R48" i="4"/>
  <c r="L48" i="4"/>
  <c r="X48" i="4"/>
  <c r="L23" i="4"/>
  <c r="X13" i="4"/>
  <c r="L53" i="4"/>
  <c r="R33" i="4"/>
  <c r="L33" i="4"/>
  <c r="AD53" i="4"/>
  <c r="Y14" i="4"/>
  <c r="AK14" i="4"/>
  <c r="M54" i="4"/>
  <c r="AK24" i="4"/>
  <c r="Y34" i="4"/>
  <c r="S54" i="4"/>
  <c r="AF33" i="4"/>
  <c r="T43" i="4"/>
  <c r="N43" i="4"/>
  <c r="AF23" i="4"/>
  <c r="R18" i="4"/>
  <c r="L18" i="4"/>
  <c r="AJ18" i="4"/>
  <c r="R28" i="4"/>
  <c r="AJ28" i="4"/>
  <c r="AJ23" i="4"/>
  <c r="R13" i="4"/>
  <c r="R23" i="4"/>
  <c r="AJ33" i="4"/>
  <c r="L43" i="4"/>
  <c r="AE24" i="4"/>
  <c r="Y54" i="4"/>
  <c r="S24" i="4"/>
  <c r="M44" i="4"/>
  <c r="S44" i="4"/>
  <c r="AF53" i="4"/>
  <c r="T33" i="4"/>
  <c r="AL43" i="4"/>
  <c r="K21" i="4"/>
  <c r="AC11" i="4"/>
  <c r="AC21" i="4"/>
  <c r="P13" i="4"/>
  <c r="AH43" i="4"/>
  <c r="AB53" i="4"/>
  <c r="Q21" i="4"/>
  <c r="W41" i="4"/>
  <c r="K51" i="4"/>
  <c r="AI51" i="4"/>
  <c r="J13" i="4"/>
  <c r="V23" i="4"/>
  <c r="AH23" i="4"/>
  <c r="AB43" i="4"/>
  <c r="V33" i="4"/>
  <c r="T13" i="4"/>
  <c r="AF13" i="4"/>
  <c r="N23" i="4"/>
  <c r="T53" i="4"/>
  <c r="AL33" i="4"/>
  <c r="AL53" i="4"/>
  <c r="Z53" i="4"/>
  <c r="K31" i="4"/>
  <c r="AI41" i="4"/>
  <c r="Q31" i="4"/>
  <c r="J23" i="4"/>
  <c r="J43" i="4"/>
  <c r="V43" i="4"/>
  <c r="K11" i="4"/>
  <c r="AC31" i="4"/>
  <c r="J53" i="4"/>
  <c r="AI11" i="4"/>
  <c r="AI21" i="4"/>
  <c r="AI31" i="4"/>
  <c r="W21" i="4"/>
  <c r="Q41" i="4"/>
  <c r="AB13" i="4"/>
  <c r="AH13" i="4"/>
  <c r="P23" i="4"/>
  <c r="P43" i="4"/>
  <c r="AB33" i="4"/>
  <c r="V53" i="4"/>
  <c r="N13" i="4"/>
  <c r="Z13" i="4"/>
  <c r="AL23" i="4"/>
  <c r="Z23" i="4"/>
  <c r="AF43" i="4"/>
  <c r="AB18" i="4"/>
  <c r="V28" i="4"/>
  <c r="V48" i="4"/>
  <c r="J48" i="4"/>
  <c r="V38" i="4"/>
  <c r="AB28" i="4"/>
  <c r="AH48" i="4"/>
  <c r="P18" i="4"/>
  <c r="AH38" i="4"/>
  <c r="AB48" i="4"/>
  <c r="V8" i="4"/>
  <c r="J38" i="4"/>
  <c r="AK55" i="4"/>
  <c r="M45" i="4"/>
  <c r="Y35" i="4"/>
  <c r="AE55" i="4"/>
  <c r="S55" i="4"/>
  <c r="AE45" i="4"/>
  <c r="M35" i="4"/>
  <c r="S45" i="4"/>
  <c r="AE35" i="4"/>
  <c r="Y55" i="4"/>
  <c r="AK45" i="4"/>
  <c r="AK35" i="4"/>
  <c r="AE25" i="4"/>
  <c r="S15" i="4"/>
  <c r="AK25" i="4"/>
  <c r="M25" i="4"/>
  <c r="M55" i="4"/>
  <c r="Y45" i="4"/>
  <c r="S25" i="4"/>
  <c r="S35" i="4"/>
  <c r="AE15" i="4"/>
  <c r="M15" i="4"/>
  <c r="Y25" i="4"/>
  <c r="AK15" i="4"/>
  <c r="Y15" i="4"/>
  <c r="AF48" i="4"/>
  <c r="T38" i="4"/>
  <c r="T48" i="4"/>
  <c r="Z38" i="4"/>
  <c r="AL48" i="4"/>
  <c r="Z48" i="4"/>
  <c r="N48" i="4"/>
  <c r="AF38" i="4"/>
  <c r="N38" i="4"/>
  <c r="AL28" i="4"/>
  <c r="T28" i="4"/>
  <c r="AL38" i="4"/>
  <c r="Z28" i="4"/>
  <c r="AF28" i="4"/>
  <c r="Z18" i="4"/>
  <c r="AF8" i="4"/>
  <c r="N18" i="4"/>
  <c r="N28" i="4"/>
  <c r="AL8" i="4"/>
  <c r="N8" i="4"/>
  <c r="AF18" i="4"/>
  <c r="T18" i="4"/>
  <c r="T8" i="4"/>
  <c r="AL18" i="4"/>
  <c r="Z8" i="4"/>
  <c r="AL47" i="4"/>
  <c r="N47" i="4"/>
  <c r="Z37" i="4"/>
  <c r="Z47" i="4"/>
  <c r="AL37" i="4"/>
  <c r="T37" i="4"/>
  <c r="AF47" i="4"/>
  <c r="Z27" i="4"/>
  <c r="AF27" i="4"/>
  <c r="T47" i="4"/>
  <c r="N37" i="4"/>
  <c r="AL27" i="4"/>
  <c r="N27" i="4"/>
  <c r="AF37" i="4"/>
  <c r="AL7" i="4"/>
  <c r="N7" i="4"/>
  <c r="Z17" i="4"/>
  <c r="T7" i="4"/>
  <c r="N17" i="4"/>
  <c r="AF17" i="4"/>
  <c r="Z7" i="4"/>
  <c r="T27" i="4"/>
  <c r="AL17" i="4"/>
  <c r="T17" i="4"/>
  <c r="AF7" i="4"/>
  <c r="Q47" i="4"/>
  <c r="AC37" i="4"/>
  <c r="K37" i="4"/>
  <c r="AI47" i="4"/>
  <c r="Q37" i="4"/>
  <c r="W47" i="4"/>
  <c r="AI37" i="4"/>
  <c r="AI27" i="4"/>
  <c r="K27" i="4"/>
  <c r="W17" i="4"/>
  <c r="W37" i="4"/>
  <c r="AC47" i="4"/>
  <c r="Q27" i="4"/>
  <c r="W27" i="4"/>
  <c r="K47" i="4"/>
  <c r="AC27" i="4"/>
  <c r="W7" i="4"/>
  <c r="AI17" i="4"/>
  <c r="Q17" i="4"/>
  <c r="AC7" i="4"/>
  <c r="AI7" i="4"/>
  <c r="K7" i="4"/>
  <c r="Q7" i="4"/>
  <c r="AC17" i="4"/>
  <c r="K17" i="4"/>
  <c r="X52" i="4"/>
  <c r="AJ42" i="4"/>
  <c r="L42" i="4"/>
  <c r="AJ52" i="4"/>
  <c r="L52" i="4"/>
  <c r="AJ32" i="4"/>
  <c r="L32" i="4"/>
  <c r="X42" i="4"/>
  <c r="R32" i="4"/>
  <c r="X32" i="4"/>
  <c r="AD32" i="4"/>
  <c r="R42" i="4"/>
  <c r="R52" i="4"/>
  <c r="AD22" i="4"/>
  <c r="AD42" i="4"/>
  <c r="AJ22" i="4"/>
  <c r="L22" i="4"/>
  <c r="X22" i="4"/>
  <c r="X12" i="4"/>
  <c r="AD52" i="4"/>
  <c r="R22" i="4"/>
  <c r="AD12" i="4"/>
  <c r="AJ12" i="4"/>
  <c r="L12" i="4"/>
  <c r="R12" i="4"/>
  <c r="Y39" i="4"/>
  <c r="AE49" i="4"/>
  <c r="S49" i="4"/>
  <c r="M39" i="4"/>
  <c r="AE39" i="4"/>
  <c r="S29" i="4"/>
  <c r="AK49" i="4"/>
  <c r="AK39" i="4"/>
  <c r="S19" i="4"/>
  <c r="Y49" i="4"/>
  <c r="AE29" i="4"/>
  <c r="Y19" i="4"/>
  <c r="Y29" i="4"/>
  <c r="M29" i="4"/>
  <c r="M49" i="4"/>
  <c r="AK29" i="4"/>
  <c r="S39" i="4"/>
  <c r="S9" i="4"/>
  <c r="AK19" i="4"/>
  <c r="Y9" i="4"/>
  <c r="M19" i="4"/>
  <c r="AE9" i="4"/>
  <c r="AE19" i="4"/>
  <c r="AK9" i="4"/>
  <c r="M9" i="4"/>
  <c r="AA52" i="4"/>
  <c r="O52" i="4"/>
  <c r="AA32" i="4"/>
  <c r="AG42" i="4"/>
  <c r="O42" i="4"/>
  <c r="AG32" i="4"/>
  <c r="AG52" i="4"/>
  <c r="U42" i="4"/>
  <c r="AG22" i="4"/>
  <c r="U52" i="4"/>
  <c r="AM42" i="4"/>
  <c r="AM22" i="4"/>
  <c r="O22" i="4"/>
  <c r="AM52" i="4"/>
  <c r="AM32" i="4"/>
  <c r="U32" i="4"/>
  <c r="O32" i="4"/>
  <c r="AG12" i="4"/>
  <c r="U22" i="4"/>
  <c r="AM12" i="4"/>
  <c r="O12" i="4"/>
  <c r="U12" i="4"/>
  <c r="AA42" i="4"/>
  <c r="AA22" i="4"/>
  <c r="AA12" i="4"/>
  <c r="R49" i="4"/>
  <c r="AD39" i="4"/>
  <c r="AD49" i="4"/>
  <c r="AD29" i="4"/>
  <c r="X39" i="4"/>
  <c r="AJ29" i="4"/>
  <c r="L29" i="4"/>
  <c r="L39" i="4"/>
  <c r="R29" i="4"/>
  <c r="AJ39" i="4"/>
  <c r="X49" i="4"/>
  <c r="X29" i="4"/>
  <c r="AJ49" i="4"/>
  <c r="L49" i="4"/>
  <c r="R19" i="4"/>
  <c r="R39" i="4"/>
  <c r="R9" i="4"/>
  <c r="AJ19" i="4"/>
  <c r="X19" i="4"/>
  <c r="X9" i="4"/>
  <c r="L19" i="4"/>
  <c r="AD9" i="4"/>
  <c r="AD19" i="4"/>
  <c r="AJ9" i="4"/>
  <c r="L9" i="4"/>
  <c r="Z49" i="4"/>
  <c r="AL39" i="4"/>
  <c r="N39" i="4"/>
  <c r="AL49" i="4"/>
  <c r="N49" i="4"/>
  <c r="AF49" i="4"/>
  <c r="AL29" i="4"/>
  <c r="N29" i="4"/>
  <c r="T49" i="4"/>
  <c r="AF39" i="4"/>
  <c r="T29" i="4"/>
  <c r="T39" i="4"/>
  <c r="AF29" i="4"/>
  <c r="Z29" i="4"/>
  <c r="Z39" i="4"/>
  <c r="AL19" i="4"/>
  <c r="Z9" i="4"/>
  <c r="Z19" i="4"/>
  <c r="N19" i="4"/>
  <c r="AF9" i="4"/>
  <c r="AF19" i="4"/>
  <c r="AL9" i="4"/>
  <c r="N9" i="4"/>
  <c r="T19" i="4"/>
  <c r="T9" i="4"/>
  <c r="AH49" i="4"/>
  <c r="J49" i="4"/>
  <c r="V39" i="4"/>
  <c r="V49" i="4"/>
  <c r="AH39" i="4"/>
  <c r="P39" i="4"/>
  <c r="V29" i="4"/>
  <c r="AB29" i="4"/>
  <c r="AB49" i="4"/>
  <c r="P49" i="4"/>
  <c r="J39" i="4"/>
  <c r="P29" i="4"/>
  <c r="AB39" i="4"/>
  <c r="AH29" i="4"/>
  <c r="J29" i="4"/>
  <c r="AB19" i="4"/>
  <c r="P19" i="4"/>
  <c r="AH9" i="4"/>
  <c r="J9" i="4"/>
  <c r="P9" i="4"/>
  <c r="AH19" i="4"/>
  <c r="V19" i="4"/>
  <c r="V9" i="4"/>
  <c r="J19" i="4"/>
  <c r="AB9" i="4"/>
  <c r="Q52" i="4"/>
  <c r="AI42" i="4"/>
  <c r="Q42" i="4"/>
  <c r="AI32" i="4"/>
  <c r="K32" i="4"/>
  <c r="AI52" i="4"/>
  <c r="W52" i="4"/>
  <c r="W42" i="4"/>
  <c r="Q32" i="4"/>
  <c r="K52" i="4"/>
  <c r="AC52" i="4"/>
  <c r="Q22" i="4"/>
  <c r="AC32" i="4"/>
  <c r="W22" i="4"/>
  <c r="K42" i="4"/>
  <c r="W32" i="4"/>
  <c r="AC42" i="4"/>
  <c r="Q12" i="4"/>
  <c r="AI22" i="4"/>
  <c r="W12" i="4"/>
  <c r="AC12" i="4"/>
  <c r="AC22" i="4"/>
  <c r="K22" i="4"/>
  <c r="AI12" i="4"/>
  <c r="K12" i="4"/>
  <c r="K49" i="4"/>
  <c r="AC49" i="4"/>
  <c r="W39" i="4"/>
  <c r="Q49" i="4"/>
  <c r="AI29" i="4"/>
  <c r="AC39" i="4"/>
  <c r="K39" i="4"/>
  <c r="Q39" i="4"/>
  <c r="AI19" i="4"/>
  <c r="K19" i="4"/>
  <c r="Q29" i="4"/>
  <c r="AI39" i="4"/>
  <c r="AC29" i="4"/>
  <c r="Q19" i="4"/>
  <c r="W49" i="4"/>
  <c r="K29" i="4"/>
  <c r="W29" i="4"/>
  <c r="AC19" i="4"/>
  <c r="AI9" i="4"/>
  <c r="K9" i="4"/>
  <c r="Q9" i="4"/>
  <c r="W19" i="4"/>
  <c r="W9" i="4"/>
  <c r="AI49" i="4"/>
  <c r="AC9" i="4"/>
  <c r="AL55" i="4"/>
  <c r="N55" i="4"/>
  <c r="Z45" i="4"/>
  <c r="AL35" i="4"/>
  <c r="N35" i="4"/>
  <c r="Z55" i="4"/>
  <c r="AL45" i="4"/>
  <c r="N45" i="4"/>
  <c r="Z35" i="4"/>
  <c r="AF55" i="4"/>
  <c r="T55" i="4"/>
  <c r="AF45" i="4"/>
  <c r="T45" i="4"/>
  <c r="AF35" i="4"/>
  <c r="AL25" i="4"/>
  <c r="N25" i="4"/>
  <c r="T25" i="4"/>
  <c r="T35" i="4"/>
  <c r="Z25" i="4"/>
  <c r="AF15" i="4"/>
  <c r="N15" i="4"/>
  <c r="AF25" i="4"/>
  <c r="AL15" i="4"/>
  <c r="T15" i="4"/>
  <c r="Z15" i="4"/>
  <c r="AM55" i="4"/>
  <c r="AG55" i="4"/>
  <c r="U55" i="4"/>
  <c r="AG45" i="4"/>
  <c r="U45" i="4"/>
  <c r="AG35" i="4"/>
  <c r="O35" i="4"/>
  <c r="U35" i="4"/>
  <c r="AA55" i="4"/>
  <c r="AM25" i="4"/>
  <c r="O25" i="4"/>
  <c r="AA15" i="4"/>
  <c r="O55" i="4"/>
  <c r="U25" i="4"/>
  <c r="AA45" i="4"/>
  <c r="AA35" i="4"/>
  <c r="AA25" i="4"/>
  <c r="AG25" i="4"/>
  <c r="AG15" i="4"/>
  <c r="O15" i="4"/>
  <c r="AM45" i="4"/>
  <c r="O45" i="4"/>
  <c r="AM15" i="4"/>
  <c r="U15" i="4"/>
  <c r="AM35" i="4"/>
  <c r="P52" i="4"/>
  <c r="AB42" i="4"/>
  <c r="AB52" i="4"/>
  <c r="AB32" i="4"/>
  <c r="AH42" i="4"/>
  <c r="P42" i="4"/>
  <c r="AH32" i="4"/>
  <c r="J32" i="4"/>
  <c r="AH52" i="4"/>
  <c r="V52" i="4"/>
  <c r="V42" i="4"/>
  <c r="P32" i="4"/>
  <c r="V22" i="4"/>
  <c r="J52" i="4"/>
  <c r="J42" i="4"/>
  <c r="V32" i="4"/>
  <c r="AB22" i="4"/>
  <c r="P12" i="4"/>
  <c r="AH22" i="4"/>
  <c r="V12" i="4"/>
  <c r="P22" i="4"/>
  <c r="AB12" i="4"/>
  <c r="J22" i="4"/>
  <c r="AH12" i="4"/>
  <c r="J12" i="4"/>
  <c r="AI55" i="4"/>
  <c r="W55" i="4"/>
  <c r="AI45" i="4"/>
  <c r="AI35" i="4"/>
  <c r="Q35" i="4"/>
  <c r="K55" i="4"/>
  <c r="W45" i="4"/>
  <c r="K45" i="4"/>
  <c r="AC55" i="4"/>
  <c r="W35" i="4"/>
  <c r="Q55" i="4"/>
  <c r="AC45" i="4"/>
  <c r="K35" i="4"/>
  <c r="W25" i="4"/>
  <c r="AI15" i="4"/>
  <c r="AC35" i="4"/>
  <c r="AC25" i="4"/>
  <c r="AI25" i="4"/>
  <c r="K25" i="4"/>
  <c r="Q45" i="4"/>
  <c r="W15" i="4"/>
  <c r="AC15" i="4"/>
  <c r="K15" i="4"/>
  <c r="Q15" i="4"/>
  <c r="Q25" i="4"/>
  <c r="AD55" i="4"/>
  <c r="R45" i="4"/>
  <c r="AD35" i="4"/>
  <c r="AJ55" i="4"/>
  <c r="R55" i="4"/>
  <c r="AD45" i="4"/>
  <c r="X55" i="4"/>
  <c r="L55" i="4"/>
  <c r="X45" i="4"/>
  <c r="L45" i="4"/>
  <c r="X35" i="4"/>
  <c r="L35" i="4"/>
  <c r="AJ45" i="4"/>
  <c r="AJ35" i="4"/>
  <c r="AD25" i="4"/>
  <c r="AJ25" i="4"/>
  <c r="L25" i="4"/>
  <c r="R25" i="4"/>
  <c r="X15" i="4"/>
  <c r="AD15" i="4"/>
  <c r="L15" i="4"/>
  <c r="R15" i="4"/>
  <c r="R35" i="4"/>
  <c r="X25" i="4"/>
  <c r="AJ15" i="4"/>
  <c r="V47" i="4"/>
  <c r="AH37" i="4"/>
  <c r="J37" i="4"/>
  <c r="AH47" i="4"/>
  <c r="J47" i="4"/>
  <c r="AB47" i="4"/>
  <c r="P47" i="4"/>
  <c r="AB37" i="4"/>
  <c r="P37" i="4"/>
  <c r="AH27" i="4"/>
  <c r="J27" i="4"/>
  <c r="V37" i="4"/>
  <c r="P27" i="4"/>
  <c r="V27" i="4"/>
  <c r="AB17" i="4"/>
  <c r="J17" i="4"/>
  <c r="V7" i="4"/>
  <c r="AH17" i="4"/>
  <c r="P17" i="4"/>
  <c r="AB7" i="4"/>
  <c r="AB27" i="4"/>
  <c r="V17" i="4"/>
  <c r="AH7" i="4"/>
  <c r="J7" i="4"/>
  <c r="P7" i="4"/>
  <c r="AC19" i="2"/>
  <c r="AD47" i="4"/>
  <c r="R37" i="4"/>
  <c r="R47" i="4"/>
  <c r="AD37" i="4"/>
  <c r="L37" i="4"/>
  <c r="AJ47" i="4"/>
  <c r="X47" i="4"/>
  <c r="AJ37" i="4"/>
  <c r="L47" i="4"/>
  <c r="X37" i="4"/>
  <c r="R27" i="4"/>
  <c r="X27" i="4"/>
  <c r="AD27" i="4"/>
  <c r="AJ17" i="4"/>
  <c r="R17" i="4"/>
  <c r="AD7" i="4"/>
  <c r="AJ7" i="4"/>
  <c r="L7" i="4"/>
  <c r="AJ27" i="4"/>
  <c r="X17" i="4"/>
  <c r="R7" i="4"/>
  <c r="AD17" i="4"/>
  <c r="L17" i="4"/>
  <c r="L27" i="4"/>
  <c r="X7" i="4"/>
  <c r="S48" i="4"/>
  <c r="AK38" i="4"/>
  <c r="Y38" i="4"/>
  <c r="AK48" i="4"/>
  <c r="Y48" i="4"/>
  <c r="M28" i="4"/>
  <c r="Y18" i="4"/>
  <c r="AE48" i="4"/>
  <c r="S38" i="4"/>
  <c r="AK28" i="4"/>
  <c r="M38" i="4"/>
  <c r="S28" i="4"/>
  <c r="AE18" i="4"/>
  <c r="AE38" i="4"/>
  <c r="Y28" i="4"/>
  <c r="M48" i="4"/>
  <c r="AE28" i="4"/>
  <c r="AK18" i="4"/>
  <c r="Y8" i="4"/>
  <c r="AE8" i="4"/>
  <c r="M18" i="4"/>
  <c r="AK8" i="4"/>
  <c r="M8" i="4"/>
  <c r="S18" i="4"/>
  <c r="S8" i="4"/>
  <c r="V55" i="4"/>
  <c r="AH45" i="4"/>
  <c r="J45" i="4"/>
  <c r="V35" i="4"/>
  <c r="AH55" i="4"/>
  <c r="J55" i="4"/>
  <c r="V45" i="4"/>
  <c r="AH35" i="4"/>
  <c r="P35" i="4"/>
  <c r="AB55" i="4"/>
  <c r="P55" i="4"/>
  <c r="J35" i="4"/>
  <c r="V25" i="4"/>
  <c r="AB45" i="4"/>
  <c r="AB35" i="4"/>
  <c r="AB25" i="4"/>
  <c r="AH25" i="4"/>
  <c r="J25" i="4"/>
  <c r="P45" i="4"/>
  <c r="P25" i="4"/>
  <c r="V15" i="4"/>
  <c r="AB15" i="4"/>
  <c r="J15" i="4"/>
  <c r="AH15" i="4"/>
  <c r="P15" i="4"/>
  <c r="AF52" i="4"/>
  <c r="T42" i="4"/>
  <c r="T52" i="4"/>
  <c r="AL52" i="4"/>
  <c r="Z42" i="4"/>
  <c r="T32" i="4"/>
  <c r="Z52" i="4"/>
  <c r="N52" i="4"/>
  <c r="Z32" i="4"/>
  <c r="AF42" i="4"/>
  <c r="N42" i="4"/>
  <c r="AF32" i="4"/>
  <c r="AL42" i="4"/>
  <c r="AL22" i="4"/>
  <c r="N22" i="4"/>
  <c r="T22" i="4"/>
  <c r="AL32" i="4"/>
  <c r="AF12" i="4"/>
  <c r="N32" i="4"/>
  <c r="AL12" i="4"/>
  <c r="N12" i="4"/>
  <c r="AF22" i="4"/>
  <c r="T12" i="4"/>
  <c r="Z22" i="4"/>
  <c r="Z12" i="4"/>
  <c r="AK52" i="4"/>
  <c r="Y42" i="4"/>
  <c r="S32" i="4"/>
  <c r="Y52" i="4"/>
  <c r="M52" i="4"/>
  <c r="Y32" i="4"/>
  <c r="AE42" i="4"/>
  <c r="M42" i="4"/>
  <c r="AE32" i="4"/>
  <c r="M32" i="4"/>
  <c r="Y22" i="4"/>
  <c r="S42" i="4"/>
  <c r="S52" i="4"/>
  <c r="AE22" i="4"/>
  <c r="AK42" i="4"/>
  <c r="AE52" i="4"/>
  <c r="Y12" i="4"/>
  <c r="AK32" i="4"/>
  <c r="AK22" i="4"/>
  <c r="S22" i="4"/>
  <c r="AE12" i="4"/>
  <c r="AK12" i="4"/>
  <c r="M12" i="4"/>
  <c r="M22" i="4"/>
  <c r="S12" i="4"/>
  <c r="U49" i="4"/>
  <c r="AG39" i="4"/>
  <c r="O39" i="4"/>
  <c r="AM49" i="4"/>
  <c r="U39" i="4"/>
  <c r="AA29" i="4"/>
  <c r="AA49" i="4"/>
  <c r="AM39" i="4"/>
  <c r="AG49" i="4"/>
  <c r="AA19" i="4"/>
  <c r="AG19" i="4"/>
  <c r="O29" i="4"/>
  <c r="O49" i="4"/>
  <c r="AA39" i="4"/>
  <c r="AM29" i="4"/>
  <c r="AM19" i="4"/>
  <c r="AA9" i="4"/>
  <c r="O19" i="4"/>
  <c r="AG9" i="4"/>
  <c r="AM9" i="4"/>
  <c r="O9" i="4"/>
  <c r="AG29" i="4"/>
  <c r="U19" i="4"/>
  <c r="U9" i="4"/>
  <c r="U29" i="4"/>
  <c r="T46" i="4"/>
  <c r="AF36" i="4"/>
  <c r="AF46" i="4"/>
  <c r="Z46" i="4"/>
  <c r="N36" i="4"/>
  <c r="N46" i="4"/>
  <c r="AL36" i="4"/>
  <c r="T36" i="4"/>
  <c r="AL46" i="4"/>
  <c r="AF26" i="4"/>
  <c r="Z36" i="4"/>
  <c r="AL26" i="4"/>
  <c r="N26" i="4"/>
  <c r="T26" i="4"/>
  <c r="Z26" i="4"/>
  <c r="T16" i="4"/>
  <c r="T6" i="4"/>
  <c r="AL16" i="4"/>
  <c r="Z6" i="4"/>
  <c r="Z16" i="4"/>
  <c r="AF6" i="4"/>
  <c r="AF16" i="4"/>
  <c r="N16" i="4"/>
  <c r="AL6" i="4"/>
  <c r="N6" i="4"/>
  <c r="V51" i="4"/>
  <c r="AH41" i="4"/>
  <c r="J41" i="4"/>
  <c r="AH51" i="4"/>
  <c r="J51" i="4"/>
  <c r="AH31" i="4"/>
  <c r="J31" i="4"/>
  <c r="AB41" i="4"/>
  <c r="P31" i="4"/>
  <c r="P41" i="4"/>
  <c r="V31" i="4"/>
  <c r="AB51" i="4"/>
  <c r="V41" i="4"/>
  <c r="AB21" i="4"/>
  <c r="P51" i="4"/>
  <c r="AB31" i="4"/>
  <c r="AH21" i="4"/>
  <c r="J21" i="4"/>
  <c r="V21" i="4"/>
  <c r="V11" i="4"/>
  <c r="P21" i="4"/>
  <c r="AB11" i="4"/>
  <c r="AH11" i="4"/>
  <c r="J11" i="4"/>
  <c r="P11" i="4"/>
  <c r="AB46" i="4"/>
  <c r="P36" i="4"/>
  <c r="P46" i="4"/>
  <c r="V36" i="4"/>
  <c r="AH46" i="4"/>
  <c r="V46" i="4"/>
  <c r="J46" i="4"/>
  <c r="AB36" i="4"/>
  <c r="J36" i="4"/>
  <c r="AH36" i="4"/>
  <c r="P26" i="4"/>
  <c r="V26" i="4"/>
  <c r="AB26" i="4"/>
  <c r="AH26" i="4"/>
  <c r="V16" i="4"/>
  <c r="AB6" i="4"/>
  <c r="AB16" i="4"/>
  <c r="J16" i="4"/>
  <c r="J26" i="4"/>
  <c r="AH6" i="4"/>
  <c r="J6" i="4"/>
  <c r="AH16" i="4"/>
  <c r="P16" i="4"/>
  <c r="P6" i="4"/>
  <c r="V6" i="4"/>
  <c r="AC1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Paola Guevara</author>
  </authors>
  <commentList>
    <comment ref="G13" authorId="0" shapeId="0" xr:uid="{660CDCDA-0D70-4B0C-89A8-B5F80F46BA9D}">
      <text>
        <r>
          <rPr>
            <b/>
            <sz val="9"/>
            <color indexed="81"/>
            <rFont val="Tahoma"/>
            <family val="2"/>
          </rPr>
          <t>Paola Guevara:</t>
        </r>
        <r>
          <rPr>
            <sz val="9"/>
            <color indexed="81"/>
            <rFont val="Tahoma"/>
            <family val="2"/>
          </rPr>
          <t xml:space="preserve">
Sesiones de Control Politico</t>
        </r>
      </text>
    </comment>
    <comment ref="G19" authorId="0" shapeId="0" xr:uid="{E286C2E0-E221-418A-A16E-424254FBC615}">
      <text>
        <r>
          <rPr>
            <b/>
            <sz val="9"/>
            <color indexed="81"/>
            <rFont val="Tahoma"/>
            <family val="2"/>
          </rPr>
          <t>Paola Guevara:</t>
        </r>
        <r>
          <rPr>
            <sz val="9"/>
            <color indexed="81"/>
            <rFont val="Tahoma"/>
            <family val="2"/>
          </rPr>
          <t xml:space="preserve">
Sesiones de Control Politico</t>
        </r>
      </text>
    </comment>
  </commentList>
</comments>
</file>

<file path=xl/sharedStrings.xml><?xml version="1.0" encoding="utf-8"?>
<sst xmlns="http://schemas.openxmlformats.org/spreadsheetml/2006/main" count="354" uniqueCount="239">
  <si>
    <t>Matriz Mapa de Riesgos</t>
  </si>
  <si>
    <r>
      <rPr>
        <sz val="10"/>
        <color theme="1"/>
        <rFont val="Arial Narrow"/>
        <family val="2"/>
      </rP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rgb="FFE36C09"/>
        <rFont val="Arial Narrow"/>
        <family val="2"/>
      </rPr>
      <t>Guía para la Administración del Riesgo y el diseño de controles V5</t>
    </r>
    <r>
      <rPr>
        <sz val="10"/>
        <color theme="1"/>
        <rFont val="Arial Narrow"/>
        <family val="2"/>
      </rPr>
      <t>. El formato cuenta con celdas parametrizadas y permite contar con los respectivos mapas de calor para riesgo inherente y riesgo residual.</t>
    </r>
  </si>
  <si>
    <t>Orientaciones Generales</t>
  </si>
  <si>
    <r>
      <rPr>
        <sz val="11"/>
        <color theme="1"/>
        <rFont val="Arial Narrow"/>
        <family val="2"/>
      </rPr>
      <t xml:space="preserve">Antes de iniciar con el diligenciamiento de la información en la matriz, se requiere haber avanzado en el análisis del </t>
    </r>
    <r>
      <rPr>
        <b/>
        <sz val="11"/>
        <color theme="1"/>
        <rFont val="Arial Narrow"/>
        <family val="2"/>
      </rPr>
      <t>proceso, su objetivo, alcance, actividades clave</t>
    </r>
    <r>
      <rPr>
        <sz val="11"/>
        <color theme="1"/>
        <rFont val="Arial Narrow"/>
        <family val="2"/>
      </rPr>
      <t xml:space="preserve">, considere los lineamientos establecidos en el </t>
    </r>
    <r>
      <rPr>
        <b/>
        <sz val="11"/>
        <color rgb="FFE36C09"/>
        <rFont val="Arial Narrow"/>
        <family val="2"/>
      </rPr>
      <t>Paso 2: identificación del riesgo</t>
    </r>
    <r>
      <rPr>
        <sz val="11"/>
        <color theme="1"/>
        <rFont val="Arial Narrow"/>
        <family val="2"/>
      </rPr>
      <t xml:space="preserve">, donde se explica ampliamente las bases para adelanter este análisis.
Así mismo, considere en el </t>
    </r>
    <r>
      <rPr>
        <b/>
        <sz val="11"/>
        <color rgb="FFE36C09"/>
        <rFont val="Arial Narrow"/>
        <family val="2"/>
      </rPr>
      <t>Paso 3: valoración del riesgo</t>
    </r>
    <r>
      <rPr>
        <sz val="11"/>
        <color theme="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rgb="FFE36C09"/>
        <rFont val="Arial Narrow"/>
        <family val="2"/>
      </rPr>
      <t>NOTA:</t>
    </r>
    <r>
      <rPr>
        <sz val="11"/>
        <color theme="1"/>
        <rFont val="Arial Narrow"/>
        <family val="2"/>
      </rPr>
      <t xml:space="preserve"> Si lo considera pertinente, es posible agregar hojas de trabajo adicionales al presente formato que permitan incluir la traza de estos análisis.</t>
    </r>
  </si>
  <si>
    <r>
      <rPr>
        <sz val="10"/>
        <color theme="1"/>
        <rFont val="Arial Narrow"/>
        <family val="2"/>
      </rPr>
      <t xml:space="preserve">El archivo contiene las siguientes hojas:
-   </t>
    </r>
    <r>
      <rPr>
        <b/>
        <sz val="11"/>
        <color theme="1"/>
        <rFont val="Arial Narrow"/>
        <family val="2"/>
      </rPr>
      <t>Hoja 1 Instructivo</t>
    </r>
    <r>
      <rPr>
        <sz val="10"/>
        <color theme="1"/>
        <rFont val="Arial Narrow"/>
        <family val="2"/>
      </rPr>
      <t xml:space="preserve">
 -  </t>
    </r>
    <r>
      <rPr>
        <b/>
        <sz val="11"/>
        <color theme="1"/>
        <rFont val="Arial Narrow"/>
        <family val="2"/>
      </rPr>
      <t xml:space="preserve">Hoja 2 Mapa Final: </t>
    </r>
    <r>
      <rPr>
        <sz val="10"/>
        <color theme="1"/>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</si>
  <si>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</si>
  <si>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</si>
  <si>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</si>
  <si>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</si>
  <si>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</si>
  <si>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</si>
  <si>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</si>
  <si>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</si>
  <si>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</si>
  <si>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</si>
  <si>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</si>
  <si>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</si>
  <si>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</si>
  <si>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</si>
  <si>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</si>
  <si>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</si>
  <si>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</si>
  <si>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rPr>
        <sz val="9"/>
        <color theme="1"/>
        <rFont val="Arial Narrow"/>
        <family val="2"/>
      </rP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rgb="FFE36C09"/>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</si>
  <si>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</si>
  <si>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</si>
  <si>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</si>
  <si>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</si>
  <si>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</si>
  <si>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</si>
  <si>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</si>
  <si>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</si>
  <si>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</si>
  <si>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rPr>
        <sz val="9"/>
        <color theme="1"/>
        <rFont val="Arial Narrow"/>
        <family val="2"/>
      </rPr>
      <t xml:space="preserve">Recuerde que el control se define como la medida que permite reducir o mitigar un riesgo. Defina el control (es) que atacan la causa raíz del riesgo, considere la estructura explicada en la guía: </t>
    </r>
    <r>
      <rPr>
        <b/>
        <sz val="9"/>
        <color rgb="FFE36C09"/>
        <rFont val="Arial Narrow"/>
        <family val="2"/>
      </rPr>
      <t>Responsable de ejecutar el control + Acción + Complemento</t>
    </r>
  </si>
  <si>
    <t>Afectación</t>
  </si>
  <si>
    <t>Esta casilla no se diligencia, depende de la selección en la columna R.</t>
  </si>
  <si>
    <r>
      <rPr>
        <b/>
        <sz val="9"/>
        <color theme="1"/>
        <rFont val="Arial Narrow"/>
        <family val="2"/>
      </rPr>
      <t xml:space="preserve">ATRIBUTOS EFICIENCIA
</t>
    </r>
    <r>
      <rPr>
        <sz val="9"/>
        <color theme="1"/>
        <rFont val="Arial Narrow"/>
        <family val="2"/>
      </rPr>
      <t>Tipo</t>
    </r>
  </si>
  <si>
    <t>Utilice la lista de despligue que se encuentra parametrizada, le aparecerán las opciones: i)Preventivo, ii)Detectivo, iii)Correctivo.</t>
  </si>
  <si>
    <r>
      <rPr>
        <b/>
        <sz val="9"/>
        <color theme="1"/>
        <rFont val="Arial Narrow"/>
        <family val="2"/>
      </rPr>
      <t xml:space="preserve">ATRIBUTOS EFICIENCIA
</t>
    </r>
    <r>
      <rPr>
        <sz val="9"/>
        <color theme="1"/>
        <rFont val="Arial Narrow"/>
        <family val="2"/>
      </rPr>
      <t>Implementación</t>
    </r>
  </si>
  <si>
    <t>Utilice la lista de despligue que se encuentra parametrizada, le aparecerán las opciones: i)Automático, ii)Manual.</t>
  </si>
  <si>
    <r>
      <rPr>
        <b/>
        <sz val="9"/>
        <color theme="1"/>
        <rFont val="Arial Narrow"/>
        <family val="2"/>
      </rPr>
      <t xml:space="preserve">ATRIBUTOS EFICIENCIA
</t>
    </r>
    <r>
      <rPr>
        <sz val="9"/>
        <color theme="1"/>
        <rFont val="Arial Narrow"/>
        <family val="2"/>
      </rPr>
      <t>Implementación</t>
    </r>
  </si>
  <si>
    <r>
      <rPr>
        <b/>
        <sz val="9"/>
        <color theme="1"/>
        <rFont val="Arial Narrow"/>
        <family val="2"/>
      </rPr>
      <t xml:space="preserve">ATRIBUTOS EFICIENCIA
</t>
    </r>
    <r>
      <rPr>
        <sz val="9"/>
        <color theme="1"/>
        <rFont val="Arial Narrow"/>
        <family val="2"/>
      </rPr>
      <t>Calificación</t>
    </r>
  </si>
  <si>
    <t xml:space="preserve">La matriz automáticamente hará el cálculo para el control analizado (Columna T) </t>
  </si>
  <si>
    <r>
      <rPr>
        <b/>
        <sz val="9"/>
        <color theme="1"/>
        <rFont val="Arial Narrow"/>
        <family val="2"/>
      </rPr>
      <t xml:space="preserve">ATRIBUTOS INFORMATIVOS
</t>
    </r>
    <r>
      <rPr>
        <sz val="9"/>
        <color theme="1"/>
        <rFont val="Arial Narrow"/>
        <family val="2"/>
      </rPr>
      <t>Documentación</t>
    </r>
  </si>
  <si>
    <t>Utilice la lista de despligue que se encuentra parametrizada, le aparecerán las opciones: i)Documentado, ii)Sin documentar.</t>
  </si>
  <si>
    <r>
      <rPr>
        <b/>
        <sz val="9"/>
        <color theme="1"/>
        <rFont val="Arial Narrow"/>
        <family val="2"/>
      </rPr>
      <t xml:space="preserve">ATRIBUTOS INFORMATIVOS
</t>
    </r>
    <r>
      <rPr>
        <sz val="9"/>
        <color theme="1"/>
        <rFont val="Arial Narrow"/>
        <family val="2"/>
      </rPr>
      <t>Frecuencia</t>
    </r>
  </si>
  <si>
    <t>Utilice la lista de despligue que se encuentra parametrizada, le aparecerán las opciones: i)Continua, ii)Aleatoria.</t>
  </si>
  <si>
    <r>
      <rPr>
        <b/>
        <sz val="9"/>
        <color theme="1"/>
        <rFont val="Arial Narrow"/>
        <family val="2"/>
      </rPr>
      <t xml:space="preserve">ATRIBUTOS INFORMATIVOS
</t>
    </r>
    <r>
      <rPr>
        <sz val="9"/>
        <color theme="1"/>
        <rFont val="Arial Narrow"/>
        <family val="2"/>
      </rPr>
      <t>Registro</t>
    </r>
  </si>
  <si>
    <t>Utilice la lista de despligue que se encuentra parametrizada, le aparecerán las opciones: i)Con Registro, ii) Sin Registro.</t>
  </si>
  <si>
    <t>Evaluación del Nivel de Riesgo - Nivel de Riesgo Residual</t>
  </si>
  <si>
    <r>
      <rPr>
        <sz val="9"/>
        <color theme="1"/>
        <rFont val="Arial Narrow"/>
        <family val="2"/>
      </rPr>
      <t>La matriz automáticamente hará el cálculo, acorde con el control o controles definidos con sus atributos analizados, lo que permitirá establecer el</t>
    </r>
    <r>
      <rPr>
        <b/>
        <sz val="9"/>
        <color rgb="FFE36C09"/>
        <rFont val="Arial Narrow"/>
        <family val="2"/>
      </rPr>
      <t xml:space="preserve"> nivel de riesgo inherente</t>
    </r>
    <r>
      <rPr>
        <sz val="9"/>
        <color theme="1"/>
        <rFont val="Arial Narrow"/>
        <family val="2"/>
      </rPr>
      <t xml:space="preserve"> (Columnas Y- Z- AA -AB- AC).</t>
    </r>
  </si>
  <si>
    <t>Tratamiento</t>
  </si>
  <si>
    <t>Utilice la lista de despligue que se encuentra parametrizada, le aparecerán las opciones: i)Aceptar, ii)Evitar, iii)Reducir (compartir), iv)Reducir (mitigar).</t>
  </si>
  <si>
    <r>
      <rPr>
        <b/>
        <sz val="9"/>
        <color theme="1"/>
        <rFont val="Arial Narrow"/>
        <family val="2"/>
      </rPr>
      <t xml:space="preserve">Plan de Acción
</t>
    </r>
    <r>
      <rPr>
        <sz val="9"/>
        <color theme="1"/>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</si>
  <si>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</si>
  <si>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</si>
  <si>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</si>
  <si>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rPr>
        <sz val="10"/>
        <color theme="1"/>
        <rFont val="Arial Narrow"/>
        <family val="2"/>
      </rPr>
      <t xml:space="preserve"> -</t>
    </r>
    <r>
      <rPr>
        <sz val="11"/>
        <color theme="1"/>
        <rFont val="Arial Narrow"/>
        <family val="2"/>
      </rPr>
      <t xml:space="preserve"> </t>
    </r>
    <r>
      <rPr>
        <b/>
        <sz val="11"/>
        <color theme="1"/>
        <rFont val="Arial Narrow"/>
        <family val="2"/>
      </rPr>
      <t xml:space="preserve"> Hoja 3 Matriz de Calor Inherente: </t>
    </r>
    <r>
      <rPr>
        <sz val="11"/>
        <color theme="1"/>
        <rFont val="Arial Narrow"/>
        <family val="2"/>
      </rPr>
      <t xml:space="preserve"> 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</si>
  <si>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4 Matriz de Calor Residual: </t>
    </r>
    <r>
      <rPr>
        <sz val="11"/>
        <color theme="1"/>
        <rFont val="Arial Narrow"/>
        <family val="2"/>
      </rPr>
      <t>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</si>
  <si>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5 Tabla de probabilidad: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</si>
  <si>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6 Tabla de Impacto: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</si>
  <si>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7 Tabla de Valoración de Controles: </t>
    </r>
    <r>
      <rPr>
        <sz val="11"/>
        <color theme="1"/>
        <rFont val="Arial Narrow"/>
        <family val="2"/>
      </rPr>
      <t>Tabla referente para todos los cálculos (no se diligencia)</t>
    </r>
  </si>
  <si>
    <t>SISTEMA DE GESTIÓN DE CALIDAD</t>
  </si>
  <si>
    <t xml:space="preserve">GESTIÓN DE CALIDAD </t>
  </si>
  <si>
    <t xml:space="preserve">MAPA DE RIESGOS </t>
  </si>
  <si>
    <t>Página 1 de 1</t>
  </si>
  <si>
    <t>Proceso:</t>
  </si>
  <si>
    <t xml:space="preserve">CONTROL POLÍTICO </t>
  </si>
  <si>
    <t>Objetivo:</t>
  </si>
  <si>
    <t>Ejercer vigilancia y Control Político de la administración municipal de las actuaciones y operaciones administrativas del ejecutivo sus secretarios de despacho y entes descentralizados de conformidad con la normatividad aplicable.</t>
  </si>
  <si>
    <t>Alcance:</t>
  </si>
  <si>
    <t>Inicia con las proposiciones aprobadas en la sesión plenaria y/o en las sesiones de las comisiones permanentes y termina con la rendición del informe de control político.</t>
  </si>
  <si>
    <t>Identificación del riesgo</t>
  </si>
  <si>
    <t>Análisis del riesgo inherente</t>
  </si>
  <si>
    <t>Evaluación del riesgo - Valoración de los controles</t>
  </si>
  <si>
    <t>Evaluación del riesgo - Nivel del riesgo residual</t>
  </si>
  <si>
    <t>Plan de Acción</t>
  </si>
  <si>
    <t xml:space="preserve">Referencia </t>
  </si>
  <si>
    <t>Frecuencia con la cual se realiza la actividad</t>
  </si>
  <si>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</si>
  <si>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</si>
  <si>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</si>
  <si>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</si>
  <si>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</si>
  <si>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</si>
  <si>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</si>
  <si>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</si>
  <si>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</si>
  <si>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</si>
  <si>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</si>
  <si>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</si>
  <si>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</si>
  <si>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</si>
  <si>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</si>
  <si>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</si>
  <si>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</si>
  <si>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</si>
  <si>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</si>
  <si>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</si>
  <si>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</si>
  <si>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</si>
  <si>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</si>
  <si>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de la entidad con efecto publicitario sostenido a nivel de sector administrativo, nivel departamental o municipal</t>
  </si>
  <si>
    <t>Preventivo</t>
  </si>
  <si>
    <t>Manual</t>
  </si>
  <si>
    <t>Documentado</t>
  </si>
  <si>
    <t>Continua</t>
  </si>
  <si>
    <t>Con Registro</t>
  </si>
  <si>
    <t>Reducir (mitigar)</t>
  </si>
  <si>
    <t>Seguimiento al Cronograma en excel</t>
  </si>
  <si>
    <t>Secretaria General</t>
  </si>
  <si>
    <t>Permanente</t>
  </si>
  <si>
    <t>En curso</t>
  </si>
  <si>
    <t xml:space="preserve">     El riesgo afecta la imagen de la entidad con algunos usuarios de relevancia frente al logro de los objetivos</t>
  </si>
  <si>
    <t>Finalizado</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</si>
  <si>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</si>
  <si>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</si>
  <si>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</si>
  <si>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</si>
  <si>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</si>
  <si>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</si>
  <si>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</si>
  <si>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</si>
  <si>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</si>
  <si>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</si>
  <si>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</si>
  <si>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</si>
  <si>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</si>
  <si>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</si>
  <si>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</si>
  <si>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</si>
  <si>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</si>
  <si>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</si>
  <si>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</si>
  <si>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</si>
  <si>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</si>
  <si>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</si>
  <si>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</si>
  <si>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</si>
  <si>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</si>
  <si>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</si>
  <si>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</si>
  <si>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</si>
  <si>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</si>
  <si>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</si>
  <si>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</si>
  <si>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</si>
  <si>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</si>
  <si>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</si>
  <si>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</si>
  <si>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</si>
  <si>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</si>
  <si>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</si>
  <si>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</si>
  <si>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</si>
  <si>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</si>
  <si>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</si>
  <si>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</si>
  <si>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</si>
  <si>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</si>
  <si>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</si>
  <si>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</si>
  <si>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</si>
  <si>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</si>
  <si>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</si>
  <si>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</si>
  <si>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</si>
  <si>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</si>
  <si>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</si>
  <si>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</si>
  <si>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</si>
  <si>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</si>
  <si>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</si>
  <si>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</si>
  <si>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</si>
  <si>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Entre 100 y 500 SMLMV </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</si>
  <si>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</si>
  <si>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</si>
  <si>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</si>
  <si>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</si>
  <si>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</si>
  <si>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</si>
  <si>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</si>
  <si>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</si>
  <si>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</si>
  <si>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</si>
  <si>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</si>
  <si>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</si>
  <si>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</si>
  <si>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</si>
  <si>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</si>
  <si>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</si>
  <si>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</si>
  <si>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</si>
  <si>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</si>
  <si>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</si>
  <si>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</si>
  <si>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</si>
  <si>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</si>
  <si>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</si>
  <si>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</si>
  <si>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</si>
  <si>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</si>
  <si>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</si>
  <si>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</si>
  <si>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</si>
  <si>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</si>
  <si>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</si>
  <si>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</si>
  <si>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</si>
  <si>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</si>
  <si>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</si>
  <si>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</si>
  <si>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Económico y Reputacional</t>
  </si>
  <si>
    <t>Plan de accion (solo para la opción reducir)</t>
  </si>
  <si>
    <t>Daños Activos Fisicos</t>
  </si>
  <si>
    <t>Fallas Tecnologicas</t>
  </si>
  <si>
    <t>Fraude Externo</t>
  </si>
  <si>
    <t>Fraude Interno</t>
  </si>
  <si>
    <t>Relaciones Laborales</t>
  </si>
  <si>
    <t>Usuarios, productos y practicas , organizacionales</t>
  </si>
  <si>
    <t>Registro Sustancial</t>
  </si>
  <si>
    <t>Registro Material</t>
  </si>
  <si>
    <t>Sin registro</t>
  </si>
  <si>
    <t>Reducir</t>
  </si>
  <si>
    <t>Estado del Plan de Acción</t>
  </si>
  <si>
    <t xml:space="preserve">Estado del Plan de Acción </t>
  </si>
  <si>
    <r>
      <t xml:space="preserve">VERSIÓN: </t>
    </r>
    <r>
      <rPr>
        <sz val="11"/>
        <color rgb="FF000000"/>
        <rFont val="Arial"/>
        <family val="2"/>
      </rPr>
      <t>05</t>
    </r>
  </si>
  <si>
    <r>
      <t xml:space="preserve">I SEGUIMIENTO 2025
</t>
    </r>
    <r>
      <rPr>
        <b/>
        <sz val="9"/>
        <rFont val="Arial"/>
        <family val="2"/>
      </rPr>
      <t>Corte 30-04-2025</t>
    </r>
  </si>
  <si>
    <r>
      <t xml:space="preserve">II SEGUIMIENTO 2025
</t>
    </r>
    <r>
      <rPr>
        <b/>
        <sz val="9"/>
        <rFont val="Arial"/>
        <family val="2"/>
      </rPr>
      <t>Corte 25-08-2025</t>
    </r>
  </si>
  <si>
    <r>
      <t xml:space="preserve">III SEGUIMIENTO 2025
</t>
    </r>
    <r>
      <rPr>
        <b/>
        <sz val="9"/>
        <rFont val="Arial"/>
        <family val="2"/>
      </rPr>
      <t>Corte 31-12-2025</t>
    </r>
  </si>
  <si>
    <t>La no ejecución del debate de Control Político.</t>
  </si>
  <si>
    <r>
      <t xml:space="preserve">FECHA: </t>
    </r>
    <r>
      <rPr>
        <sz val="11"/>
        <color rgb="FF000000"/>
        <rFont val="Arial"/>
        <family val="2"/>
      </rPr>
      <t xml:space="preserve"> 07-05-2025</t>
    </r>
  </si>
  <si>
    <r>
      <t xml:space="preserve">La Secretaría General verificar el cumplimiento  del Control Politico a traves del seguimiento  </t>
    </r>
    <r>
      <rPr>
        <sz val="10"/>
        <color rgb="FFFF0000"/>
        <rFont val="Arial"/>
        <family val="2"/>
      </rPr>
      <t>a lo planeado en el cronograma</t>
    </r>
    <r>
      <rPr>
        <sz val="10"/>
        <color theme="1"/>
        <rFont val="Arial"/>
        <family val="2"/>
      </rPr>
      <t xml:space="preserve">  realizado con la Presidencia. </t>
    </r>
  </si>
  <si>
    <r>
      <t xml:space="preserve">Debido a la falta de  </t>
    </r>
    <r>
      <rPr>
        <sz val="10"/>
        <color rgb="FFFF0000"/>
        <rFont val="Arial"/>
        <family val="2"/>
      </rPr>
      <t>seguimiento</t>
    </r>
    <r>
      <rPr>
        <sz val="10"/>
        <color theme="1"/>
        <rFont val="Arial"/>
        <family val="2"/>
      </rPr>
      <t xml:space="preserve">  </t>
    </r>
    <r>
      <rPr>
        <sz val="10"/>
        <color rgb="FFFF0000"/>
        <rFont val="Arial"/>
        <family val="2"/>
      </rPr>
      <t>durante el proceso de cada proposición</t>
    </r>
    <r>
      <rPr>
        <sz val="10"/>
        <color theme="1"/>
        <rFont val="Arial"/>
        <family val="2"/>
      </rPr>
      <t xml:space="preserve"> para el desarrollo de los controles políticos </t>
    </r>
  </si>
  <si>
    <r>
      <t xml:space="preserve">Posibilidad de afectación reputacional por la no ejecución del debate de Control Político debido a la , falta de  </t>
    </r>
    <r>
      <rPr>
        <sz val="11"/>
        <color rgb="FFFF0000"/>
        <rFont val="Arial"/>
        <family val="2"/>
      </rPr>
      <t>seguimiento  durante el proceso de cada proposición</t>
    </r>
    <r>
      <rPr>
        <sz val="11"/>
        <color theme="1"/>
        <rFont val="Arial"/>
      </rPr>
      <t xml:space="preserve"> para el desarrollo de las sesiones de Control Político</t>
    </r>
  </si>
  <si>
    <t>Posibilidad de afectación reputacional por La no ejecución del debate de Control Político.debido a una indebida notificación que genere el incumplimiento de  la citación por parte del funcionario de la Administración Municipal para el debate de Control Político.</t>
  </si>
  <si>
    <r>
      <t>La Secretaría General verificara la asistencia del funcionario citado a los debates, en caso que  no cuente con una  inasistencia justificada, la Secretaría General reportara a las entidades competentes</t>
    </r>
    <r>
      <rPr>
        <sz val="10"/>
        <color rgb="FFFF0000"/>
        <rFont val="Arial"/>
        <family val="2"/>
      </rPr>
      <t xml:space="preserve"> con el direccionamiento de presidenci</t>
    </r>
    <r>
      <rPr>
        <sz val="10"/>
        <color theme="1"/>
        <rFont val="Arial"/>
        <family val="2"/>
      </rPr>
      <t>a la no asistencia justificada de los funcionarios citados a los debates de control político y se realizara la reprogramación del mismo.</t>
    </r>
  </si>
  <si>
    <t>Se ha tenido en cuenta lo establecido en el reglamento interno y normas concordantes en cuanto al cumplimiento de las citaciones de control politico por parte de los funcionarios de la Administración citados y se ha realizado el seguimiento al mismo.</t>
  </si>
  <si>
    <r>
      <t xml:space="preserve">                                                                        </t>
    </r>
    <r>
      <rPr>
        <sz val="11"/>
        <color rgb="FFFF0000"/>
        <rFont val="Arial"/>
        <family val="2"/>
      </rPr>
      <t xml:space="preserve">Debido a una desviación del proceso de citación a control polítco a los funcionarios de la Admisnitración Municipal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</si>
</sst>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70" x14ac:knownFonts="1">
    <font>
      <sz val="11"/>
      <color theme="1"/>
      <name val="Arial"/>
    </font>
    <font>
      <sz val="11"/>
      <color theme="1"/>
      <name val="Calibri"/>
      <family val="2"/>
    </font>
    <font>
      <b/>
      <sz val="14"/>
      <color theme="1"/>
      <name val="Arial Narrow"/>
      <family val="2"/>
    </font>
    <font>
      <sz val="11"/>
      <name val="Arial"/>
      <family val="2"/>
    </font>
    <font>
      <sz val="10"/>
      <color theme="1"/>
      <name val="Arial Narrow"/>
      <family val="2"/>
    </font>
    <font>
      <b/>
      <u/>
      <sz val="11"/>
      <color theme="1"/>
      <name val="Arial Narrow"/>
      <family val="2"/>
    </font>
    <font>
      <sz val="11"/>
      <color theme="1"/>
      <name val="Arial Narrow"/>
      <family val="2"/>
    </font>
    <font>
      <b/>
      <u/>
      <sz val="11"/>
      <color theme="1"/>
      <name val="Arial Narrow"/>
      <family val="2"/>
    </font>
    <font>
      <b/>
      <sz val="11"/>
      <color theme="1"/>
      <name val="Arial Narrow"/>
      <family val="2"/>
    </font>
    <font>
      <b/>
      <sz val="10"/>
      <color theme="1"/>
      <name val="Arial Narrow"/>
      <family val="2"/>
    </font>
    <font>
      <b/>
      <sz val="9"/>
      <color theme="1"/>
      <name val="Arial Narrow"/>
      <family val="2"/>
    </font>
    <font>
      <sz val="9"/>
      <color theme="1"/>
      <name val="Arial Narrow"/>
      <family val="2"/>
    </font>
    <font>
      <sz val="8"/>
      <color theme="1"/>
      <name val="Times New Roman"/>
      <family val="1"/>
    </font>
    <font>
      <b/>
      <sz val="8"/>
      <color rgb="FF000000"/>
      <name val="Arial"/>
      <family val="2"/>
    </font>
    <font>
      <b/>
      <sz val="22"/>
      <color theme="1"/>
      <name val="Arial"/>
      <family val="2"/>
    </font>
    <font>
      <b/>
      <sz val="8"/>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sz val="10"/>
      <color rgb="FF000000"/>
      <name val="Arial Narrow"/>
      <family val="2"/>
    </font>
    <font>
      <b/>
      <sz val="10"/>
      <color rgb="FFE36C09"/>
      <name val="Arial Narrow"/>
      <family val="2"/>
    </font>
    <font>
      <b/>
      <sz val="11"/>
      <color rgb="FFE36C09"/>
      <name val="Arial Narrow"/>
      <family val="2"/>
    </font>
    <font>
      <b/>
      <sz val="9"/>
      <color rgb="FFE36C09"/>
      <name val="Arial Narrow"/>
      <family val="2"/>
    </font>
    <font>
      <b/>
      <sz val="11"/>
      <color rgb="FFE36C09"/>
      <name val="Arial"/>
      <family val="2"/>
    </font>
    <font>
      <b/>
      <sz val="12"/>
      <color rgb="FFE36C09"/>
      <name val="Arial Narrow"/>
      <family val="2"/>
    </font>
    <font>
      <b/>
      <sz val="11"/>
      <name val="Arial"/>
      <family val="2"/>
    </font>
    <font>
      <sz val="11"/>
      <color theme="1"/>
      <name val="Arial"/>
      <family val="2"/>
    </font>
    <font>
      <sz val="9"/>
      <color indexed="81"/>
      <name val="Tahoma"/>
      <family val="2"/>
    </font>
    <font>
      <b/>
      <sz val="9"/>
      <color indexed="81"/>
      <name val="Tahoma"/>
      <family val="2"/>
    </font>
    <font>
      <b/>
      <sz val="11"/>
      <color rgb="FF000000"/>
      <name val="Arial"/>
      <family val="2"/>
    </font>
    <font>
      <sz val="11"/>
      <color rgb="FF000000"/>
      <name val="Arial"/>
      <family val="2"/>
    </font>
    <font>
      <b/>
      <sz val="9"/>
      <name val="Arial"/>
      <family val="2"/>
    </font>
    <font>
      <sz val="10"/>
      <color rgb="FFFF0000"/>
      <name val="Arial"/>
      <family val="2"/>
    </font>
    <font>
      <sz val="11"/>
      <color rgb="FFFF0000"/>
      <name val="Arial"/>
      <family val="2"/>
    </font>
  </fonts>
  <fills count="25">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92D050"/>
        <bgColor rgb="FF92D05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4"/>
        <bgColor indexed="64"/>
      </patternFill>
    </fill>
    <fill>
      <patternFill patternType="solid">
        <fgColor theme="4"/>
        <bgColor rgb="FF92D050"/>
      </patternFill>
    </fill>
    <fill>
      <patternFill patternType="solid">
        <fgColor theme="8"/>
        <bgColor indexed="64"/>
      </patternFill>
    </fill>
    <fill>
      <patternFill patternType="solid">
        <fgColor theme="8"/>
        <bgColor rgb="FF92D050"/>
      </patternFill>
    </fill>
    <fill>
      <patternFill patternType="solid">
        <fgColor theme="0"/>
        <bgColor rgb="FF92D050"/>
      </patternFill>
    </fill>
    <fill>
      <patternFill patternType="solid">
        <fgColor theme="0"/>
        <bgColor indexed="64"/>
      </patternFill>
    </fill>
    <fill>
      <patternFill patternType="solid">
        <fgColor theme="0"/>
        <bgColor theme="6"/>
      </patternFill>
    </fill>
  </fills>
  <borders count="116">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style="thin">
        <color theme="0"/>
      </right>
      <top style="double">
        <color rgb="FF000000"/>
      </top>
      <bottom/>
      <diagonal/>
    </border>
    <border>
      <left style="thin">
        <color theme="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double">
        <color rgb="FF000000"/>
      </right>
      <top style="thin">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style="double">
        <color rgb="FF000000"/>
      </right>
      <top style="hair">
        <color rgb="FF000000"/>
      </top>
      <bottom style="double">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321">
    <xf numFmtId="0" fontId="0" fillId="0" borderId="0" xfId="0"/>
    <xf numFmtId="0" fontId="1" fillId="2" borderId="1"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7" fillId="2" borderId="19"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20" xfId="0" applyFont="1" applyFill="1" applyBorder="1" applyAlignment="1">
      <alignment horizontal="left" vertical="top" wrapText="1"/>
    </xf>
    <xf numFmtId="0" fontId="4" fillId="2" borderId="19" xfId="0" applyFont="1" applyFill="1" applyBorder="1"/>
    <xf numFmtId="0" fontId="4" fillId="2" borderId="1" xfId="0" applyFont="1" applyFill="1" applyBorder="1"/>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0" xfId="0" applyFont="1" applyFill="1" applyBorder="1"/>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4" fillId="2" borderId="40" xfId="0" applyFont="1" applyFill="1" applyBorder="1"/>
    <xf numFmtId="0" fontId="4" fillId="2" borderId="41" xfId="0" applyFont="1" applyFill="1" applyBorder="1"/>
    <xf numFmtId="0" fontId="4" fillId="2" borderId="42" xfId="0" applyFont="1" applyFill="1" applyBorder="1"/>
    <xf numFmtId="0" fontId="14" fillId="2" borderId="1" xfId="0" applyFont="1" applyFill="1" applyBorder="1" applyAlignment="1">
      <alignment vertical="center"/>
    </xf>
    <xf numFmtId="0" fontId="0" fillId="2" borderId="1" xfId="0" applyFill="1" applyBorder="1"/>
    <xf numFmtId="0" fontId="12" fillId="0" borderId="11" xfId="0" applyFont="1" applyBorder="1" applyAlignment="1">
      <alignment vertical="center"/>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2" borderId="53" xfId="0" applyFill="1" applyBorder="1"/>
    <xf numFmtId="0" fontId="18" fillId="7" borderId="60" xfId="0" applyFont="1" applyFill="1" applyBorder="1" applyAlignment="1">
      <alignment horizontal="center" vertical="center" textRotation="90"/>
    </xf>
    <xf numFmtId="0" fontId="18" fillId="2" borderId="1" xfId="0" applyFont="1" applyFill="1" applyBorder="1" applyAlignment="1">
      <alignment horizontal="center" vertical="center"/>
    </xf>
    <xf numFmtId="0" fontId="0" fillId="0" borderId="60" xfId="0" applyBorder="1" applyAlignment="1">
      <alignment horizontal="center" vertical="center"/>
    </xf>
    <xf numFmtId="164" fontId="0" fillId="0" borderId="60" xfId="0" applyNumberFormat="1" applyBorder="1" applyAlignment="1">
      <alignment horizontal="center" vertical="center"/>
    </xf>
    <xf numFmtId="0" fontId="0" fillId="2" borderId="1" xfId="0" applyFill="1" applyBorder="1" applyAlignment="1">
      <alignment vertical="center"/>
    </xf>
    <xf numFmtId="0" fontId="0" fillId="0" borderId="0" xfId="0" applyAlignment="1">
      <alignment horizontal="center" vertical="center"/>
    </xf>
    <xf numFmtId="0" fontId="0" fillId="0" borderId="0" xfId="0" applyAlignment="1">
      <alignment horizontal="center"/>
    </xf>
    <xf numFmtId="0" fontId="18" fillId="0" borderId="0" xfId="0" applyFont="1" applyAlignment="1">
      <alignment horizontal="left" vertical="center"/>
    </xf>
    <xf numFmtId="0" fontId="26" fillId="2" borderId="1" xfId="0" applyFont="1" applyFill="1" applyBorder="1" applyAlignment="1">
      <alignment vertical="center"/>
    </xf>
    <xf numFmtId="0" fontId="29" fillId="10" borderId="92" xfId="0" applyFont="1" applyFill="1" applyBorder="1" applyAlignment="1">
      <alignment horizontal="center" vertical="center" wrapText="1" readingOrder="1"/>
    </xf>
    <xf numFmtId="0" fontId="29" fillId="10" borderId="93" xfId="0" applyFont="1" applyFill="1" applyBorder="1" applyAlignment="1">
      <alignment horizontal="center" vertical="center" wrapText="1" readingOrder="1"/>
    </xf>
    <xf numFmtId="0" fontId="29" fillId="10" borderId="94" xfId="0" applyFont="1" applyFill="1" applyBorder="1" applyAlignment="1">
      <alignment horizontal="center" vertical="center" wrapText="1" readingOrder="1"/>
    </xf>
    <xf numFmtId="0" fontId="29" fillId="11" borderId="92" xfId="0" applyFont="1" applyFill="1" applyBorder="1" applyAlignment="1">
      <alignment horizontal="center" wrapText="1" readingOrder="1"/>
    </xf>
    <xf numFmtId="0" fontId="29" fillId="11" borderId="93" xfId="0" applyFont="1" applyFill="1" applyBorder="1" applyAlignment="1">
      <alignment horizontal="center" wrapText="1" readingOrder="1"/>
    </xf>
    <xf numFmtId="0" fontId="29" fillId="11" borderId="94" xfId="0" applyFont="1" applyFill="1" applyBorder="1" applyAlignment="1">
      <alignment horizontal="center" wrapText="1" readingOrder="1"/>
    </xf>
    <xf numFmtId="0" fontId="29" fillId="10" borderId="19" xfId="0" applyFont="1" applyFill="1" applyBorder="1" applyAlignment="1">
      <alignment horizontal="center" vertical="center" wrapText="1" readingOrder="1"/>
    </xf>
    <xf numFmtId="0" fontId="29" fillId="10" borderId="1" xfId="0" applyFont="1" applyFill="1" applyBorder="1" applyAlignment="1">
      <alignment horizontal="center" vertical="center" wrapText="1" readingOrder="1"/>
    </xf>
    <xf numFmtId="0" fontId="29" fillId="10" borderId="20" xfId="0" applyFont="1" applyFill="1" applyBorder="1" applyAlignment="1">
      <alignment horizontal="center" vertical="center" wrapText="1" readingOrder="1"/>
    </xf>
    <xf numFmtId="0" fontId="29" fillId="11" borderId="19" xfId="0" applyFont="1" applyFill="1" applyBorder="1" applyAlignment="1">
      <alignment horizontal="center" wrapText="1" readingOrder="1"/>
    </xf>
    <xf numFmtId="0" fontId="29" fillId="11" borderId="1" xfId="0" applyFont="1" applyFill="1" applyBorder="1" applyAlignment="1">
      <alignment horizontal="center" wrapText="1" readingOrder="1"/>
    </xf>
    <xf numFmtId="0" fontId="29" fillId="11" borderId="20" xfId="0" applyFont="1" applyFill="1" applyBorder="1" applyAlignment="1">
      <alignment horizontal="center" wrapText="1" readingOrder="1"/>
    </xf>
    <xf numFmtId="0" fontId="29" fillId="10" borderId="40" xfId="0" applyFont="1" applyFill="1" applyBorder="1" applyAlignment="1">
      <alignment horizontal="center" vertical="center" wrapText="1" readingOrder="1"/>
    </xf>
    <xf numFmtId="0" fontId="29" fillId="10" borderId="41" xfId="0" applyFont="1" applyFill="1" applyBorder="1" applyAlignment="1">
      <alignment horizontal="center" vertical="center" wrapText="1" readingOrder="1"/>
    </xf>
    <xf numFmtId="0" fontId="29" fillId="10" borderId="42" xfId="0" applyFont="1" applyFill="1" applyBorder="1" applyAlignment="1">
      <alignment horizontal="center" vertical="center" wrapText="1" readingOrder="1"/>
    </xf>
    <xf numFmtId="0" fontId="29" fillId="11" borderId="40" xfId="0" applyFont="1" applyFill="1" applyBorder="1" applyAlignment="1">
      <alignment horizontal="center" wrapText="1" readingOrder="1"/>
    </xf>
    <xf numFmtId="0" fontId="29" fillId="11" borderId="41" xfId="0" applyFont="1" applyFill="1" applyBorder="1" applyAlignment="1">
      <alignment horizontal="center" wrapText="1" readingOrder="1"/>
    </xf>
    <xf numFmtId="0" fontId="29" fillId="11" borderId="42" xfId="0" applyFont="1" applyFill="1" applyBorder="1" applyAlignment="1">
      <alignment horizontal="center" wrapText="1" readingOrder="1"/>
    </xf>
    <xf numFmtId="0" fontId="29" fillId="12" borderId="92" xfId="0" applyFont="1" applyFill="1" applyBorder="1" applyAlignment="1">
      <alignment horizontal="center" wrapText="1" readingOrder="1"/>
    </xf>
    <xf numFmtId="0" fontId="29" fillId="12" borderId="93" xfId="0" applyFont="1" applyFill="1" applyBorder="1" applyAlignment="1">
      <alignment horizontal="center" wrapText="1" readingOrder="1"/>
    </xf>
    <xf numFmtId="0" fontId="29" fillId="12" borderId="94" xfId="0" applyFont="1" applyFill="1" applyBorder="1" applyAlignment="1">
      <alignment horizontal="center" wrapText="1" readingOrder="1"/>
    </xf>
    <xf numFmtId="0" fontId="29" fillId="12" borderId="19" xfId="0" applyFont="1" applyFill="1" applyBorder="1" applyAlignment="1">
      <alignment horizontal="center" wrapText="1" readingOrder="1"/>
    </xf>
    <xf numFmtId="0" fontId="29" fillId="12" borderId="1" xfId="0" applyFont="1" applyFill="1" applyBorder="1" applyAlignment="1">
      <alignment horizontal="center" wrapText="1" readingOrder="1"/>
    </xf>
    <xf numFmtId="0" fontId="29" fillId="12" borderId="20" xfId="0" applyFont="1" applyFill="1" applyBorder="1" applyAlignment="1">
      <alignment horizontal="center" wrapText="1" readingOrder="1"/>
    </xf>
    <xf numFmtId="0" fontId="29" fillId="12" borderId="40" xfId="0" applyFont="1" applyFill="1" applyBorder="1" applyAlignment="1">
      <alignment horizontal="center" wrapText="1" readingOrder="1"/>
    </xf>
    <xf numFmtId="0" fontId="29" fillId="12" borderId="41" xfId="0" applyFont="1" applyFill="1" applyBorder="1" applyAlignment="1">
      <alignment horizontal="center" wrapText="1" readingOrder="1"/>
    </xf>
    <xf numFmtId="0" fontId="29" fillId="12" borderId="42" xfId="0" applyFont="1" applyFill="1" applyBorder="1" applyAlignment="1">
      <alignment horizontal="center" wrapText="1" readingOrder="1"/>
    </xf>
    <xf numFmtId="0" fontId="29" fillId="4" borderId="92" xfId="0" applyFont="1" applyFill="1" applyBorder="1" applyAlignment="1">
      <alignment horizontal="center" wrapText="1" readingOrder="1"/>
    </xf>
    <xf numFmtId="0" fontId="29" fillId="4" borderId="93" xfId="0" applyFont="1" applyFill="1" applyBorder="1" applyAlignment="1">
      <alignment horizontal="center" wrapText="1" readingOrder="1"/>
    </xf>
    <xf numFmtId="0" fontId="29" fillId="4" borderId="94" xfId="0" applyFont="1" applyFill="1" applyBorder="1" applyAlignment="1">
      <alignment horizontal="center" wrapText="1" readingOrder="1"/>
    </xf>
    <xf numFmtId="0" fontId="29" fillId="4" borderId="19" xfId="0" applyFont="1" applyFill="1" applyBorder="1" applyAlignment="1">
      <alignment horizontal="center" wrapText="1" readingOrder="1"/>
    </xf>
    <xf numFmtId="0" fontId="29" fillId="4" borderId="1" xfId="0" applyFont="1" applyFill="1" applyBorder="1" applyAlignment="1">
      <alignment horizontal="center" wrapText="1" readingOrder="1"/>
    </xf>
    <xf numFmtId="0" fontId="29" fillId="4" borderId="20" xfId="0" applyFont="1" applyFill="1" applyBorder="1" applyAlignment="1">
      <alignment horizontal="center" wrapText="1" readingOrder="1"/>
    </xf>
    <xf numFmtId="0" fontId="29" fillId="4" borderId="40" xfId="0" applyFont="1" applyFill="1" applyBorder="1" applyAlignment="1">
      <alignment horizontal="center" wrapText="1" readingOrder="1"/>
    </xf>
    <xf numFmtId="0" fontId="29" fillId="4" borderId="41" xfId="0" applyFont="1" applyFill="1" applyBorder="1" applyAlignment="1">
      <alignment horizontal="center" wrapText="1" readingOrder="1"/>
    </xf>
    <xf numFmtId="0" fontId="29" fillId="4" borderId="42" xfId="0" applyFont="1" applyFill="1" applyBorder="1" applyAlignment="1">
      <alignment horizontal="center" wrapText="1" readingOrder="1"/>
    </xf>
    <xf numFmtId="0" fontId="31" fillId="12" borderId="93" xfId="0" applyFont="1" applyFill="1" applyBorder="1" applyAlignment="1">
      <alignment horizontal="center" wrapText="1" readingOrder="1"/>
    </xf>
    <xf numFmtId="0" fontId="33" fillId="0" borderId="0" xfId="0" applyFont="1" applyAlignment="1">
      <alignment horizontal="center" vertical="center" wrapText="1"/>
    </xf>
    <xf numFmtId="0" fontId="34" fillId="13" borderId="1" xfId="0" applyFont="1" applyFill="1" applyBorder="1" applyAlignment="1">
      <alignment horizontal="center" vertical="center" wrapText="1" readingOrder="1"/>
    </xf>
    <xf numFmtId="0" fontId="35" fillId="4" borderId="95" xfId="0" applyFont="1" applyFill="1" applyBorder="1" applyAlignment="1">
      <alignment horizontal="center" vertical="center" wrapText="1" readingOrder="1"/>
    </xf>
    <xf numFmtId="0" fontId="35" fillId="0" borderId="96" xfId="0" applyFont="1" applyBorder="1" applyAlignment="1">
      <alignment horizontal="left" vertical="center" wrapText="1" readingOrder="1"/>
    </xf>
    <xf numFmtId="9" fontId="35" fillId="0" borderId="96" xfId="0" applyNumberFormat="1" applyFont="1" applyBorder="1" applyAlignment="1">
      <alignment horizontal="center" vertical="center" wrapText="1" readingOrder="1"/>
    </xf>
    <xf numFmtId="0" fontId="35" fillId="14" borderId="97" xfId="0" applyFont="1" applyFill="1" applyBorder="1" applyAlignment="1">
      <alignment horizontal="center" vertical="center" wrapText="1" readingOrder="1"/>
    </xf>
    <xf numFmtId="0" fontId="35" fillId="0" borderId="97" xfId="0" applyFont="1" applyBorder="1" applyAlignment="1">
      <alignment horizontal="left" vertical="center" wrapText="1" readingOrder="1"/>
    </xf>
    <xf numFmtId="9" fontId="35" fillId="0" borderId="97" xfId="0" applyNumberFormat="1" applyFont="1" applyBorder="1" applyAlignment="1">
      <alignment horizontal="center" vertical="center" wrapText="1" readingOrder="1"/>
    </xf>
    <xf numFmtId="0" fontId="35" fillId="15" borderId="97" xfId="0" applyFont="1" applyFill="1" applyBorder="1" applyAlignment="1">
      <alignment horizontal="center" vertical="center" wrapText="1" readingOrder="1"/>
    </xf>
    <xf numFmtId="0" fontId="35" fillId="16" borderId="97" xfId="0" applyFont="1" applyFill="1" applyBorder="1" applyAlignment="1">
      <alignment horizontal="center" vertical="center" wrapText="1" readingOrder="1"/>
    </xf>
    <xf numFmtId="0" fontId="36" fillId="8" borderId="97" xfId="0" applyFont="1" applyFill="1" applyBorder="1" applyAlignment="1">
      <alignment horizontal="center" vertical="center" wrapText="1" readingOrder="1"/>
    </xf>
    <xf numFmtId="0" fontId="8" fillId="2" borderId="1" xfId="0" applyFont="1" applyFill="1" applyBorder="1" applyAlignment="1">
      <alignment horizontal="left" vertical="center"/>
    </xf>
    <xf numFmtId="0" fontId="38" fillId="2" borderId="1" xfId="0" applyFont="1" applyFill="1" applyBorder="1" applyAlignment="1">
      <alignment horizontal="center" vertical="center" wrapText="1"/>
    </xf>
    <xf numFmtId="0" fontId="39" fillId="13" borderId="1" xfId="0" applyFont="1" applyFill="1" applyBorder="1" applyAlignment="1">
      <alignment horizontal="center" vertical="center" wrapText="1" readingOrder="1"/>
    </xf>
    <xf numFmtId="0" fontId="40" fillId="2" borderId="1" xfId="0" applyFont="1" applyFill="1" applyBorder="1"/>
    <xf numFmtId="0" fontId="41" fillId="4" borderId="95" xfId="0" applyFont="1" applyFill="1" applyBorder="1" applyAlignment="1">
      <alignment horizontal="center" vertical="center" wrapText="1" readingOrder="1"/>
    </xf>
    <xf numFmtId="0" fontId="41" fillId="0" borderId="96" xfId="0" applyFont="1" applyBorder="1" applyAlignment="1">
      <alignment horizontal="center" vertical="center" wrapText="1" readingOrder="1"/>
    </xf>
    <xf numFmtId="0" fontId="41" fillId="0" borderId="96" xfId="0" applyFont="1" applyBorder="1" applyAlignment="1">
      <alignment horizontal="left" vertical="center" wrapText="1" readingOrder="1"/>
    </xf>
    <xf numFmtId="0" fontId="41" fillId="14" borderId="97" xfId="0" applyFont="1" applyFill="1" applyBorder="1" applyAlignment="1">
      <alignment horizontal="center" vertical="center" wrapText="1" readingOrder="1"/>
    </xf>
    <xf numFmtId="0" fontId="41" fillId="0" borderId="97" xfId="0" applyFont="1" applyBorder="1" applyAlignment="1">
      <alignment horizontal="center" vertical="center" wrapText="1" readingOrder="1"/>
    </xf>
    <xf numFmtId="0" fontId="41" fillId="0" borderId="97" xfId="0" applyFont="1" applyBorder="1" applyAlignment="1">
      <alignment horizontal="left" vertical="center" wrapText="1" readingOrder="1"/>
    </xf>
    <xf numFmtId="0" fontId="41" fillId="15" borderId="97" xfId="0" applyFont="1" applyFill="1" applyBorder="1" applyAlignment="1">
      <alignment horizontal="center" vertical="center" wrapText="1" readingOrder="1"/>
    </xf>
    <xf numFmtId="0" fontId="41" fillId="16" borderId="97" xfId="0" applyFont="1" applyFill="1" applyBorder="1" applyAlignment="1">
      <alignment horizontal="center" vertical="center" wrapText="1" readingOrder="1"/>
    </xf>
    <xf numFmtId="0" fontId="42" fillId="8" borderId="97" xfId="0" applyFont="1" applyFill="1" applyBorder="1" applyAlignment="1">
      <alignment horizontal="center" vertical="center" wrapText="1" readingOrder="1"/>
    </xf>
    <xf numFmtId="0" fontId="43" fillId="2" borderId="1" xfId="0" applyFont="1" applyFill="1" applyBorder="1" applyAlignment="1">
      <alignment horizontal="left" vertical="center" wrapText="1" readingOrder="1"/>
    </xf>
    <xf numFmtId="0" fontId="8" fillId="2" borderId="1" xfId="0" applyFont="1" applyFill="1" applyBorder="1" applyAlignment="1">
      <alignment vertical="center"/>
    </xf>
    <xf numFmtId="0" fontId="40" fillId="0" borderId="0" xfId="0" applyFont="1"/>
    <xf numFmtId="0" fontId="43" fillId="0" borderId="0" xfId="0" applyFont="1" applyAlignment="1">
      <alignment horizontal="left" vertical="center" wrapText="1" readingOrder="1"/>
    </xf>
    <xf numFmtId="0" fontId="44" fillId="0" borderId="0" xfId="0" applyFont="1" applyAlignment="1">
      <alignment vertical="center"/>
    </xf>
    <xf numFmtId="0" fontId="1"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9" fillId="2" borderId="1" xfId="0" applyFont="1" applyFill="1" applyBorder="1"/>
    <xf numFmtId="0" fontId="51" fillId="2" borderId="1" xfId="0" applyFont="1" applyFill="1" applyBorder="1"/>
    <xf numFmtId="0" fontId="52" fillId="17" borderId="102" xfId="0" applyFont="1" applyFill="1" applyBorder="1" applyAlignment="1">
      <alignment horizontal="center" vertical="center" wrapText="1" readingOrder="1"/>
    </xf>
    <xf numFmtId="0" fontId="52" fillId="17" borderId="103" xfId="0" applyFont="1" applyFill="1" applyBorder="1" applyAlignment="1">
      <alignment horizontal="center" vertical="center" wrapText="1" readingOrder="1"/>
    </xf>
    <xf numFmtId="0" fontId="52" fillId="2" borderId="106" xfId="0" applyFont="1" applyFill="1" applyBorder="1" applyAlignment="1">
      <alignment horizontal="center" vertical="center" wrapText="1" readingOrder="1"/>
    </xf>
    <xf numFmtId="0" fontId="53" fillId="2" borderId="106" xfId="0" applyFont="1" applyFill="1" applyBorder="1" applyAlignment="1">
      <alignment horizontal="left" vertical="center" wrapText="1" readingOrder="1"/>
    </xf>
    <xf numFmtId="9" fontId="52" fillId="2" borderId="107" xfId="0" applyNumberFormat="1" applyFont="1" applyFill="1" applyBorder="1" applyAlignment="1">
      <alignment horizontal="center" vertical="center" wrapText="1" readingOrder="1"/>
    </xf>
    <xf numFmtId="0" fontId="52" fillId="2" borderId="60" xfId="0" applyFont="1" applyFill="1" applyBorder="1" applyAlignment="1">
      <alignment horizontal="center" vertical="center" wrapText="1" readingOrder="1"/>
    </xf>
    <xf numFmtId="0" fontId="53" fillId="2" borderId="60" xfId="0" applyFont="1" applyFill="1" applyBorder="1" applyAlignment="1">
      <alignment horizontal="left" vertical="center" wrapText="1" readingOrder="1"/>
    </xf>
    <xf numFmtId="9" fontId="52" fillId="2" borderId="109" xfId="0" applyNumberFormat="1" applyFont="1" applyFill="1" applyBorder="1" applyAlignment="1">
      <alignment horizontal="center" vertical="center" wrapText="1" readingOrder="1"/>
    </xf>
    <xf numFmtId="0" fontId="53" fillId="2" borderId="109" xfId="0" applyFont="1" applyFill="1" applyBorder="1" applyAlignment="1">
      <alignment horizontal="center" vertical="center" wrapText="1" readingOrder="1"/>
    </xf>
    <xf numFmtId="0" fontId="52" fillId="2" borderId="114" xfId="0" applyFont="1" applyFill="1" applyBorder="1" applyAlignment="1">
      <alignment horizontal="center" vertical="center" wrapText="1" readingOrder="1"/>
    </xf>
    <xf numFmtId="0" fontId="53" fillId="2" borderId="114" xfId="0" applyFont="1" applyFill="1" applyBorder="1" applyAlignment="1">
      <alignment horizontal="left" vertical="center" wrapText="1" readingOrder="1"/>
    </xf>
    <xf numFmtId="0" fontId="53" fillId="2" borderId="115" xfId="0" applyFont="1" applyFill="1" applyBorder="1" applyAlignment="1">
      <alignment horizontal="center" vertical="center" wrapText="1" readingOrder="1"/>
    </xf>
    <xf numFmtId="0" fontId="10" fillId="2" borderId="1" xfId="0" applyFont="1" applyFill="1" applyBorder="1"/>
    <xf numFmtId="0" fontId="49" fillId="0" borderId="0" xfId="0" applyFont="1"/>
    <xf numFmtId="0" fontId="55" fillId="0" borderId="97" xfId="0" applyFont="1" applyBorder="1" applyAlignment="1">
      <alignment horizontal="left" vertical="center" wrapText="1" readingOrder="1"/>
    </xf>
    <xf numFmtId="0" fontId="4" fillId="2" borderId="37" xfId="0" applyFont="1" applyFill="1" applyBorder="1" applyAlignment="1">
      <alignment horizontal="left" vertical="top" wrapText="1"/>
    </xf>
    <xf numFmtId="0" fontId="3" fillId="0" borderId="38" xfId="0" applyFont="1" applyBorder="1"/>
    <xf numFmtId="0" fontId="3" fillId="0" borderId="39" xfId="0" applyFont="1" applyBorder="1"/>
    <xf numFmtId="0" fontId="11" fillId="2" borderId="31" xfId="0" applyFont="1" applyFill="1" applyBorder="1" applyAlignment="1">
      <alignment horizontal="left" vertical="center" wrapText="1"/>
    </xf>
    <xf numFmtId="0" fontId="3" fillId="0" borderId="32" xfId="0" applyFont="1" applyBorder="1"/>
    <xf numFmtId="0" fontId="11" fillId="2" borderId="35" xfId="0" applyFont="1" applyFill="1" applyBorder="1" applyAlignment="1">
      <alignment horizontal="left" vertical="center" wrapText="1"/>
    </xf>
    <xf numFmtId="0" fontId="3" fillId="0" borderId="36" xfId="0" applyFont="1" applyBorder="1"/>
    <xf numFmtId="0" fontId="10" fillId="2" borderId="29" xfId="0" applyFont="1" applyFill="1" applyBorder="1" applyAlignment="1">
      <alignment horizontal="left" vertical="center" wrapText="1"/>
    </xf>
    <xf numFmtId="0" fontId="3" fillId="0" borderId="30" xfId="0" applyFont="1" applyBorder="1"/>
    <xf numFmtId="0" fontId="10" fillId="2" borderId="33" xfId="0" applyFont="1" applyFill="1" applyBorder="1" applyAlignment="1">
      <alignment horizontal="left" vertical="center" wrapText="1"/>
    </xf>
    <xf numFmtId="0" fontId="3" fillId="0" borderId="34" xfId="0" applyFont="1" applyBorder="1"/>
    <xf numFmtId="0" fontId="10" fillId="2" borderId="25" xfId="0" applyFont="1" applyFill="1" applyBorder="1" applyAlignment="1">
      <alignment horizontal="left" vertical="top" wrapText="1" readingOrder="1"/>
    </xf>
    <xf numFmtId="0" fontId="3" fillId="0" borderId="26" xfId="0" applyFont="1" applyBorder="1"/>
    <xf numFmtId="0" fontId="11" fillId="2" borderId="27" xfId="0" applyFont="1" applyFill="1" applyBorder="1" applyAlignment="1">
      <alignment horizontal="left" vertical="center" wrapText="1"/>
    </xf>
    <xf numFmtId="0" fontId="3" fillId="0" borderId="28" xfId="0" applyFont="1" applyBorder="1"/>
    <xf numFmtId="0" fontId="10" fillId="3" borderId="21" xfId="0" applyFont="1" applyFill="1" applyBorder="1" applyAlignment="1">
      <alignment horizontal="center" vertical="center" wrapText="1"/>
    </xf>
    <xf numFmtId="0" fontId="3" fillId="0" borderId="22" xfId="0" applyFont="1" applyBorder="1"/>
    <xf numFmtId="0" fontId="10" fillId="3" borderId="23" xfId="0" applyFont="1" applyFill="1" applyBorder="1" applyAlignment="1">
      <alignment horizontal="center" vertical="center"/>
    </xf>
    <xf numFmtId="0" fontId="3" fillId="0" borderId="24"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0" fillId="0" borderId="0" xfId="0"/>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5" fillId="2" borderId="13" xfId="0" quotePrefix="1" applyFont="1" applyFill="1" applyBorder="1" applyAlignment="1">
      <alignment horizontal="left" vertical="top" wrapText="1"/>
    </xf>
    <xf numFmtId="0" fontId="3" fillId="0" borderId="14" xfId="0" applyFont="1" applyBorder="1"/>
    <xf numFmtId="0" fontId="3" fillId="0" borderId="15" xfId="0" applyFont="1" applyBorder="1"/>
    <xf numFmtId="0" fontId="6" fillId="2"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4" fillId="0" borderId="8" xfId="0" applyFont="1" applyBorder="1" applyAlignment="1">
      <alignment horizontal="left" vertical="top" wrapText="1"/>
    </xf>
    <xf numFmtId="0" fontId="3" fillId="0" borderId="8" xfId="0" applyFont="1" applyBorder="1"/>
    <xf numFmtId="0" fontId="62" fillId="0" borderId="58" xfId="0" applyFont="1" applyBorder="1" applyAlignment="1">
      <alignment horizontal="center" vertical="center"/>
    </xf>
    <xf numFmtId="0" fontId="0" fillId="0" borderId="105" xfId="0" applyBorder="1" applyAlignment="1">
      <alignment horizontal="center" vertical="center"/>
    </xf>
    <xf numFmtId="0" fontId="0" fillId="0" borderId="106" xfId="0" applyBorder="1" applyAlignment="1">
      <alignment horizontal="center" vertical="center"/>
    </xf>
    <xf numFmtId="0" fontId="62" fillId="0" borderId="58" xfId="0" applyFont="1" applyBorder="1" applyAlignment="1">
      <alignment horizontal="center" vertical="center" wrapText="1"/>
    </xf>
    <xf numFmtId="0" fontId="62" fillId="0" borderId="105" xfId="0" applyFont="1" applyBorder="1" applyAlignment="1">
      <alignment horizontal="center" vertical="center" wrapText="1"/>
    </xf>
    <xf numFmtId="0" fontId="62" fillId="0" borderId="106" xfId="0" applyFont="1" applyBorder="1" applyAlignment="1">
      <alignment horizontal="center" vertical="center" wrapText="1"/>
    </xf>
    <xf numFmtId="165" fontId="0" fillId="0" borderId="58" xfId="0" applyNumberFormat="1" applyBorder="1" applyAlignment="1">
      <alignment horizontal="center" vertical="center"/>
    </xf>
    <xf numFmtId="165" fontId="0" fillId="0" borderId="105" xfId="0" applyNumberFormat="1" applyBorder="1" applyAlignment="1">
      <alignment horizontal="center" vertical="center"/>
    </xf>
    <xf numFmtId="165" fontId="0" fillId="0" borderId="106" xfId="0" applyNumberFormat="1" applyBorder="1" applyAlignment="1">
      <alignment horizontal="center" vertical="center"/>
    </xf>
    <xf numFmtId="0" fontId="0" fillId="0" borderId="58" xfId="0" applyBorder="1" applyAlignment="1">
      <alignment horizontal="center" vertical="center"/>
    </xf>
    <xf numFmtId="0" fontId="20" fillId="0" borderId="58" xfId="0" applyFont="1" applyBorder="1" applyAlignment="1">
      <alignment horizontal="center" vertical="center" wrapText="1"/>
    </xf>
    <xf numFmtId="0" fontId="20" fillId="0" borderId="105" xfId="0" applyFont="1" applyBorder="1" applyAlignment="1">
      <alignment horizontal="center" vertical="center" wrapText="1"/>
    </xf>
    <xf numFmtId="0" fontId="20" fillId="0" borderId="106" xfId="0" applyFont="1" applyBorder="1" applyAlignment="1">
      <alignment horizontal="center" vertical="center" wrapText="1"/>
    </xf>
    <xf numFmtId="0" fontId="0" fillId="0" borderId="58" xfId="0" applyBorder="1" applyAlignment="1">
      <alignment horizontal="center" vertical="center" textRotation="90"/>
    </xf>
    <xf numFmtId="0" fontId="0" fillId="0" borderId="105" xfId="0" applyBorder="1" applyAlignment="1">
      <alignment horizontal="center" vertical="center" textRotation="90"/>
    </xf>
    <xf numFmtId="0" fontId="0" fillId="0" borderId="106" xfId="0" applyBorder="1" applyAlignment="1">
      <alignment horizontal="center" vertical="center" textRotation="90"/>
    </xf>
    <xf numFmtId="9" fontId="0" fillId="0" borderId="58" xfId="0" applyNumberFormat="1" applyBorder="1" applyAlignment="1">
      <alignment horizontal="center" vertical="center"/>
    </xf>
    <xf numFmtId="9" fontId="0" fillId="0" borderId="105" xfId="0" applyNumberFormat="1" applyBorder="1" applyAlignment="1">
      <alignment horizontal="center" vertical="center"/>
    </xf>
    <xf numFmtId="9" fontId="0" fillId="0" borderId="106" xfId="0" applyNumberFormat="1" applyBorder="1" applyAlignment="1">
      <alignment horizontal="center" vertical="center"/>
    </xf>
    <xf numFmtId="0" fontId="18" fillId="0" borderId="58" xfId="0" applyFont="1" applyBorder="1" applyAlignment="1">
      <alignment horizontal="center" vertical="center" textRotation="90" wrapText="1"/>
    </xf>
    <xf numFmtId="0" fontId="18" fillId="0" borderId="105" xfId="0" applyFont="1" applyBorder="1" applyAlignment="1">
      <alignment horizontal="center" vertical="center" textRotation="90" wrapText="1"/>
    </xf>
    <xf numFmtId="0" fontId="18" fillId="0" borderId="106" xfId="0" applyFont="1" applyBorder="1" applyAlignment="1">
      <alignment horizontal="center" vertical="center" textRotation="90" wrapText="1"/>
    </xf>
    <xf numFmtId="0" fontId="18" fillId="0" borderId="58" xfId="0" applyFont="1" applyBorder="1" applyAlignment="1">
      <alignment horizontal="center" vertical="center" textRotation="90"/>
    </xf>
    <xf numFmtId="0" fontId="18" fillId="0" borderId="105" xfId="0" applyFont="1" applyBorder="1" applyAlignment="1">
      <alignment horizontal="center" vertical="center" textRotation="90"/>
    </xf>
    <xf numFmtId="0" fontId="18" fillId="0" borderId="106" xfId="0" applyFont="1" applyBorder="1" applyAlignment="1">
      <alignment horizontal="center" vertical="center" textRotation="90"/>
    </xf>
    <xf numFmtId="0" fontId="0" fillId="0" borderId="105" xfId="0" applyBorder="1" applyAlignment="1">
      <alignment horizontal="center" vertical="center" wrapText="1"/>
    </xf>
    <xf numFmtId="0" fontId="0" fillId="0" borderId="106" xfId="0" applyBorder="1" applyAlignment="1">
      <alignment horizontal="center" vertical="center" wrapText="1"/>
    </xf>
    <xf numFmtId="0" fontId="61" fillId="20" borderId="51" xfId="0" applyFont="1" applyFill="1" applyBorder="1" applyAlignment="1">
      <alignment horizontal="center" wrapText="1"/>
    </xf>
    <xf numFmtId="0" fontId="61" fillId="20" borderId="51" xfId="0" applyFont="1" applyFill="1" applyBorder="1" applyAlignment="1">
      <alignment horizontal="center"/>
    </xf>
    <xf numFmtId="0" fontId="61" fillId="20" borderId="52" xfId="0" applyFont="1" applyFill="1" applyBorder="1" applyAlignment="1">
      <alignment horizontal="center"/>
    </xf>
    <xf numFmtId="0" fontId="18" fillId="21" borderId="58" xfId="0" applyFont="1" applyFill="1" applyBorder="1" applyAlignment="1">
      <alignment horizontal="center" vertical="center" wrapText="1"/>
    </xf>
    <xf numFmtId="0" fontId="3" fillId="20" borderId="59" xfId="0" applyFont="1" applyFill="1" applyBorder="1"/>
    <xf numFmtId="0" fontId="0" fillId="0" borderId="58" xfId="0" applyBorder="1" applyAlignment="1">
      <alignment horizontal="center" vertical="center" wrapText="1"/>
    </xf>
    <xf numFmtId="0" fontId="18" fillId="19" borderId="58" xfId="0" applyFont="1" applyFill="1" applyBorder="1" applyAlignment="1">
      <alignment horizontal="center" vertical="center" wrapText="1"/>
    </xf>
    <xf numFmtId="0" fontId="3" fillId="18" borderId="59" xfId="0" applyFont="1" applyFill="1" applyBorder="1"/>
    <xf numFmtId="0" fontId="61" fillId="18" borderId="51" xfId="0" applyFont="1" applyFill="1" applyBorder="1" applyAlignment="1">
      <alignment horizontal="center" wrapText="1"/>
    </xf>
    <xf numFmtId="0" fontId="61" fillId="18" borderId="51" xfId="0" applyFont="1" applyFill="1" applyBorder="1" applyAlignment="1">
      <alignment horizontal="center"/>
    </xf>
    <xf numFmtId="0" fontId="61" fillId="18" borderId="52" xfId="0" applyFont="1" applyFill="1" applyBorder="1" applyAlignment="1">
      <alignment horizontal="center"/>
    </xf>
    <xf numFmtId="0" fontId="18" fillId="4" borderId="50" xfId="0" applyFont="1" applyFill="1" applyBorder="1" applyAlignment="1">
      <alignment horizontal="center" vertical="center"/>
    </xf>
    <xf numFmtId="0" fontId="18" fillId="4" borderId="51" xfId="0" applyFont="1" applyFill="1" applyBorder="1" applyAlignment="1">
      <alignment horizontal="center" vertical="center"/>
    </xf>
    <xf numFmtId="0" fontId="18" fillId="4" borderId="58" xfId="0" applyFont="1" applyFill="1" applyBorder="1" applyAlignment="1">
      <alignment horizontal="center" vertical="center" wrapText="1"/>
    </xf>
    <xf numFmtId="0" fontId="3" fillId="0" borderId="59" xfId="0" applyFont="1" applyBorder="1"/>
    <xf numFmtId="0" fontId="18" fillId="0" borderId="58" xfId="0" applyFont="1" applyBorder="1" applyAlignment="1">
      <alignment horizontal="center" vertical="center" wrapText="1"/>
    </xf>
    <xf numFmtId="0" fontId="3" fillId="0" borderId="105" xfId="0" applyFont="1" applyBorder="1"/>
    <xf numFmtId="0" fontId="3" fillId="0" borderId="106" xfId="0" applyFont="1" applyBorder="1"/>
    <xf numFmtId="9" fontId="0" fillId="0" borderId="58" xfId="0" applyNumberFormat="1" applyBorder="1" applyAlignment="1">
      <alignment horizontal="center" vertical="center" wrapText="1"/>
    </xf>
    <xf numFmtId="0" fontId="18" fillId="0" borderId="58" xfId="0" applyFont="1" applyBorder="1" applyAlignment="1">
      <alignment horizontal="center" vertical="center"/>
    </xf>
    <xf numFmtId="0" fontId="0" fillId="0" borderId="58" xfId="0" applyBorder="1" applyAlignment="1">
      <alignment horizontal="left" vertical="center" wrapText="1"/>
    </xf>
    <xf numFmtId="0" fontId="62" fillId="0" borderId="58" xfId="0" applyFont="1" applyBorder="1" applyAlignment="1">
      <alignment horizontal="left" vertical="center" wrapText="1"/>
    </xf>
    <xf numFmtId="0" fontId="20" fillId="0" borderId="58" xfId="0" applyFont="1" applyBorder="1" applyAlignment="1">
      <alignment horizontal="left" vertical="center" wrapText="1"/>
    </xf>
    <xf numFmtId="0" fontId="0" fillId="2" borderId="54" xfId="0" applyFill="1" applyBorder="1" applyAlignment="1">
      <alignment horizontal="left" vertical="center"/>
    </xf>
    <xf numFmtId="0" fontId="3" fillId="0" borderId="55" xfId="0" applyFont="1" applyBorder="1"/>
    <xf numFmtId="0" fontId="16" fillId="5" borderId="50" xfId="0" applyFont="1" applyFill="1" applyBorder="1" applyAlignment="1">
      <alignment horizontal="left" vertical="center"/>
    </xf>
    <xf numFmtId="0" fontId="3" fillId="0" borderId="52" xfId="0" applyFont="1" applyBorder="1"/>
    <xf numFmtId="0" fontId="17" fillId="2" borderId="50" xfId="0" applyFont="1" applyFill="1" applyBorder="1" applyAlignment="1">
      <alignment horizontal="left" wrapText="1"/>
    </xf>
    <xf numFmtId="0" fontId="3" fillId="0" borderId="51" xfId="0" applyFont="1" applyBorder="1"/>
    <xf numFmtId="0" fontId="16" fillId="5" borderId="56" xfId="0" applyFont="1" applyFill="1" applyBorder="1" applyAlignment="1">
      <alignment horizontal="left" vertical="center"/>
    </xf>
    <xf numFmtId="0" fontId="3" fillId="0" borderId="57" xfId="0" applyFont="1" applyBorder="1"/>
    <xf numFmtId="0" fontId="0" fillId="0" borderId="50" xfId="0" applyBorder="1" applyAlignment="1">
      <alignment horizontal="left" vertical="center" wrapText="1"/>
    </xf>
    <xf numFmtId="0" fontId="18" fillId="7" borderId="58" xfId="0" applyFont="1" applyFill="1" applyBorder="1" applyAlignment="1">
      <alignment horizontal="center" vertical="center" textRotation="90" wrapText="1"/>
    </xf>
    <xf numFmtId="0" fontId="18" fillId="7" borderId="58" xfId="0" applyFont="1" applyFill="1" applyBorder="1" applyAlignment="1">
      <alignment horizontal="center" vertical="center" wrapText="1"/>
    </xf>
    <xf numFmtId="9" fontId="3" fillId="0" borderId="58" xfId="0" applyNumberFormat="1" applyFont="1" applyBorder="1" applyAlignment="1">
      <alignment horizontal="center" vertical="center" wrapText="1"/>
    </xf>
    <xf numFmtId="0" fontId="18" fillId="6" borderId="58" xfId="0" applyFont="1" applyFill="1" applyBorder="1" applyAlignment="1">
      <alignment horizontal="center" vertical="center" wrapText="1"/>
    </xf>
    <xf numFmtId="0" fontId="18" fillId="6" borderId="58" xfId="0" applyFont="1" applyFill="1" applyBorder="1" applyAlignment="1">
      <alignment horizontal="center" vertical="center"/>
    </xf>
    <xf numFmtId="0" fontId="18" fillId="6" borderId="58" xfId="0" applyFont="1" applyFill="1" applyBorder="1" applyAlignment="1">
      <alignment horizontal="center" vertical="center" textRotation="90" wrapText="1"/>
    </xf>
    <xf numFmtId="0" fontId="18" fillId="7" borderId="50" xfId="0" applyFont="1" applyFill="1" applyBorder="1" applyAlignment="1">
      <alignment horizontal="center" vertical="center"/>
    </xf>
    <xf numFmtId="0" fontId="18" fillId="6" borderId="50" xfId="0" applyFont="1" applyFill="1" applyBorder="1" applyAlignment="1">
      <alignment horizontal="center" vertical="center"/>
    </xf>
    <xf numFmtId="0" fontId="17" fillId="2" borderId="56" xfId="0" applyFont="1" applyFill="1" applyBorder="1" applyAlignment="1">
      <alignment horizontal="left" vertical="center" wrapText="1"/>
    </xf>
    <xf numFmtId="0" fontId="12" fillId="0" borderId="43" xfId="0" applyFont="1" applyBorder="1" applyAlignment="1">
      <alignment horizontal="center" vertical="center"/>
    </xf>
    <xf numFmtId="0" fontId="3" fillId="0" borderId="44" xfId="0" applyFont="1" applyBorder="1"/>
    <xf numFmtId="0" fontId="3" fillId="0" borderId="45" xfId="0" applyFont="1" applyBorder="1"/>
    <xf numFmtId="0" fontId="3" fillId="0" borderId="46" xfId="0" applyFont="1" applyBorder="1"/>
    <xf numFmtId="0" fontId="3" fillId="0" borderId="47" xfId="0" applyFont="1" applyBorder="1"/>
    <xf numFmtId="0" fontId="3" fillId="0" borderId="48" xfId="0" applyFont="1" applyBorder="1"/>
    <xf numFmtId="0" fontId="3" fillId="0" borderId="49" xfId="0" applyFont="1" applyBorder="1"/>
    <xf numFmtId="0" fontId="65" fillId="22" borderId="43" xfId="0" applyFont="1" applyFill="1" applyBorder="1" applyAlignment="1">
      <alignment horizontal="center" vertical="center" wrapText="1"/>
    </xf>
    <xf numFmtId="0" fontId="3" fillId="23" borderId="44" xfId="0" applyFont="1" applyFill="1" applyBorder="1"/>
    <xf numFmtId="0" fontId="3" fillId="23" borderId="45" xfId="0" applyFont="1" applyFill="1" applyBorder="1"/>
    <xf numFmtId="0" fontId="3" fillId="23" borderId="48" xfId="0" applyFont="1" applyFill="1" applyBorder="1"/>
    <xf numFmtId="0" fontId="3" fillId="23" borderId="11" xfId="0" applyFont="1" applyFill="1" applyBorder="1"/>
    <xf numFmtId="0" fontId="3" fillId="23" borderId="49" xfId="0" applyFont="1" applyFill="1" applyBorder="1"/>
    <xf numFmtId="0" fontId="18" fillId="0" borderId="50" xfId="0" applyFont="1" applyBorder="1" applyAlignment="1">
      <alignment horizontal="center" vertical="center" wrapText="1"/>
    </xf>
    <xf numFmtId="0" fontId="65" fillId="0" borderId="50" xfId="0" applyFont="1" applyBorder="1" applyAlignment="1">
      <alignment horizontal="center" vertical="center" wrapText="1"/>
    </xf>
    <xf numFmtId="0" fontId="18" fillId="7" borderId="50" xfId="0" applyFont="1" applyFill="1" applyBorder="1" applyAlignment="1">
      <alignment horizontal="center" vertical="center" wrapText="1"/>
    </xf>
    <xf numFmtId="0" fontId="19" fillId="24" borderId="58" xfId="0" applyFont="1" applyFill="1" applyBorder="1" applyAlignment="1">
      <alignment horizontal="center" vertical="center" textRotation="90"/>
    </xf>
    <xf numFmtId="0" fontId="3" fillId="23" borderId="59" xfId="0" applyFont="1" applyFill="1" applyBorder="1"/>
    <xf numFmtId="0" fontId="18" fillId="24" borderId="58" xfId="0" applyFont="1" applyFill="1" applyBorder="1" applyAlignment="1">
      <alignment horizontal="center" vertical="center"/>
    </xf>
    <xf numFmtId="0" fontId="18" fillId="24" borderId="58" xfId="0" applyFont="1" applyFill="1" applyBorder="1" applyAlignment="1">
      <alignment horizontal="center" vertical="center" wrapText="1"/>
    </xf>
    <xf numFmtId="0" fontId="18" fillId="24" borderId="50" xfId="0" applyFont="1" applyFill="1" applyBorder="1" applyAlignment="1">
      <alignment horizontal="center" vertical="center"/>
    </xf>
    <xf numFmtId="0" fontId="3" fillId="23" borderId="51" xfId="0" applyFont="1" applyFill="1" applyBorder="1"/>
    <xf numFmtId="0" fontId="3" fillId="23" borderId="52" xfId="0" applyFont="1" applyFill="1" applyBorder="1"/>
    <xf numFmtId="0" fontId="17" fillId="2" borderId="50" xfId="0" applyFont="1" applyFill="1" applyBorder="1" applyAlignment="1">
      <alignment horizontal="left" vertical="center"/>
    </xf>
    <xf numFmtId="0" fontId="24" fillId="12" borderId="62" xfId="0" applyFont="1" applyFill="1" applyBorder="1" applyAlignment="1">
      <alignment horizontal="center" wrapText="1" readingOrder="1"/>
    </xf>
    <xf numFmtId="0" fontId="3" fillId="0" borderId="70" xfId="0" applyFont="1" applyBorder="1"/>
    <xf numFmtId="0" fontId="3" fillId="0" borderId="67" xfId="0" applyFont="1" applyBorder="1"/>
    <xf numFmtId="0" fontId="3" fillId="0" borderId="80" xfId="0" applyFont="1" applyBorder="1"/>
    <xf numFmtId="0" fontId="24" fillId="12" borderId="75" xfId="0" applyFont="1" applyFill="1" applyBorder="1" applyAlignment="1">
      <alignment horizontal="center" wrapText="1" readingOrder="1"/>
    </xf>
    <xf numFmtId="0" fontId="3" fillId="0" borderId="74" xfId="0" applyFont="1" applyBorder="1"/>
    <xf numFmtId="0" fontId="3" fillId="0" borderId="69" xfId="0" applyFont="1" applyBorder="1"/>
    <xf numFmtId="0" fontId="3" fillId="0" borderId="73" xfId="0" applyFont="1" applyBorder="1"/>
    <xf numFmtId="0" fontId="24" fillId="10" borderId="71" xfId="0" applyFont="1" applyFill="1" applyBorder="1" applyAlignment="1">
      <alignment horizontal="center" vertical="center" wrapText="1" readingOrder="1"/>
    </xf>
    <xf numFmtId="0" fontId="3" fillId="0" borderId="79" xfId="0" applyFont="1" applyBorder="1"/>
    <xf numFmtId="0" fontId="24" fillId="10" borderId="75" xfId="0" applyFont="1" applyFill="1" applyBorder="1" applyAlignment="1">
      <alignment horizontal="center" vertical="center" wrapText="1" readingOrder="1"/>
    </xf>
    <xf numFmtId="0" fontId="24" fillId="11" borderId="75" xfId="0" applyFont="1" applyFill="1" applyBorder="1" applyAlignment="1">
      <alignment horizontal="center" wrapText="1" readingOrder="1"/>
    </xf>
    <xf numFmtId="0" fontId="24" fillId="4" borderId="62" xfId="0" applyFont="1" applyFill="1" applyBorder="1" applyAlignment="1">
      <alignment horizontal="center" wrapText="1" readingOrder="1"/>
    </xf>
    <xf numFmtId="0" fontId="3" fillId="0" borderId="64" xfId="0" applyFont="1" applyBorder="1"/>
    <xf numFmtId="0" fontId="24" fillId="12" borderId="83" xfId="0" applyFont="1" applyFill="1" applyBorder="1" applyAlignment="1">
      <alignment horizontal="center" wrapText="1" readingOrder="1"/>
    </xf>
    <xf numFmtId="0" fontId="24" fillId="10" borderId="83" xfId="0" applyFont="1" applyFill="1" applyBorder="1" applyAlignment="1">
      <alignment horizontal="center" vertical="center" wrapText="1" readingOrder="1"/>
    </xf>
    <xf numFmtId="0" fontId="24" fillId="10" borderId="62" xfId="0" applyFont="1" applyFill="1" applyBorder="1" applyAlignment="1">
      <alignment horizontal="center" vertical="center" wrapText="1" readingOrder="1"/>
    </xf>
    <xf numFmtId="0" fontId="24" fillId="11" borderId="83" xfId="0" applyFont="1" applyFill="1" applyBorder="1" applyAlignment="1">
      <alignment horizontal="center" wrapText="1" readingOrder="1"/>
    </xf>
    <xf numFmtId="0" fontId="24" fillId="11" borderId="62" xfId="0" applyFont="1" applyFill="1" applyBorder="1" applyAlignment="1">
      <alignment horizontal="center" wrapText="1" readingOrder="1"/>
    </xf>
    <xf numFmtId="0" fontId="24" fillId="12" borderId="71" xfId="0" applyFont="1" applyFill="1" applyBorder="1" applyAlignment="1">
      <alignment horizontal="center" wrapText="1" readingOrder="1"/>
    </xf>
    <xf numFmtId="0" fontId="23" fillId="0" borderId="71" xfId="0" applyFont="1" applyBorder="1" applyAlignment="1">
      <alignment horizontal="center" vertical="center" wrapText="1"/>
    </xf>
    <xf numFmtId="0" fontId="3" fillId="0" borderId="72" xfId="0" applyFont="1" applyBorder="1"/>
    <xf numFmtId="0" fontId="3" fillId="0" borderId="84" xfId="0" applyFont="1" applyBorder="1"/>
    <xf numFmtId="0" fontId="3" fillId="0" borderId="85" xfId="0" applyFont="1" applyBorder="1"/>
    <xf numFmtId="0" fontId="3" fillId="0" borderId="87" xfId="0" applyFont="1" applyBorder="1"/>
    <xf numFmtId="0" fontId="3" fillId="0" borderId="88" xfId="0" applyFont="1" applyBorder="1"/>
    <xf numFmtId="0" fontId="3" fillId="0" borderId="86" xfId="0" applyFont="1" applyBorder="1"/>
    <xf numFmtId="0" fontId="24" fillId="11" borderId="71" xfId="0" applyFont="1" applyFill="1" applyBorder="1" applyAlignment="1">
      <alignment horizontal="center" wrapText="1" readingOrder="1"/>
    </xf>
    <xf numFmtId="0" fontId="24" fillId="4" borderId="83" xfId="0" applyFont="1" applyFill="1" applyBorder="1" applyAlignment="1">
      <alignment horizontal="center" wrapText="1" readingOrder="1"/>
    </xf>
    <xf numFmtId="0" fontId="21" fillId="0" borderId="0" xfId="0" applyFont="1" applyAlignment="1">
      <alignment horizontal="center" vertical="center" wrapText="1"/>
    </xf>
    <xf numFmtId="0" fontId="22" fillId="9" borderId="62" xfId="0" applyFont="1" applyFill="1" applyBorder="1" applyAlignment="1">
      <alignment horizontal="center" vertical="center" wrapText="1" readingOrder="1"/>
    </xf>
    <xf numFmtId="0" fontId="3" fillId="0" borderId="63" xfId="0" applyFont="1" applyBorder="1"/>
    <xf numFmtId="0" fontId="3" fillId="0" borderId="65" xfId="0" applyFont="1" applyBorder="1"/>
    <xf numFmtId="0" fontId="3" fillId="0" borderId="66" xfId="0" applyFont="1" applyBorder="1"/>
    <xf numFmtId="0" fontId="3" fillId="0" borderId="68" xfId="0" applyFont="1" applyBorder="1"/>
    <xf numFmtId="0" fontId="22" fillId="9" borderId="62" xfId="0" applyFont="1" applyFill="1" applyBorder="1" applyAlignment="1">
      <alignment horizontal="center" vertical="center" textRotation="90" wrapText="1" readingOrder="1"/>
    </xf>
    <xf numFmtId="0" fontId="24" fillId="4" borderId="75" xfId="0" applyFont="1" applyFill="1" applyBorder="1" applyAlignment="1">
      <alignment horizontal="center" wrapText="1" readingOrder="1"/>
    </xf>
    <xf numFmtId="0" fontId="24" fillId="4" borderId="71" xfId="0" applyFont="1" applyFill="1" applyBorder="1" applyAlignment="1">
      <alignment horizontal="center" wrapText="1" readingOrder="1"/>
    </xf>
    <xf numFmtId="0" fontId="25" fillId="11" borderId="76" xfId="0" applyFont="1" applyFill="1" applyBorder="1" applyAlignment="1">
      <alignment horizontal="center" vertical="center" wrapText="1" readingOrder="1"/>
    </xf>
    <xf numFmtId="0" fontId="3" fillId="0" borderId="77" xfId="0" applyFont="1" applyBorder="1"/>
    <xf numFmtId="0" fontId="3" fillId="0" borderId="78" xfId="0" applyFont="1" applyBorder="1"/>
    <xf numFmtId="0" fontId="3" fillId="0" borderId="81" xfId="0" applyFont="1" applyBorder="1"/>
    <xf numFmtId="0" fontId="3" fillId="0" borderId="82" xfId="0" applyFont="1" applyBorder="1"/>
    <xf numFmtId="0" fontId="3" fillId="0" borderId="89" xfId="0" applyFont="1" applyBorder="1"/>
    <xf numFmtId="0" fontId="3" fillId="0" borderId="90" xfId="0" applyFont="1" applyBorder="1"/>
    <xf numFmtId="0" fontId="3" fillId="0" borderId="91" xfId="0" applyFont="1" applyBorder="1"/>
    <xf numFmtId="0" fontId="25" fillId="4" borderId="76" xfId="0" applyFont="1" applyFill="1" applyBorder="1" applyAlignment="1">
      <alignment horizontal="center" vertical="center" wrapText="1" readingOrder="1"/>
    </xf>
    <xf numFmtId="0" fontId="25" fillId="10" borderId="76" xfId="0" applyFont="1" applyFill="1" applyBorder="1" applyAlignment="1">
      <alignment horizontal="center" vertical="center" wrapText="1" readingOrder="1"/>
    </xf>
    <xf numFmtId="0" fontId="25" fillId="12" borderId="76" xfId="0" applyFont="1" applyFill="1" applyBorder="1" applyAlignment="1">
      <alignment horizontal="center" vertical="center" wrapText="1" readingOrder="1"/>
    </xf>
    <xf numFmtId="0" fontId="27" fillId="0" borderId="0" xfId="0" applyFont="1" applyAlignment="1">
      <alignment horizontal="center" vertical="center" wrapText="1"/>
    </xf>
    <xf numFmtId="0" fontId="28" fillId="0" borderId="71" xfId="0" applyFont="1" applyBorder="1" applyAlignment="1">
      <alignment horizontal="center" vertical="center" wrapText="1"/>
    </xf>
    <xf numFmtId="0" fontId="30" fillId="10" borderId="76" xfId="0" applyFont="1" applyFill="1" applyBorder="1" applyAlignment="1">
      <alignment horizontal="center" vertical="center" wrapText="1" readingOrder="1"/>
    </xf>
    <xf numFmtId="0" fontId="30" fillId="12" borderId="76" xfId="0" applyFont="1" applyFill="1" applyBorder="1" applyAlignment="1">
      <alignment horizontal="center" vertical="center" wrapText="1" readingOrder="1"/>
    </xf>
    <xf numFmtId="0" fontId="30" fillId="11" borderId="76" xfId="0" applyFont="1" applyFill="1" applyBorder="1" applyAlignment="1">
      <alignment horizontal="center" vertical="center" wrapText="1" readingOrder="1"/>
    </xf>
    <xf numFmtId="0" fontId="30" fillId="4" borderId="76" xfId="0" applyFont="1" applyFill="1" applyBorder="1" applyAlignment="1">
      <alignment horizontal="center" vertical="center" wrapText="1" readingOrder="1"/>
    </xf>
    <xf numFmtId="0" fontId="32" fillId="0" borderId="0" xfId="0" applyFont="1" applyAlignment="1">
      <alignment horizontal="center" vertical="center"/>
    </xf>
    <xf numFmtId="0" fontId="37" fillId="0" borderId="0" xfId="0" applyFont="1" applyAlignment="1">
      <alignment horizontal="center" vertical="center"/>
    </xf>
    <xf numFmtId="0" fontId="54" fillId="2" borderId="54" xfId="0" applyFont="1" applyFill="1" applyBorder="1" applyAlignment="1">
      <alignment horizontal="left" vertical="center" wrapText="1"/>
    </xf>
    <xf numFmtId="0" fontId="52" fillId="2" borderId="58" xfId="0" applyFont="1" applyFill="1" applyBorder="1" applyAlignment="1">
      <alignment horizontal="center" vertical="center" wrapText="1" readingOrder="1"/>
    </xf>
    <xf numFmtId="0" fontId="3" fillId="0" borderId="113" xfId="0" applyFont="1" applyBorder="1"/>
    <xf numFmtId="0" fontId="50" fillId="17" borderId="98" xfId="0" applyFont="1" applyFill="1" applyBorder="1" applyAlignment="1">
      <alignment horizontal="center" vertical="center" wrapText="1" readingOrder="1"/>
    </xf>
    <xf numFmtId="0" fontId="3" fillId="0" borderId="99" xfId="0" applyFont="1" applyBorder="1"/>
    <xf numFmtId="0" fontId="3" fillId="0" borderId="100" xfId="0" applyFont="1" applyBorder="1"/>
    <xf numFmtId="0" fontId="52" fillId="17" borderId="98" xfId="0" applyFont="1" applyFill="1" applyBorder="1" applyAlignment="1">
      <alignment horizontal="center" vertical="center" wrapText="1" readingOrder="1"/>
    </xf>
    <xf numFmtId="0" fontId="3" fillId="0" borderId="101" xfId="0" applyFont="1" applyBorder="1"/>
    <xf numFmtId="0" fontId="52" fillId="2" borderId="104" xfId="0" applyFont="1" applyFill="1" applyBorder="1" applyAlignment="1">
      <alignment horizontal="center" vertical="center" wrapText="1" readingOrder="1"/>
    </xf>
    <xf numFmtId="0" fontId="3" fillId="0" borderId="108" xfId="0" applyFont="1" applyBorder="1"/>
    <xf numFmtId="0" fontId="3" fillId="0" borderId="110" xfId="0" applyFont="1" applyBorder="1"/>
    <xf numFmtId="0" fontId="52" fillId="2" borderId="105" xfId="0" applyFont="1" applyFill="1" applyBorder="1" applyAlignment="1">
      <alignment horizontal="center" vertical="center" wrapText="1" readingOrder="1"/>
    </xf>
    <xf numFmtId="0" fontId="3" fillId="0" borderId="61" xfId="0" applyFont="1" applyBorder="1"/>
    <xf numFmtId="0" fontId="52" fillId="2" borderId="111" xfId="0" applyFont="1" applyFill="1" applyBorder="1" applyAlignment="1">
      <alignment horizontal="center" vertical="center" wrapText="1" readingOrder="1"/>
    </xf>
    <xf numFmtId="0" fontId="3" fillId="0" borderId="112" xfId="0" applyFont="1" applyBorder="1"/>
  </cellXfs>
  <cellStyles count="1">
    <cellStyle name="Normal" xfId="0" builtinId="0"/>
  </cellStyles>
  <dxfs count="50">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49"/>
      <tableStyleElement type="firstRowStripe" dxfId="48"/>
      <tableStyleElement type="secondRowStripe" dxfId="4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163286</xdr:colOff>
      <xdr:row>2</xdr:row>
      <xdr:rowOff>13607</xdr:rowOff>
    </xdr:from>
    <xdr:to>
      <xdr:col>2</xdr:col>
      <xdr:colOff>798286</xdr:colOff>
      <xdr:row>3</xdr:row>
      <xdr:rowOff>713145</xdr:rowOff>
    </xdr:to>
    <xdr:pic>
      <xdr:nvPicPr>
        <xdr:cNvPr id="3" name="Imagen 2">
          <a:extLst>
            <a:ext uri="{FF2B5EF4-FFF2-40B4-BE49-F238E27FC236}">
              <a16:creationId xmlns:a16="http://schemas.microsoft.com/office/drawing/2014/main" id="{AC3691F3-1A34-4546-8143-8A0F5C170A08}"/>
            </a:ext>
          </a:extLst>
        </xdr:cNvPr>
        <xdr:cNvPicPr>
          <a:picLocks noChangeAspect="1"/>
        </xdr:cNvPicPr>
      </xdr:nvPicPr>
      <xdr:blipFill>
        <a:blip xmlns:r="http://schemas.openxmlformats.org/officeDocument/2006/relationships" r:embed="rId1"/>
        <a:stretch>
          <a:fillRect/>
        </a:stretch>
      </xdr:blipFill>
      <xdr:spPr>
        <a:xfrm>
          <a:off x="163286" y="421821"/>
          <a:ext cx="1846036" cy="9036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40.150\compartida\SGC%20CONCEJO%20CHIA%202025\6.%20Riesgos%20y%20oportunidades\Riesgos%20Control%20Pol&#237;tico\Matriz_mapa_riesgos%20Concejo%20de%20Ch&#237;a%20-%20Control%20Pol&#237;tico-%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refreshError="1"/>
      <sheetData sheetId="1" refreshError="1"/>
      <sheetData sheetId="2" refreshError="1"/>
      <sheetData sheetId="3" refreshError="1"/>
      <sheetData sheetId="4" refreshError="1"/>
      <sheetData sheetId="5" refreshError="1">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sheetData>
      <sheetData sheetId="6" refreshError="1"/>
      <sheetData sheetId="7" refreshError="1"/>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7" zoomScale="130" zoomScaleNormal="130" workbookViewId="0">
      <selection activeCell="E21" sqref="E21:F21"/>
    </sheetView>
  </sheetViews>
  <sheetFormatPr baseColWidth="10" defaultColWidth="12.625" defaultRowHeight="15" customHeight="1" x14ac:dyDescent="0.2"/>
  <cols>
    <col min="1" max="1" width="2.5" customWidth="1"/>
    <col min="2" max="3" width="21.625" customWidth="1"/>
    <col min="4" max="4" width="14" customWidth="1"/>
    <col min="5" max="5" width="21.625" customWidth="1"/>
    <col min="6" max="6" width="24.25" customWidth="1"/>
    <col min="7" max="8" width="21.625" customWidth="1"/>
    <col min="9" max="26" width="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40" t="s">
        <v>0</v>
      </c>
      <c r="C2" s="141"/>
      <c r="D2" s="141"/>
      <c r="E2" s="141"/>
      <c r="F2" s="141"/>
      <c r="G2" s="141"/>
      <c r="H2" s="142"/>
      <c r="I2" s="1"/>
      <c r="J2" s="1"/>
      <c r="K2" s="1"/>
      <c r="L2" s="1"/>
      <c r="M2" s="1"/>
      <c r="N2" s="1"/>
      <c r="O2" s="1"/>
      <c r="P2" s="1"/>
      <c r="Q2" s="1"/>
      <c r="R2" s="1"/>
      <c r="S2" s="1"/>
      <c r="T2" s="1"/>
      <c r="U2" s="1"/>
      <c r="V2" s="1"/>
      <c r="W2" s="1"/>
      <c r="X2" s="1"/>
      <c r="Y2" s="1"/>
      <c r="Z2" s="1"/>
    </row>
    <row r="3" spans="1:26" x14ac:dyDescent="0.25">
      <c r="A3" s="1"/>
      <c r="B3" s="2"/>
      <c r="C3" s="3"/>
      <c r="D3" s="3"/>
      <c r="E3" s="3"/>
      <c r="F3" s="3"/>
      <c r="G3" s="3"/>
      <c r="H3" s="4"/>
      <c r="I3" s="1"/>
      <c r="J3" s="1"/>
      <c r="K3" s="1"/>
      <c r="L3" s="1"/>
      <c r="M3" s="1"/>
      <c r="N3" s="1"/>
      <c r="O3" s="1"/>
      <c r="P3" s="1"/>
      <c r="Q3" s="1"/>
      <c r="R3" s="1"/>
      <c r="S3" s="1"/>
      <c r="T3" s="1"/>
      <c r="U3" s="1"/>
      <c r="V3" s="1"/>
      <c r="W3" s="1"/>
      <c r="X3" s="1"/>
      <c r="Y3" s="1"/>
      <c r="Z3" s="1"/>
    </row>
    <row r="4" spans="1:26" ht="63" customHeight="1" x14ac:dyDescent="0.25">
      <c r="A4" s="1"/>
      <c r="B4" s="143" t="s">
        <v>1</v>
      </c>
      <c r="C4" s="144"/>
      <c r="D4" s="144"/>
      <c r="E4" s="144"/>
      <c r="F4" s="144"/>
      <c r="G4" s="144"/>
      <c r="H4" s="145"/>
      <c r="I4" s="1"/>
      <c r="J4" s="1"/>
      <c r="K4" s="1"/>
      <c r="L4" s="1"/>
      <c r="M4" s="1"/>
      <c r="N4" s="1"/>
      <c r="O4" s="1"/>
      <c r="P4" s="1"/>
      <c r="Q4" s="1"/>
      <c r="R4" s="1"/>
      <c r="S4" s="1"/>
      <c r="T4" s="1"/>
      <c r="U4" s="1"/>
      <c r="V4" s="1"/>
      <c r="W4" s="1"/>
      <c r="X4" s="1"/>
      <c r="Y4" s="1"/>
      <c r="Z4" s="1"/>
    </row>
    <row r="5" spans="1:26" ht="63" customHeight="1" x14ac:dyDescent="0.25">
      <c r="A5" s="1"/>
      <c r="B5" s="146"/>
      <c r="C5" s="147"/>
      <c r="D5" s="147"/>
      <c r="E5" s="147"/>
      <c r="F5" s="147"/>
      <c r="G5" s="147"/>
      <c r="H5" s="148"/>
      <c r="I5" s="1"/>
      <c r="J5" s="1"/>
      <c r="K5" s="1"/>
      <c r="L5" s="1"/>
      <c r="M5" s="1"/>
      <c r="N5" s="1"/>
      <c r="O5" s="1"/>
      <c r="P5" s="1"/>
      <c r="Q5" s="1"/>
      <c r="R5" s="1"/>
      <c r="S5" s="1"/>
      <c r="T5" s="1"/>
      <c r="U5" s="1"/>
      <c r="V5" s="1"/>
      <c r="W5" s="1"/>
      <c r="X5" s="1"/>
      <c r="Y5" s="1"/>
      <c r="Z5" s="1"/>
    </row>
    <row r="6" spans="1:26" x14ac:dyDescent="0.25">
      <c r="A6" s="1"/>
      <c r="B6" s="149" t="s">
        <v>2</v>
      </c>
      <c r="C6" s="150"/>
      <c r="D6" s="150"/>
      <c r="E6" s="150"/>
      <c r="F6" s="150"/>
      <c r="G6" s="150"/>
      <c r="H6" s="151"/>
      <c r="I6" s="1"/>
      <c r="J6" s="1"/>
      <c r="K6" s="1"/>
      <c r="L6" s="1"/>
      <c r="M6" s="1"/>
      <c r="N6" s="1"/>
      <c r="O6" s="1"/>
      <c r="P6" s="1"/>
      <c r="Q6" s="1"/>
      <c r="R6" s="1"/>
      <c r="S6" s="1"/>
      <c r="T6" s="1"/>
      <c r="U6" s="1"/>
      <c r="V6" s="1"/>
      <c r="W6" s="1"/>
      <c r="X6" s="1"/>
      <c r="Y6" s="1"/>
      <c r="Z6" s="1"/>
    </row>
    <row r="7" spans="1:26" ht="95.25" customHeight="1" x14ac:dyDescent="0.25">
      <c r="A7" s="1"/>
      <c r="B7" s="152" t="s">
        <v>3</v>
      </c>
      <c r="C7" s="153"/>
      <c r="D7" s="153"/>
      <c r="E7" s="153"/>
      <c r="F7" s="153"/>
      <c r="G7" s="153"/>
      <c r="H7" s="154"/>
      <c r="I7" s="1"/>
      <c r="J7" s="1"/>
      <c r="K7" s="1"/>
      <c r="L7" s="1"/>
      <c r="M7" s="1"/>
      <c r="N7" s="1"/>
      <c r="O7" s="1"/>
      <c r="P7" s="1"/>
      <c r="Q7" s="1"/>
      <c r="R7" s="1"/>
      <c r="S7" s="1"/>
      <c r="T7" s="1"/>
      <c r="U7" s="1"/>
      <c r="V7" s="1"/>
      <c r="W7" s="1"/>
      <c r="X7" s="1"/>
      <c r="Y7" s="1"/>
      <c r="Z7" s="1"/>
    </row>
    <row r="8" spans="1:26" ht="16.5" x14ac:dyDescent="0.25">
      <c r="A8" s="1"/>
      <c r="B8" s="5"/>
      <c r="C8" s="6"/>
      <c r="D8" s="6"/>
      <c r="E8" s="6"/>
      <c r="F8" s="6"/>
      <c r="G8" s="6"/>
      <c r="H8" s="7"/>
      <c r="I8" s="1"/>
      <c r="J8" s="1"/>
      <c r="K8" s="1"/>
      <c r="L8" s="1"/>
      <c r="M8" s="1"/>
      <c r="N8" s="1"/>
      <c r="O8" s="1"/>
      <c r="P8" s="1"/>
      <c r="Q8" s="1"/>
      <c r="R8" s="1"/>
      <c r="S8" s="1"/>
      <c r="T8" s="1"/>
      <c r="U8" s="1"/>
      <c r="V8" s="1"/>
      <c r="W8" s="1"/>
      <c r="X8" s="1"/>
      <c r="Y8" s="1"/>
      <c r="Z8" s="1"/>
    </row>
    <row r="9" spans="1:26" ht="16.5" customHeight="1" x14ac:dyDescent="0.25">
      <c r="A9" s="1"/>
      <c r="B9" s="155" t="s">
        <v>4</v>
      </c>
      <c r="C9" s="144"/>
      <c r="D9" s="144"/>
      <c r="E9" s="144"/>
      <c r="F9" s="144"/>
      <c r="G9" s="144"/>
      <c r="H9" s="145"/>
      <c r="I9" s="1"/>
      <c r="J9" s="1"/>
      <c r="K9" s="1"/>
      <c r="L9" s="1"/>
      <c r="M9" s="1"/>
      <c r="N9" s="1"/>
      <c r="O9" s="1"/>
      <c r="P9" s="1"/>
      <c r="Q9" s="1"/>
      <c r="R9" s="1"/>
      <c r="S9" s="1"/>
      <c r="T9" s="1"/>
      <c r="U9" s="1"/>
      <c r="V9" s="1"/>
      <c r="W9" s="1"/>
      <c r="X9" s="1"/>
      <c r="Y9" s="1"/>
      <c r="Z9" s="1"/>
    </row>
    <row r="10" spans="1:26" ht="44.25" customHeight="1" x14ac:dyDescent="0.25">
      <c r="A10" s="1"/>
      <c r="B10" s="156"/>
      <c r="C10" s="144"/>
      <c r="D10" s="144"/>
      <c r="E10" s="144"/>
      <c r="F10" s="144"/>
      <c r="G10" s="144"/>
      <c r="H10" s="145"/>
      <c r="I10" s="1"/>
      <c r="J10" s="1"/>
      <c r="K10" s="1"/>
      <c r="L10" s="1"/>
      <c r="M10" s="1"/>
      <c r="N10" s="1"/>
      <c r="O10" s="1"/>
      <c r="P10" s="1"/>
      <c r="Q10" s="1"/>
      <c r="R10" s="1"/>
      <c r="S10" s="1"/>
      <c r="T10" s="1"/>
      <c r="U10" s="1"/>
      <c r="V10" s="1"/>
      <c r="W10" s="1"/>
      <c r="X10" s="1"/>
      <c r="Y10" s="1"/>
      <c r="Z10" s="1"/>
    </row>
    <row r="11" spans="1:26" x14ac:dyDescent="0.25">
      <c r="A11" s="1"/>
      <c r="B11" s="8"/>
      <c r="C11" s="9"/>
      <c r="D11" s="10"/>
      <c r="E11" s="11"/>
      <c r="F11" s="11"/>
      <c r="G11" s="11"/>
      <c r="H11" s="12"/>
      <c r="I11" s="1"/>
      <c r="J11" s="1"/>
      <c r="K11" s="1"/>
      <c r="L11" s="1"/>
      <c r="M11" s="1"/>
      <c r="N11" s="1"/>
      <c r="O11" s="1"/>
      <c r="P11" s="1"/>
      <c r="Q11" s="1"/>
      <c r="R11" s="1"/>
      <c r="S11" s="1"/>
      <c r="T11" s="1"/>
      <c r="U11" s="1"/>
      <c r="V11" s="1"/>
      <c r="W11" s="1"/>
      <c r="X11" s="1"/>
      <c r="Y11" s="1"/>
      <c r="Z11" s="1"/>
    </row>
    <row r="12" spans="1:26" x14ac:dyDescent="0.25">
      <c r="A12" s="1"/>
      <c r="B12" s="8"/>
      <c r="C12" s="136" t="s">
        <v>5</v>
      </c>
      <c r="D12" s="137"/>
      <c r="E12" s="138" t="s">
        <v>6</v>
      </c>
      <c r="F12" s="139"/>
      <c r="G12" s="9"/>
      <c r="H12" s="12"/>
      <c r="I12" s="1"/>
      <c r="J12" s="1"/>
      <c r="K12" s="1"/>
      <c r="L12" s="1"/>
      <c r="M12" s="1"/>
      <c r="N12" s="1"/>
      <c r="O12" s="1"/>
      <c r="P12" s="1"/>
      <c r="Q12" s="1"/>
      <c r="R12" s="1"/>
      <c r="S12" s="1"/>
      <c r="T12" s="1"/>
      <c r="U12" s="1"/>
      <c r="V12" s="1"/>
      <c r="W12" s="1"/>
      <c r="X12" s="1"/>
      <c r="Y12" s="1"/>
      <c r="Z12" s="1"/>
    </row>
    <row r="13" spans="1:26" ht="35.25" customHeight="1" x14ac:dyDescent="0.25">
      <c r="A13" s="1"/>
      <c r="B13" s="8"/>
      <c r="C13" s="132" t="s">
        <v>7</v>
      </c>
      <c r="D13" s="133"/>
      <c r="E13" s="134" t="s">
        <v>8</v>
      </c>
      <c r="F13" s="135"/>
      <c r="G13" s="9"/>
      <c r="H13" s="12"/>
      <c r="I13" s="1"/>
      <c r="J13" s="1"/>
      <c r="K13" s="1"/>
      <c r="L13" s="1"/>
      <c r="M13" s="1"/>
      <c r="N13" s="1"/>
      <c r="O13" s="1"/>
      <c r="P13" s="1"/>
      <c r="Q13" s="1"/>
      <c r="R13" s="1"/>
      <c r="S13" s="1"/>
      <c r="T13" s="1"/>
      <c r="U13" s="1"/>
      <c r="V13" s="1"/>
      <c r="W13" s="1"/>
      <c r="X13" s="1"/>
      <c r="Y13" s="1"/>
      <c r="Z13" s="1"/>
    </row>
    <row r="14" spans="1:26" ht="17.25" customHeight="1" x14ac:dyDescent="0.25">
      <c r="A14" s="1"/>
      <c r="B14" s="8"/>
      <c r="C14" s="132" t="s">
        <v>9</v>
      </c>
      <c r="D14" s="133"/>
      <c r="E14" s="134" t="s">
        <v>10</v>
      </c>
      <c r="F14" s="135"/>
      <c r="G14" s="9"/>
      <c r="H14" s="12"/>
      <c r="I14" s="1"/>
      <c r="J14" s="1"/>
      <c r="K14" s="1"/>
      <c r="L14" s="1"/>
      <c r="M14" s="1"/>
      <c r="N14" s="1"/>
      <c r="O14" s="1"/>
      <c r="P14" s="1"/>
      <c r="Q14" s="1"/>
      <c r="R14" s="1"/>
      <c r="S14" s="1"/>
      <c r="T14" s="1"/>
      <c r="U14" s="1"/>
      <c r="V14" s="1"/>
      <c r="W14" s="1"/>
      <c r="X14" s="1"/>
      <c r="Y14" s="1"/>
      <c r="Z14" s="1"/>
    </row>
    <row r="15" spans="1:26" ht="19.5" customHeight="1" x14ac:dyDescent="0.25">
      <c r="A15" s="1"/>
      <c r="B15" s="8"/>
      <c r="C15" s="132" t="s">
        <v>11</v>
      </c>
      <c r="D15" s="133"/>
      <c r="E15" s="134" t="s">
        <v>12</v>
      </c>
      <c r="F15" s="135"/>
      <c r="G15" s="9"/>
      <c r="H15" s="12"/>
      <c r="I15" s="1"/>
      <c r="J15" s="1"/>
      <c r="K15" s="1"/>
      <c r="L15" s="1"/>
      <c r="M15" s="1"/>
      <c r="N15" s="1"/>
      <c r="O15" s="1"/>
      <c r="P15" s="1"/>
      <c r="Q15" s="1"/>
      <c r="R15" s="1"/>
      <c r="S15" s="1"/>
      <c r="T15" s="1"/>
      <c r="U15" s="1"/>
      <c r="V15" s="1"/>
      <c r="W15" s="1"/>
      <c r="X15" s="1"/>
      <c r="Y15" s="1"/>
      <c r="Z15" s="1"/>
    </row>
    <row r="16" spans="1:26" ht="69.75" customHeight="1" x14ac:dyDescent="0.25">
      <c r="A16" s="1"/>
      <c r="B16" s="8"/>
      <c r="C16" s="132" t="s">
        <v>13</v>
      </c>
      <c r="D16" s="133"/>
      <c r="E16" s="134" t="s">
        <v>14</v>
      </c>
      <c r="F16" s="135"/>
      <c r="G16" s="9"/>
      <c r="H16" s="12"/>
      <c r="I16" s="1"/>
      <c r="J16" s="1"/>
      <c r="K16" s="1"/>
      <c r="L16" s="1"/>
      <c r="M16" s="1"/>
      <c r="N16" s="1"/>
      <c r="O16" s="1"/>
      <c r="P16" s="1"/>
      <c r="Q16" s="1"/>
      <c r="R16" s="1"/>
      <c r="S16" s="1"/>
      <c r="T16" s="1"/>
      <c r="U16" s="1"/>
      <c r="V16" s="1"/>
      <c r="W16" s="1"/>
      <c r="X16" s="1"/>
      <c r="Y16" s="1"/>
      <c r="Z16" s="1"/>
    </row>
    <row r="17" spans="1:26" ht="34.5" customHeight="1" x14ac:dyDescent="0.25">
      <c r="A17" s="1"/>
      <c r="B17" s="8"/>
      <c r="C17" s="128" t="s">
        <v>15</v>
      </c>
      <c r="D17" s="129"/>
      <c r="E17" s="124" t="s">
        <v>16</v>
      </c>
      <c r="F17" s="125"/>
      <c r="G17" s="9"/>
      <c r="H17" s="12"/>
      <c r="I17" s="1"/>
      <c r="J17" s="1"/>
      <c r="K17" s="1"/>
      <c r="L17" s="1"/>
      <c r="M17" s="1"/>
      <c r="N17" s="1"/>
      <c r="O17" s="1"/>
      <c r="P17" s="1"/>
      <c r="Q17" s="1"/>
      <c r="R17" s="1"/>
      <c r="S17" s="1"/>
      <c r="T17" s="1"/>
      <c r="U17" s="1"/>
      <c r="V17" s="1"/>
      <c r="W17" s="1"/>
      <c r="X17" s="1"/>
      <c r="Y17" s="1"/>
      <c r="Z17" s="1"/>
    </row>
    <row r="18" spans="1:26" ht="27.75" customHeight="1" x14ac:dyDescent="0.25">
      <c r="A18" s="1"/>
      <c r="B18" s="8"/>
      <c r="C18" s="128" t="s">
        <v>17</v>
      </c>
      <c r="D18" s="129"/>
      <c r="E18" s="124" t="s">
        <v>18</v>
      </c>
      <c r="F18" s="125"/>
      <c r="G18" s="9"/>
      <c r="H18" s="12"/>
      <c r="I18" s="1"/>
      <c r="J18" s="1"/>
      <c r="K18" s="1"/>
      <c r="L18" s="1"/>
      <c r="M18" s="1"/>
      <c r="N18" s="1"/>
      <c r="O18" s="1"/>
      <c r="P18" s="1"/>
      <c r="Q18" s="1"/>
      <c r="R18" s="1"/>
      <c r="S18" s="1"/>
      <c r="T18" s="1"/>
      <c r="U18" s="1"/>
      <c r="V18" s="1"/>
      <c r="W18" s="1"/>
      <c r="X18" s="1"/>
      <c r="Y18" s="1"/>
      <c r="Z18" s="1"/>
    </row>
    <row r="19" spans="1:26" ht="28.5" customHeight="1" x14ac:dyDescent="0.25">
      <c r="A19" s="1"/>
      <c r="B19" s="8"/>
      <c r="C19" s="128" t="s">
        <v>19</v>
      </c>
      <c r="D19" s="129"/>
      <c r="E19" s="124" t="s">
        <v>20</v>
      </c>
      <c r="F19" s="125"/>
      <c r="G19" s="9"/>
      <c r="H19" s="12"/>
      <c r="I19" s="1"/>
      <c r="J19" s="1"/>
      <c r="K19" s="1"/>
      <c r="L19" s="1"/>
      <c r="M19" s="1"/>
      <c r="N19" s="1"/>
      <c r="O19" s="1"/>
      <c r="P19" s="1"/>
      <c r="Q19" s="1"/>
      <c r="R19" s="1"/>
      <c r="S19" s="1"/>
      <c r="T19" s="1"/>
      <c r="U19" s="1"/>
      <c r="V19" s="1"/>
      <c r="W19" s="1"/>
      <c r="X19" s="1"/>
      <c r="Y19" s="1"/>
      <c r="Z19" s="1"/>
    </row>
    <row r="20" spans="1:26" ht="72.75" customHeight="1" x14ac:dyDescent="0.25">
      <c r="A20" s="1"/>
      <c r="B20" s="8"/>
      <c r="C20" s="128" t="s">
        <v>21</v>
      </c>
      <c r="D20" s="129"/>
      <c r="E20" s="124" t="s">
        <v>22</v>
      </c>
      <c r="F20" s="125"/>
      <c r="G20" s="9"/>
      <c r="H20" s="12"/>
      <c r="I20" s="1"/>
      <c r="J20" s="1"/>
      <c r="K20" s="1"/>
      <c r="L20" s="1"/>
      <c r="M20" s="1"/>
      <c r="N20" s="1"/>
      <c r="O20" s="1"/>
      <c r="P20" s="1"/>
      <c r="Q20" s="1"/>
      <c r="R20" s="1"/>
      <c r="S20" s="1"/>
      <c r="T20" s="1"/>
      <c r="U20" s="1"/>
      <c r="V20" s="1"/>
      <c r="W20" s="1"/>
      <c r="X20" s="1"/>
      <c r="Y20" s="1"/>
      <c r="Z20" s="1"/>
    </row>
    <row r="21" spans="1:26" ht="64.5" customHeight="1" x14ac:dyDescent="0.25">
      <c r="A21" s="1"/>
      <c r="B21" s="8"/>
      <c r="C21" s="128" t="s">
        <v>23</v>
      </c>
      <c r="D21" s="129"/>
      <c r="E21" s="124" t="s">
        <v>24</v>
      </c>
      <c r="F21" s="125"/>
      <c r="G21" s="9"/>
      <c r="H21" s="12"/>
      <c r="I21" s="1"/>
      <c r="J21" s="1"/>
      <c r="K21" s="1"/>
      <c r="L21" s="1"/>
      <c r="M21" s="1"/>
      <c r="N21" s="1"/>
      <c r="O21" s="1"/>
      <c r="P21" s="1"/>
      <c r="Q21" s="1"/>
      <c r="R21" s="1"/>
      <c r="S21" s="1"/>
      <c r="T21" s="1"/>
      <c r="U21" s="1"/>
      <c r="V21" s="1"/>
      <c r="W21" s="1"/>
      <c r="X21" s="1"/>
      <c r="Y21" s="1"/>
      <c r="Z21" s="1"/>
    </row>
    <row r="22" spans="1:26" ht="71.25" customHeight="1" x14ac:dyDescent="0.25">
      <c r="A22" s="1"/>
      <c r="B22" s="8"/>
      <c r="C22" s="128" t="s">
        <v>25</v>
      </c>
      <c r="D22" s="129"/>
      <c r="E22" s="124" t="s">
        <v>26</v>
      </c>
      <c r="F22" s="125"/>
      <c r="G22" s="9"/>
      <c r="H22" s="12"/>
      <c r="I22" s="1"/>
      <c r="J22" s="1"/>
      <c r="K22" s="1"/>
      <c r="L22" s="1"/>
      <c r="M22" s="1"/>
      <c r="N22" s="1"/>
      <c r="O22" s="1"/>
      <c r="P22" s="1"/>
      <c r="Q22" s="1"/>
      <c r="R22" s="1"/>
      <c r="S22" s="1"/>
      <c r="T22" s="1"/>
      <c r="U22" s="1"/>
      <c r="V22" s="1"/>
      <c r="W22" s="1"/>
      <c r="X22" s="1"/>
      <c r="Y22" s="1"/>
      <c r="Z22" s="1"/>
    </row>
    <row r="23" spans="1:26" ht="55.5" customHeight="1" x14ac:dyDescent="0.25">
      <c r="A23" s="1"/>
      <c r="B23" s="8"/>
      <c r="C23" s="128" t="s">
        <v>27</v>
      </c>
      <c r="D23" s="129"/>
      <c r="E23" s="124" t="s">
        <v>28</v>
      </c>
      <c r="F23" s="125"/>
      <c r="G23" s="9"/>
      <c r="H23" s="12"/>
      <c r="I23" s="1"/>
      <c r="J23" s="1"/>
      <c r="K23" s="1"/>
      <c r="L23" s="1"/>
      <c r="M23" s="1"/>
      <c r="N23" s="1"/>
      <c r="O23" s="1"/>
      <c r="P23" s="1"/>
      <c r="Q23" s="1"/>
      <c r="R23" s="1"/>
      <c r="S23" s="1"/>
      <c r="T23" s="1"/>
      <c r="U23" s="1"/>
      <c r="V23" s="1"/>
      <c r="W23" s="1"/>
      <c r="X23" s="1"/>
      <c r="Y23" s="1"/>
      <c r="Z23" s="1"/>
    </row>
    <row r="24" spans="1:26" ht="42" customHeight="1" x14ac:dyDescent="0.25">
      <c r="A24" s="1"/>
      <c r="B24" s="8"/>
      <c r="C24" s="128" t="s">
        <v>29</v>
      </c>
      <c r="D24" s="129"/>
      <c r="E24" s="124" t="s">
        <v>30</v>
      </c>
      <c r="F24" s="125"/>
      <c r="G24" s="9"/>
      <c r="H24" s="12"/>
      <c r="I24" s="1"/>
      <c r="J24" s="1"/>
      <c r="K24" s="1"/>
      <c r="L24" s="1"/>
      <c r="M24" s="1"/>
      <c r="N24" s="1"/>
      <c r="O24" s="1"/>
      <c r="P24" s="1"/>
      <c r="Q24" s="1"/>
      <c r="R24" s="1"/>
      <c r="S24" s="1"/>
      <c r="T24" s="1"/>
      <c r="U24" s="1"/>
      <c r="V24" s="1"/>
      <c r="W24" s="1"/>
      <c r="X24" s="1"/>
      <c r="Y24" s="1"/>
      <c r="Z24" s="1"/>
    </row>
    <row r="25" spans="1:26" ht="59.25" customHeight="1" x14ac:dyDescent="0.25">
      <c r="A25" s="1"/>
      <c r="B25" s="8"/>
      <c r="C25" s="128" t="s">
        <v>31</v>
      </c>
      <c r="D25" s="129"/>
      <c r="E25" s="124" t="s">
        <v>32</v>
      </c>
      <c r="F25" s="125"/>
      <c r="G25" s="9"/>
      <c r="H25" s="12"/>
      <c r="I25" s="1"/>
      <c r="J25" s="1"/>
      <c r="K25" s="1"/>
      <c r="L25" s="1"/>
      <c r="M25" s="1"/>
      <c r="N25" s="1"/>
      <c r="O25" s="1"/>
      <c r="P25" s="1"/>
      <c r="Q25" s="1"/>
      <c r="R25" s="1"/>
      <c r="S25" s="1"/>
      <c r="T25" s="1"/>
      <c r="U25" s="1"/>
      <c r="V25" s="1"/>
      <c r="W25" s="1"/>
      <c r="X25" s="1"/>
      <c r="Y25" s="1"/>
      <c r="Z25" s="1"/>
    </row>
    <row r="26" spans="1:26" ht="23.25" customHeight="1" x14ac:dyDescent="0.25">
      <c r="A26" s="1"/>
      <c r="B26" s="8"/>
      <c r="C26" s="128" t="s">
        <v>33</v>
      </c>
      <c r="D26" s="129"/>
      <c r="E26" s="124" t="s">
        <v>34</v>
      </c>
      <c r="F26" s="125"/>
      <c r="G26" s="9"/>
      <c r="H26" s="12"/>
      <c r="I26" s="1"/>
      <c r="J26" s="1"/>
      <c r="K26" s="1"/>
      <c r="L26" s="1"/>
      <c r="M26" s="1"/>
      <c r="N26" s="1"/>
      <c r="O26" s="1"/>
      <c r="P26" s="1"/>
      <c r="Q26" s="1"/>
      <c r="R26" s="1"/>
      <c r="S26" s="1"/>
      <c r="T26" s="1"/>
      <c r="U26" s="1"/>
      <c r="V26" s="1"/>
      <c r="W26" s="1"/>
      <c r="X26" s="1"/>
      <c r="Y26" s="1"/>
      <c r="Z26" s="1"/>
    </row>
    <row r="27" spans="1:26" ht="30.75" customHeight="1" x14ac:dyDescent="0.25">
      <c r="A27" s="1"/>
      <c r="B27" s="8"/>
      <c r="C27" s="128" t="s">
        <v>35</v>
      </c>
      <c r="D27" s="129"/>
      <c r="E27" s="124" t="s">
        <v>36</v>
      </c>
      <c r="F27" s="125"/>
      <c r="G27" s="9"/>
      <c r="H27" s="12"/>
      <c r="I27" s="1"/>
      <c r="J27" s="1"/>
      <c r="K27" s="1"/>
      <c r="L27" s="1"/>
      <c r="M27" s="1"/>
      <c r="N27" s="1"/>
      <c r="O27" s="1"/>
      <c r="P27" s="1"/>
      <c r="Q27" s="1"/>
      <c r="R27" s="1"/>
      <c r="S27" s="1"/>
      <c r="T27" s="1"/>
      <c r="U27" s="1"/>
      <c r="V27" s="1"/>
      <c r="W27" s="1"/>
      <c r="X27" s="1"/>
      <c r="Y27" s="1"/>
      <c r="Z27" s="1"/>
    </row>
    <row r="28" spans="1:26" ht="35.25" customHeight="1" x14ac:dyDescent="0.25">
      <c r="A28" s="1"/>
      <c r="B28" s="8"/>
      <c r="C28" s="128" t="s">
        <v>37</v>
      </c>
      <c r="D28" s="129"/>
      <c r="E28" s="124" t="s">
        <v>38</v>
      </c>
      <c r="F28" s="125"/>
      <c r="G28" s="9"/>
      <c r="H28" s="12"/>
      <c r="I28" s="1"/>
      <c r="J28" s="1"/>
      <c r="K28" s="1"/>
      <c r="L28" s="1"/>
      <c r="M28" s="1"/>
      <c r="N28" s="1"/>
      <c r="O28" s="1"/>
      <c r="P28" s="1"/>
      <c r="Q28" s="1"/>
      <c r="R28" s="1"/>
      <c r="S28" s="1"/>
      <c r="T28" s="1"/>
      <c r="U28" s="1"/>
      <c r="V28" s="1"/>
      <c r="W28" s="1"/>
      <c r="X28" s="1"/>
      <c r="Y28" s="1"/>
      <c r="Z28" s="1"/>
    </row>
    <row r="29" spans="1:26" ht="33" customHeight="1" x14ac:dyDescent="0.25">
      <c r="A29" s="1"/>
      <c r="B29" s="8"/>
      <c r="C29" s="128" t="s">
        <v>39</v>
      </c>
      <c r="D29" s="129"/>
      <c r="E29" s="124" t="s">
        <v>38</v>
      </c>
      <c r="F29" s="125"/>
      <c r="G29" s="9"/>
      <c r="H29" s="12"/>
      <c r="I29" s="1"/>
      <c r="J29" s="1"/>
      <c r="K29" s="1"/>
      <c r="L29" s="1"/>
      <c r="M29" s="1"/>
      <c r="N29" s="1"/>
      <c r="O29" s="1"/>
      <c r="P29" s="1"/>
      <c r="Q29" s="1"/>
      <c r="R29" s="1"/>
      <c r="S29" s="1"/>
      <c r="T29" s="1"/>
      <c r="U29" s="1"/>
      <c r="V29" s="1"/>
      <c r="W29" s="1"/>
      <c r="X29" s="1"/>
      <c r="Y29" s="1"/>
      <c r="Z29" s="1"/>
    </row>
    <row r="30" spans="1:26" ht="30" customHeight="1" x14ac:dyDescent="0.25">
      <c r="A30" s="1"/>
      <c r="B30" s="8"/>
      <c r="C30" s="128" t="s">
        <v>40</v>
      </c>
      <c r="D30" s="129"/>
      <c r="E30" s="124" t="s">
        <v>41</v>
      </c>
      <c r="F30" s="125"/>
      <c r="G30" s="9"/>
      <c r="H30" s="12"/>
      <c r="I30" s="1"/>
      <c r="J30" s="1"/>
      <c r="K30" s="1"/>
      <c r="L30" s="1"/>
      <c r="M30" s="1"/>
      <c r="N30" s="1"/>
      <c r="O30" s="1"/>
      <c r="P30" s="1"/>
      <c r="Q30" s="1"/>
      <c r="R30" s="1"/>
      <c r="S30" s="1"/>
      <c r="T30" s="1"/>
      <c r="U30" s="1"/>
      <c r="V30" s="1"/>
      <c r="W30" s="1"/>
      <c r="X30" s="1"/>
      <c r="Y30" s="1"/>
      <c r="Z30" s="1"/>
    </row>
    <row r="31" spans="1:26" ht="35.25" customHeight="1" x14ac:dyDescent="0.25">
      <c r="A31" s="1"/>
      <c r="B31" s="8"/>
      <c r="C31" s="128" t="s">
        <v>42</v>
      </c>
      <c r="D31" s="129"/>
      <c r="E31" s="124" t="s">
        <v>43</v>
      </c>
      <c r="F31" s="125"/>
      <c r="G31" s="9"/>
      <c r="H31" s="12"/>
      <c r="I31" s="1"/>
      <c r="J31" s="1"/>
      <c r="K31" s="1"/>
      <c r="L31" s="1"/>
      <c r="M31" s="1"/>
      <c r="N31" s="1"/>
      <c r="O31" s="1"/>
      <c r="P31" s="1"/>
      <c r="Q31" s="1"/>
      <c r="R31" s="1"/>
      <c r="S31" s="1"/>
      <c r="T31" s="1"/>
      <c r="U31" s="1"/>
      <c r="V31" s="1"/>
      <c r="W31" s="1"/>
      <c r="X31" s="1"/>
      <c r="Y31" s="1"/>
      <c r="Z31" s="1"/>
    </row>
    <row r="32" spans="1:26" ht="31.5" customHeight="1" x14ac:dyDescent="0.25">
      <c r="A32" s="1"/>
      <c r="B32" s="8"/>
      <c r="C32" s="128" t="s">
        <v>44</v>
      </c>
      <c r="D32" s="129"/>
      <c r="E32" s="124" t="s">
        <v>45</v>
      </c>
      <c r="F32" s="125"/>
      <c r="G32" s="9"/>
      <c r="H32" s="12"/>
      <c r="I32" s="1"/>
      <c r="J32" s="1"/>
      <c r="K32" s="1"/>
      <c r="L32" s="1"/>
      <c r="M32" s="1"/>
      <c r="N32" s="1"/>
      <c r="O32" s="1"/>
      <c r="P32" s="1"/>
      <c r="Q32" s="1"/>
      <c r="R32" s="1"/>
      <c r="S32" s="1"/>
      <c r="T32" s="1"/>
      <c r="U32" s="1"/>
      <c r="V32" s="1"/>
      <c r="W32" s="1"/>
      <c r="X32" s="1"/>
      <c r="Y32" s="1"/>
      <c r="Z32" s="1"/>
    </row>
    <row r="33" spans="1:26" ht="35.25" customHeight="1" x14ac:dyDescent="0.25">
      <c r="A33" s="1"/>
      <c r="B33" s="8"/>
      <c r="C33" s="128" t="s">
        <v>46</v>
      </c>
      <c r="D33" s="129"/>
      <c r="E33" s="124" t="s">
        <v>47</v>
      </c>
      <c r="F33" s="125"/>
      <c r="G33" s="9"/>
      <c r="H33" s="12"/>
      <c r="I33" s="1"/>
      <c r="J33" s="1"/>
      <c r="K33" s="1"/>
      <c r="L33" s="1"/>
      <c r="M33" s="1"/>
      <c r="N33" s="1"/>
      <c r="O33" s="1"/>
      <c r="P33" s="1"/>
      <c r="Q33" s="1"/>
      <c r="R33" s="1"/>
      <c r="S33" s="1"/>
      <c r="T33" s="1"/>
      <c r="U33" s="1"/>
      <c r="V33" s="1"/>
      <c r="W33" s="1"/>
      <c r="X33" s="1"/>
      <c r="Y33" s="1"/>
      <c r="Z33" s="1"/>
    </row>
    <row r="34" spans="1:26" ht="59.25" customHeight="1" x14ac:dyDescent="0.25">
      <c r="A34" s="1"/>
      <c r="B34" s="8"/>
      <c r="C34" s="128" t="s">
        <v>48</v>
      </c>
      <c r="D34" s="129"/>
      <c r="E34" s="124" t="s">
        <v>49</v>
      </c>
      <c r="F34" s="125"/>
      <c r="G34" s="9"/>
      <c r="H34" s="12"/>
      <c r="I34" s="1"/>
      <c r="J34" s="1"/>
      <c r="K34" s="1"/>
      <c r="L34" s="1"/>
      <c r="M34" s="1"/>
      <c r="N34" s="1"/>
      <c r="O34" s="1"/>
      <c r="P34" s="1"/>
      <c r="Q34" s="1"/>
      <c r="R34" s="1"/>
      <c r="S34" s="1"/>
      <c r="T34" s="1"/>
      <c r="U34" s="1"/>
      <c r="V34" s="1"/>
      <c r="W34" s="1"/>
      <c r="X34" s="1"/>
      <c r="Y34" s="1"/>
      <c r="Z34" s="1"/>
    </row>
    <row r="35" spans="1:26" ht="29.25" customHeight="1" x14ac:dyDescent="0.25">
      <c r="A35" s="1"/>
      <c r="B35" s="8"/>
      <c r="C35" s="128" t="s">
        <v>50</v>
      </c>
      <c r="D35" s="129"/>
      <c r="E35" s="124" t="s">
        <v>51</v>
      </c>
      <c r="F35" s="125"/>
      <c r="G35" s="9"/>
      <c r="H35" s="12"/>
      <c r="I35" s="1"/>
      <c r="J35" s="1"/>
      <c r="K35" s="1"/>
      <c r="L35" s="1"/>
      <c r="M35" s="1"/>
      <c r="N35" s="1"/>
      <c r="O35" s="1"/>
      <c r="P35" s="1"/>
      <c r="Q35" s="1"/>
      <c r="R35" s="1"/>
      <c r="S35" s="1"/>
      <c r="T35" s="1"/>
      <c r="U35" s="1"/>
      <c r="V35" s="1"/>
      <c r="W35" s="1"/>
      <c r="X35" s="1"/>
      <c r="Y35" s="1"/>
      <c r="Z35" s="1"/>
    </row>
    <row r="36" spans="1:26" ht="82.5" customHeight="1" x14ac:dyDescent="0.25">
      <c r="A36" s="1"/>
      <c r="B36" s="8"/>
      <c r="C36" s="128" t="s">
        <v>52</v>
      </c>
      <c r="D36" s="129"/>
      <c r="E36" s="124" t="s">
        <v>53</v>
      </c>
      <c r="F36" s="125"/>
      <c r="G36" s="9"/>
      <c r="H36" s="12"/>
      <c r="I36" s="1"/>
      <c r="J36" s="1"/>
      <c r="K36" s="1"/>
      <c r="L36" s="1"/>
      <c r="M36" s="1"/>
      <c r="N36" s="1"/>
      <c r="O36" s="1"/>
      <c r="P36" s="1"/>
      <c r="Q36" s="1"/>
      <c r="R36" s="1"/>
      <c r="S36" s="1"/>
      <c r="T36" s="1"/>
      <c r="U36" s="1"/>
      <c r="V36" s="1"/>
      <c r="W36" s="1"/>
      <c r="X36" s="1"/>
      <c r="Y36" s="1"/>
      <c r="Z36" s="1"/>
    </row>
    <row r="37" spans="1:26" ht="46.5" customHeight="1" x14ac:dyDescent="0.25">
      <c r="A37" s="1"/>
      <c r="B37" s="8"/>
      <c r="C37" s="128" t="s">
        <v>54</v>
      </c>
      <c r="D37" s="129"/>
      <c r="E37" s="124" t="s">
        <v>55</v>
      </c>
      <c r="F37" s="125"/>
      <c r="G37" s="9"/>
      <c r="H37" s="12"/>
      <c r="I37" s="1"/>
      <c r="J37" s="1"/>
      <c r="K37" s="1"/>
      <c r="L37" s="1"/>
      <c r="M37" s="1"/>
      <c r="N37" s="1"/>
      <c r="O37" s="1"/>
      <c r="P37" s="1"/>
      <c r="Q37" s="1"/>
      <c r="R37" s="1"/>
      <c r="S37" s="1"/>
      <c r="T37" s="1"/>
      <c r="U37" s="1"/>
      <c r="V37" s="1"/>
      <c r="W37" s="1"/>
      <c r="X37" s="1"/>
      <c r="Y37" s="1"/>
      <c r="Z37" s="1"/>
    </row>
    <row r="38" spans="1:26" ht="6.75" customHeight="1" x14ac:dyDescent="0.25">
      <c r="A38" s="1"/>
      <c r="B38" s="8"/>
      <c r="C38" s="130"/>
      <c r="D38" s="131"/>
      <c r="E38" s="126"/>
      <c r="F38" s="127"/>
      <c r="G38" s="9"/>
      <c r="H38" s="12"/>
      <c r="I38" s="1"/>
      <c r="J38" s="1"/>
      <c r="K38" s="1"/>
      <c r="L38" s="1"/>
      <c r="M38" s="1"/>
      <c r="N38" s="1"/>
      <c r="O38" s="1"/>
      <c r="P38" s="1"/>
      <c r="Q38" s="1"/>
      <c r="R38" s="1"/>
      <c r="S38" s="1"/>
      <c r="T38" s="1"/>
      <c r="U38" s="1"/>
      <c r="V38" s="1"/>
      <c r="W38" s="1"/>
      <c r="X38" s="1"/>
      <c r="Y38" s="1"/>
      <c r="Z38" s="1"/>
    </row>
    <row r="39" spans="1:26" ht="15.75" customHeight="1" x14ac:dyDescent="0.25">
      <c r="A39" s="1"/>
      <c r="B39" s="8"/>
      <c r="C39" s="13"/>
      <c r="D39" s="13"/>
      <c r="E39" s="14"/>
      <c r="F39" s="14"/>
      <c r="G39" s="9"/>
      <c r="H39" s="12"/>
      <c r="I39" s="1"/>
      <c r="J39" s="1"/>
      <c r="K39" s="1"/>
      <c r="L39" s="1"/>
      <c r="M39" s="1"/>
      <c r="N39" s="1"/>
      <c r="O39" s="1"/>
      <c r="P39" s="1"/>
      <c r="Q39" s="1"/>
      <c r="R39" s="1"/>
      <c r="S39" s="1"/>
      <c r="T39" s="1"/>
      <c r="U39" s="1"/>
      <c r="V39" s="1"/>
      <c r="W39" s="1"/>
      <c r="X39" s="1"/>
      <c r="Y39" s="1"/>
      <c r="Z39" s="1"/>
    </row>
    <row r="40" spans="1:26" ht="21" customHeight="1" x14ac:dyDescent="0.25">
      <c r="A40" s="1"/>
      <c r="B40" s="121" t="s">
        <v>56</v>
      </c>
      <c r="C40" s="122"/>
      <c r="D40" s="122"/>
      <c r="E40" s="122"/>
      <c r="F40" s="122"/>
      <c r="G40" s="122"/>
      <c r="H40" s="123"/>
      <c r="I40" s="1"/>
      <c r="J40" s="1"/>
      <c r="K40" s="1"/>
      <c r="L40" s="1"/>
      <c r="M40" s="1"/>
      <c r="N40" s="1"/>
      <c r="O40" s="1"/>
      <c r="P40" s="1"/>
      <c r="Q40" s="1"/>
      <c r="R40" s="1"/>
      <c r="S40" s="1"/>
      <c r="T40" s="1"/>
      <c r="U40" s="1"/>
      <c r="V40" s="1"/>
      <c r="W40" s="1"/>
      <c r="X40" s="1"/>
      <c r="Y40" s="1"/>
      <c r="Z40" s="1"/>
    </row>
    <row r="41" spans="1:26" ht="20.25" customHeight="1" x14ac:dyDescent="0.25">
      <c r="A41" s="1"/>
      <c r="B41" s="121" t="s">
        <v>57</v>
      </c>
      <c r="C41" s="122"/>
      <c r="D41" s="122"/>
      <c r="E41" s="122"/>
      <c r="F41" s="122"/>
      <c r="G41" s="122"/>
      <c r="H41" s="123"/>
      <c r="I41" s="1"/>
      <c r="J41" s="1"/>
      <c r="K41" s="1"/>
      <c r="L41" s="1"/>
      <c r="M41" s="1"/>
      <c r="N41" s="1"/>
      <c r="O41" s="1"/>
      <c r="P41" s="1"/>
      <c r="Q41" s="1"/>
      <c r="R41" s="1"/>
      <c r="S41" s="1"/>
      <c r="T41" s="1"/>
      <c r="U41" s="1"/>
      <c r="V41" s="1"/>
      <c r="W41" s="1"/>
      <c r="X41" s="1"/>
      <c r="Y41" s="1"/>
      <c r="Z41" s="1"/>
    </row>
    <row r="42" spans="1:26" ht="20.25" customHeight="1" x14ac:dyDescent="0.25">
      <c r="A42" s="1"/>
      <c r="B42" s="121" t="s">
        <v>58</v>
      </c>
      <c r="C42" s="122"/>
      <c r="D42" s="122"/>
      <c r="E42" s="122"/>
      <c r="F42" s="122"/>
      <c r="G42" s="122"/>
      <c r="H42" s="123"/>
      <c r="I42" s="1"/>
      <c r="J42" s="1"/>
      <c r="K42" s="1"/>
      <c r="L42" s="1"/>
      <c r="M42" s="1"/>
      <c r="N42" s="1"/>
      <c r="O42" s="1"/>
      <c r="P42" s="1"/>
      <c r="Q42" s="1"/>
      <c r="R42" s="1"/>
      <c r="S42" s="1"/>
      <c r="T42" s="1"/>
      <c r="U42" s="1"/>
      <c r="V42" s="1"/>
      <c r="W42" s="1"/>
      <c r="X42" s="1"/>
      <c r="Y42" s="1"/>
      <c r="Z42" s="1"/>
    </row>
    <row r="43" spans="1:26" ht="20.25" customHeight="1" x14ac:dyDescent="0.25">
      <c r="A43" s="1"/>
      <c r="B43" s="121" t="s">
        <v>59</v>
      </c>
      <c r="C43" s="122"/>
      <c r="D43" s="122"/>
      <c r="E43" s="122"/>
      <c r="F43" s="122"/>
      <c r="G43" s="122"/>
      <c r="H43" s="123"/>
      <c r="I43" s="1"/>
      <c r="J43" s="1"/>
      <c r="K43" s="1"/>
      <c r="L43" s="1"/>
      <c r="M43" s="1"/>
      <c r="N43" s="1"/>
      <c r="O43" s="1"/>
      <c r="P43" s="1"/>
      <c r="Q43" s="1"/>
      <c r="R43" s="1"/>
      <c r="S43" s="1"/>
      <c r="T43" s="1"/>
      <c r="U43" s="1"/>
      <c r="V43" s="1"/>
      <c r="W43" s="1"/>
      <c r="X43" s="1"/>
      <c r="Y43" s="1"/>
      <c r="Z43" s="1"/>
    </row>
    <row r="44" spans="1:26" ht="15.75" customHeight="1" x14ac:dyDescent="0.25">
      <c r="A44" s="1"/>
      <c r="B44" s="121" t="s">
        <v>60</v>
      </c>
      <c r="C44" s="122"/>
      <c r="D44" s="122"/>
      <c r="E44" s="122"/>
      <c r="F44" s="122"/>
      <c r="G44" s="122"/>
      <c r="H44" s="123"/>
      <c r="I44" s="1"/>
      <c r="J44" s="1"/>
      <c r="K44" s="1"/>
      <c r="L44" s="1"/>
      <c r="M44" s="1"/>
      <c r="N44" s="1"/>
      <c r="O44" s="1"/>
      <c r="P44" s="1"/>
      <c r="Q44" s="1"/>
      <c r="R44" s="1"/>
      <c r="S44" s="1"/>
      <c r="T44" s="1"/>
      <c r="U44" s="1"/>
      <c r="V44" s="1"/>
      <c r="W44" s="1"/>
      <c r="X44" s="1"/>
      <c r="Y44" s="1"/>
      <c r="Z44" s="1"/>
    </row>
    <row r="45" spans="1:26" ht="15.75" customHeight="1" x14ac:dyDescent="0.25">
      <c r="A45" s="1"/>
      <c r="B45" s="15"/>
      <c r="C45" s="16"/>
      <c r="D45" s="16"/>
      <c r="E45" s="16"/>
      <c r="F45" s="16"/>
      <c r="G45" s="16"/>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B2:H2"/>
    <mergeCell ref="B4:H5"/>
    <mergeCell ref="B6:H6"/>
    <mergeCell ref="B7:H7"/>
    <mergeCell ref="B9:H10"/>
    <mergeCell ref="C12:D12"/>
    <mergeCell ref="E12:F12"/>
    <mergeCell ref="C13:D13"/>
    <mergeCell ref="E13:F13"/>
    <mergeCell ref="C14:D14"/>
    <mergeCell ref="E14:F14"/>
    <mergeCell ref="C15:D15"/>
    <mergeCell ref="E15:F15"/>
    <mergeCell ref="E16:F16"/>
    <mergeCell ref="C16:D16"/>
    <mergeCell ref="C17:D17"/>
    <mergeCell ref="E17:F17"/>
    <mergeCell ref="C18:D18"/>
    <mergeCell ref="C19:D19"/>
    <mergeCell ref="C20:D20"/>
    <mergeCell ref="C21:D21"/>
    <mergeCell ref="C22:D22"/>
    <mergeCell ref="E18:F18"/>
    <mergeCell ref="E19:F19"/>
    <mergeCell ref="E20:F20"/>
    <mergeCell ref="E21:F21"/>
    <mergeCell ref="E22:F22"/>
    <mergeCell ref="E23:F23"/>
    <mergeCell ref="C23:D23"/>
    <mergeCell ref="C24:D24"/>
    <mergeCell ref="C25:D25"/>
    <mergeCell ref="C26:D26"/>
    <mergeCell ref="C27:D27"/>
    <mergeCell ref="C28:D28"/>
    <mergeCell ref="C29:D29"/>
    <mergeCell ref="E24:F24"/>
    <mergeCell ref="E25:F25"/>
    <mergeCell ref="E26:F26"/>
    <mergeCell ref="E27:F27"/>
    <mergeCell ref="E28:F28"/>
    <mergeCell ref="E29:F29"/>
    <mergeCell ref="E30:F30"/>
    <mergeCell ref="E38:F38"/>
    <mergeCell ref="B40:H40"/>
    <mergeCell ref="B41:H41"/>
    <mergeCell ref="B42:H42"/>
    <mergeCell ref="C37:D37"/>
    <mergeCell ref="C38:D38"/>
    <mergeCell ref="C30:D30"/>
    <mergeCell ref="C31:D31"/>
    <mergeCell ref="C32:D32"/>
    <mergeCell ref="C33:D33"/>
    <mergeCell ref="C34:D34"/>
    <mergeCell ref="C35:D35"/>
    <mergeCell ref="C36:D36"/>
    <mergeCell ref="B43:H43"/>
    <mergeCell ref="B44:H44"/>
    <mergeCell ref="E31:F31"/>
    <mergeCell ref="E32:F32"/>
    <mergeCell ref="E33:F33"/>
    <mergeCell ref="E34:F34"/>
    <mergeCell ref="E35:F35"/>
    <mergeCell ref="E36:F36"/>
    <mergeCell ref="E37:F37"/>
  </mergeCell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G952"/>
  <sheetViews>
    <sheetView showGridLines="0" tabSelected="1" zoomScale="115" zoomScaleNormal="115" workbookViewId="0">
      <selection activeCell="B25" sqref="B25:AM25"/>
    </sheetView>
  </sheetViews>
  <sheetFormatPr baseColWidth="10" defaultColWidth="12.625" defaultRowHeight="15" customHeight="1" x14ac:dyDescent="0.2"/>
  <cols>
    <col min="1" max="1" width="3.5" customWidth="1"/>
    <col min="2" max="2" width="12.375" customWidth="1"/>
    <col min="3" max="3" width="13.125" customWidth="1"/>
    <col min="4" max="4" width="17"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33.5" hidden="1" customWidth="1"/>
    <col min="25" max="25" width="7.625" customWidth="1"/>
    <col min="26" max="26" width="9.125" customWidth="1"/>
    <col min="27" max="27" width="8.125" customWidth="1"/>
    <col min="28" max="28" width="8" customWidth="1"/>
    <col min="29" max="29" width="7.375" customWidth="1"/>
    <col min="30" max="30" width="6.375" customWidth="1"/>
    <col min="31" max="31" width="26" customWidth="1"/>
    <col min="32" max="32" width="16.5" customWidth="1"/>
    <col min="33" max="33" width="18.5" customWidth="1"/>
    <col min="34" max="34" width="17.875" customWidth="1"/>
    <col min="35" max="35" width="24.875" customWidth="1"/>
    <col min="36" max="36" width="18.375" customWidth="1"/>
    <col min="37" max="37" width="17.875" customWidth="1"/>
    <col min="38" max="38" width="24.875" customWidth="1"/>
    <col min="39" max="39" width="18.375" customWidth="1"/>
    <col min="40" max="40" width="15.375" customWidth="1"/>
    <col min="41" max="41" width="32.875" customWidth="1"/>
    <col min="42" max="42" width="16.25" customWidth="1"/>
    <col min="43" max="59" width="10" customWidth="1"/>
  </cols>
  <sheetData>
    <row r="1" spans="1:59" ht="16.5" customHeight="1" x14ac:dyDescent="0.2">
      <c r="A1" s="225"/>
      <c r="B1" s="226"/>
      <c r="C1" s="227"/>
      <c r="D1" s="232" t="s">
        <v>61</v>
      </c>
      <c r="E1" s="233"/>
      <c r="F1" s="233"/>
      <c r="G1" s="233"/>
      <c r="H1" s="233"/>
      <c r="I1" s="233"/>
      <c r="J1" s="233"/>
      <c r="K1" s="233"/>
      <c r="L1" s="233"/>
      <c r="M1" s="233"/>
      <c r="N1" s="234"/>
      <c r="O1" s="18"/>
      <c r="P1" s="18"/>
      <c r="Q1" s="18"/>
      <c r="R1" s="18"/>
      <c r="S1" s="18"/>
      <c r="T1" s="18"/>
      <c r="U1" s="18"/>
      <c r="V1" s="18"/>
      <c r="W1" s="18"/>
      <c r="X1" s="18"/>
      <c r="Y1" s="18"/>
      <c r="Z1" s="18"/>
      <c r="AA1" s="18"/>
      <c r="AB1" s="18"/>
      <c r="AC1" s="18"/>
      <c r="AD1" s="18"/>
      <c r="AE1" s="18"/>
      <c r="AF1" s="18"/>
      <c r="AG1" s="18"/>
      <c r="AH1" s="18"/>
      <c r="AI1" s="18"/>
      <c r="AJ1" s="18"/>
      <c r="AK1" s="18"/>
      <c r="AL1" s="18"/>
      <c r="AM1" s="18"/>
      <c r="AN1" s="19"/>
      <c r="AO1" s="19"/>
      <c r="AP1" s="19"/>
      <c r="AQ1" s="19"/>
      <c r="AR1" s="19"/>
      <c r="AS1" s="19"/>
      <c r="AT1" s="19"/>
      <c r="AU1" s="19"/>
      <c r="AV1" s="19"/>
      <c r="AW1" s="19"/>
      <c r="AX1" s="19"/>
      <c r="AY1" s="19"/>
      <c r="AZ1" s="19"/>
      <c r="BA1" s="19"/>
      <c r="BB1" s="19"/>
      <c r="BC1" s="19"/>
      <c r="BD1" s="19"/>
      <c r="BE1" s="19"/>
      <c r="BF1" s="19"/>
      <c r="BG1" s="19"/>
    </row>
    <row r="2" spans="1:59" ht="16.5" customHeight="1" x14ac:dyDescent="0.2">
      <c r="A2" s="228"/>
      <c r="B2" s="144"/>
      <c r="C2" s="229"/>
      <c r="D2" s="235"/>
      <c r="E2" s="236"/>
      <c r="F2" s="236"/>
      <c r="G2" s="236"/>
      <c r="H2" s="236"/>
      <c r="I2" s="236"/>
      <c r="J2" s="236"/>
      <c r="K2" s="236"/>
      <c r="L2" s="236"/>
      <c r="M2" s="236"/>
      <c r="N2" s="237"/>
      <c r="O2" s="18"/>
      <c r="P2" s="18"/>
      <c r="Q2" s="18"/>
      <c r="R2" s="18"/>
      <c r="S2" s="18"/>
      <c r="T2" s="18"/>
      <c r="U2" s="18"/>
      <c r="V2" s="18"/>
      <c r="W2" s="18"/>
      <c r="X2" s="18"/>
      <c r="Y2" s="18"/>
      <c r="Z2" s="18"/>
      <c r="AA2" s="18"/>
      <c r="AB2" s="18"/>
      <c r="AC2" s="18"/>
      <c r="AD2" s="18"/>
      <c r="AE2" s="18"/>
      <c r="AF2" s="18"/>
      <c r="AG2" s="18"/>
      <c r="AH2" s="18"/>
      <c r="AI2" s="18"/>
      <c r="AJ2" s="18"/>
      <c r="AK2" s="18"/>
      <c r="AL2" s="18"/>
      <c r="AM2" s="18"/>
      <c r="AN2" s="19"/>
      <c r="AO2" s="19"/>
      <c r="AP2" s="19"/>
      <c r="AQ2" s="19"/>
      <c r="AR2" s="19"/>
      <c r="AS2" s="19"/>
      <c r="AT2" s="19"/>
      <c r="AU2" s="19"/>
      <c r="AV2" s="19"/>
      <c r="AW2" s="19"/>
      <c r="AX2" s="19"/>
      <c r="AY2" s="19"/>
      <c r="AZ2" s="19"/>
      <c r="BA2" s="19"/>
      <c r="BB2" s="19"/>
      <c r="BC2" s="19"/>
      <c r="BD2" s="19"/>
      <c r="BE2" s="19"/>
      <c r="BF2" s="19"/>
      <c r="BG2" s="19"/>
    </row>
    <row r="3" spans="1:59" ht="16.5" customHeight="1" x14ac:dyDescent="0.2">
      <c r="A3" s="228"/>
      <c r="B3" s="144"/>
      <c r="C3" s="229"/>
      <c r="D3" s="238" t="s">
        <v>62</v>
      </c>
      <c r="E3" s="212"/>
      <c r="F3" s="212"/>
      <c r="G3" s="212"/>
      <c r="H3" s="212"/>
      <c r="I3" s="212"/>
      <c r="J3" s="212"/>
      <c r="K3" s="212"/>
      <c r="L3" s="212"/>
      <c r="M3" s="212"/>
      <c r="N3" s="210"/>
      <c r="O3" s="18"/>
      <c r="P3" s="18"/>
      <c r="Q3" s="18"/>
      <c r="R3" s="18"/>
      <c r="S3" s="18"/>
      <c r="T3" s="18"/>
      <c r="U3" s="18"/>
      <c r="V3" s="18"/>
      <c r="W3" s="18"/>
      <c r="X3" s="18"/>
      <c r="Y3" s="18"/>
      <c r="Z3" s="18"/>
      <c r="AA3" s="18"/>
      <c r="AB3" s="18"/>
      <c r="AC3" s="18"/>
      <c r="AD3" s="18"/>
      <c r="AE3" s="18"/>
      <c r="AF3" s="18"/>
      <c r="AG3" s="18"/>
      <c r="AH3" s="18"/>
      <c r="AI3" s="18"/>
      <c r="AJ3" s="18"/>
      <c r="AK3" s="18"/>
      <c r="AL3" s="18"/>
      <c r="AM3" s="18"/>
      <c r="AN3" s="19"/>
      <c r="AO3" s="19"/>
      <c r="AP3" s="19"/>
      <c r="AQ3" s="19"/>
      <c r="AR3" s="19"/>
      <c r="AS3" s="19"/>
      <c r="AT3" s="19"/>
      <c r="AU3" s="19"/>
      <c r="AV3" s="19"/>
      <c r="AW3" s="19"/>
      <c r="AX3" s="19"/>
      <c r="AY3" s="19"/>
      <c r="AZ3" s="19"/>
      <c r="BA3" s="19"/>
      <c r="BB3" s="19"/>
      <c r="BC3" s="19"/>
      <c r="BD3" s="19"/>
      <c r="BE3" s="19"/>
      <c r="BF3" s="19"/>
      <c r="BG3" s="19"/>
    </row>
    <row r="4" spans="1:59" ht="62.25" customHeight="1" x14ac:dyDescent="0.2">
      <c r="A4" s="228"/>
      <c r="B4" s="144"/>
      <c r="C4" s="229"/>
      <c r="D4" s="238" t="s">
        <v>63</v>
      </c>
      <c r="E4" s="212"/>
      <c r="F4" s="212"/>
      <c r="G4" s="212"/>
      <c r="H4" s="212"/>
      <c r="I4" s="212"/>
      <c r="J4" s="212"/>
      <c r="K4" s="212"/>
      <c r="L4" s="212"/>
      <c r="M4" s="212"/>
      <c r="N4" s="210"/>
      <c r="O4" s="18"/>
      <c r="P4" s="18"/>
      <c r="Q4" s="18"/>
      <c r="R4" s="18"/>
      <c r="S4" s="18"/>
      <c r="T4" s="18"/>
      <c r="U4" s="18"/>
      <c r="V4" s="18"/>
      <c r="W4" s="18"/>
      <c r="X4" s="18"/>
      <c r="Y4" s="18"/>
      <c r="Z4" s="18"/>
      <c r="AA4" s="18"/>
      <c r="AB4" s="18"/>
      <c r="AC4" s="18"/>
      <c r="AD4" s="18"/>
      <c r="AE4" s="18"/>
      <c r="AF4" s="18"/>
      <c r="AG4" s="18"/>
      <c r="AH4" s="18"/>
      <c r="AI4" s="18"/>
      <c r="AJ4" s="18"/>
      <c r="AK4" s="18"/>
      <c r="AL4" s="18"/>
      <c r="AM4" s="18"/>
      <c r="AN4" s="19"/>
      <c r="AO4" s="19"/>
      <c r="AP4" s="19"/>
      <c r="AQ4" s="19"/>
      <c r="AR4" s="19"/>
      <c r="AS4" s="19"/>
      <c r="AT4" s="19"/>
      <c r="AU4" s="19"/>
      <c r="AV4" s="19"/>
      <c r="AW4" s="19"/>
      <c r="AX4" s="19"/>
      <c r="AY4" s="19"/>
      <c r="AZ4" s="19"/>
      <c r="BA4" s="19"/>
      <c r="BB4" s="19"/>
      <c r="BC4" s="19"/>
      <c r="BD4" s="19"/>
      <c r="BE4" s="19"/>
      <c r="BF4" s="19"/>
      <c r="BG4" s="19"/>
    </row>
    <row r="5" spans="1:59" ht="14.25" customHeight="1" x14ac:dyDescent="0.2">
      <c r="A5" s="230"/>
      <c r="B5" s="147"/>
      <c r="C5" s="231"/>
      <c r="D5" s="239" t="s">
        <v>226</v>
      </c>
      <c r="E5" s="212"/>
      <c r="F5" s="210"/>
      <c r="G5" s="239" t="s">
        <v>231</v>
      </c>
      <c r="H5" s="212"/>
      <c r="I5" s="210"/>
      <c r="J5" s="238" t="s">
        <v>64</v>
      </c>
      <c r="K5" s="212"/>
      <c r="L5" s="212"/>
      <c r="M5" s="212"/>
      <c r="N5" s="210"/>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row>
    <row r="6" spans="1:59" ht="14.25" customHeight="1" x14ac:dyDescent="0.2">
      <c r="A6" s="20"/>
      <c r="B6" s="21"/>
      <c r="C6" s="21"/>
      <c r="D6" s="21"/>
      <c r="E6" s="21"/>
      <c r="F6" s="21"/>
      <c r="G6" s="21"/>
      <c r="H6" s="22"/>
      <c r="I6" s="23"/>
      <c r="J6" s="23"/>
      <c r="K6" s="23"/>
      <c r="L6" s="23"/>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row>
    <row r="7" spans="1:59" ht="26.25" customHeight="1" x14ac:dyDescent="0.2">
      <c r="A7" s="209" t="s">
        <v>65</v>
      </c>
      <c r="B7" s="210"/>
      <c r="C7" s="248" t="s">
        <v>66</v>
      </c>
      <c r="D7" s="212"/>
      <c r="E7" s="212"/>
      <c r="F7" s="212"/>
      <c r="G7" s="212"/>
      <c r="H7" s="212"/>
      <c r="I7" s="212"/>
      <c r="J7" s="212"/>
      <c r="K7" s="212"/>
      <c r="L7" s="212"/>
      <c r="M7" s="212"/>
      <c r="N7" s="210"/>
      <c r="O7" s="207"/>
      <c r="P7" s="122"/>
      <c r="Q7" s="208"/>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row>
    <row r="8" spans="1:59" ht="48.75" customHeight="1" x14ac:dyDescent="0.25">
      <c r="A8" s="209" t="s">
        <v>67</v>
      </c>
      <c r="B8" s="210"/>
      <c r="C8" s="211" t="s">
        <v>68</v>
      </c>
      <c r="D8" s="212"/>
      <c r="E8" s="212"/>
      <c r="F8" s="212"/>
      <c r="G8" s="212"/>
      <c r="H8" s="212"/>
      <c r="I8" s="212"/>
      <c r="J8" s="212"/>
      <c r="K8" s="212"/>
      <c r="L8" s="212"/>
      <c r="M8" s="212"/>
      <c r="N8" s="210"/>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row>
    <row r="9" spans="1:59" ht="49.5" customHeight="1" x14ac:dyDescent="0.2">
      <c r="A9" s="213" t="s">
        <v>69</v>
      </c>
      <c r="B9" s="214"/>
      <c r="C9" s="224" t="s">
        <v>70</v>
      </c>
      <c r="D9" s="150"/>
      <c r="E9" s="150"/>
      <c r="F9" s="150"/>
      <c r="G9" s="150"/>
      <c r="H9" s="150"/>
      <c r="I9" s="150"/>
      <c r="J9" s="150"/>
      <c r="K9" s="150"/>
      <c r="L9" s="150"/>
      <c r="M9" s="150"/>
      <c r="N9" s="214"/>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row>
    <row r="10" spans="1:59" ht="31.5" customHeight="1" x14ac:dyDescent="0.25">
      <c r="A10" s="245" t="s">
        <v>71</v>
      </c>
      <c r="B10" s="246"/>
      <c r="C10" s="246"/>
      <c r="D10" s="246"/>
      <c r="E10" s="246"/>
      <c r="F10" s="246"/>
      <c r="G10" s="247"/>
      <c r="H10" s="223" t="s">
        <v>72</v>
      </c>
      <c r="I10" s="212"/>
      <c r="J10" s="212"/>
      <c r="K10" s="212"/>
      <c r="L10" s="212"/>
      <c r="M10" s="212"/>
      <c r="N10" s="210"/>
      <c r="O10" s="222" t="s">
        <v>73</v>
      </c>
      <c r="P10" s="212"/>
      <c r="Q10" s="212"/>
      <c r="R10" s="212"/>
      <c r="S10" s="212"/>
      <c r="T10" s="212"/>
      <c r="U10" s="212"/>
      <c r="V10" s="212"/>
      <c r="W10" s="210"/>
      <c r="X10" s="223" t="s">
        <v>74</v>
      </c>
      <c r="Y10" s="212"/>
      <c r="Z10" s="212"/>
      <c r="AA10" s="212"/>
      <c r="AB10" s="212"/>
      <c r="AC10" s="212"/>
      <c r="AD10" s="210"/>
      <c r="AE10" s="195" t="s">
        <v>75</v>
      </c>
      <c r="AF10" s="196"/>
      <c r="AG10" s="196"/>
      <c r="AH10" s="184" t="s">
        <v>227</v>
      </c>
      <c r="AI10" s="185"/>
      <c r="AJ10" s="186"/>
      <c r="AK10" s="192" t="s">
        <v>228</v>
      </c>
      <c r="AL10" s="193"/>
      <c r="AM10" s="194"/>
      <c r="AN10" s="184" t="s">
        <v>229</v>
      </c>
      <c r="AO10" s="185"/>
      <c r="AP10" s="186"/>
      <c r="AQ10" s="19"/>
      <c r="AR10" s="19"/>
      <c r="AS10" s="19"/>
      <c r="AT10" s="19"/>
      <c r="AU10" s="19"/>
      <c r="AV10" s="19"/>
      <c r="AW10" s="19"/>
      <c r="AX10" s="19"/>
      <c r="AY10" s="19"/>
      <c r="AZ10" s="19"/>
      <c r="BA10" s="19"/>
      <c r="BB10" s="19"/>
      <c r="BC10" s="19"/>
      <c r="BD10" s="19"/>
      <c r="BE10" s="19"/>
      <c r="BF10" s="19"/>
      <c r="BG10" s="19"/>
    </row>
    <row r="11" spans="1:59" ht="16.5" customHeight="1" x14ac:dyDescent="0.2">
      <c r="A11" s="241" t="s">
        <v>76</v>
      </c>
      <c r="B11" s="243" t="s">
        <v>15</v>
      </c>
      <c r="C11" s="244" t="s">
        <v>17</v>
      </c>
      <c r="D11" s="244" t="s">
        <v>19</v>
      </c>
      <c r="E11" s="243" t="s">
        <v>21</v>
      </c>
      <c r="F11" s="244" t="s">
        <v>23</v>
      </c>
      <c r="G11" s="244" t="s">
        <v>77</v>
      </c>
      <c r="H11" s="219" t="s">
        <v>78</v>
      </c>
      <c r="I11" s="220" t="s">
        <v>79</v>
      </c>
      <c r="J11" s="219" t="s">
        <v>80</v>
      </c>
      <c r="K11" s="219" t="s">
        <v>81</v>
      </c>
      <c r="L11" s="219" t="s">
        <v>82</v>
      </c>
      <c r="M11" s="220" t="s">
        <v>79</v>
      </c>
      <c r="N11" s="219" t="s">
        <v>29</v>
      </c>
      <c r="O11" s="216" t="s">
        <v>83</v>
      </c>
      <c r="P11" s="217" t="s">
        <v>31</v>
      </c>
      <c r="Q11" s="217" t="s">
        <v>33</v>
      </c>
      <c r="R11" s="240" t="s">
        <v>84</v>
      </c>
      <c r="S11" s="212"/>
      <c r="T11" s="212"/>
      <c r="U11" s="212"/>
      <c r="V11" s="212"/>
      <c r="W11" s="210"/>
      <c r="X11" s="221" t="s">
        <v>85</v>
      </c>
      <c r="Y11" s="221" t="s">
        <v>86</v>
      </c>
      <c r="Z11" s="221" t="s">
        <v>79</v>
      </c>
      <c r="AA11" s="221" t="s">
        <v>87</v>
      </c>
      <c r="AB11" s="221" t="s">
        <v>79</v>
      </c>
      <c r="AC11" s="221" t="s">
        <v>88</v>
      </c>
      <c r="AD11" s="221" t="s">
        <v>50</v>
      </c>
      <c r="AE11" s="197" t="s">
        <v>75</v>
      </c>
      <c r="AF11" s="197" t="s">
        <v>89</v>
      </c>
      <c r="AG11" s="197" t="s">
        <v>90</v>
      </c>
      <c r="AH11" s="187" t="s">
        <v>91</v>
      </c>
      <c r="AI11" s="187" t="s">
        <v>92</v>
      </c>
      <c r="AJ11" s="187" t="s">
        <v>224</v>
      </c>
      <c r="AK11" s="190" t="s">
        <v>91</v>
      </c>
      <c r="AL11" s="190" t="s">
        <v>92</v>
      </c>
      <c r="AM11" s="190" t="s">
        <v>224</v>
      </c>
      <c r="AN11" s="187" t="s">
        <v>91</v>
      </c>
      <c r="AO11" s="187" t="s">
        <v>92</v>
      </c>
      <c r="AP11" s="187" t="s">
        <v>225</v>
      </c>
      <c r="AQ11" s="19"/>
      <c r="AR11" s="19"/>
      <c r="AS11" s="19"/>
      <c r="AT11" s="19"/>
      <c r="AU11" s="19"/>
      <c r="AV11" s="19"/>
      <c r="AW11" s="19"/>
      <c r="AX11" s="19"/>
      <c r="AY11" s="19"/>
      <c r="AZ11" s="19"/>
      <c r="BA11" s="19"/>
      <c r="BB11" s="19"/>
      <c r="BC11" s="19"/>
      <c r="BD11" s="19"/>
      <c r="BE11" s="19"/>
      <c r="BF11" s="19"/>
      <c r="BG11" s="19"/>
    </row>
    <row r="12" spans="1:59" ht="94.5" customHeight="1" x14ac:dyDescent="0.2">
      <c r="A12" s="242"/>
      <c r="B12" s="242"/>
      <c r="C12" s="242"/>
      <c r="D12" s="242"/>
      <c r="E12" s="242"/>
      <c r="F12" s="242"/>
      <c r="G12" s="242"/>
      <c r="H12" s="198"/>
      <c r="I12" s="198"/>
      <c r="J12" s="198"/>
      <c r="K12" s="198"/>
      <c r="L12" s="198"/>
      <c r="M12" s="198"/>
      <c r="N12" s="198"/>
      <c r="O12" s="198"/>
      <c r="P12" s="198"/>
      <c r="Q12" s="198"/>
      <c r="R12" s="24" t="s">
        <v>93</v>
      </c>
      <c r="S12" s="24" t="s">
        <v>94</v>
      </c>
      <c r="T12" s="24" t="s">
        <v>95</v>
      </c>
      <c r="U12" s="24" t="s">
        <v>96</v>
      </c>
      <c r="V12" s="24" t="s">
        <v>97</v>
      </c>
      <c r="W12" s="24" t="s">
        <v>98</v>
      </c>
      <c r="X12" s="198"/>
      <c r="Y12" s="198"/>
      <c r="Z12" s="198"/>
      <c r="AA12" s="198"/>
      <c r="AB12" s="198"/>
      <c r="AC12" s="198"/>
      <c r="AD12" s="198"/>
      <c r="AE12" s="198"/>
      <c r="AF12" s="198"/>
      <c r="AG12" s="198"/>
      <c r="AH12" s="188"/>
      <c r="AI12" s="188"/>
      <c r="AJ12" s="188"/>
      <c r="AK12" s="191"/>
      <c r="AL12" s="191"/>
      <c r="AM12" s="191"/>
      <c r="AN12" s="188"/>
      <c r="AO12" s="188"/>
      <c r="AP12" s="188"/>
      <c r="AQ12" s="25"/>
      <c r="AR12" s="25"/>
      <c r="AS12" s="25"/>
      <c r="AT12" s="25"/>
      <c r="AU12" s="25"/>
      <c r="AV12" s="25"/>
      <c r="AW12" s="25"/>
      <c r="AX12" s="25"/>
      <c r="AY12" s="25"/>
      <c r="AZ12" s="25"/>
      <c r="BA12" s="25"/>
      <c r="BB12" s="25"/>
      <c r="BC12" s="25"/>
      <c r="BD12" s="25"/>
      <c r="BE12" s="25"/>
      <c r="BF12" s="25"/>
      <c r="BG12" s="25"/>
    </row>
    <row r="13" spans="1:59" ht="203.25" customHeight="1" x14ac:dyDescent="0.2">
      <c r="A13" s="166">
        <v>1</v>
      </c>
      <c r="B13" s="189" t="s">
        <v>99</v>
      </c>
      <c r="C13" s="204" t="s">
        <v>230</v>
      </c>
      <c r="D13" s="206" t="s">
        <v>233</v>
      </c>
      <c r="E13" s="205" t="s">
        <v>234</v>
      </c>
      <c r="F13" s="160" t="s">
        <v>100</v>
      </c>
      <c r="G13" s="166">
        <v>70</v>
      </c>
      <c r="H13" s="199" t="str">
        <f>IF(G13&lt;=0,"",IF(G13&lt;=2,"Muy Baja",IF(G13&lt;=24,"Baja",IF(G13&lt;=500,"Media",IF(G13&lt;=5000,"Alta","Muy Alta")))))</f>
        <v>Media</v>
      </c>
      <c r="I13" s="202">
        <f>IF(H13="","",IF(H13="Muy Baja",0.2,IF(H13="Baja",0.4,IF(H13="Media",0.6,IF(H13="Alta",0.8,IF(H13="Muy Alta",1,))))))</f>
        <v>0.6</v>
      </c>
      <c r="J13" s="218" t="s">
        <v>101</v>
      </c>
      <c r="K13" s="202" t="str">
        <f>IF(NOT(ISERROR(MATCH(J13,#REF!,0))),#REF!&amp;"Por favor no seleccionar los criterios de impacto(Afectación Económica o presupuestal y Pérdida Reputacional)",J13)</f>
        <v xml:space="preserve">     El riesgo afecta la imagen de de la entidad con efecto publicitario sostenido a nivel de sector administrativo, nivel departamental o municipal</v>
      </c>
      <c r="L13" s="199" t="str">
        <f>IF(OR(K13='[1]Tabla Impacto'!$C$11,K13='[1]Tabla Impacto'!$D$11),"Leve",IF(OR(K13='[1]Tabla Impacto'!$C$12,K13='[1]Tabla Impacto'!$D$12),"Menor",IF(OR(K13='[1]Tabla Impacto'!$C$13,K13='[1]Tabla Impacto'!$D$13),"Moderado",IF(OR(K13='[1]Tabla Impacto'!$C$14,K13='[1]Tabla Impacto'!$D$14),"Mayor",IF(OR(K13='[1]Tabla Impacto'!$C$15,K13='[1]Tabla Impacto'!$D$15),"Catastrófico","")))))</f>
        <v>Mayor</v>
      </c>
      <c r="M13" s="202">
        <f>IF(L13="","",IF(L13="Leve",0.2,IF(L13="Menor",0.4,IF(L13="Moderado",0.6,IF(L13="Mayor",0.8,IF(L13="Catastrófico",1,))))))</f>
        <v>0.8</v>
      </c>
      <c r="N13" s="203"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Alto</v>
      </c>
      <c r="O13" s="166">
        <v>1</v>
      </c>
      <c r="P13" s="167" t="s">
        <v>232</v>
      </c>
      <c r="Q13" s="166" t="str">
        <f t="shared" ref="Q13:Q19" si="0">IF(OR(R13="Preventivo",R13="Detectivo"),"Probabilidad",IF(R13="Correctivo","Impacto",""))</f>
        <v>Probabilidad</v>
      </c>
      <c r="R13" s="170" t="s">
        <v>102</v>
      </c>
      <c r="S13" s="170" t="s">
        <v>103</v>
      </c>
      <c r="T13" s="173" t="str">
        <f t="shared" ref="T13:T19" si="1">IF(AND(R13="Preventivo",S13="Automático"),"50%",IF(AND(R13="Preventivo",S13="Manual"),"40%",IF(AND(R13="Detectivo",S13="Automático"),"40%",IF(AND(R13="Detectivo",S13="Manual"),"30%",IF(AND(R13="Correctivo",S13="Automático"),"35%",IF(AND(R13="Correctivo",S13="Manual"),"25%",""))))))</f>
        <v>40%</v>
      </c>
      <c r="U13" s="170" t="s">
        <v>104</v>
      </c>
      <c r="V13" s="170" t="s">
        <v>105</v>
      </c>
      <c r="W13" s="170" t="s">
        <v>106</v>
      </c>
      <c r="X13" s="27">
        <f>IFERROR(IF(Q13="Probabilidad",(I13-(+I13*T13)),IF(Q13="Impacto",I13,"")),"")</f>
        <v>0.36</v>
      </c>
      <c r="Y13" s="176" t="str">
        <f t="shared" ref="Y13:Y19" si="2">IFERROR(IF(X13="","",IF(X13&lt;=0.2,"Muy Baja",IF(X13&lt;=0.4,"Baja",IF(X13&lt;=0.6,"Media",IF(X13&lt;=0.8,"Alta","Muy Alta"))))),"")</f>
        <v>Baja</v>
      </c>
      <c r="Z13" s="173">
        <f t="shared" ref="Z13:Z19" si="3">+X13</f>
        <v>0.36</v>
      </c>
      <c r="AA13" s="176" t="str">
        <f t="shared" ref="AA13:AA19" si="4">IFERROR(IF(AB13="","",IF(AB13&lt;=0.2,"Leve",IF(AB13&lt;=0.4,"Menor",IF(AB13&lt;=0.6,"Moderado",IF(AB13&lt;=0.8,"Mayor","Catastrófico"))))),"")</f>
        <v>Mayor</v>
      </c>
      <c r="AB13" s="173">
        <f>IFERROR(IF(Q13="Impacto",(M13-(+M13*T13)),IF(Q13="Probabilidad",M13,"")),"")</f>
        <v>0.8</v>
      </c>
      <c r="AC13" s="179" t="str">
        <f t="shared" ref="AC13:AC19" si="5">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Alto</v>
      </c>
      <c r="AD13" s="170" t="s">
        <v>107</v>
      </c>
      <c r="AE13" s="189" t="s">
        <v>108</v>
      </c>
      <c r="AF13" s="166" t="s">
        <v>109</v>
      </c>
      <c r="AG13" s="163" t="s">
        <v>110</v>
      </c>
      <c r="AH13" s="163"/>
      <c r="AI13" s="160"/>
      <c r="AJ13" s="166"/>
      <c r="AK13" s="163"/>
      <c r="AL13" s="160"/>
      <c r="AM13" s="166"/>
      <c r="AN13" s="163"/>
      <c r="AO13" s="160"/>
      <c r="AP13" s="157"/>
      <c r="AQ13" s="28"/>
      <c r="AR13" s="28"/>
      <c r="AS13" s="28"/>
      <c r="AT13" s="28"/>
      <c r="AU13" s="28"/>
      <c r="AV13" s="28"/>
      <c r="AW13" s="28"/>
      <c r="AX13" s="28"/>
      <c r="AY13" s="28"/>
      <c r="AZ13" s="28"/>
      <c r="BA13" s="28"/>
      <c r="BB13" s="28"/>
      <c r="BC13" s="28"/>
      <c r="BD13" s="28"/>
      <c r="BE13" s="28"/>
      <c r="BF13" s="28"/>
      <c r="BG13" s="28"/>
    </row>
    <row r="14" spans="1:59" ht="46.5" customHeight="1" x14ac:dyDescent="0.2">
      <c r="A14" s="200"/>
      <c r="B14" s="200"/>
      <c r="C14" s="200"/>
      <c r="D14" s="200"/>
      <c r="E14" s="200"/>
      <c r="F14" s="200"/>
      <c r="G14" s="200"/>
      <c r="H14" s="200"/>
      <c r="I14" s="200"/>
      <c r="J14" s="200"/>
      <c r="K14" s="200"/>
      <c r="L14" s="200"/>
      <c r="M14" s="200"/>
      <c r="N14" s="200"/>
      <c r="O14" s="158"/>
      <c r="P14" s="168"/>
      <c r="Q14" s="158"/>
      <c r="R14" s="171"/>
      <c r="S14" s="171"/>
      <c r="T14" s="174"/>
      <c r="U14" s="171"/>
      <c r="V14" s="171"/>
      <c r="W14" s="171"/>
      <c r="X14" s="27" t="str">
        <f>IFERROR(IF(AND(Q13="Probabilidad",Q14="Probabilidad"),(Z13-(+Z13*T14)),IF(Q14="Probabilidad",(I13-(+I13*T14)),IF(Q14="Impacto",Z13,""))),"")</f>
        <v/>
      </c>
      <c r="Y14" s="177"/>
      <c r="Z14" s="174"/>
      <c r="AA14" s="177"/>
      <c r="AB14" s="174"/>
      <c r="AC14" s="180"/>
      <c r="AD14" s="171"/>
      <c r="AE14" s="182"/>
      <c r="AF14" s="158"/>
      <c r="AG14" s="164"/>
      <c r="AH14" s="164"/>
      <c r="AI14" s="161"/>
      <c r="AJ14" s="158"/>
      <c r="AK14" s="164"/>
      <c r="AL14" s="161"/>
      <c r="AM14" s="158"/>
      <c r="AN14" s="164"/>
      <c r="AO14" s="161"/>
      <c r="AP14" s="158"/>
      <c r="AQ14" s="19"/>
      <c r="AR14" s="19"/>
      <c r="AS14" s="19"/>
      <c r="AT14" s="19"/>
      <c r="AU14" s="19"/>
      <c r="AV14" s="19"/>
      <c r="AW14" s="19"/>
      <c r="AX14" s="19"/>
      <c r="AY14" s="19"/>
      <c r="AZ14" s="19"/>
      <c r="BA14" s="19"/>
      <c r="BB14" s="19"/>
      <c r="BC14" s="19"/>
      <c r="BD14" s="19"/>
      <c r="BE14" s="19"/>
      <c r="BF14" s="19"/>
      <c r="BG14" s="19"/>
    </row>
    <row r="15" spans="1:59" ht="17.25" customHeight="1" x14ac:dyDescent="0.2">
      <c r="A15" s="200"/>
      <c r="B15" s="200"/>
      <c r="C15" s="200"/>
      <c r="D15" s="200"/>
      <c r="E15" s="200"/>
      <c r="F15" s="200"/>
      <c r="G15" s="200"/>
      <c r="H15" s="200"/>
      <c r="I15" s="200"/>
      <c r="J15" s="200"/>
      <c r="K15" s="200"/>
      <c r="L15" s="200"/>
      <c r="M15" s="200"/>
      <c r="N15" s="200"/>
      <c r="O15" s="158"/>
      <c r="P15" s="168"/>
      <c r="Q15" s="158"/>
      <c r="R15" s="171"/>
      <c r="S15" s="171"/>
      <c r="T15" s="174"/>
      <c r="U15" s="171"/>
      <c r="V15" s="171"/>
      <c r="W15" s="171"/>
      <c r="X15" s="27" t="str">
        <f t="shared" ref="X15:X18" si="6">IFERROR(IF(AND(Q14="Probabilidad",Q15="Probabilidad"),(Z14-(+Z14*T15)),IF(AND(Q14="Impacto",Q15="Probabilidad"),(Z13-(+Z13*T15)),IF(Q15="Impacto",Z14,""))),"")</f>
        <v/>
      </c>
      <c r="Y15" s="177"/>
      <c r="Z15" s="174"/>
      <c r="AA15" s="177"/>
      <c r="AB15" s="174"/>
      <c r="AC15" s="180"/>
      <c r="AD15" s="171"/>
      <c r="AE15" s="182"/>
      <c r="AF15" s="158"/>
      <c r="AG15" s="164"/>
      <c r="AH15" s="164"/>
      <c r="AI15" s="161"/>
      <c r="AJ15" s="158"/>
      <c r="AK15" s="164"/>
      <c r="AL15" s="161"/>
      <c r="AM15" s="158"/>
      <c r="AN15" s="164"/>
      <c r="AO15" s="161"/>
      <c r="AP15" s="158"/>
      <c r="AQ15" s="19"/>
      <c r="AR15" s="19"/>
      <c r="AS15" s="19"/>
      <c r="AT15" s="19"/>
      <c r="AU15" s="19"/>
      <c r="AV15" s="19"/>
      <c r="AW15" s="19"/>
      <c r="AX15" s="19"/>
      <c r="AY15" s="19"/>
      <c r="AZ15" s="19"/>
      <c r="BA15" s="19"/>
      <c r="BB15" s="19"/>
      <c r="BC15" s="19"/>
      <c r="BD15" s="19"/>
      <c r="BE15" s="19"/>
      <c r="BF15" s="19"/>
      <c r="BG15" s="19"/>
    </row>
    <row r="16" spans="1:59" ht="17.25" customHeight="1" x14ac:dyDescent="0.2">
      <c r="A16" s="200"/>
      <c r="B16" s="200"/>
      <c r="C16" s="200"/>
      <c r="D16" s="200"/>
      <c r="E16" s="200"/>
      <c r="F16" s="200"/>
      <c r="G16" s="200"/>
      <c r="H16" s="200"/>
      <c r="I16" s="200"/>
      <c r="J16" s="200"/>
      <c r="K16" s="200"/>
      <c r="L16" s="200"/>
      <c r="M16" s="200"/>
      <c r="N16" s="200"/>
      <c r="O16" s="158"/>
      <c r="P16" s="168"/>
      <c r="Q16" s="158"/>
      <c r="R16" s="171"/>
      <c r="S16" s="171"/>
      <c r="T16" s="174"/>
      <c r="U16" s="171"/>
      <c r="V16" s="171"/>
      <c r="W16" s="171"/>
      <c r="X16" s="27" t="str">
        <f t="shared" si="6"/>
        <v/>
      </c>
      <c r="Y16" s="177"/>
      <c r="Z16" s="174"/>
      <c r="AA16" s="177"/>
      <c r="AB16" s="174"/>
      <c r="AC16" s="180"/>
      <c r="AD16" s="171"/>
      <c r="AE16" s="182"/>
      <c r="AF16" s="158"/>
      <c r="AG16" s="164"/>
      <c r="AH16" s="164"/>
      <c r="AI16" s="161"/>
      <c r="AJ16" s="158"/>
      <c r="AK16" s="164"/>
      <c r="AL16" s="161"/>
      <c r="AM16" s="158"/>
      <c r="AN16" s="164"/>
      <c r="AO16" s="161"/>
      <c r="AP16" s="158"/>
      <c r="AQ16" s="19"/>
      <c r="AR16" s="19"/>
      <c r="AS16" s="19"/>
      <c r="AT16" s="19"/>
      <c r="AU16" s="19"/>
      <c r="AV16" s="19"/>
      <c r="AW16" s="19"/>
      <c r="AX16" s="19"/>
      <c r="AY16" s="19"/>
      <c r="AZ16" s="19"/>
      <c r="BA16" s="19"/>
      <c r="BB16" s="19"/>
      <c r="BC16" s="19"/>
      <c r="BD16" s="19"/>
      <c r="BE16" s="19"/>
      <c r="BF16" s="19"/>
      <c r="BG16" s="19"/>
    </row>
    <row r="17" spans="1:59" ht="17.25" customHeight="1" x14ac:dyDescent="0.2">
      <c r="A17" s="200"/>
      <c r="B17" s="200"/>
      <c r="C17" s="200"/>
      <c r="D17" s="200"/>
      <c r="E17" s="200"/>
      <c r="F17" s="200"/>
      <c r="G17" s="200"/>
      <c r="H17" s="200"/>
      <c r="I17" s="200"/>
      <c r="J17" s="200"/>
      <c r="K17" s="200"/>
      <c r="L17" s="200"/>
      <c r="M17" s="200"/>
      <c r="N17" s="200"/>
      <c r="O17" s="158"/>
      <c r="P17" s="168"/>
      <c r="Q17" s="158"/>
      <c r="R17" s="171"/>
      <c r="S17" s="171"/>
      <c r="T17" s="174"/>
      <c r="U17" s="171"/>
      <c r="V17" s="171"/>
      <c r="W17" s="171"/>
      <c r="X17" s="27" t="str">
        <f t="shared" si="6"/>
        <v/>
      </c>
      <c r="Y17" s="177"/>
      <c r="Z17" s="174"/>
      <c r="AA17" s="177"/>
      <c r="AB17" s="174"/>
      <c r="AC17" s="180"/>
      <c r="AD17" s="171"/>
      <c r="AE17" s="182"/>
      <c r="AF17" s="158"/>
      <c r="AG17" s="164"/>
      <c r="AH17" s="164"/>
      <c r="AI17" s="161"/>
      <c r="AJ17" s="158"/>
      <c r="AK17" s="164"/>
      <c r="AL17" s="161"/>
      <c r="AM17" s="158"/>
      <c r="AN17" s="164"/>
      <c r="AO17" s="161"/>
      <c r="AP17" s="158"/>
      <c r="AQ17" s="19"/>
      <c r="AR17" s="19"/>
      <c r="AS17" s="19"/>
      <c r="AT17" s="19"/>
      <c r="AU17" s="19"/>
      <c r="AV17" s="19"/>
      <c r="AW17" s="19"/>
      <c r="AX17" s="19"/>
      <c r="AY17" s="19"/>
      <c r="AZ17" s="19"/>
      <c r="BA17" s="19"/>
      <c r="BB17" s="19"/>
      <c r="BC17" s="19"/>
      <c r="BD17" s="19"/>
      <c r="BE17" s="19"/>
      <c r="BF17" s="19"/>
      <c r="BG17" s="19"/>
    </row>
    <row r="18" spans="1:59" ht="17.25" customHeight="1" x14ac:dyDescent="0.2">
      <c r="A18" s="201"/>
      <c r="B18" s="201"/>
      <c r="C18" s="201"/>
      <c r="D18" s="201"/>
      <c r="E18" s="201"/>
      <c r="F18" s="201"/>
      <c r="G18" s="201"/>
      <c r="H18" s="201"/>
      <c r="I18" s="201"/>
      <c r="J18" s="201"/>
      <c r="K18" s="201"/>
      <c r="L18" s="201"/>
      <c r="M18" s="201"/>
      <c r="N18" s="201"/>
      <c r="O18" s="159"/>
      <c r="P18" s="169"/>
      <c r="Q18" s="159"/>
      <c r="R18" s="172"/>
      <c r="S18" s="172"/>
      <c r="T18" s="175"/>
      <c r="U18" s="172"/>
      <c r="V18" s="172"/>
      <c r="W18" s="172"/>
      <c r="X18" s="27" t="str">
        <f t="shared" si="6"/>
        <v/>
      </c>
      <c r="Y18" s="178"/>
      <c r="Z18" s="175"/>
      <c r="AA18" s="178"/>
      <c r="AB18" s="175"/>
      <c r="AC18" s="181"/>
      <c r="AD18" s="172"/>
      <c r="AE18" s="183"/>
      <c r="AF18" s="159"/>
      <c r="AG18" s="165"/>
      <c r="AH18" s="165"/>
      <c r="AI18" s="162"/>
      <c r="AJ18" s="159"/>
      <c r="AK18" s="165"/>
      <c r="AL18" s="162"/>
      <c r="AM18" s="159"/>
      <c r="AN18" s="165"/>
      <c r="AO18" s="162"/>
      <c r="AP18" s="159"/>
      <c r="AQ18" s="19"/>
      <c r="AR18" s="19"/>
      <c r="AS18" s="19"/>
      <c r="AT18" s="19"/>
      <c r="AU18" s="19"/>
      <c r="AV18" s="19"/>
      <c r="AW18" s="19"/>
      <c r="AX18" s="19"/>
      <c r="AY18" s="19"/>
      <c r="AZ18" s="19"/>
      <c r="BA18" s="19"/>
      <c r="BB18" s="19"/>
      <c r="BC18" s="19"/>
      <c r="BD18" s="19"/>
      <c r="BE18" s="19"/>
      <c r="BF18" s="19"/>
      <c r="BG18" s="19"/>
    </row>
    <row r="19" spans="1:59" ht="140.25" customHeight="1" x14ac:dyDescent="0.2">
      <c r="A19" s="166">
        <v>2</v>
      </c>
      <c r="B19" s="189" t="s">
        <v>99</v>
      </c>
      <c r="C19" s="204" t="s">
        <v>230</v>
      </c>
      <c r="D19" s="205" t="s">
        <v>238</v>
      </c>
      <c r="E19" s="205" t="s">
        <v>235</v>
      </c>
      <c r="F19" s="189" t="s">
        <v>100</v>
      </c>
      <c r="G19" s="166">
        <v>70</v>
      </c>
      <c r="H19" s="199" t="str">
        <f>IF(G19&lt;=0,"",IF(G19&lt;=2,"Muy Baja",IF(G19&lt;=24,"Baja",IF(G19&lt;=500,"Media",IF(G19&lt;=5000,"Alta","Muy Alta")))))</f>
        <v>Media</v>
      </c>
      <c r="I19" s="202">
        <f>IF(H19="","",IF(H19="Muy Baja",0.2,IF(H19="Baja",0.4,IF(H19="Media",0.6,IF(H19="Alta",0.8,IF(H19="Muy Alta",1,))))))</f>
        <v>0.6</v>
      </c>
      <c r="J19" s="202" t="s">
        <v>112</v>
      </c>
      <c r="K19" s="202" t="str">
        <f>IF(NOT(ISERROR(MATCH(J19,#REF!,0))),#REF!&amp;"Por favor no seleccionar los criterios de impacto(Afectación Económica o presupuestal y Pérdida Reputacional)",J19)</f>
        <v xml:space="preserve">     El riesgo afecta la imagen de la entidad con algunos usuarios de relevancia frente al logro de los objetivos</v>
      </c>
      <c r="L19" s="199" t="str">
        <f>IF(OR(K19='[1]Tabla Impacto'!$C$11,K19='[1]Tabla Impacto'!$D$11),"Leve",IF(OR(K19='[1]Tabla Impacto'!$C$12,K19='[1]Tabla Impacto'!$D$12),"Menor",IF(OR(K19='[1]Tabla Impacto'!$C$13,K19='[1]Tabla Impacto'!$D$13),"Moderado",IF(OR(K19='[1]Tabla Impacto'!$C$14,K19='[1]Tabla Impacto'!$D$14),"Mayor",IF(OR(K19='[1]Tabla Impacto'!$C$15,K19='[1]Tabla Impacto'!$D$15),"Catastrófico","")))))</f>
        <v>Moderado</v>
      </c>
      <c r="M19" s="202">
        <f>IF(L19="","",IF(L19="Leve",0.2,IF(L19="Menor",0.4,IF(L19="Moderado",0.6,IF(L19="Mayor",0.8,IF(L19="Catastrófico",1,))))))</f>
        <v>0.6</v>
      </c>
      <c r="N19" s="203" t="str">
        <f>IF(OR(AND(H19="Muy Baja",L19="Leve"),AND(H19="Muy Baja",L19="Menor"),AND(H19="Baja",L19="Leve")),"Bajo",IF(OR(AND(H19="Muy baja",L19="Moderado"),AND(H19="Baja",L19="Menor"),AND(H19="Baja",L19="Moderado"),AND(H19="Media",L19="Leve"),AND(H19="Media",L19="Menor"),AND(H19="Media",L19="Moderado"),AND(H19="Alta",L19="Leve"),AND(H19="Alta",L19="Menor")),"Moderado",IF(OR(AND(H19="Muy Baja",L19="Mayor"),AND(H19="Baja",L19="Mayor"),AND(H19="Media",L19="Mayor"),AND(H19="Alta",L19="Moderado"),AND(H19="Alta",L19="Mayor"),AND(H19="Muy Alta",L19="Leve"),AND(H19="Muy Alta",L19="Menor"),AND(H19="Muy Alta",L19="Moderado"),AND(H19="Muy Alta",L19="Mayor")),"Alto",IF(OR(AND(H19="Muy Baja",L19="Catastrófico"),AND(H19="Baja",L19="Catastrófico"),AND(H19="Media",L19="Catastrófico"),AND(H19="Alta",L19="Catastrófico"),AND(H19="Muy Alta",L19="Catastrófico")),"Extremo",""))))</f>
        <v>Moderado</v>
      </c>
      <c r="O19" s="166">
        <v>1</v>
      </c>
      <c r="P19" s="167" t="s">
        <v>236</v>
      </c>
      <c r="Q19" s="166" t="str">
        <f t="shared" si="0"/>
        <v>Probabilidad</v>
      </c>
      <c r="R19" s="170" t="s">
        <v>102</v>
      </c>
      <c r="S19" s="170" t="s">
        <v>103</v>
      </c>
      <c r="T19" s="173" t="str">
        <f t="shared" si="1"/>
        <v>40%</v>
      </c>
      <c r="U19" s="170" t="s">
        <v>104</v>
      </c>
      <c r="V19" s="170" t="s">
        <v>105</v>
      </c>
      <c r="W19" s="170" t="s">
        <v>106</v>
      </c>
      <c r="X19" s="27">
        <f>IFERROR(IF(Q19="Probabilidad",(I19-(+I19*T19)),IF(Q19="Impacto",I19,"")),"")</f>
        <v>0.36</v>
      </c>
      <c r="Y19" s="176" t="str">
        <f t="shared" si="2"/>
        <v>Baja</v>
      </c>
      <c r="Z19" s="173">
        <f t="shared" si="3"/>
        <v>0.36</v>
      </c>
      <c r="AA19" s="176" t="str">
        <f t="shared" si="4"/>
        <v>Moderado</v>
      </c>
      <c r="AB19" s="173">
        <f>IFERROR(IF(Q19="Impacto",(M19-(+M19*T19)),IF(Q19="Probabilidad",M19,"")),"")</f>
        <v>0.6</v>
      </c>
      <c r="AC19" s="179" t="str">
        <f t="shared" si="5"/>
        <v>Moderado</v>
      </c>
      <c r="AD19" s="170" t="s">
        <v>107</v>
      </c>
      <c r="AE19" s="160" t="s">
        <v>237</v>
      </c>
      <c r="AF19" s="166" t="s">
        <v>109</v>
      </c>
      <c r="AG19" s="166" t="s">
        <v>110</v>
      </c>
      <c r="AH19" s="163"/>
      <c r="AI19" s="160"/>
      <c r="AJ19" s="166"/>
      <c r="AK19" s="163"/>
      <c r="AL19" s="160"/>
      <c r="AM19" s="166"/>
      <c r="AN19" s="163"/>
      <c r="AO19" s="160"/>
      <c r="AP19" s="157"/>
      <c r="AQ19" s="19"/>
      <c r="AR19" s="19"/>
      <c r="AS19" s="19"/>
      <c r="AT19" s="19"/>
      <c r="AU19" s="19"/>
      <c r="AV19" s="19"/>
      <c r="AW19" s="19"/>
      <c r="AX19" s="19"/>
      <c r="AY19" s="19"/>
      <c r="AZ19" s="19"/>
      <c r="BA19" s="19"/>
      <c r="BB19" s="19"/>
      <c r="BC19" s="19"/>
      <c r="BD19" s="19"/>
      <c r="BE19" s="19"/>
      <c r="BF19" s="19"/>
      <c r="BG19" s="19"/>
    </row>
    <row r="20" spans="1:59" ht="70.5" customHeight="1" x14ac:dyDescent="0.2">
      <c r="A20" s="200"/>
      <c r="B20" s="200"/>
      <c r="C20" s="200"/>
      <c r="D20" s="200"/>
      <c r="E20" s="200"/>
      <c r="F20" s="200"/>
      <c r="G20" s="200"/>
      <c r="H20" s="200"/>
      <c r="I20" s="200"/>
      <c r="J20" s="200"/>
      <c r="K20" s="200"/>
      <c r="L20" s="200"/>
      <c r="M20" s="200"/>
      <c r="N20" s="200"/>
      <c r="O20" s="158"/>
      <c r="P20" s="168"/>
      <c r="Q20" s="158"/>
      <c r="R20" s="171"/>
      <c r="S20" s="171"/>
      <c r="T20" s="174"/>
      <c r="U20" s="171"/>
      <c r="V20" s="171"/>
      <c r="W20" s="171"/>
      <c r="X20" s="27" t="str">
        <f>IFERROR(IF(AND(Q19="Probabilidad",Q20="Probabilidad"),(Z19-(+Z19*T20)),IF(Q20="Probabilidad",(I19-(+I19*T20)),IF(Q20="Impacto",Z19,""))),"")</f>
        <v/>
      </c>
      <c r="Y20" s="177"/>
      <c r="Z20" s="174"/>
      <c r="AA20" s="177"/>
      <c r="AB20" s="174"/>
      <c r="AC20" s="180"/>
      <c r="AD20" s="171"/>
      <c r="AE20" s="182"/>
      <c r="AF20" s="158"/>
      <c r="AG20" s="158"/>
      <c r="AH20" s="164"/>
      <c r="AI20" s="161"/>
      <c r="AJ20" s="158"/>
      <c r="AK20" s="164"/>
      <c r="AL20" s="161"/>
      <c r="AM20" s="158"/>
      <c r="AN20" s="164"/>
      <c r="AO20" s="161"/>
      <c r="AP20" s="158"/>
      <c r="AQ20" s="19"/>
      <c r="AR20" s="19"/>
      <c r="AS20" s="19"/>
      <c r="AT20" s="19"/>
      <c r="AU20" s="19"/>
      <c r="AV20" s="19"/>
      <c r="AW20" s="19"/>
      <c r="AX20" s="19"/>
      <c r="AY20" s="19"/>
      <c r="AZ20" s="19"/>
      <c r="BA20" s="19"/>
      <c r="BB20" s="19"/>
      <c r="BC20" s="19"/>
      <c r="BD20" s="19"/>
      <c r="BE20" s="19"/>
      <c r="BF20" s="19"/>
      <c r="BG20" s="19"/>
    </row>
    <row r="21" spans="1:59" ht="14.25" customHeight="1" x14ac:dyDescent="0.2">
      <c r="A21" s="200"/>
      <c r="B21" s="200"/>
      <c r="C21" s="200"/>
      <c r="D21" s="200"/>
      <c r="E21" s="200"/>
      <c r="F21" s="200"/>
      <c r="G21" s="200"/>
      <c r="H21" s="200"/>
      <c r="I21" s="200"/>
      <c r="J21" s="200"/>
      <c r="K21" s="200"/>
      <c r="L21" s="200"/>
      <c r="M21" s="200"/>
      <c r="N21" s="200"/>
      <c r="O21" s="158"/>
      <c r="P21" s="168"/>
      <c r="Q21" s="158"/>
      <c r="R21" s="171"/>
      <c r="S21" s="171"/>
      <c r="T21" s="174"/>
      <c r="U21" s="171"/>
      <c r="V21" s="171"/>
      <c r="W21" s="171"/>
      <c r="X21" s="27" t="str">
        <f t="shared" ref="X21:X24" si="7">IFERROR(IF(AND(Q20="Probabilidad",Q21="Probabilidad"),(Z20-(+Z20*T21)),IF(AND(Q20="Impacto",Q21="Probabilidad"),(Z19-(+Z19*T21)),IF(Q21="Impacto",Z20,""))),"")</f>
        <v/>
      </c>
      <c r="Y21" s="177"/>
      <c r="Z21" s="174"/>
      <c r="AA21" s="177"/>
      <c r="AB21" s="174"/>
      <c r="AC21" s="180"/>
      <c r="AD21" s="171"/>
      <c r="AE21" s="182"/>
      <c r="AF21" s="158"/>
      <c r="AG21" s="158"/>
      <c r="AH21" s="164"/>
      <c r="AI21" s="161"/>
      <c r="AJ21" s="158"/>
      <c r="AK21" s="164"/>
      <c r="AL21" s="161"/>
      <c r="AM21" s="158"/>
      <c r="AN21" s="164"/>
      <c r="AO21" s="161"/>
      <c r="AP21" s="158"/>
      <c r="AQ21" s="19"/>
      <c r="AR21" s="19"/>
      <c r="AS21" s="19"/>
      <c r="AT21" s="19"/>
      <c r="AU21" s="19"/>
      <c r="AV21" s="19"/>
      <c r="AW21" s="19"/>
      <c r="AX21" s="19"/>
      <c r="AY21" s="19"/>
      <c r="AZ21" s="19"/>
      <c r="BA21" s="19"/>
      <c r="BB21" s="19"/>
      <c r="BC21" s="19"/>
      <c r="BD21" s="19"/>
      <c r="BE21" s="19"/>
      <c r="BF21" s="19"/>
      <c r="BG21" s="19"/>
    </row>
    <row r="22" spans="1:59" ht="24" customHeight="1" x14ac:dyDescent="0.2">
      <c r="A22" s="200"/>
      <c r="B22" s="200"/>
      <c r="C22" s="200"/>
      <c r="D22" s="200"/>
      <c r="E22" s="200"/>
      <c r="F22" s="200"/>
      <c r="G22" s="200"/>
      <c r="H22" s="200"/>
      <c r="I22" s="200"/>
      <c r="J22" s="200"/>
      <c r="K22" s="200"/>
      <c r="L22" s="200"/>
      <c r="M22" s="200"/>
      <c r="N22" s="200"/>
      <c r="O22" s="158"/>
      <c r="P22" s="168"/>
      <c r="Q22" s="158"/>
      <c r="R22" s="171"/>
      <c r="S22" s="171"/>
      <c r="T22" s="174"/>
      <c r="U22" s="171"/>
      <c r="V22" s="171"/>
      <c r="W22" s="171"/>
      <c r="X22" s="27" t="str">
        <f t="shared" si="7"/>
        <v/>
      </c>
      <c r="Y22" s="177"/>
      <c r="Z22" s="174"/>
      <c r="AA22" s="177"/>
      <c r="AB22" s="174"/>
      <c r="AC22" s="180"/>
      <c r="AD22" s="171"/>
      <c r="AE22" s="182"/>
      <c r="AF22" s="158"/>
      <c r="AG22" s="158"/>
      <c r="AH22" s="164"/>
      <c r="AI22" s="161"/>
      <c r="AJ22" s="158"/>
      <c r="AK22" s="164"/>
      <c r="AL22" s="161"/>
      <c r="AM22" s="158"/>
      <c r="AN22" s="164"/>
      <c r="AO22" s="161"/>
      <c r="AP22" s="158"/>
      <c r="AQ22" s="19"/>
      <c r="AR22" s="19"/>
      <c r="AS22" s="19"/>
      <c r="AT22" s="19"/>
      <c r="AU22" s="19"/>
      <c r="AV22" s="19"/>
      <c r="AW22" s="19"/>
      <c r="AX22" s="19"/>
      <c r="AY22" s="19"/>
      <c r="AZ22" s="19"/>
      <c r="BA22" s="19"/>
      <c r="BB22" s="19"/>
      <c r="BC22" s="19"/>
      <c r="BD22" s="19"/>
      <c r="BE22" s="19"/>
      <c r="BF22" s="19"/>
      <c r="BG22" s="19"/>
    </row>
    <row r="23" spans="1:59" ht="14.25" customHeight="1" x14ac:dyDescent="0.2">
      <c r="A23" s="200"/>
      <c r="B23" s="200"/>
      <c r="C23" s="200"/>
      <c r="D23" s="200"/>
      <c r="E23" s="200"/>
      <c r="F23" s="200"/>
      <c r="G23" s="200"/>
      <c r="H23" s="200"/>
      <c r="I23" s="200"/>
      <c r="J23" s="200"/>
      <c r="K23" s="200"/>
      <c r="L23" s="200"/>
      <c r="M23" s="200"/>
      <c r="N23" s="200"/>
      <c r="O23" s="158"/>
      <c r="P23" s="168"/>
      <c r="Q23" s="158"/>
      <c r="R23" s="171"/>
      <c r="S23" s="171"/>
      <c r="T23" s="174"/>
      <c r="U23" s="171"/>
      <c r="V23" s="171"/>
      <c r="W23" s="171"/>
      <c r="X23" s="27" t="str">
        <f t="shared" si="7"/>
        <v/>
      </c>
      <c r="Y23" s="177"/>
      <c r="Z23" s="174"/>
      <c r="AA23" s="177"/>
      <c r="AB23" s="174"/>
      <c r="AC23" s="180"/>
      <c r="AD23" s="171"/>
      <c r="AE23" s="182"/>
      <c r="AF23" s="158"/>
      <c r="AG23" s="158"/>
      <c r="AH23" s="164"/>
      <c r="AI23" s="161"/>
      <c r="AJ23" s="158"/>
      <c r="AK23" s="164"/>
      <c r="AL23" s="161"/>
      <c r="AM23" s="158"/>
      <c r="AN23" s="164"/>
      <c r="AO23" s="161"/>
      <c r="AP23" s="158"/>
      <c r="AQ23" s="19"/>
      <c r="AR23" s="19"/>
      <c r="AS23" s="19"/>
      <c r="AT23" s="19"/>
      <c r="AU23" s="19"/>
      <c r="AV23" s="19"/>
      <c r="AW23" s="19"/>
      <c r="AX23" s="19"/>
      <c r="AY23" s="19"/>
      <c r="AZ23" s="19"/>
      <c r="BA23" s="19"/>
      <c r="BB23" s="19"/>
      <c r="BC23" s="19"/>
      <c r="BD23" s="19"/>
      <c r="BE23" s="19"/>
      <c r="BF23" s="19"/>
      <c r="BG23" s="19"/>
    </row>
    <row r="24" spans="1:59" ht="18.75" customHeight="1" x14ac:dyDescent="0.2">
      <c r="A24" s="201"/>
      <c r="B24" s="201"/>
      <c r="C24" s="201"/>
      <c r="D24" s="201"/>
      <c r="E24" s="201"/>
      <c r="F24" s="201"/>
      <c r="G24" s="201"/>
      <c r="H24" s="201"/>
      <c r="I24" s="201"/>
      <c r="J24" s="201"/>
      <c r="K24" s="201"/>
      <c r="L24" s="201"/>
      <c r="M24" s="201"/>
      <c r="N24" s="201"/>
      <c r="O24" s="159"/>
      <c r="P24" s="169"/>
      <c r="Q24" s="159"/>
      <c r="R24" s="172"/>
      <c r="S24" s="172"/>
      <c r="T24" s="175"/>
      <c r="U24" s="172"/>
      <c r="V24" s="172"/>
      <c r="W24" s="172"/>
      <c r="X24" s="27" t="str">
        <f t="shared" si="7"/>
        <v/>
      </c>
      <c r="Y24" s="178"/>
      <c r="Z24" s="175"/>
      <c r="AA24" s="178"/>
      <c r="AB24" s="175"/>
      <c r="AC24" s="181"/>
      <c r="AD24" s="172"/>
      <c r="AE24" s="183"/>
      <c r="AF24" s="159"/>
      <c r="AG24" s="159"/>
      <c r="AH24" s="165"/>
      <c r="AI24" s="162"/>
      <c r="AJ24" s="159"/>
      <c r="AK24" s="165"/>
      <c r="AL24" s="162"/>
      <c r="AM24" s="159"/>
      <c r="AN24" s="165"/>
      <c r="AO24" s="162"/>
      <c r="AP24" s="159"/>
      <c r="AQ24" s="19"/>
      <c r="AR24" s="19"/>
      <c r="AS24" s="19"/>
      <c r="AT24" s="19"/>
      <c r="AU24" s="19"/>
      <c r="AV24" s="19"/>
      <c r="AW24" s="19"/>
      <c r="AX24" s="19"/>
      <c r="AY24" s="19"/>
      <c r="AZ24" s="19"/>
      <c r="BA24" s="19"/>
      <c r="BB24" s="19"/>
      <c r="BC24" s="19"/>
      <c r="BD24" s="19"/>
      <c r="BE24" s="19"/>
      <c r="BF24" s="19"/>
      <c r="BG24" s="19"/>
    </row>
    <row r="25" spans="1:59" ht="49.5" customHeight="1" x14ac:dyDescent="0.2">
      <c r="A25" s="26"/>
      <c r="B25" s="215" t="s">
        <v>114</v>
      </c>
      <c r="C25" s="212"/>
      <c r="D25" s="212"/>
      <c r="E25" s="212"/>
      <c r="F25" s="212"/>
      <c r="G25" s="212"/>
      <c r="H25" s="212"/>
      <c r="I25" s="212"/>
      <c r="J25" s="212"/>
      <c r="K25" s="212"/>
      <c r="L25" s="212"/>
      <c r="M25" s="212"/>
      <c r="N25" s="212"/>
      <c r="O25" s="212"/>
      <c r="P25" s="212"/>
      <c r="Q25" s="212"/>
      <c r="R25" s="212"/>
      <c r="S25" s="212"/>
      <c r="T25" s="212"/>
      <c r="U25" s="212"/>
      <c r="V25" s="212"/>
      <c r="W25" s="212"/>
      <c r="X25" s="212"/>
      <c r="Y25" s="212"/>
      <c r="Z25" s="212"/>
      <c r="AA25" s="212"/>
      <c r="AB25" s="212"/>
      <c r="AC25" s="212"/>
      <c r="AD25" s="212"/>
      <c r="AE25" s="212"/>
      <c r="AF25" s="212"/>
      <c r="AG25" s="212"/>
      <c r="AH25" s="212"/>
      <c r="AI25" s="212"/>
      <c r="AJ25" s="212"/>
      <c r="AK25" s="212"/>
      <c r="AL25" s="212"/>
      <c r="AM25" s="210"/>
    </row>
    <row r="26" spans="1:59" ht="14.25" customHeight="1" x14ac:dyDescent="0.2">
      <c r="A26" s="29"/>
      <c r="B26" s="29"/>
      <c r="C26" s="29"/>
      <c r="D26" s="29"/>
      <c r="F26" s="30"/>
    </row>
    <row r="27" spans="1:59" ht="14.25" customHeight="1" x14ac:dyDescent="0.2">
      <c r="B27" s="31" t="s">
        <v>115</v>
      </c>
    </row>
    <row r="28" spans="1:59" ht="14.25" customHeight="1" x14ac:dyDescent="0.2">
      <c r="A28" s="29"/>
      <c r="B28" s="29"/>
      <c r="C28" s="29"/>
      <c r="D28" s="29"/>
      <c r="F28" s="30"/>
    </row>
    <row r="29" spans="1:59" ht="14.25" customHeight="1" x14ac:dyDescent="0.2">
      <c r="A29" s="29"/>
      <c r="B29" s="29"/>
      <c r="C29" s="29"/>
      <c r="D29" s="29"/>
      <c r="F29" s="30"/>
    </row>
    <row r="30" spans="1:59" ht="14.25" customHeight="1" x14ac:dyDescent="0.2">
      <c r="A30" s="29"/>
      <c r="B30" s="29"/>
      <c r="C30" s="29"/>
      <c r="D30" s="29"/>
      <c r="F30" s="30"/>
    </row>
    <row r="31" spans="1:59" ht="14.25" customHeight="1" x14ac:dyDescent="0.2">
      <c r="A31" s="29"/>
      <c r="B31" s="29"/>
      <c r="C31" s="29"/>
      <c r="D31" s="29"/>
      <c r="F31" s="30"/>
    </row>
    <row r="32" spans="1:59" ht="14.25" customHeight="1" x14ac:dyDescent="0.2">
      <c r="A32" s="29"/>
      <c r="B32" s="29"/>
      <c r="C32" s="29"/>
      <c r="D32" s="29"/>
      <c r="F32" s="30"/>
    </row>
    <row r="33" spans="1:6" ht="14.25" customHeight="1" x14ac:dyDescent="0.2">
      <c r="A33" s="29"/>
      <c r="B33" s="29"/>
      <c r="C33" s="29"/>
      <c r="D33" s="29"/>
      <c r="F33" s="30"/>
    </row>
    <row r="34" spans="1:6" ht="14.25" customHeight="1" x14ac:dyDescent="0.2">
      <c r="A34" s="29"/>
      <c r="B34" s="29"/>
      <c r="C34" s="29"/>
      <c r="D34" s="29"/>
      <c r="F34" s="30"/>
    </row>
    <row r="35" spans="1:6" ht="14.25" customHeight="1" x14ac:dyDescent="0.2">
      <c r="A35" s="29"/>
      <c r="B35" s="29"/>
      <c r="C35" s="29"/>
      <c r="D35" s="29"/>
      <c r="F35" s="30"/>
    </row>
    <row r="36" spans="1:6" ht="14.25" customHeight="1" x14ac:dyDescent="0.2">
      <c r="A36" s="29"/>
      <c r="B36" s="29"/>
      <c r="C36" s="29"/>
      <c r="D36" s="29"/>
      <c r="F36" s="30"/>
    </row>
    <row r="37" spans="1:6" ht="14.25" customHeight="1" x14ac:dyDescent="0.2">
      <c r="A37" s="29"/>
      <c r="B37" s="29"/>
      <c r="C37" s="29"/>
      <c r="D37" s="29"/>
      <c r="F37" s="30"/>
    </row>
    <row r="38" spans="1:6" ht="14.25" customHeight="1" x14ac:dyDescent="0.2">
      <c r="A38" s="29"/>
      <c r="B38" s="29"/>
      <c r="C38" s="29"/>
      <c r="D38" s="29"/>
      <c r="F38" s="30"/>
    </row>
    <row r="39" spans="1:6" ht="14.25" customHeight="1" x14ac:dyDescent="0.2">
      <c r="A39" s="29"/>
      <c r="B39" s="29"/>
      <c r="C39" s="29"/>
      <c r="D39" s="29"/>
      <c r="F39" s="30"/>
    </row>
    <row r="40" spans="1:6" ht="14.25" customHeight="1" x14ac:dyDescent="0.2">
      <c r="A40" s="29"/>
      <c r="B40" s="29"/>
      <c r="C40" s="29"/>
      <c r="D40" s="29"/>
      <c r="F40" s="30"/>
    </row>
    <row r="41" spans="1:6" ht="14.25" customHeight="1" x14ac:dyDescent="0.2">
      <c r="A41" s="29"/>
      <c r="B41" s="29"/>
      <c r="C41" s="29"/>
      <c r="D41" s="29"/>
      <c r="F41" s="30"/>
    </row>
    <row r="42" spans="1:6" ht="14.25" customHeight="1" x14ac:dyDescent="0.2">
      <c r="A42" s="29"/>
      <c r="B42" s="29"/>
      <c r="C42" s="29"/>
      <c r="D42" s="29"/>
      <c r="F42" s="30"/>
    </row>
    <row r="43" spans="1:6" ht="14.25" customHeight="1" x14ac:dyDescent="0.2">
      <c r="A43" s="29"/>
      <c r="B43" s="29"/>
      <c r="C43" s="29"/>
      <c r="D43" s="29"/>
      <c r="F43" s="30"/>
    </row>
    <row r="44" spans="1:6" ht="14.25" customHeight="1" x14ac:dyDescent="0.2">
      <c r="A44" s="29"/>
      <c r="B44" s="29"/>
      <c r="C44" s="29"/>
      <c r="D44" s="29"/>
      <c r="F44" s="30"/>
    </row>
    <row r="45" spans="1:6" ht="14.25" customHeight="1" x14ac:dyDescent="0.2">
      <c r="A45" s="29"/>
      <c r="B45" s="29"/>
      <c r="C45" s="29"/>
      <c r="D45" s="29"/>
      <c r="F45" s="30"/>
    </row>
    <row r="46" spans="1:6" ht="14.25" customHeight="1" x14ac:dyDescent="0.2">
      <c r="A46" s="29"/>
      <c r="B46" s="29"/>
      <c r="C46" s="29"/>
      <c r="D46" s="29"/>
      <c r="F46" s="30"/>
    </row>
    <row r="47" spans="1:6" ht="14.25" customHeight="1" x14ac:dyDescent="0.2">
      <c r="A47" s="29"/>
      <c r="B47" s="29"/>
      <c r="C47" s="29"/>
      <c r="D47" s="29"/>
      <c r="F47" s="30"/>
    </row>
    <row r="48" spans="1:6" ht="14.25" customHeight="1" x14ac:dyDescent="0.2">
      <c r="A48" s="29"/>
      <c r="B48" s="29"/>
      <c r="C48" s="29"/>
      <c r="D48" s="29"/>
      <c r="F48" s="30"/>
    </row>
    <row r="49" spans="1:6" ht="14.25" customHeight="1" x14ac:dyDescent="0.2">
      <c r="A49" s="29"/>
      <c r="B49" s="29"/>
      <c r="C49" s="29"/>
      <c r="D49" s="29"/>
      <c r="F49" s="30"/>
    </row>
    <row r="50" spans="1:6" ht="14.25" customHeight="1" x14ac:dyDescent="0.2">
      <c r="A50" s="29"/>
      <c r="B50" s="29"/>
      <c r="C50" s="29"/>
      <c r="D50" s="29"/>
      <c r="F50" s="30"/>
    </row>
    <row r="51" spans="1:6" ht="14.25" customHeight="1" x14ac:dyDescent="0.2">
      <c r="A51" s="29"/>
      <c r="B51" s="29"/>
      <c r="C51" s="29"/>
      <c r="D51" s="29"/>
      <c r="F51" s="30"/>
    </row>
    <row r="52" spans="1:6" ht="14.25" customHeight="1" x14ac:dyDescent="0.2">
      <c r="A52" s="29"/>
      <c r="B52" s="29"/>
      <c r="C52" s="29"/>
      <c r="D52" s="29"/>
      <c r="F52" s="30"/>
    </row>
    <row r="53" spans="1:6" ht="14.25" customHeight="1" x14ac:dyDescent="0.2">
      <c r="A53" s="29"/>
      <c r="B53" s="29"/>
      <c r="C53" s="29"/>
      <c r="D53" s="29"/>
      <c r="F53" s="30"/>
    </row>
    <row r="54" spans="1:6" ht="14.25" customHeight="1" x14ac:dyDescent="0.2">
      <c r="A54" s="29"/>
      <c r="B54" s="29"/>
      <c r="C54" s="29"/>
      <c r="D54" s="29"/>
      <c r="F54" s="30"/>
    </row>
    <row r="55" spans="1:6" ht="14.25" customHeight="1" x14ac:dyDescent="0.2">
      <c r="A55" s="29"/>
      <c r="B55" s="29"/>
      <c r="C55" s="29"/>
      <c r="D55" s="29"/>
      <c r="F55" s="30"/>
    </row>
    <row r="56" spans="1:6" ht="14.25" customHeight="1" x14ac:dyDescent="0.2">
      <c r="A56" s="29"/>
      <c r="B56" s="29"/>
      <c r="C56" s="29"/>
      <c r="D56" s="29"/>
      <c r="F56" s="30"/>
    </row>
    <row r="57" spans="1:6" ht="14.25" customHeight="1" x14ac:dyDescent="0.2">
      <c r="A57" s="29"/>
      <c r="B57" s="29"/>
      <c r="C57" s="29"/>
      <c r="D57" s="29"/>
      <c r="F57" s="30"/>
    </row>
    <row r="58" spans="1:6" ht="14.25" customHeight="1" x14ac:dyDescent="0.2">
      <c r="A58" s="29"/>
      <c r="B58" s="29"/>
      <c r="C58" s="29"/>
      <c r="D58" s="29"/>
      <c r="F58" s="30"/>
    </row>
    <row r="59" spans="1:6" ht="14.25" customHeight="1" x14ac:dyDescent="0.2">
      <c r="A59" s="29"/>
      <c r="B59" s="29"/>
      <c r="C59" s="29"/>
      <c r="D59" s="29"/>
      <c r="F59" s="30"/>
    </row>
    <row r="60" spans="1:6" ht="14.25" customHeight="1" x14ac:dyDescent="0.2">
      <c r="A60" s="29"/>
      <c r="B60" s="29"/>
      <c r="C60" s="29"/>
      <c r="D60" s="29"/>
      <c r="F60" s="30"/>
    </row>
    <row r="61" spans="1:6" ht="14.25" customHeight="1" x14ac:dyDescent="0.2">
      <c r="A61" s="29"/>
      <c r="B61" s="29"/>
      <c r="C61" s="29"/>
      <c r="D61" s="29"/>
      <c r="F61" s="30"/>
    </row>
    <row r="62" spans="1:6" ht="14.25" customHeight="1" x14ac:dyDescent="0.2">
      <c r="A62" s="29"/>
      <c r="B62" s="29"/>
      <c r="C62" s="29"/>
      <c r="D62" s="29"/>
      <c r="F62" s="30"/>
    </row>
    <row r="63" spans="1:6" ht="14.25" customHeight="1" x14ac:dyDescent="0.2">
      <c r="A63" s="29"/>
      <c r="B63" s="29"/>
      <c r="C63" s="29"/>
      <c r="D63" s="29"/>
      <c r="F63" s="30"/>
    </row>
    <row r="64" spans="1:6" ht="14.25" customHeight="1" x14ac:dyDescent="0.2">
      <c r="A64" s="29"/>
      <c r="B64" s="29"/>
      <c r="C64" s="29"/>
      <c r="D64" s="29"/>
      <c r="F64" s="30"/>
    </row>
    <row r="65" spans="1:6" ht="14.25" customHeight="1" x14ac:dyDescent="0.2">
      <c r="A65" s="29"/>
      <c r="B65" s="29"/>
      <c r="C65" s="29"/>
      <c r="D65" s="29"/>
      <c r="F65" s="30"/>
    </row>
    <row r="66" spans="1:6" ht="14.25" customHeight="1" x14ac:dyDescent="0.2">
      <c r="A66" s="29"/>
      <c r="B66" s="29"/>
      <c r="C66" s="29"/>
      <c r="D66" s="29"/>
      <c r="F66" s="30"/>
    </row>
    <row r="67" spans="1:6" ht="14.25" customHeight="1" x14ac:dyDescent="0.2">
      <c r="A67" s="29"/>
      <c r="B67" s="29"/>
      <c r="C67" s="29"/>
      <c r="D67" s="29"/>
      <c r="F67" s="30"/>
    </row>
    <row r="68" spans="1:6" ht="14.25" customHeight="1" x14ac:dyDescent="0.2">
      <c r="A68" s="29"/>
      <c r="B68" s="29"/>
      <c r="C68" s="29"/>
      <c r="D68" s="29"/>
      <c r="F68" s="30"/>
    </row>
    <row r="69" spans="1:6" ht="14.25" customHeight="1" x14ac:dyDescent="0.2">
      <c r="A69" s="29"/>
      <c r="B69" s="29"/>
      <c r="C69" s="29"/>
      <c r="D69" s="29"/>
      <c r="F69" s="30"/>
    </row>
    <row r="70" spans="1:6" ht="14.25" customHeight="1" x14ac:dyDescent="0.2">
      <c r="A70" s="29"/>
      <c r="B70" s="29"/>
      <c r="C70" s="29"/>
      <c r="D70" s="29"/>
      <c r="F70" s="30"/>
    </row>
    <row r="71" spans="1:6" ht="14.25" customHeight="1" x14ac:dyDescent="0.2">
      <c r="A71" s="29"/>
      <c r="B71" s="29"/>
      <c r="C71" s="29"/>
      <c r="D71" s="29"/>
      <c r="F71" s="30"/>
    </row>
    <row r="72" spans="1:6" ht="14.25" customHeight="1" x14ac:dyDescent="0.2">
      <c r="A72" s="29"/>
      <c r="B72" s="29"/>
      <c r="C72" s="29"/>
      <c r="D72" s="29"/>
      <c r="F72" s="30"/>
    </row>
    <row r="73" spans="1:6" ht="14.25" customHeight="1" x14ac:dyDescent="0.2">
      <c r="A73" s="29"/>
      <c r="B73" s="29"/>
      <c r="C73" s="29"/>
      <c r="D73" s="29"/>
      <c r="F73" s="30"/>
    </row>
    <row r="74" spans="1:6" ht="14.25" customHeight="1" x14ac:dyDescent="0.2">
      <c r="A74" s="29"/>
      <c r="B74" s="29"/>
      <c r="C74" s="29"/>
      <c r="D74" s="29"/>
      <c r="F74" s="30"/>
    </row>
    <row r="75" spans="1:6" ht="14.25" customHeight="1" x14ac:dyDescent="0.2">
      <c r="A75" s="29"/>
      <c r="B75" s="29"/>
      <c r="C75" s="29"/>
      <c r="D75" s="29"/>
      <c r="F75" s="30"/>
    </row>
    <row r="76" spans="1:6" ht="14.25" customHeight="1" x14ac:dyDescent="0.2">
      <c r="A76" s="29"/>
      <c r="B76" s="29"/>
      <c r="C76" s="29"/>
      <c r="D76" s="29"/>
      <c r="F76" s="30"/>
    </row>
    <row r="77" spans="1:6" ht="14.25" customHeight="1" x14ac:dyDescent="0.2">
      <c r="A77" s="29"/>
      <c r="B77" s="29"/>
      <c r="C77" s="29"/>
      <c r="D77" s="29"/>
      <c r="F77" s="30"/>
    </row>
    <row r="78" spans="1:6" ht="14.25" customHeight="1" x14ac:dyDescent="0.2">
      <c r="A78" s="29"/>
      <c r="B78" s="29"/>
      <c r="C78" s="29"/>
      <c r="D78" s="29"/>
      <c r="F78" s="30"/>
    </row>
    <row r="79" spans="1:6" ht="14.25" customHeight="1" x14ac:dyDescent="0.2">
      <c r="A79" s="29"/>
      <c r="B79" s="29"/>
      <c r="C79" s="29"/>
      <c r="D79" s="29"/>
      <c r="F79" s="30"/>
    </row>
    <row r="80" spans="1:6" ht="14.25" customHeight="1" x14ac:dyDescent="0.2">
      <c r="A80" s="29"/>
      <c r="B80" s="29"/>
      <c r="C80" s="29"/>
      <c r="D80" s="29"/>
      <c r="F80" s="30"/>
    </row>
    <row r="81" spans="1:6" ht="14.25" customHeight="1" x14ac:dyDescent="0.2">
      <c r="A81" s="29"/>
      <c r="B81" s="29"/>
      <c r="C81" s="29"/>
      <c r="D81" s="29"/>
      <c r="F81" s="30"/>
    </row>
    <row r="82" spans="1:6" ht="14.25" customHeight="1" x14ac:dyDescent="0.2">
      <c r="A82" s="29"/>
      <c r="B82" s="29"/>
      <c r="C82" s="29"/>
      <c r="D82" s="29"/>
      <c r="F82" s="30"/>
    </row>
    <row r="83" spans="1:6" ht="14.25" customHeight="1" x14ac:dyDescent="0.2">
      <c r="A83" s="29"/>
      <c r="B83" s="29"/>
      <c r="C83" s="29"/>
      <c r="D83" s="29"/>
      <c r="F83" s="30"/>
    </row>
    <row r="84" spans="1:6" ht="14.25" customHeight="1" x14ac:dyDescent="0.2">
      <c r="A84" s="29"/>
      <c r="B84" s="29"/>
      <c r="C84" s="29"/>
      <c r="D84" s="29"/>
      <c r="F84" s="30"/>
    </row>
    <row r="85" spans="1:6" ht="14.25" customHeight="1" x14ac:dyDescent="0.2">
      <c r="A85" s="29"/>
      <c r="B85" s="29"/>
      <c r="C85" s="29"/>
      <c r="D85" s="29"/>
      <c r="F85" s="30"/>
    </row>
    <row r="86" spans="1:6" ht="14.25" customHeight="1" x14ac:dyDescent="0.2">
      <c r="A86" s="29"/>
      <c r="B86" s="29"/>
      <c r="C86" s="29"/>
      <c r="D86" s="29"/>
      <c r="F86" s="30"/>
    </row>
    <row r="87" spans="1:6" ht="14.25" customHeight="1" x14ac:dyDescent="0.2">
      <c r="A87" s="29"/>
      <c r="B87" s="29"/>
      <c r="C87" s="29"/>
      <c r="D87" s="29"/>
      <c r="F87" s="30"/>
    </row>
    <row r="88" spans="1:6" ht="14.25" customHeight="1" x14ac:dyDescent="0.2">
      <c r="A88" s="29"/>
      <c r="B88" s="29"/>
      <c r="C88" s="29"/>
      <c r="D88" s="29"/>
      <c r="F88" s="30"/>
    </row>
    <row r="89" spans="1:6" ht="14.25" customHeight="1" x14ac:dyDescent="0.2">
      <c r="A89" s="29"/>
      <c r="B89" s="29"/>
      <c r="C89" s="29"/>
      <c r="D89" s="29"/>
      <c r="F89" s="30"/>
    </row>
    <row r="90" spans="1:6" ht="14.25" customHeight="1" x14ac:dyDescent="0.2">
      <c r="A90" s="29"/>
      <c r="B90" s="29"/>
      <c r="C90" s="29"/>
      <c r="D90" s="29"/>
      <c r="F90" s="30"/>
    </row>
    <row r="91" spans="1:6" ht="14.25" customHeight="1" x14ac:dyDescent="0.2">
      <c r="A91" s="29"/>
      <c r="B91" s="29"/>
      <c r="C91" s="29"/>
      <c r="D91" s="29"/>
      <c r="F91" s="30"/>
    </row>
    <row r="92" spans="1:6" ht="14.25" customHeight="1" x14ac:dyDescent="0.2">
      <c r="A92" s="29"/>
      <c r="B92" s="29"/>
      <c r="C92" s="29"/>
      <c r="D92" s="29"/>
      <c r="F92" s="30"/>
    </row>
    <row r="93" spans="1:6" ht="14.25" customHeight="1" x14ac:dyDescent="0.2">
      <c r="A93" s="29"/>
      <c r="B93" s="29"/>
      <c r="C93" s="29"/>
      <c r="D93" s="29"/>
      <c r="F93" s="30"/>
    </row>
    <row r="94" spans="1:6" ht="14.25" customHeight="1" x14ac:dyDescent="0.2">
      <c r="A94" s="29"/>
      <c r="B94" s="29"/>
      <c r="C94" s="29"/>
      <c r="D94" s="29"/>
      <c r="F94" s="30"/>
    </row>
    <row r="95" spans="1:6" ht="14.25" customHeight="1" x14ac:dyDescent="0.2">
      <c r="A95" s="29"/>
      <c r="B95" s="29"/>
      <c r="C95" s="29"/>
      <c r="D95" s="29"/>
      <c r="F95" s="30"/>
    </row>
    <row r="96" spans="1:6" ht="14.25" customHeight="1" x14ac:dyDescent="0.2">
      <c r="A96" s="29"/>
      <c r="B96" s="29"/>
      <c r="C96" s="29"/>
      <c r="D96" s="29"/>
      <c r="F96" s="30"/>
    </row>
    <row r="97" spans="1:6" ht="14.25" customHeight="1" x14ac:dyDescent="0.2">
      <c r="A97" s="29"/>
      <c r="B97" s="29"/>
      <c r="C97" s="29"/>
      <c r="D97" s="29"/>
      <c r="F97" s="30"/>
    </row>
    <row r="98" spans="1:6" ht="14.25" customHeight="1" x14ac:dyDescent="0.2">
      <c r="A98" s="29"/>
      <c r="B98" s="29"/>
      <c r="C98" s="29"/>
      <c r="D98" s="29"/>
      <c r="F98" s="30"/>
    </row>
    <row r="99" spans="1:6" ht="14.25" customHeight="1" x14ac:dyDescent="0.2">
      <c r="A99" s="29"/>
      <c r="B99" s="29"/>
      <c r="C99" s="29"/>
      <c r="D99" s="29"/>
      <c r="F99" s="30"/>
    </row>
    <row r="100" spans="1:6" ht="14.25" customHeight="1" x14ac:dyDescent="0.2">
      <c r="A100" s="29"/>
      <c r="B100" s="29"/>
      <c r="C100" s="29"/>
      <c r="D100" s="29"/>
      <c r="F100" s="30"/>
    </row>
    <row r="101" spans="1:6" ht="14.25" customHeight="1" x14ac:dyDescent="0.2">
      <c r="A101" s="29"/>
      <c r="B101" s="29"/>
      <c r="C101" s="29"/>
      <c r="D101" s="29"/>
      <c r="F101" s="30"/>
    </row>
    <row r="102" spans="1:6" ht="14.25" customHeight="1" x14ac:dyDescent="0.2">
      <c r="A102" s="29"/>
      <c r="B102" s="29"/>
      <c r="C102" s="29"/>
      <c r="D102" s="29"/>
      <c r="F102" s="30"/>
    </row>
    <row r="103" spans="1:6" ht="14.25" customHeight="1" x14ac:dyDescent="0.2">
      <c r="A103" s="29"/>
      <c r="B103" s="29"/>
      <c r="C103" s="29"/>
      <c r="D103" s="29"/>
      <c r="F103" s="30"/>
    </row>
    <row r="104" spans="1:6" ht="14.25" customHeight="1" x14ac:dyDescent="0.2">
      <c r="A104" s="29"/>
      <c r="B104" s="29"/>
      <c r="C104" s="29"/>
      <c r="D104" s="29"/>
      <c r="F104" s="30"/>
    </row>
    <row r="105" spans="1:6" ht="14.25" customHeight="1" x14ac:dyDescent="0.2">
      <c r="A105" s="29"/>
      <c r="B105" s="29"/>
      <c r="C105" s="29"/>
      <c r="D105" s="29"/>
      <c r="F105" s="30"/>
    </row>
    <row r="106" spans="1:6" ht="14.25" customHeight="1" x14ac:dyDescent="0.2">
      <c r="A106" s="29"/>
      <c r="B106" s="29"/>
      <c r="C106" s="29"/>
      <c r="D106" s="29"/>
      <c r="F106" s="30"/>
    </row>
    <row r="107" spans="1:6" ht="14.25" customHeight="1" x14ac:dyDescent="0.2">
      <c r="A107" s="29"/>
      <c r="B107" s="29"/>
      <c r="C107" s="29"/>
      <c r="D107" s="29"/>
      <c r="F107" s="30"/>
    </row>
    <row r="108" spans="1:6" ht="14.25" customHeight="1" x14ac:dyDescent="0.2">
      <c r="A108" s="29"/>
      <c r="B108" s="29"/>
      <c r="C108" s="29"/>
      <c r="D108" s="29"/>
      <c r="F108" s="30"/>
    </row>
    <row r="109" spans="1:6" ht="14.25" customHeight="1" x14ac:dyDescent="0.2">
      <c r="A109" s="29"/>
      <c r="B109" s="29"/>
      <c r="C109" s="29"/>
      <c r="D109" s="29"/>
      <c r="F109" s="30"/>
    </row>
    <row r="110" spans="1:6" ht="14.25" customHeight="1" x14ac:dyDescent="0.2">
      <c r="A110" s="29"/>
      <c r="B110" s="29"/>
      <c r="C110" s="29"/>
      <c r="D110" s="29"/>
      <c r="F110" s="30"/>
    </row>
    <row r="111" spans="1:6" ht="14.25" customHeight="1" x14ac:dyDescent="0.2">
      <c r="A111" s="29"/>
      <c r="B111" s="29"/>
      <c r="C111" s="29"/>
      <c r="D111" s="29"/>
      <c r="F111" s="30"/>
    </row>
    <row r="112" spans="1:6" ht="14.25" customHeight="1" x14ac:dyDescent="0.2">
      <c r="A112" s="29"/>
      <c r="B112" s="29"/>
      <c r="C112" s="29"/>
      <c r="D112" s="29"/>
      <c r="F112" s="30"/>
    </row>
    <row r="113" spans="1:6" ht="14.25" customHeight="1" x14ac:dyDescent="0.2">
      <c r="A113" s="29"/>
      <c r="B113" s="29"/>
      <c r="C113" s="29"/>
      <c r="D113" s="29"/>
      <c r="F113" s="30"/>
    </row>
    <row r="114" spans="1:6" ht="14.25" customHeight="1" x14ac:dyDescent="0.2">
      <c r="A114" s="29"/>
      <c r="B114" s="29"/>
      <c r="C114" s="29"/>
      <c r="D114" s="29"/>
      <c r="F114" s="30"/>
    </row>
    <row r="115" spans="1:6" ht="14.25" customHeight="1" x14ac:dyDescent="0.2">
      <c r="A115" s="29"/>
      <c r="B115" s="29"/>
      <c r="C115" s="29"/>
      <c r="D115" s="29"/>
      <c r="F115" s="30"/>
    </row>
    <row r="116" spans="1:6" ht="14.25" customHeight="1" x14ac:dyDescent="0.2">
      <c r="A116" s="29"/>
      <c r="B116" s="29"/>
      <c r="C116" s="29"/>
      <c r="D116" s="29"/>
      <c r="F116" s="30"/>
    </row>
    <row r="117" spans="1:6" ht="14.25" customHeight="1" x14ac:dyDescent="0.2">
      <c r="A117" s="29"/>
      <c r="B117" s="29"/>
      <c r="C117" s="29"/>
      <c r="D117" s="29"/>
      <c r="F117" s="30"/>
    </row>
    <row r="118" spans="1:6" ht="14.25" customHeight="1" x14ac:dyDescent="0.2">
      <c r="A118" s="29"/>
      <c r="B118" s="29"/>
      <c r="C118" s="29"/>
      <c r="D118" s="29"/>
      <c r="F118" s="30"/>
    </row>
    <row r="119" spans="1:6" ht="14.25" customHeight="1" x14ac:dyDescent="0.2">
      <c r="A119" s="29"/>
      <c r="B119" s="29"/>
      <c r="C119" s="29"/>
      <c r="D119" s="29"/>
      <c r="F119" s="30"/>
    </row>
    <row r="120" spans="1:6" ht="14.25" customHeight="1" x14ac:dyDescent="0.2">
      <c r="A120" s="29"/>
      <c r="B120" s="29"/>
      <c r="C120" s="29"/>
      <c r="D120" s="29"/>
      <c r="F120" s="30"/>
    </row>
    <row r="121" spans="1:6" ht="14.25" customHeight="1" x14ac:dyDescent="0.2">
      <c r="A121" s="29"/>
      <c r="B121" s="29"/>
      <c r="C121" s="29"/>
      <c r="D121" s="29"/>
      <c r="F121" s="30"/>
    </row>
    <row r="122" spans="1:6" ht="14.25" customHeight="1" x14ac:dyDescent="0.2">
      <c r="A122" s="29"/>
      <c r="B122" s="29"/>
      <c r="C122" s="29"/>
      <c r="D122" s="29"/>
      <c r="F122" s="30"/>
    </row>
    <row r="123" spans="1:6" ht="14.25" customHeight="1" x14ac:dyDescent="0.2">
      <c r="A123" s="29"/>
      <c r="B123" s="29"/>
      <c r="C123" s="29"/>
      <c r="D123" s="29"/>
      <c r="F123" s="30"/>
    </row>
    <row r="124" spans="1:6" ht="14.25" customHeight="1" x14ac:dyDescent="0.2">
      <c r="A124" s="29"/>
      <c r="B124" s="29"/>
      <c r="C124" s="29"/>
      <c r="D124" s="29"/>
      <c r="F124" s="30"/>
    </row>
    <row r="125" spans="1:6" ht="14.25" customHeight="1" x14ac:dyDescent="0.2">
      <c r="A125" s="29"/>
      <c r="B125" s="29"/>
      <c r="C125" s="29"/>
      <c r="D125" s="29"/>
      <c r="F125" s="30"/>
    </row>
    <row r="126" spans="1:6" ht="14.25" customHeight="1" x14ac:dyDescent="0.2">
      <c r="A126" s="29"/>
      <c r="B126" s="29"/>
      <c r="C126" s="29"/>
      <c r="D126" s="29"/>
      <c r="F126" s="30"/>
    </row>
    <row r="127" spans="1:6" ht="14.25" customHeight="1" x14ac:dyDescent="0.2">
      <c r="A127" s="29"/>
      <c r="B127" s="29"/>
      <c r="C127" s="29"/>
      <c r="D127" s="29"/>
      <c r="F127" s="30"/>
    </row>
    <row r="128" spans="1:6" ht="14.25" customHeight="1" x14ac:dyDescent="0.2">
      <c r="A128" s="29"/>
      <c r="B128" s="29"/>
      <c r="C128" s="29"/>
      <c r="D128" s="29"/>
      <c r="F128" s="30"/>
    </row>
    <row r="129" spans="1:6" ht="14.25" customHeight="1" x14ac:dyDescent="0.2">
      <c r="A129" s="29"/>
      <c r="B129" s="29"/>
      <c r="C129" s="29"/>
      <c r="D129" s="29"/>
      <c r="F129" s="30"/>
    </row>
    <row r="130" spans="1:6" ht="14.25" customHeight="1" x14ac:dyDescent="0.2">
      <c r="A130" s="29"/>
      <c r="B130" s="29"/>
      <c r="C130" s="29"/>
      <c r="D130" s="29"/>
      <c r="F130" s="30"/>
    </row>
    <row r="131" spans="1:6" ht="14.25" customHeight="1" x14ac:dyDescent="0.2">
      <c r="A131" s="29"/>
      <c r="B131" s="29"/>
      <c r="C131" s="29"/>
      <c r="D131" s="29"/>
      <c r="F131" s="30"/>
    </row>
    <row r="132" spans="1:6" ht="14.25" customHeight="1" x14ac:dyDescent="0.2">
      <c r="A132" s="29"/>
      <c r="B132" s="29"/>
      <c r="C132" s="29"/>
      <c r="D132" s="29"/>
      <c r="F132" s="30"/>
    </row>
    <row r="133" spans="1:6" ht="14.25" customHeight="1" x14ac:dyDescent="0.2">
      <c r="A133" s="29"/>
      <c r="B133" s="29"/>
      <c r="C133" s="29"/>
      <c r="D133" s="29"/>
      <c r="F133" s="30"/>
    </row>
    <row r="134" spans="1:6" ht="14.25" customHeight="1" x14ac:dyDescent="0.2">
      <c r="A134" s="29"/>
      <c r="B134" s="29"/>
      <c r="C134" s="29"/>
      <c r="D134" s="29"/>
      <c r="F134" s="30"/>
    </row>
    <row r="135" spans="1:6" ht="14.25" customHeight="1" x14ac:dyDescent="0.2">
      <c r="A135" s="29"/>
      <c r="B135" s="29"/>
      <c r="C135" s="29"/>
      <c r="D135" s="29"/>
      <c r="F135" s="30"/>
    </row>
    <row r="136" spans="1:6" ht="14.25" customHeight="1" x14ac:dyDescent="0.2">
      <c r="A136" s="29"/>
      <c r="B136" s="29"/>
      <c r="C136" s="29"/>
      <c r="D136" s="29"/>
      <c r="F136" s="30"/>
    </row>
    <row r="137" spans="1:6" ht="14.25" customHeight="1" x14ac:dyDescent="0.2">
      <c r="A137" s="29"/>
      <c r="B137" s="29"/>
      <c r="C137" s="29"/>
      <c r="D137" s="29"/>
      <c r="F137" s="30"/>
    </row>
    <row r="138" spans="1:6" ht="14.25" customHeight="1" x14ac:dyDescent="0.2">
      <c r="A138" s="29"/>
      <c r="B138" s="29"/>
      <c r="C138" s="29"/>
      <c r="D138" s="29"/>
      <c r="F138" s="30"/>
    </row>
    <row r="139" spans="1:6" ht="14.25" customHeight="1" x14ac:dyDescent="0.2">
      <c r="A139" s="29"/>
      <c r="B139" s="29"/>
      <c r="C139" s="29"/>
      <c r="D139" s="29"/>
      <c r="F139" s="30"/>
    </row>
    <row r="140" spans="1:6" ht="14.25" customHeight="1" x14ac:dyDescent="0.2">
      <c r="A140" s="29"/>
      <c r="B140" s="29"/>
      <c r="C140" s="29"/>
      <c r="D140" s="29"/>
      <c r="F140" s="30"/>
    </row>
    <row r="141" spans="1:6" ht="14.25" customHeight="1" x14ac:dyDescent="0.2">
      <c r="A141" s="29"/>
      <c r="B141" s="29"/>
      <c r="C141" s="29"/>
      <c r="D141" s="29"/>
      <c r="F141" s="30"/>
    </row>
    <row r="142" spans="1:6" ht="14.25" customHeight="1" x14ac:dyDescent="0.2">
      <c r="A142" s="29"/>
      <c r="B142" s="29"/>
      <c r="C142" s="29"/>
      <c r="D142" s="29"/>
      <c r="F142" s="30"/>
    </row>
    <row r="143" spans="1:6" ht="14.25" customHeight="1" x14ac:dyDescent="0.2">
      <c r="A143" s="29"/>
      <c r="B143" s="29"/>
      <c r="C143" s="29"/>
      <c r="D143" s="29"/>
      <c r="F143" s="30"/>
    </row>
    <row r="144" spans="1:6" ht="14.25" customHeight="1" x14ac:dyDescent="0.2">
      <c r="A144" s="29"/>
      <c r="B144" s="29"/>
      <c r="C144" s="29"/>
      <c r="D144" s="29"/>
      <c r="F144" s="30"/>
    </row>
    <row r="145" spans="1:6" ht="14.25" customHeight="1" x14ac:dyDescent="0.2">
      <c r="A145" s="29"/>
      <c r="B145" s="29"/>
      <c r="C145" s="29"/>
      <c r="D145" s="29"/>
      <c r="F145" s="30"/>
    </row>
    <row r="146" spans="1:6" ht="14.25" customHeight="1" x14ac:dyDescent="0.2">
      <c r="A146" s="29"/>
      <c r="B146" s="29"/>
      <c r="C146" s="29"/>
      <c r="D146" s="29"/>
      <c r="F146" s="30"/>
    </row>
    <row r="147" spans="1:6" ht="14.25" customHeight="1" x14ac:dyDescent="0.2">
      <c r="A147" s="29"/>
      <c r="B147" s="29"/>
      <c r="C147" s="29"/>
      <c r="D147" s="29"/>
      <c r="F147" s="30"/>
    </row>
    <row r="148" spans="1:6" ht="14.25" customHeight="1" x14ac:dyDescent="0.2">
      <c r="A148" s="29"/>
      <c r="B148" s="29"/>
      <c r="C148" s="29"/>
      <c r="D148" s="29"/>
      <c r="F148" s="30"/>
    </row>
    <row r="149" spans="1:6" ht="14.25" customHeight="1" x14ac:dyDescent="0.2">
      <c r="A149" s="29"/>
      <c r="B149" s="29"/>
      <c r="C149" s="29"/>
      <c r="D149" s="29"/>
      <c r="F149" s="30"/>
    </row>
    <row r="150" spans="1:6" ht="14.25" customHeight="1" x14ac:dyDescent="0.2">
      <c r="A150" s="29"/>
      <c r="B150" s="29"/>
      <c r="C150" s="29"/>
      <c r="D150" s="29"/>
      <c r="F150" s="30"/>
    </row>
    <row r="151" spans="1:6" ht="14.25" customHeight="1" x14ac:dyDescent="0.2">
      <c r="A151" s="29"/>
      <c r="B151" s="29"/>
      <c r="C151" s="29"/>
      <c r="D151" s="29"/>
      <c r="F151" s="30"/>
    </row>
    <row r="152" spans="1:6" ht="14.25" customHeight="1" x14ac:dyDescent="0.2">
      <c r="A152" s="29"/>
      <c r="B152" s="29"/>
      <c r="C152" s="29"/>
      <c r="D152" s="29"/>
      <c r="F152" s="30"/>
    </row>
    <row r="153" spans="1:6" ht="14.25" customHeight="1" x14ac:dyDescent="0.2">
      <c r="A153" s="29"/>
      <c r="B153" s="29"/>
      <c r="C153" s="29"/>
      <c r="D153" s="29"/>
      <c r="F153" s="30"/>
    </row>
    <row r="154" spans="1:6" ht="14.25" customHeight="1" x14ac:dyDescent="0.2">
      <c r="A154" s="29"/>
      <c r="B154" s="29"/>
      <c r="C154" s="29"/>
      <c r="D154" s="29"/>
      <c r="F154" s="30"/>
    </row>
    <row r="155" spans="1:6" ht="14.25" customHeight="1" x14ac:dyDescent="0.2">
      <c r="A155" s="29"/>
      <c r="B155" s="29"/>
      <c r="C155" s="29"/>
      <c r="D155" s="29"/>
      <c r="F155" s="30"/>
    </row>
    <row r="156" spans="1:6" ht="14.25" customHeight="1" x14ac:dyDescent="0.2">
      <c r="A156" s="29"/>
      <c r="B156" s="29"/>
      <c r="C156" s="29"/>
      <c r="D156" s="29"/>
      <c r="F156" s="30"/>
    </row>
    <row r="157" spans="1:6" ht="14.25" customHeight="1" x14ac:dyDescent="0.2">
      <c r="A157" s="29"/>
      <c r="B157" s="29"/>
      <c r="C157" s="29"/>
      <c r="D157" s="29"/>
      <c r="F157" s="30"/>
    </row>
    <row r="158" spans="1:6" ht="14.25" customHeight="1" x14ac:dyDescent="0.2">
      <c r="A158" s="29"/>
      <c r="B158" s="29"/>
      <c r="C158" s="29"/>
      <c r="D158" s="29"/>
      <c r="F158" s="30"/>
    </row>
    <row r="159" spans="1:6" ht="14.25" customHeight="1" x14ac:dyDescent="0.2">
      <c r="A159" s="29"/>
      <c r="B159" s="29"/>
      <c r="C159" s="29"/>
      <c r="D159" s="29"/>
      <c r="F159" s="30"/>
    </row>
    <row r="160" spans="1:6" ht="14.25" customHeight="1" x14ac:dyDescent="0.2">
      <c r="A160" s="29"/>
      <c r="B160" s="29"/>
      <c r="C160" s="29"/>
      <c r="D160" s="29"/>
      <c r="F160" s="30"/>
    </row>
    <row r="161" spans="1:6" ht="14.25" customHeight="1" x14ac:dyDescent="0.2">
      <c r="A161" s="29"/>
      <c r="B161" s="29"/>
      <c r="C161" s="29"/>
      <c r="D161" s="29"/>
      <c r="F161" s="30"/>
    </row>
    <row r="162" spans="1:6" ht="14.25" customHeight="1" x14ac:dyDescent="0.2">
      <c r="A162" s="29"/>
      <c r="B162" s="29"/>
      <c r="C162" s="29"/>
      <c r="D162" s="29"/>
      <c r="F162" s="30"/>
    </row>
    <row r="163" spans="1:6" ht="14.25" customHeight="1" x14ac:dyDescent="0.2">
      <c r="A163" s="29"/>
      <c r="B163" s="29"/>
      <c r="C163" s="29"/>
      <c r="D163" s="29"/>
      <c r="F163" s="30"/>
    </row>
    <row r="164" spans="1:6" ht="14.25" customHeight="1" x14ac:dyDescent="0.2">
      <c r="A164" s="29"/>
      <c r="B164" s="29"/>
      <c r="C164" s="29"/>
      <c r="D164" s="29"/>
      <c r="F164" s="30"/>
    </row>
    <row r="165" spans="1:6" ht="14.25" customHeight="1" x14ac:dyDescent="0.2">
      <c r="A165" s="29"/>
      <c r="B165" s="29"/>
      <c r="C165" s="29"/>
      <c r="D165" s="29"/>
      <c r="F165" s="30"/>
    </row>
    <row r="166" spans="1:6" ht="14.25" customHeight="1" x14ac:dyDescent="0.2">
      <c r="A166" s="29"/>
      <c r="B166" s="29"/>
      <c r="C166" s="29"/>
      <c r="D166" s="29"/>
      <c r="F166" s="30"/>
    </row>
    <row r="167" spans="1:6" ht="14.25" customHeight="1" x14ac:dyDescent="0.2">
      <c r="A167" s="29"/>
      <c r="B167" s="29"/>
      <c r="C167" s="29"/>
      <c r="D167" s="29"/>
      <c r="F167" s="30"/>
    </row>
    <row r="168" spans="1:6" ht="14.25" customHeight="1" x14ac:dyDescent="0.2">
      <c r="A168" s="29"/>
      <c r="B168" s="29"/>
      <c r="C168" s="29"/>
      <c r="D168" s="29"/>
      <c r="F168" s="30"/>
    </row>
    <row r="169" spans="1:6" ht="14.25" customHeight="1" x14ac:dyDescent="0.2">
      <c r="A169" s="29"/>
      <c r="B169" s="29"/>
      <c r="C169" s="29"/>
      <c r="D169" s="29"/>
      <c r="F169" s="30"/>
    </row>
    <row r="170" spans="1:6" ht="14.25" customHeight="1" x14ac:dyDescent="0.2">
      <c r="A170" s="29"/>
      <c r="B170" s="29"/>
      <c r="C170" s="29"/>
      <c r="D170" s="29"/>
      <c r="F170" s="30"/>
    </row>
    <row r="171" spans="1:6" ht="14.25" customHeight="1" x14ac:dyDescent="0.2">
      <c r="A171" s="29"/>
      <c r="B171" s="29"/>
      <c r="C171" s="29"/>
      <c r="D171" s="29"/>
      <c r="F171" s="30"/>
    </row>
    <row r="172" spans="1:6" ht="14.25" customHeight="1" x14ac:dyDescent="0.2">
      <c r="A172" s="29"/>
      <c r="B172" s="29"/>
      <c r="C172" s="29"/>
      <c r="D172" s="29"/>
      <c r="F172" s="30"/>
    </row>
    <row r="173" spans="1:6" ht="14.25" customHeight="1" x14ac:dyDescent="0.2">
      <c r="A173" s="29"/>
      <c r="B173" s="29"/>
      <c r="C173" s="29"/>
      <c r="D173" s="29"/>
      <c r="F173" s="30"/>
    </row>
    <row r="174" spans="1:6" ht="14.25" customHeight="1" x14ac:dyDescent="0.2">
      <c r="A174" s="29"/>
      <c r="B174" s="29"/>
      <c r="C174" s="29"/>
      <c r="D174" s="29"/>
      <c r="F174" s="30"/>
    </row>
    <row r="175" spans="1:6" ht="14.25" customHeight="1" x14ac:dyDescent="0.2">
      <c r="A175" s="29"/>
      <c r="B175" s="29"/>
      <c r="C175" s="29"/>
      <c r="D175" s="29"/>
      <c r="F175" s="30"/>
    </row>
    <row r="176" spans="1:6" ht="14.25" customHeight="1" x14ac:dyDescent="0.2">
      <c r="A176" s="29"/>
      <c r="B176" s="29"/>
      <c r="C176" s="29"/>
      <c r="D176" s="29"/>
      <c r="F176" s="30"/>
    </row>
    <row r="177" spans="1:6" ht="14.25" customHeight="1" x14ac:dyDescent="0.2">
      <c r="A177" s="29"/>
      <c r="B177" s="29"/>
      <c r="C177" s="29"/>
      <c r="D177" s="29"/>
      <c r="F177" s="30"/>
    </row>
    <row r="178" spans="1:6" ht="14.25" customHeight="1" x14ac:dyDescent="0.2">
      <c r="A178" s="29"/>
      <c r="B178" s="29"/>
      <c r="C178" s="29"/>
      <c r="D178" s="29"/>
      <c r="F178" s="30"/>
    </row>
    <row r="179" spans="1:6" ht="14.25" customHeight="1" x14ac:dyDescent="0.2">
      <c r="A179" s="29"/>
      <c r="B179" s="29"/>
      <c r="C179" s="29"/>
      <c r="D179" s="29"/>
      <c r="F179" s="30"/>
    </row>
    <row r="180" spans="1:6" ht="14.25" customHeight="1" x14ac:dyDescent="0.2">
      <c r="A180" s="29"/>
      <c r="B180" s="29"/>
      <c r="C180" s="29"/>
      <c r="D180" s="29"/>
      <c r="F180" s="30"/>
    </row>
    <row r="181" spans="1:6" ht="14.25" customHeight="1" x14ac:dyDescent="0.2">
      <c r="A181" s="29"/>
      <c r="B181" s="29"/>
      <c r="C181" s="29"/>
      <c r="D181" s="29"/>
      <c r="F181" s="30"/>
    </row>
    <row r="182" spans="1:6" ht="14.25" customHeight="1" x14ac:dyDescent="0.2">
      <c r="A182" s="29"/>
      <c r="B182" s="29"/>
      <c r="C182" s="29"/>
      <c r="D182" s="29"/>
      <c r="F182" s="30"/>
    </row>
    <row r="183" spans="1:6" ht="14.25" customHeight="1" x14ac:dyDescent="0.2">
      <c r="A183" s="29"/>
      <c r="B183" s="29"/>
      <c r="C183" s="29"/>
      <c r="D183" s="29"/>
      <c r="F183" s="30"/>
    </row>
    <row r="184" spans="1:6" ht="14.25" customHeight="1" x14ac:dyDescent="0.2">
      <c r="A184" s="29"/>
      <c r="B184" s="29"/>
      <c r="C184" s="29"/>
      <c r="D184" s="29"/>
      <c r="F184" s="30"/>
    </row>
    <row r="185" spans="1:6" ht="14.25" customHeight="1" x14ac:dyDescent="0.2">
      <c r="A185" s="29"/>
      <c r="B185" s="29"/>
      <c r="C185" s="29"/>
      <c r="D185" s="29"/>
      <c r="F185" s="30"/>
    </row>
    <row r="186" spans="1:6" ht="14.25" customHeight="1" x14ac:dyDescent="0.2">
      <c r="A186" s="29"/>
      <c r="B186" s="29"/>
      <c r="C186" s="29"/>
      <c r="D186" s="29"/>
      <c r="F186" s="30"/>
    </row>
    <row r="187" spans="1:6" ht="14.25" customHeight="1" x14ac:dyDescent="0.2">
      <c r="A187" s="29"/>
      <c r="B187" s="29"/>
      <c r="C187" s="29"/>
      <c r="D187" s="29"/>
      <c r="F187" s="30"/>
    </row>
    <row r="188" spans="1:6" ht="14.25" customHeight="1" x14ac:dyDescent="0.2">
      <c r="A188" s="29"/>
      <c r="B188" s="29"/>
      <c r="C188" s="29"/>
      <c r="D188" s="29"/>
      <c r="F188" s="30"/>
    </row>
    <row r="189" spans="1:6" ht="14.25" customHeight="1" x14ac:dyDescent="0.2">
      <c r="A189" s="29"/>
      <c r="B189" s="29"/>
      <c r="C189" s="29"/>
      <c r="D189" s="29"/>
      <c r="F189" s="30"/>
    </row>
    <row r="190" spans="1:6" ht="14.25" customHeight="1" x14ac:dyDescent="0.2">
      <c r="A190" s="29"/>
      <c r="B190" s="29"/>
      <c r="C190" s="29"/>
      <c r="D190" s="29"/>
      <c r="F190" s="30"/>
    </row>
    <row r="191" spans="1:6" ht="14.25" customHeight="1" x14ac:dyDescent="0.2">
      <c r="A191" s="29"/>
      <c r="B191" s="29"/>
      <c r="C191" s="29"/>
      <c r="D191" s="29"/>
      <c r="F191" s="30"/>
    </row>
    <row r="192" spans="1:6" ht="14.25" customHeight="1" x14ac:dyDescent="0.2">
      <c r="A192" s="29"/>
      <c r="B192" s="29"/>
      <c r="C192" s="29"/>
      <c r="D192" s="29"/>
      <c r="F192" s="30"/>
    </row>
    <row r="193" spans="1:6" ht="14.25" customHeight="1" x14ac:dyDescent="0.2">
      <c r="A193" s="29"/>
      <c r="B193" s="29"/>
      <c r="C193" s="29"/>
      <c r="D193" s="29"/>
      <c r="F193" s="30"/>
    </row>
    <row r="194" spans="1:6" ht="14.25" customHeight="1" x14ac:dyDescent="0.2">
      <c r="A194" s="29"/>
      <c r="B194" s="29"/>
      <c r="C194" s="29"/>
      <c r="D194" s="29"/>
      <c r="F194" s="30"/>
    </row>
    <row r="195" spans="1:6" ht="14.25" customHeight="1" x14ac:dyDescent="0.2">
      <c r="A195" s="29"/>
      <c r="B195" s="29"/>
      <c r="C195" s="29"/>
      <c r="D195" s="29"/>
      <c r="F195" s="30"/>
    </row>
    <row r="196" spans="1:6" ht="14.25" customHeight="1" x14ac:dyDescent="0.2">
      <c r="A196" s="29"/>
      <c r="B196" s="29"/>
      <c r="C196" s="29"/>
      <c r="D196" s="29"/>
      <c r="F196" s="30"/>
    </row>
    <row r="197" spans="1:6" ht="14.25" customHeight="1" x14ac:dyDescent="0.2">
      <c r="A197" s="29"/>
      <c r="B197" s="29"/>
      <c r="C197" s="29"/>
      <c r="D197" s="29"/>
      <c r="F197" s="30"/>
    </row>
    <row r="198" spans="1:6" ht="14.25" customHeight="1" x14ac:dyDescent="0.2">
      <c r="A198" s="29"/>
      <c r="B198" s="29"/>
      <c r="C198" s="29"/>
      <c r="D198" s="29"/>
      <c r="F198" s="30"/>
    </row>
    <row r="199" spans="1:6" ht="14.25" customHeight="1" x14ac:dyDescent="0.2">
      <c r="A199" s="29"/>
      <c r="B199" s="29"/>
      <c r="C199" s="29"/>
      <c r="D199" s="29"/>
      <c r="F199" s="30"/>
    </row>
    <row r="200" spans="1:6" ht="14.25" customHeight="1" x14ac:dyDescent="0.2">
      <c r="A200" s="29"/>
      <c r="B200" s="29"/>
      <c r="C200" s="29"/>
      <c r="D200" s="29"/>
      <c r="F200" s="30"/>
    </row>
    <row r="201" spans="1:6" ht="14.25" customHeight="1" x14ac:dyDescent="0.2">
      <c r="A201" s="29"/>
      <c r="B201" s="29"/>
      <c r="C201" s="29"/>
      <c r="D201" s="29"/>
      <c r="F201" s="30"/>
    </row>
    <row r="202" spans="1:6" ht="14.25" customHeight="1" x14ac:dyDescent="0.2">
      <c r="A202" s="29"/>
      <c r="B202" s="29"/>
      <c r="C202" s="29"/>
      <c r="D202" s="29"/>
      <c r="F202" s="30"/>
    </row>
    <row r="203" spans="1:6" ht="14.25" customHeight="1" x14ac:dyDescent="0.2">
      <c r="A203" s="29"/>
      <c r="B203" s="29"/>
      <c r="C203" s="29"/>
      <c r="D203" s="29"/>
      <c r="F203" s="30"/>
    </row>
    <row r="204" spans="1:6" ht="14.25" customHeight="1" x14ac:dyDescent="0.2">
      <c r="A204" s="29"/>
      <c r="B204" s="29"/>
      <c r="C204" s="29"/>
      <c r="D204" s="29"/>
      <c r="F204" s="30"/>
    </row>
    <row r="205" spans="1:6" ht="14.25" customHeight="1" x14ac:dyDescent="0.2">
      <c r="A205" s="29"/>
      <c r="B205" s="29"/>
      <c r="C205" s="29"/>
      <c r="D205" s="29"/>
      <c r="F205" s="30"/>
    </row>
    <row r="206" spans="1:6" ht="14.25" customHeight="1" x14ac:dyDescent="0.2">
      <c r="A206" s="29"/>
      <c r="B206" s="29"/>
      <c r="C206" s="29"/>
      <c r="D206" s="29"/>
      <c r="F206" s="30"/>
    </row>
    <row r="207" spans="1:6" ht="14.25" customHeight="1" x14ac:dyDescent="0.2">
      <c r="A207" s="29"/>
      <c r="B207" s="29"/>
      <c r="C207" s="29"/>
      <c r="D207" s="29"/>
      <c r="F207" s="30"/>
    </row>
    <row r="208" spans="1:6" ht="14.25" customHeight="1" x14ac:dyDescent="0.2">
      <c r="A208" s="29"/>
      <c r="B208" s="29"/>
      <c r="C208" s="29"/>
      <c r="D208" s="29"/>
      <c r="F208" s="30"/>
    </row>
    <row r="209" spans="1:6" ht="14.25" customHeight="1" x14ac:dyDescent="0.2">
      <c r="A209" s="29"/>
      <c r="B209" s="29"/>
      <c r="C209" s="29"/>
      <c r="D209" s="29"/>
      <c r="F209" s="30"/>
    </row>
    <row r="210" spans="1:6" ht="14.25" customHeight="1" x14ac:dyDescent="0.2">
      <c r="A210" s="29"/>
      <c r="B210" s="29"/>
      <c r="C210" s="29"/>
      <c r="D210" s="29"/>
      <c r="F210" s="30"/>
    </row>
    <row r="211" spans="1:6" ht="14.25" customHeight="1" x14ac:dyDescent="0.2">
      <c r="A211" s="29"/>
      <c r="B211" s="29"/>
      <c r="C211" s="29"/>
      <c r="D211" s="29"/>
      <c r="F211" s="30"/>
    </row>
    <row r="212" spans="1:6" ht="14.25" customHeight="1" x14ac:dyDescent="0.2">
      <c r="A212" s="29"/>
      <c r="B212" s="29"/>
      <c r="C212" s="29"/>
      <c r="D212" s="29"/>
      <c r="F212" s="30"/>
    </row>
    <row r="213" spans="1:6" ht="14.25" customHeight="1" x14ac:dyDescent="0.2">
      <c r="A213" s="29"/>
      <c r="B213" s="29"/>
      <c r="C213" s="29"/>
      <c r="D213" s="29"/>
      <c r="F213" s="30"/>
    </row>
    <row r="214" spans="1:6" ht="14.25" customHeight="1" x14ac:dyDescent="0.2">
      <c r="A214" s="29"/>
      <c r="B214" s="29"/>
      <c r="C214" s="29"/>
      <c r="D214" s="29"/>
      <c r="F214" s="30"/>
    </row>
    <row r="215" spans="1:6" ht="14.25" customHeight="1" x14ac:dyDescent="0.2">
      <c r="A215" s="29"/>
      <c r="B215" s="29"/>
      <c r="C215" s="29"/>
      <c r="D215" s="29"/>
      <c r="F215" s="30"/>
    </row>
    <row r="216" spans="1:6" ht="14.25" customHeight="1" x14ac:dyDescent="0.2">
      <c r="A216" s="29"/>
      <c r="B216" s="29"/>
      <c r="C216" s="29"/>
      <c r="D216" s="29"/>
      <c r="F216" s="30"/>
    </row>
    <row r="217" spans="1:6" ht="14.25" customHeight="1" x14ac:dyDescent="0.2">
      <c r="A217" s="29"/>
      <c r="B217" s="29"/>
      <c r="C217" s="29"/>
      <c r="D217" s="29"/>
      <c r="F217" s="30"/>
    </row>
    <row r="218" spans="1:6" ht="14.25" customHeight="1" x14ac:dyDescent="0.2">
      <c r="A218" s="29"/>
      <c r="B218" s="29"/>
      <c r="C218" s="29"/>
      <c r="D218" s="29"/>
      <c r="F218" s="30"/>
    </row>
    <row r="219" spans="1:6" ht="14.25" customHeight="1" x14ac:dyDescent="0.2">
      <c r="A219" s="29"/>
      <c r="B219" s="29"/>
      <c r="C219" s="29"/>
      <c r="D219" s="29"/>
      <c r="F219" s="30"/>
    </row>
    <row r="220" spans="1:6" ht="14.25" customHeight="1" x14ac:dyDescent="0.2">
      <c r="A220" s="29"/>
      <c r="B220" s="29"/>
      <c r="C220" s="29"/>
      <c r="D220" s="29"/>
      <c r="F220" s="30"/>
    </row>
    <row r="221" spans="1:6" ht="14.25" customHeight="1" x14ac:dyDescent="0.2">
      <c r="A221" s="29"/>
      <c r="B221" s="29"/>
      <c r="C221" s="29"/>
      <c r="D221" s="29"/>
      <c r="F221" s="30"/>
    </row>
    <row r="222" spans="1:6" ht="14.25" customHeight="1" x14ac:dyDescent="0.2">
      <c r="A222" s="29"/>
      <c r="B222" s="29"/>
      <c r="C222" s="29"/>
      <c r="D222" s="29"/>
      <c r="F222" s="30"/>
    </row>
    <row r="223" spans="1:6" ht="14.25" customHeight="1" x14ac:dyDescent="0.2">
      <c r="A223" s="29"/>
      <c r="B223" s="29"/>
      <c r="C223" s="29"/>
      <c r="D223" s="29"/>
      <c r="F223" s="30"/>
    </row>
    <row r="224" spans="1:6" ht="14.25" customHeight="1" x14ac:dyDescent="0.2">
      <c r="A224" s="29"/>
      <c r="B224" s="29"/>
      <c r="C224" s="29"/>
      <c r="D224" s="29"/>
      <c r="F224" s="30"/>
    </row>
    <row r="225" spans="1:6" ht="14.25" customHeight="1" x14ac:dyDescent="0.2">
      <c r="A225" s="29"/>
      <c r="B225" s="29"/>
      <c r="C225" s="29"/>
      <c r="D225" s="29"/>
      <c r="F225" s="30"/>
    </row>
    <row r="226" spans="1:6" ht="14.25" customHeight="1" x14ac:dyDescent="0.2">
      <c r="A226" s="29"/>
      <c r="B226" s="29"/>
      <c r="C226" s="29"/>
      <c r="D226" s="29"/>
      <c r="F226" s="30"/>
    </row>
    <row r="227" spans="1:6" ht="14.25" customHeight="1" x14ac:dyDescent="0.2">
      <c r="A227" s="29"/>
      <c r="B227" s="29"/>
      <c r="C227" s="29"/>
      <c r="D227" s="29"/>
      <c r="F227" s="30"/>
    </row>
    <row r="228" spans="1:6" ht="14.25" customHeight="1" x14ac:dyDescent="0.2">
      <c r="A228" s="29"/>
      <c r="B228" s="29"/>
      <c r="C228" s="29"/>
      <c r="D228" s="29"/>
      <c r="F228" s="30"/>
    </row>
    <row r="229" spans="1:6" ht="14.25" customHeight="1" x14ac:dyDescent="0.2">
      <c r="A229" s="29"/>
      <c r="B229" s="29"/>
      <c r="C229" s="29"/>
      <c r="D229" s="29"/>
      <c r="F229" s="30"/>
    </row>
    <row r="230" spans="1:6" ht="14.25" customHeight="1" x14ac:dyDescent="0.2">
      <c r="A230" s="29"/>
      <c r="B230" s="29"/>
      <c r="C230" s="29"/>
      <c r="D230" s="29"/>
      <c r="F230" s="30"/>
    </row>
    <row r="231" spans="1:6" ht="14.25" customHeight="1" x14ac:dyDescent="0.2">
      <c r="A231" s="29"/>
      <c r="B231" s="29"/>
      <c r="C231" s="29"/>
      <c r="D231" s="29"/>
      <c r="F231" s="30"/>
    </row>
    <row r="232" spans="1:6" ht="14.25" customHeight="1" x14ac:dyDescent="0.2">
      <c r="A232" s="29"/>
      <c r="B232" s="29"/>
      <c r="C232" s="29"/>
      <c r="D232" s="29"/>
      <c r="F232" s="30"/>
    </row>
    <row r="233" spans="1:6" ht="14.25" customHeight="1" x14ac:dyDescent="0.2">
      <c r="A233" s="29"/>
      <c r="B233" s="29"/>
      <c r="C233" s="29"/>
      <c r="D233" s="29"/>
      <c r="F233" s="30"/>
    </row>
    <row r="234" spans="1:6" ht="14.25" customHeight="1" x14ac:dyDescent="0.2">
      <c r="A234" s="29"/>
      <c r="B234" s="29"/>
      <c r="C234" s="29"/>
      <c r="D234" s="29"/>
      <c r="F234" s="30"/>
    </row>
    <row r="235" spans="1:6" ht="14.25" customHeight="1" x14ac:dyDescent="0.2">
      <c r="A235" s="29"/>
      <c r="B235" s="29"/>
      <c r="C235" s="29"/>
      <c r="D235" s="29"/>
      <c r="F235" s="30"/>
    </row>
    <row r="236" spans="1:6" ht="14.25" customHeight="1" x14ac:dyDescent="0.2">
      <c r="A236" s="29"/>
      <c r="B236" s="29"/>
      <c r="C236" s="29"/>
      <c r="D236" s="29"/>
      <c r="F236" s="30"/>
    </row>
    <row r="237" spans="1:6" ht="14.25" customHeight="1" x14ac:dyDescent="0.2">
      <c r="A237" s="29"/>
      <c r="B237" s="29"/>
      <c r="C237" s="29"/>
      <c r="D237" s="29"/>
      <c r="F237" s="30"/>
    </row>
    <row r="238" spans="1:6" ht="14.25" customHeight="1" x14ac:dyDescent="0.2">
      <c r="A238" s="29"/>
      <c r="B238" s="29"/>
      <c r="C238" s="29"/>
      <c r="D238" s="29"/>
      <c r="F238" s="30"/>
    </row>
    <row r="239" spans="1:6" ht="14.25" customHeight="1" x14ac:dyDescent="0.2">
      <c r="A239" s="29"/>
      <c r="B239" s="29"/>
      <c r="C239" s="29"/>
      <c r="D239" s="29"/>
      <c r="F239" s="30"/>
    </row>
    <row r="240" spans="1:6" ht="14.25" customHeight="1" x14ac:dyDescent="0.2">
      <c r="A240" s="29"/>
      <c r="B240" s="29"/>
      <c r="C240" s="29"/>
      <c r="D240" s="29"/>
      <c r="F240" s="30"/>
    </row>
    <row r="241" spans="1:6" ht="14.25" customHeight="1" x14ac:dyDescent="0.2">
      <c r="A241" s="29"/>
      <c r="B241" s="29"/>
      <c r="C241" s="29"/>
      <c r="D241" s="29"/>
      <c r="F241" s="30"/>
    </row>
    <row r="242" spans="1:6" ht="14.25" customHeight="1" x14ac:dyDescent="0.2">
      <c r="A242" s="29"/>
      <c r="B242" s="29"/>
      <c r="C242" s="29"/>
      <c r="D242" s="29"/>
      <c r="F242" s="30"/>
    </row>
    <row r="243" spans="1:6" ht="14.25" customHeight="1" x14ac:dyDescent="0.2">
      <c r="A243" s="29"/>
      <c r="B243" s="29"/>
      <c r="C243" s="29"/>
      <c r="D243" s="29"/>
      <c r="F243" s="30"/>
    </row>
    <row r="244" spans="1:6" ht="14.25" customHeight="1" x14ac:dyDescent="0.2">
      <c r="A244" s="29"/>
      <c r="B244" s="29"/>
      <c r="C244" s="29"/>
      <c r="D244" s="29"/>
      <c r="F244" s="30"/>
    </row>
    <row r="245" spans="1:6" ht="14.25" customHeight="1" x14ac:dyDescent="0.2">
      <c r="A245" s="29"/>
      <c r="B245" s="29"/>
      <c r="C245" s="29"/>
      <c r="D245" s="29"/>
      <c r="F245" s="30"/>
    </row>
    <row r="246" spans="1:6" ht="14.25" customHeight="1" x14ac:dyDescent="0.2">
      <c r="A246" s="29"/>
      <c r="B246" s="29"/>
      <c r="C246" s="29"/>
      <c r="D246" s="29"/>
      <c r="F246" s="30"/>
    </row>
    <row r="247" spans="1:6" ht="14.25" customHeight="1" x14ac:dyDescent="0.2">
      <c r="A247" s="29"/>
      <c r="B247" s="29"/>
      <c r="C247" s="29"/>
      <c r="D247" s="29"/>
      <c r="F247" s="30"/>
    </row>
    <row r="248" spans="1:6" ht="14.25" customHeight="1" x14ac:dyDescent="0.2">
      <c r="A248" s="29"/>
      <c r="B248" s="29"/>
      <c r="C248" s="29"/>
      <c r="D248" s="29"/>
      <c r="F248" s="30"/>
    </row>
    <row r="249" spans="1:6" ht="14.25" customHeight="1" x14ac:dyDescent="0.2">
      <c r="A249" s="29"/>
      <c r="B249" s="29"/>
      <c r="C249" s="29"/>
      <c r="D249" s="29"/>
      <c r="F249" s="30"/>
    </row>
    <row r="250" spans="1:6" ht="14.25" customHeight="1" x14ac:dyDescent="0.2">
      <c r="A250" s="29"/>
      <c r="B250" s="29"/>
      <c r="C250" s="29"/>
      <c r="D250" s="29"/>
      <c r="F250" s="30"/>
    </row>
    <row r="251" spans="1:6" ht="14.25" customHeight="1" x14ac:dyDescent="0.2">
      <c r="A251" s="29"/>
      <c r="B251" s="29"/>
      <c r="C251" s="29"/>
      <c r="D251" s="29"/>
      <c r="F251" s="30"/>
    </row>
    <row r="252" spans="1:6" ht="14.25" customHeight="1" x14ac:dyDescent="0.2">
      <c r="A252" s="29"/>
      <c r="B252" s="29"/>
      <c r="C252" s="29"/>
      <c r="D252" s="29"/>
      <c r="F252" s="30"/>
    </row>
    <row r="253" spans="1:6" ht="14.25" customHeight="1" x14ac:dyDescent="0.2">
      <c r="A253" s="29"/>
      <c r="B253" s="29"/>
      <c r="C253" s="29"/>
      <c r="D253" s="29"/>
      <c r="F253" s="30"/>
    </row>
    <row r="254" spans="1:6" ht="14.25" customHeight="1" x14ac:dyDescent="0.2">
      <c r="A254" s="29"/>
      <c r="B254" s="29"/>
      <c r="C254" s="29"/>
      <c r="D254" s="29"/>
      <c r="F254" s="30"/>
    </row>
    <row r="255" spans="1:6" ht="14.25" customHeight="1" x14ac:dyDescent="0.2">
      <c r="A255" s="29"/>
      <c r="B255" s="29"/>
      <c r="C255" s="29"/>
      <c r="D255" s="29"/>
      <c r="F255" s="30"/>
    </row>
    <row r="256" spans="1:6" ht="14.25" customHeight="1" x14ac:dyDescent="0.2">
      <c r="A256" s="29"/>
      <c r="B256" s="29"/>
      <c r="C256" s="29"/>
      <c r="D256" s="29"/>
      <c r="F256" s="30"/>
    </row>
    <row r="257" spans="1:6" ht="14.25" customHeight="1" x14ac:dyDescent="0.2">
      <c r="A257" s="29"/>
      <c r="B257" s="29"/>
      <c r="C257" s="29"/>
      <c r="D257" s="29"/>
      <c r="F257" s="30"/>
    </row>
    <row r="258" spans="1:6" ht="14.25" customHeight="1" x14ac:dyDescent="0.2">
      <c r="A258" s="29"/>
      <c r="B258" s="29"/>
      <c r="C258" s="29"/>
      <c r="D258" s="29"/>
      <c r="F258" s="30"/>
    </row>
    <row r="259" spans="1:6" ht="14.25" customHeight="1" x14ac:dyDescent="0.2">
      <c r="A259" s="29"/>
      <c r="B259" s="29"/>
      <c r="C259" s="29"/>
      <c r="D259" s="29"/>
      <c r="F259" s="30"/>
    </row>
    <row r="260" spans="1:6" ht="14.25" customHeight="1" x14ac:dyDescent="0.2">
      <c r="A260" s="29"/>
      <c r="B260" s="29"/>
      <c r="C260" s="29"/>
      <c r="D260" s="29"/>
      <c r="F260" s="30"/>
    </row>
    <row r="261" spans="1:6" ht="14.25" customHeight="1" x14ac:dyDescent="0.2">
      <c r="A261" s="29"/>
      <c r="B261" s="29"/>
      <c r="C261" s="29"/>
      <c r="D261" s="29"/>
      <c r="F261" s="30"/>
    </row>
    <row r="262" spans="1:6" ht="14.25" customHeight="1" x14ac:dyDescent="0.2">
      <c r="A262" s="29"/>
      <c r="B262" s="29"/>
      <c r="C262" s="29"/>
      <c r="D262" s="29"/>
      <c r="F262" s="30"/>
    </row>
    <row r="263" spans="1:6" ht="14.25" customHeight="1" x14ac:dyDescent="0.2">
      <c r="A263" s="29"/>
      <c r="B263" s="29"/>
      <c r="C263" s="29"/>
      <c r="D263" s="29"/>
      <c r="F263" s="30"/>
    </row>
    <row r="264" spans="1:6" ht="14.25" customHeight="1" x14ac:dyDescent="0.2">
      <c r="A264" s="29"/>
      <c r="B264" s="29"/>
      <c r="C264" s="29"/>
      <c r="D264" s="29"/>
      <c r="F264" s="30"/>
    </row>
    <row r="265" spans="1:6" ht="14.25" customHeight="1" x14ac:dyDescent="0.2">
      <c r="A265" s="29"/>
      <c r="B265" s="29"/>
      <c r="C265" s="29"/>
      <c r="D265" s="29"/>
      <c r="F265" s="30"/>
    </row>
    <row r="266" spans="1:6" ht="14.25" customHeight="1" x14ac:dyDescent="0.2">
      <c r="A266" s="29"/>
      <c r="B266" s="29"/>
      <c r="C266" s="29"/>
      <c r="D266" s="29"/>
      <c r="F266" s="30"/>
    </row>
    <row r="267" spans="1:6" ht="14.25" customHeight="1" x14ac:dyDescent="0.2">
      <c r="A267" s="29"/>
      <c r="B267" s="29"/>
      <c r="C267" s="29"/>
      <c r="D267" s="29"/>
      <c r="F267" s="30"/>
    </row>
    <row r="268" spans="1:6" ht="14.25" customHeight="1" x14ac:dyDescent="0.2">
      <c r="A268" s="29"/>
      <c r="B268" s="29"/>
      <c r="C268" s="29"/>
      <c r="D268" s="29"/>
      <c r="F268" s="30"/>
    </row>
    <row r="269" spans="1:6" ht="14.25" customHeight="1" x14ac:dyDescent="0.2">
      <c r="A269" s="29"/>
      <c r="B269" s="29"/>
      <c r="C269" s="29"/>
      <c r="D269" s="29"/>
      <c r="F269" s="30"/>
    </row>
    <row r="270" spans="1:6" ht="14.25" customHeight="1" x14ac:dyDescent="0.2">
      <c r="A270" s="29"/>
      <c r="B270" s="29"/>
      <c r="C270" s="29"/>
      <c r="D270" s="29"/>
      <c r="F270" s="30"/>
    </row>
    <row r="271" spans="1:6" ht="14.25" customHeight="1" x14ac:dyDescent="0.2">
      <c r="A271" s="29"/>
      <c r="B271" s="29"/>
      <c r="C271" s="29"/>
      <c r="D271" s="29"/>
      <c r="F271" s="30"/>
    </row>
    <row r="272" spans="1:6" ht="14.25" customHeight="1" x14ac:dyDescent="0.2">
      <c r="A272" s="29"/>
      <c r="B272" s="29"/>
      <c r="C272" s="29"/>
      <c r="D272" s="29"/>
      <c r="F272" s="30"/>
    </row>
    <row r="273" spans="1:6" ht="14.25" customHeight="1" x14ac:dyDescent="0.2">
      <c r="A273" s="29"/>
      <c r="B273" s="29"/>
      <c r="C273" s="29"/>
      <c r="D273" s="29"/>
      <c r="F273" s="30"/>
    </row>
    <row r="274" spans="1:6" ht="14.25" customHeight="1" x14ac:dyDescent="0.2">
      <c r="A274" s="29"/>
      <c r="B274" s="29"/>
      <c r="C274" s="29"/>
      <c r="D274" s="29"/>
      <c r="F274" s="30"/>
    </row>
    <row r="275" spans="1:6" ht="14.25" customHeight="1" x14ac:dyDescent="0.2">
      <c r="A275" s="29"/>
      <c r="B275" s="29"/>
      <c r="C275" s="29"/>
      <c r="D275" s="29"/>
      <c r="F275" s="30"/>
    </row>
    <row r="276" spans="1:6" ht="14.25" customHeight="1" x14ac:dyDescent="0.2">
      <c r="A276" s="29"/>
      <c r="B276" s="29"/>
      <c r="C276" s="29"/>
      <c r="D276" s="29"/>
      <c r="F276" s="30"/>
    </row>
    <row r="277" spans="1:6" ht="14.25" customHeight="1" x14ac:dyDescent="0.2">
      <c r="A277" s="29"/>
      <c r="B277" s="29"/>
      <c r="C277" s="29"/>
      <c r="D277" s="29"/>
      <c r="F277" s="30"/>
    </row>
    <row r="278" spans="1:6" ht="14.25" customHeight="1" x14ac:dyDescent="0.2">
      <c r="A278" s="29"/>
      <c r="B278" s="29"/>
      <c r="C278" s="29"/>
      <c r="D278" s="29"/>
      <c r="F278" s="30"/>
    </row>
    <row r="279" spans="1:6" ht="14.25" customHeight="1" x14ac:dyDescent="0.2">
      <c r="A279" s="29"/>
      <c r="B279" s="29"/>
      <c r="C279" s="29"/>
      <c r="D279" s="29"/>
      <c r="F279" s="30"/>
    </row>
    <row r="280" spans="1:6" ht="14.25" customHeight="1" x14ac:dyDescent="0.2">
      <c r="A280" s="29"/>
      <c r="B280" s="29"/>
      <c r="C280" s="29"/>
      <c r="D280" s="29"/>
      <c r="F280" s="30"/>
    </row>
    <row r="281" spans="1:6" ht="14.25" customHeight="1" x14ac:dyDescent="0.2">
      <c r="A281" s="29"/>
      <c r="B281" s="29"/>
      <c r="C281" s="29"/>
      <c r="D281" s="29"/>
      <c r="F281" s="30"/>
    </row>
    <row r="282" spans="1:6" ht="14.25" customHeight="1" x14ac:dyDescent="0.2">
      <c r="A282" s="29"/>
      <c r="B282" s="29"/>
      <c r="C282" s="29"/>
      <c r="D282" s="29"/>
      <c r="F282" s="30"/>
    </row>
    <row r="283" spans="1:6" ht="14.25" customHeight="1" x14ac:dyDescent="0.2">
      <c r="A283" s="29"/>
      <c r="B283" s="29"/>
      <c r="C283" s="29"/>
      <c r="D283" s="29"/>
      <c r="F283" s="30"/>
    </row>
    <row r="284" spans="1:6" ht="14.25" customHeight="1" x14ac:dyDescent="0.2">
      <c r="A284" s="29"/>
      <c r="B284" s="29"/>
      <c r="C284" s="29"/>
      <c r="D284" s="29"/>
      <c r="F284" s="30"/>
    </row>
    <row r="285" spans="1:6" ht="14.25" customHeight="1" x14ac:dyDescent="0.2">
      <c r="A285" s="29"/>
      <c r="B285" s="29"/>
      <c r="C285" s="29"/>
      <c r="D285" s="29"/>
      <c r="F285" s="30"/>
    </row>
    <row r="286" spans="1:6" ht="14.25" customHeight="1" x14ac:dyDescent="0.2">
      <c r="A286" s="29"/>
      <c r="B286" s="29"/>
      <c r="C286" s="29"/>
      <c r="D286" s="29"/>
      <c r="F286" s="30"/>
    </row>
    <row r="287" spans="1:6" ht="14.25" customHeight="1" x14ac:dyDescent="0.2">
      <c r="A287" s="29"/>
      <c r="B287" s="29"/>
      <c r="C287" s="29"/>
      <c r="D287" s="29"/>
      <c r="F287" s="30"/>
    </row>
    <row r="288" spans="1:6" ht="14.25" customHeight="1" x14ac:dyDescent="0.2">
      <c r="A288" s="29"/>
      <c r="B288" s="29"/>
      <c r="C288" s="29"/>
      <c r="D288" s="29"/>
      <c r="F288" s="30"/>
    </row>
    <row r="289" spans="1:6" ht="14.25" customHeight="1" x14ac:dyDescent="0.2">
      <c r="A289" s="29"/>
      <c r="B289" s="29"/>
      <c r="C289" s="29"/>
      <c r="D289" s="29"/>
      <c r="F289" s="30"/>
    </row>
    <row r="290" spans="1:6" ht="14.25" customHeight="1" x14ac:dyDescent="0.2">
      <c r="A290" s="29"/>
      <c r="B290" s="29"/>
      <c r="C290" s="29"/>
      <c r="D290" s="29"/>
      <c r="F290" s="30"/>
    </row>
    <row r="291" spans="1:6" ht="14.25" customHeight="1" x14ac:dyDescent="0.2">
      <c r="A291" s="29"/>
      <c r="B291" s="29"/>
      <c r="C291" s="29"/>
      <c r="D291" s="29"/>
      <c r="F291" s="30"/>
    </row>
    <row r="292" spans="1:6" ht="14.25" customHeight="1" x14ac:dyDescent="0.2">
      <c r="A292" s="29"/>
      <c r="B292" s="29"/>
      <c r="C292" s="29"/>
      <c r="D292" s="29"/>
      <c r="F292" s="30"/>
    </row>
    <row r="293" spans="1:6" ht="14.25" customHeight="1" x14ac:dyDescent="0.2">
      <c r="A293" s="29"/>
      <c r="B293" s="29"/>
      <c r="C293" s="29"/>
      <c r="D293" s="29"/>
      <c r="F293" s="30"/>
    </row>
    <row r="294" spans="1:6" ht="14.25" customHeight="1" x14ac:dyDescent="0.2">
      <c r="A294" s="29"/>
      <c r="B294" s="29"/>
      <c r="C294" s="29"/>
      <c r="D294" s="29"/>
      <c r="F294" s="30"/>
    </row>
    <row r="295" spans="1:6" ht="14.25" customHeight="1" x14ac:dyDescent="0.2">
      <c r="A295" s="29"/>
      <c r="B295" s="29"/>
      <c r="C295" s="29"/>
      <c r="D295" s="29"/>
      <c r="F295" s="30"/>
    </row>
    <row r="296" spans="1:6" ht="14.25" customHeight="1" x14ac:dyDescent="0.2">
      <c r="A296" s="29"/>
      <c r="B296" s="29"/>
      <c r="C296" s="29"/>
      <c r="D296" s="29"/>
      <c r="F296" s="30"/>
    </row>
    <row r="297" spans="1:6" ht="14.25" customHeight="1" x14ac:dyDescent="0.2">
      <c r="A297" s="29"/>
      <c r="B297" s="29"/>
      <c r="C297" s="29"/>
      <c r="D297" s="29"/>
      <c r="F297" s="30"/>
    </row>
    <row r="298" spans="1:6" ht="14.25" customHeight="1" x14ac:dyDescent="0.2">
      <c r="A298" s="29"/>
      <c r="B298" s="29"/>
      <c r="C298" s="29"/>
      <c r="D298" s="29"/>
      <c r="F298" s="30"/>
    </row>
    <row r="299" spans="1:6" ht="14.25" customHeight="1" x14ac:dyDescent="0.2">
      <c r="A299" s="29"/>
      <c r="B299" s="29"/>
      <c r="C299" s="29"/>
      <c r="D299" s="29"/>
      <c r="F299" s="30"/>
    </row>
    <row r="300" spans="1:6" ht="14.25" customHeight="1" x14ac:dyDescent="0.2">
      <c r="A300" s="29"/>
      <c r="B300" s="29"/>
      <c r="C300" s="29"/>
      <c r="D300" s="29"/>
      <c r="F300" s="30"/>
    </row>
    <row r="301" spans="1:6" ht="14.25" customHeight="1" x14ac:dyDescent="0.2">
      <c r="A301" s="29"/>
      <c r="B301" s="29"/>
      <c r="C301" s="29"/>
      <c r="D301" s="29"/>
      <c r="F301" s="30"/>
    </row>
    <row r="302" spans="1:6" ht="14.25" customHeight="1" x14ac:dyDescent="0.2">
      <c r="A302" s="29"/>
      <c r="B302" s="29"/>
      <c r="C302" s="29"/>
      <c r="D302" s="29"/>
      <c r="F302" s="30"/>
    </row>
    <row r="303" spans="1:6" ht="14.25" customHeight="1" x14ac:dyDescent="0.2">
      <c r="A303" s="29"/>
      <c r="B303" s="29"/>
      <c r="C303" s="29"/>
      <c r="D303" s="29"/>
      <c r="F303" s="30"/>
    </row>
    <row r="304" spans="1:6" ht="14.25" customHeight="1" x14ac:dyDescent="0.2">
      <c r="A304" s="29"/>
      <c r="B304" s="29"/>
      <c r="C304" s="29"/>
      <c r="D304" s="29"/>
      <c r="F304" s="30"/>
    </row>
    <row r="305" spans="1:6" ht="14.25" customHeight="1" x14ac:dyDescent="0.2">
      <c r="A305" s="29"/>
      <c r="B305" s="29"/>
      <c r="C305" s="29"/>
      <c r="D305" s="29"/>
      <c r="F305" s="30"/>
    </row>
    <row r="306" spans="1:6" ht="14.25" customHeight="1" x14ac:dyDescent="0.2">
      <c r="A306" s="29"/>
      <c r="B306" s="29"/>
      <c r="C306" s="29"/>
      <c r="D306" s="29"/>
      <c r="F306" s="30"/>
    </row>
    <row r="307" spans="1:6" ht="14.25" customHeight="1" x14ac:dyDescent="0.2">
      <c r="A307" s="29"/>
      <c r="B307" s="29"/>
      <c r="C307" s="29"/>
      <c r="D307" s="29"/>
      <c r="F307" s="30"/>
    </row>
    <row r="308" spans="1:6" ht="14.25" customHeight="1" x14ac:dyDescent="0.2">
      <c r="A308" s="29"/>
      <c r="B308" s="29"/>
      <c r="C308" s="29"/>
      <c r="D308" s="29"/>
      <c r="F308" s="30"/>
    </row>
    <row r="309" spans="1:6" ht="14.25" customHeight="1" x14ac:dyDescent="0.2">
      <c r="A309" s="29"/>
      <c r="B309" s="29"/>
      <c r="C309" s="29"/>
      <c r="D309" s="29"/>
      <c r="F309" s="30"/>
    </row>
    <row r="310" spans="1:6" ht="14.25" customHeight="1" x14ac:dyDescent="0.2">
      <c r="A310" s="29"/>
      <c r="B310" s="29"/>
      <c r="C310" s="29"/>
      <c r="D310" s="29"/>
      <c r="F310" s="30"/>
    </row>
    <row r="311" spans="1:6" ht="14.25" customHeight="1" x14ac:dyDescent="0.2">
      <c r="A311" s="29"/>
      <c r="B311" s="29"/>
      <c r="C311" s="29"/>
      <c r="D311" s="29"/>
      <c r="F311" s="30"/>
    </row>
    <row r="312" spans="1:6" ht="14.25" customHeight="1" x14ac:dyDescent="0.2">
      <c r="A312" s="29"/>
      <c r="B312" s="29"/>
      <c r="C312" s="29"/>
      <c r="D312" s="29"/>
      <c r="F312" s="30"/>
    </row>
    <row r="313" spans="1:6" ht="14.25" customHeight="1" x14ac:dyDescent="0.2">
      <c r="A313" s="29"/>
      <c r="B313" s="29"/>
      <c r="C313" s="29"/>
      <c r="D313" s="29"/>
      <c r="F313" s="30"/>
    </row>
    <row r="314" spans="1:6" ht="14.25" customHeight="1" x14ac:dyDescent="0.2">
      <c r="A314" s="29"/>
      <c r="B314" s="29"/>
      <c r="C314" s="29"/>
      <c r="D314" s="29"/>
      <c r="F314" s="30"/>
    </row>
    <row r="315" spans="1:6" ht="14.25" customHeight="1" x14ac:dyDescent="0.2">
      <c r="A315" s="29"/>
      <c r="B315" s="29"/>
      <c r="C315" s="29"/>
      <c r="D315" s="29"/>
      <c r="F315" s="30"/>
    </row>
    <row r="316" spans="1:6" ht="14.25" customHeight="1" x14ac:dyDescent="0.2">
      <c r="A316" s="29"/>
      <c r="B316" s="29"/>
      <c r="C316" s="29"/>
      <c r="D316" s="29"/>
      <c r="F316" s="30"/>
    </row>
    <row r="317" spans="1:6" ht="14.25" customHeight="1" x14ac:dyDescent="0.2">
      <c r="A317" s="29"/>
      <c r="B317" s="29"/>
      <c r="C317" s="29"/>
      <c r="D317" s="29"/>
      <c r="F317" s="30"/>
    </row>
    <row r="318" spans="1:6" ht="14.25" customHeight="1" x14ac:dyDescent="0.2">
      <c r="A318" s="29"/>
      <c r="B318" s="29"/>
      <c r="C318" s="29"/>
      <c r="D318" s="29"/>
      <c r="F318" s="30"/>
    </row>
    <row r="319" spans="1:6" ht="14.25" customHeight="1" x14ac:dyDescent="0.2">
      <c r="A319" s="29"/>
      <c r="B319" s="29"/>
      <c r="C319" s="29"/>
      <c r="D319" s="29"/>
      <c r="F319" s="30"/>
    </row>
    <row r="320" spans="1:6" ht="14.25" customHeight="1" x14ac:dyDescent="0.2">
      <c r="A320" s="29"/>
      <c r="B320" s="29"/>
      <c r="C320" s="29"/>
      <c r="D320" s="29"/>
      <c r="F320" s="30"/>
    </row>
    <row r="321" spans="1:6" ht="14.25" customHeight="1" x14ac:dyDescent="0.2">
      <c r="A321" s="29"/>
      <c r="B321" s="29"/>
      <c r="C321" s="29"/>
      <c r="D321" s="29"/>
      <c r="F321" s="30"/>
    </row>
    <row r="322" spans="1:6" ht="14.25" customHeight="1" x14ac:dyDescent="0.2">
      <c r="A322" s="29"/>
      <c r="B322" s="29"/>
      <c r="C322" s="29"/>
      <c r="D322" s="29"/>
      <c r="F322" s="30"/>
    </row>
    <row r="323" spans="1:6" ht="14.25" customHeight="1" x14ac:dyDescent="0.2">
      <c r="A323" s="29"/>
      <c r="B323" s="29"/>
      <c r="C323" s="29"/>
      <c r="D323" s="29"/>
      <c r="F323" s="30"/>
    </row>
    <row r="324" spans="1:6" ht="14.25" customHeight="1" x14ac:dyDescent="0.2">
      <c r="A324" s="29"/>
      <c r="B324" s="29"/>
      <c r="C324" s="29"/>
      <c r="D324" s="29"/>
      <c r="F324" s="30"/>
    </row>
    <row r="325" spans="1:6" ht="14.25" customHeight="1" x14ac:dyDescent="0.2">
      <c r="A325" s="29"/>
      <c r="B325" s="29"/>
      <c r="C325" s="29"/>
      <c r="D325" s="29"/>
      <c r="F325" s="30"/>
    </row>
    <row r="326" spans="1:6" ht="14.25" customHeight="1" x14ac:dyDescent="0.2">
      <c r="A326" s="29"/>
      <c r="B326" s="29"/>
      <c r="C326" s="29"/>
      <c r="D326" s="29"/>
      <c r="F326" s="30"/>
    </row>
    <row r="327" spans="1:6" ht="14.25" customHeight="1" x14ac:dyDescent="0.2">
      <c r="A327" s="29"/>
      <c r="B327" s="29"/>
      <c r="C327" s="29"/>
      <c r="D327" s="29"/>
      <c r="F327" s="30"/>
    </row>
    <row r="328" spans="1:6" ht="14.25" customHeight="1" x14ac:dyDescent="0.2">
      <c r="A328" s="29"/>
      <c r="B328" s="29"/>
      <c r="C328" s="29"/>
      <c r="D328" s="29"/>
      <c r="F328" s="30"/>
    </row>
    <row r="329" spans="1:6" ht="14.25" customHeight="1" x14ac:dyDescent="0.2">
      <c r="A329" s="29"/>
      <c r="B329" s="29"/>
      <c r="C329" s="29"/>
      <c r="D329" s="29"/>
      <c r="F329" s="30"/>
    </row>
    <row r="330" spans="1:6" ht="14.25" customHeight="1" x14ac:dyDescent="0.2">
      <c r="A330" s="29"/>
      <c r="B330" s="29"/>
      <c r="C330" s="29"/>
      <c r="D330" s="29"/>
      <c r="F330" s="30"/>
    </row>
    <row r="331" spans="1:6" ht="14.25" customHeight="1" x14ac:dyDescent="0.2">
      <c r="A331" s="29"/>
      <c r="B331" s="29"/>
      <c r="C331" s="29"/>
      <c r="D331" s="29"/>
      <c r="F331" s="30"/>
    </row>
    <row r="332" spans="1:6" ht="14.25" customHeight="1" x14ac:dyDescent="0.2">
      <c r="A332" s="29"/>
      <c r="B332" s="29"/>
      <c r="C332" s="29"/>
      <c r="D332" s="29"/>
      <c r="F332" s="30"/>
    </row>
    <row r="333" spans="1:6" ht="14.25" customHeight="1" x14ac:dyDescent="0.2">
      <c r="A333" s="29"/>
      <c r="B333" s="29"/>
      <c r="C333" s="29"/>
      <c r="D333" s="29"/>
      <c r="F333" s="30"/>
    </row>
    <row r="334" spans="1:6" ht="14.25" customHeight="1" x14ac:dyDescent="0.2">
      <c r="A334" s="29"/>
      <c r="B334" s="29"/>
      <c r="C334" s="29"/>
      <c r="D334" s="29"/>
      <c r="F334" s="30"/>
    </row>
    <row r="335" spans="1:6" ht="14.25" customHeight="1" x14ac:dyDescent="0.2">
      <c r="A335" s="29"/>
      <c r="B335" s="29"/>
      <c r="C335" s="29"/>
      <c r="D335" s="29"/>
      <c r="F335" s="30"/>
    </row>
    <row r="336" spans="1:6" ht="14.25" customHeight="1" x14ac:dyDescent="0.2">
      <c r="A336" s="29"/>
      <c r="B336" s="29"/>
      <c r="C336" s="29"/>
      <c r="D336" s="29"/>
      <c r="F336" s="30"/>
    </row>
    <row r="337" spans="1:6" ht="14.25" customHeight="1" x14ac:dyDescent="0.2">
      <c r="A337" s="29"/>
      <c r="B337" s="29"/>
      <c r="C337" s="29"/>
      <c r="D337" s="29"/>
      <c r="F337" s="30"/>
    </row>
    <row r="338" spans="1:6" ht="14.25" customHeight="1" x14ac:dyDescent="0.2">
      <c r="A338" s="29"/>
      <c r="B338" s="29"/>
      <c r="C338" s="29"/>
      <c r="D338" s="29"/>
      <c r="F338" s="30"/>
    </row>
    <row r="339" spans="1:6" ht="14.25" customHeight="1" x14ac:dyDescent="0.2">
      <c r="A339" s="29"/>
      <c r="B339" s="29"/>
      <c r="C339" s="29"/>
      <c r="D339" s="29"/>
      <c r="F339" s="30"/>
    </row>
    <row r="340" spans="1:6" ht="14.25" customHeight="1" x14ac:dyDescent="0.2">
      <c r="A340" s="29"/>
      <c r="B340" s="29"/>
      <c r="C340" s="29"/>
      <c r="D340" s="29"/>
      <c r="F340" s="30"/>
    </row>
    <row r="341" spans="1:6" ht="14.25" customHeight="1" x14ac:dyDescent="0.2">
      <c r="A341" s="29"/>
      <c r="B341" s="29"/>
      <c r="C341" s="29"/>
      <c r="D341" s="29"/>
      <c r="F341" s="30"/>
    </row>
    <row r="342" spans="1:6" ht="14.25" customHeight="1" x14ac:dyDescent="0.2">
      <c r="A342" s="29"/>
      <c r="B342" s="29"/>
      <c r="C342" s="29"/>
      <c r="D342" s="29"/>
      <c r="F342" s="30"/>
    </row>
    <row r="343" spans="1:6" ht="14.25" customHeight="1" x14ac:dyDescent="0.2">
      <c r="A343" s="29"/>
      <c r="B343" s="29"/>
      <c r="C343" s="29"/>
      <c r="D343" s="29"/>
      <c r="F343" s="30"/>
    </row>
    <row r="344" spans="1:6" ht="14.25" customHeight="1" x14ac:dyDescent="0.2">
      <c r="A344" s="29"/>
      <c r="B344" s="29"/>
      <c r="C344" s="29"/>
      <c r="D344" s="29"/>
      <c r="F344" s="30"/>
    </row>
    <row r="345" spans="1:6" ht="14.25" customHeight="1" x14ac:dyDescent="0.2">
      <c r="A345" s="29"/>
      <c r="B345" s="29"/>
      <c r="C345" s="29"/>
      <c r="D345" s="29"/>
      <c r="F345" s="30"/>
    </row>
    <row r="346" spans="1:6" ht="14.25" customHeight="1" x14ac:dyDescent="0.2">
      <c r="A346" s="29"/>
      <c r="B346" s="29"/>
      <c r="C346" s="29"/>
      <c r="D346" s="29"/>
      <c r="F346" s="30"/>
    </row>
    <row r="347" spans="1:6" ht="14.25" customHeight="1" x14ac:dyDescent="0.2">
      <c r="A347" s="29"/>
      <c r="B347" s="29"/>
      <c r="C347" s="29"/>
      <c r="D347" s="29"/>
      <c r="F347" s="30"/>
    </row>
    <row r="348" spans="1:6" ht="14.25" customHeight="1" x14ac:dyDescent="0.2">
      <c r="A348" s="29"/>
      <c r="B348" s="29"/>
      <c r="C348" s="29"/>
      <c r="D348" s="29"/>
      <c r="F348" s="30"/>
    </row>
    <row r="349" spans="1:6" ht="14.25" customHeight="1" x14ac:dyDescent="0.2">
      <c r="A349" s="29"/>
      <c r="B349" s="29"/>
      <c r="C349" s="29"/>
      <c r="D349" s="29"/>
      <c r="F349" s="30"/>
    </row>
    <row r="350" spans="1:6" ht="14.25" customHeight="1" x14ac:dyDescent="0.2">
      <c r="A350" s="29"/>
      <c r="B350" s="29"/>
      <c r="C350" s="29"/>
      <c r="D350" s="29"/>
      <c r="F350" s="30"/>
    </row>
    <row r="351" spans="1:6" ht="14.25" customHeight="1" x14ac:dyDescent="0.2">
      <c r="A351" s="29"/>
      <c r="B351" s="29"/>
      <c r="C351" s="29"/>
      <c r="D351" s="29"/>
      <c r="F351" s="30"/>
    </row>
    <row r="352" spans="1:6" ht="14.25" customHeight="1" x14ac:dyDescent="0.2">
      <c r="A352" s="29"/>
      <c r="B352" s="29"/>
      <c r="C352" s="29"/>
      <c r="D352" s="29"/>
      <c r="F352" s="30"/>
    </row>
    <row r="353" spans="1:6" ht="14.25" customHeight="1" x14ac:dyDescent="0.2">
      <c r="A353" s="29"/>
      <c r="B353" s="29"/>
      <c r="C353" s="29"/>
      <c r="D353" s="29"/>
      <c r="F353" s="30"/>
    </row>
    <row r="354" spans="1:6" ht="14.25" customHeight="1" x14ac:dyDescent="0.2">
      <c r="A354" s="29"/>
      <c r="B354" s="29"/>
      <c r="C354" s="29"/>
      <c r="D354" s="29"/>
      <c r="F354" s="30"/>
    </row>
    <row r="355" spans="1:6" ht="14.25" customHeight="1" x14ac:dyDescent="0.2">
      <c r="A355" s="29"/>
      <c r="B355" s="29"/>
      <c r="C355" s="29"/>
      <c r="D355" s="29"/>
      <c r="F355" s="30"/>
    </row>
    <row r="356" spans="1:6" ht="14.25" customHeight="1" x14ac:dyDescent="0.2">
      <c r="A356" s="29"/>
      <c r="B356" s="29"/>
      <c r="C356" s="29"/>
      <c r="D356" s="29"/>
      <c r="F356" s="30"/>
    </row>
    <row r="357" spans="1:6" ht="14.25" customHeight="1" x14ac:dyDescent="0.2">
      <c r="A357" s="29"/>
      <c r="B357" s="29"/>
      <c r="C357" s="29"/>
      <c r="D357" s="29"/>
      <c r="F357" s="30"/>
    </row>
    <row r="358" spans="1:6" ht="14.25" customHeight="1" x14ac:dyDescent="0.2">
      <c r="A358" s="29"/>
      <c r="B358" s="29"/>
      <c r="C358" s="29"/>
      <c r="D358" s="29"/>
      <c r="F358" s="30"/>
    </row>
    <row r="359" spans="1:6" ht="14.25" customHeight="1" x14ac:dyDescent="0.2">
      <c r="A359" s="29"/>
      <c r="B359" s="29"/>
      <c r="C359" s="29"/>
      <c r="D359" s="29"/>
      <c r="F359" s="30"/>
    </row>
    <row r="360" spans="1:6" ht="14.25" customHeight="1" x14ac:dyDescent="0.2">
      <c r="A360" s="29"/>
      <c r="B360" s="29"/>
      <c r="C360" s="29"/>
      <c r="D360" s="29"/>
      <c r="F360" s="30"/>
    </row>
    <row r="361" spans="1:6" ht="14.25" customHeight="1" x14ac:dyDescent="0.2">
      <c r="A361" s="29"/>
      <c r="B361" s="29"/>
      <c r="C361" s="29"/>
      <c r="D361" s="29"/>
      <c r="F361" s="30"/>
    </row>
    <row r="362" spans="1:6" ht="14.25" customHeight="1" x14ac:dyDescent="0.2">
      <c r="A362" s="29"/>
      <c r="B362" s="29"/>
      <c r="C362" s="29"/>
      <c r="D362" s="29"/>
      <c r="F362" s="30"/>
    </row>
    <row r="363" spans="1:6" ht="14.25" customHeight="1" x14ac:dyDescent="0.2">
      <c r="A363" s="29"/>
      <c r="B363" s="29"/>
      <c r="C363" s="29"/>
      <c r="D363" s="29"/>
      <c r="F363" s="30"/>
    </row>
    <row r="364" spans="1:6" ht="14.25" customHeight="1" x14ac:dyDescent="0.2">
      <c r="A364" s="29"/>
      <c r="B364" s="29"/>
      <c r="C364" s="29"/>
      <c r="D364" s="29"/>
      <c r="F364" s="30"/>
    </row>
    <row r="365" spans="1:6" ht="14.25" customHeight="1" x14ac:dyDescent="0.2">
      <c r="A365" s="29"/>
      <c r="B365" s="29"/>
      <c r="C365" s="29"/>
      <c r="D365" s="29"/>
      <c r="F365" s="30"/>
    </row>
    <row r="366" spans="1:6" ht="14.25" customHeight="1" x14ac:dyDescent="0.2">
      <c r="A366" s="29"/>
      <c r="B366" s="29"/>
      <c r="C366" s="29"/>
      <c r="D366" s="29"/>
      <c r="F366" s="30"/>
    </row>
    <row r="367" spans="1:6" ht="14.25" customHeight="1" x14ac:dyDescent="0.2">
      <c r="A367" s="29"/>
      <c r="B367" s="29"/>
      <c r="C367" s="29"/>
      <c r="D367" s="29"/>
      <c r="F367" s="30"/>
    </row>
    <row r="368" spans="1:6" ht="14.25" customHeight="1" x14ac:dyDescent="0.2">
      <c r="A368" s="29"/>
      <c r="B368" s="29"/>
      <c r="C368" s="29"/>
      <c r="D368" s="29"/>
      <c r="F368" s="30"/>
    </row>
    <row r="369" spans="1:6" ht="14.25" customHeight="1" x14ac:dyDescent="0.2">
      <c r="A369" s="29"/>
      <c r="B369" s="29"/>
      <c r="C369" s="29"/>
      <c r="D369" s="29"/>
      <c r="F369" s="30"/>
    </row>
    <row r="370" spans="1:6" ht="14.25" customHeight="1" x14ac:dyDescent="0.2">
      <c r="A370" s="29"/>
      <c r="B370" s="29"/>
      <c r="C370" s="29"/>
      <c r="D370" s="29"/>
      <c r="F370" s="30"/>
    </row>
    <row r="371" spans="1:6" ht="14.25" customHeight="1" x14ac:dyDescent="0.2">
      <c r="A371" s="29"/>
      <c r="B371" s="29"/>
      <c r="C371" s="29"/>
      <c r="D371" s="29"/>
      <c r="F371" s="30"/>
    </row>
    <row r="372" spans="1:6" ht="14.25" customHeight="1" x14ac:dyDescent="0.2">
      <c r="A372" s="29"/>
      <c r="B372" s="29"/>
      <c r="C372" s="29"/>
      <c r="D372" s="29"/>
      <c r="F372" s="30"/>
    </row>
    <row r="373" spans="1:6" ht="14.25" customHeight="1" x14ac:dyDescent="0.2">
      <c r="A373" s="29"/>
      <c r="B373" s="29"/>
      <c r="C373" s="29"/>
      <c r="D373" s="29"/>
      <c r="F373" s="30"/>
    </row>
    <row r="374" spans="1:6" ht="14.25" customHeight="1" x14ac:dyDescent="0.2">
      <c r="A374" s="29"/>
      <c r="B374" s="29"/>
      <c r="C374" s="29"/>
      <c r="D374" s="29"/>
      <c r="F374" s="30"/>
    </row>
    <row r="375" spans="1:6" ht="14.25" customHeight="1" x14ac:dyDescent="0.2">
      <c r="A375" s="29"/>
      <c r="B375" s="29"/>
      <c r="C375" s="29"/>
      <c r="D375" s="29"/>
      <c r="F375" s="30"/>
    </row>
    <row r="376" spans="1:6" ht="14.25" customHeight="1" x14ac:dyDescent="0.2">
      <c r="A376" s="29"/>
      <c r="B376" s="29"/>
      <c r="C376" s="29"/>
      <c r="D376" s="29"/>
      <c r="F376" s="30"/>
    </row>
    <row r="377" spans="1:6" ht="14.25" customHeight="1" x14ac:dyDescent="0.2">
      <c r="A377" s="29"/>
      <c r="B377" s="29"/>
      <c r="C377" s="29"/>
      <c r="D377" s="29"/>
      <c r="F377" s="30"/>
    </row>
    <row r="378" spans="1:6" ht="14.25" customHeight="1" x14ac:dyDescent="0.2">
      <c r="A378" s="29"/>
      <c r="B378" s="29"/>
      <c r="C378" s="29"/>
      <c r="D378" s="29"/>
      <c r="F378" s="30"/>
    </row>
    <row r="379" spans="1:6" ht="14.25" customHeight="1" x14ac:dyDescent="0.2">
      <c r="A379" s="29"/>
      <c r="B379" s="29"/>
      <c r="C379" s="29"/>
      <c r="D379" s="29"/>
      <c r="F379" s="30"/>
    </row>
    <row r="380" spans="1:6" ht="14.25" customHeight="1" x14ac:dyDescent="0.2">
      <c r="A380" s="29"/>
      <c r="B380" s="29"/>
      <c r="C380" s="29"/>
      <c r="D380" s="29"/>
      <c r="F380" s="30"/>
    </row>
    <row r="381" spans="1:6" ht="14.25" customHeight="1" x14ac:dyDescent="0.2">
      <c r="A381" s="29"/>
      <c r="B381" s="29"/>
      <c r="C381" s="29"/>
      <c r="D381" s="29"/>
      <c r="F381" s="30"/>
    </row>
    <row r="382" spans="1:6" ht="14.25" customHeight="1" x14ac:dyDescent="0.2">
      <c r="A382" s="29"/>
      <c r="B382" s="29"/>
      <c r="C382" s="29"/>
      <c r="D382" s="29"/>
      <c r="F382" s="30"/>
    </row>
    <row r="383" spans="1:6" ht="14.25" customHeight="1" x14ac:dyDescent="0.2">
      <c r="A383" s="29"/>
      <c r="B383" s="29"/>
      <c r="C383" s="29"/>
      <c r="D383" s="29"/>
      <c r="F383" s="30"/>
    </row>
    <row r="384" spans="1:6" ht="14.25" customHeight="1" x14ac:dyDescent="0.2">
      <c r="A384" s="29"/>
      <c r="B384" s="29"/>
      <c r="C384" s="29"/>
      <c r="D384" s="29"/>
      <c r="F384" s="30"/>
    </row>
    <row r="385" spans="1:6" ht="14.25" customHeight="1" x14ac:dyDescent="0.2">
      <c r="A385" s="29"/>
      <c r="B385" s="29"/>
      <c r="C385" s="29"/>
      <c r="D385" s="29"/>
      <c r="F385" s="30"/>
    </row>
    <row r="386" spans="1:6" ht="14.25" customHeight="1" x14ac:dyDescent="0.2">
      <c r="A386" s="29"/>
      <c r="B386" s="29"/>
      <c r="C386" s="29"/>
      <c r="D386" s="29"/>
      <c r="F386" s="30"/>
    </row>
    <row r="387" spans="1:6" ht="14.25" customHeight="1" x14ac:dyDescent="0.2">
      <c r="A387" s="29"/>
      <c r="B387" s="29"/>
      <c r="C387" s="29"/>
      <c r="D387" s="29"/>
      <c r="F387" s="30"/>
    </row>
    <row r="388" spans="1:6" ht="14.25" customHeight="1" x14ac:dyDescent="0.2">
      <c r="A388" s="29"/>
      <c r="B388" s="29"/>
      <c r="C388" s="29"/>
      <c r="D388" s="29"/>
      <c r="F388" s="30"/>
    </row>
    <row r="389" spans="1:6" ht="14.25" customHeight="1" x14ac:dyDescent="0.2">
      <c r="A389" s="29"/>
      <c r="B389" s="29"/>
      <c r="C389" s="29"/>
      <c r="D389" s="29"/>
      <c r="F389" s="30"/>
    </row>
    <row r="390" spans="1:6" ht="14.25" customHeight="1" x14ac:dyDescent="0.2">
      <c r="A390" s="29"/>
      <c r="B390" s="29"/>
      <c r="C390" s="29"/>
      <c r="D390" s="29"/>
      <c r="F390" s="30"/>
    </row>
    <row r="391" spans="1:6" ht="14.25" customHeight="1" x14ac:dyDescent="0.2">
      <c r="A391" s="29"/>
      <c r="B391" s="29"/>
      <c r="C391" s="29"/>
      <c r="D391" s="29"/>
      <c r="F391" s="30"/>
    </row>
    <row r="392" spans="1:6" ht="14.25" customHeight="1" x14ac:dyDescent="0.2">
      <c r="A392" s="29"/>
      <c r="B392" s="29"/>
      <c r="C392" s="29"/>
      <c r="D392" s="29"/>
      <c r="F392" s="30"/>
    </row>
    <row r="393" spans="1:6" ht="14.25" customHeight="1" x14ac:dyDescent="0.2">
      <c r="A393" s="29"/>
      <c r="B393" s="29"/>
      <c r="C393" s="29"/>
      <c r="D393" s="29"/>
      <c r="F393" s="30"/>
    </row>
    <row r="394" spans="1:6" ht="14.25" customHeight="1" x14ac:dyDescent="0.2">
      <c r="A394" s="29"/>
      <c r="B394" s="29"/>
      <c r="C394" s="29"/>
      <c r="D394" s="29"/>
      <c r="F394" s="30"/>
    </row>
    <row r="395" spans="1:6" ht="14.25" customHeight="1" x14ac:dyDescent="0.2">
      <c r="A395" s="29"/>
      <c r="B395" s="29"/>
      <c r="C395" s="29"/>
      <c r="D395" s="29"/>
      <c r="F395" s="30"/>
    </row>
    <row r="396" spans="1:6" ht="14.25" customHeight="1" x14ac:dyDescent="0.2">
      <c r="A396" s="29"/>
      <c r="B396" s="29"/>
      <c r="C396" s="29"/>
      <c r="D396" s="29"/>
      <c r="F396" s="30"/>
    </row>
    <row r="397" spans="1:6" ht="14.25" customHeight="1" x14ac:dyDescent="0.2">
      <c r="A397" s="29"/>
      <c r="B397" s="29"/>
      <c r="C397" s="29"/>
      <c r="D397" s="29"/>
      <c r="F397" s="30"/>
    </row>
    <row r="398" spans="1:6" ht="14.25" customHeight="1" x14ac:dyDescent="0.2">
      <c r="A398" s="29"/>
      <c r="B398" s="29"/>
      <c r="C398" s="29"/>
      <c r="D398" s="29"/>
      <c r="F398" s="30"/>
    </row>
    <row r="399" spans="1:6" ht="14.25" customHeight="1" x14ac:dyDescent="0.2">
      <c r="A399" s="29"/>
      <c r="B399" s="29"/>
      <c r="C399" s="29"/>
      <c r="D399" s="29"/>
      <c r="F399" s="30"/>
    </row>
    <row r="400" spans="1:6" ht="14.25" customHeight="1" x14ac:dyDescent="0.2">
      <c r="A400" s="29"/>
      <c r="B400" s="29"/>
      <c r="C400" s="29"/>
      <c r="D400" s="29"/>
      <c r="F400" s="30"/>
    </row>
    <row r="401" spans="1:6" ht="14.25" customHeight="1" x14ac:dyDescent="0.2">
      <c r="A401" s="29"/>
      <c r="B401" s="29"/>
      <c r="C401" s="29"/>
      <c r="D401" s="29"/>
      <c r="F401" s="30"/>
    </row>
    <row r="402" spans="1:6" ht="14.25" customHeight="1" x14ac:dyDescent="0.2">
      <c r="A402" s="29"/>
      <c r="B402" s="29"/>
      <c r="C402" s="29"/>
      <c r="D402" s="29"/>
      <c r="F402" s="30"/>
    </row>
    <row r="403" spans="1:6" ht="14.25" customHeight="1" x14ac:dyDescent="0.2">
      <c r="A403" s="29"/>
      <c r="B403" s="29"/>
      <c r="C403" s="29"/>
      <c r="D403" s="29"/>
      <c r="F403" s="30"/>
    </row>
    <row r="404" spans="1:6" ht="14.25" customHeight="1" x14ac:dyDescent="0.2">
      <c r="A404" s="29"/>
      <c r="B404" s="29"/>
      <c r="C404" s="29"/>
      <c r="D404" s="29"/>
      <c r="F404" s="30"/>
    </row>
    <row r="405" spans="1:6" ht="14.25" customHeight="1" x14ac:dyDescent="0.2">
      <c r="A405" s="29"/>
      <c r="B405" s="29"/>
      <c r="C405" s="29"/>
      <c r="D405" s="29"/>
      <c r="F405" s="30"/>
    </row>
    <row r="406" spans="1:6" ht="14.25" customHeight="1" x14ac:dyDescent="0.2">
      <c r="A406" s="29"/>
      <c r="B406" s="29"/>
      <c r="C406" s="29"/>
      <c r="D406" s="29"/>
      <c r="F406" s="30"/>
    </row>
    <row r="407" spans="1:6" ht="14.25" customHeight="1" x14ac:dyDescent="0.2">
      <c r="A407" s="29"/>
      <c r="B407" s="29"/>
      <c r="C407" s="29"/>
      <c r="D407" s="29"/>
      <c r="F407" s="30"/>
    </row>
    <row r="408" spans="1:6" ht="14.25" customHeight="1" x14ac:dyDescent="0.2">
      <c r="A408" s="29"/>
      <c r="B408" s="29"/>
      <c r="C408" s="29"/>
      <c r="D408" s="29"/>
      <c r="F408" s="30"/>
    </row>
    <row r="409" spans="1:6" ht="14.25" customHeight="1" x14ac:dyDescent="0.2">
      <c r="A409" s="29"/>
      <c r="B409" s="29"/>
      <c r="C409" s="29"/>
      <c r="D409" s="29"/>
      <c r="F409" s="30"/>
    </row>
    <row r="410" spans="1:6" ht="14.25" customHeight="1" x14ac:dyDescent="0.2">
      <c r="A410" s="29"/>
      <c r="B410" s="29"/>
      <c r="C410" s="29"/>
      <c r="D410" s="29"/>
      <c r="F410" s="30"/>
    </row>
    <row r="411" spans="1:6" ht="14.25" customHeight="1" x14ac:dyDescent="0.2">
      <c r="A411" s="29"/>
      <c r="B411" s="29"/>
      <c r="C411" s="29"/>
      <c r="D411" s="29"/>
      <c r="F411" s="30"/>
    </row>
    <row r="412" spans="1:6" ht="14.25" customHeight="1" x14ac:dyDescent="0.2">
      <c r="A412" s="29"/>
      <c r="B412" s="29"/>
      <c r="C412" s="29"/>
      <c r="D412" s="29"/>
      <c r="F412" s="30"/>
    </row>
    <row r="413" spans="1:6" ht="14.25" customHeight="1" x14ac:dyDescent="0.2">
      <c r="A413" s="29"/>
      <c r="B413" s="29"/>
      <c r="C413" s="29"/>
      <c r="D413" s="29"/>
      <c r="F413" s="30"/>
    </row>
    <row r="414" spans="1:6" ht="14.25" customHeight="1" x14ac:dyDescent="0.2">
      <c r="A414" s="29"/>
      <c r="B414" s="29"/>
      <c r="C414" s="29"/>
      <c r="D414" s="29"/>
      <c r="F414" s="30"/>
    </row>
    <row r="415" spans="1:6" ht="14.25" customHeight="1" x14ac:dyDescent="0.2">
      <c r="A415" s="29"/>
      <c r="B415" s="29"/>
      <c r="C415" s="29"/>
      <c r="D415" s="29"/>
      <c r="F415" s="30"/>
    </row>
    <row r="416" spans="1:6" ht="14.25" customHeight="1" x14ac:dyDescent="0.2">
      <c r="A416" s="29"/>
      <c r="B416" s="29"/>
      <c r="C416" s="29"/>
      <c r="D416" s="29"/>
      <c r="F416" s="30"/>
    </row>
    <row r="417" spans="1:6" ht="14.25" customHeight="1" x14ac:dyDescent="0.2">
      <c r="A417" s="29"/>
      <c r="B417" s="29"/>
      <c r="C417" s="29"/>
      <c r="D417" s="29"/>
      <c r="F417" s="30"/>
    </row>
    <row r="418" spans="1:6" ht="14.25" customHeight="1" x14ac:dyDescent="0.2">
      <c r="A418" s="29"/>
      <c r="B418" s="29"/>
      <c r="C418" s="29"/>
      <c r="D418" s="29"/>
      <c r="F418" s="30"/>
    </row>
    <row r="419" spans="1:6" ht="14.25" customHeight="1" x14ac:dyDescent="0.2">
      <c r="A419" s="29"/>
      <c r="B419" s="29"/>
      <c r="C419" s="29"/>
      <c r="D419" s="29"/>
      <c r="F419" s="30"/>
    </row>
    <row r="420" spans="1:6" ht="14.25" customHeight="1" x14ac:dyDescent="0.2">
      <c r="A420" s="29"/>
      <c r="B420" s="29"/>
      <c r="C420" s="29"/>
      <c r="D420" s="29"/>
      <c r="F420" s="30"/>
    </row>
    <row r="421" spans="1:6" ht="14.25" customHeight="1" x14ac:dyDescent="0.2">
      <c r="A421" s="29"/>
      <c r="B421" s="29"/>
      <c r="C421" s="29"/>
      <c r="D421" s="29"/>
      <c r="F421" s="30"/>
    </row>
    <row r="422" spans="1:6" ht="14.25" customHeight="1" x14ac:dyDescent="0.2">
      <c r="A422" s="29"/>
      <c r="B422" s="29"/>
      <c r="C422" s="29"/>
      <c r="D422" s="29"/>
      <c r="F422" s="30"/>
    </row>
    <row r="423" spans="1:6" ht="14.25" customHeight="1" x14ac:dyDescent="0.2">
      <c r="A423" s="29"/>
      <c r="B423" s="29"/>
      <c r="C423" s="29"/>
      <c r="D423" s="29"/>
      <c r="F423" s="30"/>
    </row>
    <row r="424" spans="1:6" ht="14.25" customHeight="1" x14ac:dyDescent="0.2">
      <c r="A424" s="29"/>
      <c r="B424" s="29"/>
      <c r="C424" s="29"/>
      <c r="D424" s="29"/>
      <c r="F424" s="30"/>
    </row>
    <row r="425" spans="1:6" ht="14.25" customHeight="1" x14ac:dyDescent="0.2">
      <c r="A425" s="29"/>
      <c r="B425" s="29"/>
      <c r="C425" s="29"/>
      <c r="D425" s="29"/>
      <c r="F425" s="30"/>
    </row>
    <row r="426" spans="1:6" ht="14.25" customHeight="1" x14ac:dyDescent="0.2">
      <c r="A426" s="29"/>
      <c r="B426" s="29"/>
      <c r="C426" s="29"/>
      <c r="D426" s="29"/>
      <c r="F426" s="30"/>
    </row>
    <row r="427" spans="1:6" ht="14.25" customHeight="1" x14ac:dyDescent="0.2">
      <c r="A427" s="29"/>
      <c r="B427" s="29"/>
      <c r="C427" s="29"/>
      <c r="D427" s="29"/>
      <c r="F427" s="30"/>
    </row>
    <row r="428" spans="1:6" ht="14.25" customHeight="1" x14ac:dyDescent="0.2">
      <c r="A428" s="29"/>
      <c r="B428" s="29"/>
      <c r="C428" s="29"/>
      <c r="D428" s="29"/>
      <c r="F428" s="30"/>
    </row>
    <row r="429" spans="1:6" ht="14.25" customHeight="1" x14ac:dyDescent="0.2">
      <c r="A429" s="29"/>
      <c r="B429" s="29"/>
      <c r="C429" s="29"/>
      <c r="D429" s="29"/>
      <c r="F429" s="30"/>
    </row>
    <row r="430" spans="1:6" ht="14.25" customHeight="1" x14ac:dyDescent="0.2">
      <c r="A430" s="29"/>
      <c r="B430" s="29"/>
      <c r="C430" s="29"/>
      <c r="D430" s="29"/>
      <c r="F430" s="30"/>
    </row>
    <row r="431" spans="1:6" ht="14.25" customHeight="1" x14ac:dyDescent="0.2">
      <c r="A431" s="29"/>
      <c r="B431" s="29"/>
      <c r="C431" s="29"/>
      <c r="D431" s="29"/>
      <c r="F431" s="30"/>
    </row>
    <row r="432" spans="1:6" ht="14.25" customHeight="1" x14ac:dyDescent="0.2">
      <c r="A432" s="29"/>
      <c r="B432" s="29"/>
      <c r="C432" s="29"/>
      <c r="D432" s="29"/>
      <c r="F432" s="30"/>
    </row>
    <row r="433" spans="1:6" ht="14.25" customHeight="1" x14ac:dyDescent="0.2">
      <c r="A433" s="29"/>
      <c r="B433" s="29"/>
      <c r="C433" s="29"/>
      <c r="D433" s="29"/>
      <c r="F433" s="30"/>
    </row>
    <row r="434" spans="1:6" ht="14.25" customHeight="1" x14ac:dyDescent="0.2">
      <c r="A434" s="29"/>
      <c r="B434" s="29"/>
      <c r="C434" s="29"/>
      <c r="D434" s="29"/>
      <c r="F434" s="30"/>
    </row>
    <row r="435" spans="1:6" ht="14.25" customHeight="1" x14ac:dyDescent="0.2">
      <c r="A435" s="29"/>
      <c r="B435" s="29"/>
      <c r="C435" s="29"/>
      <c r="D435" s="29"/>
      <c r="F435" s="30"/>
    </row>
    <row r="436" spans="1:6" ht="14.25" customHeight="1" x14ac:dyDescent="0.2">
      <c r="A436" s="29"/>
      <c r="B436" s="29"/>
      <c r="C436" s="29"/>
      <c r="D436" s="29"/>
      <c r="F436" s="30"/>
    </row>
    <row r="437" spans="1:6" ht="14.25" customHeight="1" x14ac:dyDescent="0.2">
      <c r="A437" s="29"/>
      <c r="B437" s="29"/>
      <c r="C437" s="29"/>
      <c r="D437" s="29"/>
      <c r="F437" s="30"/>
    </row>
    <row r="438" spans="1:6" ht="14.25" customHeight="1" x14ac:dyDescent="0.2">
      <c r="A438" s="29"/>
      <c r="B438" s="29"/>
      <c r="C438" s="29"/>
      <c r="D438" s="29"/>
      <c r="F438" s="30"/>
    </row>
    <row r="439" spans="1:6" ht="14.25" customHeight="1" x14ac:dyDescent="0.2">
      <c r="A439" s="29"/>
      <c r="B439" s="29"/>
      <c r="C439" s="29"/>
      <c r="D439" s="29"/>
      <c r="F439" s="30"/>
    </row>
    <row r="440" spans="1:6" ht="14.25" customHeight="1" x14ac:dyDescent="0.2">
      <c r="A440" s="29"/>
      <c r="B440" s="29"/>
      <c r="C440" s="29"/>
      <c r="D440" s="29"/>
      <c r="F440" s="30"/>
    </row>
    <row r="441" spans="1:6" ht="14.25" customHeight="1" x14ac:dyDescent="0.2">
      <c r="A441" s="29"/>
      <c r="B441" s="29"/>
      <c r="C441" s="29"/>
      <c r="D441" s="29"/>
      <c r="F441" s="30"/>
    </row>
    <row r="442" spans="1:6" ht="14.25" customHeight="1" x14ac:dyDescent="0.2">
      <c r="A442" s="29"/>
      <c r="B442" s="29"/>
      <c r="C442" s="29"/>
      <c r="D442" s="29"/>
      <c r="F442" s="30"/>
    </row>
    <row r="443" spans="1:6" ht="14.25" customHeight="1" x14ac:dyDescent="0.2">
      <c r="A443" s="29"/>
      <c r="B443" s="29"/>
      <c r="C443" s="29"/>
      <c r="D443" s="29"/>
      <c r="F443" s="30"/>
    </row>
    <row r="444" spans="1:6" ht="14.25" customHeight="1" x14ac:dyDescent="0.2">
      <c r="A444" s="29"/>
      <c r="B444" s="29"/>
      <c r="C444" s="29"/>
      <c r="D444" s="29"/>
      <c r="F444" s="30"/>
    </row>
    <row r="445" spans="1:6" ht="14.25" customHeight="1" x14ac:dyDescent="0.2">
      <c r="A445" s="29"/>
      <c r="B445" s="29"/>
      <c r="C445" s="29"/>
      <c r="D445" s="29"/>
      <c r="F445" s="30"/>
    </row>
    <row r="446" spans="1:6" ht="14.25" customHeight="1" x14ac:dyDescent="0.2">
      <c r="A446" s="29"/>
      <c r="B446" s="29"/>
      <c r="C446" s="29"/>
      <c r="D446" s="29"/>
      <c r="F446" s="30"/>
    </row>
    <row r="447" spans="1:6" ht="14.25" customHeight="1" x14ac:dyDescent="0.2">
      <c r="A447" s="29"/>
      <c r="B447" s="29"/>
      <c r="C447" s="29"/>
      <c r="D447" s="29"/>
      <c r="F447" s="30"/>
    </row>
    <row r="448" spans="1:6" ht="14.25" customHeight="1" x14ac:dyDescent="0.2">
      <c r="A448" s="29"/>
      <c r="B448" s="29"/>
      <c r="C448" s="29"/>
      <c r="D448" s="29"/>
      <c r="F448" s="30"/>
    </row>
    <row r="449" spans="1:6" ht="14.25" customHeight="1" x14ac:dyDescent="0.2">
      <c r="A449" s="29"/>
      <c r="B449" s="29"/>
      <c r="C449" s="29"/>
      <c r="D449" s="29"/>
      <c r="F449" s="30"/>
    </row>
    <row r="450" spans="1:6" ht="14.25" customHeight="1" x14ac:dyDescent="0.2">
      <c r="A450" s="29"/>
      <c r="B450" s="29"/>
      <c r="C450" s="29"/>
      <c r="D450" s="29"/>
      <c r="F450" s="30"/>
    </row>
    <row r="451" spans="1:6" ht="14.25" customHeight="1" x14ac:dyDescent="0.2">
      <c r="A451" s="29"/>
      <c r="B451" s="29"/>
      <c r="C451" s="29"/>
      <c r="D451" s="29"/>
      <c r="F451" s="30"/>
    </row>
    <row r="452" spans="1:6" ht="14.25" customHeight="1" x14ac:dyDescent="0.2">
      <c r="A452" s="29"/>
      <c r="B452" s="29"/>
      <c r="C452" s="29"/>
      <c r="D452" s="29"/>
      <c r="F452" s="30"/>
    </row>
    <row r="453" spans="1:6" ht="14.25" customHeight="1" x14ac:dyDescent="0.2">
      <c r="A453" s="29"/>
      <c r="B453" s="29"/>
      <c r="C453" s="29"/>
      <c r="D453" s="29"/>
      <c r="F453" s="30"/>
    </row>
    <row r="454" spans="1:6" ht="14.25" customHeight="1" x14ac:dyDescent="0.2">
      <c r="A454" s="29"/>
      <c r="B454" s="29"/>
      <c r="C454" s="29"/>
      <c r="D454" s="29"/>
      <c r="F454" s="30"/>
    </row>
    <row r="455" spans="1:6" ht="14.25" customHeight="1" x14ac:dyDescent="0.2">
      <c r="A455" s="29"/>
      <c r="B455" s="29"/>
      <c r="C455" s="29"/>
      <c r="D455" s="29"/>
      <c r="F455" s="30"/>
    </row>
    <row r="456" spans="1:6" ht="14.25" customHeight="1" x14ac:dyDescent="0.2">
      <c r="A456" s="29"/>
      <c r="B456" s="29"/>
      <c r="C456" s="29"/>
      <c r="D456" s="29"/>
      <c r="F456" s="30"/>
    </row>
    <row r="457" spans="1:6" ht="14.25" customHeight="1" x14ac:dyDescent="0.2">
      <c r="A457" s="29"/>
      <c r="B457" s="29"/>
      <c r="C457" s="29"/>
      <c r="D457" s="29"/>
      <c r="F457" s="30"/>
    </row>
    <row r="458" spans="1:6" ht="14.25" customHeight="1" x14ac:dyDescent="0.2">
      <c r="A458" s="29"/>
      <c r="B458" s="29"/>
      <c r="C458" s="29"/>
      <c r="D458" s="29"/>
      <c r="F458" s="30"/>
    </row>
    <row r="459" spans="1:6" ht="14.25" customHeight="1" x14ac:dyDescent="0.2">
      <c r="A459" s="29"/>
      <c r="B459" s="29"/>
      <c r="C459" s="29"/>
      <c r="D459" s="29"/>
      <c r="F459" s="30"/>
    </row>
    <row r="460" spans="1:6" ht="14.25" customHeight="1" x14ac:dyDescent="0.2">
      <c r="A460" s="29"/>
      <c r="B460" s="29"/>
      <c r="C460" s="29"/>
      <c r="D460" s="29"/>
      <c r="F460" s="30"/>
    </row>
    <row r="461" spans="1:6" ht="14.25" customHeight="1" x14ac:dyDescent="0.2">
      <c r="A461" s="29"/>
      <c r="B461" s="29"/>
      <c r="C461" s="29"/>
      <c r="D461" s="29"/>
      <c r="F461" s="30"/>
    </row>
    <row r="462" spans="1:6" ht="14.25" customHeight="1" x14ac:dyDescent="0.2">
      <c r="A462" s="29"/>
      <c r="B462" s="29"/>
      <c r="C462" s="29"/>
      <c r="D462" s="29"/>
      <c r="F462" s="30"/>
    </row>
    <row r="463" spans="1:6" ht="14.25" customHeight="1" x14ac:dyDescent="0.2">
      <c r="A463" s="29"/>
      <c r="B463" s="29"/>
      <c r="C463" s="29"/>
      <c r="D463" s="29"/>
      <c r="F463" s="30"/>
    </row>
    <row r="464" spans="1:6" ht="14.25" customHeight="1" x14ac:dyDescent="0.2">
      <c r="A464" s="29"/>
      <c r="B464" s="29"/>
      <c r="C464" s="29"/>
      <c r="D464" s="29"/>
      <c r="F464" s="30"/>
    </row>
    <row r="465" spans="1:6" ht="14.25" customHeight="1" x14ac:dyDescent="0.2">
      <c r="A465" s="29"/>
      <c r="B465" s="29"/>
      <c r="C465" s="29"/>
      <c r="D465" s="29"/>
      <c r="F465" s="30"/>
    </row>
    <row r="466" spans="1:6" ht="14.25" customHeight="1" x14ac:dyDescent="0.2">
      <c r="A466" s="29"/>
      <c r="B466" s="29"/>
      <c r="C466" s="29"/>
      <c r="D466" s="29"/>
      <c r="F466" s="30"/>
    </row>
    <row r="467" spans="1:6" ht="14.25" customHeight="1" x14ac:dyDescent="0.2">
      <c r="A467" s="29"/>
      <c r="B467" s="29"/>
      <c r="C467" s="29"/>
      <c r="D467" s="29"/>
      <c r="F467" s="30"/>
    </row>
    <row r="468" spans="1:6" ht="14.25" customHeight="1" x14ac:dyDescent="0.2">
      <c r="A468" s="29"/>
      <c r="B468" s="29"/>
      <c r="C468" s="29"/>
      <c r="D468" s="29"/>
      <c r="F468" s="30"/>
    </row>
    <row r="469" spans="1:6" ht="14.25" customHeight="1" x14ac:dyDescent="0.2">
      <c r="A469" s="29"/>
      <c r="B469" s="29"/>
      <c r="C469" s="29"/>
      <c r="D469" s="29"/>
      <c r="F469" s="30"/>
    </row>
    <row r="470" spans="1:6" ht="14.25" customHeight="1" x14ac:dyDescent="0.2">
      <c r="A470" s="29"/>
      <c r="B470" s="29"/>
      <c r="C470" s="29"/>
      <c r="D470" s="29"/>
      <c r="F470" s="30"/>
    </row>
    <row r="471" spans="1:6" ht="14.25" customHeight="1" x14ac:dyDescent="0.2">
      <c r="A471" s="29"/>
      <c r="B471" s="29"/>
      <c r="C471" s="29"/>
      <c r="D471" s="29"/>
      <c r="F471" s="30"/>
    </row>
    <row r="472" spans="1:6" ht="14.25" customHeight="1" x14ac:dyDescent="0.2">
      <c r="A472" s="29"/>
      <c r="B472" s="29"/>
      <c r="C472" s="29"/>
      <c r="D472" s="29"/>
      <c r="F472" s="30"/>
    </row>
    <row r="473" spans="1:6" ht="14.25" customHeight="1" x14ac:dyDescent="0.2">
      <c r="A473" s="29"/>
      <c r="B473" s="29"/>
      <c r="C473" s="29"/>
      <c r="D473" s="29"/>
      <c r="F473" s="30"/>
    </row>
    <row r="474" spans="1:6" ht="14.25" customHeight="1" x14ac:dyDescent="0.2">
      <c r="A474" s="29"/>
      <c r="B474" s="29"/>
      <c r="C474" s="29"/>
      <c r="D474" s="29"/>
      <c r="F474" s="30"/>
    </row>
    <row r="475" spans="1:6" ht="14.25" customHeight="1" x14ac:dyDescent="0.2">
      <c r="A475" s="29"/>
      <c r="B475" s="29"/>
      <c r="C475" s="29"/>
      <c r="D475" s="29"/>
      <c r="F475" s="30"/>
    </row>
    <row r="476" spans="1:6" ht="14.25" customHeight="1" x14ac:dyDescent="0.2">
      <c r="A476" s="29"/>
      <c r="B476" s="29"/>
      <c r="C476" s="29"/>
      <c r="D476" s="29"/>
      <c r="F476" s="30"/>
    </row>
    <row r="477" spans="1:6" ht="14.25" customHeight="1" x14ac:dyDescent="0.2">
      <c r="A477" s="29"/>
      <c r="B477" s="29"/>
      <c r="C477" s="29"/>
      <c r="D477" s="29"/>
      <c r="F477" s="30"/>
    </row>
    <row r="478" spans="1:6" ht="14.25" customHeight="1" x14ac:dyDescent="0.2">
      <c r="A478" s="29"/>
      <c r="B478" s="29"/>
      <c r="C478" s="29"/>
      <c r="D478" s="29"/>
      <c r="F478" s="30"/>
    </row>
    <row r="479" spans="1:6" ht="14.25" customHeight="1" x14ac:dyDescent="0.2">
      <c r="A479" s="29"/>
      <c r="B479" s="29"/>
      <c r="C479" s="29"/>
      <c r="D479" s="29"/>
      <c r="F479" s="30"/>
    </row>
    <row r="480" spans="1:6" ht="14.25" customHeight="1" x14ac:dyDescent="0.2">
      <c r="A480" s="29"/>
      <c r="B480" s="29"/>
      <c r="C480" s="29"/>
      <c r="D480" s="29"/>
      <c r="F480" s="30"/>
    </row>
    <row r="481" spans="1:6" ht="14.25" customHeight="1" x14ac:dyDescent="0.2">
      <c r="A481" s="29"/>
      <c r="B481" s="29"/>
      <c r="C481" s="29"/>
      <c r="D481" s="29"/>
      <c r="F481" s="30"/>
    </row>
    <row r="482" spans="1:6" ht="14.25" customHeight="1" x14ac:dyDescent="0.2">
      <c r="A482" s="29"/>
      <c r="B482" s="29"/>
      <c r="C482" s="29"/>
      <c r="D482" s="29"/>
      <c r="F482" s="30"/>
    </row>
    <row r="483" spans="1:6" ht="14.25" customHeight="1" x14ac:dyDescent="0.2">
      <c r="A483" s="29"/>
      <c r="B483" s="29"/>
      <c r="C483" s="29"/>
      <c r="D483" s="29"/>
      <c r="F483" s="30"/>
    </row>
    <row r="484" spans="1:6" ht="14.25" customHeight="1" x14ac:dyDescent="0.2">
      <c r="A484" s="29"/>
      <c r="B484" s="29"/>
      <c r="C484" s="29"/>
      <c r="D484" s="29"/>
      <c r="F484" s="30"/>
    </row>
    <row r="485" spans="1:6" ht="14.25" customHeight="1" x14ac:dyDescent="0.2">
      <c r="A485" s="29"/>
      <c r="B485" s="29"/>
      <c r="C485" s="29"/>
      <c r="D485" s="29"/>
      <c r="F485" s="30"/>
    </row>
    <row r="486" spans="1:6" ht="14.25" customHeight="1" x14ac:dyDescent="0.2">
      <c r="A486" s="29"/>
      <c r="B486" s="29"/>
      <c r="C486" s="29"/>
      <c r="D486" s="29"/>
      <c r="F486" s="30"/>
    </row>
    <row r="487" spans="1:6" ht="14.25" customHeight="1" x14ac:dyDescent="0.2">
      <c r="A487" s="29"/>
      <c r="B487" s="29"/>
      <c r="C487" s="29"/>
      <c r="D487" s="29"/>
      <c r="F487" s="30"/>
    </row>
    <row r="488" spans="1:6" ht="14.25" customHeight="1" x14ac:dyDescent="0.2">
      <c r="A488" s="29"/>
      <c r="B488" s="29"/>
      <c r="C488" s="29"/>
      <c r="D488" s="29"/>
      <c r="F488" s="30"/>
    </row>
    <row r="489" spans="1:6" ht="14.25" customHeight="1" x14ac:dyDescent="0.2">
      <c r="A489" s="29"/>
      <c r="B489" s="29"/>
      <c r="C489" s="29"/>
      <c r="D489" s="29"/>
      <c r="F489" s="30"/>
    </row>
    <row r="490" spans="1:6" ht="14.25" customHeight="1" x14ac:dyDescent="0.2">
      <c r="A490" s="29"/>
      <c r="B490" s="29"/>
      <c r="C490" s="29"/>
      <c r="D490" s="29"/>
      <c r="F490" s="30"/>
    </row>
    <row r="491" spans="1:6" ht="14.25" customHeight="1" x14ac:dyDescent="0.2">
      <c r="A491" s="29"/>
      <c r="B491" s="29"/>
      <c r="C491" s="29"/>
      <c r="D491" s="29"/>
      <c r="F491" s="30"/>
    </row>
    <row r="492" spans="1:6" ht="14.25" customHeight="1" x14ac:dyDescent="0.2">
      <c r="A492" s="29"/>
      <c r="B492" s="29"/>
      <c r="C492" s="29"/>
      <c r="D492" s="29"/>
      <c r="F492" s="30"/>
    </row>
    <row r="493" spans="1:6" ht="14.25" customHeight="1" x14ac:dyDescent="0.2">
      <c r="A493" s="29"/>
      <c r="B493" s="29"/>
      <c r="C493" s="29"/>
      <c r="D493" s="29"/>
      <c r="F493" s="30"/>
    </row>
    <row r="494" spans="1:6" ht="14.25" customHeight="1" x14ac:dyDescent="0.2">
      <c r="A494" s="29"/>
      <c r="B494" s="29"/>
      <c r="C494" s="29"/>
      <c r="D494" s="29"/>
      <c r="F494" s="30"/>
    </row>
    <row r="495" spans="1:6" ht="14.25" customHeight="1" x14ac:dyDescent="0.2">
      <c r="A495" s="29"/>
      <c r="B495" s="29"/>
      <c r="C495" s="29"/>
      <c r="D495" s="29"/>
      <c r="F495" s="30"/>
    </row>
    <row r="496" spans="1:6" ht="14.25" customHeight="1" x14ac:dyDescent="0.2">
      <c r="A496" s="29"/>
      <c r="B496" s="29"/>
      <c r="C496" s="29"/>
      <c r="D496" s="29"/>
      <c r="F496" s="30"/>
    </row>
    <row r="497" spans="1:6" ht="14.25" customHeight="1" x14ac:dyDescent="0.2">
      <c r="A497" s="29"/>
      <c r="B497" s="29"/>
      <c r="C497" s="29"/>
      <c r="D497" s="29"/>
      <c r="F497" s="30"/>
    </row>
    <row r="498" spans="1:6" ht="14.25" customHeight="1" x14ac:dyDescent="0.2">
      <c r="A498" s="29"/>
      <c r="B498" s="29"/>
      <c r="C498" s="29"/>
      <c r="D498" s="29"/>
      <c r="F498" s="30"/>
    </row>
    <row r="499" spans="1:6" ht="14.25" customHeight="1" x14ac:dyDescent="0.2">
      <c r="A499" s="29"/>
      <c r="B499" s="29"/>
      <c r="C499" s="29"/>
      <c r="D499" s="29"/>
      <c r="F499" s="30"/>
    </row>
    <row r="500" spans="1:6" ht="14.25" customHeight="1" x14ac:dyDescent="0.2">
      <c r="A500" s="29"/>
      <c r="B500" s="29"/>
      <c r="C500" s="29"/>
      <c r="D500" s="29"/>
      <c r="F500" s="30"/>
    </row>
    <row r="501" spans="1:6" ht="14.25" customHeight="1" x14ac:dyDescent="0.2">
      <c r="A501" s="29"/>
      <c r="B501" s="29"/>
      <c r="C501" s="29"/>
      <c r="D501" s="29"/>
      <c r="F501" s="30"/>
    </row>
    <row r="502" spans="1:6" ht="14.25" customHeight="1" x14ac:dyDescent="0.2">
      <c r="A502" s="29"/>
      <c r="B502" s="29"/>
      <c r="C502" s="29"/>
      <c r="D502" s="29"/>
      <c r="F502" s="30"/>
    </row>
    <row r="503" spans="1:6" ht="14.25" customHeight="1" x14ac:dyDescent="0.2">
      <c r="A503" s="29"/>
      <c r="B503" s="29"/>
      <c r="C503" s="29"/>
      <c r="D503" s="29"/>
      <c r="F503" s="30"/>
    </row>
    <row r="504" spans="1:6" ht="14.25" customHeight="1" x14ac:dyDescent="0.2">
      <c r="A504" s="29"/>
      <c r="B504" s="29"/>
      <c r="C504" s="29"/>
      <c r="D504" s="29"/>
      <c r="F504" s="30"/>
    </row>
    <row r="505" spans="1:6" ht="14.25" customHeight="1" x14ac:dyDescent="0.2">
      <c r="A505" s="29"/>
      <c r="B505" s="29"/>
      <c r="C505" s="29"/>
      <c r="D505" s="29"/>
      <c r="F505" s="30"/>
    </row>
    <row r="506" spans="1:6" ht="14.25" customHeight="1" x14ac:dyDescent="0.2">
      <c r="A506" s="29"/>
      <c r="B506" s="29"/>
      <c r="C506" s="29"/>
      <c r="D506" s="29"/>
      <c r="F506" s="30"/>
    </row>
    <row r="507" spans="1:6" ht="14.25" customHeight="1" x14ac:dyDescent="0.2">
      <c r="A507" s="29"/>
      <c r="B507" s="29"/>
      <c r="C507" s="29"/>
      <c r="D507" s="29"/>
      <c r="F507" s="30"/>
    </row>
    <row r="508" spans="1:6" ht="14.25" customHeight="1" x14ac:dyDescent="0.2">
      <c r="A508" s="29"/>
      <c r="B508" s="29"/>
      <c r="C508" s="29"/>
      <c r="D508" s="29"/>
      <c r="F508" s="30"/>
    </row>
    <row r="509" spans="1:6" ht="14.25" customHeight="1" x14ac:dyDescent="0.2">
      <c r="A509" s="29"/>
      <c r="B509" s="29"/>
      <c r="C509" s="29"/>
      <c r="D509" s="29"/>
      <c r="F509" s="30"/>
    </row>
    <row r="510" spans="1:6" ht="14.25" customHeight="1" x14ac:dyDescent="0.2">
      <c r="A510" s="29"/>
      <c r="B510" s="29"/>
      <c r="C510" s="29"/>
      <c r="D510" s="29"/>
      <c r="F510" s="30"/>
    </row>
    <row r="511" spans="1:6" ht="14.25" customHeight="1" x14ac:dyDescent="0.2">
      <c r="A511" s="29"/>
      <c r="B511" s="29"/>
      <c r="C511" s="29"/>
      <c r="D511" s="29"/>
      <c r="F511" s="30"/>
    </row>
    <row r="512" spans="1:6" ht="14.25" customHeight="1" x14ac:dyDescent="0.2">
      <c r="A512" s="29"/>
      <c r="B512" s="29"/>
      <c r="C512" s="29"/>
      <c r="D512" s="29"/>
      <c r="F512" s="30"/>
    </row>
    <row r="513" spans="1:6" ht="14.25" customHeight="1" x14ac:dyDescent="0.2">
      <c r="A513" s="29"/>
      <c r="B513" s="29"/>
      <c r="C513" s="29"/>
      <c r="D513" s="29"/>
      <c r="F513" s="30"/>
    </row>
    <row r="514" spans="1:6" ht="14.25" customHeight="1" x14ac:dyDescent="0.2">
      <c r="A514" s="29"/>
      <c r="B514" s="29"/>
      <c r="C514" s="29"/>
      <c r="D514" s="29"/>
      <c r="F514" s="30"/>
    </row>
    <row r="515" spans="1:6" ht="14.25" customHeight="1" x14ac:dyDescent="0.2">
      <c r="A515" s="29"/>
      <c r="B515" s="29"/>
      <c r="C515" s="29"/>
      <c r="D515" s="29"/>
      <c r="F515" s="30"/>
    </row>
    <row r="516" spans="1:6" ht="14.25" customHeight="1" x14ac:dyDescent="0.2">
      <c r="A516" s="29"/>
      <c r="B516" s="29"/>
      <c r="C516" s="29"/>
      <c r="D516" s="29"/>
      <c r="F516" s="30"/>
    </row>
    <row r="517" spans="1:6" ht="14.25" customHeight="1" x14ac:dyDescent="0.2">
      <c r="A517" s="29"/>
      <c r="B517" s="29"/>
      <c r="C517" s="29"/>
      <c r="D517" s="29"/>
      <c r="F517" s="30"/>
    </row>
    <row r="518" spans="1:6" ht="14.25" customHeight="1" x14ac:dyDescent="0.2">
      <c r="A518" s="29"/>
      <c r="B518" s="29"/>
      <c r="C518" s="29"/>
      <c r="D518" s="29"/>
      <c r="F518" s="30"/>
    </row>
    <row r="519" spans="1:6" ht="14.25" customHeight="1" x14ac:dyDescent="0.2">
      <c r="A519" s="29"/>
      <c r="B519" s="29"/>
      <c r="C519" s="29"/>
      <c r="D519" s="29"/>
      <c r="F519" s="30"/>
    </row>
    <row r="520" spans="1:6" ht="14.25" customHeight="1" x14ac:dyDescent="0.2">
      <c r="A520" s="29"/>
      <c r="B520" s="29"/>
      <c r="C520" s="29"/>
      <c r="D520" s="29"/>
      <c r="F520" s="30"/>
    </row>
    <row r="521" spans="1:6" ht="14.25" customHeight="1" x14ac:dyDescent="0.2">
      <c r="A521" s="29"/>
      <c r="B521" s="29"/>
      <c r="C521" s="29"/>
      <c r="D521" s="29"/>
      <c r="F521" s="30"/>
    </row>
    <row r="522" spans="1:6" ht="14.25" customHeight="1" x14ac:dyDescent="0.2">
      <c r="A522" s="29"/>
      <c r="B522" s="29"/>
      <c r="C522" s="29"/>
      <c r="D522" s="29"/>
      <c r="F522" s="30"/>
    </row>
    <row r="523" spans="1:6" ht="14.25" customHeight="1" x14ac:dyDescent="0.2">
      <c r="A523" s="29"/>
      <c r="B523" s="29"/>
      <c r="C523" s="29"/>
      <c r="D523" s="29"/>
      <c r="F523" s="30"/>
    </row>
    <row r="524" spans="1:6" ht="14.25" customHeight="1" x14ac:dyDescent="0.2">
      <c r="A524" s="29"/>
      <c r="B524" s="29"/>
      <c r="C524" s="29"/>
      <c r="D524" s="29"/>
      <c r="F524" s="30"/>
    </row>
    <row r="525" spans="1:6" ht="14.25" customHeight="1" x14ac:dyDescent="0.2">
      <c r="A525" s="29"/>
      <c r="B525" s="29"/>
      <c r="C525" s="29"/>
      <c r="D525" s="29"/>
      <c r="F525" s="30"/>
    </row>
    <row r="526" spans="1:6" ht="14.25" customHeight="1" x14ac:dyDescent="0.2">
      <c r="A526" s="29"/>
      <c r="B526" s="29"/>
      <c r="C526" s="29"/>
      <c r="D526" s="29"/>
      <c r="F526" s="30"/>
    </row>
    <row r="527" spans="1:6" ht="14.25" customHeight="1" x14ac:dyDescent="0.2">
      <c r="A527" s="29"/>
      <c r="B527" s="29"/>
      <c r="C527" s="29"/>
      <c r="D527" s="29"/>
      <c r="F527" s="30"/>
    </row>
    <row r="528" spans="1:6" ht="14.25" customHeight="1" x14ac:dyDescent="0.2">
      <c r="A528" s="29"/>
      <c r="B528" s="29"/>
      <c r="C528" s="29"/>
      <c r="D528" s="29"/>
      <c r="F528" s="30"/>
    </row>
    <row r="529" spans="1:6" ht="14.25" customHeight="1" x14ac:dyDescent="0.2">
      <c r="A529" s="29"/>
      <c r="B529" s="29"/>
      <c r="C529" s="29"/>
      <c r="D529" s="29"/>
      <c r="F529" s="30"/>
    </row>
    <row r="530" spans="1:6" ht="14.25" customHeight="1" x14ac:dyDescent="0.2">
      <c r="A530" s="29"/>
      <c r="B530" s="29"/>
      <c r="C530" s="29"/>
      <c r="D530" s="29"/>
      <c r="F530" s="30"/>
    </row>
    <row r="531" spans="1:6" ht="14.25" customHeight="1" x14ac:dyDescent="0.2">
      <c r="A531" s="29"/>
      <c r="B531" s="29"/>
      <c r="C531" s="29"/>
      <c r="D531" s="29"/>
      <c r="F531" s="30"/>
    </row>
    <row r="532" spans="1:6" ht="14.25" customHeight="1" x14ac:dyDescent="0.2">
      <c r="A532" s="29"/>
      <c r="B532" s="29"/>
      <c r="C532" s="29"/>
      <c r="D532" s="29"/>
      <c r="F532" s="30"/>
    </row>
    <row r="533" spans="1:6" ht="14.25" customHeight="1" x14ac:dyDescent="0.2">
      <c r="A533" s="29"/>
      <c r="B533" s="29"/>
      <c r="C533" s="29"/>
      <c r="D533" s="29"/>
      <c r="F533" s="30"/>
    </row>
    <row r="534" spans="1:6" ht="14.25" customHeight="1" x14ac:dyDescent="0.2">
      <c r="A534" s="29"/>
      <c r="B534" s="29"/>
      <c r="C534" s="29"/>
      <c r="D534" s="29"/>
      <c r="F534" s="30"/>
    </row>
    <row r="535" spans="1:6" ht="14.25" customHeight="1" x14ac:dyDescent="0.2">
      <c r="A535" s="29"/>
      <c r="B535" s="29"/>
      <c r="C535" s="29"/>
      <c r="D535" s="29"/>
      <c r="F535" s="30"/>
    </row>
    <row r="536" spans="1:6" ht="14.25" customHeight="1" x14ac:dyDescent="0.2">
      <c r="A536" s="29"/>
      <c r="B536" s="29"/>
      <c r="C536" s="29"/>
      <c r="D536" s="29"/>
      <c r="F536" s="30"/>
    </row>
    <row r="537" spans="1:6" ht="14.25" customHeight="1" x14ac:dyDescent="0.2">
      <c r="A537" s="29"/>
      <c r="B537" s="29"/>
      <c r="C537" s="29"/>
      <c r="D537" s="29"/>
      <c r="F537" s="30"/>
    </row>
    <row r="538" spans="1:6" ht="14.25" customHeight="1" x14ac:dyDescent="0.2">
      <c r="A538" s="29"/>
      <c r="B538" s="29"/>
      <c r="C538" s="29"/>
      <c r="D538" s="29"/>
      <c r="F538" s="30"/>
    </row>
    <row r="539" spans="1:6" ht="14.25" customHeight="1" x14ac:dyDescent="0.2">
      <c r="A539" s="29"/>
      <c r="B539" s="29"/>
      <c r="C539" s="29"/>
      <c r="D539" s="29"/>
      <c r="F539" s="30"/>
    </row>
    <row r="540" spans="1:6" ht="14.25" customHeight="1" x14ac:dyDescent="0.2">
      <c r="A540" s="29"/>
      <c r="B540" s="29"/>
      <c r="C540" s="29"/>
      <c r="D540" s="29"/>
      <c r="F540" s="30"/>
    </row>
    <row r="541" spans="1:6" ht="14.25" customHeight="1" x14ac:dyDescent="0.2">
      <c r="A541" s="29"/>
      <c r="B541" s="29"/>
      <c r="C541" s="29"/>
      <c r="D541" s="29"/>
      <c r="F541" s="30"/>
    </row>
    <row r="542" spans="1:6" ht="14.25" customHeight="1" x14ac:dyDescent="0.2">
      <c r="A542" s="29"/>
      <c r="B542" s="29"/>
      <c r="C542" s="29"/>
      <c r="D542" s="29"/>
      <c r="F542" s="30"/>
    </row>
    <row r="543" spans="1:6" ht="14.25" customHeight="1" x14ac:dyDescent="0.2">
      <c r="A543" s="29"/>
      <c r="B543" s="29"/>
      <c r="C543" s="29"/>
      <c r="D543" s="29"/>
      <c r="F543" s="30"/>
    </row>
    <row r="544" spans="1:6" ht="14.25" customHeight="1" x14ac:dyDescent="0.2">
      <c r="A544" s="29"/>
      <c r="B544" s="29"/>
      <c r="C544" s="29"/>
      <c r="D544" s="29"/>
      <c r="F544" s="30"/>
    </row>
    <row r="545" spans="1:6" ht="14.25" customHeight="1" x14ac:dyDescent="0.2">
      <c r="A545" s="29"/>
      <c r="B545" s="29"/>
      <c r="C545" s="29"/>
      <c r="D545" s="29"/>
      <c r="F545" s="30"/>
    </row>
    <row r="546" spans="1:6" ht="14.25" customHeight="1" x14ac:dyDescent="0.2">
      <c r="A546" s="29"/>
      <c r="B546" s="29"/>
      <c r="C546" s="29"/>
      <c r="D546" s="29"/>
      <c r="F546" s="30"/>
    </row>
    <row r="547" spans="1:6" ht="14.25" customHeight="1" x14ac:dyDescent="0.2">
      <c r="A547" s="29"/>
      <c r="B547" s="29"/>
      <c r="C547" s="29"/>
      <c r="D547" s="29"/>
      <c r="F547" s="30"/>
    </row>
    <row r="548" spans="1:6" ht="14.25" customHeight="1" x14ac:dyDescent="0.2">
      <c r="A548" s="29"/>
      <c r="B548" s="29"/>
      <c r="C548" s="29"/>
      <c r="D548" s="29"/>
      <c r="F548" s="30"/>
    </row>
    <row r="549" spans="1:6" ht="14.25" customHeight="1" x14ac:dyDescent="0.2">
      <c r="A549" s="29"/>
      <c r="B549" s="29"/>
      <c r="C549" s="29"/>
      <c r="D549" s="29"/>
      <c r="F549" s="30"/>
    </row>
    <row r="550" spans="1:6" ht="14.25" customHeight="1" x14ac:dyDescent="0.2">
      <c r="A550" s="29"/>
      <c r="B550" s="29"/>
      <c r="C550" s="29"/>
      <c r="D550" s="29"/>
      <c r="F550" s="30"/>
    </row>
    <row r="551" spans="1:6" ht="14.25" customHeight="1" x14ac:dyDescent="0.2">
      <c r="A551" s="29"/>
      <c r="B551" s="29"/>
      <c r="C551" s="29"/>
      <c r="D551" s="29"/>
      <c r="F551" s="30"/>
    </row>
    <row r="552" spans="1:6" ht="14.25" customHeight="1" x14ac:dyDescent="0.2">
      <c r="A552" s="29"/>
      <c r="B552" s="29"/>
      <c r="C552" s="29"/>
      <c r="D552" s="29"/>
      <c r="F552" s="30"/>
    </row>
    <row r="553" spans="1:6" ht="14.25" customHeight="1" x14ac:dyDescent="0.2">
      <c r="A553" s="29"/>
      <c r="B553" s="29"/>
      <c r="C553" s="29"/>
      <c r="D553" s="29"/>
      <c r="F553" s="30"/>
    </row>
    <row r="554" spans="1:6" ht="14.25" customHeight="1" x14ac:dyDescent="0.2">
      <c r="A554" s="29"/>
      <c r="B554" s="29"/>
      <c r="C554" s="29"/>
      <c r="D554" s="29"/>
      <c r="F554" s="30"/>
    </row>
    <row r="555" spans="1:6" ht="14.25" customHeight="1" x14ac:dyDescent="0.2">
      <c r="A555" s="29"/>
      <c r="B555" s="29"/>
      <c r="C555" s="29"/>
      <c r="D555" s="29"/>
      <c r="F555" s="30"/>
    </row>
    <row r="556" spans="1:6" ht="14.25" customHeight="1" x14ac:dyDescent="0.2">
      <c r="A556" s="29"/>
      <c r="B556" s="29"/>
      <c r="C556" s="29"/>
      <c r="D556" s="29"/>
      <c r="F556" s="30"/>
    </row>
    <row r="557" spans="1:6" ht="14.25" customHeight="1" x14ac:dyDescent="0.2">
      <c r="A557" s="29"/>
      <c r="B557" s="29"/>
      <c r="C557" s="29"/>
      <c r="D557" s="29"/>
      <c r="F557" s="30"/>
    </row>
    <row r="558" spans="1:6" ht="14.25" customHeight="1" x14ac:dyDescent="0.2">
      <c r="A558" s="29"/>
      <c r="B558" s="29"/>
      <c r="C558" s="29"/>
      <c r="D558" s="29"/>
      <c r="F558" s="30"/>
    </row>
    <row r="559" spans="1:6" ht="14.25" customHeight="1" x14ac:dyDescent="0.2">
      <c r="A559" s="29"/>
      <c r="B559" s="29"/>
      <c r="C559" s="29"/>
      <c r="D559" s="29"/>
      <c r="F559" s="30"/>
    </row>
    <row r="560" spans="1:6" ht="14.25" customHeight="1" x14ac:dyDescent="0.2">
      <c r="A560" s="29"/>
      <c r="B560" s="29"/>
      <c r="C560" s="29"/>
      <c r="D560" s="29"/>
      <c r="F560" s="30"/>
    </row>
    <row r="561" spans="1:6" ht="14.25" customHeight="1" x14ac:dyDescent="0.2">
      <c r="A561" s="29"/>
      <c r="B561" s="29"/>
      <c r="C561" s="29"/>
      <c r="D561" s="29"/>
      <c r="F561" s="30"/>
    </row>
    <row r="562" spans="1:6" ht="14.25" customHeight="1" x14ac:dyDescent="0.2">
      <c r="A562" s="29"/>
      <c r="B562" s="29"/>
      <c r="C562" s="29"/>
      <c r="D562" s="29"/>
      <c r="F562" s="30"/>
    </row>
    <row r="563" spans="1:6" ht="14.25" customHeight="1" x14ac:dyDescent="0.2">
      <c r="A563" s="29"/>
      <c r="B563" s="29"/>
      <c r="C563" s="29"/>
      <c r="D563" s="29"/>
      <c r="F563" s="30"/>
    </row>
    <row r="564" spans="1:6" ht="14.25" customHeight="1" x14ac:dyDescent="0.2">
      <c r="A564" s="29"/>
      <c r="B564" s="29"/>
      <c r="C564" s="29"/>
      <c r="D564" s="29"/>
      <c r="F564" s="30"/>
    </row>
    <row r="565" spans="1:6" ht="14.25" customHeight="1" x14ac:dyDescent="0.2">
      <c r="A565" s="29"/>
      <c r="B565" s="29"/>
      <c r="C565" s="29"/>
      <c r="D565" s="29"/>
      <c r="F565" s="30"/>
    </row>
    <row r="566" spans="1:6" ht="14.25" customHeight="1" x14ac:dyDescent="0.2">
      <c r="A566" s="29"/>
      <c r="B566" s="29"/>
      <c r="C566" s="29"/>
      <c r="D566" s="29"/>
      <c r="F566" s="30"/>
    </row>
    <row r="567" spans="1:6" ht="14.25" customHeight="1" x14ac:dyDescent="0.2">
      <c r="A567" s="29"/>
      <c r="B567" s="29"/>
      <c r="C567" s="29"/>
      <c r="D567" s="29"/>
      <c r="F567" s="30"/>
    </row>
    <row r="568" spans="1:6" ht="14.25" customHeight="1" x14ac:dyDescent="0.2">
      <c r="A568" s="29"/>
      <c r="B568" s="29"/>
      <c r="C568" s="29"/>
      <c r="D568" s="29"/>
      <c r="F568" s="30"/>
    </row>
    <row r="569" spans="1:6" ht="14.25" customHeight="1" x14ac:dyDescent="0.2">
      <c r="A569" s="29"/>
      <c r="B569" s="29"/>
      <c r="C569" s="29"/>
      <c r="D569" s="29"/>
      <c r="F569" s="30"/>
    </row>
    <row r="570" spans="1:6" ht="14.25" customHeight="1" x14ac:dyDescent="0.2">
      <c r="A570" s="29"/>
      <c r="B570" s="29"/>
      <c r="C570" s="29"/>
      <c r="D570" s="29"/>
      <c r="F570" s="30"/>
    </row>
    <row r="571" spans="1:6" ht="14.25" customHeight="1" x14ac:dyDescent="0.2">
      <c r="A571" s="29"/>
      <c r="B571" s="29"/>
      <c r="C571" s="29"/>
      <c r="D571" s="29"/>
      <c r="F571" s="30"/>
    </row>
    <row r="572" spans="1:6" ht="14.25" customHeight="1" x14ac:dyDescent="0.2">
      <c r="A572" s="29"/>
      <c r="B572" s="29"/>
      <c r="C572" s="29"/>
      <c r="D572" s="29"/>
      <c r="F572" s="30"/>
    </row>
    <row r="573" spans="1:6" ht="14.25" customHeight="1" x14ac:dyDescent="0.2">
      <c r="A573" s="29"/>
      <c r="B573" s="29"/>
      <c r="C573" s="29"/>
      <c r="D573" s="29"/>
      <c r="F573" s="30"/>
    </row>
    <row r="574" spans="1:6" ht="14.25" customHeight="1" x14ac:dyDescent="0.2">
      <c r="A574" s="29"/>
      <c r="B574" s="29"/>
      <c r="C574" s="29"/>
      <c r="D574" s="29"/>
      <c r="F574" s="30"/>
    </row>
    <row r="575" spans="1:6" ht="14.25" customHeight="1" x14ac:dyDescent="0.2">
      <c r="A575" s="29"/>
      <c r="B575" s="29"/>
      <c r="C575" s="29"/>
      <c r="D575" s="29"/>
      <c r="F575" s="30"/>
    </row>
    <row r="576" spans="1:6" ht="14.25" customHeight="1" x14ac:dyDescent="0.2">
      <c r="A576" s="29"/>
      <c r="B576" s="29"/>
      <c r="C576" s="29"/>
      <c r="D576" s="29"/>
      <c r="F576" s="30"/>
    </row>
    <row r="577" spans="1:6" ht="14.25" customHeight="1" x14ac:dyDescent="0.2">
      <c r="A577" s="29"/>
      <c r="B577" s="29"/>
      <c r="C577" s="29"/>
      <c r="D577" s="29"/>
      <c r="F577" s="30"/>
    </row>
    <row r="578" spans="1:6" ht="14.25" customHeight="1" x14ac:dyDescent="0.2">
      <c r="A578" s="29"/>
      <c r="B578" s="29"/>
      <c r="C578" s="29"/>
      <c r="D578" s="29"/>
      <c r="F578" s="30"/>
    </row>
    <row r="579" spans="1:6" ht="14.25" customHeight="1" x14ac:dyDescent="0.2">
      <c r="A579" s="29"/>
      <c r="B579" s="29"/>
      <c r="C579" s="29"/>
      <c r="D579" s="29"/>
      <c r="F579" s="30"/>
    </row>
    <row r="580" spans="1:6" ht="14.25" customHeight="1" x14ac:dyDescent="0.2">
      <c r="A580" s="29"/>
      <c r="B580" s="29"/>
      <c r="C580" s="29"/>
      <c r="D580" s="29"/>
      <c r="F580" s="30"/>
    </row>
    <row r="581" spans="1:6" ht="14.25" customHeight="1" x14ac:dyDescent="0.2">
      <c r="A581" s="29"/>
      <c r="B581" s="29"/>
      <c r="C581" s="29"/>
      <c r="D581" s="29"/>
      <c r="F581" s="30"/>
    </row>
    <row r="582" spans="1:6" ht="14.25" customHeight="1" x14ac:dyDescent="0.2">
      <c r="A582" s="29"/>
      <c r="B582" s="29"/>
      <c r="C582" s="29"/>
      <c r="D582" s="29"/>
      <c r="F582" s="30"/>
    </row>
    <row r="583" spans="1:6" ht="14.25" customHeight="1" x14ac:dyDescent="0.2">
      <c r="A583" s="29"/>
      <c r="B583" s="29"/>
      <c r="C583" s="29"/>
      <c r="D583" s="29"/>
      <c r="F583" s="30"/>
    </row>
    <row r="584" spans="1:6" ht="14.25" customHeight="1" x14ac:dyDescent="0.2">
      <c r="A584" s="29"/>
      <c r="B584" s="29"/>
      <c r="C584" s="29"/>
      <c r="D584" s="29"/>
      <c r="F584" s="30"/>
    </row>
    <row r="585" spans="1:6" ht="14.25" customHeight="1" x14ac:dyDescent="0.2">
      <c r="A585" s="29"/>
      <c r="B585" s="29"/>
      <c r="C585" s="29"/>
      <c r="D585" s="29"/>
      <c r="F585" s="30"/>
    </row>
    <row r="586" spans="1:6" ht="14.25" customHeight="1" x14ac:dyDescent="0.2">
      <c r="A586" s="29"/>
      <c r="B586" s="29"/>
      <c r="C586" s="29"/>
      <c r="D586" s="29"/>
      <c r="F586" s="30"/>
    </row>
    <row r="587" spans="1:6" ht="14.25" customHeight="1" x14ac:dyDescent="0.2">
      <c r="A587" s="29"/>
      <c r="B587" s="29"/>
      <c r="C587" s="29"/>
      <c r="D587" s="29"/>
      <c r="F587" s="30"/>
    </row>
    <row r="588" spans="1:6" ht="14.25" customHeight="1" x14ac:dyDescent="0.2">
      <c r="A588" s="29"/>
      <c r="B588" s="29"/>
      <c r="C588" s="29"/>
      <c r="D588" s="29"/>
      <c r="F588" s="30"/>
    </row>
    <row r="589" spans="1:6" ht="14.25" customHeight="1" x14ac:dyDescent="0.2">
      <c r="A589" s="29"/>
      <c r="B589" s="29"/>
      <c r="C589" s="29"/>
      <c r="D589" s="29"/>
      <c r="F589" s="30"/>
    </row>
    <row r="590" spans="1:6" ht="14.25" customHeight="1" x14ac:dyDescent="0.2">
      <c r="A590" s="29"/>
      <c r="B590" s="29"/>
      <c r="C590" s="29"/>
      <c r="D590" s="29"/>
      <c r="F590" s="30"/>
    </row>
    <row r="591" spans="1:6" ht="14.25" customHeight="1" x14ac:dyDescent="0.2">
      <c r="A591" s="29"/>
      <c r="B591" s="29"/>
      <c r="C591" s="29"/>
      <c r="D591" s="29"/>
      <c r="F591" s="30"/>
    </row>
    <row r="592" spans="1:6" ht="14.25" customHeight="1" x14ac:dyDescent="0.2">
      <c r="A592" s="29"/>
      <c r="B592" s="29"/>
      <c r="C592" s="29"/>
      <c r="D592" s="29"/>
      <c r="F592" s="30"/>
    </row>
    <row r="593" spans="1:6" ht="14.25" customHeight="1" x14ac:dyDescent="0.2">
      <c r="A593" s="29"/>
      <c r="B593" s="29"/>
      <c r="C593" s="29"/>
      <c r="D593" s="29"/>
      <c r="F593" s="30"/>
    </row>
    <row r="594" spans="1:6" ht="14.25" customHeight="1" x14ac:dyDescent="0.2">
      <c r="A594" s="29"/>
      <c r="B594" s="29"/>
      <c r="C594" s="29"/>
      <c r="D594" s="29"/>
      <c r="F594" s="30"/>
    </row>
    <row r="595" spans="1:6" ht="14.25" customHeight="1" x14ac:dyDescent="0.2">
      <c r="A595" s="29"/>
      <c r="B595" s="29"/>
      <c r="C595" s="29"/>
      <c r="D595" s="29"/>
      <c r="F595" s="30"/>
    </row>
    <row r="596" spans="1:6" ht="14.25" customHeight="1" x14ac:dyDescent="0.2">
      <c r="A596" s="29"/>
      <c r="B596" s="29"/>
      <c r="C596" s="29"/>
      <c r="D596" s="29"/>
      <c r="F596" s="30"/>
    </row>
    <row r="597" spans="1:6" ht="14.25" customHeight="1" x14ac:dyDescent="0.2">
      <c r="A597" s="29"/>
      <c r="B597" s="29"/>
      <c r="C597" s="29"/>
      <c r="D597" s="29"/>
      <c r="F597" s="30"/>
    </row>
    <row r="598" spans="1:6" ht="14.25" customHeight="1" x14ac:dyDescent="0.2">
      <c r="A598" s="29"/>
      <c r="B598" s="29"/>
      <c r="C598" s="29"/>
      <c r="D598" s="29"/>
      <c r="F598" s="30"/>
    </row>
    <row r="599" spans="1:6" ht="14.25" customHeight="1" x14ac:dyDescent="0.2">
      <c r="A599" s="29"/>
      <c r="B599" s="29"/>
      <c r="C599" s="29"/>
      <c r="D599" s="29"/>
      <c r="F599" s="30"/>
    </row>
    <row r="600" spans="1:6" ht="14.25" customHeight="1" x14ac:dyDescent="0.2">
      <c r="A600" s="29"/>
      <c r="B600" s="29"/>
      <c r="C600" s="29"/>
      <c r="D600" s="29"/>
      <c r="F600" s="30"/>
    </row>
    <row r="601" spans="1:6" ht="14.25" customHeight="1" x14ac:dyDescent="0.2">
      <c r="A601" s="29"/>
      <c r="B601" s="29"/>
      <c r="C601" s="29"/>
      <c r="D601" s="29"/>
      <c r="F601" s="30"/>
    </row>
    <row r="602" spans="1:6" ht="14.25" customHeight="1" x14ac:dyDescent="0.2">
      <c r="A602" s="29"/>
      <c r="B602" s="29"/>
      <c r="C602" s="29"/>
      <c r="D602" s="29"/>
      <c r="F602" s="30"/>
    </row>
    <row r="603" spans="1:6" ht="14.25" customHeight="1" x14ac:dyDescent="0.2">
      <c r="A603" s="29"/>
      <c r="B603" s="29"/>
      <c r="C603" s="29"/>
      <c r="D603" s="29"/>
      <c r="F603" s="30"/>
    </row>
    <row r="604" spans="1:6" ht="14.25" customHeight="1" x14ac:dyDescent="0.2">
      <c r="A604" s="29"/>
      <c r="B604" s="29"/>
      <c r="C604" s="29"/>
      <c r="D604" s="29"/>
      <c r="F604" s="30"/>
    </row>
    <row r="605" spans="1:6" ht="14.25" customHeight="1" x14ac:dyDescent="0.2">
      <c r="A605" s="29"/>
      <c r="B605" s="29"/>
      <c r="C605" s="29"/>
      <c r="D605" s="29"/>
      <c r="F605" s="30"/>
    </row>
    <row r="606" spans="1:6" ht="14.25" customHeight="1" x14ac:dyDescent="0.2">
      <c r="A606" s="29"/>
      <c r="B606" s="29"/>
      <c r="C606" s="29"/>
      <c r="D606" s="29"/>
      <c r="F606" s="30"/>
    </row>
    <row r="607" spans="1:6" ht="14.25" customHeight="1" x14ac:dyDescent="0.2">
      <c r="A607" s="29"/>
      <c r="B607" s="29"/>
      <c r="C607" s="29"/>
      <c r="D607" s="29"/>
      <c r="F607" s="30"/>
    </row>
    <row r="608" spans="1:6" ht="14.25" customHeight="1" x14ac:dyDescent="0.2">
      <c r="A608" s="29"/>
      <c r="B608" s="29"/>
      <c r="C608" s="29"/>
      <c r="D608" s="29"/>
      <c r="F608" s="30"/>
    </row>
    <row r="609" spans="1:6" ht="14.25" customHeight="1" x14ac:dyDescent="0.2">
      <c r="A609" s="29"/>
      <c r="B609" s="29"/>
      <c r="C609" s="29"/>
      <c r="D609" s="29"/>
      <c r="F609" s="30"/>
    </row>
    <row r="610" spans="1:6" ht="14.25" customHeight="1" x14ac:dyDescent="0.2">
      <c r="A610" s="29"/>
      <c r="B610" s="29"/>
      <c r="C610" s="29"/>
      <c r="D610" s="29"/>
      <c r="F610" s="30"/>
    </row>
    <row r="611" spans="1:6" ht="14.25" customHeight="1" x14ac:dyDescent="0.2">
      <c r="A611" s="29"/>
      <c r="B611" s="29"/>
      <c r="C611" s="29"/>
      <c r="D611" s="29"/>
      <c r="F611" s="30"/>
    </row>
    <row r="612" spans="1:6" ht="14.25" customHeight="1" x14ac:dyDescent="0.2">
      <c r="A612" s="29"/>
      <c r="B612" s="29"/>
      <c r="C612" s="29"/>
      <c r="D612" s="29"/>
      <c r="F612" s="30"/>
    </row>
    <row r="613" spans="1:6" ht="14.25" customHeight="1" x14ac:dyDescent="0.2">
      <c r="A613" s="29"/>
      <c r="B613" s="29"/>
      <c r="C613" s="29"/>
      <c r="D613" s="29"/>
      <c r="F613" s="30"/>
    </row>
    <row r="614" spans="1:6" ht="14.25" customHeight="1" x14ac:dyDescent="0.2">
      <c r="A614" s="29"/>
      <c r="B614" s="29"/>
      <c r="C614" s="29"/>
      <c r="D614" s="29"/>
      <c r="F614" s="30"/>
    </row>
    <row r="615" spans="1:6" ht="14.25" customHeight="1" x14ac:dyDescent="0.2">
      <c r="A615" s="29"/>
      <c r="B615" s="29"/>
      <c r="C615" s="29"/>
      <c r="D615" s="29"/>
      <c r="F615" s="30"/>
    </row>
    <row r="616" spans="1:6" ht="14.25" customHeight="1" x14ac:dyDescent="0.2">
      <c r="A616" s="29"/>
      <c r="B616" s="29"/>
      <c r="C616" s="29"/>
      <c r="D616" s="29"/>
      <c r="F616" s="30"/>
    </row>
    <row r="617" spans="1:6" ht="14.25" customHeight="1" x14ac:dyDescent="0.2">
      <c r="A617" s="29"/>
      <c r="B617" s="29"/>
      <c r="C617" s="29"/>
      <c r="D617" s="29"/>
      <c r="F617" s="30"/>
    </row>
    <row r="618" spans="1:6" ht="14.25" customHeight="1" x14ac:dyDescent="0.2">
      <c r="A618" s="29"/>
      <c r="B618" s="29"/>
      <c r="C618" s="29"/>
      <c r="D618" s="29"/>
      <c r="F618" s="30"/>
    </row>
    <row r="619" spans="1:6" ht="14.25" customHeight="1" x14ac:dyDescent="0.2">
      <c r="A619" s="29"/>
      <c r="B619" s="29"/>
      <c r="C619" s="29"/>
      <c r="D619" s="29"/>
      <c r="F619" s="30"/>
    </row>
    <row r="620" spans="1:6" ht="14.25" customHeight="1" x14ac:dyDescent="0.2">
      <c r="A620" s="29"/>
      <c r="B620" s="29"/>
      <c r="C620" s="29"/>
      <c r="D620" s="29"/>
      <c r="F620" s="30"/>
    </row>
    <row r="621" spans="1:6" ht="14.25" customHeight="1" x14ac:dyDescent="0.2">
      <c r="A621" s="29"/>
      <c r="B621" s="29"/>
      <c r="C621" s="29"/>
      <c r="D621" s="29"/>
      <c r="F621" s="30"/>
    </row>
    <row r="622" spans="1:6" ht="14.25" customHeight="1" x14ac:dyDescent="0.2">
      <c r="A622" s="29"/>
      <c r="B622" s="29"/>
      <c r="C622" s="29"/>
      <c r="D622" s="29"/>
      <c r="F622" s="30"/>
    </row>
    <row r="623" spans="1:6" ht="14.25" customHeight="1" x14ac:dyDescent="0.2">
      <c r="A623" s="29"/>
      <c r="B623" s="29"/>
      <c r="C623" s="29"/>
      <c r="D623" s="29"/>
      <c r="F623" s="30"/>
    </row>
    <row r="624" spans="1:6" ht="14.25" customHeight="1" x14ac:dyDescent="0.2">
      <c r="A624" s="29"/>
      <c r="B624" s="29"/>
      <c r="C624" s="29"/>
      <c r="D624" s="29"/>
      <c r="F624" s="30"/>
    </row>
    <row r="625" spans="1:6" ht="14.25" customHeight="1" x14ac:dyDescent="0.2">
      <c r="A625" s="29"/>
      <c r="B625" s="29"/>
      <c r="C625" s="29"/>
      <c r="D625" s="29"/>
      <c r="F625" s="30"/>
    </row>
    <row r="626" spans="1:6" ht="14.25" customHeight="1" x14ac:dyDescent="0.2">
      <c r="A626" s="29"/>
      <c r="B626" s="29"/>
      <c r="C626" s="29"/>
      <c r="D626" s="29"/>
      <c r="F626" s="30"/>
    </row>
    <row r="627" spans="1:6" ht="14.25" customHeight="1" x14ac:dyDescent="0.2">
      <c r="A627" s="29"/>
      <c r="B627" s="29"/>
      <c r="C627" s="29"/>
      <c r="D627" s="29"/>
      <c r="F627" s="30"/>
    </row>
    <row r="628" spans="1:6" ht="14.25" customHeight="1" x14ac:dyDescent="0.2">
      <c r="A628" s="29"/>
      <c r="B628" s="29"/>
      <c r="C628" s="29"/>
      <c r="D628" s="29"/>
      <c r="F628" s="30"/>
    </row>
    <row r="629" spans="1:6" ht="14.25" customHeight="1" x14ac:dyDescent="0.2">
      <c r="A629" s="29"/>
      <c r="B629" s="29"/>
      <c r="C629" s="29"/>
      <c r="D629" s="29"/>
      <c r="F629" s="30"/>
    </row>
    <row r="630" spans="1:6" ht="14.25" customHeight="1" x14ac:dyDescent="0.2">
      <c r="A630" s="29"/>
      <c r="B630" s="29"/>
      <c r="C630" s="29"/>
      <c r="D630" s="29"/>
      <c r="F630" s="30"/>
    </row>
    <row r="631" spans="1:6" ht="14.25" customHeight="1" x14ac:dyDescent="0.2">
      <c r="A631" s="29"/>
      <c r="B631" s="29"/>
      <c r="C631" s="29"/>
      <c r="D631" s="29"/>
      <c r="F631" s="30"/>
    </row>
    <row r="632" spans="1:6" ht="14.25" customHeight="1" x14ac:dyDescent="0.2">
      <c r="A632" s="29"/>
      <c r="B632" s="29"/>
      <c r="C632" s="29"/>
      <c r="D632" s="29"/>
      <c r="F632" s="30"/>
    </row>
    <row r="633" spans="1:6" ht="14.25" customHeight="1" x14ac:dyDescent="0.2">
      <c r="A633" s="29"/>
      <c r="B633" s="29"/>
      <c r="C633" s="29"/>
      <c r="D633" s="29"/>
      <c r="F633" s="30"/>
    </row>
    <row r="634" spans="1:6" ht="14.25" customHeight="1" x14ac:dyDescent="0.2">
      <c r="A634" s="29"/>
      <c r="B634" s="29"/>
      <c r="C634" s="29"/>
      <c r="D634" s="29"/>
      <c r="F634" s="30"/>
    </row>
    <row r="635" spans="1:6" ht="14.25" customHeight="1" x14ac:dyDescent="0.2">
      <c r="A635" s="29"/>
      <c r="B635" s="29"/>
      <c r="C635" s="29"/>
      <c r="D635" s="29"/>
      <c r="F635" s="30"/>
    </row>
    <row r="636" spans="1:6" ht="14.25" customHeight="1" x14ac:dyDescent="0.2">
      <c r="A636" s="29"/>
      <c r="B636" s="29"/>
      <c r="C636" s="29"/>
      <c r="D636" s="29"/>
      <c r="F636" s="30"/>
    </row>
    <row r="637" spans="1:6" ht="14.25" customHeight="1" x14ac:dyDescent="0.2">
      <c r="A637" s="29"/>
      <c r="B637" s="29"/>
      <c r="C637" s="29"/>
      <c r="D637" s="29"/>
      <c r="F637" s="30"/>
    </row>
    <row r="638" spans="1:6" ht="14.25" customHeight="1" x14ac:dyDescent="0.2">
      <c r="A638" s="29"/>
      <c r="B638" s="29"/>
      <c r="C638" s="29"/>
      <c r="D638" s="29"/>
      <c r="F638" s="30"/>
    </row>
    <row r="639" spans="1:6" ht="14.25" customHeight="1" x14ac:dyDescent="0.2">
      <c r="A639" s="29"/>
      <c r="B639" s="29"/>
      <c r="C639" s="29"/>
      <c r="D639" s="29"/>
      <c r="F639" s="30"/>
    </row>
    <row r="640" spans="1:6" ht="14.25" customHeight="1" x14ac:dyDescent="0.2">
      <c r="A640" s="29"/>
      <c r="B640" s="29"/>
      <c r="C640" s="29"/>
      <c r="D640" s="29"/>
      <c r="F640" s="30"/>
    </row>
    <row r="641" spans="1:6" ht="14.25" customHeight="1" x14ac:dyDescent="0.2">
      <c r="A641" s="29"/>
      <c r="B641" s="29"/>
      <c r="C641" s="29"/>
      <c r="D641" s="29"/>
      <c r="F641" s="30"/>
    </row>
    <row r="642" spans="1:6" ht="14.25" customHeight="1" x14ac:dyDescent="0.2">
      <c r="A642" s="29"/>
      <c r="B642" s="29"/>
      <c r="C642" s="29"/>
      <c r="D642" s="29"/>
      <c r="F642" s="30"/>
    </row>
    <row r="643" spans="1:6" ht="14.25" customHeight="1" x14ac:dyDescent="0.2">
      <c r="A643" s="29"/>
      <c r="B643" s="29"/>
      <c r="C643" s="29"/>
      <c r="D643" s="29"/>
      <c r="F643" s="30"/>
    </row>
    <row r="644" spans="1:6" ht="14.25" customHeight="1" x14ac:dyDescent="0.2">
      <c r="A644" s="29"/>
      <c r="B644" s="29"/>
      <c r="C644" s="29"/>
      <c r="D644" s="29"/>
      <c r="F644" s="30"/>
    </row>
    <row r="645" spans="1:6" ht="14.25" customHeight="1" x14ac:dyDescent="0.2">
      <c r="A645" s="29"/>
      <c r="B645" s="29"/>
      <c r="C645" s="29"/>
      <c r="D645" s="29"/>
      <c r="F645" s="30"/>
    </row>
    <row r="646" spans="1:6" ht="14.25" customHeight="1" x14ac:dyDescent="0.2">
      <c r="A646" s="29"/>
      <c r="B646" s="29"/>
      <c r="C646" s="29"/>
      <c r="D646" s="29"/>
      <c r="F646" s="30"/>
    </row>
    <row r="647" spans="1:6" ht="14.25" customHeight="1" x14ac:dyDescent="0.2">
      <c r="A647" s="29"/>
      <c r="B647" s="29"/>
      <c r="C647" s="29"/>
      <c r="D647" s="29"/>
      <c r="F647" s="30"/>
    </row>
    <row r="648" spans="1:6" ht="14.25" customHeight="1" x14ac:dyDescent="0.2">
      <c r="A648" s="29"/>
      <c r="B648" s="29"/>
      <c r="C648" s="29"/>
      <c r="D648" s="29"/>
      <c r="F648" s="30"/>
    </row>
    <row r="649" spans="1:6" ht="14.25" customHeight="1" x14ac:dyDescent="0.2">
      <c r="A649" s="29"/>
      <c r="B649" s="29"/>
      <c r="C649" s="29"/>
      <c r="D649" s="29"/>
      <c r="F649" s="30"/>
    </row>
    <row r="650" spans="1:6" ht="14.25" customHeight="1" x14ac:dyDescent="0.2">
      <c r="A650" s="29"/>
      <c r="B650" s="29"/>
      <c r="C650" s="29"/>
      <c r="D650" s="29"/>
      <c r="F650" s="30"/>
    </row>
    <row r="651" spans="1:6" ht="14.25" customHeight="1" x14ac:dyDescent="0.2">
      <c r="A651" s="29"/>
      <c r="B651" s="29"/>
      <c r="C651" s="29"/>
      <c r="D651" s="29"/>
      <c r="F651" s="30"/>
    </row>
    <row r="652" spans="1:6" ht="14.25" customHeight="1" x14ac:dyDescent="0.2">
      <c r="A652" s="29"/>
      <c r="B652" s="29"/>
      <c r="C652" s="29"/>
      <c r="D652" s="29"/>
      <c r="F652" s="30"/>
    </row>
    <row r="653" spans="1:6" ht="14.25" customHeight="1" x14ac:dyDescent="0.2">
      <c r="A653" s="29"/>
      <c r="B653" s="29"/>
      <c r="C653" s="29"/>
      <c r="D653" s="29"/>
      <c r="F653" s="30"/>
    </row>
    <row r="654" spans="1:6" ht="14.25" customHeight="1" x14ac:dyDescent="0.2">
      <c r="A654" s="29"/>
      <c r="B654" s="29"/>
      <c r="C654" s="29"/>
      <c r="D654" s="29"/>
      <c r="F654" s="30"/>
    </row>
    <row r="655" spans="1:6" ht="14.25" customHeight="1" x14ac:dyDescent="0.2">
      <c r="A655" s="29"/>
      <c r="B655" s="29"/>
      <c r="C655" s="29"/>
      <c r="D655" s="29"/>
      <c r="F655" s="30"/>
    </row>
    <row r="656" spans="1:6" ht="14.25" customHeight="1" x14ac:dyDescent="0.2">
      <c r="A656" s="29"/>
      <c r="B656" s="29"/>
      <c r="C656" s="29"/>
      <c r="D656" s="29"/>
      <c r="F656" s="30"/>
    </row>
    <row r="657" spans="1:6" ht="14.25" customHeight="1" x14ac:dyDescent="0.2">
      <c r="A657" s="29"/>
      <c r="B657" s="29"/>
      <c r="C657" s="29"/>
      <c r="D657" s="29"/>
      <c r="F657" s="30"/>
    </row>
    <row r="658" spans="1:6" ht="14.25" customHeight="1" x14ac:dyDescent="0.2">
      <c r="A658" s="29"/>
      <c r="B658" s="29"/>
      <c r="C658" s="29"/>
      <c r="D658" s="29"/>
      <c r="F658" s="30"/>
    </row>
    <row r="659" spans="1:6" ht="14.25" customHeight="1" x14ac:dyDescent="0.2">
      <c r="A659" s="29"/>
      <c r="B659" s="29"/>
      <c r="C659" s="29"/>
      <c r="D659" s="29"/>
      <c r="F659" s="30"/>
    </row>
    <row r="660" spans="1:6" ht="14.25" customHeight="1" x14ac:dyDescent="0.2">
      <c r="A660" s="29"/>
      <c r="B660" s="29"/>
      <c r="C660" s="29"/>
      <c r="D660" s="29"/>
      <c r="F660" s="30"/>
    </row>
    <row r="661" spans="1:6" ht="14.25" customHeight="1" x14ac:dyDescent="0.2">
      <c r="A661" s="29"/>
      <c r="B661" s="29"/>
      <c r="C661" s="29"/>
      <c r="D661" s="29"/>
      <c r="F661" s="30"/>
    </row>
    <row r="662" spans="1:6" ht="14.25" customHeight="1" x14ac:dyDescent="0.2">
      <c r="A662" s="29"/>
      <c r="B662" s="29"/>
      <c r="C662" s="29"/>
      <c r="D662" s="29"/>
      <c r="F662" s="30"/>
    </row>
    <row r="663" spans="1:6" ht="14.25" customHeight="1" x14ac:dyDescent="0.2">
      <c r="A663" s="29"/>
      <c r="B663" s="29"/>
      <c r="C663" s="29"/>
      <c r="D663" s="29"/>
      <c r="F663" s="30"/>
    </row>
    <row r="664" spans="1:6" ht="14.25" customHeight="1" x14ac:dyDescent="0.2">
      <c r="A664" s="29"/>
      <c r="B664" s="29"/>
      <c r="C664" s="29"/>
      <c r="D664" s="29"/>
      <c r="F664" s="30"/>
    </row>
    <row r="665" spans="1:6" ht="14.25" customHeight="1" x14ac:dyDescent="0.2">
      <c r="A665" s="29"/>
      <c r="B665" s="29"/>
      <c r="C665" s="29"/>
      <c r="D665" s="29"/>
      <c r="F665" s="30"/>
    </row>
    <row r="666" spans="1:6" ht="14.25" customHeight="1" x14ac:dyDescent="0.2">
      <c r="A666" s="29"/>
      <c r="B666" s="29"/>
      <c r="C666" s="29"/>
      <c r="D666" s="29"/>
      <c r="F666" s="30"/>
    </row>
    <row r="667" spans="1:6" ht="14.25" customHeight="1" x14ac:dyDescent="0.2">
      <c r="A667" s="29"/>
      <c r="B667" s="29"/>
      <c r="C667" s="29"/>
      <c r="D667" s="29"/>
      <c r="F667" s="30"/>
    </row>
    <row r="668" spans="1:6" ht="14.25" customHeight="1" x14ac:dyDescent="0.2">
      <c r="A668" s="29"/>
      <c r="B668" s="29"/>
      <c r="C668" s="29"/>
      <c r="D668" s="29"/>
      <c r="F668" s="30"/>
    </row>
    <row r="669" spans="1:6" ht="14.25" customHeight="1" x14ac:dyDescent="0.2">
      <c r="A669" s="29"/>
      <c r="B669" s="29"/>
      <c r="C669" s="29"/>
      <c r="D669" s="29"/>
      <c r="F669" s="30"/>
    </row>
    <row r="670" spans="1:6" ht="14.25" customHeight="1" x14ac:dyDescent="0.2">
      <c r="A670" s="29"/>
      <c r="B670" s="29"/>
      <c r="C670" s="29"/>
      <c r="D670" s="29"/>
      <c r="F670" s="30"/>
    </row>
    <row r="671" spans="1:6" ht="14.25" customHeight="1" x14ac:dyDescent="0.2">
      <c r="A671" s="29"/>
      <c r="B671" s="29"/>
      <c r="C671" s="29"/>
      <c r="D671" s="29"/>
      <c r="F671" s="30"/>
    </row>
    <row r="672" spans="1:6" ht="14.25" customHeight="1" x14ac:dyDescent="0.2">
      <c r="A672" s="29"/>
      <c r="B672" s="29"/>
      <c r="C672" s="29"/>
      <c r="D672" s="29"/>
      <c r="F672" s="30"/>
    </row>
    <row r="673" spans="1:6" ht="14.25" customHeight="1" x14ac:dyDescent="0.2">
      <c r="A673" s="29"/>
      <c r="B673" s="29"/>
      <c r="C673" s="29"/>
      <c r="D673" s="29"/>
      <c r="F673" s="30"/>
    </row>
    <row r="674" spans="1:6" ht="14.25" customHeight="1" x14ac:dyDescent="0.2">
      <c r="A674" s="29"/>
      <c r="B674" s="29"/>
      <c r="C674" s="29"/>
      <c r="D674" s="29"/>
      <c r="F674" s="30"/>
    </row>
    <row r="675" spans="1:6" ht="14.25" customHeight="1" x14ac:dyDescent="0.2">
      <c r="A675" s="29"/>
      <c r="B675" s="29"/>
      <c r="C675" s="29"/>
      <c r="D675" s="29"/>
      <c r="F675" s="30"/>
    </row>
    <row r="676" spans="1:6" ht="14.25" customHeight="1" x14ac:dyDescent="0.2">
      <c r="A676" s="29"/>
      <c r="B676" s="29"/>
      <c r="C676" s="29"/>
      <c r="D676" s="29"/>
      <c r="F676" s="30"/>
    </row>
    <row r="677" spans="1:6" ht="14.25" customHeight="1" x14ac:dyDescent="0.2">
      <c r="A677" s="29"/>
      <c r="B677" s="29"/>
      <c r="C677" s="29"/>
      <c r="D677" s="29"/>
      <c r="F677" s="30"/>
    </row>
    <row r="678" spans="1:6" ht="14.25" customHeight="1" x14ac:dyDescent="0.2">
      <c r="A678" s="29"/>
      <c r="B678" s="29"/>
      <c r="C678" s="29"/>
      <c r="D678" s="29"/>
      <c r="F678" s="30"/>
    </row>
    <row r="679" spans="1:6" ht="14.25" customHeight="1" x14ac:dyDescent="0.2">
      <c r="A679" s="29"/>
      <c r="B679" s="29"/>
      <c r="C679" s="29"/>
      <c r="D679" s="29"/>
      <c r="F679" s="30"/>
    </row>
    <row r="680" spans="1:6" ht="14.25" customHeight="1" x14ac:dyDescent="0.2">
      <c r="A680" s="29"/>
      <c r="B680" s="29"/>
      <c r="C680" s="29"/>
      <c r="D680" s="29"/>
      <c r="F680" s="30"/>
    </row>
    <row r="681" spans="1:6" ht="14.25" customHeight="1" x14ac:dyDescent="0.2">
      <c r="A681" s="29"/>
      <c r="B681" s="29"/>
      <c r="C681" s="29"/>
      <c r="D681" s="29"/>
      <c r="F681" s="30"/>
    </row>
    <row r="682" spans="1:6" ht="14.25" customHeight="1" x14ac:dyDescent="0.2">
      <c r="A682" s="29"/>
      <c r="B682" s="29"/>
      <c r="C682" s="29"/>
      <c r="D682" s="29"/>
      <c r="F682" s="30"/>
    </row>
    <row r="683" spans="1:6" ht="14.25" customHeight="1" x14ac:dyDescent="0.2">
      <c r="A683" s="29"/>
      <c r="B683" s="29"/>
      <c r="C683" s="29"/>
      <c r="D683" s="29"/>
      <c r="F683" s="30"/>
    </row>
    <row r="684" spans="1:6" ht="14.25" customHeight="1" x14ac:dyDescent="0.2">
      <c r="A684" s="29"/>
      <c r="B684" s="29"/>
      <c r="C684" s="29"/>
      <c r="D684" s="29"/>
      <c r="F684" s="30"/>
    </row>
    <row r="685" spans="1:6" ht="14.25" customHeight="1" x14ac:dyDescent="0.2">
      <c r="A685" s="29"/>
      <c r="B685" s="29"/>
      <c r="C685" s="29"/>
      <c r="D685" s="29"/>
      <c r="F685" s="30"/>
    </row>
    <row r="686" spans="1:6" ht="14.25" customHeight="1" x14ac:dyDescent="0.2">
      <c r="A686" s="29"/>
      <c r="B686" s="29"/>
      <c r="C686" s="29"/>
      <c r="D686" s="29"/>
      <c r="F686" s="30"/>
    </row>
    <row r="687" spans="1:6" ht="14.25" customHeight="1" x14ac:dyDescent="0.2">
      <c r="A687" s="29"/>
      <c r="B687" s="29"/>
      <c r="C687" s="29"/>
      <c r="D687" s="29"/>
      <c r="F687" s="30"/>
    </row>
    <row r="688" spans="1:6" ht="14.25" customHeight="1" x14ac:dyDescent="0.2">
      <c r="A688" s="29"/>
      <c r="B688" s="29"/>
      <c r="C688" s="29"/>
      <c r="D688" s="29"/>
      <c r="F688" s="30"/>
    </row>
    <row r="689" spans="1:6" ht="14.25" customHeight="1" x14ac:dyDescent="0.2">
      <c r="A689" s="29"/>
      <c r="B689" s="29"/>
      <c r="C689" s="29"/>
      <c r="D689" s="29"/>
      <c r="F689" s="30"/>
    </row>
    <row r="690" spans="1:6" ht="14.25" customHeight="1" x14ac:dyDescent="0.2">
      <c r="A690" s="29"/>
      <c r="B690" s="29"/>
      <c r="C690" s="29"/>
      <c r="D690" s="29"/>
      <c r="F690" s="30"/>
    </row>
    <row r="691" spans="1:6" ht="14.25" customHeight="1" x14ac:dyDescent="0.2">
      <c r="A691" s="29"/>
      <c r="B691" s="29"/>
      <c r="C691" s="29"/>
      <c r="D691" s="29"/>
      <c r="F691" s="30"/>
    </row>
    <row r="692" spans="1:6" ht="14.25" customHeight="1" x14ac:dyDescent="0.2">
      <c r="A692" s="29"/>
      <c r="B692" s="29"/>
      <c r="C692" s="29"/>
      <c r="D692" s="29"/>
      <c r="F692" s="30"/>
    </row>
    <row r="693" spans="1:6" ht="14.25" customHeight="1" x14ac:dyDescent="0.2">
      <c r="A693" s="29"/>
      <c r="B693" s="29"/>
      <c r="C693" s="29"/>
      <c r="D693" s="29"/>
      <c r="F693" s="30"/>
    </row>
    <row r="694" spans="1:6" ht="14.25" customHeight="1" x14ac:dyDescent="0.2">
      <c r="A694" s="29"/>
      <c r="B694" s="29"/>
      <c r="C694" s="29"/>
      <c r="D694" s="29"/>
      <c r="F694" s="30"/>
    </row>
    <row r="695" spans="1:6" ht="14.25" customHeight="1" x14ac:dyDescent="0.2">
      <c r="A695" s="29"/>
      <c r="B695" s="29"/>
      <c r="C695" s="29"/>
      <c r="D695" s="29"/>
      <c r="F695" s="30"/>
    </row>
    <row r="696" spans="1:6" ht="14.25" customHeight="1" x14ac:dyDescent="0.2">
      <c r="A696" s="29"/>
      <c r="B696" s="29"/>
      <c r="C696" s="29"/>
      <c r="D696" s="29"/>
      <c r="F696" s="30"/>
    </row>
    <row r="697" spans="1:6" ht="14.25" customHeight="1" x14ac:dyDescent="0.2">
      <c r="A697" s="29"/>
      <c r="B697" s="29"/>
      <c r="C697" s="29"/>
      <c r="D697" s="29"/>
      <c r="F697" s="30"/>
    </row>
    <row r="698" spans="1:6" ht="14.25" customHeight="1" x14ac:dyDescent="0.2">
      <c r="A698" s="29"/>
      <c r="B698" s="29"/>
      <c r="C698" s="29"/>
      <c r="D698" s="29"/>
      <c r="F698" s="30"/>
    </row>
    <row r="699" spans="1:6" ht="14.25" customHeight="1" x14ac:dyDescent="0.2">
      <c r="A699" s="29"/>
      <c r="B699" s="29"/>
      <c r="C699" s="29"/>
      <c r="D699" s="29"/>
      <c r="F699" s="30"/>
    </row>
    <row r="700" spans="1:6" ht="14.25" customHeight="1" x14ac:dyDescent="0.2">
      <c r="A700" s="29"/>
      <c r="B700" s="29"/>
      <c r="C700" s="29"/>
      <c r="D700" s="29"/>
      <c r="F700" s="30"/>
    </row>
    <row r="701" spans="1:6" ht="14.25" customHeight="1" x14ac:dyDescent="0.2">
      <c r="A701" s="29"/>
      <c r="B701" s="29"/>
      <c r="C701" s="29"/>
      <c r="D701" s="29"/>
      <c r="F701" s="30"/>
    </row>
    <row r="702" spans="1:6" ht="14.25" customHeight="1" x14ac:dyDescent="0.2">
      <c r="A702" s="29"/>
      <c r="B702" s="29"/>
      <c r="C702" s="29"/>
      <c r="D702" s="29"/>
      <c r="F702" s="30"/>
    </row>
    <row r="703" spans="1:6" ht="14.25" customHeight="1" x14ac:dyDescent="0.2">
      <c r="A703" s="29"/>
      <c r="B703" s="29"/>
      <c r="C703" s="29"/>
      <c r="D703" s="29"/>
      <c r="F703" s="30"/>
    </row>
    <row r="704" spans="1:6" ht="14.25" customHeight="1" x14ac:dyDescent="0.2">
      <c r="A704" s="29"/>
      <c r="B704" s="29"/>
      <c r="C704" s="29"/>
      <c r="D704" s="29"/>
      <c r="F704" s="30"/>
    </row>
    <row r="705" spans="1:6" ht="14.25" customHeight="1" x14ac:dyDescent="0.2">
      <c r="A705" s="29"/>
      <c r="B705" s="29"/>
      <c r="C705" s="29"/>
      <c r="D705" s="29"/>
      <c r="F705" s="30"/>
    </row>
    <row r="706" spans="1:6" ht="14.25" customHeight="1" x14ac:dyDescent="0.2">
      <c r="A706" s="29"/>
      <c r="B706" s="29"/>
      <c r="C706" s="29"/>
      <c r="D706" s="29"/>
      <c r="F706" s="30"/>
    </row>
    <row r="707" spans="1:6" ht="14.25" customHeight="1" x14ac:dyDescent="0.2">
      <c r="A707" s="29"/>
      <c r="B707" s="29"/>
      <c r="C707" s="29"/>
      <c r="D707" s="29"/>
      <c r="F707" s="30"/>
    </row>
    <row r="708" spans="1:6" ht="14.25" customHeight="1" x14ac:dyDescent="0.2">
      <c r="A708" s="29"/>
      <c r="B708" s="29"/>
      <c r="C708" s="29"/>
      <c r="D708" s="29"/>
      <c r="F708" s="30"/>
    </row>
    <row r="709" spans="1:6" ht="14.25" customHeight="1" x14ac:dyDescent="0.2">
      <c r="A709" s="29"/>
      <c r="B709" s="29"/>
      <c r="C709" s="29"/>
      <c r="D709" s="29"/>
      <c r="F709" s="30"/>
    </row>
    <row r="710" spans="1:6" ht="14.25" customHeight="1" x14ac:dyDescent="0.2">
      <c r="A710" s="29"/>
      <c r="B710" s="29"/>
      <c r="C710" s="29"/>
      <c r="D710" s="29"/>
      <c r="F710" s="30"/>
    </row>
    <row r="711" spans="1:6" ht="14.25" customHeight="1" x14ac:dyDescent="0.2">
      <c r="A711" s="29"/>
      <c r="B711" s="29"/>
      <c r="C711" s="29"/>
      <c r="D711" s="29"/>
      <c r="F711" s="30"/>
    </row>
    <row r="712" spans="1:6" ht="14.25" customHeight="1" x14ac:dyDescent="0.2">
      <c r="A712" s="29"/>
      <c r="B712" s="29"/>
      <c r="C712" s="29"/>
      <c r="D712" s="29"/>
      <c r="F712" s="30"/>
    </row>
    <row r="713" spans="1:6" ht="14.25" customHeight="1" x14ac:dyDescent="0.2">
      <c r="A713" s="29"/>
      <c r="B713" s="29"/>
      <c r="C713" s="29"/>
      <c r="D713" s="29"/>
      <c r="F713" s="30"/>
    </row>
    <row r="714" spans="1:6" ht="14.25" customHeight="1" x14ac:dyDescent="0.2">
      <c r="A714" s="29"/>
      <c r="B714" s="29"/>
      <c r="C714" s="29"/>
      <c r="D714" s="29"/>
      <c r="F714" s="30"/>
    </row>
    <row r="715" spans="1:6" ht="14.25" customHeight="1" x14ac:dyDescent="0.2">
      <c r="A715" s="29"/>
      <c r="B715" s="29"/>
      <c r="C715" s="29"/>
      <c r="D715" s="29"/>
      <c r="F715" s="30"/>
    </row>
    <row r="716" spans="1:6" ht="14.25" customHeight="1" x14ac:dyDescent="0.2">
      <c r="A716" s="29"/>
      <c r="B716" s="29"/>
      <c r="C716" s="29"/>
      <c r="D716" s="29"/>
      <c r="F716" s="30"/>
    </row>
    <row r="717" spans="1:6" ht="14.25" customHeight="1" x14ac:dyDescent="0.2">
      <c r="A717" s="29"/>
      <c r="B717" s="29"/>
      <c r="C717" s="29"/>
      <c r="D717" s="29"/>
      <c r="F717" s="30"/>
    </row>
    <row r="718" spans="1:6" ht="14.25" customHeight="1" x14ac:dyDescent="0.2">
      <c r="A718" s="29"/>
      <c r="B718" s="29"/>
      <c r="C718" s="29"/>
      <c r="D718" s="29"/>
      <c r="F718" s="30"/>
    </row>
    <row r="719" spans="1:6" ht="14.25" customHeight="1" x14ac:dyDescent="0.2">
      <c r="A719" s="29"/>
      <c r="B719" s="29"/>
      <c r="C719" s="29"/>
      <c r="D719" s="29"/>
      <c r="F719" s="30"/>
    </row>
    <row r="720" spans="1:6" ht="14.25" customHeight="1" x14ac:dyDescent="0.2">
      <c r="A720" s="29"/>
      <c r="B720" s="29"/>
      <c r="C720" s="29"/>
      <c r="D720" s="29"/>
      <c r="F720" s="30"/>
    </row>
    <row r="721" spans="1:6" ht="14.25" customHeight="1" x14ac:dyDescent="0.2">
      <c r="A721" s="29"/>
      <c r="B721" s="29"/>
      <c r="C721" s="29"/>
      <c r="D721" s="29"/>
      <c r="F721" s="30"/>
    </row>
    <row r="722" spans="1:6" ht="14.25" customHeight="1" x14ac:dyDescent="0.2">
      <c r="A722" s="29"/>
      <c r="B722" s="29"/>
      <c r="C722" s="29"/>
      <c r="D722" s="29"/>
      <c r="F722" s="30"/>
    </row>
    <row r="723" spans="1:6" ht="14.25" customHeight="1" x14ac:dyDescent="0.2">
      <c r="A723" s="29"/>
      <c r="B723" s="29"/>
      <c r="C723" s="29"/>
      <c r="D723" s="29"/>
      <c r="F723" s="30"/>
    </row>
    <row r="724" spans="1:6" ht="14.25" customHeight="1" x14ac:dyDescent="0.2">
      <c r="A724" s="29"/>
      <c r="B724" s="29"/>
      <c r="C724" s="29"/>
      <c r="D724" s="29"/>
      <c r="F724" s="30"/>
    </row>
    <row r="725" spans="1:6" ht="14.25" customHeight="1" x14ac:dyDescent="0.2">
      <c r="A725" s="29"/>
      <c r="B725" s="29"/>
      <c r="C725" s="29"/>
      <c r="D725" s="29"/>
      <c r="F725" s="30"/>
    </row>
    <row r="726" spans="1:6" ht="14.25" customHeight="1" x14ac:dyDescent="0.2">
      <c r="A726" s="29"/>
      <c r="B726" s="29"/>
      <c r="C726" s="29"/>
      <c r="D726" s="29"/>
      <c r="F726" s="30"/>
    </row>
    <row r="727" spans="1:6" ht="14.25" customHeight="1" x14ac:dyDescent="0.2">
      <c r="A727" s="29"/>
      <c r="B727" s="29"/>
      <c r="C727" s="29"/>
      <c r="D727" s="29"/>
      <c r="F727" s="30"/>
    </row>
    <row r="728" spans="1:6" ht="14.25" customHeight="1" x14ac:dyDescent="0.2">
      <c r="A728" s="29"/>
      <c r="B728" s="29"/>
      <c r="C728" s="29"/>
      <c r="D728" s="29"/>
      <c r="F728" s="30"/>
    </row>
    <row r="729" spans="1:6" ht="14.25" customHeight="1" x14ac:dyDescent="0.2">
      <c r="A729" s="29"/>
      <c r="B729" s="29"/>
      <c r="C729" s="29"/>
      <c r="D729" s="29"/>
      <c r="F729" s="30"/>
    </row>
    <row r="730" spans="1:6" ht="14.25" customHeight="1" x14ac:dyDescent="0.2">
      <c r="A730" s="29"/>
      <c r="B730" s="29"/>
      <c r="C730" s="29"/>
      <c r="D730" s="29"/>
      <c r="F730" s="30"/>
    </row>
    <row r="731" spans="1:6" ht="14.25" customHeight="1" x14ac:dyDescent="0.2">
      <c r="A731" s="29"/>
      <c r="B731" s="29"/>
      <c r="C731" s="29"/>
      <c r="D731" s="29"/>
      <c r="F731" s="30"/>
    </row>
    <row r="732" spans="1:6" ht="14.25" customHeight="1" x14ac:dyDescent="0.2">
      <c r="A732" s="29"/>
      <c r="B732" s="29"/>
      <c r="C732" s="29"/>
      <c r="D732" s="29"/>
      <c r="F732" s="30"/>
    </row>
    <row r="733" spans="1:6" ht="14.25" customHeight="1" x14ac:dyDescent="0.2">
      <c r="A733" s="29"/>
      <c r="B733" s="29"/>
      <c r="C733" s="29"/>
      <c r="D733" s="29"/>
      <c r="F733" s="30"/>
    </row>
    <row r="734" spans="1:6" ht="14.25" customHeight="1" x14ac:dyDescent="0.2">
      <c r="A734" s="29"/>
      <c r="B734" s="29"/>
      <c r="C734" s="29"/>
      <c r="D734" s="29"/>
      <c r="F734" s="30"/>
    </row>
    <row r="735" spans="1:6" ht="14.25" customHeight="1" x14ac:dyDescent="0.2">
      <c r="A735" s="29"/>
      <c r="B735" s="29"/>
      <c r="C735" s="29"/>
      <c r="D735" s="29"/>
      <c r="F735" s="30"/>
    </row>
    <row r="736" spans="1:6" ht="14.25" customHeight="1" x14ac:dyDescent="0.2">
      <c r="A736" s="29"/>
      <c r="B736" s="29"/>
      <c r="C736" s="29"/>
      <c r="D736" s="29"/>
      <c r="F736" s="30"/>
    </row>
    <row r="737" spans="1:6" ht="14.25" customHeight="1" x14ac:dyDescent="0.2">
      <c r="A737" s="29"/>
      <c r="B737" s="29"/>
      <c r="C737" s="29"/>
      <c r="D737" s="29"/>
      <c r="F737" s="30"/>
    </row>
    <row r="738" spans="1:6" ht="14.25" customHeight="1" x14ac:dyDescent="0.2">
      <c r="A738" s="29"/>
      <c r="B738" s="29"/>
      <c r="C738" s="29"/>
      <c r="D738" s="29"/>
      <c r="F738" s="30"/>
    </row>
    <row r="739" spans="1:6" ht="14.25" customHeight="1" x14ac:dyDescent="0.2">
      <c r="A739" s="29"/>
      <c r="B739" s="29"/>
      <c r="C739" s="29"/>
      <c r="D739" s="29"/>
      <c r="F739" s="30"/>
    </row>
    <row r="740" spans="1:6" ht="14.25" customHeight="1" x14ac:dyDescent="0.2">
      <c r="A740" s="29"/>
      <c r="B740" s="29"/>
      <c r="C740" s="29"/>
      <c r="D740" s="29"/>
      <c r="F740" s="30"/>
    </row>
    <row r="741" spans="1:6" ht="14.25" customHeight="1" x14ac:dyDescent="0.2">
      <c r="A741" s="29"/>
      <c r="B741" s="29"/>
      <c r="C741" s="29"/>
      <c r="D741" s="29"/>
      <c r="F741" s="30"/>
    </row>
    <row r="742" spans="1:6" ht="14.25" customHeight="1" x14ac:dyDescent="0.2">
      <c r="A742" s="29"/>
      <c r="B742" s="29"/>
      <c r="C742" s="29"/>
      <c r="D742" s="29"/>
      <c r="F742" s="30"/>
    </row>
    <row r="743" spans="1:6" ht="14.25" customHeight="1" x14ac:dyDescent="0.2">
      <c r="A743" s="29"/>
      <c r="B743" s="29"/>
      <c r="C743" s="29"/>
      <c r="D743" s="29"/>
      <c r="F743" s="30"/>
    </row>
    <row r="744" spans="1:6" ht="14.25" customHeight="1" x14ac:dyDescent="0.2">
      <c r="A744" s="29"/>
      <c r="B744" s="29"/>
      <c r="C744" s="29"/>
      <c r="D744" s="29"/>
      <c r="F744" s="30"/>
    </row>
    <row r="745" spans="1:6" ht="14.25" customHeight="1" x14ac:dyDescent="0.2">
      <c r="A745" s="29"/>
      <c r="B745" s="29"/>
      <c r="C745" s="29"/>
      <c r="D745" s="29"/>
      <c r="F745" s="30"/>
    </row>
    <row r="746" spans="1:6" ht="14.25" customHeight="1" x14ac:dyDescent="0.2">
      <c r="A746" s="29"/>
      <c r="B746" s="29"/>
      <c r="C746" s="29"/>
      <c r="D746" s="29"/>
      <c r="F746" s="30"/>
    </row>
    <row r="747" spans="1:6" ht="14.25" customHeight="1" x14ac:dyDescent="0.2">
      <c r="A747" s="29"/>
      <c r="B747" s="29"/>
      <c r="C747" s="29"/>
      <c r="D747" s="29"/>
      <c r="F747" s="30"/>
    </row>
    <row r="748" spans="1:6" ht="14.25" customHeight="1" x14ac:dyDescent="0.2">
      <c r="A748" s="29"/>
      <c r="B748" s="29"/>
      <c r="C748" s="29"/>
      <c r="D748" s="29"/>
      <c r="F748" s="30"/>
    </row>
    <row r="749" spans="1:6" ht="14.25" customHeight="1" x14ac:dyDescent="0.2">
      <c r="A749" s="29"/>
      <c r="B749" s="29"/>
      <c r="C749" s="29"/>
      <c r="D749" s="29"/>
      <c r="F749" s="30"/>
    </row>
    <row r="750" spans="1:6" ht="14.25" customHeight="1" x14ac:dyDescent="0.2">
      <c r="A750" s="29"/>
      <c r="B750" s="29"/>
      <c r="C750" s="29"/>
      <c r="D750" s="29"/>
      <c r="F750" s="30"/>
    </row>
    <row r="751" spans="1:6" ht="14.25" customHeight="1" x14ac:dyDescent="0.2">
      <c r="A751" s="29"/>
      <c r="B751" s="29"/>
      <c r="C751" s="29"/>
      <c r="D751" s="29"/>
      <c r="F751" s="30"/>
    </row>
    <row r="752" spans="1:6" ht="14.25" customHeight="1" x14ac:dyDescent="0.2">
      <c r="A752" s="29"/>
      <c r="B752" s="29"/>
      <c r="C752" s="29"/>
      <c r="D752" s="29"/>
      <c r="F752" s="30"/>
    </row>
    <row r="753" spans="1:6" ht="14.25" customHeight="1" x14ac:dyDescent="0.2">
      <c r="A753" s="29"/>
      <c r="B753" s="29"/>
      <c r="C753" s="29"/>
      <c r="D753" s="29"/>
      <c r="F753" s="30"/>
    </row>
    <row r="754" spans="1:6" ht="14.25" customHeight="1" x14ac:dyDescent="0.2">
      <c r="A754" s="29"/>
      <c r="B754" s="29"/>
      <c r="C754" s="29"/>
      <c r="D754" s="29"/>
      <c r="F754" s="30"/>
    </row>
    <row r="755" spans="1:6" ht="14.25" customHeight="1" x14ac:dyDescent="0.2">
      <c r="A755" s="29"/>
      <c r="B755" s="29"/>
      <c r="C755" s="29"/>
      <c r="D755" s="29"/>
      <c r="F755" s="30"/>
    </row>
    <row r="756" spans="1:6" ht="14.25" customHeight="1" x14ac:dyDescent="0.2">
      <c r="A756" s="29"/>
      <c r="B756" s="29"/>
      <c r="C756" s="29"/>
      <c r="D756" s="29"/>
      <c r="F756" s="30"/>
    </row>
    <row r="757" spans="1:6" ht="14.25" customHeight="1" x14ac:dyDescent="0.2">
      <c r="A757" s="29"/>
      <c r="B757" s="29"/>
      <c r="C757" s="29"/>
      <c r="D757" s="29"/>
      <c r="F757" s="30"/>
    </row>
    <row r="758" spans="1:6" ht="14.25" customHeight="1" x14ac:dyDescent="0.2">
      <c r="A758" s="29"/>
      <c r="B758" s="29"/>
      <c r="C758" s="29"/>
      <c r="D758" s="29"/>
      <c r="F758" s="30"/>
    </row>
    <row r="759" spans="1:6" ht="14.25" customHeight="1" x14ac:dyDescent="0.2">
      <c r="A759" s="29"/>
      <c r="B759" s="29"/>
      <c r="C759" s="29"/>
      <c r="D759" s="29"/>
      <c r="F759" s="30"/>
    </row>
    <row r="760" spans="1:6" ht="14.25" customHeight="1" x14ac:dyDescent="0.2">
      <c r="A760" s="29"/>
      <c r="B760" s="29"/>
      <c r="C760" s="29"/>
      <c r="D760" s="29"/>
      <c r="F760" s="30"/>
    </row>
    <row r="761" spans="1:6" ht="14.25" customHeight="1" x14ac:dyDescent="0.2">
      <c r="A761" s="29"/>
      <c r="B761" s="29"/>
      <c r="C761" s="29"/>
      <c r="D761" s="29"/>
      <c r="F761" s="30"/>
    </row>
    <row r="762" spans="1:6" ht="14.25" customHeight="1" x14ac:dyDescent="0.2">
      <c r="A762" s="29"/>
      <c r="B762" s="29"/>
      <c r="C762" s="29"/>
      <c r="D762" s="29"/>
      <c r="F762" s="30"/>
    </row>
    <row r="763" spans="1:6" ht="14.25" customHeight="1" x14ac:dyDescent="0.2">
      <c r="A763" s="29"/>
      <c r="B763" s="29"/>
      <c r="C763" s="29"/>
      <c r="D763" s="29"/>
      <c r="F763" s="30"/>
    </row>
    <row r="764" spans="1:6" ht="14.25" customHeight="1" x14ac:dyDescent="0.2">
      <c r="A764" s="29"/>
      <c r="B764" s="29"/>
      <c r="C764" s="29"/>
      <c r="D764" s="29"/>
      <c r="F764" s="30"/>
    </row>
    <row r="765" spans="1:6" ht="14.25" customHeight="1" x14ac:dyDescent="0.2">
      <c r="A765" s="29"/>
      <c r="B765" s="29"/>
      <c r="C765" s="29"/>
      <c r="D765" s="29"/>
      <c r="F765" s="30"/>
    </row>
    <row r="766" spans="1:6" ht="14.25" customHeight="1" x14ac:dyDescent="0.2">
      <c r="A766" s="29"/>
      <c r="B766" s="29"/>
      <c r="C766" s="29"/>
      <c r="D766" s="29"/>
      <c r="F766" s="30"/>
    </row>
    <row r="767" spans="1:6" ht="14.25" customHeight="1" x14ac:dyDescent="0.2">
      <c r="A767" s="29"/>
      <c r="B767" s="29"/>
      <c r="C767" s="29"/>
      <c r="D767" s="29"/>
      <c r="F767" s="30"/>
    </row>
    <row r="768" spans="1:6" ht="14.25" customHeight="1" x14ac:dyDescent="0.2">
      <c r="A768" s="29"/>
      <c r="B768" s="29"/>
      <c r="C768" s="29"/>
      <c r="D768" s="29"/>
      <c r="F768" s="30"/>
    </row>
    <row r="769" spans="1:6" ht="14.25" customHeight="1" x14ac:dyDescent="0.2">
      <c r="A769" s="29"/>
      <c r="B769" s="29"/>
      <c r="C769" s="29"/>
      <c r="D769" s="29"/>
      <c r="F769" s="30"/>
    </row>
    <row r="770" spans="1:6" ht="14.25" customHeight="1" x14ac:dyDescent="0.2">
      <c r="A770" s="29"/>
      <c r="B770" s="29"/>
      <c r="C770" s="29"/>
      <c r="D770" s="29"/>
      <c r="F770" s="30"/>
    </row>
    <row r="771" spans="1:6" ht="14.25" customHeight="1" x14ac:dyDescent="0.2">
      <c r="A771" s="29"/>
      <c r="B771" s="29"/>
      <c r="C771" s="29"/>
      <c r="D771" s="29"/>
      <c r="F771" s="30"/>
    </row>
    <row r="772" spans="1:6" ht="14.25" customHeight="1" x14ac:dyDescent="0.2">
      <c r="A772" s="29"/>
      <c r="B772" s="29"/>
      <c r="C772" s="29"/>
      <c r="D772" s="29"/>
      <c r="F772" s="30"/>
    </row>
    <row r="773" spans="1:6" ht="14.25" customHeight="1" x14ac:dyDescent="0.2">
      <c r="A773" s="29"/>
      <c r="B773" s="29"/>
      <c r="C773" s="29"/>
      <c r="D773" s="29"/>
      <c r="F773" s="30"/>
    </row>
    <row r="774" spans="1:6" ht="14.25" customHeight="1" x14ac:dyDescent="0.2">
      <c r="A774" s="29"/>
      <c r="B774" s="29"/>
      <c r="C774" s="29"/>
      <c r="D774" s="29"/>
      <c r="F774" s="30"/>
    </row>
    <row r="775" spans="1:6" ht="14.25" customHeight="1" x14ac:dyDescent="0.2">
      <c r="A775" s="29"/>
      <c r="B775" s="29"/>
      <c r="C775" s="29"/>
      <c r="D775" s="29"/>
      <c r="F775" s="30"/>
    </row>
    <row r="776" spans="1:6" ht="14.25" customHeight="1" x14ac:dyDescent="0.2">
      <c r="A776" s="29"/>
      <c r="B776" s="29"/>
      <c r="C776" s="29"/>
      <c r="D776" s="29"/>
      <c r="F776" s="30"/>
    </row>
    <row r="777" spans="1:6" ht="14.25" customHeight="1" x14ac:dyDescent="0.2">
      <c r="A777" s="29"/>
      <c r="B777" s="29"/>
      <c r="C777" s="29"/>
      <c r="D777" s="29"/>
      <c r="F777" s="30"/>
    </row>
    <row r="778" spans="1:6" ht="14.25" customHeight="1" x14ac:dyDescent="0.2">
      <c r="A778" s="29"/>
      <c r="B778" s="29"/>
      <c r="C778" s="29"/>
      <c r="D778" s="29"/>
      <c r="F778" s="30"/>
    </row>
    <row r="779" spans="1:6" ht="14.25" customHeight="1" x14ac:dyDescent="0.2">
      <c r="A779" s="29"/>
      <c r="B779" s="29"/>
      <c r="C779" s="29"/>
      <c r="D779" s="29"/>
      <c r="F779" s="30"/>
    </row>
    <row r="780" spans="1:6" ht="14.25" customHeight="1" x14ac:dyDescent="0.2">
      <c r="A780" s="29"/>
      <c r="B780" s="29"/>
      <c r="C780" s="29"/>
      <c r="D780" s="29"/>
      <c r="F780" s="30"/>
    </row>
    <row r="781" spans="1:6" ht="14.25" customHeight="1" x14ac:dyDescent="0.2">
      <c r="A781" s="29"/>
      <c r="B781" s="29"/>
      <c r="C781" s="29"/>
      <c r="D781" s="29"/>
      <c r="F781" s="30"/>
    </row>
    <row r="782" spans="1:6" ht="14.25" customHeight="1" x14ac:dyDescent="0.2">
      <c r="A782" s="29"/>
      <c r="B782" s="29"/>
      <c r="C782" s="29"/>
      <c r="D782" s="29"/>
      <c r="F782" s="30"/>
    </row>
    <row r="783" spans="1:6" ht="14.25" customHeight="1" x14ac:dyDescent="0.2">
      <c r="A783" s="29"/>
      <c r="B783" s="29"/>
      <c r="C783" s="29"/>
      <c r="D783" s="29"/>
      <c r="F783" s="30"/>
    </row>
    <row r="784" spans="1:6" ht="14.25" customHeight="1" x14ac:dyDescent="0.2">
      <c r="A784" s="29"/>
      <c r="B784" s="29"/>
      <c r="C784" s="29"/>
      <c r="D784" s="29"/>
      <c r="F784" s="30"/>
    </row>
    <row r="785" spans="1:6" ht="14.25" customHeight="1" x14ac:dyDescent="0.2">
      <c r="A785" s="29"/>
      <c r="B785" s="29"/>
      <c r="C785" s="29"/>
      <c r="D785" s="29"/>
      <c r="F785" s="30"/>
    </row>
    <row r="786" spans="1:6" ht="14.25" customHeight="1" x14ac:dyDescent="0.2">
      <c r="A786" s="29"/>
      <c r="B786" s="29"/>
      <c r="C786" s="29"/>
      <c r="D786" s="29"/>
      <c r="F786" s="30"/>
    </row>
    <row r="787" spans="1:6" ht="14.25" customHeight="1" x14ac:dyDescent="0.2">
      <c r="A787" s="29"/>
      <c r="B787" s="29"/>
      <c r="C787" s="29"/>
      <c r="D787" s="29"/>
      <c r="F787" s="30"/>
    </row>
    <row r="788" spans="1:6" ht="14.25" customHeight="1" x14ac:dyDescent="0.2">
      <c r="A788" s="29"/>
      <c r="B788" s="29"/>
      <c r="C788" s="29"/>
      <c r="D788" s="29"/>
      <c r="F788" s="30"/>
    </row>
    <row r="789" spans="1:6" ht="14.25" customHeight="1" x14ac:dyDescent="0.2">
      <c r="A789" s="29"/>
      <c r="B789" s="29"/>
      <c r="C789" s="29"/>
      <c r="D789" s="29"/>
      <c r="F789" s="30"/>
    </row>
    <row r="790" spans="1:6" ht="14.25" customHeight="1" x14ac:dyDescent="0.2">
      <c r="A790" s="29"/>
      <c r="B790" s="29"/>
      <c r="C790" s="29"/>
      <c r="D790" s="29"/>
      <c r="F790" s="30"/>
    </row>
    <row r="791" spans="1:6" ht="14.25" customHeight="1" x14ac:dyDescent="0.2">
      <c r="A791" s="29"/>
      <c r="B791" s="29"/>
      <c r="C791" s="29"/>
      <c r="D791" s="29"/>
      <c r="F791" s="30"/>
    </row>
    <row r="792" spans="1:6" ht="14.25" customHeight="1" x14ac:dyDescent="0.2">
      <c r="A792" s="29"/>
      <c r="B792" s="29"/>
      <c r="C792" s="29"/>
      <c r="D792" s="29"/>
      <c r="F792" s="30"/>
    </row>
    <row r="793" spans="1:6" ht="14.25" customHeight="1" x14ac:dyDescent="0.2">
      <c r="A793" s="29"/>
      <c r="B793" s="29"/>
      <c r="C793" s="29"/>
      <c r="D793" s="29"/>
      <c r="F793" s="30"/>
    </row>
    <row r="794" spans="1:6" ht="14.25" customHeight="1" x14ac:dyDescent="0.2">
      <c r="A794" s="29"/>
      <c r="B794" s="29"/>
      <c r="C794" s="29"/>
      <c r="D794" s="29"/>
      <c r="F794" s="30"/>
    </row>
    <row r="795" spans="1:6" ht="14.25" customHeight="1" x14ac:dyDescent="0.2">
      <c r="A795" s="29"/>
      <c r="B795" s="29"/>
      <c r="C795" s="29"/>
      <c r="D795" s="29"/>
      <c r="F795" s="30"/>
    </row>
    <row r="796" spans="1:6" ht="14.25" customHeight="1" x14ac:dyDescent="0.2">
      <c r="A796" s="29"/>
      <c r="B796" s="29"/>
      <c r="C796" s="29"/>
      <c r="D796" s="29"/>
      <c r="F796" s="30"/>
    </row>
    <row r="797" spans="1:6" ht="14.25" customHeight="1" x14ac:dyDescent="0.2">
      <c r="A797" s="29"/>
      <c r="B797" s="29"/>
      <c r="C797" s="29"/>
      <c r="D797" s="29"/>
      <c r="F797" s="30"/>
    </row>
    <row r="798" spans="1:6" ht="14.25" customHeight="1" x14ac:dyDescent="0.2">
      <c r="A798" s="29"/>
      <c r="B798" s="29"/>
      <c r="C798" s="29"/>
      <c r="D798" s="29"/>
      <c r="F798" s="30"/>
    </row>
    <row r="799" spans="1:6" ht="14.25" customHeight="1" x14ac:dyDescent="0.2">
      <c r="A799" s="29"/>
      <c r="B799" s="29"/>
      <c r="C799" s="29"/>
      <c r="D799" s="29"/>
      <c r="F799" s="30"/>
    </row>
    <row r="800" spans="1:6" ht="14.25" customHeight="1" x14ac:dyDescent="0.2">
      <c r="A800" s="29"/>
      <c r="B800" s="29"/>
      <c r="C800" s="29"/>
      <c r="D800" s="29"/>
      <c r="F800" s="30"/>
    </row>
    <row r="801" spans="1:6" ht="14.25" customHeight="1" x14ac:dyDescent="0.2">
      <c r="A801" s="29"/>
      <c r="B801" s="29"/>
      <c r="C801" s="29"/>
      <c r="D801" s="29"/>
      <c r="F801" s="30"/>
    </row>
    <row r="802" spans="1:6" ht="14.25" customHeight="1" x14ac:dyDescent="0.2">
      <c r="A802" s="29"/>
      <c r="B802" s="29"/>
      <c r="C802" s="29"/>
      <c r="D802" s="29"/>
      <c r="F802" s="30"/>
    </row>
    <row r="803" spans="1:6" ht="14.25" customHeight="1" x14ac:dyDescent="0.2">
      <c r="A803" s="29"/>
      <c r="B803" s="29"/>
      <c r="C803" s="29"/>
      <c r="D803" s="29"/>
      <c r="F803" s="30"/>
    </row>
    <row r="804" spans="1:6" ht="14.25" customHeight="1" x14ac:dyDescent="0.2">
      <c r="A804" s="29"/>
      <c r="B804" s="29"/>
      <c r="C804" s="29"/>
      <c r="D804" s="29"/>
      <c r="F804" s="30"/>
    </row>
    <row r="805" spans="1:6" ht="14.25" customHeight="1" x14ac:dyDescent="0.2">
      <c r="A805" s="29"/>
      <c r="B805" s="29"/>
      <c r="C805" s="29"/>
      <c r="D805" s="29"/>
      <c r="F805" s="30"/>
    </row>
    <row r="806" spans="1:6" ht="14.25" customHeight="1" x14ac:dyDescent="0.2">
      <c r="A806" s="29"/>
      <c r="B806" s="29"/>
      <c r="C806" s="29"/>
      <c r="D806" s="29"/>
      <c r="F806" s="30"/>
    </row>
    <row r="807" spans="1:6" ht="14.25" customHeight="1" x14ac:dyDescent="0.2">
      <c r="A807" s="29"/>
      <c r="B807" s="29"/>
      <c r="C807" s="29"/>
      <c r="D807" s="29"/>
      <c r="F807" s="30"/>
    </row>
    <row r="808" spans="1:6" ht="14.25" customHeight="1" x14ac:dyDescent="0.2">
      <c r="A808" s="29"/>
      <c r="B808" s="29"/>
      <c r="C808" s="29"/>
      <c r="D808" s="29"/>
      <c r="F808" s="30"/>
    </row>
    <row r="809" spans="1:6" ht="14.25" customHeight="1" x14ac:dyDescent="0.2">
      <c r="A809" s="29"/>
      <c r="B809" s="29"/>
      <c r="C809" s="29"/>
      <c r="D809" s="29"/>
      <c r="F809" s="30"/>
    </row>
    <row r="810" spans="1:6" ht="14.25" customHeight="1" x14ac:dyDescent="0.2">
      <c r="A810" s="29"/>
      <c r="B810" s="29"/>
      <c r="C810" s="29"/>
      <c r="D810" s="29"/>
      <c r="F810" s="30"/>
    </row>
    <row r="811" spans="1:6" ht="14.25" customHeight="1" x14ac:dyDescent="0.2">
      <c r="A811" s="29"/>
      <c r="B811" s="29"/>
      <c r="C811" s="29"/>
      <c r="D811" s="29"/>
      <c r="F811" s="30"/>
    </row>
    <row r="812" spans="1:6" ht="14.25" customHeight="1" x14ac:dyDescent="0.2">
      <c r="A812" s="29"/>
      <c r="B812" s="29"/>
      <c r="C812" s="29"/>
      <c r="D812" s="29"/>
      <c r="F812" s="30"/>
    </row>
    <row r="813" spans="1:6" ht="14.25" customHeight="1" x14ac:dyDescent="0.2">
      <c r="A813" s="29"/>
      <c r="B813" s="29"/>
      <c r="C813" s="29"/>
      <c r="D813" s="29"/>
      <c r="F813" s="30"/>
    </row>
    <row r="814" spans="1:6" ht="14.25" customHeight="1" x14ac:dyDescent="0.2">
      <c r="A814" s="29"/>
      <c r="B814" s="29"/>
      <c r="C814" s="29"/>
      <c r="D814" s="29"/>
      <c r="F814" s="30"/>
    </row>
    <row r="815" spans="1:6" ht="14.25" customHeight="1" x14ac:dyDescent="0.2">
      <c r="A815" s="29"/>
      <c r="B815" s="29"/>
      <c r="C815" s="29"/>
      <c r="D815" s="29"/>
      <c r="F815" s="30"/>
    </row>
    <row r="816" spans="1:6" ht="14.25" customHeight="1" x14ac:dyDescent="0.2">
      <c r="A816" s="29"/>
      <c r="B816" s="29"/>
      <c r="C816" s="29"/>
      <c r="D816" s="29"/>
      <c r="F816" s="30"/>
    </row>
    <row r="817" spans="1:6" ht="14.25" customHeight="1" x14ac:dyDescent="0.2">
      <c r="A817" s="29"/>
      <c r="B817" s="29"/>
      <c r="C817" s="29"/>
      <c r="D817" s="29"/>
      <c r="F817" s="30"/>
    </row>
    <row r="818" spans="1:6" ht="14.25" customHeight="1" x14ac:dyDescent="0.2">
      <c r="A818" s="29"/>
      <c r="B818" s="29"/>
      <c r="C818" s="29"/>
      <c r="D818" s="29"/>
      <c r="F818" s="30"/>
    </row>
    <row r="819" spans="1:6" ht="14.25" customHeight="1" x14ac:dyDescent="0.2">
      <c r="A819" s="29"/>
      <c r="B819" s="29"/>
      <c r="C819" s="29"/>
      <c r="D819" s="29"/>
      <c r="F819" s="30"/>
    </row>
    <row r="820" spans="1:6" ht="14.25" customHeight="1" x14ac:dyDescent="0.2">
      <c r="A820" s="29"/>
      <c r="B820" s="29"/>
      <c r="C820" s="29"/>
      <c r="D820" s="29"/>
      <c r="F820" s="30"/>
    </row>
    <row r="821" spans="1:6" ht="14.25" customHeight="1" x14ac:dyDescent="0.2">
      <c r="A821" s="29"/>
      <c r="B821" s="29"/>
      <c r="C821" s="29"/>
      <c r="D821" s="29"/>
      <c r="F821" s="30"/>
    </row>
    <row r="822" spans="1:6" ht="14.25" customHeight="1" x14ac:dyDescent="0.2">
      <c r="A822" s="29"/>
      <c r="B822" s="29"/>
      <c r="C822" s="29"/>
      <c r="D822" s="29"/>
      <c r="F822" s="30"/>
    </row>
    <row r="823" spans="1:6" ht="14.25" customHeight="1" x14ac:dyDescent="0.2">
      <c r="A823" s="29"/>
      <c r="B823" s="29"/>
      <c r="C823" s="29"/>
      <c r="D823" s="29"/>
      <c r="F823" s="30"/>
    </row>
    <row r="824" spans="1:6" ht="14.25" customHeight="1" x14ac:dyDescent="0.2">
      <c r="A824" s="29"/>
      <c r="B824" s="29"/>
      <c r="C824" s="29"/>
      <c r="D824" s="29"/>
      <c r="F824" s="30"/>
    </row>
    <row r="825" spans="1:6" ht="14.25" customHeight="1" x14ac:dyDescent="0.2">
      <c r="A825" s="29"/>
      <c r="B825" s="29"/>
      <c r="C825" s="29"/>
      <c r="D825" s="29"/>
      <c r="F825" s="30"/>
    </row>
    <row r="826" spans="1:6" ht="14.25" customHeight="1" x14ac:dyDescent="0.2">
      <c r="A826" s="29"/>
      <c r="B826" s="29"/>
      <c r="C826" s="29"/>
      <c r="D826" s="29"/>
      <c r="F826" s="30"/>
    </row>
    <row r="827" spans="1:6" ht="14.25" customHeight="1" x14ac:dyDescent="0.2">
      <c r="A827" s="29"/>
      <c r="B827" s="29"/>
      <c r="C827" s="29"/>
      <c r="D827" s="29"/>
      <c r="F827" s="30"/>
    </row>
    <row r="828" spans="1:6" ht="14.25" customHeight="1" x14ac:dyDescent="0.2">
      <c r="A828" s="29"/>
      <c r="B828" s="29"/>
      <c r="C828" s="29"/>
      <c r="D828" s="29"/>
      <c r="F828" s="30"/>
    </row>
    <row r="829" spans="1:6" ht="14.25" customHeight="1" x14ac:dyDescent="0.2">
      <c r="A829" s="29"/>
      <c r="B829" s="29"/>
      <c r="C829" s="29"/>
      <c r="D829" s="29"/>
      <c r="F829" s="30"/>
    </row>
    <row r="830" spans="1:6" ht="14.25" customHeight="1" x14ac:dyDescent="0.2">
      <c r="A830" s="29"/>
      <c r="B830" s="29"/>
      <c r="C830" s="29"/>
      <c r="D830" s="29"/>
      <c r="F830" s="30"/>
    </row>
    <row r="831" spans="1:6" ht="14.25" customHeight="1" x14ac:dyDescent="0.2">
      <c r="A831" s="29"/>
      <c r="B831" s="29"/>
      <c r="C831" s="29"/>
      <c r="D831" s="29"/>
      <c r="F831" s="30"/>
    </row>
    <row r="832" spans="1:6" ht="14.25" customHeight="1" x14ac:dyDescent="0.2">
      <c r="A832" s="29"/>
      <c r="B832" s="29"/>
      <c r="C832" s="29"/>
      <c r="D832" s="29"/>
      <c r="F832" s="30"/>
    </row>
    <row r="833" spans="1:6" ht="14.25" customHeight="1" x14ac:dyDescent="0.2">
      <c r="A833" s="29"/>
      <c r="B833" s="29"/>
      <c r="C833" s="29"/>
      <c r="D833" s="29"/>
      <c r="F833" s="30"/>
    </row>
    <row r="834" spans="1:6" ht="14.25" customHeight="1" x14ac:dyDescent="0.2">
      <c r="A834" s="29"/>
      <c r="B834" s="29"/>
      <c r="C834" s="29"/>
      <c r="D834" s="29"/>
      <c r="F834" s="30"/>
    </row>
    <row r="835" spans="1:6" ht="14.25" customHeight="1" x14ac:dyDescent="0.2">
      <c r="A835" s="29"/>
      <c r="B835" s="29"/>
      <c r="C835" s="29"/>
      <c r="D835" s="29"/>
      <c r="F835" s="30"/>
    </row>
    <row r="836" spans="1:6" ht="14.25" customHeight="1" x14ac:dyDescent="0.2">
      <c r="A836" s="29"/>
      <c r="B836" s="29"/>
      <c r="C836" s="29"/>
      <c r="D836" s="29"/>
      <c r="F836" s="30"/>
    </row>
    <row r="837" spans="1:6" ht="14.25" customHeight="1" x14ac:dyDescent="0.2">
      <c r="A837" s="29"/>
      <c r="B837" s="29"/>
      <c r="C837" s="29"/>
      <c r="D837" s="29"/>
      <c r="F837" s="30"/>
    </row>
    <row r="838" spans="1:6" ht="14.25" customHeight="1" x14ac:dyDescent="0.2">
      <c r="A838" s="29"/>
      <c r="B838" s="29"/>
      <c r="C838" s="29"/>
      <c r="D838" s="29"/>
      <c r="F838" s="30"/>
    </row>
    <row r="839" spans="1:6" ht="14.25" customHeight="1" x14ac:dyDescent="0.2">
      <c r="A839" s="29"/>
      <c r="B839" s="29"/>
      <c r="C839" s="29"/>
      <c r="D839" s="29"/>
      <c r="F839" s="30"/>
    </row>
    <row r="840" spans="1:6" ht="14.25" customHeight="1" x14ac:dyDescent="0.2">
      <c r="A840" s="29"/>
      <c r="B840" s="29"/>
      <c r="C840" s="29"/>
      <c r="D840" s="29"/>
      <c r="F840" s="30"/>
    </row>
    <row r="841" spans="1:6" ht="14.25" customHeight="1" x14ac:dyDescent="0.2">
      <c r="A841" s="29"/>
      <c r="B841" s="29"/>
      <c r="C841" s="29"/>
      <c r="D841" s="29"/>
      <c r="F841" s="30"/>
    </row>
    <row r="842" spans="1:6" ht="14.25" customHeight="1" x14ac:dyDescent="0.2">
      <c r="A842" s="29"/>
      <c r="B842" s="29"/>
      <c r="C842" s="29"/>
      <c r="D842" s="29"/>
      <c r="F842" s="30"/>
    </row>
    <row r="843" spans="1:6" ht="14.25" customHeight="1" x14ac:dyDescent="0.2">
      <c r="A843" s="29"/>
      <c r="B843" s="29"/>
      <c r="C843" s="29"/>
      <c r="D843" s="29"/>
      <c r="F843" s="30"/>
    </row>
    <row r="844" spans="1:6" ht="14.25" customHeight="1" x14ac:dyDescent="0.2">
      <c r="A844" s="29"/>
      <c r="B844" s="29"/>
      <c r="C844" s="29"/>
      <c r="D844" s="29"/>
      <c r="F844" s="30"/>
    </row>
    <row r="845" spans="1:6" ht="14.25" customHeight="1" x14ac:dyDescent="0.2">
      <c r="A845" s="29"/>
      <c r="B845" s="29"/>
      <c r="C845" s="29"/>
      <c r="D845" s="29"/>
      <c r="F845" s="30"/>
    </row>
    <row r="846" spans="1:6" ht="14.25" customHeight="1" x14ac:dyDescent="0.2">
      <c r="A846" s="29"/>
      <c r="B846" s="29"/>
      <c r="C846" s="29"/>
      <c r="D846" s="29"/>
      <c r="F846" s="30"/>
    </row>
    <row r="847" spans="1:6" ht="14.25" customHeight="1" x14ac:dyDescent="0.2">
      <c r="A847" s="29"/>
      <c r="B847" s="29"/>
      <c r="C847" s="29"/>
      <c r="D847" s="29"/>
      <c r="F847" s="30"/>
    </row>
    <row r="848" spans="1:6" ht="14.25" customHeight="1" x14ac:dyDescent="0.2">
      <c r="A848" s="29"/>
      <c r="B848" s="29"/>
      <c r="C848" s="29"/>
      <c r="D848" s="29"/>
      <c r="F848" s="30"/>
    </row>
    <row r="849" spans="1:6" ht="14.25" customHeight="1" x14ac:dyDescent="0.2">
      <c r="A849" s="29"/>
      <c r="B849" s="29"/>
      <c r="C849" s="29"/>
      <c r="D849" s="29"/>
      <c r="F849" s="30"/>
    </row>
    <row r="850" spans="1:6" ht="14.25" customHeight="1" x14ac:dyDescent="0.2">
      <c r="A850" s="29"/>
      <c r="B850" s="29"/>
      <c r="C850" s="29"/>
      <c r="D850" s="29"/>
      <c r="F850" s="30"/>
    </row>
    <row r="851" spans="1:6" ht="14.25" customHeight="1" x14ac:dyDescent="0.2">
      <c r="A851" s="29"/>
      <c r="B851" s="29"/>
      <c r="C851" s="29"/>
      <c r="D851" s="29"/>
      <c r="F851" s="30"/>
    </row>
    <row r="852" spans="1:6" ht="14.25" customHeight="1" x14ac:dyDescent="0.2">
      <c r="A852" s="29"/>
      <c r="B852" s="29"/>
      <c r="C852" s="29"/>
      <c r="D852" s="29"/>
      <c r="F852" s="30"/>
    </row>
    <row r="853" spans="1:6" ht="14.25" customHeight="1" x14ac:dyDescent="0.2">
      <c r="A853" s="29"/>
      <c r="B853" s="29"/>
      <c r="C853" s="29"/>
      <c r="D853" s="29"/>
      <c r="F853" s="30"/>
    </row>
    <row r="854" spans="1:6" ht="14.25" customHeight="1" x14ac:dyDescent="0.2">
      <c r="A854" s="29"/>
      <c r="B854" s="29"/>
      <c r="C854" s="29"/>
      <c r="D854" s="29"/>
      <c r="F854" s="30"/>
    </row>
    <row r="855" spans="1:6" ht="14.25" customHeight="1" x14ac:dyDescent="0.2">
      <c r="A855" s="29"/>
      <c r="B855" s="29"/>
      <c r="C855" s="29"/>
      <c r="D855" s="29"/>
      <c r="F855" s="30"/>
    </row>
    <row r="856" spans="1:6" ht="14.25" customHeight="1" x14ac:dyDescent="0.2">
      <c r="A856" s="29"/>
      <c r="B856" s="29"/>
      <c r="C856" s="29"/>
      <c r="D856" s="29"/>
      <c r="F856" s="30"/>
    </row>
    <row r="857" spans="1:6" ht="14.25" customHeight="1" x14ac:dyDescent="0.2">
      <c r="A857" s="29"/>
      <c r="B857" s="29"/>
      <c r="C857" s="29"/>
      <c r="D857" s="29"/>
      <c r="F857" s="30"/>
    </row>
    <row r="858" spans="1:6" ht="14.25" customHeight="1" x14ac:dyDescent="0.2">
      <c r="A858" s="29"/>
      <c r="B858" s="29"/>
      <c r="C858" s="29"/>
      <c r="D858" s="29"/>
      <c r="F858" s="30"/>
    </row>
    <row r="859" spans="1:6" ht="14.25" customHeight="1" x14ac:dyDescent="0.2">
      <c r="A859" s="29"/>
      <c r="B859" s="29"/>
      <c r="C859" s="29"/>
      <c r="D859" s="29"/>
      <c r="F859" s="30"/>
    </row>
    <row r="860" spans="1:6" ht="14.25" customHeight="1" x14ac:dyDescent="0.2">
      <c r="A860" s="29"/>
      <c r="B860" s="29"/>
      <c r="C860" s="29"/>
      <c r="D860" s="29"/>
      <c r="F860" s="30"/>
    </row>
    <row r="861" spans="1:6" ht="14.25" customHeight="1" x14ac:dyDescent="0.2">
      <c r="A861" s="29"/>
      <c r="B861" s="29"/>
      <c r="C861" s="29"/>
      <c r="D861" s="29"/>
      <c r="F861" s="30"/>
    </row>
    <row r="862" spans="1:6" ht="14.25" customHeight="1" x14ac:dyDescent="0.2">
      <c r="A862" s="29"/>
      <c r="B862" s="29"/>
      <c r="C862" s="29"/>
      <c r="D862" s="29"/>
      <c r="F862" s="30"/>
    </row>
    <row r="863" spans="1:6" ht="14.25" customHeight="1" x14ac:dyDescent="0.2">
      <c r="A863" s="29"/>
      <c r="B863" s="29"/>
      <c r="C863" s="29"/>
      <c r="D863" s="29"/>
      <c r="F863" s="30"/>
    </row>
    <row r="864" spans="1:6" ht="14.25" customHeight="1" x14ac:dyDescent="0.2">
      <c r="A864" s="29"/>
      <c r="B864" s="29"/>
      <c r="C864" s="29"/>
      <c r="D864" s="29"/>
      <c r="F864" s="30"/>
    </row>
    <row r="865" spans="1:6" ht="14.25" customHeight="1" x14ac:dyDescent="0.2">
      <c r="A865" s="29"/>
      <c r="B865" s="29"/>
      <c r="C865" s="29"/>
      <c r="D865" s="29"/>
      <c r="F865" s="30"/>
    </row>
    <row r="866" spans="1:6" ht="14.25" customHeight="1" x14ac:dyDescent="0.2">
      <c r="A866" s="29"/>
      <c r="B866" s="29"/>
      <c r="C866" s="29"/>
      <c r="D866" s="29"/>
      <c r="F866" s="30"/>
    </row>
    <row r="867" spans="1:6" ht="14.25" customHeight="1" x14ac:dyDescent="0.2">
      <c r="A867" s="29"/>
      <c r="B867" s="29"/>
      <c r="C867" s="29"/>
      <c r="D867" s="29"/>
      <c r="F867" s="30"/>
    </row>
    <row r="868" spans="1:6" ht="14.25" customHeight="1" x14ac:dyDescent="0.2">
      <c r="A868" s="29"/>
      <c r="B868" s="29"/>
      <c r="C868" s="29"/>
      <c r="D868" s="29"/>
      <c r="F868" s="30"/>
    </row>
    <row r="869" spans="1:6" ht="14.25" customHeight="1" x14ac:dyDescent="0.2">
      <c r="A869" s="29"/>
      <c r="B869" s="29"/>
      <c r="C869" s="29"/>
      <c r="D869" s="29"/>
      <c r="F869" s="30"/>
    </row>
    <row r="870" spans="1:6" ht="14.25" customHeight="1" x14ac:dyDescent="0.2">
      <c r="A870" s="29"/>
      <c r="B870" s="29"/>
      <c r="C870" s="29"/>
      <c r="D870" s="29"/>
      <c r="F870" s="30"/>
    </row>
    <row r="871" spans="1:6" ht="14.25" customHeight="1" x14ac:dyDescent="0.2">
      <c r="A871" s="29"/>
      <c r="B871" s="29"/>
      <c r="C871" s="29"/>
      <c r="D871" s="29"/>
      <c r="F871" s="30"/>
    </row>
    <row r="872" spans="1:6" ht="14.25" customHeight="1" x14ac:dyDescent="0.2">
      <c r="A872" s="29"/>
      <c r="B872" s="29"/>
      <c r="C872" s="29"/>
      <c r="D872" s="29"/>
      <c r="F872" s="30"/>
    </row>
    <row r="873" spans="1:6" ht="14.25" customHeight="1" x14ac:dyDescent="0.2">
      <c r="A873" s="29"/>
      <c r="B873" s="29"/>
      <c r="C873" s="29"/>
      <c r="D873" s="29"/>
      <c r="F873" s="30"/>
    </row>
    <row r="874" spans="1:6" ht="14.25" customHeight="1" x14ac:dyDescent="0.2">
      <c r="A874" s="29"/>
      <c r="B874" s="29"/>
      <c r="C874" s="29"/>
      <c r="D874" s="29"/>
      <c r="F874" s="30"/>
    </row>
    <row r="875" spans="1:6" ht="14.25" customHeight="1" x14ac:dyDescent="0.2">
      <c r="A875" s="29"/>
      <c r="B875" s="29"/>
      <c r="C875" s="29"/>
      <c r="D875" s="29"/>
      <c r="F875" s="30"/>
    </row>
    <row r="876" spans="1:6" ht="14.25" customHeight="1" x14ac:dyDescent="0.2">
      <c r="A876" s="29"/>
      <c r="B876" s="29"/>
      <c r="C876" s="29"/>
      <c r="D876" s="29"/>
      <c r="F876" s="30"/>
    </row>
    <row r="877" spans="1:6" ht="14.25" customHeight="1" x14ac:dyDescent="0.2">
      <c r="A877" s="29"/>
      <c r="B877" s="29"/>
      <c r="C877" s="29"/>
      <c r="D877" s="29"/>
      <c r="F877" s="30"/>
    </row>
    <row r="878" spans="1:6" ht="14.25" customHeight="1" x14ac:dyDescent="0.2">
      <c r="A878" s="29"/>
      <c r="B878" s="29"/>
      <c r="C878" s="29"/>
      <c r="D878" s="29"/>
      <c r="F878" s="30"/>
    </row>
    <row r="879" spans="1:6" ht="14.25" customHeight="1" x14ac:dyDescent="0.2">
      <c r="A879" s="29"/>
      <c r="B879" s="29"/>
      <c r="C879" s="29"/>
      <c r="D879" s="29"/>
      <c r="F879" s="30"/>
    </row>
    <row r="880" spans="1:6" ht="14.25" customHeight="1" x14ac:dyDescent="0.2">
      <c r="A880" s="29"/>
      <c r="B880" s="29"/>
      <c r="C880" s="29"/>
      <c r="D880" s="29"/>
      <c r="F880" s="30"/>
    </row>
    <row r="881" spans="1:6" ht="14.25" customHeight="1" x14ac:dyDescent="0.2">
      <c r="A881" s="29"/>
      <c r="B881" s="29"/>
      <c r="C881" s="29"/>
      <c r="D881" s="29"/>
      <c r="F881" s="30"/>
    </row>
    <row r="882" spans="1:6" ht="14.25" customHeight="1" x14ac:dyDescent="0.2">
      <c r="A882" s="29"/>
      <c r="B882" s="29"/>
      <c r="C882" s="29"/>
      <c r="D882" s="29"/>
      <c r="F882" s="30"/>
    </row>
    <row r="883" spans="1:6" ht="14.25" customHeight="1" x14ac:dyDescent="0.2">
      <c r="A883" s="29"/>
      <c r="B883" s="29"/>
      <c r="C883" s="29"/>
      <c r="D883" s="29"/>
      <c r="F883" s="30"/>
    </row>
    <row r="884" spans="1:6" ht="14.25" customHeight="1" x14ac:dyDescent="0.2">
      <c r="A884" s="29"/>
      <c r="B884" s="29"/>
      <c r="C884" s="29"/>
      <c r="D884" s="29"/>
      <c r="F884" s="30"/>
    </row>
    <row r="885" spans="1:6" ht="14.25" customHeight="1" x14ac:dyDescent="0.2">
      <c r="A885" s="29"/>
      <c r="B885" s="29"/>
      <c r="C885" s="29"/>
      <c r="D885" s="29"/>
      <c r="F885" s="30"/>
    </row>
    <row r="886" spans="1:6" ht="14.25" customHeight="1" x14ac:dyDescent="0.2">
      <c r="A886" s="29"/>
      <c r="B886" s="29"/>
      <c r="C886" s="29"/>
      <c r="D886" s="29"/>
      <c r="F886" s="30"/>
    </row>
    <row r="887" spans="1:6" ht="14.25" customHeight="1" x14ac:dyDescent="0.2">
      <c r="A887" s="29"/>
      <c r="B887" s="29"/>
      <c r="C887" s="29"/>
      <c r="D887" s="29"/>
      <c r="F887" s="30"/>
    </row>
    <row r="888" spans="1:6" ht="14.25" customHeight="1" x14ac:dyDescent="0.2">
      <c r="A888" s="29"/>
      <c r="B888" s="29"/>
      <c r="C888" s="29"/>
      <c r="D888" s="29"/>
      <c r="F888" s="30"/>
    </row>
    <row r="889" spans="1:6" ht="14.25" customHeight="1" x14ac:dyDescent="0.2">
      <c r="A889" s="29"/>
      <c r="B889" s="29"/>
      <c r="C889" s="29"/>
      <c r="D889" s="29"/>
      <c r="F889" s="30"/>
    </row>
    <row r="890" spans="1:6" ht="14.25" customHeight="1" x14ac:dyDescent="0.2">
      <c r="A890" s="29"/>
      <c r="B890" s="29"/>
      <c r="C890" s="29"/>
      <c r="D890" s="29"/>
      <c r="F890" s="30"/>
    </row>
    <row r="891" spans="1:6" ht="14.25" customHeight="1" x14ac:dyDescent="0.2">
      <c r="A891" s="29"/>
      <c r="B891" s="29"/>
      <c r="C891" s="29"/>
      <c r="D891" s="29"/>
      <c r="F891" s="30"/>
    </row>
    <row r="892" spans="1:6" ht="14.25" customHeight="1" x14ac:dyDescent="0.2">
      <c r="A892" s="29"/>
      <c r="B892" s="29"/>
      <c r="C892" s="29"/>
      <c r="D892" s="29"/>
      <c r="F892" s="30"/>
    </row>
    <row r="893" spans="1:6" ht="14.25" customHeight="1" x14ac:dyDescent="0.2">
      <c r="A893" s="29"/>
      <c r="B893" s="29"/>
      <c r="C893" s="29"/>
      <c r="D893" s="29"/>
      <c r="F893" s="30"/>
    </row>
    <row r="894" spans="1:6" ht="14.25" customHeight="1" x14ac:dyDescent="0.2">
      <c r="A894" s="29"/>
      <c r="B894" s="29"/>
      <c r="C894" s="29"/>
      <c r="D894" s="29"/>
      <c r="F894" s="30"/>
    </row>
    <row r="895" spans="1:6" ht="14.25" customHeight="1" x14ac:dyDescent="0.2">
      <c r="A895" s="29"/>
      <c r="B895" s="29"/>
      <c r="C895" s="29"/>
      <c r="D895" s="29"/>
      <c r="F895" s="30"/>
    </row>
    <row r="896" spans="1:6" ht="14.25" customHeight="1" x14ac:dyDescent="0.2">
      <c r="A896" s="29"/>
      <c r="B896" s="29"/>
      <c r="C896" s="29"/>
      <c r="D896" s="29"/>
      <c r="F896" s="30"/>
    </row>
    <row r="897" spans="1:6" ht="14.25" customHeight="1" x14ac:dyDescent="0.2">
      <c r="A897" s="29"/>
      <c r="B897" s="29"/>
      <c r="C897" s="29"/>
      <c r="D897" s="29"/>
      <c r="F897" s="30"/>
    </row>
    <row r="898" spans="1:6" ht="14.25" customHeight="1" x14ac:dyDescent="0.2">
      <c r="A898" s="29"/>
      <c r="B898" s="29"/>
      <c r="C898" s="29"/>
      <c r="D898" s="29"/>
      <c r="F898" s="30"/>
    </row>
    <row r="899" spans="1:6" ht="14.25" customHeight="1" x14ac:dyDescent="0.2">
      <c r="A899" s="29"/>
      <c r="B899" s="29"/>
      <c r="C899" s="29"/>
      <c r="D899" s="29"/>
      <c r="F899" s="30"/>
    </row>
    <row r="900" spans="1:6" ht="14.25" customHeight="1" x14ac:dyDescent="0.2">
      <c r="A900" s="29"/>
      <c r="B900" s="29"/>
      <c r="C900" s="29"/>
      <c r="D900" s="29"/>
      <c r="F900" s="30"/>
    </row>
    <row r="901" spans="1:6" ht="14.25" customHeight="1" x14ac:dyDescent="0.2">
      <c r="A901" s="29"/>
      <c r="B901" s="29"/>
      <c r="C901" s="29"/>
      <c r="D901" s="29"/>
      <c r="F901" s="30"/>
    </row>
    <row r="902" spans="1:6" ht="14.25" customHeight="1" x14ac:dyDescent="0.2">
      <c r="A902" s="29"/>
      <c r="B902" s="29"/>
      <c r="C902" s="29"/>
      <c r="D902" s="29"/>
      <c r="F902" s="30"/>
    </row>
    <row r="903" spans="1:6" ht="14.25" customHeight="1" x14ac:dyDescent="0.2">
      <c r="A903" s="29"/>
      <c r="B903" s="29"/>
      <c r="C903" s="29"/>
      <c r="D903" s="29"/>
      <c r="F903" s="30"/>
    </row>
    <row r="904" spans="1:6" ht="14.25" customHeight="1" x14ac:dyDescent="0.2">
      <c r="A904" s="29"/>
      <c r="B904" s="29"/>
      <c r="C904" s="29"/>
      <c r="D904" s="29"/>
      <c r="F904" s="30"/>
    </row>
    <row r="905" spans="1:6" ht="14.25" customHeight="1" x14ac:dyDescent="0.2">
      <c r="A905" s="29"/>
      <c r="B905" s="29"/>
      <c r="C905" s="29"/>
      <c r="D905" s="29"/>
      <c r="F905" s="30"/>
    </row>
    <row r="906" spans="1:6" ht="14.25" customHeight="1" x14ac:dyDescent="0.2">
      <c r="A906" s="29"/>
      <c r="B906" s="29"/>
      <c r="C906" s="29"/>
      <c r="D906" s="29"/>
      <c r="F906" s="30"/>
    </row>
    <row r="907" spans="1:6" ht="14.25" customHeight="1" x14ac:dyDescent="0.2">
      <c r="A907" s="29"/>
      <c r="B907" s="29"/>
      <c r="C907" s="29"/>
      <c r="D907" s="29"/>
      <c r="F907" s="30"/>
    </row>
    <row r="908" spans="1:6" ht="14.25" customHeight="1" x14ac:dyDescent="0.2">
      <c r="A908" s="29"/>
      <c r="B908" s="29"/>
      <c r="C908" s="29"/>
      <c r="D908" s="29"/>
      <c r="F908" s="30"/>
    </row>
    <row r="909" spans="1:6" ht="14.25" customHeight="1" x14ac:dyDescent="0.2">
      <c r="A909" s="29"/>
      <c r="B909" s="29"/>
      <c r="C909" s="29"/>
      <c r="D909" s="29"/>
      <c r="F909" s="30"/>
    </row>
    <row r="910" spans="1:6" ht="14.25" customHeight="1" x14ac:dyDescent="0.2">
      <c r="A910" s="29"/>
      <c r="B910" s="29"/>
      <c r="C910" s="29"/>
      <c r="D910" s="29"/>
      <c r="F910" s="30"/>
    </row>
    <row r="911" spans="1:6" ht="14.25" customHeight="1" x14ac:dyDescent="0.2">
      <c r="A911" s="29"/>
      <c r="B911" s="29"/>
      <c r="C911" s="29"/>
      <c r="D911" s="29"/>
      <c r="F911" s="30"/>
    </row>
    <row r="912" spans="1:6" ht="14.25" customHeight="1" x14ac:dyDescent="0.2">
      <c r="A912" s="29"/>
      <c r="B912" s="29"/>
      <c r="C912" s="29"/>
      <c r="D912" s="29"/>
      <c r="F912" s="30"/>
    </row>
    <row r="913" spans="1:6" ht="14.25" customHeight="1" x14ac:dyDescent="0.2">
      <c r="A913" s="29"/>
      <c r="B913" s="29"/>
      <c r="C913" s="29"/>
      <c r="D913" s="29"/>
      <c r="F913" s="30"/>
    </row>
    <row r="914" spans="1:6" ht="14.25" customHeight="1" x14ac:dyDescent="0.2">
      <c r="A914" s="29"/>
      <c r="B914" s="29"/>
      <c r="C914" s="29"/>
      <c r="D914" s="29"/>
      <c r="F914" s="30"/>
    </row>
    <row r="915" spans="1:6" ht="14.25" customHeight="1" x14ac:dyDescent="0.2">
      <c r="A915" s="29"/>
      <c r="B915" s="29"/>
      <c r="C915" s="29"/>
      <c r="D915" s="29"/>
      <c r="F915" s="30"/>
    </row>
    <row r="916" spans="1:6" ht="14.25" customHeight="1" x14ac:dyDescent="0.2">
      <c r="A916" s="29"/>
      <c r="B916" s="29"/>
      <c r="C916" s="29"/>
      <c r="D916" s="29"/>
      <c r="F916" s="30"/>
    </row>
    <row r="917" spans="1:6" ht="14.25" customHeight="1" x14ac:dyDescent="0.2">
      <c r="A917" s="29"/>
      <c r="B917" s="29"/>
      <c r="C917" s="29"/>
      <c r="D917" s="29"/>
      <c r="F917" s="30"/>
    </row>
    <row r="918" spans="1:6" ht="14.25" customHeight="1" x14ac:dyDescent="0.2">
      <c r="A918" s="29"/>
      <c r="B918" s="29"/>
      <c r="C918" s="29"/>
      <c r="D918" s="29"/>
      <c r="F918" s="30"/>
    </row>
    <row r="919" spans="1:6" ht="14.25" customHeight="1" x14ac:dyDescent="0.2">
      <c r="A919" s="29"/>
      <c r="B919" s="29"/>
      <c r="C919" s="29"/>
      <c r="D919" s="29"/>
      <c r="F919" s="30"/>
    </row>
    <row r="920" spans="1:6" ht="14.25" customHeight="1" x14ac:dyDescent="0.2">
      <c r="A920" s="29"/>
      <c r="B920" s="29"/>
      <c r="C920" s="29"/>
      <c r="D920" s="29"/>
      <c r="F920" s="30"/>
    </row>
    <row r="921" spans="1:6" ht="14.25" customHeight="1" x14ac:dyDescent="0.2">
      <c r="A921" s="29"/>
      <c r="B921" s="29"/>
      <c r="C921" s="29"/>
      <c r="D921" s="29"/>
      <c r="F921" s="30"/>
    </row>
    <row r="922" spans="1:6" ht="14.25" customHeight="1" x14ac:dyDescent="0.2">
      <c r="A922" s="29"/>
      <c r="B922" s="29"/>
      <c r="C922" s="29"/>
      <c r="D922" s="29"/>
      <c r="F922" s="30"/>
    </row>
    <row r="923" spans="1:6" ht="14.25" customHeight="1" x14ac:dyDescent="0.2">
      <c r="A923" s="29"/>
      <c r="B923" s="29"/>
      <c r="C923" s="29"/>
      <c r="D923" s="29"/>
      <c r="F923" s="30"/>
    </row>
    <row r="924" spans="1:6" ht="14.25" customHeight="1" x14ac:dyDescent="0.2">
      <c r="A924" s="29"/>
      <c r="B924" s="29"/>
      <c r="C924" s="29"/>
      <c r="D924" s="29"/>
      <c r="F924" s="30"/>
    </row>
    <row r="925" spans="1:6" ht="14.25" customHeight="1" x14ac:dyDescent="0.2">
      <c r="A925" s="29"/>
      <c r="B925" s="29"/>
      <c r="C925" s="29"/>
      <c r="D925" s="29"/>
      <c r="F925" s="30"/>
    </row>
    <row r="926" spans="1:6" ht="14.25" customHeight="1" x14ac:dyDescent="0.2">
      <c r="A926" s="29"/>
      <c r="B926" s="29"/>
      <c r="C926" s="29"/>
      <c r="D926" s="29"/>
      <c r="F926" s="30"/>
    </row>
    <row r="927" spans="1:6" ht="14.25" customHeight="1" x14ac:dyDescent="0.2">
      <c r="A927" s="29"/>
      <c r="B927" s="29"/>
      <c r="C927" s="29"/>
      <c r="D927" s="29"/>
      <c r="F927" s="30"/>
    </row>
    <row r="928" spans="1:6" ht="14.25" customHeight="1" x14ac:dyDescent="0.2">
      <c r="A928" s="29"/>
      <c r="B928" s="29"/>
      <c r="C928" s="29"/>
      <c r="D928" s="29"/>
      <c r="F928" s="30"/>
    </row>
    <row r="929" spans="1:6" ht="14.25" customHeight="1" x14ac:dyDescent="0.2">
      <c r="A929" s="29"/>
      <c r="B929" s="29"/>
      <c r="C929" s="29"/>
      <c r="D929" s="29"/>
      <c r="F929" s="30"/>
    </row>
    <row r="930" spans="1:6" ht="14.25" customHeight="1" x14ac:dyDescent="0.2">
      <c r="A930" s="29"/>
      <c r="B930" s="29"/>
      <c r="C930" s="29"/>
      <c r="D930" s="29"/>
      <c r="F930" s="30"/>
    </row>
    <row r="931" spans="1:6" ht="14.25" customHeight="1" x14ac:dyDescent="0.2">
      <c r="A931" s="29"/>
      <c r="B931" s="29"/>
      <c r="C931" s="29"/>
      <c r="D931" s="29"/>
      <c r="F931" s="30"/>
    </row>
    <row r="932" spans="1:6" ht="14.25" customHeight="1" x14ac:dyDescent="0.2">
      <c r="A932" s="29"/>
      <c r="B932" s="29"/>
      <c r="C932" s="29"/>
      <c r="D932" s="29"/>
      <c r="F932" s="30"/>
    </row>
    <row r="933" spans="1:6" ht="14.25" customHeight="1" x14ac:dyDescent="0.2">
      <c r="A933" s="29"/>
      <c r="B933" s="29"/>
      <c r="C933" s="29"/>
      <c r="D933" s="29"/>
      <c r="F933" s="30"/>
    </row>
    <row r="934" spans="1:6" ht="14.25" customHeight="1" x14ac:dyDescent="0.2">
      <c r="A934" s="29"/>
      <c r="B934" s="29"/>
      <c r="C934" s="29"/>
      <c r="D934" s="29"/>
      <c r="F934" s="30"/>
    </row>
    <row r="935" spans="1:6" ht="14.25" customHeight="1" x14ac:dyDescent="0.2">
      <c r="A935" s="29"/>
      <c r="B935" s="29"/>
      <c r="C935" s="29"/>
      <c r="D935" s="29"/>
      <c r="F935" s="30"/>
    </row>
    <row r="936" spans="1:6" ht="14.25" customHeight="1" x14ac:dyDescent="0.2">
      <c r="A936" s="29"/>
      <c r="B936" s="29"/>
      <c r="C936" s="29"/>
      <c r="D936" s="29"/>
      <c r="F936" s="30"/>
    </row>
    <row r="937" spans="1:6" ht="14.25" customHeight="1" x14ac:dyDescent="0.2">
      <c r="A937" s="29"/>
      <c r="B937" s="29"/>
      <c r="C937" s="29"/>
      <c r="D937" s="29"/>
      <c r="F937" s="30"/>
    </row>
    <row r="938" spans="1:6" ht="14.25" customHeight="1" x14ac:dyDescent="0.2">
      <c r="A938" s="29"/>
      <c r="B938" s="29"/>
      <c r="C938" s="29"/>
      <c r="D938" s="29"/>
      <c r="F938" s="30"/>
    </row>
    <row r="939" spans="1:6" ht="14.25" customHeight="1" x14ac:dyDescent="0.2">
      <c r="A939" s="29"/>
      <c r="B939" s="29"/>
      <c r="C939" s="29"/>
      <c r="D939" s="29"/>
      <c r="F939" s="30"/>
    </row>
    <row r="940" spans="1:6" ht="14.25" customHeight="1" x14ac:dyDescent="0.2">
      <c r="A940" s="29"/>
      <c r="B940" s="29"/>
      <c r="C940" s="29"/>
      <c r="D940" s="29"/>
      <c r="F940" s="30"/>
    </row>
    <row r="941" spans="1:6" ht="14.25" customHeight="1" x14ac:dyDescent="0.2">
      <c r="A941" s="29"/>
      <c r="B941" s="29"/>
      <c r="C941" s="29"/>
      <c r="D941" s="29"/>
      <c r="F941" s="30"/>
    </row>
    <row r="942" spans="1:6" ht="14.25" customHeight="1" x14ac:dyDescent="0.2">
      <c r="A942" s="29"/>
      <c r="B942" s="29"/>
      <c r="C942" s="29"/>
      <c r="D942" s="29"/>
      <c r="F942" s="30"/>
    </row>
    <row r="943" spans="1:6" ht="14.25" customHeight="1" x14ac:dyDescent="0.2">
      <c r="A943" s="29"/>
      <c r="B943" s="29"/>
      <c r="C943" s="29"/>
      <c r="D943" s="29"/>
      <c r="F943" s="30"/>
    </row>
    <row r="944" spans="1:6" ht="14.25" customHeight="1" x14ac:dyDescent="0.2">
      <c r="A944" s="29"/>
      <c r="B944" s="29"/>
      <c r="C944" s="29"/>
      <c r="D944" s="29"/>
      <c r="F944" s="30"/>
    </row>
    <row r="945" spans="1:6" ht="14.25" customHeight="1" x14ac:dyDescent="0.2">
      <c r="A945" s="29"/>
      <c r="B945" s="29"/>
      <c r="C945" s="29"/>
      <c r="D945" s="29"/>
      <c r="F945" s="30"/>
    </row>
    <row r="946" spans="1:6" ht="14.25" customHeight="1" x14ac:dyDescent="0.2">
      <c r="A946" s="29"/>
      <c r="B946" s="29"/>
      <c r="C946" s="29"/>
      <c r="D946" s="29"/>
      <c r="F946" s="30"/>
    </row>
    <row r="947" spans="1:6" ht="14.25" customHeight="1" x14ac:dyDescent="0.2">
      <c r="A947" s="29"/>
      <c r="B947" s="29"/>
      <c r="C947" s="29"/>
      <c r="D947" s="29"/>
      <c r="F947" s="30"/>
    </row>
    <row r="948" spans="1:6" ht="14.25" customHeight="1" x14ac:dyDescent="0.2">
      <c r="A948" s="29"/>
      <c r="B948" s="29"/>
      <c r="C948" s="29"/>
      <c r="D948" s="29"/>
      <c r="F948" s="30"/>
    </row>
    <row r="949" spans="1:6" ht="14.25" customHeight="1" x14ac:dyDescent="0.2">
      <c r="A949" s="29"/>
      <c r="B949" s="29"/>
      <c r="C949" s="29"/>
      <c r="D949" s="29"/>
      <c r="F949" s="30"/>
    </row>
    <row r="950" spans="1:6" ht="14.25" customHeight="1" x14ac:dyDescent="0.2">
      <c r="A950" s="29"/>
      <c r="B950" s="29"/>
      <c r="C950" s="29"/>
      <c r="D950" s="29"/>
      <c r="F950" s="30"/>
    </row>
    <row r="951" spans="1:6" ht="14.25" customHeight="1" x14ac:dyDescent="0.2">
      <c r="A951" s="29"/>
      <c r="B951" s="29"/>
      <c r="C951" s="29"/>
      <c r="D951" s="29"/>
      <c r="F951" s="30"/>
    </row>
    <row r="952" spans="1:6" ht="14.25" customHeight="1" x14ac:dyDescent="0.2">
      <c r="A952" s="29"/>
      <c r="B952" s="29"/>
      <c r="C952" s="29"/>
      <c r="D952" s="29"/>
      <c r="F952" s="30"/>
    </row>
  </sheetData>
  <mergeCells count="142">
    <mergeCell ref="AA13:AA18"/>
    <mergeCell ref="AB13:AB18"/>
    <mergeCell ref="AC13:AC18"/>
    <mergeCell ref="AD13:AD18"/>
    <mergeCell ref="A1:C5"/>
    <mergeCell ref="D1:N2"/>
    <mergeCell ref="D3:N3"/>
    <mergeCell ref="D4:N4"/>
    <mergeCell ref="D5:F5"/>
    <mergeCell ref="G5:I5"/>
    <mergeCell ref="J5:N5"/>
    <mergeCell ref="Q11:Q12"/>
    <mergeCell ref="R11:W11"/>
    <mergeCell ref="A11:A12"/>
    <mergeCell ref="B11:B12"/>
    <mergeCell ref="C11:C12"/>
    <mergeCell ref="D11:D12"/>
    <mergeCell ref="E11:E12"/>
    <mergeCell ref="F11:F12"/>
    <mergeCell ref="G11:G12"/>
    <mergeCell ref="A10:G10"/>
    <mergeCell ref="H10:N10"/>
    <mergeCell ref="A7:B7"/>
    <mergeCell ref="C7:N7"/>
    <mergeCell ref="X11:X12"/>
    <mergeCell ref="Y11:Y12"/>
    <mergeCell ref="Z11:Z12"/>
    <mergeCell ref="O10:W10"/>
    <mergeCell ref="X10:AD10"/>
    <mergeCell ref="C9:N9"/>
    <mergeCell ref="AA11:AA12"/>
    <mergeCell ref="AB11:AB12"/>
    <mergeCell ref="AC11:AC12"/>
    <mergeCell ref="AD11:AD12"/>
    <mergeCell ref="H11:H12"/>
    <mergeCell ref="I11:I12"/>
    <mergeCell ref="O7:Q7"/>
    <mergeCell ref="A8:B8"/>
    <mergeCell ref="C8:N8"/>
    <mergeCell ref="A9:B9"/>
    <mergeCell ref="A19:A24"/>
    <mergeCell ref="B19:B24"/>
    <mergeCell ref="B25:AM25"/>
    <mergeCell ref="AG11:AG12"/>
    <mergeCell ref="O11:O12"/>
    <mergeCell ref="P11:P12"/>
    <mergeCell ref="J13:J18"/>
    <mergeCell ref="K13:K18"/>
    <mergeCell ref="L13:L18"/>
    <mergeCell ref="M13:M18"/>
    <mergeCell ref="N13:N18"/>
    <mergeCell ref="J11:J12"/>
    <mergeCell ref="K11:K12"/>
    <mergeCell ref="L11:L12"/>
    <mergeCell ref="M11:M12"/>
    <mergeCell ref="N11:N12"/>
    <mergeCell ref="O13:O18"/>
    <mergeCell ref="P13:P18"/>
    <mergeCell ref="Q13:Q18"/>
    <mergeCell ref="R13:R18"/>
    <mergeCell ref="S13:S18"/>
    <mergeCell ref="T13:T18"/>
    <mergeCell ref="U13:U18"/>
    <mergeCell ref="V13:V18"/>
    <mergeCell ref="A13:A18"/>
    <mergeCell ref="B13:B18"/>
    <mergeCell ref="C13:C18"/>
    <mergeCell ref="D13:D18"/>
    <mergeCell ref="E13:E18"/>
    <mergeCell ref="F13:F18"/>
    <mergeCell ref="G13:G18"/>
    <mergeCell ref="H13:H18"/>
    <mergeCell ref="I13:I18"/>
    <mergeCell ref="L19:L24"/>
    <mergeCell ref="M19:M24"/>
    <mergeCell ref="N19:N24"/>
    <mergeCell ref="C19:C24"/>
    <mergeCell ref="D19:D24"/>
    <mergeCell ref="E19:E24"/>
    <mergeCell ref="F19:F24"/>
    <mergeCell ref="G19:G24"/>
    <mergeCell ref="H19:H24"/>
    <mergeCell ref="I19:I24"/>
    <mergeCell ref="J19:J24"/>
    <mergeCell ref="K19:K24"/>
    <mergeCell ref="AN10:AP10"/>
    <mergeCell ref="AN11:AN12"/>
    <mergeCell ref="AO11:AO12"/>
    <mergeCell ref="AP11:AP12"/>
    <mergeCell ref="AE13:AE18"/>
    <mergeCell ref="AF13:AF18"/>
    <mergeCell ref="AG13:AG18"/>
    <mergeCell ref="AK11:AK12"/>
    <mergeCell ref="AL11:AL12"/>
    <mergeCell ref="AK10:AM10"/>
    <mergeCell ref="AM11:AM12"/>
    <mergeCell ref="AH10:AJ10"/>
    <mergeCell ref="AH11:AH12"/>
    <mergeCell ref="AI11:AI12"/>
    <mergeCell ref="AJ11:AJ12"/>
    <mergeCell ref="AE10:AG10"/>
    <mergeCell ref="AK13:AK18"/>
    <mergeCell ref="AL13:AL18"/>
    <mergeCell ref="AM13:AM18"/>
    <mergeCell ref="AN13:AN18"/>
    <mergeCell ref="AO13:AO18"/>
    <mergeCell ref="AP13:AP18"/>
    <mergeCell ref="AE11:AE12"/>
    <mergeCell ref="AF11:AF12"/>
    <mergeCell ref="AH13:AH18"/>
    <mergeCell ref="AI13:AI18"/>
    <mergeCell ref="AJ13:AJ18"/>
    <mergeCell ref="P19:P24"/>
    <mergeCell ref="O19:O24"/>
    <mergeCell ref="Q19:Q24"/>
    <mergeCell ref="R19:R24"/>
    <mergeCell ref="S19:S24"/>
    <mergeCell ref="T19:T24"/>
    <mergeCell ref="U19:U24"/>
    <mergeCell ref="V19:V24"/>
    <mergeCell ref="W19:W24"/>
    <mergeCell ref="Y19:Y24"/>
    <mergeCell ref="Z19:Z24"/>
    <mergeCell ref="AA19:AA24"/>
    <mergeCell ref="AB19:AB24"/>
    <mergeCell ref="AC19:AC24"/>
    <mergeCell ref="AD19:AD24"/>
    <mergeCell ref="AE19:AE24"/>
    <mergeCell ref="AF19:AF24"/>
    <mergeCell ref="AG19:AG24"/>
    <mergeCell ref="W13:W18"/>
    <mergeCell ref="Y13:Y18"/>
    <mergeCell ref="Z13:Z18"/>
    <mergeCell ref="AP19:AP24"/>
    <mergeCell ref="AO19:AO24"/>
    <mergeCell ref="AN19:AN24"/>
    <mergeCell ref="AM19:AM24"/>
    <mergeCell ref="AL19:AL24"/>
    <mergeCell ref="AK19:AK24"/>
    <mergeCell ref="AJ19:AJ24"/>
    <mergeCell ref="AI19:AI24"/>
    <mergeCell ref="AH19:AH24"/>
  </mergeCells>
  <conditionalFormatting sqref="H13 H19">
    <cfRule type="cellIs" dxfId="46" priority="14" operator="equal">
      <formula>"Muy Alta"</formula>
    </cfRule>
    <cfRule type="cellIs" dxfId="45" priority="15" operator="equal">
      <formula>"Alta"</formula>
    </cfRule>
    <cfRule type="cellIs" dxfId="44" priority="16" operator="equal">
      <formula>"Media"</formula>
    </cfRule>
    <cfRule type="cellIs" dxfId="43" priority="17" operator="equal">
      <formula>"Baja"</formula>
    </cfRule>
    <cfRule type="cellIs" dxfId="42" priority="18" operator="equal">
      <formula>"Muy Baja"</formula>
    </cfRule>
  </conditionalFormatting>
  <conditionalFormatting sqref="K13:K24">
    <cfRule type="containsText" dxfId="41" priority="32" operator="containsText" text="❌">
      <formula>NOT(ISERROR(SEARCH(("❌"),(K13))))</formula>
    </cfRule>
  </conditionalFormatting>
  <conditionalFormatting sqref="L13 L19">
    <cfRule type="cellIs" dxfId="40" priority="1" operator="equal">
      <formula>"Catastrófico"</formula>
    </cfRule>
    <cfRule type="cellIs" dxfId="39" priority="2" operator="equal">
      <formula>"Mayor"</formula>
    </cfRule>
    <cfRule type="cellIs" dxfId="38" priority="3" operator="equal">
      <formula>"Moderado"</formula>
    </cfRule>
    <cfRule type="cellIs" dxfId="37" priority="4" operator="equal">
      <formula>"Menor"</formula>
    </cfRule>
    <cfRule type="cellIs" dxfId="36" priority="5" operator="equal">
      <formula>"Leve"</formula>
    </cfRule>
  </conditionalFormatting>
  <conditionalFormatting sqref="N13">
    <cfRule type="cellIs" dxfId="35" priority="6" operator="equal">
      <formula>"Extremo"</formula>
    </cfRule>
    <cfRule type="cellIs" dxfId="34" priority="7" operator="equal">
      <formula>"Alto"</formula>
    </cfRule>
    <cfRule type="cellIs" dxfId="33" priority="8" operator="equal">
      <formula>"Moderado"</formula>
    </cfRule>
    <cfRule type="cellIs" dxfId="32" priority="9" operator="equal">
      <formula>"Bajo"</formula>
    </cfRule>
  </conditionalFormatting>
  <conditionalFormatting sqref="N19">
    <cfRule type="cellIs" dxfId="31" priority="10" operator="equal">
      <formula>"Extremo"</formula>
    </cfRule>
    <cfRule type="cellIs" dxfId="30" priority="11" operator="equal">
      <formula>"Alto"</formula>
    </cfRule>
    <cfRule type="cellIs" dxfId="29" priority="12" operator="equal">
      <formula>"Moderado"</formula>
    </cfRule>
    <cfRule type="cellIs" dxfId="28" priority="13" operator="equal">
      <formula>"Bajo"</formula>
    </cfRule>
  </conditionalFormatting>
  <conditionalFormatting sqref="Y13">
    <cfRule type="cellIs" dxfId="27" priority="47" operator="equal">
      <formula>"Muy Alta"</formula>
    </cfRule>
    <cfRule type="cellIs" dxfId="26" priority="48" operator="equal">
      <formula>"Alta"</formula>
    </cfRule>
    <cfRule type="cellIs" dxfId="25" priority="49" operator="equal">
      <formula>"Media"</formula>
    </cfRule>
    <cfRule type="cellIs" dxfId="24" priority="50" operator="equal">
      <formula>"Baja"</formula>
    </cfRule>
    <cfRule type="cellIs" dxfId="23" priority="51" operator="equal">
      <formula>"Muy Baja"</formula>
    </cfRule>
  </conditionalFormatting>
  <conditionalFormatting sqref="Y19">
    <cfRule type="cellIs" dxfId="22" priority="70" operator="equal">
      <formula>"Muy Alta"</formula>
    </cfRule>
    <cfRule type="cellIs" dxfId="21" priority="71" operator="equal">
      <formula>"Alta"</formula>
    </cfRule>
    <cfRule type="cellIs" dxfId="20" priority="72" operator="equal">
      <formula>"Media"</formula>
    </cfRule>
    <cfRule type="cellIs" dxfId="19" priority="73" operator="equal">
      <formula>"Baja"</formula>
    </cfRule>
    <cfRule type="cellIs" dxfId="18" priority="74" operator="equal">
      <formula>"Muy Baja"</formula>
    </cfRule>
  </conditionalFormatting>
  <conditionalFormatting sqref="AA13">
    <cfRule type="cellIs" dxfId="17" priority="52" operator="equal">
      <formula>"Catastrófico"</formula>
    </cfRule>
    <cfRule type="cellIs" dxfId="16" priority="53" operator="equal">
      <formula>"Mayor"</formula>
    </cfRule>
    <cfRule type="cellIs" dxfId="15" priority="54" operator="equal">
      <formula>"Moderado"</formula>
    </cfRule>
    <cfRule type="cellIs" dxfId="14" priority="55" operator="equal">
      <formula>"Menor"</formula>
    </cfRule>
    <cfRule type="cellIs" dxfId="13" priority="56" operator="equal">
      <formula>"Leve"</formula>
    </cfRule>
  </conditionalFormatting>
  <conditionalFormatting sqref="AA19">
    <cfRule type="cellIs" dxfId="12" priority="75" operator="equal">
      <formula>"Catastrófico"</formula>
    </cfRule>
    <cfRule type="cellIs" dxfId="11" priority="76" operator="equal">
      <formula>"Mayor"</formula>
    </cfRule>
    <cfRule type="cellIs" dxfId="10" priority="77" operator="equal">
      <formula>"Moderado"</formula>
    </cfRule>
    <cfRule type="cellIs" dxfId="9" priority="78" operator="equal">
      <formula>"Menor"</formula>
    </cfRule>
    <cfRule type="cellIs" dxfId="8" priority="79" operator="equal">
      <formula>"Leve"</formula>
    </cfRule>
  </conditionalFormatting>
  <conditionalFormatting sqref="AC13">
    <cfRule type="cellIs" dxfId="7" priority="57" operator="equal">
      <formula>"Extremo"</formula>
    </cfRule>
    <cfRule type="cellIs" dxfId="6" priority="58" operator="equal">
      <formula>"Alto"</formula>
    </cfRule>
    <cfRule type="cellIs" dxfId="5" priority="59" operator="equal">
      <formula>"Moderado"</formula>
    </cfRule>
    <cfRule type="cellIs" dxfId="4" priority="60" operator="equal">
      <formula>"Bajo"</formula>
    </cfRule>
  </conditionalFormatting>
  <conditionalFormatting sqref="AC19">
    <cfRule type="cellIs" dxfId="3" priority="80" operator="equal">
      <formula>"Extremo"</formula>
    </cfRule>
    <cfRule type="cellIs" dxfId="2" priority="81" operator="equal">
      <formula>"Alto"</formula>
    </cfRule>
    <cfRule type="cellIs" dxfId="1" priority="82" operator="equal">
      <formula>"Moderado"</formula>
    </cfRule>
    <cfRule type="cellIs" dxfId="0" priority="83" operator="equal">
      <formula>"Bajo"</formula>
    </cfRule>
  </conditionalFormatting>
  <pageMargins left="0.70866141732283472" right="0.70866141732283472" top="0.74803149606299213" bottom="0.74803149606299213" header="0" footer="0"/>
  <pageSetup paperSize="41" scale="25"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zoomScale="25" zoomScaleNormal="25" workbookViewId="0"/>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78" t="s">
        <v>116</v>
      </c>
      <c r="C2" s="144"/>
      <c r="D2" s="144"/>
      <c r="E2" s="144"/>
      <c r="F2" s="144"/>
      <c r="G2" s="144"/>
      <c r="H2" s="144"/>
      <c r="I2" s="144"/>
      <c r="J2" s="279" t="s">
        <v>15</v>
      </c>
      <c r="K2" s="280"/>
      <c r="L2" s="280"/>
      <c r="M2" s="280"/>
      <c r="N2" s="280"/>
      <c r="O2" s="280"/>
      <c r="P2" s="280"/>
      <c r="Q2" s="280"/>
      <c r="R2" s="280"/>
      <c r="S2" s="280"/>
      <c r="T2" s="280"/>
      <c r="U2" s="280"/>
      <c r="V2" s="280"/>
      <c r="W2" s="280"/>
      <c r="X2" s="280"/>
      <c r="Y2" s="280"/>
      <c r="Z2" s="280"/>
      <c r="AA2" s="280"/>
      <c r="AB2" s="280"/>
      <c r="AC2" s="280"/>
      <c r="AD2" s="280"/>
      <c r="AE2" s="280"/>
      <c r="AF2" s="280"/>
      <c r="AG2" s="280"/>
      <c r="AH2" s="280"/>
      <c r="AI2" s="280"/>
      <c r="AJ2" s="280"/>
      <c r="AK2" s="280"/>
      <c r="AL2" s="280"/>
      <c r="AM2" s="262"/>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44"/>
      <c r="C3" s="144"/>
      <c r="D3" s="144"/>
      <c r="E3" s="144"/>
      <c r="F3" s="144"/>
      <c r="G3" s="144"/>
      <c r="H3" s="144"/>
      <c r="I3" s="144"/>
      <c r="J3" s="281"/>
      <c r="K3" s="144"/>
      <c r="L3" s="144"/>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282"/>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44"/>
      <c r="C4" s="144"/>
      <c r="D4" s="144"/>
      <c r="E4" s="144"/>
      <c r="F4" s="144"/>
      <c r="G4" s="144"/>
      <c r="H4" s="144"/>
      <c r="I4" s="144"/>
      <c r="J4" s="251"/>
      <c r="K4" s="283"/>
      <c r="L4" s="283"/>
      <c r="M4" s="283"/>
      <c r="N4" s="283"/>
      <c r="O4" s="283"/>
      <c r="P4" s="283"/>
      <c r="Q4" s="283"/>
      <c r="R4" s="283"/>
      <c r="S4" s="283"/>
      <c r="T4" s="283"/>
      <c r="U4" s="283"/>
      <c r="V4" s="283"/>
      <c r="W4" s="283"/>
      <c r="X4" s="283"/>
      <c r="Y4" s="283"/>
      <c r="Z4" s="283"/>
      <c r="AA4" s="283"/>
      <c r="AB4" s="283"/>
      <c r="AC4" s="283"/>
      <c r="AD4" s="283"/>
      <c r="AE4" s="283"/>
      <c r="AF4" s="283"/>
      <c r="AG4" s="283"/>
      <c r="AH4" s="283"/>
      <c r="AI4" s="283"/>
      <c r="AJ4" s="283"/>
      <c r="AK4" s="283"/>
      <c r="AL4" s="283"/>
      <c r="AM4" s="255"/>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84" t="s">
        <v>117</v>
      </c>
      <c r="C6" s="280"/>
      <c r="D6" s="250"/>
      <c r="E6" s="269" t="s">
        <v>118</v>
      </c>
      <c r="F6" s="270"/>
      <c r="G6" s="270"/>
      <c r="H6" s="270"/>
      <c r="I6" s="256"/>
      <c r="J6" s="257" t="str">
        <f>IF(AND('Mapa final'!$H$13="Muy Alta",'Mapa final'!$L$13="Leve"),CONCATENATE("R",'Mapa final'!$A$13),"")</f>
        <v/>
      </c>
      <c r="K6" s="254"/>
      <c r="L6" s="259" t="str">
        <f>IF(AND('Mapa final'!$H$19="Muy Alta",'Mapa final'!$L$19="Leve"),CONCATENATE("R",'Mapa final'!$A$19),"")</f>
        <v/>
      </c>
      <c r="M6" s="254"/>
      <c r="N6" s="259" t="e">
        <f>IF(AND('Mapa final'!#REF!="Muy Alta",'Mapa final'!#REF!="Leve"),CONCATENATE("R",'Mapa final'!#REF!),"")</f>
        <v>#REF!</v>
      </c>
      <c r="O6" s="256"/>
      <c r="P6" s="257" t="str">
        <f>IF(AND('Mapa final'!$H$13="Muy Alta",'Mapa final'!$L$13="Menor"),CONCATENATE("R",'Mapa final'!$A$13),"")</f>
        <v/>
      </c>
      <c r="Q6" s="254"/>
      <c r="R6" s="259" t="str">
        <f>IF(AND('Mapa final'!$H$19="Muy Alta",'Mapa final'!$L$19="Menor"),CONCATENATE("R",'Mapa final'!$A$19),"")</f>
        <v/>
      </c>
      <c r="S6" s="254"/>
      <c r="T6" s="259" t="e">
        <f>IF(AND('Mapa final'!#REF!="Muy Alta",'Mapa final'!#REF!="Menor"),CONCATENATE("R",'Mapa final'!#REF!),"")</f>
        <v>#REF!</v>
      </c>
      <c r="U6" s="256"/>
      <c r="V6" s="257" t="str">
        <f>IF(AND('Mapa final'!$H$13="Muy Alta",'Mapa final'!$L$13="Moderado"),CONCATENATE("R",'Mapa final'!$A$13),"")</f>
        <v/>
      </c>
      <c r="W6" s="254"/>
      <c r="X6" s="259" t="str">
        <f>IF(AND('Mapa final'!$H$19="Muy Alta",'Mapa final'!$L$19="Moderado"),CONCATENATE("R",'Mapa final'!$A$19),"")</f>
        <v/>
      </c>
      <c r="Y6" s="254"/>
      <c r="Z6" s="259" t="e">
        <f>IF(AND('Mapa final'!#REF!="Muy Alta",'Mapa final'!#REF!="Moderado"),CONCATENATE("R",'Mapa final'!#REF!),"")</f>
        <v>#REF!</v>
      </c>
      <c r="AA6" s="256"/>
      <c r="AB6" s="257" t="str">
        <f>IF(AND('Mapa final'!$H$13="Muy Alta",'Mapa final'!$L$13="Mayor"),CONCATENATE("R",'Mapa final'!$A$13),"")</f>
        <v/>
      </c>
      <c r="AC6" s="254"/>
      <c r="AD6" s="259" t="str">
        <f>IF(AND('Mapa final'!$H$19="Muy Alta",'Mapa final'!$L$19="Mayor"),CONCATENATE("R",'Mapa final'!$A$19),"")</f>
        <v/>
      </c>
      <c r="AE6" s="254"/>
      <c r="AF6" s="259" t="e">
        <f>IF(AND('Mapa final'!#REF!="Muy Alta",'Mapa final'!#REF!="Mayor"),CONCATENATE("R",'Mapa final'!#REF!),"")</f>
        <v>#REF!</v>
      </c>
      <c r="AG6" s="256"/>
      <c r="AH6" s="276" t="str">
        <f>IF(AND('Mapa final'!$H$13="Muy Alta",'Mapa final'!$L$13="Catastrófico"),CONCATENATE("R",'Mapa final'!$A$13),"")</f>
        <v/>
      </c>
      <c r="AI6" s="254"/>
      <c r="AJ6" s="260" t="str">
        <f>IF(AND('Mapa final'!$H$19="Muy Alta",'Mapa final'!$L$19="Catastrófico"),CONCATENATE("R",'Mapa final'!$A$19),"")</f>
        <v/>
      </c>
      <c r="AK6" s="254"/>
      <c r="AL6" s="260" t="e">
        <f>IF(AND('Mapa final'!#REF!="Muy Alta",'Mapa final'!#REF!="Catastrófico"),CONCATENATE("R",'Mapa final'!#REF!),"")</f>
        <v>#REF!</v>
      </c>
      <c r="AM6" s="256"/>
      <c r="AO6" s="287" t="s">
        <v>119</v>
      </c>
      <c r="AP6" s="288"/>
      <c r="AQ6" s="288"/>
      <c r="AR6" s="288"/>
      <c r="AS6" s="288"/>
      <c r="AT6" s="289"/>
      <c r="AU6" s="1"/>
      <c r="AV6" s="1"/>
      <c r="AW6" s="1"/>
      <c r="AX6" s="1"/>
      <c r="AY6" s="1"/>
      <c r="AZ6" s="1"/>
      <c r="BA6" s="1"/>
      <c r="BB6" s="1"/>
      <c r="BC6" s="1"/>
      <c r="BD6" s="1"/>
      <c r="BE6" s="1"/>
      <c r="BF6" s="1"/>
      <c r="BG6" s="1"/>
      <c r="BH6" s="1"/>
      <c r="BI6" s="1"/>
    </row>
    <row r="7" spans="1:61" ht="15" customHeight="1" x14ac:dyDescent="0.25">
      <c r="A7" s="1"/>
      <c r="B7" s="281"/>
      <c r="C7" s="144"/>
      <c r="D7" s="145"/>
      <c r="E7" s="156"/>
      <c r="F7" s="144"/>
      <c r="G7" s="144"/>
      <c r="H7" s="144"/>
      <c r="I7" s="145"/>
      <c r="J7" s="258"/>
      <c r="K7" s="255"/>
      <c r="L7" s="251"/>
      <c r="M7" s="255"/>
      <c r="N7" s="251"/>
      <c r="O7" s="252"/>
      <c r="P7" s="258"/>
      <c r="Q7" s="255"/>
      <c r="R7" s="251"/>
      <c r="S7" s="255"/>
      <c r="T7" s="251"/>
      <c r="U7" s="252"/>
      <c r="V7" s="258"/>
      <c r="W7" s="255"/>
      <c r="X7" s="251"/>
      <c r="Y7" s="255"/>
      <c r="Z7" s="251"/>
      <c r="AA7" s="252"/>
      <c r="AB7" s="258"/>
      <c r="AC7" s="255"/>
      <c r="AD7" s="251"/>
      <c r="AE7" s="255"/>
      <c r="AF7" s="251"/>
      <c r="AG7" s="252"/>
      <c r="AH7" s="258"/>
      <c r="AI7" s="255"/>
      <c r="AJ7" s="251"/>
      <c r="AK7" s="255"/>
      <c r="AL7" s="251"/>
      <c r="AM7" s="252"/>
      <c r="AN7" s="1"/>
      <c r="AO7" s="290"/>
      <c r="AP7" s="144"/>
      <c r="AQ7" s="144"/>
      <c r="AR7" s="144"/>
      <c r="AS7" s="144"/>
      <c r="AT7" s="291"/>
      <c r="AU7" s="1"/>
      <c r="AV7" s="1"/>
      <c r="AW7" s="1"/>
      <c r="AX7" s="1"/>
      <c r="AY7" s="1"/>
      <c r="AZ7" s="1"/>
      <c r="BA7" s="1"/>
      <c r="BB7" s="1"/>
      <c r="BC7" s="1"/>
      <c r="BD7" s="1"/>
      <c r="BE7" s="1"/>
      <c r="BF7" s="1"/>
      <c r="BG7" s="1"/>
      <c r="BH7" s="1"/>
      <c r="BI7" s="1"/>
    </row>
    <row r="8" spans="1:61" ht="15" customHeight="1" x14ac:dyDescent="0.25">
      <c r="A8" s="1"/>
      <c r="B8" s="281"/>
      <c r="C8" s="144"/>
      <c r="D8" s="145"/>
      <c r="E8" s="156"/>
      <c r="F8" s="144"/>
      <c r="G8" s="144"/>
      <c r="H8" s="144"/>
      <c r="I8" s="145"/>
      <c r="J8" s="264" t="e">
        <f>IF(AND('Mapa final'!#REF!="Muy Alta",'Mapa final'!#REF!="Leve"),CONCATENATE("R",'Mapa final'!#REF!),"")</f>
        <v>#REF!</v>
      </c>
      <c r="K8" s="262"/>
      <c r="L8" s="265" t="e">
        <f>IF(AND('Mapa final'!#REF!="Muy Alta",'Mapa final'!#REF!="Leve"),CONCATENATE("R",'Mapa final'!#REF!),"")</f>
        <v>#REF!</v>
      </c>
      <c r="M8" s="262"/>
      <c r="N8" s="265" t="e">
        <f>IF(AND('Mapa final'!#REF!="Muy Alta",'Mapa final'!#REF!="Leve"),CONCATENATE("R",'Mapa final'!#REF!),"")</f>
        <v>#REF!</v>
      </c>
      <c r="O8" s="250"/>
      <c r="P8" s="264" t="e">
        <f>IF(AND('Mapa final'!#REF!="Muy Alta",'Mapa final'!#REF!="Menor"),CONCATENATE("R",'Mapa final'!#REF!),"")</f>
        <v>#REF!</v>
      </c>
      <c r="Q8" s="262"/>
      <c r="R8" s="265" t="e">
        <f>IF(AND('Mapa final'!#REF!="Muy Alta",'Mapa final'!#REF!="Menor"),CONCATENATE("R",'Mapa final'!#REF!),"")</f>
        <v>#REF!</v>
      </c>
      <c r="S8" s="262"/>
      <c r="T8" s="265" t="e">
        <f>IF(AND('Mapa final'!#REF!="Muy Alta",'Mapa final'!#REF!="Menor"),CONCATENATE("R",'Mapa final'!#REF!),"")</f>
        <v>#REF!</v>
      </c>
      <c r="U8" s="250"/>
      <c r="V8" s="264" t="e">
        <f>IF(AND('Mapa final'!#REF!="Muy Alta",'Mapa final'!#REF!="Moderado"),CONCATENATE("R",'Mapa final'!#REF!),"")</f>
        <v>#REF!</v>
      </c>
      <c r="W8" s="262"/>
      <c r="X8" s="265" t="e">
        <f>IF(AND('Mapa final'!#REF!="Muy Alta",'Mapa final'!#REF!="Moderado"),CONCATENATE("R",'Mapa final'!#REF!),"")</f>
        <v>#REF!</v>
      </c>
      <c r="Y8" s="262"/>
      <c r="Z8" s="265" t="e">
        <f>IF(AND('Mapa final'!#REF!="Muy Alta",'Mapa final'!#REF!="Moderado"),CONCATENATE("R",'Mapa final'!#REF!),"")</f>
        <v>#REF!</v>
      </c>
      <c r="AA8" s="250"/>
      <c r="AB8" s="264" t="e">
        <f>IF(AND('Mapa final'!#REF!="Muy Alta",'Mapa final'!#REF!="Mayor"),CONCATENATE("R",'Mapa final'!#REF!),"")</f>
        <v>#REF!</v>
      </c>
      <c r="AC8" s="262"/>
      <c r="AD8" s="265" t="e">
        <f>IF(AND('Mapa final'!#REF!="Muy Alta",'Mapa final'!#REF!="Mayor"),CONCATENATE("R",'Mapa final'!#REF!),"")</f>
        <v>#REF!</v>
      </c>
      <c r="AE8" s="262"/>
      <c r="AF8" s="265" t="e">
        <f>IF(AND('Mapa final'!#REF!="Muy Alta",'Mapa final'!#REF!="Mayor"),CONCATENATE("R",'Mapa final'!#REF!),"")</f>
        <v>#REF!</v>
      </c>
      <c r="AG8" s="250"/>
      <c r="AH8" s="266" t="e">
        <f>IF(AND('Mapa final'!#REF!="Muy Alta",'Mapa final'!#REF!="Catastrófico"),CONCATENATE("R",'Mapa final'!#REF!),"")</f>
        <v>#REF!</v>
      </c>
      <c r="AI8" s="262"/>
      <c r="AJ8" s="267" t="e">
        <f>IF(AND('Mapa final'!#REF!="Muy Alta",'Mapa final'!#REF!="Catastrófico"),CONCATENATE("R",'Mapa final'!#REF!),"")</f>
        <v>#REF!</v>
      </c>
      <c r="AK8" s="262"/>
      <c r="AL8" s="267" t="e">
        <f>IF(AND('Mapa final'!#REF!="Muy Alta",'Mapa final'!#REF!="Catastrófico"),CONCATENATE("R",'Mapa final'!#REF!),"")</f>
        <v>#REF!</v>
      </c>
      <c r="AM8" s="250"/>
      <c r="AN8" s="1"/>
      <c r="AO8" s="290"/>
      <c r="AP8" s="144"/>
      <c r="AQ8" s="144"/>
      <c r="AR8" s="144"/>
      <c r="AS8" s="144"/>
      <c r="AT8" s="291"/>
      <c r="AU8" s="1"/>
      <c r="AV8" s="1"/>
      <c r="AW8" s="1"/>
      <c r="AX8" s="1"/>
      <c r="AY8" s="1"/>
      <c r="AZ8" s="1"/>
      <c r="BA8" s="1"/>
      <c r="BB8" s="1"/>
      <c r="BC8" s="1"/>
      <c r="BD8" s="1"/>
      <c r="BE8" s="1"/>
      <c r="BF8" s="1"/>
      <c r="BG8" s="1"/>
      <c r="BH8" s="1"/>
      <c r="BI8" s="1"/>
    </row>
    <row r="9" spans="1:61" ht="15" customHeight="1" x14ac:dyDescent="0.25">
      <c r="A9" s="1"/>
      <c r="B9" s="281"/>
      <c r="C9" s="144"/>
      <c r="D9" s="145"/>
      <c r="E9" s="156"/>
      <c r="F9" s="144"/>
      <c r="G9" s="144"/>
      <c r="H9" s="144"/>
      <c r="I9" s="145"/>
      <c r="J9" s="258"/>
      <c r="K9" s="255"/>
      <c r="L9" s="251"/>
      <c r="M9" s="255"/>
      <c r="N9" s="251"/>
      <c r="O9" s="252"/>
      <c r="P9" s="258"/>
      <c r="Q9" s="255"/>
      <c r="R9" s="251"/>
      <c r="S9" s="255"/>
      <c r="T9" s="251"/>
      <c r="U9" s="252"/>
      <c r="V9" s="258"/>
      <c r="W9" s="255"/>
      <c r="X9" s="251"/>
      <c r="Y9" s="255"/>
      <c r="Z9" s="251"/>
      <c r="AA9" s="252"/>
      <c r="AB9" s="258"/>
      <c r="AC9" s="255"/>
      <c r="AD9" s="251"/>
      <c r="AE9" s="255"/>
      <c r="AF9" s="251"/>
      <c r="AG9" s="252"/>
      <c r="AH9" s="258"/>
      <c r="AI9" s="255"/>
      <c r="AJ9" s="251"/>
      <c r="AK9" s="255"/>
      <c r="AL9" s="251"/>
      <c r="AM9" s="252"/>
      <c r="AN9" s="1"/>
      <c r="AO9" s="290"/>
      <c r="AP9" s="144"/>
      <c r="AQ9" s="144"/>
      <c r="AR9" s="144"/>
      <c r="AS9" s="144"/>
      <c r="AT9" s="291"/>
      <c r="AU9" s="1"/>
      <c r="AV9" s="1"/>
      <c r="AW9" s="1"/>
      <c r="AX9" s="1"/>
      <c r="AY9" s="1"/>
      <c r="AZ9" s="1"/>
      <c r="BA9" s="1"/>
      <c r="BB9" s="1"/>
      <c r="BC9" s="1"/>
      <c r="BD9" s="1"/>
      <c r="BE9" s="1"/>
      <c r="BF9" s="1"/>
      <c r="BG9" s="1"/>
      <c r="BH9" s="1"/>
      <c r="BI9" s="1"/>
    </row>
    <row r="10" spans="1:61" ht="15" customHeight="1" x14ac:dyDescent="0.25">
      <c r="A10" s="1"/>
      <c r="B10" s="281"/>
      <c r="C10" s="144"/>
      <c r="D10" s="145"/>
      <c r="E10" s="156"/>
      <c r="F10" s="144"/>
      <c r="G10" s="144"/>
      <c r="H10" s="144"/>
      <c r="I10" s="145"/>
      <c r="J10" s="264" t="e">
        <f>IF(AND('Mapa final'!#REF!="Muy Alta",'Mapa final'!#REF!="Leve"),CONCATENATE("R",'Mapa final'!#REF!),"")</f>
        <v>#REF!</v>
      </c>
      <c r="K10" s="262"/>
      <c r="L10" s="265" t="e">
        <f>IF(AND('Mapa final'!#REF!="Muy Alta",'Mapa final'!#REF!="Leve"),CONCATENATE("R",'Mapa final'!#REF!),"")</f>
        <v>#REF!</v>
      </c>
      <c r="M10" s="262"/>
      <c r="N10" s="265" t="e">
        <f>IF(AND('Mapa final'!#REF!="Muy Alta",'Mapa final'!#REF!="Leve"),CONCATENATE("R",'Mapa final'!#REF!),"")</f>
        <v>#REF!</v>
      </c>
      <c r="O10" s="250"/>
      <c r="P10" s="264" t="e">
        <f>IF(AND('Mapa final'!#REF!="Muy Alta",'Mapa final'!#REF!="Menor"),CONCATENATE("R",'Mapa final'!#REF!),"")</f>
        <v>#REF!</v>
      </c>
      <c r="Q10" s="262"/>
      <c r="R10" s="265" t="e">
        <f>IF(AND('Mapa final'!#REF!="Muy Alta",'Mapa final'!#REF!="Menor"),CONCATENATE("R",'Mapa final'!#REF!),"")</f>
        <v>#REF!</v>
      </c>
      <c r="S10" s="262"/>
      <c r="T10" s="265" t="e">
        <f>IF(AND('Mapa final'!#REF!="Muy Alta",'Mapa final'!#REF!="Menor"),CONCATENATE("R",'Mapa final'!#REF!),"")</f>
        <v>#REF!</v>
      </c>
      <c r="U10" s="250"/>
      <c r="V10" s="264" t="e">
        <f>IF(AND('Mapa final'!#REF!="Muy Alta",'Mapa final'!#REF!="Moderado"),CONCATENATE("R",'Mapa final'!#REF!),"")</f>
        <v>#REF!</v>
      </c>
      <c r="W10" s="262"/>
      <c r="X10" s="265" t="e">
        <f>IF(AND('Mapa final'!#REF!="Muy Alta",'Mapa final'!#REF!="Moderado"),CONCATENATE("R",'Mapa final'!#REF!),"")</f>
        <v>#REF!</v>
      </c>
      <c r="Y10" s="262"/>
      <c r="Z10" s="265" t="e">
        <f>IF(AND('Mapa final'!#REF!="Muy Alta",'Mapa final'!#REF!="Moderado"),CONCATENATE("R",'Mapa final'!#REF!),"")</f>
        <v>#REF!</v>
      </c>
      <c r="AA10" s="250"/>
      <c r="AB10" s="264" t="e">
        <f>IF(AND('Mapa final'!#REF!="Muy Alta",'Mapa final'!#REF!="Mayor"),CONCATENATE("R",'Mapa final'!#REF!),"")</f>
        <v>#REF!</v>
      </c>
      <c r="AC10" s="262"/>
      <c r="AD10" s="265" t="e">
        <f>IF(AND('Mapa final'!#REF!="Muy Alta",'Mapa final'!#REF!="Mayor"),CONCATENATE("R",'Mapa final'!#REF!),"")</f>
        <v>#REF!</v>
      </c>
      <c r="AE10" s="262"/>
      <c r="AF10" s="265" t="e">
        <f>IF(AND('Mapa final'!#REF!="Muy Alta",'Mapa final'!#REF!="Mayor"),CONCATENATE("R",'Mapa final'!#REF!),"")</f>
        <v>#REF!</v>
      </c>
      <c r="AG10" s="250"/>
      <c r="AH10" s="266" t="e">
        <f>IF(AND('Mapa final'!#REF!="Muy Alta",'Mapa final'!#REF!="Catastrófico"),CONCATENATE("R",'Mapa final'!#REF!),"")</f>
        <v>#REF!</v>
      </c>
      <c r="AI10" s="262"/>
      <c r="AJ10" s="267" t="e">
        <f>IF(AND('Mapa final'!#REF!="Muy Alta",'Mapa final'!#REF!="Catastrófico"),CONCATENATE("R",'Mapa final'!#REF!),"")</f>
        <v>#REF!</v>
      </c>
      <c r="AK10" s="262"/>
      <c r="AL10" s="267" t="e">
        <f>IF(AND('Mapa final'!#REF!="Muy Alta",'Mapa final'!#REF!="Catastrófico"),CONCATENATE("R",'Mapa final'!#REF!),"")</f>
        <v>#REF!</v>
      </c>
      <c r="AM10" s="250"/>
      <c r="AN10" s="1"/>
      <c r="AO10" s="290"/>
      <c r="AP10" s="144"/>
      <c r="AQ10" s="144"/>
      <c r="AR10" s="144"/>
      <c r="AS10" s="144"/>
      <c r="AT10" s="291"/>
      <c r="AU10" s="1"/>
      <c r="AV10" s="1"/>
      <c r="AW10" s="1"/>
      <c r="AX10" s="1"/>
      <c r="AY10" s="1"/>
      <c r="AZ10" s="1"/>
      <c r="BA10" s="1"/>
      <c r="BB10" s="1"/>
      <c r="BC10" s="1"/>
      <c r="BD10" s="1"/>
      <c r="BE10" s="1"/>
      <c r="BF10" s="1"/>
      <c r="BG10" s="1"/>
      <c r="BH10" s="1"/>
      <c r="BI10" s="1"/>
    </row>
    <row r="11" spans="1:61" ht="15" customHeight="1" x14ac:dyDescent="0.25">
      <c r="A11" s="1"/>
      <c r="B11" s="281"/>
      <c r="C11" s="144"/>
      <c r="D11" s="145"/>
      <c r="E11" s="156"/>
      <c r="F11" s="144"/>
      <c r="G11" s="144"/>
      <c r="H11" s="144"/>
      <c r="I11" s="145"/>
      <c r="J11" s="258"/>
      <c r="K11" s="255"/>
      <c r="L11" s="251"/>
      <c r="M11" s="255"/>
      <c r="N11" s="251"/>
      <c r="O11" s="252"/>
      <c r="P11" s="258"/>
      <c r="Q11" s="255"/>
      <c r="R11" s="251"/>
      <c r="S11" s="255"/>
      <c r="T11" s="251"/>
      <c r="U11" s="252"/>
      <c r="V11" s="258"/>
      <c r="W11" s="255"/>
      <c r="X11" s="251"/>
      <c r="Y11" s="255"/>
      <c r="Z11" s="251"/>
      <c r="AA11" s="252"/>
      <c r="AB11" s="258"/>
      <c r="AC11" s="255"/>
      <c r="AD11" s="251"/>
      <c r="AE11" s="255"/>
      <c r="AF11" s="251"/>
      <c r="AG11" s="252"/>
      <c r="AH11" s="258"/>
      <c r="AI11" s="255"/>
      <c r="AJ11" s="251"/>
      <c r="AK11" s="255"/>
      <c r="AL11" s="251"/>
      <c r="AM11" s="252"/>
      <c r="AN11" s="1"/>
      <c r="AO11" s="290"/>
      <c r="AP11" s="144"/>
      <c r="AQ11" s="144"/>
      <c r="AR11" s="144"/>
      <c r="AS11" s="144"/>
      <c r="AT11" s="291"/>
      <c r="AU11" s="1"/>
      <c r="AV11" s="1"/>
      <c r="AW11" s="1"/>
      <c r="AX11" s="1"/>
      <c r="AY11" s="1"/>
      <c r="AZ11" s="1"/>
      <c r="BA11" s="1"/>
      <c r="BB11" s="1"/>
      <c r="BC11" s="1"/>
      <c r="BD11" s="1"/>
      <c r="BE11" s="1"/>
      <c r="BF11" s="1"/>
      <c r="BG11" s="1"/>
      <c r="BH11" s="1"/>
      <c r="BI11" s="1"/>
    </row>
    <row r="12" spans="1:61" ht="15" customHeight="1" x14ac:dyDescent="0.25">
      <c r="A12" s="1"/>
      <c r="B12" s="281"/>
      <c r="C12" s="144"/>
      <c r="D12" s="145"/>
      <c r="E12" s="156"/>
      <c r="F12" s="144"/>
      <c r="G12" s="144"/>
      <c r="H12" s="144"/>
      <c r="I12" s="145"/>
      <c r="J12" s="264" t="e">
        <f>IF(AND('Mapa final'!#REF!="Muy Alta",'Mapa final'!#REF!="Leve"),CONCATENATE("R",'Mapa final'!#REF!),"")</f>
        <v>#REF!</v>
      </c>
      <c r="K12" s="262"/>
      <c r="L12" s="265" t="str">
        <f>IF(AND('Mapa final'!$H$25="Muy Alta",'Mapa final'!$L$25="Leve"),CONCATENATE("R",'Mapa final'!$A$25),"")</f>
        <v/>
      </c>
      <c r="M12" s="262"/>
      <c r="N12" s="265" t="str">
        <f>IF(AND('Mapa final'!$H$31="Muy Alta",'Mapa final'!$L$31="Leve"),CONCATENATE("R",'Mapa final'!$A$31),"")</f>
        <v/>
      </c>
      <c r="O12" s="250"/>
      <c r="P12" s="264" t="e">
        <f>IF(AND('Mapa final'!#REF!="Muy Alta",'Mapa final'!#REF!="Menor"),CONCATENATE("R",'Mapa final'!#REF!),"")</f>
        <v>#REF!</v>
      </c>
      <c r="Q12" s="262"/>
      <c r="R12" s="265" t="str">
        <f>IF(AND('Mapa final'!$H$25="Muy Alta",'Mapa final'!$L$25="Menor"),CONCATENATE("R",'Mapa final'!$A$25),"")</f>
        <v/>
      </c>
      <c r="S12" s="262"/>
      <c r="T12" s="265" t="str">
        <f>IF(AND('Mapa final'!$H$31="Muy Alta",'Mapa final'!$L$31="Menor"),CONCATENATE("R",'Mapa final'!$A$31),"")</f>
        <v/>
      </c>
      <c r="U12" s="250"/>
      <c r="V12" s="264" t="e">
        <f>IF(AND('Mapa final'!#REF!="Muy Alta",'Mapa final'!#REF!="Moderado"),CONCATENATE("R",'Mapa final'!#REF!),"")</f>
        <v>#REF!</v>
      </c>
      <c r="W12" s="262"/>
      <c r="X12" s="265" t="str">
        <f>IF(AND('Mapa final'!$H$25="Muy Alta",'Mapa final'!$L$25="Moderado"),CONCATENATE("R",'Mapa final'!$A$25),"")</f>
        <v/>
      </c>
      <c r="Y12" s="262"/>
      <c r="Z12" s="265" t="str">
        <f>IF(AND('Mapa final'!$H$31="Muy Alta",'Mapa final'!$L$31="Moderado"),CONCATENATE("R",'Mapa final'!$A$31),"")</f>
        <v/>
      </c>
      <c r="AA12" s="250"/>
      <c r="AB12" s="264" t="e">
        <f>IF(AND('Mapa final'!#REF!="Muy Alta",'Mapa final'!#REF!="Mayor"),CONCATENATE("R",'Mapa final'!#REF!),"")</f>
        <v>#REF!</v>
      </c>
      <c r="AC12" s="262"/>
      <c r="AD12" s="265" t="str">
        <f>IF(AND('Mapa final'!$H$25="Muy Alta",'Mapa final'!$L$25="Mayor"),CONCATENATE("R",'Mapa final'!$A$25),"")</f>
        <v/>
      </c>
      <c r="AE12" s="262"/>
      <c r="AF12" s="265" t="str">
        <f>IF(AND('Mapa final'!$H$31="Muy Alta",'Mapa final'!$L$31="Mayor"),CONCATENATE("R",'Mapa final'!$A$31),"")</f>
        <v/>
      </c>
      <c r="AG12" s="250"/>
      <c r="AH12" s="266" t="e">
        <f>IF(AND('Mapa final'!#REF!="Muy Alta",'Mapa final'!#REF!="Catastrófico"),CONCATENATE("R",'Mapa final'!#REF!),"")</f>
        <v>#REF!</v>
      </c>
      <c r="AI12" s="262"/>
      <c r="AJ12" s="267" t="str">
        <f>IF(AND('Mapa final'!$H$25="Muy Alta",'Mapa final'!$L$25="Catastrófico"),CONCATENATE("R",'Mapa final'!$A$25),"")</f>
        <v/>
      </c>
      <c r="AK12" s="262"/>
      <c r="AL12" s="267" t="str">
        <f>IF(AND('Mapa final'!$H$31="Muy Alta",'Mapa final'!$L$31="Catastrófico"),CONCATENATE("R",'Mapa final'!$A$31),"")</f>
        <v/>
      </c>
      <c r="AM12" s="250"/>
      <c r="AN12" s="1"/>
      <c r="AO12" s="290"/>
      <c r="AP12" s="144"/>
      <c r="AQ12" s="144"/>
      <c r="AR12" s="144"/>
      <c r="AS12" s="144"/>
      <c r="AT12" s="291"/>
      <c r="AU12" s="1"/>
      <c r="AV12" s="1"/>
      <c r="AW12" s="1"/>
      <c r="AX12" s="1"/>
      <c r="AY12" s="1"/>
      <c r="AZ12" s="1"/>
      <c r="BA12" s="1"/>
      <c r="BB12" s="1"/>
      <c r="BC12" s="1"/>
      <c r="BD12" s="1"/>
      <c r="BE12" s="1"/>
      <c r="BF12" s="1"/>
      <c r="BG12" s="1"/>
      <c r="BH12" s="1"/>
      <c r="BI12" s="1"/>
    </row>
    <row r="13" spans="1:61" ht="15.75" customHeight="1" x14ac:dyDescent="0.25">
      <c r="A13" s="1"/>
      <c r="B13" s="281"/>
      <c r="C13" s="144"/>
      <c r="D13" s="145"/>
      <c r="E13" s="271"/>
      <c r="F13" s="272"/>
      <c r="G13" s="272"/>
      <c r="H13" s="272"/>
      <c r="I13" s="275"/>
      <c r="J13" s="258"/>
      <c r="K13" s="255"/>
      <c r="L13" s="251"/>
      <c r="M13" s="255"/>
      <c r="N13" s="251"/>
      <c r="O13" s="252"/>
      <c r="P13" s="258"/>
      <c r="Q13" s="255"/>
      <c r="R13" s="251"/>
      <c r="S13" s="255"/>
      <c r="T13" s="251"/>
      <c r="U13" s="252"/>
      <c r="V13" s="258"/>
      <c r="W13" s="255"/>
      <c r="X13" s="251"/>
      <c r="Y13" s="255"/>
      <c r="Z13" s="251"/>
      <c r="AA13" s="252"/>
      <c r="AB13" s="258"/>
      <c r="AC13" s="255"/>
      <c r="AD13" s="251"/>
      <c r="AE13" s="255"/>
      <c r="AF13" s="251"/>
      <c r="AG13" s="252"/>
      <c r="AH13" s="271"/>
      <c r="AI13" s="273"/>
      <c r="AJ13" s="274"/>
      <c r="AK13" s="273"/>
      <c r="AL13" s="274"/>
      <c r="AM13" s="275"/>
      <c r="AN13" s="1"/>
      <c r="AO13" s="292"/>
      <c r="AP13" s="293"/>
      <c r="AQ13" s="293"/>
      <c r="AR13" s="293"/>
      <c r="AS13" s="293"/>
      <c r="AT13" s="294"/>
      <c r="AU13" s="1"/>
      <c r="AV13" s="1"/>
      <c r="AW13" s="1"/>
      <c r="AX13" s="1"/>
      <c r="AY13" s="1"/>
      <c r="AZ13" s="1"/>
      <c r="BA13" s="1"/>
      <c r="BB13" s="1"/>
      <c r="BC13" s="1"/>
      <c r="BD13" s="1"/>
      <c r="BE13" s="1"/>
      <c r="BF13" s="1"/>
      <c r="BG13" s="1"/>
      <c r="BH13" s="1"/>
      <c r="BI13" s="1"/>
    </row>
    <row r="14" spans="1:61" ht="15" customHeight="1" x14ac:dyDescent="0.25">
      <c r="A14" s="1"/>
      <c r="B14" s="281"/>
      <c r="C14" s="144"/>
      <c r="D14" s="145"/>
      <c r="E14" s="269" t="s">
        <v>120</v>
      </c>
      <c r="F14" s="270"/>
      <c r="G14" s="270"/>
      <c r="H14" s="270"/>
      <c r="I14" s="270"/>
      <c r="J14" s="268" t="str">
        <f>IF(AND('Mapa final'!$H$13="Alta",'Mapa final'!$L$13="Leve"),CONCATENATE("R",'Mapa final'!$A$13),"")</f>
        <v/>
      </c>
      <c r="K14" s="254"/>
      <c r="L14" s="253" t="str">
        <f>IF(AND('Mapa final'!$H$19="Alta",'Mapa final'!$L$19="Leve"),CONCATENATE("R",'Mapa final'!$A$19),"")</f>
        <v/>
      </c>
      <c r="M14" s="254"/>
      <c r="N14" s="253" t="e">
        <f>IF(AND('Mapa final'!#REF!="Alta",'Mapa final'!#REF!="Leve"),CONCATENATE("R",'Mapa final'!#REF!),"")</f>
        <v>#REF!</v>
      </c>
      <c r="O14" s="256"/>
      <c r="P14" s="268" t="str">
        <f>IF(AND('Mapa final'!$H$13="Alta",'Mapa final'!$L$13="Menor"),CONCATENATE("R",'Mapa final'!$A$13),"")</f>
        <v/>
      </c>
      <c r="Q14" s="254"/>
      <c r="R14" s="253" t="str">
        <f>IF(AND('Mapa final'!$H$19="Alta",'Mapa final'!$L$19="Menor"),CONCATENATE("R",'Mapa final'!$A$19),"")</f>
        <v/>
      </c>
      <c r="S14" s="254"/>
      <c r="T14" s="253" t="e">
        <f>IF(AND('Mapa final'!#REF!="Alta",'Mapa final'!#REF!="Menor"),CONCATENATE("R",'Mapa final'!#REF!),"")</f>
        <v>#REF!</v>
      </c>
      <c r="U14" s="256"/>
      <c r="V14" s="257" t="str">
        <f>IF(AND('Mapa final'!$H$13="Alta",'Mapa final'!$L$13="Moderado"),CONCATENATE("R",'Mapa final'!$A$13),"")</f>
        <v/>
      </c>
      <c r="W14" s="254"/>
      <c r="X14" s="259" t="str">
        <f>IF(AND('Mapa final'!$H$19="Alta",'Mapa final'!$L$19="Moderado"),CONCATENATE("R",'Mapa final'!$A$19),"")</f>
        <v/>
      </c>
      <c r="Y14" s="254"/>
      <c r="Z14" s="259" t="e">
        <f>IF(AND('Mapa final'!#REF!="Alta",'Mapa final'!#REF!="Moderado"),CONCATENATE("R",'Mapa final'!#REF!),"")</f>
        <v>#REF!</v>
      </c>
      <c r="AA14" s="256"/>
      <c r="AB14" s="257" t="str">
        <f>IF(AND('Mapa final'!$H$13="Alta",'Mapa final'!$L$13="Mayor"),CONCATENATE("R",'Mapa final'!$A$13),"")</f>
        <v/>
      </c>
      <c r="AC14" s="254"/>
      <c r="AD14" s="259" t="str">
        <f>IF(AND('Mapa final'!$H$19="Alta",'Mapa final'!$L$19="Mayor"),CONCATENATE("R",'Mapa final'!$A$19),"")</f>
        <v/>
      </c>
      <c r="AE14" s="254"/>
      <c r="AF14" s="259" t="e">
        <f>IF(AND('Mapa final'!#REF!="Alta",'Mapa final'!#REF!="Mayor"),CONCATENATE("R",'Mapa final'!#REF!),"")</f>
        <v>#REF!</v>
      </c>
      <c r="AG14" s="256"/>
      <c r="AH14" s="276" t="str">
        <f>IF(AND('Mapa final'!$H$13="Alta",'Mapa final'!$L$13="Catastrófico"),CONCATENATE("R",'Mapa final'!$A$13),"")</f>
        <v/>
      </c>
      <c r="AI14" s="254"/>
      <c r="AJ14" s="260" t="str">
        <f>IF(AND('Mapa final'!$H$19="Alta",'Mapa final'!$L$19="Catastrófico"),CONCATENATE("R",'Mapa final'!$A$19),"")</f>
        <v/>
      </c>
      <c r="AK14" s="254"/>
      <c r="AL14" s="260" t="e">
        <f>IF(AND('Mapa final'!#REF!="Alta",'Mapa final'!#REF!="Catastrófico"),CONCATENATE("R",'Mapa final'!#REF!),"")</f>
        <v>#REF!</v>
      </c>
      <c r="AM14" s="256"/>
      <c r="AN14" s="1"/>
      <c r="AO14" s="296" t="s">
        <v>121</v>
      </c>
      <c r="AP14" s="288"/>
      <c r="AQ14" s="288"/>
      <c r="AR14" s="288"/>
      <c r="AS14" s="288"/>
      <c r="AT14" s="289"/>
      <c r="AU14" s="1"/>
      <c r="AV14" s="1"/>
      <c r="AW14" s="1"/>
      <c r="AX14" s="1"/>
      <c r="AY14" s="1"/>
      <c r="AZ14" s="1"/>
      <c r="BA14" s="1"/>
      <c r="BB14" s="1"/>
      <c r="BC14" s="1"/>
      <c r="BD14" s="1"/>
      <c r="BE14" s="1"/>
      <c r="BF14" s="1"/>
      <c r="BG14" s="1"/>
      <c r="BH14" s="1"/>
      <c r="BI14" s="1"/>
    </row>
    <row r="15" spans="1:61" ht="15" customHeight="1" x14ac:dyDescent="0.25">
      <c r="A15" s="1"/>
      <c r="B15" s="281"/>
      <c r="C15" s="144"/>
      <c r="D15" s="145"/>
      <c r="E15" s="156"/>
      <c r="F15" s="144"/>
      <c r="G15" s="144"/>
      <c r="H15" s="144"/>
      <c r="I15" s="144"/>
      <c r="J15" s="258"/>
      <c r="K15" s="255"/>
      <c r="L15" s="251"/>
      <c r="M15" s="255"/>
      <c r="N15" s="251"/>
      <c r="O15" s="252"/>
      <c r="P15" s="258"/>
      <c r="Q15" s="255"/>
      <c r="R15" s="251"/>
      <c r="S15" s="255"/>
      <c r="T15" s="251"/>
      <c r="U15" s="252"/>
      <c r="V15" s="258"/>
      <c r="W15" s="255"/>
      <c r="X15" s="251"/>
      <c r="Y15" s="255"/>
      <c r="Z15" s="251"/>
      <c r="AA15" s="252"/>
      <c r="AB15" s="258"/>
      <c r="AC15" s="255"/>
      <c r="AD15" s="251"/>
      <c r="AE15" s="255"/>
      <c r="AF15" s="251"/>
      <c r="AG15" s="252"/>
      <c r="AH15" s="258"/>
      <c r="AI15" s="255"/>
      <c r="AJ15" s="251"/>
      <c r="AK15" s="255"/>
      <c r="AL15" s="251"/>
      <c r="AM15" s="252"/>
      <c r="AN15" s="1"/>
      <c r="AO15" s="290"/>
      <c r="AP15" s="144"/>
      <c r="AQ15" s="144"/>
      <c r="AR15" s="144"/>
      <c r="AS15" s="144"/>
      <c r="AT15" s="291"/>
      <c r="AU15" s="1"/>
      <c r="AV15" s="1"/>
      <c r="AW15" s="1"/>
      <c r="AX15" s="1"/>
      <c r="AY15" s="1"/>
      <c r="AZ15" s="1"/>
      <c r="BA15" s="1"/>
      <c r="BB15" s="1"/>
      <c r="BC15" s="1"/>
      <c r="BD15" s="1"/>
      <c r="BE15" s="1"/>
      <c r="BF15" s="1"/>
      <c r="BG15" s="1"/>
      <c r="BH15" s="1"/>
      <c r="BI15" s="1"/>
    </row>
    <row r="16" spans="1:61" ht="15" customHeight="1" x14ac:dyDescent="0.25">
      <c r="A16" s="1"/>
      <c r="B16" s="281"/>
      <c r="C16" s="144"/>
      <c r="D16" s="145"/>
      <c r="E16" s="156"/>
      <c r="F16" s="144"/>
      <c r="G16" s="144"/>
      <c r="H16" s="144"/>
      <c r="I16" s="144"/>
      <c r="J16" s="263" t="e">
        <f>IF(AND('Mapa final'!#REF!="Alta",'Mapa final'!#REF!="Leve"),CONCATENATE("R",'Mapa final'!#REF!),"")</f>
        <v>#REF!</v>
      </c>
      <c r="K16" s="262"/>
      <c r="L16" s="249" t="e">
        <f>IF(AND('Mapa final'!#REF!="Alta",'Mapa final'!#REF!="Leve"),CONCATENATE("R",'Mapa final'!#REF!),"")</f>
        <v>#REF!</v>
      </c>
      <c r="M16" s="262"/>
      <c r="N16" s="249" t="e">
        <f>IF(AND('Mapa final'!#REF!="Alta",'Mapa final'!#REF!="Leve"),CONCATENATE("R",'Mapa final'!#REF!),"")</f>
        <v>#REF!</v>
      </c>
      <c r="O16" s="250"/>
      <c r="P16" s="263" t="e">
        <f>IF(AND('Mapa final'!#REF!="Alta",'Mapa final'!#REF!="Menor"),CONCATENATE("R",'Mapa final'!#REF!),"")</f>
        <v>#REF!</v>
      </c>
      <c r="Q16" s="262"/>
      <c r="R16" s="249" t="e">
        <f>IF(AND('Mapa final'!#REF!="Alta",'Mapa final'!#REF!="Menor"),CONCATENATE("R",'Mapa final'!#REF!),"")</f>
        <v>#REF!</v>
      </c>
      <c r="S16" s="262"/>
      <c r="T16" s="249" t="e">
        <f>IF(AND('Mapa final'!#REF!="Alta",'Mapa final'!#REF!="Menor"),CONCATENATE("R",'Mapa final'!#REF!),"")</f>
        <v>#REF!</v>
      </c>
      <c r="U16" s="250"/>
      <c r="V16" s="264" t="e">
        <f>IF(AND('Mapa final'!#REF!="Alta",'Mapa final'!#REF!="Moderado"),CONCATENATE("R",'Mapa final'!#REF!),"")</f>
        <v>#REF!</v>
      </c>
      <c r="W16" s="262"/>
      <c r="X16" s="265" t="e">
        <f>IF(AND('Mapa final'!#REF!="Alta",'Mapa final'!#REF!="Moderado"),CONCATENATE("R",'Mapa final'!#REF!),"")</f>
        <v>#REF!</v>
      </c>
      <c r="Y16" s="262"/>
      <c r="Z16" s="265" t="e">
        <f>IF(AND('Mapa final'!#REF!="Alta",'Mapa final'!#REF!="Moderado"),CONCATENATE("R",'Mapa final'!#REF!),"")</f>
        <v>#REF!</v>
      </c>
      <c r="AA16" s="250"/>
      <c r="AB16" s="264" t="e">
        <f>IF(AND('Mapa final'!#REF!="Alta",'Mapa final'!#REF!="Mayor"),CONCATENATE("R",'Mapa final'!#REF!),"")</f>
        <v>#REF!</v>
      </c>
      <c r="AC16" s="262"/>
      <c r="AD16" s="265" t="e">
        <f>IF(AND('Mapa final'!#REF!="Alta",'Mapa final'!#REF!="Mayor"),CONCATENATE("R",'Mapa final'!#REF!),"")</f>
        <v>#REF!</v>
      </c>
      <c r="AE16" s="262"/>
      <c r="AF16" s="265" t="e">
        <f>IF(AND('Mapa final'!#REF!="Alta",'Mapa final'!#REF!="Mayor"),CONCATENATE("R",'Mapa final'!#REF!),"")</f>
        <v>#REF!</v>
      </c>
      <c r="AG16" s="250"/>
      <c r="AH16" s="266" t="e">
        <f>IF(AND('Mapa final'!#REF!="Alta",'Mapa final'!#REF!="Catastrófico"),CONCATENATE("R",'Mapa final'!#REF!),"")</f>
        <v>#REF!</v>
      </c>
      <c r="AI16" s="262"/>
      <c r="AJ16" s="267" t="e">
        <f>IF(AND('Mapa final'!#REF!="Alta",'Mapa final'!#REF!="Catastrófico"),CONCATENATE("R",'Mapa final'!#REF!),"")</f>
        <v>#REF!</v>
      </c>
      <c r="AK16" s="262"/>
      <c r="AL16" s="267" t="e">
        <f>IF(AND('Mapa final'!#REF!="Alta",'Mapa final'!#REF!="Catastrófico"),CONCATENATE("R",'Mapa final'!#REF!),"")</f>
        <v>#REF!</v>
      </c>
      <c r="AM16" s="250"/>
      <c r="AN16" s="1"/>
      <c r="AO16" s="290"/>
      <c r="AP16" s="144"/>
      <c r="AQ16" s="144"/>
      <c r="AR16" s="144"/>
      <c r="AS16" s="144"/>
      <c r="AT16" s="291"/>
      <c r="AU16" s="1"/>
      <c r="AV16" s="1"/>
      <c r="AW16" s="1"/>
      <c r="AX16" s="1"/>
      <c r="AY16" s="1"/>
      <c r="AZ16" s="1"/>
      <c r="BA16" s="1"/>
      <c r="BB16" s="1"/>
      <c r="BC16" s="1"/>
      <c r="BD16" s="1"/>
      <c r="BE16" s="1"/>
      <c r="BF16" s="1"/>
      <c r="BG16" s="1"/>
      <c r="BH16" s="1"/>
      <c r="BI16" s="1"/>
    </row>
    <row r="17" spans="1:61" ht="15" customHeight="1" x14ac:dyDescent="0.25">
      <c r="A17" s="1"/>
      <c r="B17" s="281"/>
      <c r="C17" s="144"/>
      <c r="D17" s="145"/>
      <c r="E17" s="156"/>
      <c r="F17" s="144"/>
      <c r="G17" s="144"/>
      <c r="H17" s="144"/>
      <c r="I17" s="144"/>
      <c r="J17" s="258"/>
      <c r="K17" s="255"/>
      <c r="L17" s="251"/>
      <c r="M17" s="255"/>
      <c r="N17" s="251"/>
      <c r="O17" s="252"/>
      <c r="P17" s="258"/>
      <c r="Q17" s="255"/>
      <c r="R17" s="251"/>
      <c r="S17" s="255"/>
      <c r="T17" s="251"/>
      <c r="U17" s="252"/>
      <c r="V17" s="258"/>
      <c r="W17" s="255"/>
      <c r="X17" s="251"/>
      <c r="Y17" s="255"/>
      <c r="Z17" s="251"/>
      <c r="AA17" s="252"/>
      <c r="AB17" s="258"/>
      <c r="AC17" s="255"/>
      <c r="AD17" s="251"/>
      <c r="AE17" s="255"/>
      <c r="AF17" s="251"/>
      <c r="AG17" s="252"/>
      <c r="AH17" s="258"/>
      <c r="AI17" s="255"/>
      <c r="AJ17" s="251"/>
      <c r="AK17" s="255"/>
      <c r="AL17" s="251"/>
      <c r="AM17" s="252"/>
      <c r="AN17" s="1"/>
      <c r="AO17" s="290"/>
      <c r="AP17" s="144"/>
      <c r="AQ17" s="144"/>
      <c r="AR17" s="144"/>
      <c r="AS17" s="144"/>
      <c r="AT17" s="291"/>
      <c r="AU17" s="1"/>
      <c r="AV17" s="1"/>
      <c r="AW17" s="1"/>
      <c r="AX17" s="1"/>
      <c r="AY17" s="1"/>
      <c r="AZ17" s="1"/>
      <c r="BA17" s="1"/>
      <c r="BB17" s="1"/>
      <c r="BC17" s="1"/>
      <c r="BD17" s="1"/>
      <c r="BE17" s="1"/>
      <c r="BF17" s="1"/>
      <c r="BG17" s="1"/>
      <c r="BH17" s="1"/>
      <c r="BI17" s="1"/>
    </row>
    <row r="18" spans="1:61" ht="15" customHeight="1" x14ac:dyDescent="0.25">
      <c r="A18" s="1"/>
      <c r="B18" s="281"/>
      <c r="C18" s="144"/>
      <c r="D18" s="145"/>
      <c r="E18" s="156"/>
      <c r="F18" s="144"/>
      <c r="G18" s="144"/>
      <c r="H18" s="144"/>
      <c r="I18" s="144"/>
      <c r="J18" s="263" t="e">
        <f>IF(AND('Mapa final'!#REF!="Alta",'Mapa final'!#REF!="Leve"),CONCATENATE("R",'Mapa final'!#REF!),"")</f>
        <v>#REF!</v>
      </c>
      <c r="K18" s="262"/>
      <c r="L18" s="249" t="e">
        <f>IF(AND('Mapa final'!#REF!="Alta",'Mapa final'!#REF!="Leve"),CONCATENATE("R",'Mapa final'!#REF!),"")</f>
        <v>#REF!</v>
      </c>
      <c r="M18" s="262"/>
      <c r="N18" s="249" t="e">
        <f>IF(AND('Mapa final'!#REF!="Alta",'Mapa final'!#REF!="Leve"),CONCATENATE("R",'Mapa final'!#REF!),"")</f>
        <v>#REF!</v>
      </c>
      <c r="O18" s="250"/>
      <c r="P18" s="263" t="e">
        <f>IF(AND('Mapa final'!#REF!="Alta",'Mapa final'!#REF!="Menor"),CONCATENATE("R",'Mapa final'!#REF!),"")</f>
        <v>#REF!</v>
      </c>
      <c r="Q18" s="262"/>
      <c r="R18" s="249" t="e">
        <f>IF(AND('Mapa final'!#REF!="Alta",'Mapa final'!#REF!="Menor"),CONCATENATE("R",'Mapa final'!#REF!),"")</f>
        <v>#REF!</v>
      </c>
      <c r="S18" s="262"/>
      <c r="T18" s="249" t="e">
        <f>IF(AND('Mapa final'!#REF!="Alta",'Mapa final'!#REF!="Menor"),CONCATENATE("R",'Mapa final'!#REF!),"")</f>
        <v>#REF!</v>
      </c>
      <c r="U18" s="250"/>
      <c r="V18" s="264" t="e">
        <f>IF(AND('Mapa final'!#REF!="Alta",'Mapa final'!#REF!="Moderado"),CONCATENATE("R",'Mapa final'!#REF!),"")</f>
        <v>#REF!</v>
      </c>
      <c r="W18" s="262"/>
      <c r="X18" s="265" t="e">
        <f>IF(AND('Mapa final'!#REF!="Alta",'Mapa final'!#REF!="Moderado"),CONCATENATE("R",'Mapa final'!#REF!),"")</f>
        <v>#REF!</v>
      </c>
      <c r="Y18" s="262"/>
      <c r="Z18" s="265" t="e">
        <f>IF(AND('Mapa final'!#REF!="Alta",'Mapa final'!#REF!="Moderado"),CONCATENATE("R",'Mapa final'!#REF!),"")</f>
        <v>#REF!</v>
      </c>
      <c r="AA18" s="250"/>
      <c r="AB18" s="264" t="e">
        <f>IF(AND('Mapa final'!#REF!="Alta",'Mapa final'!#REF!="Mayor"),CONCATENATE("R",'Mapa final'!#REF!),"")</f>
        <v>#REF!</v>
      </c>
      <c r="AC18" s="262"/>
      <c r="AD18" s="265" t="e">
        <f>IF(AND('Mapa final'!#REF!="Alta",'Mapa final'!#REF!="Mayor"),CONCATENATE("R",'Mapa final'!#REF!),"")</f>
        <v>#REF!</v>
      </c>
      <c r="AE18" s="262"/>
      <c r="AF18" s="265" t="e">
        <f>IF(AND('Mapa final'!#REF!="Alta",'Mapa final'!#REF!="Mayor"),CONCATENATE("R",'Mapa final'!#REF!),"")</f>
        <v>#REF!</v>
      </c>
      <c r="AG18" s="250"/>
      <c r="AH18" s="266" t="e">
        <f>IF(AND('Mapa final'!#REF!="Alta",'Mapa final'!#REF!="Catastrófico"),CONCATENATE("R",'Mapa final'!#REF!),"")</f>
        <v>#REF!</v>
      </c>
      <c r="AI18" s="262"/>
      <c r="AJ18" s="267" t="e">
        <f>IF(AND('Mapa final'!#REF!="Alta",'Mapa final'!#REF!="Catastrófico"),CONCATENATE("R",'Mapa final'!#REF!),"")</f>
        <v>#REF!</v>
      </c>
      <c r="AK18" s="262"/>
      <c r="AL18" s="267" t="e">
        <f>IF(AND('Mapa final'!#REF!="Alta",'Mapa final'!#REF!="Catastrófico"),CONCATENATE("R",'Mapa final'!#REF!),"")</f>
        <v>#REF!</v>
      </c>
      <c r="AM18" s="250"/>
      <c r="AN18" s="1"/>
      <c r="AO18" s="290"/>
      <c r="AP18" s="144"/>
      <c r="AQ18" s="144"/>
      <c r="AR18" s="144"/>
      <c r="AS18" s="144"/>
      <c r="AT18" s="291"/>
      <c r="AU18" s="1"/>
      <c r="AV18" s="1"/>
      <c r="AW18" s="1"/>
      <c r="AX18" s="1"/>
      <c r="AY18" s="1"/>
      <c r="AZ18" s="1"/>
      <c r="BA18" s="1"/>
      <c r="BB18" s="1"/>
      <c r="BC18" s="1"/>
      <c r="BD18" s="1"/>
      <c r="BE18" s="1"/>
      <c r="BF18" s="1"/>
      <c r="BG18" s="1"/>
      <c r="BH18" s="1"/>
      <c r="BI18" s="1"/>
    </row>
    <row r="19" spans="1:61" ht="15" customHeight="1" x14ac:dyDescent="0.25">
      <c r="A19" s="1"/>
      <c r="B19" s="281"/>
      <c r="C19" s="144"/>
      <c r="D19" s="145"/>
      <c r="E19" s="156"/>
      <c r="F19" s="144"/>
      <c r="G19" s="144"/>
      <c r="H19" s="144"/>
      <c r="I19" s="144"/>
      <c r="J19" s="258"/>
      <c r="K19" s="255"/>
      <c r="L19" s="251"/>
      <c r="M19" s="255"/>
      <c r="N19" s="251"/>
      <c r="O19" s="252"/>
      <c r="P19" s="258"/>
      <c r="Q19" s="255"/>
      <c r="R19" s="251"/>
      <c r="S19" s="255"/>
      <c r="T19" s="251"/>
      <c r="U19" s="252"/>
      <c r="V19" s="258"/>
      <c r="W19" s="255"/>
      <c r="X19" s="251"/>
      <c r="Y19" s="255"/>
      <c r="Z19" s="251"/>
      <c r="AA19" s="252"/>
      <c r="AB19" s="258"/>
      <c r="AC19" s="255"/>
      <c r="AD19" s="251"/>
      <c r="AE19" s="255"/>
      <c r="AF19" s="251"/>
      <c r="AG19" s="252"/>
      <c r="AH19" s="258"/>
      <c r="AI19" s="255"/>
      <c r="AJ19" s="251"/>
      <c r="AK19" s="255"/>
      <c r="AL19" s="251"/>
      <c r="AM19" s="252"/>
      <c r="AN19" s="1"/>
      <c r="AO19" s="290"/>
      <c r="AP19" s="144"/>
      <c r="AQ19" s="144"/>
      <c r="AR19" s="144"/>
      <c r="AS19" s="144"/>
      <c r="AT19" s="291"/>
      <c r="AU19" s="1"/>
      <c r="AV19" s="1"/>
      <c r="AW19" s="1"/>
      <c r="AX19" s="1"/>
      <c r="AY19" s="1"/>
      <c r="AZ19" s="1"/>
      <c r="BA19" s="1"/>
      <c r="BB19" s="1"/>
      <c r="BC19" s="1"/>
      <c r="BD19" s="1"/>
      <c r="BE19" s="1"/>
      <c r="BF19" s="1"/>
      <c r="BG19" s="1"/>
      <c r="BH19" s="1"/>
      <c r="BI19" s="1"/>
    </row>
    <row r="20" spans="1:61" ht="15" customHeight="1" x14ac:dyDescent="0.25">
      <c r="A20" s="1"/>
      <c r="B20" s="281"/>
      <c r="C20" s="144"/>
      <c r="D20" s="145"/>
      <c r="E20" s="156"/>
      <c r="F20" s="144"/>
      <c r="G20" s="144"/>
      <c r="H20" s="144"/>
      <c r="I20" s="144"/>
      <c r="J20" s="263" t="e">
        <f>IF(AND('Mapa final'!#REF!="Alta",'Mapa final'!#REF!="Leve"),CONCATENATE("R",'Mapa final'!#REF!),"")</f>
        <v>#REF!</v>
      </c>
      <c r="K20" s="262"/>
      <c r="L20" s="249" t="str">
        <f>IF(AND('Mapa final'!$H$25="Alta",'Mapa final'!$L$25="Leve"),CONCATENATE("R",'Mapa final'!$A$25),"")</f>
        <v/>
      </c>
      <c r="M20" s="262"/>
      <c r="N20" s="249" t="str">
        <f>IF(AND('Mapa final'!$H$31="Alta",'Mapa final'!$L$31="Leve"),CONCATENATE("R",'Mapa final'!$A$31),"")</f>
        <v/>
      </c>
      <c r="O20" s="250"/>
      <c r="P20" s="263" t="e">
        <f>IF(AND('Mapa final'!#REF!="Alta",'Mapa final'!#REF!="Menor"),CONCATENATE("R",'Mapa final'!#REF!),"")</f>
        <v>#REF!</v>
      </c>
      <c r="Q20" s="262"/>
      <c r="R20" s="249" t="str">
        <f>IF(AND('Mapa final'!$H$25="Alta",'Mapa final'!$L$25="Menor"),CONCATENATE("R",'Mapa final'!$A$25),"")</f>
        <v/>
      </c>
      <c r="S20" s="262"/>
      <c r="T20" s="249" t="str">
        <f>IF(AND('Mapa final'!$H$31="Alta",'Mapa final'!$L$31="Menor"),CONCATENATE("R",'Mapa final'!$A$31),"")</f>
        <v/>
      </c>
      <c r="U20" s="250"/>
      <c r="V20" s="264" t="e">
        <f>IF(AND('Mapa final'!#REF!="Alta",'Mapa final'!#REF!="Moderado"),CONCATENATE("R",'Mapa final'!#REF!),"")</f>
        <v>#REF!</v>
      </c>
      <c r="W20" s="262"/>
      <c r="X20" s="265" t="str">
        <f>IF(AND('Mapa final'!$H$25="Alta",'Mapa final'!$L$25="Moderado"),CONCATENATE("R",'Mapa final'!$A$25),"")</f>
        <v/>
      </c>
      <c r="Y20" s="262"/>
      <c r="Z20" s="265" t="str">
        <f>IF(AND('Mapa final'!$H$31="Alta",'Mapa final'!$L$31="Moderado"),CONCATENATE("R",'Mapa final'!$A$31),"")</f>
        <v/>
      </c>
      <c r="AA20" s="250"/>
      <c r="AB20" s="264" t="e">
        <f>IF(AND('Mapa final'!#REF!="Alta",'Mapa final'!#REF!="Mayor"),CONCATENATE("R",'Mapa final'!#REF!),"")</f>
        <v>#REF!</v>
      </c>
      <c r="AC20" s="262"/>
      <c r="AD20" s="265" t="str">
        <f>IF(AND('Mapa final'!$H$25="Alta",'Mapa final'!$L$25="Mayor"),CONCATENATE("R",'Mapa final'!$A$25),"")</f>
        <v/>
      </c>
      <c r="AE20" s="262"/>
      <c r="AF20" s="265" t="str">
        <f>IF(AND('Mapa final'!$H$31="Alta",'Mapa final'!$L$31="Mayor"),CONCATENATE("R",'Mapa final'!$A$31),"")</f>
        <v/>
      </c>
      <c r="AG20" s="250"/>
      <c r="AH20" s="266" t="e">
        <f>IF(AND('Mapa final'!#REF!="Alta",'Mapa final'!#REF!="Catastrófico"),CONCATENATE("R",'Mapa final'!#REF!),"")</f>
        <v>#REF!</v>
      </c>
      <c r="AI20" s="262"/>
      <c r="AJ20" s="267" t="str">
        <f>IF(AND('Mapa final'!$H$25="Alta",'Mapa final'!$L$25="Catastrófico"),CONCATENATE("R",'Mapa final'!$A$25),"")</f>
        <v/>
      </c>
      <c r="AK20" s="262"/>
      <c r="AL20" s="267" t="str">
        <f>IF(AND('Mapa final'!$H$31="Alta",'Mapa final'!$L$31="Catastrófico"),CONCATENATE("R",'Mapa final'!$A$31),"")</f>
        <v/>
      </c>
      <c r="AM20" s="250"/>
      <c r="AN20" s="1"/>
      <c r="AO20" s="290"/>
      <c r="AP20" s="144"/>
      <c r="AQ20" s="144"/>
      <c r="AR20" s="144"/>
      <c r="AS20" s="144"/>
      <c r="AT20" s="291"/>
      <c r="AU20" s="1"/>
      <c r="AV20" s="1"/>
      <c r="AW20" s="1"/>
      <c r="AX20" s="1"/>
      <c r="AY20" s="1"/>
      <c r="AZ20" s="1"/>
      <c r="BA20" s="1"/>
      <c r="BB20" s="1"/>
      <c r="BC20" s="1"/>
      <c r="BD20" s="1"/>
      <c r="BE20" s="1"/>
      <c r="BF20" s="1"/>
      <c r="BG20" s="1"/>
      <c r="BH20" s="1"/>
      <c r="BI20" s="1"/>
    </row>
    <row r="21" spans="1:61" ht="15.75" customHeight="1" x14ac:dyDescent="0.25">
      <c r="A21" s="1"/>
      <c r="B21" s="281"/>
      <c r="C21" s="144"/>
      <c r="D21" s="145"/>
      <c r="E21" s="271"/>
      <c r="F21" s="272"/>
      <c r="G21" s="272"/>
      <c r="H21" s="272"/>
      <c r="I21" s="272"/>
      <c r="J21" s="271"/>
      <c r="K21" s="273"/>
      <c r="L21" s="274"/>
      <c r="M21" s="273"/>
      <c r="N21" s="274"/>
      <c r="O21" s="275"/>
      <c r="P21" s="271"/>
      <c r="Q21" s="273"/>
      <c r="R21" s="274"/>
      <c r="S21" s="273"/>
      <c r="T21" s="274"/>
      <c r="U21" s="275"/>
      <c r="V21" s="271"/>
      <c r="W21" s="273"/>
      <c r="X21" s="274"/>
      <c r="Y21" s="273"/>
      <c r="Z21" s="274"/>
      <c r="AA21" s="275"/>
      <c r="AB21" s="271"/>
      <c r="AC21" s="273"/>
      <c r="AD21" s="274"/>
      <c r="AE21" s="273"/>
      <c r="AF21" s="274"/>
      <c r="AG21" s="275"/>
      <c r="AH21" s="271"/>
      <c r="AI21" s="273"/>
      <c r="AJ21" s="274"/>
      <c r="AK21" s="273"/>
      <c r="AL21" s="274"/>
      <c r="AM21" s="275"/>
      <c r="AN21" s="1"/>
      <c r="AO21" s="292"/>
      <c r="AP21" s="293"/>
      <c r="AQ21" s="293"/>
      <c r="AR21" s="293"/>
      <c r="AS21" s="293"/>
      <c r="AT21" s="294"/>
      <c r="AU21" s="1"/>
      <c r="AV21" s="1"/>
      <c r="AW21" s="1"/>
      <c r="AX21" s="1"/>
      <c r="AY21" s="1"/>
      <c r="AZ21" s="1"/>
      <c r="BA21" s="1"/>
      <c r="BB21" s="1"/>
      <c r="BC21" s="1"/>
      <c r="BD21" s="1"/>
      <c r="BE21" s="1"/>
      <c r="BF21" s="1"/>
      <c r="BG21" s="1"/>
      <c r="BH21" s="1"/>
      <c r="BI21" s="1"/>
    </row>
    <row r="22" spans="1:61" ht="15.75" customHeight="1" x14ac:dyDescent="0.25">
      <c r="A22" s="1"/>
      <c r="B22" s="281"/>
      <c r="C22" s="144"/>
      <c r="D22" s="145"/>
      <c r="E22" s="269" t="s">
        <v>122</v>
      </c>
      <c r="F22" s="270"/>
      <c r="G22" s="270"/>
      <c r="H22" s="270"/>
      <c r="I22" s="256"/>
      <c r="J22" s="268" t="str">
        <f>IF(AND('Mapa final'!$H$13="Media",'Mapa final'!$L$13="Leve"),CONCATENATE("R",'Mapa final'!$A$13),"")</f>
        <v/>
      </c>
      <c r="K22" s="254"/>
      <c r="L22" s="253" t="str">
        <f>IF(AND('Mapa final'!$H$19="Media",'Mapa final'!$L$19="Leve"),CONCATENATE("R",'Mapa final'!$A$19),"")</f>
        <v/>
      </c>
      <c r="M22" s="254"/>
      <c r="N22" s="253" t="e">
        <f>IF(AND('Mapa final'!#REF!="Media",'Mapa final'!#REF!="Leve"),CONCATENATE("R",'Mapa final'!#REF!),"")</f>
        <v>#REF!</v>
      </c>
      <c r="O22" s="256"/>
      <c r="P22" s="268" t="str">
        <f>IF(AND('Mapa final'!$H$13="Media",'Mapa final'!$L$13="Menor"),CONCATENATE("R",'Mapa final'!$A$13),"")</f>
        <v/>
      </c>
      <c r="Q22" s="254"/>
      <c r="R22" s="253" t="str">
        <f>IF(AND('Mapa final'!$H$19="Media",'Mapa final'!$L$19="Menor"),CONCATENATE("R",'Mapa final'!$A$19),"")</f>
        <v/>
      </c>
      <c r="S22" s="254"/>
      <c r="T22" s="253" t="e">
        <f>IF(AND('Mapa final'!#REF!="Media",'Mapa final'!#REF!="Menor"),CONCATENATE("R",'Mapa final'!#REF!),"")</f>
        <v>#REF!</v>
      </c>
      <c r="U22" s="256"/>
      <c r="V22" s="268" t="str">
        <f>IF(AND('Mapa final'!$H$13="Media",'Mapa final'!$L$13="Moderado"),CONCATENATE("R",'Mapa final'!$A$13),"")</f>
        <v/>
      </c>
      <c r="W22" s="254"/>
      <c r="X22" s="253" t="str">
        <f>IF(AND('Mapa final'!$H$19="Media",'Mapa final'!$L$19="Moderado"),CONCATENATE("R",'Mapa final'!$A$19),"")</f>
        <v>R2</v>
      </c>
      <c r="Y22" s="254"/>
      <c r="Z22" s="253" t="e">
        <f>IF(AND('Mapa final'!#REF!="Media",'Mapa final'!#REF!="Moderado"),CONCATENATE("R",'Mapa final'!#REF!),"")</f>
        <v>#REF!</v>
      </c>
      <c r="AA22" s="256"/>
      <c r="AB22" s="257" t="str">
        <f>IF(AND('Mapa final'!$H$13="Media",'Mapa final'!$L$13="Mayor"),CONCATENATE("R",'Mapa final'!$A$13),"")</f>
        <v>R1</v>
      </c>
      <c r="AC22" s="254"/>
      <c r="AD22" s="259" t="str">
        <f>IF(AND('Mapa final'!$H$19="Media",'Mapa final'!$L$19="Mayor"),CONCATENATE("R",'Mapa final'!$A$19),"")</f>
        <v/>
      </c>
      <c r="AE22" s="254"/>
      <c r="AF22" s="259" t="e">
        <f>IF(AND('Mapa final'!#REF!="Media",'Mapa final'!#REF!="Mayor"),CONCATENATE("R",'Mapa final'!#REF!),"")</f>
        <v>#REF!</v>
      </c>
      <c r="AG22" s="256"/>
      <c r="AH22" s="276" t="str">
        <f>IF(AND('Mapa final'!$H$13="Media",'Mapa final'!$L$13="Catastrófico"),CONCATENATE("R",'Mapa final'!$A$13),"")</f>
        <v/>
      </c>
      <c r="AI22" s="254"/>
      <c r="AJ22" s="260" t="str">
        <f>IF(AND('Mapa final'!$H$19="Media",'Mapa final'!$L$19="Catastrófico"),CONCATENATE("R",'Mapa final'!$A$19),"")</f>
        <v/>
      </c>
      <c r="AK22" s="254"/>
      <c r="AL22" s="260" t="e">
        <f>IF(AND('Mapa final'!#REF!="Media",'Mapa final'!#REF!="Catastrófico"),CONCATENATE("R",'Mapa final'!#REF!),"")</f>
        <v>#REF!</v>
      </c>
      <c r="AM22" s="256"/>
      <c r="AN22" s="1"/>
      <c r="AO22" s="297" t="s">
        <v>123</v>
      </c>
      <c r="AP22" s="288"/>
      <c r="AQ22" s="288"/>
      <c r="AR22" s="288"/>
      <c r="AS22" s="288"/>
      <c r="AT22" s="289"/>
      <c r="AU22" s="1"/>
      <c r="AV22" s="1"/>
      <c r="AW22" s="1"/>
      <c r="AX22" s="1"/>
      <c r="AY22" s="1"/>
      <c r="AZ22" s="1"/>
      <c r="BA22" s="1"/>
      <c r="BB22" s="1"/>
      <c r="BC22" s="1"/>
      <c r="BD22" s="1"/>
      <c r="BE22" s="1"/>
      <c r="BF22" s="1"/>
      <c r="BG22" s="1"/>
      <c r="BH22" s="1"/>
      <c r="BI22" s="1"/>
    </row>
    <row r="23" spans="1:61" ht="15.75" customHeight="1" x14ac:dyDescent="0.25">
      <c r="A23" s="1"/>
      <c r="B23" s="281"/>
      <c r="C23" s="144"/>
      <c r="D23" s="145"/>
      <c r="E23" s="156"/>
      <c r="F23" s="144"/>
      <c r="G23" s="144"/>
      <c r="H23" s="144"/>
      <c r="I23" s="145"/>
      <c r="J23" s="258"/>
      <c r="K23" s="255"/>
      <c r="L23" s="251"/>
      <c r="M23" s="255"/>
      <c r="N23" s="251"/>
      <c r="O23" s="252"/>
      <c r="P23" s="258"/>
      <c r="Q23" s="255"/>
      <c r="R23" s="251"/>
      <c r="S23" s="255"/>
      <c r="T23" s="251"/>
      <c r="U23" s="252"/>
      <c r="V23" s="258"/>
      <c r="W23" s="255"/>
      <c r="X23" s="251"/>
      <c r="Y23" s="255"/>
      <c r="Z23" s="251"/>
      <c r="AA23" s="252"/>
      <c r="AB23" s="258"/>
      <c r="AC23" s="255"/>
      <c r="AD23" s="251"/>
      <c r="AE23" s="255"/>
      <c r="AF23" s="251"/>
      <c r="AG23" s="252"/>
      <c r="AH23" s="258"/>
      <c r="AI23" s="255"/>
      <c r="AJ23" s="251"/>
      <c r="AK23" s="255"/>
      <c r="AL23" s="251"/>
      <c r="AM23" s="252"/>
      <c r="AN23" s="1"/>
      <c r="AO23" s="290"/>
      <c r="AP23" s="144"/>
      <c r="AQ23" s="144"/>
      <c r="AR23" s="144"/>
      <c r="AS23" s="144"/>
      <c r="AT23" s="291"/>
      <c r="AU23" s="1"/>
      <c r="AV23" s="1"/>
      <c r="AW23" s="1"/>
      <c r="AX23" s="1"/>
      <c r="AY23" s="1"/>
      <c r="AZ23" s="1"/>
      <c r="BA23" s="1"/>
      <c r="BB23" s="1"/>
      <c r="BC23" s="1"/>
      <c r="BD23" s="1"/>
      <c r="BE23" s="1"/>
      <c r="BF23" s="1"/>
      <c r="BG23" s="1"/>
      <c r="BH23" s="1"/>
      <c r="BI23" s="1"/>
    </row>
    <row r="24" spans="1:61" ht="15.75" customHeight="1" x14ac:dyDescent="0.25">
      <c r="A24" s="1"/>
      <c r="B24" s="281"/>
      <c r="C24" s="144"/>
      <c r="D24" s="145"/>
      <c r="E24" s="156"/>
      <c r="F24" s="144"/>
      <c r="G24" s="144"/>
      <c r="H24" s="144"/>
      <c r="I24" s="145"/>
      <c r="J24" s="263" t="e">
        <f>IF(AND('Mapa final'!#REF!="Media",'Mapa final'!#REF!="Leve"),CONCATENATE("R",'Mapa final'!#REF!),"")</f>
        <v>#REF!</v>
      </c>
      <c r="K24" s="262"/>
      <c r="L24" s="249" t="e">
        <f>IF(AND('Mapa final'!#REF!="Media",'Mapa final'!#REF!="Leve"),CONCATENATE("R",'Mapa final'!#REF!),"")</f>
        <v>#REF!</v>
      </c>
      <c r="M24" s="262"/>
      <c r="N24" s="249" t="e">
        <f>IF(AND('Mapa final'!#REF!="Media",'Mapa final'!#REF!="Leve"),CONCATENATE("R",'Mapa final'!#REF!),"")</f>
        <v>#REF!</v>
      </c>
      <c r="O24" s="250"/>
      <c r="P24" s="263" t="e">
        <f>IF(AND('Mapa final'!#REF!="Media",'Mapa final'!#REF!="Menor"),CONCATENATE("R",'Mapa final'!#REF!),"")</f>
        <v>#REF!</v>
      </c>
      <c r="Q24" s="262"/>
      <c r="R24" s="249" t="e">
        <f>IF(AND('Mapa final'!#REF!="Media",'Mapa final'!#REF!="Menor"),CONCATENATE("R",'Mapa final'!#REF!),"")</f>
        <v>#REF!</v>
      </c>
      <c r="S24" s="262"/>
      <c r="T24" s="249" t="e">
        <f>IF(AND('Mapa final'!#REF!="Media",'Mapa final'!#REF!="Menor"),CONCATENATE("R",'Mapa final'!#REF!),"")</f>
        <v>#REF!</v>
      </c>
      <c r="U24" s="250"/>
      <c r="V24" s="263" t="e">
        <f>IF(AND('Mapa final'!#REF!="Media",'Mapa final'!#REF!="Moderado"),CONCATENATE("R",'Mapa final'!#REF!),"")</f>
        <v>#REF!</v>
      </c>
      <c r="W24" s="262"/>
      <c r="X24" s="249" t="e">
        <f>IF(AND('Mapa final'!#REF!="Media",'Mapa final'!#REF!="Moderado"),CONCATENATE("R",'Mapa final'!#REF!),"")</f>
        <v>#REF!</v>
      </c>
      <c r="Y24" s="262"/>
      <c r="Z24" s="249" t="e">
        <f>IF(AND('Mapa final'!#REF!="Media",'Mapa final'!#REF!="Moderado"),CONCATENATE("R",'Mapa final'!#REF!),"")</f>
        <v>#REF!</v>
      </c>
      <c r="AA24" s="250"/>
      <c r="AB24" s="264" t="e">
        <f>IF(AND('Mapa final'!#REF!="Media",'Mapa final'!#REF!="Mayor"),CONCATENATE("R",'Mapa final'!#REF!),"")</f>
        <v>#REF!</v>
      </c>
      <c r="AC24" s="262"/>
      <c r="AD24" s="265" t="e">
        <f>IF(AND('Mapa final'!#REF!="Media",'Mapa final'!#REF!="Mayor"),CONCATENATE("R",'Mapa final'!#REF!),"")</f>
        <v>#REF!</v>
      </c>
      <c r="AE24" s="262"/>
      <c r="AF24" s="265" t="e">
        <f>IF(AND('Mapa final'!#REF!="Media",'Mapa final'!#REF!="Mayor"),CONCATENATE("R",'Mapa final'!#REF!),"")</f>
        <v>#REF!</v>
      </c>
      <c r="AG24" s="250"/>
      <c r="AH24" s="266" t="e">
        <f>IF(AND('Mapa final'!#REF!="Media",'Mapa final'!#REF!="Catastrófico"),CONCATENATE("R",'Mapa final'!#REF!),"")</f>
        <v>#REF!</v>
      </c>
      <c r="AI24" s="262"/>
      <c r="AJ24" s="267" t="e">
        <f>IF(AND('Mapa final'!#REF!="Media",'Mapa final'!#REF!="Catastrófico"),CONCATENATE("R",'Mapa final'!#REF!),"")</f>
        <v>#REF!</v>
      </c>
      <c r="AK24" s="262"/>
      <c r="AL24" s="267" t="e">
        <f>IF(AND('Mapa final'!#REF!="Media",'Mapa final'!#REF!="Catastrófico"),CONCATENATE("R",'Mapa final'!#REF!),"")</f>
        <v>#REF!</v>
      </c>
      <c r="AM24" s="250"/>
      <c r="AN24" s="1"/>
      <c r="AO24" s="290"/>
      <c r="AP24" s="144"/>
      <c r="AQ24" s="144"/>
      <c r="AR24" s="144"/>
      <c r="AS24" s="144"/>
      <c r="AT24" s="291"/>
      <c r="AU24" s="1"/>
      <c r="AV24" s="1"/>
      <c r="AW24" s="1"/>
      <c r="AX24" s="1"/>
      <c r="AY24" s="1"/>
      <c r="AZ24" s="1"/>
      <c r="BA24" s="1"/>
      <c r="BB24" s="1"/>
      <c r="BC24" s="1"/>
      <c r="BD24" s="1"/>
      <c r="BE24" s="1"/>
      <c r="BF24" s="1"/>
      <c r="BG24" s="1"/>
      <c r="BH24" s="1"/>
      <c r="BI24" s="1"/>
    </row>
    <row r="25" spans="1:61" ht="15.75" customHeight="1" x14ac:dyDescent="0.25">
      <c r="A25" s="1"/>
      <c r="B25" s="281"/>
      <c r="C25" s="144"/>
      <c r="D25" s="145"/>
      <c r="E25" s="156"/>
      <c r="F25" s="144"/>
      <c r="G25" s="144"/>
      <c r="H25" s="144"/>
      <c r="I25" s="145"/>
      <c r="J25" s="258"/>
      <c r="K25" s="255"/>
      <c r="L25" s="251"/>
      <c r="M25" s="255"/>
      <c r="N25" s="251"/>
      <c r="O25" s="252"/>
      <c r="P25" s="258"/>
      <c r="Q25" s="255"/>
      <c r="R25" s="251"/>
      <c r="S25" s="255"/>
      <c r="T25" s="251"/>
      <c r="U25" s="252"/>
      <c r="V25" s="258"/>
      <c r="W25" s="255"/>
      <c r="X25" s="251"/>
      <c r="Y25" s="255"/>
      <c r="Z25" s="251"/>
      <c r="AA25" s="252"/>
      <c r="AB25" s="258"/>
      <c r="AC25" s="255"/>
      <c r="AD25" s="251"/>
      <c r="AE25" s="255"/>
      <c r="AF25" s="251"/>
      <c r="AG25" s="252"/>
      <c r="AH25" s="258"/>
      <c r="AI25" s="255"/>
      <c r="AJ25" s="251"/>
      <c r="AK25" s="255"/>
      <c r="AL25" s="251"/>
      <c r="AM25" s="252"/>
      <c r="AN25" s="1"/>
      <c r="AO25" s="290"/>
      <c r="AP25" s="144"/>
      <c r="AQ25" s="144"/>
      <c r="AR25" s="144"/>
      <c r="AS25" s="144"/>
      <c r="AT25" s="291"/>
      <c r="AU25" s="1"/>
      <c r="AV25" s="1"/>
      <c r="AW25" s="1"/>
      <c r="AX25" s="1"/>
      <c r="AY25" s="1"/>
      <c r="AZ25" s="1"/>
      <c r="BA25" s="1"/>
      <c r="BB25" s="1"/>
      <c r="BC25" s="1"/>
      <c r="BD25" s="1"/>
      <c r="BE25" s="1"/>
      <c r="BF25" s="1"/>
      <c r="BG25" s="1"/>
      <c r="BH25" s="1"/>
      <c r="BI25" s="1"/>
    </row>
    <row r="26" spans="1:61" ht="15.75" customHeight="1" x14ac:dyDescent="0.25">
      <c r="A26" s="1"/>
      <c r="B26" s="281"/>
      <c r="C26" s="144"/>
      <c r="D26" s="145"/>
      <c r="E26" s="156"/>
      <c r="F26" s="144"/>
      <c r="G26" s="144"/>
      <c r="H26" s="144"/>
      <c r="I26" s="145"/>
      <c r="J26" s="263" t="e">
        <f>IF(AND('Mapa final'!#REF!="Media",'Mapa final'!#REF!="Leve"),CONCATENATE("R",'Mapa final'!#REF!),"")</f>
        <v>#REF!</v>
      </c>
      <c r="K26" s="262"/>
      <c r="L26" s="249" t="e">
        <f>IF(AND('Mapa final'!#REF!="Media",'Mapa final'!#REF!="Leve"),CONCATENATE("R",'Mapa final'!#REF!),"")</f>
        <v>#REF!</v>
      </c>
      <c r="M26" s="262"/>
      <c r="N26" s="249" t="e">
        <f>IF(AND('Mapa final'!#REF!="Media",'Mapa final'!#REF!="Leve"),CONCATENATE("R",'Mapa final'!#REF!),"")</f>
        <v>#REF!</v>
      </c>
      <c r="O26" s="250"/>
      <c r="P26" s="263" t="e">
        <f>IF(AND('Mapa final'!#REF!="Media",'Mapa final'!#REF!="Menor"),CONCATENATE("R",'Mapa final'!#REF!),"")</f>
        <v>#REF!</v>
      </c>
      <c r="Q26" s="262"/>
      <c r="R26" s="249" t="e">
        <f>IF(AND('Mapa final'!#REF!="Media",'Mapa final'!#REF!="Menor"),CONCATENATE("R",'Mapa final'!#REF!),"")</f>
        <v>#REF!</v>
      </c>
      <c r="S26" s="262"/>
      <c r="T26" s="249" t="e">
        <f>IF(AND('Mapa final'!#REF!="Media",'Mapa final'!#REF!="Menor"),CONCATENATE("R",'Mapa final'!#REF!),"")</f>
        <v>#REF!</v>
      </c>
      <c r="U26" s="250"/>
      <c r="V26" s="263" t="e">
        <f>IF(AND('Mapa final'!#REF!="Media",'Mapa final'!#REF!="Moderado"),CONCATENATE("R",'Mapa final'!#REF!),"")</f>
        <v>#REF!</v>
      </c>
      <c r="W26" s="262"/>
      <c r="X26" s="249" t="e">
        <f>IF(AND('Mapa final'!#REF!="Media",'Mapa final'!#REF!="Moderado"),CONCATENATE("R",'Mapa final'!#REF!),"")</f>
        <v>#REF!</v>
      </c>
      <c r="Y26" s="262"/>
      <c r="Z26" s="249" t="e">
        <f>IF(AND('Mapa final'!#REF!="Media",'Mapa final'!#REF!="Moderado"),CONCATENATE("R",'Mapa final'!#REF!),"")</f>
        <v>#REF!</v>
      </c>
      <c r="AA26" s="250"/>
      <c r="AB26" s="264" t="e">
        <f>IF(AND('Mapa final'!#REF!="Media",'Mapa final'!#REF!="Mayor"),CONCATENATE("R",'Mapa final'!#REF!),"")</f>
        <v>#REF!</v>
      </c>
      <c r="AC26" s="262"/>
      <c r="AD26" s="265" t="e">
        <f>IF(AND('Mapa final'!#REF!="Media",'Mapa final'!#REF!="Mayor"),CONCATENATE("R",'Mapa final'!#REF!),"")</f>
        <v>#REF!</v>
      </c>
      <c r="AE26" s="262"/>
      <c r="AF26" s="265" t="e">
        <f>IF(AND('Mapa final'!#REF!="Media",'Mapa final'!#REF!="Mayor"),CONCATENATE("R",'Mapa final'!#REF!),"")</f>
        <v>#REF!</v>
      </c>
      <c r="AG26" s="250"/>
      <c r="AH26" s="266" t="e">
        <f>IF(AND('Mapa final'!#REF!="Media",'Mapa final'!#REF!="Catastrófico"),CONCATENATE("R",'Mapa final'!#REF!),"")</f>
        <v>#REF!</v>
      </c>
      <c r="AI26" s="262"/>
      <c r="AJ26" s="267" t="e">
        <f>IF(AND('Mapa final'!#REF!="Media",'Mapa final'!#REF!="Catastrófico"),CONCATENATE("R",'Mapa final'!#REF!),"")</f>
        <v>#REF!</v>
      </c>
      <c r="AK26" s="262"/>
      <c r="AL26" s="267" t="e">
        <f>IF(AND('Mapa final'!#REF!="Media",'Mapa final'!#REF!="Catastrófico"),CONCATENATE("R",'Mapa final'!#REF!),"")</f>
        <v>#REF!</v>
      </c>
      <c r="AM26" s="250"/>
      <c r="AN26" s="1"/>
      <c r="AO26" s="290"/>
      <c r="AP26" s="144"/>
      <c r="AQ26" s="144"/>
      <c r="AR26" s="144"/>
      <c r="AS26" s="144"/>
      <c r="AT26" s="291"/>
      <c r="AU26" s="1"/>
      <c r="AV26" s="1"/>
      <c r="AW26" s="1"/>
      <c r="AX26" s="1"/>
      <c r="AY26" s="1"/>
      <c r="AZ26" s="1"/>
      <c r="BA26" s="1"/>
      <c r="BB26" s="1"/>
      <c r="BC26" s="1"/>
      <c r="BD26" s="1"/>
      <c r="BE26" s="1"/>
      <c r="BF26" s="1"/>
      <c r="BG26" s="1"/>
      <c r="BH26" s="1"/>
      <c r="BI26" s="1"/>
    </row>
    <row r="27" spans="1:61" ht="15.75" customHeight="1" x14ac:dyDescent="0.25">
      <c r="A27" s="1"/>
      <c r="B27" s="281"/>
      <c r="C27" s="144"/>
      <c r="D27" s="145"/>
      <c r="E27" s="156"/>
      <c r="F27" s="144"/>
      <c r="G27" s="144"/>
      <c r="H27" s="144"/>
      <c r="I27" s="145"/>
      <c r="J27" s="258"/>
      <c r="K27" s="255"/>
      <c r="L27" s="251"/>
      <c r="M27" s="255"/>
      <c r="N27" s="251"/>
      <c r="O27" s="252"/>
      <c r="P27" s="258"/>
      <c r="Q27" s="255"/>
      <c r="R27" s="251"/>
      <c r="S27" s="255"/>
      <c r="T27" s="251"/>
      <c r="U27" s="252"/>
      <c r="V27" s="258"/>
      <c r="W27" s="255"/>
      <c r="X27" s="251"/>
      <c r="Y27" s="255"/>
      <c r="Z27" s="251"/>
      <c r="AA27" s="252"/>
      <c r="AB27" s="258"/>
      <c r="AC27" s="255"/>
      <c r="AD27" s="251"/>
      <c r="AE27" s="255"/>
      <c r="AF27" s="251"/>
      <c r="AG27" s="252"/>
      <c r="AH27" s="258"/>
      <c r="AI27" s="255"/>
      <c r="AJ27" s="251"/>
      <c r="AK27" s="255"/>
      <c r="AL27" s="251"/>
      <c r="AM27" s="252"/>
      <c r="AN27" s="1"/>
      <c r="AO27" s="290"/>
      <c r="AP27" s="144"/>
      <c r="AQ27" s="144"/>
      <c r="AR27" s="144"/>
      <c r="AS27" s="144"/>
      <c r="AT27" s="291"/>
      <c r="AU27" s="1"/>
      <c r="AV27" s="1"/>
      <c r="AW27" s="1"/>
      <c r="AX27" s="1"/>
      <c r="AY27" s="1"/>
      <c r="AZ27" s="1"/>
      <c r="BA27" s="1"/>
      <c r="BB27" s="1"/>
      <c r="BC27" s="1"/>
      <c r="BD27" s="1"/>
      <c r="BE27" s="1"/>
      <c r="BF27" s="1"/>
      <c r="BG27" s="1"/>
      <c r="BH27" s="1"/>
      <c r="BI27" s="1"/>
    </row>
    <row r="28" spans="1:61" ht="15.75" customHeight="1" x14ac:dyDescent="0.25">
      <c r="A28" s="1"/>
      <c r="B28" s="281"/>
      <c r="C28" s="144"/>
      <c r="D28" s="145"/>
      <c r="E28" s="156"/>
      <c r="F28" s="144"/>
      <c r="G28" s="144"/>
      <c r="H28" s="144"/>
      <c r="I28" s="145"/>
      <c r="J28" s="263" t="e">
        <f>IF(AND('Mapa final'!#REF!="Media",'Mapa final'!#REF!="Leve"),CONCATENATE("R",'Mapa final'!#REF!),"")</f>
        <v>#REF!</v>
      </c>
      <c r="K28" s="262"/>
      <c r="L28" s="249" t="str">
        <f>IF(AND('Mapa final'!$H$25="Media",'Mapa final'!$L$25="Leve"),CONCATENATE("R",'Mapa final'!$A$25),"")</f>
        <v/>
      </c>
      <c r="M28" s="262"/>
      <c r="N28" s="249" t="str">
        <f>IF(AND('Mapa final'!$H$31="Media",'Mapa final'!$L$31="Leve"),CONCATENATE("R",'Mapa final'!$A$31),"")</f>
        <v/>
      </c>
      <c r="O28" s="250"/>
      <c r="P28" s="263" t="e">
        <f>IF(AND('Mapa final'!#REF!="Media",'Mapa final'!#REF!="Menor"),CONCATENATE("R",'Mapa final'!#REF!),"")</f>
        <v>#REF!</v>
      </c>
      <c r="Q28" s="262"/>
      <c r="R28" s="249" t="str">
        <f>IF(AND('Mapa final'!$H$25="Media",'Mapa final'!$L$25="Menor"),CONCATENATE("R",'Mapa final'!$A$25),"")</f>
        <v/>
      </c>
      <c r="S28" s="262"/>
      <c r="T28" s="249" t="str">
        <f>IF(AND('Mapa final'!$H$31="Media",'Mapa final'!$L$31="Menor"),CONCATENATE("R",'Mapa final'!$A$31),"")</f>
        <v/>
      </c>
      <c r="U28" s="250"/>
      <c r="V28" s="263" t="e">
        <f>IF(AND('Mapa final'!#REF!="Media",'Mapa final'!#REF!="Moderado"),CONCATENATE("R",'Mapa final'!#REF!),"")</f>
        <v>#REF!</v>
      </c>
      <c r="W28" s="262"/>
      <c r="X28" s="249" t="str">
        <f>IF(AND('Mapa final'!$H$25="Media",'Mapa final'!$L$25="Moderado"),CONCATENATE("R",'Mapa final'!$A$25),"")</f>
        <v/>
      </c>
      <c r="Y28" s="262"/>
      <c r="Z28" s="249" t="str">
        <f>IF(AND('Mapa final'!$H$31="Media",'Mapa final'!$L$31="Moderado"),CONCATENATE("R",'Mapa final'!$A$31),"")</f>
        <v/>
      </c>
      <c r="AA28" s="250"/>
      <c r="AB28" s="264" t="e">
        <f>IF(AND('Mapa final'!#REF!="Media",'Mapa final'!#REF!="Mayor"),CONCATENATE("R",'Mapa final'!#REF!),"")</f>
        <v>#REF!</v>
      </c>
      <c r="AC28" s="262"/>
      <c r="AD28" s="265" t="str">
        <f>IF(AND('Mapa final'!$H$25="Media",'Mapa final'!$L$25="Mayor"),CONCATENATE("R",'Mapa final'!$A$25),"")</f>
        <v/>
      </c>
      <c r="AE28" s="262"/>
      <c r="AF28" s="265" t="str">
        <f>IF(AND('Mapa final'!$H$31="Media",'Mapa final'!$L$31="Mayor"),CONCATENATE("R",'Mapa final'!$A$31),"")</f>
        <v/>
      </c>
      <c r="AG28" s="250"/>
      <c r="AH28" s="266" t="e">
        <f>IF(AND('Mapa final'!#REF!="Media",'Mapa final'!#REF!="Catastrófico"),CONCATENATE("R",'Mapa final'!#REF!),"")</f>
        <v>#REF!</v>
      </c>
      <c r="AI28" s="262"/>
      <c r="AJ28" s="267" t="str">
        <f>IF(AND('Mapa final'!$H$25="Media",'Mapa final'!$L$25="Catastrófico"),CONCATENATE("R",'Mapa final'!$A$25),"")</f>
        <v/>
      </c>
      <c r="AK28" s="262"/>
      <c r="AL28" s="267" t="str">
        <f>IF(AND('Mapa final'!$H$31="Media",'Mapa final'!$L$31="Catastrófico"),CONCATENATE("R",'Mapa final'!$A$31),"")</f>
        <v/>
      </c>
      <c r="AM28" s="250"/>
      <c r="AN28" s="1"/>
      <c r="AO28" s="290"/>
      <c r="AP28" s="144"/>
      <c r="AQ28" s="144"/>
      <c r="AR28" s="144"/>
      <c r="AS28" s="144"/>
      <c r="AT28" s="291"/>
      <c r="AU28" s="1"/>
      <c r="AV28" s="1"/>
      <c r="AW28" s="1"/>
      <c r="AX28" s="1"/>
      <c r="AY28" s="1"/>
      <c r="AZ28" s="1"/>
      <c r="BA28" s="1"/>
      <c r="BB28" s="1"/>
      <c r="BC28" s="1"/>
      <c r="BD28" s="1"/>
      <c r="BE28" s="1"/>
      <c r="BF28" s="1"/>
      <c r="BG28" s="1"/>
      <c r="BH28" s="1"/>
      <c r="BI28" s="1"/>
    </row>
    <row r="29" spans="1:61" ht="15.75" customHeight="1" x14ac:dyDescent="0.25">
      <c r="A29" s="1"/>
      <c r="B29" s="281"/>
      <c r="C29" s="144"/>
      <c r="D29" s="145"/>
      <c r="E29" s="271"/>
      <c r="F29" s="272"/>
      <c r="G29" s="272"/>
      <c r="H29" s="272"/>
      <c r="I29" s="275"/>
      <c r="J29" s="258"/>
      <c r="K29" s="255"/>
      <c r="L29" s="251"/>
      <c r="M29" s="255"/>
      <c r="N29" s="251"/>
      <c r="O29" s="252"/>
      <c r="P29" s="271"/>
      <c r="Q29" s="273"/>
      <c r="R29" s="274"/>
      <c r="S29" s="273"/>
      <c r="T29" s="274"/>
      <c r="U29" s="275"/>
      <c r="V29" s="271"/>
      <c r="W29" s="273"/>
      <c r="X29" s="274"/>
      <c r="Y29" s="273"/>
      <c r="Z29" s="274"/>
      <c r="AA29" s="275"/>
      <c r="AB29" s="271"/>
      <c r="AC29" s="273"/>
      <c r="AD29" s="274"/>
      <c r="AE29" s="273"/>
      <c r="AF29" s="274"/>
      <c r="AG29" s="275"/>
      <c r="AH29" s="271"/>
      <c r="AI29" s="273"/>
      <c r="AJ29" s="274"/>
      <c r="AK29" s="273"/>
      <c r="AL29" s="274"/>
      <c r="AM29" s="275"/>
      <c r="AN29" s="1"/>
      <c r="AO29" s="292"/>
      <c r="AP29" s="293"/>
      <c r="AQ29" s="293"/>
      <c r="AR29" s="293"/>
      <c r="AS29" s="293"/>
      <c r="AT29" s="294"/>
      <c r="AU29" s="1"/>
      <c r="AV29" s="1"/>
      <c r="AW29" s="1"/>
      <c r="AX29" s="1"/>
      <c r="AY29" s="1"/>
      <c r="AZ29" s="1"/>
      <c r="BA29" s="1"/>
      <c r="BB29" s="1"/>
      <c r="BC29" s="1"/>
      <c r="BD29" s="1"/>
      <c r="BE29" s="1"/>
      <c r="BF29" s="1"/>
      <c r="BG29" s="1"/>
      <c r="BH29" s="1"/>
      <c r="BI29" s="1"/>
    </row>
    <row r="30" spans="1:61" ht="15.75" customHeight="1" x14ac:dyDescent="0.25">
      <c r="A30" s="1"/>
      <c r="B30" s="281"/>
      <c r="C30" s="144"/>
      <c r="D30" s="145"/>
      <c r="E30" s="269" t="s">
        <v>124</v>
      </c>
      <c r="F30" s="270"/>
      <c r="G30" s="270"/>
      <c r="H30" s="270"/>
      <c r="I30" s="270"/>
      <c r="J30" s="286" t="str">
        <f>IF(AND('Mapa final'!$H$13="Baja",'Mapa final'!$L$13="Leve"),CONCATENATE("R",'Mapa final'!$A$13),"")</f>
        <v/>
      </c>
      <c r="K30" s="254"/>
      <c r="L30" s="285" t="str">
        <f>IF(AND('Mapa final'!$H$19="Baja",'Mapa final'!$L$19="Leve"),CONCATENATE("R",'Mapa final'!$A$19),"")</f>
        <v/>
      </c>
      <c r="M30" s="254"/>
      <c r="N30" s="285" t="e">
        <f>IF(AND('Mapa final'!#REF!="Baja",'Mapa final'!#REF!="Leve"),CONCATENATE("R",'Mapa final'!#REF!),"")</f>
        <v>#REF!</v>
      </c>
      <c r="O30" s="256"/>
      <c r="P30" s="253" t="str">
        <f>IF(AND('Mapa final'!$H$13="Baja",'Mapa final'!$L$13="Menor"),CONCATENATE("R",'Mapa final'!$A$13),"")</f>
        <v/>
      </c>
      <c r="Q30" s="254"/>
      <c r="R30" s="253" t="str">
        <f>IF(AND('Mapa final'!$H$19="Baja",'Mapa final'!$L$19="Menor"),CONCATENATE("R",'Mapa final'!$A$19),"")</f>
        <v/>
      </c>
      <c r="S30" s="254"/>
      <c r="T30" s="253" t="e">
        <f>IF(AND('Mapa final'!#REF!="Baja",'Mapa final'!#REF!="Menor"),CONCATENATE("R",'Mapa final'!#REF!),"")</f>
        <v>#REF!</v>
      </c>
      <c r="U30" s="256"/>
      <c r="V30" s="268" t="str">
        <f>IF(AND('Mapa final'!$H$13="Baja",'Mapa final'!$L$13="Moderado"),CONCATENATE("R",'Mapa final'!$A$13),"")</f>
        <v/>
      </c>
      <c r="W30" s="254"/>
      <c r="X30" s="253" t="str">
        <f>IF(AND('Mapa final'!$H$19="Baja",'Mapa final'!$L$19="Moderado"),CONCATENATE("R",'Mapa final'!$A$19),"")</f>
        <v/>
      </c>
      <c r="Y30" s="254"/>
      <c r="Z30" s="253" t="e">
        <f>IF(AND('Mapa final'!#REF!="Baja",'Mapa final'!#REF!="Moderado"),CONCATENATE("R",'Mapa final'!#REF!),"")</f>
        <v>#REF!</v>
      </c>
      <c r="AA30" s="256"/>
      <c r="AB30" s="257" t="str">
        <f>IF(AND('Mapa final'!$H$13="Baja",'Mapa final'!$L$13="Mayor"),CONCATENATE("R",'Mapa final'!$A$13),"")</f>
        <v/>
      </c>
      <c r="AC30" s="254"/>
      <c r="AD30" s="259" t="str">
        <f>IF(AND('Mapa final'!$H$19="Baja",'Mapa final'!$L$19="Mayor"),CONCATENATE("R",'Mapa final'!$A$19),"")</f>
        <v/>
      </c>
      <c r="AE30" s="254"/>
      <c r="AF30" s="259" t="e">
        <f>IF(AND('Mapa final'!#REF!="Baja",'Mapa final'!#REF!="Mayor"),CONCATENATE("R",'Mapa final'!#REF!),"")</f>
        <v>#REF!</v>
      </c>
      <c r="AG30" s="256"/>
      <c r="AH30" s="276" t="str">
        <f>IF(AND('Mapa final'!$H$13="Baja",'Mapa final'!$L$13="Catastrófico"),CONCATENATE("R",'Mapa final'!$A$13),"")</f>
        <v/>
      </c>
      <c r="AI30" s="254"/>
      <c r="AJ30" s="260" t="str">
        <f>IF(AND('Mapa final'!$H$19="Baja",'Mapa final'!$L$19="Catastrófico"),CONCATENATE("R",'Mapa final'!$A$19),"")</f>
        <v/>
      </c>
      <c r="AK30" s="254"/>
      <c r="AL30" s="260" t="e">
        <f>IF(AND('Mapa final'!#REF!="Baja",'Mapa final'!#REF!="Catastrófico"),CONCATENATE("R",'Mapa final'!#REF!),"")</f>
        <v>#REF!</v>
      </c>
      <c r="AM30" s="256"/>
      <c r="AN30" s="1"/>
      <c r="AO30" s="295" t="s">
        <v>125</v>
      </c>
      <c r="AP30" s="288"/>
      <c r="AQ30" s="288"/>
      <c r="AR30" s="288"/>
      <c r="AS30" s="288"/>
      <c r="AT30" s="289"/>
      <c r="AU30" s="1"/>
      <c r="AV30" s="1"/>
      <c r="AW30" s="1"/>
      <c r="AX30" s="1"/>
      <c r="AY30" s="1"/>
      <c r="AZ30" s="1"/>
      <c r="BA30" s="1"/>
      <c r="BB30" s="1"/>
      <c r="BC30" s="1"/>
      <c r="BD30" s="1"/>
      <c r="BE30" s="1"/>
      <c r="BF30" s="1"/>
      <c r="BG30" s="1"/>
      <c r="BH30" s="1"/>
      <c r="BI30" s="1"/>
    </row>
    <row r="31" spans="1:61" ht="15.75" customHeight="1" x14ac:dyDescent="0.25">
      <c r="A31" s="1"/>
      <c r="B31" s="281"/>
      <c r="C31" s="144"/>
      <c r="D31" s="145"/>
      <c r="E31" s="156"/>
      <c r="F31" s="144"/>
      <c r="G31" s="144"/>
      <c r="H31" s="144"/>
      <c r="I31" s="144"/>
      <c r="J31" s="258"/>
      <c r="K31" s="255"/>
      <c r="L31" s="251"/>
      <c r="M31" s="255"/>
      <c r="N31" s="251"/>
      <c r="O31" s="252"/>
      <c r="P31" s="251"/>
      <c r="Q31" s="255"/>
      <c r="R31" s="251"/>
      <c r="S31" s="255"/>
      <c r="T31" s="251"/>
      <c r="U31" s="252"/>
      <c r="V31" s="258"/>
      <c r="W31" s="255"/>
      <c r="X31" s="251"/>
      <c r="Y31" s="255"/>
      <c r="Z31" s="251"/>
      <c r="AA31" s="252"/>
      <c r="AB31" s="258"/>
      <c r="AC31" s="255"/>
      <c r="AD31" s="251"/>
      <c r="AE31" s="255"/>
      <c r="AF31" s="251"/>
      <c r="AG31" s="252"/>
      <c r="AH31" s="258"/>
      <c r="AI31" s="255"/>
      <c r="AJ31" s="251"/>
      <c r="AK31" s="255"/>
      <c r="AL31" s="251"/>
      <c r="AM31" s="252"/>
      <c r="AN31" s="1"/>
      <c r="AO31" s="290"/>
      <c r="AP31" s="144"/>
      <c r="AQ31" s="144"/>
      <c r="AR31" s="144"/>
      <c r="AS31" s="144"/>
      <c r="AT31" s="291"/>
      <c r="AU31" s="1"/>
      <c r="AV31" s="1"/>
      <c r="AW31" s="1"/>
      <c r="AX31" s="1"/>
      <c r="AY31" s="1"/>
      <c r="AZ31" s="1"/>
      <c r="BA31" s="1"/>
      <c r="BB31" s="1"/>
      <c r="BC31" s="1"/>
      <c r="BD31" s="1"/>
      <c r="BE31" s="1"/>
      <c r="BF31" s="1"/>
      <c r="BG31" s="1"/>
      <c r="BH31" s="1"/>
      <c r="BI31" s="1"/>
    </row>
    <row r="32" spans="1:61" ht="15.75" customHeight="1" x14ac:dyDescent="0.25">
      <c r="A32" s="1"/>
      <c r="B32" s="281"/>
      <c r="C32" s="144"/>
      <c r="D32" s="145"/>
      <c r="E32" s="156"/>
      <c r="F32" s="144"/>
      <c r="G32" s="144"/>
      <c r="H32" s="144"/>
      <c r="I32" s="144"/>
      <c r="J32" s="277" t="e">
        <f>IF(AND('Mapa final'!#REF!="Baja",'Mapa final'!#REF!="Leve"),CONCATENATE("R",'Mapa final'!#REF!),"")</f>
        <v>#REF!</v>
      </c>
      <c r="K32" s="262"/>
      <c r="L32" s="261" t="e">
        <f>IF(AND('Mapa final'!#REF!="Baja",'Mapa final'!#REF!="Leve"),CONCATENATE("R",'Mapa final'!#REF!),"")</f>
        <v>#REF!</v>
      </c>
      <c r="M32" s="262"/>
      <c r="N32" s="261" t="e">
        <f>IF(AND('Mapa final'!#REF!="Baja",'Mapa final'!#REF!="Leve"),CONCATENATE("R",'Mapa final'!#REF!),"")</f>
        <v>#REF!</v>
      </c>
      <c r="O32" s="250"/>
      <c r="P32" s="249" t="e">
        <f>IF(AND('Mapa final'!#REF!="Baja",'Mapa final'!#REF!="Menor"),CONCATENATE("R",'Mapa final'!#REF!),"")</f>
        <v>#REF!</v>
      </c>
      <c r="Q32" s="262"/>
      <c r="R32" s="249" t="e">
        <f>IF(AND('Mapa final'!#REF!="Baja",'Mapa final'!#REF!="Menor"),CONCATENATE("R",'Mapa final'!#REF!),"")</f>
        <v>#REF!</v>
      </c>
      <c r="S32" s="262"/>
      <c r="T32" s="249" t="e">
        <f>IF(AND('Mapa final'!#REF!="Baja",'Mapa final'!#REF!="Menor"),CONCATENATE("R",'Mapa final'!#REF!),"")</f>
        <v>#REF!</v>
      </c>
      <c r="U32" s="250"/>
      <c r="V32" s="263" t="e">
        <f>IF(AND('Mapa final'!#REF!="Baja",'Mapa final'!#REF!="Moderado"),CONCATENATE("R",'Mapa final'!#REF!),"")</f>
        <v>#REF!</v>
      </c>
      <c r="W32" s="262"/>
      <c r="X32" s="249" t="e">
        <f>IF(AND('Mapa final'!#REF!="Baja",'Mapa final'!#REF!="Moderado"),CONCATENATE("R",'Mapa final'!#REF!),"")</f>
        <v>#REF!</v>
      </c>
      <c r="Y32" s="262"/>
      <c r="Z32" s="249" t="e">
        <f>IF(AND('Mapa final'!#REF!="Baja",'Mapa final'!#REF!="Moderado"),CONCATENATE("R",'Mapa final'!#REF!),"")</f>
        <v>#REF!</v>
      </c>
      <c r="AA32" s="250"/>
      <c r="AB32" s="264" t="e">
        <f>IF(AND('Mapa final'!#REF!="Baja",'Mapa final'!#REF!="Mayor"),CONCATENATE("R",'Mapa final'!#REF!),"")</f>
        <v>#REF!</v>
      </c>
      <c r="AC32" s="262"/>
      <c r="AD32" s="265" t="e">
        <f>IF(AND('Mapa final'!#REF!="Baja",'Mapa final'!#REF!="Mayor"),CONCATENATE("R",'Mapa final'!#REF!),"")</f>
        <v>#REF!</v>
      </c>
      <c r="AE32" s="262"/>
      <c r="AF32" s="265" t="e">
        <f>IF(AND('Mapa final'!#REF!="Baja",'Mapa final'!#REF!="Mayor"),CONCATENATE("R",'Mapa final'!#REF!),"")</f>
        <v>#REF!</v>
      </c>
      <c r="AG32" s="250"/>
      <c r="AH32" s="266" t="e">
        <f>IF(AND('Mapa final'!#REF!="Baja",'Mapa final'!#REF!="Catastrófico"),CONCATENATE("R",'Mapa final'!#REF!),"")</f>
        <v>#REF!</v>
      </c>
      <c r="AI32" s="262"/>
      <c r="AJ32" s="267" t="e">
        <f>IF(AND('Mapa final'!#REF!="Baja",'Mapa final'!#REF!="Catastrófico"),CONCATENATE("R",'Mapa final'!#REF!),"")</f>
        <v>#REF!</v>
      </c>
      <c r="AK32" s="262"/>
      <c r="AL32" s="267" t="e">
        <f>IF(AND('Mapa final'!#REF!="Baja",'Mapa final'!#REF!="Catastrófico"),CONCATENATE("R",'Mapa final'!#REF!),"")</f>
        <v>#REF!</v>
      </c>
      <c r="AM32" s="250"/>
      <c r="AN32" s="1"/>
      <c r="AO32" s="290"/>
      <c r="AP32" s="144"/>
      <c r="AQ32" s="144"/>
      <c r="AR32" s="144"/>
      <c r="AS32" s="144"/>
      <c r="AT32" s="291"/>
      <c r="AU32" s="1"/>
      <c r="AV32" s="1"/>
      <c r="AW32" s="1"/>
      <c r="AX32" s="1"/>
      <c r="AY32" s="1"/>
      <c r="AZ32" s="1"/>
      <c r="BA32" s="1"/>
      <c r="BB32" s="1"/>
      <c r="BC32" s="1"/>
      <c r="BD32" s="1"/>
      <c r="BE32" s="1"/>
      <c r="BF32" s="1"/>
      <c r="BG32" s="1"/>
      <c r="BH32" s="1"/>
      <c r="BI32" s="1"/>
    </row>
    <row r="33" spans="1:61" ht="15.75" customHeight="1" x14ac:dyDescent="0.25">
      <c r="A33" s="1"/>
      <c r="B33" s="281"/>
      <c r="C33" s="144"/>
      <c r="D33" s="145"/>
      <c r="E33" s="156"/>
      <c r="F33" s="144"/>
      <c r="G33" s="144"/>
      <c r="H33" s="144"/>
      <c r="I33" s="144"/>
      <c r="J33" s="258"/>
      <c r="K33" s="255"/>
      <c r="L33" s="251"/>
      <c r="M33" s="255"/>
      <c r="N33" s="251"/>
      <c r="O33" s="252"/>
      <c r="P33" s="251"/>
      <c r="Q33" s="255"/>
      <c r="R33" s="251"/>
      <c r="S33" s="255"/>
      <c r="T33" s="251"/>
      <c r="U33" s="252"/>
      <c r="V33" s="258"/>
      <c r="W33" s="255"/>
      <c r="X33" s="251"/>
      <c r="Y33" s="255"/>
      <c r="Z33" s="251"/>
      <c r="AA33" s="252"/>
      <c r="AB33" s="258"/>
      <c r="AC33" s="255"/>
      <c r="AD33" s="251"/>
      <c r="AE33" s="255"/>
      <c r="AF33" s="251"/>
      <c r="AG33" s="252"/>
      <c r="AH33" s="258"/>
      <c r="AI33" s="255"/>
      <c r="AJ33" s="251"/>
      <c r="AK33" s="255"/>
      <c r="AL33" s="251"/>
      <c r="AM33" s="252"/>
      <c r="AN33" s="1"/>
      <c r="AO33" s="290"/>
      <c r="AP33" s="144"/>
      <c r="AQ33" s="144"/>
      <c r="AR33" s="144"/>
      <c r="AS33" s="144"/>
      <c r="AT33" s="291"/>
      <c r="AU33" s="1"/>
      <c r="AV33" s="1"/>
      <c r="AW33" s="1"/>
      <c r="AX33" s="1"/>
      <c r="AY33" s="1"/>
      <c r="AZ33" s="1"/>
      <c r="BA33" s="1"/>
      <c r="BB33" s="1"/>
      <c r="BC33" s="1"/>
      <c r="BD33" s="1"/>
      <c r="BE33" s="1"/>
      <c r="BF33" s="1"/>
      <c r="BG33" s="1"/>
      <c r="BH33" s="1"/>
      <c r="BI33" s="1"/>
    </row>
    <row r="34" spans="1:61" ht="15.75" customHeight="1" x14ac:dyDescent="0.25">
      <c r="A34" s="1"/>
      <c r="B34" s="281"/>
      <c r="C34" s="144"/>
      <c r="D34" s="145"/>
      <c r="E34" s="156"/>
      <c r="F34" s="144"/>
      <c r="G34" s="144"/>
      <c r="H34" s="144"/>
      <c r="I34" s="144"/>
      <c r="J34" s="277" t="e">
        <f>IF(AND('Mapa final'!#REF!="Baja",'Mapa final'!#REF!="Leve"),CONCATENATE("R",'Mapa final'!#REF!),"")</f>
        <v>#REF!</v>
      </c>
      <c r="K34" s="262"/>
      <c r="L34" s="261" t="e">
        <f>IF(AND('Mapa final'!#REF!="Baja",'Mapa final'!#REF!="Leve"),CONCATENATE("R",'Mapa final'!#REF!),"")</f>
        <v>#REF!</v>
      </c>
      <c r="M34" s="262"/>
      <c r="N34" s="261" t="e">
        <f>IF(AND('Mapa final'!#REF!="Baja",'Mapa final'!#REF!="Leve"),CONCATENATE("R",'Mapa final'!#REF!),"")</f>
        <v>#REF!</v>
      </c>
      <c r="O34" s="250"/>
      <c r="P34" s="249" t="e">
        <f>IF(AND('Mapa final'!#REF!="Baja",'Mapa final'!#REF!="Menor"),CONCATENATE("R",'Mapa final'!#REF!),"")</f>
        <v>#REF!</v>
      </c>
      <c r="Q34" s="262"/>
      <c r="R34" s="249" t="e">
        <f>IF(AND('Mapa final'!#REF!="Baja",'Mapa final'!#REF!="Menor"),CONCATENATE("R",'Mapa final'!#REF!),"")</f>
        <v>#REF!</v>
      </c>
      <c r="S34" s="262"/>
      <c r="T34" s="249" t="e">
        <f>IF(AND('Mapa final'!#REF!="Baja",'Mapa final'!#REF!="Menor"),CONCATENATE("R",'Mapa final'!#REF!),"")</f>
        <v>#REF!</v>
      </c>
      <c r="U34" s="250"/>
      <c r="V34" s="263" t="e">
        <f>IF(AND('Mapa final'!#REF!="Baja",'Mapa final'!#REF!="Moderado"),CONCATENATE("R",'Mapa final'!#REF!),"")</f>
        <v>#REF!</v>
      </c>
      <c r="W34" s="262"/>
      <c r="X34" s="249" t="e">
        <f>IF(AND('Mapa final'!#REF!="Baja",'Mapa final'!#REF!="Moderado"),CONCATENATE("R",'Mapa final'!#REF!),"")</f>
        <v>#REF!</v>
      </c>
      <c r="Y34" s="262"/>
      <c r="Z34" s="249" t="e">
        <f>IF(AND('Mapa final'!#REF!="Baja",'Mapa final'!#REF!="Moderado"),CONCATENATE("R",'Mapa final'!#REF!),"")</f>
        <v>#REF!</v>
      </c>
      <c r="AA34" s="250"/>
      <c r="AB34" s="264" t="e">
        <f>IF(AND('Mapa final'!#REF!="Baja",'Mapa final'!#REF!="Mayor"),CONCATENATE("R",'Mapa final'!#REF!),"")</f>
        <v>#REF!</v>
      </c>
      <c r="AC34" s="262"/>
      <c r="AD34" s="265" t="e">
        <f>IF(AND('Mapa final'!#REF!="Baja",'Mapa final'!#REF!="Mayor"),CONCATENATE("R",'Mapa final'!#REF!),"")</f>
        <v>#REF!</v>
      </c>
      <c r="AE34" s="262"/>
      <c r="AF34" s="265" t="e">
        <f>IF(AND('Mapa final'!#REF!="Baja",'Mapa final'!#REF!="Mayor"),CONCATENATE("R",'Mapa final'!#REF!),"")</f>
        <v>#REF!</v>
      </c>
      <c r="AG34" s="250"/>
      <c r="AH34" s="266" t="e">
        <f>IF(AND('Mapa final'!#REF!="Baja",'Mapa final'!#REF!="Catastrófico"),CONCATENATE("R",'Mapa final'!#REF!),"")</f>
        <v>#REF!</v>
      </c>
      <c r="AI34" s="262"/>
      <c r="AJ34" s="267" t="e">
        <f>IF(AND('Mapa final'!#REF!="Baja",'Mapa final'!#REF!="Catastrófico"),CONCATENATE("R",'Mapa final'!#REF!),"")</f>
        <v>#REF!</v>
      </c>
      <c r="AK34" s="262"/>
      <c r="AL34" s="267" t="e">
        <f>IF(AND('Mapa final'!#REF!="Baja",'Mapa final'!#REF!="Catastrófico"),CONCATENATE("R",'Mapa final'!#REF!),"")</f>
        <v>#REF!</v>
      </c>
      <c r="AM34" s="250"/>
      <c r="AN34" s="1"/>
      <c r="AO34" s="290"/>
      <c r="AP34" s="144"/>
      <c r="AQ34" s="144"/>
      <c r="AR34" s="144"/>
      <c r="AS34" s="144"/>
      <c r="AT34" s="291"/>
      <c r="AU34" s="1"/>
      <c r="AV34" s="1"/>
      <c r="AW34" s="1"/>
      <c r="AX34" s="1"/>
      <c r="AY34" s="1"/>
      <c r="AZ34" s="1"/>
      <c r="BA34" s="1"/>
      <c r="BB34" s="1"/>
      <c r="BC34" s="1"/>
      <c r="BD34" s="1"/>
      <c r="BE34" s="1"/>
      <c r="BF34" s="1"/>
      <c r="BG34" s="1"/>
      <c r="BH34" s="1"/>
      <c r="BI34" s="1"/>
    </row>
    <row r="35" spans="1:61" ht="15.75" customHeight="1" x14ac:dyDescent="0.25">
      <c r="A35" s="1"/>
      <c r="B35" s="281"/>
      <c r="C35" s="144"/>
      <c r="D35" s="145"/>
      <c r="E35" s="156"/>
      <c r="F35" s="144"/>
      <c r="G35" s="144"/>
      <c r="H35" s="144"/>
      <c r="I35" s="144"/>
      <c r="J35" s="258"/>
      <c r="K35" s="255"/>
      <c r="L35" s="251"/>
      <c r="M35" s="255"/>
      <c r="N35" s="251"/>
      <c r="O35" s="252"/>
      <c r="P35" s="251"/>
      <c r="Q35" s="255"/>
      <c r="R35" s="251"/>
      <c r="S35" s="255"/>
      <c r="T35" s="251"/>
      <c r="U35" s="252"/>
      <c r="V35" s="258"/>
      <c r="W35" s="255"/>
      <c r="X35" s="251"/>
      <c r="Y35" s="255"/>
      <c r="Z35" s="251"/>
      <c r="AA35" s="252"/>
      <c r="AB35" s="258"/>
      <c r="AC35" s="255"/>
      <c r="AD35" s="251"/>
      <c r="AE35" s="255"/>
      <c r="AF35" s="251"/>
      <c r="AG35" s="252"/>
      <c r="AH35" s="258"/>
      <c r="AI35" s="255"/>
      <c r="AJ35" s="251"/>
      <c r="AK35" s="255"/>
      <c r="AL35" s="251"/>
      <c r="AM35" s="252"/>
      <c r="AN35" s="1"/>
      <c r="AO35" s="290"/>
      <c r="AP35" s="144"/>
      <c r="AQ35" s="144"/>
      <c r="AR35" s="144"/>
      <c r="AS35" s="144"/>
      <c r="AT35" s="291"/>
      <c r="AU35" s="1"/>
      <c r="AV35" s="1"/>
      <c r="AW35" s="1"/>
      <c r="AX35" s="1"/>
      <c r="AY35" s="1"/>
      <c r="AZ35" s="1"/>
      <c r="BA35" s="1"/>
      <c r="BB35" s="1"/>
      <c r="BC35" s="1"/>
      <c r="BD35" s="1"/>
      <c r="BE35" s="1"/>
      <c r="BF35" s="1"/>
      <c r="BG35" s="1"/>
      <c r="BH35" s="1"/>
      <c r="BI35" s="1"/>
    </row>
    <row r="36" spans="1:61" ht="15.75" customHeight="1" x14ac:dyDescent="0.25">
      <c r="A36" s="1"/>
      <c r="B36" s="281"/>
      <c r="C36" s="144"/>
      <c r="D36" s="145"/>
      <c r="E36" s="156"/>
      <c r="F36" s="144"/>
      <c r="G36" s="144"/>
      <c r="H36" s="144"/>
      <c r="I36" s="144"/>
      <c r="J36" s="277" t="e">
        <f>IF(AND('Mapa final'!#REF!="Baja",'Mapa final'!#REF!="Leve"),CONCATENATE("R",'Mapa final'!#REF!),"")</f>
        <v>#REF!</v>
      </c>
      <c r="K36" s="262"/>
      <c r="L36" s="261" t="str">
        <f>IF(AND('Mapa final'!$H$25="Baja",'Mapa final'!$L$25="Leve"),CONCATENATE("R",'Mapa final'!$A$25),"")</f>
        <v/>
      </c>
      <c r="M36" s="262"/>
      <c r="N36" s="261" t="str">
        <f>IF(AND('Mapa final'!$H$31="Baja",'Mapa final'!$L$31="Leve"),CONCATENATE("R",'Mapa final'!$A$31),"")</f>
        <v/>
      </c>
      <c r="O36" s="250"/>
      <c r="P36" s="249" t="e">
        <f>IF(AND('Mapa final'!#REF!="Baja",'Mapa final'!#REF!="Menor"),CONCATENATE("R",'Mapa final'!#REF!),"")</f>
        <v>#REF!</v>
      </c>
      <c r="Q36" s="262"/>
      <c r="R36" s="249" t="str">
        <f>IF(AND('Mapa final'!$H$25="Baja",'Mapa final'!$L$25="Menor"),CONCATENATE("R",'Mapa final'!$A$25),"")</f>
        <v/>
      </c>
      <c r="S36" s="262"/>
      <c r="T36" s="249" t="str">
        <f>IF(AND('Mapa final'!$H$31="Baja",'Mapa final'!$L$31="Menor"),CONCATENATE("R",'Mapa final'!$A$31),"")</f>
        <v/>
      </c>
      <c r="U36" s="250"/>
      <c r="V36" s="263" t="e">
        <f>IF(AND('Mapa final'!#REF!="Baja",'Mapa final'!#REF!="Moderado"),CONCATENATE("R",'Mapa final'!#REF!),"")</f>
        <v>#REF!</v>
      </c>
      <c r="W36" s="262"/>
      <c r="X36" s="249" t="str">
        <f>IF(AND('Mapa final'!$H$25="Baja",'Mapa final'!$L$25="Moderado"),CONCATENATE("R",'Mapa final'!$A$25),"")</f>
        <v/>
      </c>
      <c r="Y36" s="262"/>
      <c r="Z36" s="249" t="str">
        <f>IF(AND('Mapa final'!$H$31="Baja",'Mapa final'!$L$31="Moderado"),CONCATENATE("R",'Mapa final'!$A$31),"")</f>
        <v/>
      </c>
      <c r="AA36" s="250"/>
      <c r="AB36" s="264" t="e">
        <f>IF(AND('Mapa final'!#REF!="Baja",'Mapa final'!#REF!="Mayor"),CONCATENATE("R",'Mapa final'!#REF!),"")</f>
        <v>#REF!</v>
      </c>
      <c r="AC36" s="262"/>
      <c r="AD36" s="265" t="str">
        <f>IF(AND('Mapa final'!$H$25="Baja",'Mapa final'!$L$25="Mayor"),CONCATENATE("R",'Mapa final'!$A$25),"")</f>
        <v/>
      </c>
      <c r="AE36" s="262"/>
      <c r="AF36" s="265" t="str">
        <f>IF(AND('Mapa final'!$H$31="Baja",'Mapa final'!$L$31="Mayor"),CONCATENATE("R",'Mapa final'!$A$31),"")</f>
        <v/>
      </c>
      <c r="AG36" s="250"/>
      <c r="AH36" s="266" t="e">
        <f>IF(AND('Mapa final'!#REF!="Baja",'Mapa final'!#REF!="Catastrófico"),CONCATENATE("R",'Mapa final'!#REF!),"")</f>
        <v>#REF!</v>
      </c>
      <c r="AI36" s="262"/>
      <c r="AJ36" s="267" t="str">
        <f>IF(AND('Mapa final'!$H$25="Baja",'Mapa final'!$L$25="Catastrófico"),CONCATENATE("R",'Mapa final'!$A$25),"")</f>
        <v/>
      </c>
      <c r="AK36" s="262"/>
      <c r="AL36" s="267" t="str">
        <f>IF(AND('Mapa final'!$H$31="Baja",'Mapa final'!$L$31="Catastrófico"),CONCATENATE("R",'Mapa final'!$A$31),"")</f>
        <v/>
      </c>
      <c r="AM36" s="250"/>
      <c r="AN36" s="1"/>
      <c r="AO36" s="290"/>
      <c r="AP36" s="144"/>
      <c r="AQ36" s="144"/>
      <c r="AR36" s="144"/>
      <c r="AS36" s="144"/>
      <c r="AT36" s="291"/>
      <c r="AU36" s="1"/>
      <c r="AV36" s="1"/>
      <c r="AW36" s="1"/>
      <c r="AX36" s="1"/>
      <c r="AY36" s="1"/>
      <c r="AZ36" s="1"/>
      <c r="BA36" s="1"/>
      <c r="BB36" s="1"/>
      <c r="BC36" s="1"/>
      <c r="BD36" s="1"/>
      <c r="BE36" s="1"/>
      <c r="BF36" s="1"/>
      <c r="BG36" s="1"/>
      <c r="BH36" s="1"/>
      <c r="BI36" s="1"/>
    </row>
    <row r="37" spans="1:61" ht="15.75" customHeight="1" x14ac:dyDescent="0.25">
      <c r="A37" s="1"/>
      <c r="B37" s="281"/>
      <c r="C37" s="144"/>
      <c r="D37" s="145"/>
      <c r="E37" s="271"/>
      <c r="F37" s="272"/>
      <c r="G37" s="272"/>
      <c r="H37" s="272"/>
      <c r="I37" s="272"/>
      <c r="J37" s="271"/>
      <c r="K37" s="273"/>
      <c r="L37" s="274"/>
      <c r="M37" s="273"/>
      <c r="N37" s="274"/>
      <c r="O37" s="275"/>
      <c r="P37" s="274"/>
      <c r="Q37" s="273"/>
      <c r="R37" s="274"/>
      <c r="S37" s="273"/>
      <c r="T37" s="274"/>
      <c r="U37" s="275"/>
      <c r="V37" s="271"/>
      <c r="W37" s="273"/>
      <c r="X37" s="274"/>
      <c r="Y37" s="273"/>
      <c r="Z37" s="274"/>
      <c r="AA37" s="275"/>
      <c r="AB37" s="271"/>
      <c r="AC37" s="273"/>
      <c r="AD37" s="274"/>
      <c r="AE37" s="273"/>
      <c r="AF37" s="274"/>
      <c r="AG37" s="275"/>
      <c r="AH37" s="271"/>
      <c r="AI37" s="273"/>
      <c r="AJ37" s="274"/>
      <c r="AK37" s="273"/>
      <c r="AL37" s="274"/>
      <c r="AM37" s="275"/>
      <c r="AN37" s="1"/>
      <c r="AO37" s="292"/>
      <c r="AP37" s="293"/>
      <c r="AQ37" s="293"/>
      <c r="AR37" s="293"/>
      <c r="AS37" s="293"/>
      <c r="AT37" s="294"/>
      <c r="AU37" s="1"/>
      <c r="AV37" s="1"/>
      <c r="AW37" s="1"/>
      <c r="AX37" s="1"/>
      <c r="AY37" s="1"/>
      <c r="AZ37" s="1"/>
      <c r="BA37" s="1"/>
      <c r="BB37" s="1"/>
      <c r="BC37" s="1"/>
      <c r="BD37" s="1"/>
      <c r="BE37" s="1"/>
      <c r="BF37" s="1"/>
      <c r="BG37" s="1"/>
      <c r="BH37" s="1"/>
      <c r="BI37" s="1"/>
    </row>
    <row r="38" spans="1:61" ht="15.75" customHeight="1" x14ac:dyDescent="0.25">
      <c r="A38" s="1"/>
      <c r="B38" s="281"/>
      <c r="C38" s="144"/>
      <c r="D38" s="145"/>
      <c r="E38" s="269" t="s">
        <v>126</v>
      </c>
      <c r="F38" s="270"/>
      <c r="G38" s="270"/>
      <c r="H38" s="270"/>
      <c r="I38" s="256"/>
      <c r="J38" s="286" t="str">
        <f>IF(AND('Mapa final'!$H$13="Muy Baja",'Mapa final'!$L$13="Leve"),CONCATENATE("R",'Mapa final'!$A$13),"")</f>
        <v/>
      </c>
      <c r="K38" s="254"/>
      <c r="L38" s="285" t="str">
        <f>IF(AND('Mapa final'!$H$19="Muy Baja",'Mapa final'!$L$19="Leve"),CONCATENATE("R",'Mapa final'!$A$19),"")</f>
        <v/>
      </c>
      <c r="M38" s="254"/>
      <c r="N38" s="285" t="e">
        <f>IF(AND('Mapa final'!#REF!="Muy Baja",'Mapa final'!#REF!="Leve"),CONCATENATE("R",'Mapa final'!#REF!),"")</f>
        <v>#REF!</v>
      </c>
      <c r="O38" s="256"/>
      <c r="P38" s="286" t="str">
        <f>IF(AND('Mapa final'!$H$13="Muy Baja",'Mapa final'!$L$13="Menor"),CONCATENATE("R",'Mapa final'!$A$13),"")</f>
        <v/>
      </c>
      <c r="Q38" s="254"/>
      <c r="R38" s="285" t="str">
        <f>IF(AND('Mapa final'!$H$19="Muy Baja",'Mapa final'!$L$19="Menor"),CONCATENATE("R",'Mapa final'!$A$19),"")</f>
        <v/>
      </c>
      <c r="S38" s="254"/>
      <c r="T38" s="285" t="e">
        <f>IF(AND('Mapa final'!#REF!="Muy Baja",'Mapa final'!#REF!="Menor"),CONCATENATE("R",'Mapa final'!#REF!),"")</f>
        <v>#REF!</v>
      </c>
      <c r="U38" s="256"/>
      <c r="V38" s="268" t="str">
        <f>IF(AND('Mapa final'!$H$13="Muy Baja",'Mapa final'!$L$13="Moderado"),CONCATENATE("R",'Mapa final'!$A$13),"")</f>
        <v/>
      </c>
      <c r="W38" s="254"/>
      <c r="X38" s="253" t="str">
        <f>IF(AND('Mapa final'!$H$19="Muy Baja",'Mapa final'!$L$19="Moderado"),CONCATENATE("R",'Mapa final'!$A$19),"")</f>
        <v/>
      </c>
      <c r="Y38" s="254"/>
      <c r="Z38" s="253" t="e">
        <f>IF(AND('Mapa final'!#REF!="Muy Baja",'Mapa final'!#REF!="Moderado"),CONCATENATE("R",'Mapa final'!#REF!),"")</f>
        <v>#REF!</v>
      </c>
      <c r="AA38" s="256"/>
      <c r="AB38" s="257" t="str">
        <f>IF(AND('Mapa final'!$H$13="Muy Baja",'Mapa final'!$L$13="Mayor"),CONCATENATE("R",'Mapa final'!$A$13),"")</f>
        <v/>
      </c>
      <c r="AC38" s="254"/>
      <c r="AD38" s="259" t="str">
        <f>IF(AND('Mapa final'!$H$19="Muy Baja",'Mapa final'!$L$19="Mayor"),CONCATENATE("R",'Mapa final'!$A$19),"")</f>
        <v/>
      </c>
      <c r="AE38" s="254"/>
      <c r="AF38" s="259" t="e">
        <f>IF(AND('Mapa final'!#REF!="Muy Baja",'Mapa final'!#REF!="Mayor"),CONCATENATE("R",'Mapa final'!#REF!),"")</f>
        <v>#REF!</v>
      </c>
      <c r="AG38" s="256"/>
      <c r="AH38" s="276" t="str">
        <f>IF(AND('Mapa final'!$H$13="Muy Baja",'Mapa final'!$L$13="Catastrófico"),CONCATENATE("R",'Mapa final'!$A$13),"")</f>
        <v/>
      </c>
      <c r="AI38" s="254"/>
      <c r="AJ38" s="260" t="str">
        <f>IF(AND('Mapa final'!$H$19="Muy Baja",'Mapa final'!$L$19="Catastrófico"),CONCATENATE("R",'Mapa final'!$A$19),"")</f>
        <v/>
      </c>
      <c r="AK38" s="254"/>
      <c r="AL38" s="260" t="e">
        <f>IF(AND('Mapa final'!#REF!="Muy Baja",'Mapa final'!#REF!="Catastrófico"),CONCATENATE("R",'Mapa final'!#REF!),"")</f>
        <v>#REF!</v>
      </c>
      <c r="AM38" s="256"/>
      <c r="AN38" s="1"/>
      <c r="AO38" s="1"/>
      <c r="AP38" s="1"/>
      <c r="AQ38" s="1"/>
      <c r="AR38" s="1"/>
      <c r="AS38" s="1"/>
      <c r="AT38" s="1"/>
      <c r="AU38" s="1"/>
      <c r="AV38" s="1"/>
      <c r="AW38" s="1"/>
      <c r="AX38" s="1"/>
      <c r="AY38" s="1"/>
      <c r="AZ38" s="1"/>
      <c r="BA38" s="1"/>
      <c r="BB38" s="1"/>
      <c r="BC38" s="1"/>
      <c r="BD38" s="1"/>
      <c r="BE38" s="1"/>
      <c r="BF38" s="1"/>
      <c r="BG38" s="1"/>
      <c r="BH38" s="1"/>
      <c r="BI38" s="1"/>
    </row>
    <row r="39" spans="1:61" ht="15.75" customHeight="1" x14ac:dyDescent="0.25">
      <c r="A39" s="1"/>
      <c r="B39" s="281"/>
      <c r="C39" s="144"/>
      <c r="D39" s="145"/>
      <c r="E39" s="156"/>
      <c r="F39" s="144"/>
      <c r="G39" s="144"/>
      <c r="H39" s="144"/>
      <c r="I39" s="145"/>
      <c r="J39" s="258"/>
      <c r="K39" s="255"/>
      <c r="L39" s="251"/>
      <c r="M39" s="255"/>
      <c r="N39" s="251"/>
      <c r="O39" s="252"/>
      <c r="P39" s="258"/>
      <c r="Q39" s="255"/>
      <c r="R39" s="251"/>
      <c r="S39" s="255"/>
      <c r="T39" s="251"/>
      <c r="U39" s="252"/>
      <c r="V39" s="258"/>
      <c r="W39" s="255"/>
      <c r="X39" s="251"/>
      <c r="Y39" s="255"/>
      <c r="Z39" s="251"/>
      <c r="AA39" s="252"/>
      <c r="AB39" s="258"/>
      <c r="AC39" s="255"/>
      <c r="AD39" s="251"/>
      <c r="AE39" s="255"/>
      <c r="AF39" s="251"/>
      <c r="AG39" s="252"/>
      <c r="AH39" s="258"/>
      <c r="AI39" s="255"/>
      <c r="AJ39" s="251"/>
      <c r="AK39" s="255"/>
      <c r="AL39" s="251"/>
      <c r="AM39" s="252"/>
      <c r="AN39" s="1"/>
      <c r="AO39" s="1"/>
      <c r="AP39" s="1"/>
      <c r="AQ39" s="1"/>
      <c r="AR39" s="1"/>
      <c r="AS39" s="1"/>
      <c r="AT39" s="1"/>
      <c r="AU39" s="1"/>
      <c r="AV39" s="1"/>
      <c r="AW39" s="1"/>
      <c r="AX39" s="1"/>
      <c r="AY39" s="1"/>
      <c r="AZ39" s="1"/>
      <c r="BA39" s="1"/>
      <c r="BB39" s="1"/>
      <c r="BC39" s="1"/>
      <c r="BD39" s="1"/>
      <c r="BE39" s="1"/>
      <c r="BF39" s="1"/>
      <c r="BG39" s="1"/>
      <c r="BH39" s="1"/>
      <c r="BI39" s="1"/>
    </row>
    <row r="40" spans="1:61" ht="15.75" customHeight="1" x14ac:dyDescent="0.25">
      <c r="A40" s="1"/>
      <c r="B40" s="281"/>
      <c r="C40" s="144"/>
      <c r="D40" s="145"/>
      <c r="E40" s="156"/>
      <c r="F40" s="144"/>
      <c r="G40" s="144"/>
      <c r="H40" s="144"/>
      <c r="I40" s="145"/>
      <c r="J40" s="277" t="e">
        <f>IF(AND('Mapa final'!#REF!="Muy Baja",'Mapa final'!#REF!="Leve"),CONCATENATE("R",'Mapa final'!#REF!),"")</f>
        <v>#REF!</v>
      </c>
      <c r="K40" s="262"/>
      <c r="L40" s="261" t="e">
        <f>IF(AND('Mapa final'!#REF!="Muy Baja",'Mapa final'!#REF!="Leve"),CONCATENATE("R",'Mapa final'!#REF!),"")</f>
        <v>#REF!</v>
      </c>
      <c r="M40" s="262"/>
      <c r="N40" s="261" t="e">
        <f>IF(AND('Mapa final'!#REF!="Muy Baja",'Mapa final'!#REF!="Leve"),CONCATENATE("R",'Mapa final'!#REF!),"")</f>
        <v>#REF!</v>
      </c>
      <c r="O40" s="250"/>
      <c r="P40" s="277" t="e">
        <f>IF(AND('Mapa final'!#REF!="Muy Baja",'Mapa final'!#REF!="Menor"),CONCATENATE("R",'Mapa final'!#REF!),"")</f>
        <v>#REF!</v>
      </c>
      <c r="Q40" s="262"/>
      <c r="R40" s="261" t="e">
        <f>IF(AND('Mapa final'!#REF!="Muy Baja",'Mapa final'!#REF!="Menor"),CONCATENATE("R",'Mapa final'!#REF!),"")</f>
        <v>#REF!</v>
      </c>
      <c r="S40" s="262"/>
      <c r="T40" s="261" t="e">
        <f>IF(AND('Mapa final'!#REF!="Muy Baja",'Mapa final'!#REF!="Menor"),CONCATENATE("R",'Mapa final'!#REF!),"")</f>
        <v>#REF!</v>
      </c>
      <c r="U40" s="250"/>
      <c r="V40" s="263" t="e">
        <f>IF(AND('Mapa final'!#REF!="Muy Baja",'Mapa final'!#REF!="Moderado"),CONCATENATE("R",'Mapa final'!#REF!),"")</f>
        <v>#REF!</v>
      </c>
      <c r="W40" s="262"/>
      <c r="X40" s="249" t="e">
        <f>IF(AND('Mapa final'!#REF!="Muy Baja",'Mapa final'!#REF!="Moderado"),CONCATENATE("R",'Mapa final'!#REF!),"")</f>
        <v>#REF!</v>
      </c>
      <c r="Y40" s="262"/>
      <c r="Z40" s="249" t="e">
        <f>IF(AND('Mapa final'!#REF!="Muy Baja",'Mapa final'!#REF!="Moderado"),CONCATENATE("R",'Mapa final'!#REF!),"")</f>
        <v>#REF!</v>
      </c>
      <c r="AA40" s="250"/>
      <c r="AB40" s="264" t="e">
        <f>IF(AND('Mapa final'!#REF!="Muy Baja",'Mapa final'!#REF!="Mayor"),CONCATENATE("R",'Mapa final'!#REF!),"")</f>
        <v>#REF!</v>
      </c>
      <c r="AC40" s="262"/>
      <c r="AD40" s="265" t="e">
        <f>IF(AND('Mapa final'!#REF!="Muy Baja",'Mapa final'!#REF!="Mayor"),CONCATENATE("R",'Mapa final'!#REF!),"")</f>
        <v>#REF!</v>
      </c>
      <c r="AE40" s="262"/>
      <c r="AF40" s="265" t="e">
        <f>IF(AND('Mapa final'!#REF!="Muy Baja",'Mapa final'!#REF!="Mayor"),CONCATENATE("R",'Mapa final'!#REF!),"")</f>
        <v>#REF!</v>
      </c>
      <c r="AG40" s="250"/>
      <c r="AH40" s="266" t="e">
        <f>IF(AND('Mapa final'!#REF!="Muy Baja",'Mapa final'!#REF!="Catastrófico"),CONCATENATE("R",'Mapa final'!#REF!),"")</f>
        <v>#REF!</v>
      </c>
      <c r="AI40" s="262"/>
      <c r="AJ40" s="267" t="e">
        <f>IF(AND('Mapa final'!#REF!="Muy Baja",'Mapa final'!#REF!="Catastrófico"),CONCATENATE("R",'Mapa final'!#REF!),"")</f>
        <v>#REF!</v>
      </c>
      <c r="AK40" s="262"/>
      <c r="AL40" s="267" t="e">
        <f>IF(AND('Mapa final'!#REF!="Muy Baja",'Mapa final'!#REF!="Catastrófico"),CONCATENATE("R",'Mapa final'!#REF!),"")</f>
        <v>#REF!</v>
      </c>
      <c r="AM40" s="250"/>
      <c r="AN40" s="1"/>
      <c r="AO40" s="1"/>
      <c r="AP40" s="1"/>
      <c r="AQ40" s="1"/>
      <c r="AR40" s="1"/>
      <c r="AS40" s="1"/>
      <c r="AT40" s="1"/>
      <c r="AU40" s="1"/>
      <c r="AV40" s="1"/>
      <c r="AW40" s="1"/>
      <c r="AX40" s="1"/>
      <c r="AY40" s="1"/>
      <c r="AZ40" s="1"/>
      <c r="BA40" s="1"/>
      <c r="BB40" s="1"/>
      <c r="BC40" s="1"/>
      <c r="BD40" s="1"/>
      <c r="BE40" s="1"/>
      <c r="BF40" s="1"/>
      <c r="BG40" s="1"/>
      <c r="BH40" s="1"/>
      <c r="BI40" s="1"/>
    </row>
    <row r="41" spans="1:61" ht="15.75" customHeight="1" x14ac:dyDescent="0.25">
      <c r="A41" s="1"/>
      <c r="B41" s="281"/>
      <c r="C41" s="144"/>
      <c r="D41" s="145"/>
      <c r="E41" s="156"/>
      <c r="F41" s="144"/>
      <c r="G41" s="144"/>
      <c r="H41" s="144"/>
      <c r="I41" s="145"/>
      <c r="J41" s="258"/>
      <c r="K41" s="255"/>
      <c r="L41" s="251"/>
      <c r="M41" s="255"/>
      <c r="N41" s="251"/>
      <c r="O41" s="252"/>
      <c r="P41" s="258"/>
      <c r="Q41" s="255"/>
      <c r="R41" s="251"/>
      <c r="S41" s="255"/>
      <c r="T41" s="251"/>
      <c r="U41" s="252"/>
      <c r="V41" s="258"/>
      <c r="W41" s="255"/>
      <c r="X41" s="251"/>
      <c r="Y41" s="255"/>
      <c r="Z41" s="251"/>
      <c r="AA41" s="252"/>
      <c r="AB41" s="258"/>
      <c r="AC41" s="255"/>
      <c r="AD41" s="251"/>
      <c r="AE41" s="255"/>
      <c r="AF41" s="251"/>
      <c r="AG41" s="252"/>
      <c r="AH41" s="258"/>
      <c r="AI41" s="255"/>
      <c r="AJ41" s="251"/>
      <c r="AK41" s="255"/>
      <c r="AL41" s="251"/>
      <c r="AM41" s="252"/>
      <c r="AN41" s="1"/>
      <c r="AO41" s="1"/>
      <c r="AP41" s="1"/>
      <c r="AQ41" s="1"/>
      <c r="AR41" s="1"/>
      <c r="AS41" s="1"/>
      <c r="AT41" s="1"/>
      <c r="AU41" s="1"/>
      <c r="AV41" s="1"/>
      <c r="AW41" s="1"/>
      <c r="AX41" s="1"/>
      <c r="AY41" s="1"/>
      <c r="AZ41" s="1"/>
      <c r="BA41" s="1"/>
      <c r="BB41" s="1"/>
      <c r="BC41" s="1"/>
      <c r="BD41" s="1"/>
      <c r="BE41" s="1"/>
      <c r="BF41" s="1"/>
      <c r="BG41" s="1"/>
      <c r="BH41" s="1"/>
      <c r="BI41" s="1"/>
    </row>
    <row r="42" spans="1:61" ht="15.75" customHeight="1" x14ac:dyDescent="0.25">
      <c r="A42" s="1"/>
      <c r="B42" s="281"/>
      <c r="C42" s="144"/>
      <c r="D42" s="145"/>
      <c r="E42" s="156"/>
      <c r="F42" s="144"/>
      <c r="G42" s="144"/>
      <c r="H42" s="144"/>
      <c r="I42" s="145"/>
      <c r="J42" s="277" t="e">
        <f>IF(AND('Mapa final'!#REF!="Muy Baja",'Mapa final'!#REF!="Leve"),CONCATENATE("R",'Mapa final'!#REF!),"")</f>
        <v>#REF!</v>
      </c>
      <c r="K42" s="262"/>
      <c r="L42" s="261" t="e">
        <f>IF(AND('Mapa final'!#REF!="Muy Baja",'Mapa final'!#REF!="Leve"),CONCATENATE("R",'Mapa final'!#REF!),"")</f>
        <v>#REF!</v>
      </c>
      <c r="M42" s="262"/>
      <c r="N42" s="261" t="e">
        <f>IF(AND('Mapa final'!#REF!="Muy Baja",'Mapa final'!#REF!="Leve"),CONCATENATE("R",'Mapa final'!#REF!),"")</f>
        <v>#REF!</v>
      </c>
      <c r="O42" s="250"/>
      <c r="P42" s="277" t="e">
        <f>IF(AND('Mapa final'!#REF!="Muy Baja",'Mapa final'!#REF!="Menor"),CONCATENATE("R",'Mapa final'!#REF!),"")</f>
        <v>#REF!</v>
      </c>
      <c r="Q42" s="262"/>
      <c r="R42" s="261" t="e">
        <f>IF(AND('Mapa final'!#REF!="Muy Baja",'Mapa final'!#REF!="Menor"),CONCATENATE("R",'Mapa final'!#REF!),"")</f>
        <v>#REF!</v>
      </c>
      <c r="S42" s="262"/>
      <c r="T42" s="261" t="e">
        <f>IF(AND('Mapa final'!#REF!="Muy Baja",'Mapa final'!#REF!="Menor"),CONCATENATE("R",'Mapa final'!#REF!),"")</f>
        <v>#REF!</v>
      </c>
      <c r="U42" s="250"/>
      <c r="V42" s="263" t="e">
        <f>IF(AND('Mapa final'!#REF!="Muy Baja",'Mapa final'!#REF!="Moderado"),CONCATENATE("R",'Mapa final'!#REF!),"")</f>
        <v>#REF!</v>
      </c>
      <c r="W42" s="262"/>
      <c r="X42" s="249" t="e">
        <f>IF(AND('Mapa final'!#REF!="Muy Baja",'Mapa final'!#REF!="Moderado"),CONCATENATE("R",'Mapa final'!#REF!),"")</f>
        <v>#REF!</v>
      </c>
      <c r="Y42" s="262"/>
      <c r="Z42" s="249" t="e">
        <f>IF(AND('Mapa final'!#REF!="Muy Baja",'Mapa final'!#REF!="Moderado"),CONCATENATE("R",'Mapa final'!#REF!),"")</f>
        <v>#REF!</v>
      </c>
      <c r="AA42" s="250"/>
      <c r="AB42" s="264" t="e">
        <f>IF(AND('Mapa final'!#REF!="Muy Baja",'Mapa final'!#REF!="Mayor"),CONCATENATE("R",'Mapa final'!#REF!),"")</f>
        <v>#REF!</v>
      </c>
      <c r="AC42" s="262"/>
      <c r="AD42" s="265" t="e">
        <f>IF(AND('Mapa final'!#REF!="Muy Baja",'Mapa final'!#REF!="Mayor"),CONCATENATE("R",'Mapa final'!#REF!),"")</f>
        <v>#REF!</v>
      </c>
      <c r="AE42" s="262"/>
      <c r="AF42" s="265" t="e">
        <f>IF(AND('Mapa final'!#REF!="Muy Baja",'Mapa final'!#REF!="Mayor"),CONCATENATE("R",'Mapa final'!#REF!),"")</f>
        <v>#REF!</v>
      </c>
      <c r="AG42" s="250"/>
      <c r="AH42" s="266" t="e">
        <f>IF(AND('Mapa final'!#REF!="Muy Baja",'Mapa final'!#REF!="Catastrófico"),CONCATENATE("R",'Mapa final'!#REF!),"")</f>
        <v>#REF!</v>
      </c>
      <c r="AI42" s="262"/>
      <c r="AJ42" s="267" t="e">
        <f>IF(AND('Mapa final'!#REF!="Muy Baja",'Mapa final'!#REF!="Catastrófico"),CONCATENATE("R",'Mapa final'!#REF!),"")</f>
        <v>#REF!</v>
      </c>
      <c r="AK42" s="262"/>
      <c r="AL42" s="267" t="e">
        <f>IF(AND('Mapa final'!#REF!="Muy Baja",'Mapa final'!#REF!="Catastrófico"),CONCATENATE("R",'Mapa final'!#REF!),"")</f>
        <v>#REF!</v>
      </c>
      <c r="AM42" s="250"/>
      <c r="AN42" s="1"/>
      <c r="AO42" s="1"/>
      <c r="AP42" s="1"/>
      <c r="AQ42" s="1"/>
      <c r="AR42" s="1"/>
      <c r="AS42" s="1"/>
      <c r="AT42" s="1"/>
      <c r="AU42" s="1"/>
      <c r="AV42" s="1"/>
      <c r="AW42" s="1"/>
      <c r="AX42" s="1"/>
      <c r="AY42" s="1"/>
      <c r="AZ42" s="1"/>
      <c r="BA42" s="1"/>
      <c r="BB42" s="1"/>
      <c r="BC42" s="1"/>
      <c r="BD42" s="1"/>
      <c r="BE42" s="1"/>
      <c r="BF42" s="1"/>
      <c r="BG42" s="1"/>
      <c r="BH42" s="1"/>
      <c r="BI42" s="1"/>
    </row>
    <row r="43" spans="1:61" ht="15.75" customHeight="1" x14ac:dyDescent="0.25">
      <c r="A43" s="1"/>
      <c r="B43" s="281"/>
      <c r="C43" s="144"/>
      <c r="D43" s="145"/>
      <c r="E43" s="156"/>
      <c r="F43" s="144"/>
      <c r="G43" s="144"/>
      <c r="H43" s="144"/>
      <c r="I43" s="145"/>
      <c r="J43" s="258"/>
      <c r="K43" s="255"/>
      <c r="L43" s="251"/>
      <c r="M43" s="255"/>
      <c r="N43" s="251"/>
      <c r="O43" s="252"/>
      <c r="P43" s="258"/>
      <c r="Q43" s="255"/>
      <c r="R43" s="251"/>
      <c r="S43" s="255"/>
      <c r="T43" s="251"/>
      <c r="U43" s="252"/>
      <c r="V43" s="258"/>
      <c r="W43" s="255"/>
      <c r="X43" s="251"/>
      <c r="Y43" s="255"/>
      <c r="Z43" s="251"/>
      <c r="AA43" s="252"/>
      <c r="AB43" s="258"/>
      <c r="AC43" s="255"/>
      <c r="AD43" s="251"/>
      <c r="AE43" s="255"/>
      <c r="AF43" s="251"/>
      <c r="AG43" s="252"/>
      <c r="AH43" s="258"/>
      <c r="AI43" s="255"/>
      <c r="AJ43" s="251"/>
      <c r="AK43" s="255"/>
      <c r="AL43" s="251"/>
      <c r="AM43" s="252"/>
      <c r="AN43" s="1"/>
      <c r="AO43" s="1"/>
      <c r="AP43" s="1"/>
      <c r="AQ43" s="1"/>
      <c r="AR43" s="1"/>
      <c r="AS43" s="1"/>
      <c r="AT43" s="1"/>
      <c r="AU43" s="1"/>
      <c r="AV43" s="1"/>
      <c r="AW43" s="1"/>
      <c r="AX43" s="1"/>
      <c r="AY43" s="1"/>
      <c r="AZ43" s="1"/>
      <c r="BA43" s="1"/>
      <c r="BB43" s="1"/>
      <c r="BC43" s="1"/>
      <c r="BD43" s="1"/>
      <c r="BE43" s="1"/>
      <c r="BF43" s="1"/>
      <c r="BG43" s="1"/>
      <c r="BH43" s="1"/>
      <c r="BI43" s="1"/>
    </row>
    <row r="44" spans="1:61" ht="15.75" customHeight="1" x14ac:dyDescent="0.25">
      <c r="A44" s="1"/>
      <c r="B44" s="281"/>
      <c r="C44" s="144"/>
      <c r="D44" s="145"/>
      <c r="E44" s="156"/>
      <c r="F44" s="144"/>
      <c r="G44" s="144"/>
      <c r="H44" s="144"/>
      <c r="I44" s="145"/>
      <c r="J44" s="277" t="e">
        <f>IF(AND('Mapa final'!#REF!="Muy Baja",'Mapa final'!#REF!="Leve"),CONCATENATE("R",'Mapa final'!#REF!),"")</f>
        <v>#REF!</v>
      </c>
      <c r="K44" s="262"/>
      <c r="L44" s="261" t="str">
        <f>IF(AND('Mapa final'!$H$25="Muy Baja",'Mapa final'!$L$25="Leve"),CONCATENATE("R",'Mapa final'!$A$25),"")</f>
        <v/>
      </c>
      <c r="M44" s="262"/>
      <c r="N44" s="261" t="str">
        <f>IF(AND('Mapa final'!$H$31="Muy Baja",'Mapa final'!$L$31="Leve"),CONCATENATE("R",'Mapa final'!$A$31),"")</f>
        <v/>
      </c>
      <c r="O44" s="250"/>
      <c r="P44" s="277" t="e">
        <f>IF(AND('Mapa final'!#REF!="Muy Baja",'Mapa final'!#REF!="Menor"),CONCATENATE("R",'Mapa final'!#REF!),"")</f>
        <v>#REF!</v>
      </c>
      <c r="Q44" s="262"/>
      <c r="R44" s="261" t="str">
        <f>IF(AND('Mapa final'!$H$25="Muy Baja",'Mapa final'!$L$25="Menor"),CONCATENATE("R",'Mapa final'!$A$25),"")</f>
        <v/>
      </c>
      <c r="S44" s="262"/>
      <c r="T44" s="261" t="str">
        <f>IF(AND('Mapa final'!$H$31="Muy Baja",'Mapa final'!$L$31="Menor"),CONCATENATE("R",'Mapa final'!$A$31),"")</f>
        <v/>
      </c>
      <c r="U44" s="250"/>
      <c r="V44" s="263" t="e">
        <f>IF(AND('Mapa final'!#REF!="Muy Baja",'Mapa final'!#REF!="Moderado"),CONCATENATE("R",'Mapa final'!#REF!),"")</f>
        <v>#REF!</v>
      </c>
      <c r="W44" s="262"/>
      <c r="X44" s="249" t="str">
        <f>IF(AND('Mapa final'!$H$25="Muy Baja",'Mapa final'!$L$25="Moderado"),CONCATENATE("R",'Mapa final'!$A$25),"")</f>
        <v/>
      </c>
      <c r="Y44" s="262"/>
      <c r="Z44" s="249" t="str">
        <f>IF(AND('Mapa final'!$H$31="Muy Baja",'Mapa final'!$L$31="Moderado"),CONCATENATE("R",'Mapa final'!$A$31),"")</f>
        <v/>
      </c>
      <c r="AA44" s="250"/>
      <c r="AB44" s="264" t="e">
        <f>IF(AND('Mapa final'!#REF!="Muy Baja",'Mapa final'!#REF!="Mayor"),CONCATENATE("R",'Mapa final'!#REF!),"")</f>
        <v>#REF!</v>
      </c>
      <c r="AC44" s="262"/>
      <c r="AD44" s="265" t="str">
        <f>IF(AND('Mapa final'!$H$25="Muy Baja",'Mapa final'!$L$25="Mayor"),CONCATENATE("R",'Mapa final'!$A$25),"")</f>
        <v/>
      </c>
      <c r="AE44" s="262"/>
      <c r="AF44" s="265" t="str">
        <f>IF(AND('Mapa final'!$H$31="Muy Baja",'Mapa final'!$L$31="Mayor"),CONCATENATE("R",'Mapa final'!$A$31),"")</f>
        <v/>
      </c>
      <c r="AG44" s="250"/>
      <c r="AH44" s="266" t="e">
        <f>IF(AND('Mapa final'!#REF!="Muy Baja",'Mapa final'!#REF!="Catastrófico"),CONCATENATE("R",'Mapa final'!#REF!),"")</f>
        <v>#REF!</v>
      </c>
      <c r="AI44" s="262"/>
      <c r="AJ44" s="267" t="str">
        <f>IF(AND('Mapa final'!$H$25="Muy Baja",'Mapa final'!$L$25="Catastrófico"),CONCATENATE("R",'Mapa final'!$A$25),"")</f>
        <v/>
      </c>
      <c r="AK44" s="262"/>
      <c r="AL44" s="267" t="str">
        <f>IF(AND('Mapa final'!$H$31="Muy Baja",'Mapa final'!$L$31="Catastrófico"),CONCATENATE("R",'Mapa final'!$A$31),"")</f>
        <v/>
      </c>
      <c r="AM44" s="250"/>
      <c r="AN44" s="1"/>
      <c r="AO44" s="1"/>
      <c r="AP44" s="1"/>
      <c r="AQ44" s="1"/>
      <c r="AR44" s="1"/>
      <c r="AS44" s="1"/>
      <c r="AT44" s="1"/>
      <c r="AU44" s="1"/>
      <c r="AV44" s="1"/>
      <c r="AW44" s="1"/>
      <c r="AX44" s="1"/>
      <c r="AY44" s="1"/>
      <c r="AZ44" s="1"/>
      <c r="BA44" s="1"/>
      <c r="BB44" s="1"/>
      <c r="BC44" s="1"/>
      <c r="BD44" s="1"/>
      <c r="BE44" s="1"/>
      <c r="BF44" s="1"/>
      <c r="BG44" s="1"/>
      <c r="BH44" s="1"/>
      <c r="BI44" s="1"/>
    </row>
    <row r="45" spans="1:61" ht="15.75" customHeight="1" x14ac:dyDescent="0.25">
      <c r="A45" s="1"/>
      <c r="B45" s="251"/>
      <c r="C45" s="283"/>
      <c r="D45" s="252"/>
      <c r="E45" s="271"/>
      <c r="F45" s="272"/>
      <c r="G45" s="272"/>
      <c r="H45" s="272"/>
      <c r="I45" s="275"/>
      <c r="J45" s="271"/>
      <c r="K45" s="273"/>
      <c r="L45" s="274"/>
      <c r="M45" s="273"/>
      <c r="N45" s="274"/>
      <c r="O45" s="275"/>
      <c r="P45" s="271"/>
      <c r="Q45" s="273"/>
      <c r="R45" s="274"/>
      <c r="S45" s="273"/>
      <c r="T45" s="274"/>
      <c r="U45" s="275"/>
      <c r="V45" s="271"/>
      <c r="W45" s="273"/>
      <c r="X45" s="274"/>
      <c r="Y45" s="273"/>
      <c r="Z45" s="274"/>
      <c r="AA45" s="275"/>
      <c r="AB45" s="271"/>
      <c r="AC45" s="273"/>
      <c r="AD45" s="274"/>
      <c r="AE45" s="273"/>
      <c r="AF45" s="274"/>
      <c r="AG45" s="275"/>
      <c r="AH45" s="271"/>
      <c r="AI45" s="273"/>
      <c r="AJ45" s="274"/>
      <c r="AK45" s="273"/>
      <c r="AL45" s="274"/>
      <c r="AM45" s="275"/>
      <c r="AN45" s="1"/>
      <c r="AO45" s="1"/>
      <c r="AP45" s="1"/>
      <c r="AQ45" s="1"/>
      <c r="AR45" s="1"/>
      <c r="AS45" s="1"/>
      <c r="AT45" s="1"/>
      <c r="AU45" s="1"/>
      <c r="AV45" s="1"/>
      <c r="AW45" s="1"/>
      <c r="AX45" s="1"/>
      <c r="AY45" s="1"/>
      <c r="AZ45" s="1"/>
      <c r="BA45" s="1"/>
      <c r="BB45" s="1"/>
      <c r="BC45" s="1"/>
      <c r="BD45" s="1"/>
      <c r="BE45" s="1"/>
      <c r="BF45" s="1"/>
      <c r="BG45" s="1"/>
      <c r="BH45" s="1"/>
      <c r="BI45" s="1"/>
    </row>
    <row r="46" spans="1:61" ht="15.75" customHeight="1" x14ac:dyDescent="0.25">
      <c r="A46" s="1"/>
      <c r="B46" s="1"/>
      <c r="C46" s="1"/>
      <c r="D46" s="1"/>
      <c r="E46" s="1"/>
      <c r="F46" s="1"/>
      <c r="G46" s="1"/>
      <c r="H46" s="1"/>
      <c r="I46" s="1"/>
      <c r="J46" s="269" t="s">
        <v>127</v>
      </c>
      <c r="K46" s="270"/>
      <c r="L46" s="270"/>
      <c r="M46" s="270"/>
      <c r="N46" s="270"/>
      <c r="O46" s="256"/>
      <c r="P46" s="269" t="s">
        <v>128</v>
      </c>
      <c r="Q46" s="270"/>
      <c r="R46" s="270"/>
      <c r="S46" s="270"/>
      <c r="T46" s="270"/>
      <c r="U46" s="256"/>
      <c r="V46" s="269" t="s">
        <v>129</v>
      </c>
      <c r="W46" s="270"/>
      <c r="X46" s="270"/>
      <c r="Y46" s="270"/>
      <c r="Z46" s="270"/>
      <c r="AA46" s="256"/>
      <c r="AB46" s="269" t="s">
        <v>130</v>
      </c>
      <c r="AC46" s="270"/>
      <c r="AD46" s="270"/>
      <c r="AE46" s="270"/>
      <c r="AF46" s="270"/>
      <c r="AG46" s="256"/>
      <c r="AH46" s="269" t="s">
        <v>131</v>
      </c>
      <c r="AI46" s="270"/>
      <c r="AJ46" s="270"/>
      <c r="AK46" s="270"/>
      <c r="AL46" s="270"/>
      <c r="AM46" s="256"/>
      <c r="AN46" s="1"/>
      <c r="AO46" s="1"/>
      <c r="AP46" s="1"/>
      <c r="AQ46" s="1"/>
      <c r="AR46" s="1"/>
      <c r="AS46" s="1"/>
      <c r="AT46" s="1"/>
      <c r="AU46" s="1"/>
      <c r="AV46" s="1"/>
      <c r="AW46" s="1"/>
      <c r="AX46" s="1"/>
      <c r="AY46" s="1"/>
      <c r="AZ46" s="1"/>
      <c r="BA46" s="1"/>
      <c r="BB46" s="1"/>
      <c r="BC46" s="1"/>
      <c r="BD46" s="1"/>
      <c r="BE46" s="1"/>
      <c r="BF46" s="1"/>
      <c r="BG46" s="1"/>
      <c r="BH46" s="1"/>
      <c r="BI46" s="1"/>
    </row>
    <row r="47" spans="1:61" ht="15.75" customHeight="1" x14ac:dyDescent="0.25">
      <c r="A47" s="1"/>
      <c r="B47" s="1"/>
      <c r="C47" s="1"/>
      <c r="D47" s="1"/>
      <c r="E47" s="1"/>
      <c r="F47" s="1"/>
      <c r="G47" s="1"/>
      <c r="H47" s="1"/>
      <c r="I47" s="1"/>
      <c r="J47" s="156"/>
      <c r="K47" s="144"/>
      <c r="L47" s="144"/>
      <c r="M47" s="144"/>
      <c r="N47" s="144"/>
      <c r="O47" s="145"/>
      <c r="P47" s="156"/>
      <c r="Q47" s="144"/>
      <c r="R47" s="144"/>
      <c r="S47" s="144"/>
      <c r="T47" s="144"/>
      <c r="U47" s="145"/>
      <c r="V47" s="156"/>
      <c r="W47" s="144"/>
      <c r="X47" s="144"/>
      <c r="Y47" s="144"/>
      <c r="Z47" s="144"/>
      <c r="AA47" s="145"/>
      <c r="AB47" s="156"/>
      <c r="AC47" s="144"/>
      <c r="AD47" s="144"/>
      <c r="AE47" s="144"/>
      <c r="AF47" s="144"/>
      <c r="AG47" s="145"/>
      <c r="AH47" s="156"/>
      <c r="AI47" s="144"/>
      <c r="AJ47" s="144"/>
      <c r="AK47" s="144"/>
      <c r="AL47" s="144"/>
      <c r="AM47" s="145"/>
      <c r="AN47" s="1"/>
      <c r="AO47" s="1"/>
      <c r="AP47" s="1"/>
      <c r="AQ47" s="1"/>
      <c r="AR47" s="1"/>
      <c r="AS47" s="1"/>
      <c r="AT47" s="1"/>
      <c r="AU47" s="1"/>
      <c r="AV47" s="1"/>
      <c r="AW47" s="1"/>
      <c r="AX47" s="1"/>
      <c r="AY47" s="1"/>
      <c r="AZ47" s="1"/>
      <c r="BA47" s="1"/>
      <c r="BB47" s="1"/>
      <c r="BC47" s="1"/>
      <c r="BD47" s="1"/>
      <c r="BE47" s="1"/>
      <c r="BF47" s="1"/>
      <c r="BG47" s="1"/>
      <c r="BH47" s="1"/>
      <c r="BI47" s="1"/>
    </row>
    <row r="48" spans="1:61" ht="15.75" customHeight="1" x14ac:dyDescent="0.25">
      <c r="A48" s="1"/>
      <c r="B48" s="1"/>
      <c r="C48" s="1"/>
      <c r="D48" s="1"/>
      <c r="E48" s="1"/>
      <c r="F48" s="1"/>
      <c r="G48" s="1"/>
      <c r="H48" s="1"/>
      <c r="I48" s="1"/>
      <c r="J48" s="156"/>
      <c r="K48" s="144"/>
      <c r="L48" s="144"/>
      <c r="M48" s="144"/>
      <c r="N48" s="144"/>
      <c r="O48" s="145"/>
      <c r="P48" s="156"/>
      <c r="Q48" s="144"/>
      <c r="R48" s="144"/>
      <c r="S48" s="144"/>
      <c r="T48" s="144"/>
      <c r="U48" s="145"/>
      <c r="V48" s="156"/>
      <c r="W48" s="144"/>
      <c r="X48" s="144"/>
      <c r="Y48" s="144"/>
      <c r="Z48" s="144"/>
      <c r="AA48" s="145"/>
      <c r="AB48" s="156"/>
      <c r="AC48" s="144"/>
      <c r="AD48" s="144"/>
      <c r="AE48" s="144"/>
      <c r="AF48" s="144"/>
      <c r="AG48" s="145"/>
      <c r="AH48" s="156"/>
      <c r="AI48" s="144"/>
      <c r="AJ48" s="144"/>
      <c r="AK48" s="144"/>
      <c r="AL48" s="144"/>
      <c r="AM48" s="145"/>
      <c r="AN48" s="1"/>
      <c r="AO48" s="1"/>
      <c r="AP48" s="1"/>
      <c r="AQ48" s="1"/>
      <c r="AR48" s="1"/>
      <c r="AS48" s="1"/>
      <c r="AT48" s="1"/>
      <c r="AU48" s="1"/>
      <c r="AV48" s="1"/>
      <c r="AW48" s="1"/>
      <c r="AX48" s="1"/>
      <c r="AY48" s="1"/>
      <c r="AZ48" s="1"/>
      <c r="BA48" s="1"/>
      <c r="BB48" s="1"/>
      <c r="BC48" s="1"/>
      <c r="BD48" s="1"/>
      <c r="BE48" s="1"/>
      <c r="BF48" s="1"/>
      <c r="BG48" s="1"/>
      <c r="BH48" s="1"/>
      <c r="BI48" s="1"/>
    </row>
    <row r="49" spans="1:61" ht="15.75" customHeight="1" x14ac:dyDescent="0.25">
      <c r="A49" s="1"/>
      <c r="B49" s="1"/>
      <c r="C49" s="1"/>
      <c r="D49" s="1"/>
      <c r="E49" s="1"/>
      <c r="F49" s="1"/>
      <c r="G49" s="1"/>
      <c r="H49" s="1"/>
      <c r="I49" s="1"/>
      <c r="J49" s="156"/>
      <c r="K49" s="144"/>
      <c r="L49" s="144"/>
      <c r="M49" s="144"/>
      <c r="N49" s="144"/>
      <c r="O49" s="145"/>
      <c r="P49" s="156"/>
      <c r="Q49" s="144"/>
      <c r="R49" s="144"/>
      <c r="S49" s="144"/>
      <c r="T49" s="144"/>
      <c r="U49" s="145"/>
      <c r="V49" s="156"/>
      <c r="W49" s="144"/>
      <c r="X49" s="144"/>
      <c r="Y49" s="144"/>
      <c r="Z49" s="144"/>
      <c r="AA49" s="145"/>
      <c r="AB49" s="156"/>
      <c r="AC49" s="144"/>
      <c r="AD49" s="144"/>
      <c r="AE49" s="144"/>
      <c r="AF49" s="144"/>
      <c r="AG49" s="145"/>
      <c r="AH49" s="156"/>
      <c r="AI49" s="144"/>
      <c r="AJ49" s="144"/>
      <c r="AK49" s="144"/>
      <c r="AL49" s="144"/>
      <c r="AM49" s="145"/>
      <c r="AN49" s="1"/>
      <c r="AO49" s="1"/>
      <c r="AP49" s="1"/>
      <c r="AQ49" s="1"/>
      <c r="AR49" s="1"/>
      <c r="AS49" s="1"/>
      <c r="AT49" s="1"/>
      <c r="AU49" s="1"/>
      <c r="AV49" s="1"/>
      <c r="AW49" s="1"/>
      <c r="AX49" s="1"/>
      <c r="AY49" s="1"/>
      <c r="AZ49" s="1"/>
      <c r="BA49" s="1"/>
      <c r="BB49" s="1"/>
      <c r="BC49" s="1"/>
      <c r="BD49" s="1"/>
      <c r="BE49" s="1"/>
      <c r="BF49" s="1"/>
      <c r="BG49" s="1"/>
      <c r="BH49" s="1"/>
      <c r="BI49" s="1"/>
    </row>
    <row r="50" spans="1:61" ht="15.75" customHeight="1" x14ac:dyDescent="0.25">
      <c r="A50" s="1"/>
      <c r="B50" s="1"/>
      <c r="C50" s="1"/>
      <c r="D50" s="1"/>
      <c r="E50" s="1"/>
      <c r="F50" s="1"/>
      <c r="G50" s="1"/>
      <c r="H50" s="1"/>
      <c r="I50" s="1"/>
      <c r="J50" s="156"/>
      <c r="K50" s="144"/>
      <c r="L50" s="144"/>
      <c r="M50" s="144"/>
      <c r="N50" s="144"/>
      <c r="O50" s="145"/>
      <c r="P50" s="156"/>
      <c r="Q50" s="144"/>
      <c r="R50" s="144"/>
      <c r="S50" s="144"/>
      <c r="T50" s="144"/>
      <c r="U50" s="145"/>
      <c r="V50" s="156"/>
      <c r="W50" s="144"/>
      <c r="X50" s="144"/>
      <c r="Y50" s="144"/>
      <c r="Z50" s="144"/>
      <c r="AA50" s="145"/>
      <c r="AB50" s="156"/>
      <c r="AC50" s="144"/>
      <c r="AD50" s="144"/>
      <c r="AE50" s="144"/>
      <c r="AF50" s="144"/>
      <c r="AG50" s="145"/>
      <c r="AH50" s="156"/>
      <c r="AI50" s="144"/>
      <c r="AJ50" s="144"/>
      <c r="AK50" s="144"/>
      <c r="AL50" s="144"/>
      <c r="AM50" s="145"/>
      <c r="AN50" s="1"/>
      <c r="AO50" s="1"/>
      <c r="AP50" s="1"/>
      <c r="AQ50" s="1"/>
      <c r="AR50" s="1"/>
      <c r="AS50" s="1"/>
      <c r="AT50" s="1"/>
      <c r="AU50" s="1"/>
      <c r="AV50" s="1"/>
      <c r="AW50" s="1"/>
      <c r="AX50" s="1"/>
      <c r="AY50" s="1"/>
      <c r="AZ50" s="1"/>
      <c r="BA50" s="1"/>
      <c r="BB50" s="1"/>
      <c r="BC50" s="1"/>
      <c r="BD50" s="1"/>
      <c r="BE50" s="1"/>
      <c r="BF50" s="1"/>
      <c r="BG50" s="1"/>
      <c r="BH50" s="1"/>
      <c r="BI50" s="1"/>
    </row>
    <row r="51" spans="1:61" ht="15.75" customHeight="1" x14ac:dyDescent="0.25">
      <c r="A51" s="1"/>
      <c r="B51" s="1"/>
      <c r="C51" s="1"/>
      <c r="D51" s="1"/>
      <c r="E51" s="1"/>
      <c r="F51" s="1"/>
      <c r="G51" s="1"/>
      <c r="H51" s="1"/>
      <c r="I51" s="1"/>
      <c r="J51" s="271"/>
      <c r="K51" s="272"/>
      <c r="L51" s="272"/>
      <c r="M51" s="272"/>
      <c r="N51" s="272"/>
      <c r="O51" s="275"/>
      <c r="P51" s="271"/>
      <c r="Q51" s="272"/>
      <c r="R51" s="272"/>
      <c r="S51" s="272"/>
      <c r="T51" s="272"/>
      <c r="U51" s="275"/>
      <c r="V51" s="271"/>
      <c r="W51" s="272"/>
      <c r="X51" s="272"/>
      <c r="Y51" s="272"/>
      <c r="Z51" s="272"/>
      <c r="AA51" s="275"/>
      <c r="AB51" s="271"/>
      <c r="AC51" s="272"/>
      <c r="AD51" s="272"/>
      <c r="AE51" s="272"/>
      <c r="AF51" s="272"/>
      <c r="AG51" s="275"/>
      <c r="AH51" s="271"/>
      <c r="AI51" s="272"/>
      <c r="AJ51" s="272"/>
      <c r="AK51" s="272"/>
      <c r="AL51" s="272"/>
      <c r="AM51" s="275"/>
      <c r="AN51" s="1"/>
      <c r="AO51" s="1"/>
      <c r="AP51" s="1"/>
      <c r="AQ51" s="1"/>
      <c r="AR51" s="1"/>
      <c r="AS51" s="1"/>
      <c r="AT51" s="1"/>
      <c r="AU51" s="1"/>
      <c r="AV51" s="1"/>
      <c r="AW51" s="1"/>
      <c r="AX51" s="1"/>
      <c r="AY51" s="1"/>
      <c r="AZ51" s="1"/>
      <c r="BA51" s="1"/>
      <c r="BB51" s="1"/>
      <c r="BC51" s="1"/>
      <c r="BD51" s="1"/>
      <c r="BE51" s="1"/>
      <c r="BF51" s="1"/>
      <c r="BG51" s="1"/>
      <c r="BH51" s="1"/>
      <c r="BI51" s="1"/>
    </row>
    <row r="52" spans="1:6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1"/>
      <c r="AV53" s="1"/>
      <c r="AW53" s="1"/>
      <c r="AX53" s="1"/>
      <c r="AY53" s="1"/>
      <c r="AZ53" s="1"/>
      <c r="BA53" s="1"/>
      <c r="BB53" s="1"/>
      <c r="BC53" s="1"/>
      <c r="BD53" s="1"/>
      <c r="BE53" s="1"/>
      <c r="BF53" s="1"/>
      <c r="BG53" s="1"/>
      <c r="BH53" s="1"/>
      <c r="BI53" s="1"/>
    </row>
    <row r="54" spans="1:61" ht="15" customHeight="1" x14ac:dyDescent="0.25">
      <c r="A54" s="1"/>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1"/>
      <c r="AV54" s="1"/>
      <c r="AW54" s="1"/>
      <c r="AX54" s="1"/>
      <c r="AY54" s="1"/>
      <c r="AZ54" s="1"/>
      <c r="BA54" s="1"/>
      <c r="BB54" s="1"/>
      <c r="BC54" s="1"/>
      <c r="BD54" s="1"/>
      <c r="BE54" s="1"/>
      <c r="BF54" s="1"/>
      <c r="BG54" s="1"/>
      <c r="BH54" s="1"/>
      <c r="BI54" s="1"/>
    </row>
    <row r="55" spans="1:6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5.7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5.7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5.7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5.7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5.7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5.7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5.7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61" ht="15.7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61" ht="15.7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61" ht="15.7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61" ht="15.7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61" ht="15.7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61"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61"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61"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61" ht="15.75" customHeight="1" x14ac:dyDescent="0.25">
      <c r="B137" s="1"/>
      <c r="C137" s="1"/>
      <c r="D137" s="1"/>
      <c r="E137" s="1"/>
      <c r="F137" s="1"/>
      <c r="G137" s="1"/>
      <c r="H137" s="1"/>
      <c r="I137" s="1"/>
    </row>
    <row r="138" spans="2:61" ht="15.75" customHeight="1" x14ac:dyDescent="0.25">
      <c r="B138" s="1"/>
      <c r="C138" s="1"/>
      <c r="D138" s="1"/>
      <c r="E138" s="1"/>
      <c r="F138" s="1"/>
      <c r="G138" s="1"/>
      <c r="H138" s="1"/>
      <c r="I138" s="1"/>
    </row>
    <row r="139" spans="2:61" ht="15.75" customHeight="1" x14ac:dyDescent="0.25">
      <c r="B139" s="1"/>
      <c r="C139" s="1"/>
      <c r="D139" s="1"/>
      <c r="E139" s="1"/>
      <c r="F139" s="1"/>
      <c r="G139" s="1"/>
      <c r="H139" s="1"/>
      <c r="I139" s="1"/>
    </row>
    <row r="140" spans="2:61" ht="15.75" customHeight="1" x14ac:dyDescent="0.25">
      <c r="B140" s="1"/>
      <c r="C140" s="1"/>
      <c r="D140" s="1"/>
      <c r="E140" s="1"/>
      <c r="F140" s="1"/>
      <c r="G140" s="1"/>
      <c r="H140" s="1"/>
      <c r="I140" s="1"/>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 ref="J8:K9"/>
    <mergeCell ref="L8:M9"/>
    <mergeCell ref="J12:K13"/>
    <mergeCell ref="L12:M13"/>
    <mergeCell ref="N12:O13"/>
    <mergeCell ref="P12:Q13"/>
    <mergeCell ref="R12:S13"/>
    <mergeCell ref="J6:K7"/>
    <mergeCell ref="J10:K11"/>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J40:AK41"/>
    <mergeCell ref="AL40:AM41"/>
    <mergeCell ref="T38:U39"/>
    <mergeCell ref="V38:W39"/>
    <mergeCell ref="X38:Y39"/>
    <mergeCell ref="Z38:AA39"/>
    <mergeCell ref="AB38:AC39"/>
    <mergeCell ref="AD38:AE39"/>
    <mergeCell ref="AF38:AG39"/>
    <mergeCell ref="AH38:AI39"/>
    <mergeCell ref="AJ38:AK39"/>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J46:O51"/>
    <mergeCell ref="P44:Q45"/>
    <mergeCell ref="R44:S45"/>
    <mergeCell ref="P46:U51"/>
    <mergeCell ref="T44:U45"/>
    <mergeCell ref="V44:W45"/>
    <mergeCell ref="X44:Y45"/>
    <mergeCell ref="Z44:AA45"/>
    <mergeCell ref="V46:AA51"/>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s>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00"/>
  <sheetViews>
    <sheetView topLeftCell="A8" zoomScale="50" zoomScaleNormal="50" workbookViewId="0">
      <selection activeCell="AE43" sqref="AE43"/>
    </sheetView>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98" t="s">
        <v>132</v>
      </c>
      <c r="C2" s="144"/>
      <c r="D2" s="144"/>
      <c r="E2" s="144"/>
      <c r="F2" s="144"/>
      <c r="G2" s="144"/>
      <c r="H2" s="144"/>
      <c r="I2" s="144"/>
      <c r="J2" s="279" t="s">
        <v>15</v>
      </c>
      <c r="K2" s="280"/>
      <c r="L2" s="280"/>
      <c r="M2" s="280"/>
      <c r="N2" s="280"/>
      <c r="O2" s="280"/>
      <c r="P2" s="280"/>
      <c r="Q2" s="280"/>
      <c r="R2" s="280"/>
      <c r="S2" s="280"/>
      <c r="T2" s="280"/>
      <c r="U2" s="280"/>
      <c r="V2" s="280"/>
      <c r="W2" s="280"/>
      <c r="X2" s="280"/>
      <c r="Y2" s="280"/>
      <c r="Z2" s="280"/>
      <c r="AA2" s="280"/>
      <c r="AB2" s="280"/>
      <c r="AC2" s="280"/>
      <c r="AD2" s="280"/>
      <c r="AE2" s="280"/>
      <c r="AF2" s="280"/>
      <c r="AG2" s="280"/>
      <c r="AH2" s="280"/>
      <c r="AI2" s="280"/>
      <c r="AJ2" s="280"/>
      <c r="AK2" s="280"/>
      <c r="AL2" s="280"/>
      <c r="AM2" s="262"/>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44"/>
      <c r="C3" s="144"/>
      <c r="D3" s="144"/>
      <c r="E3" s="144"/>
      <c r="F3" s="144"/>
      <c r="G3" s="144"/>
      <c r="H3" s="144"/>
      <c r="I3" s="144"/>
      <c r="J3" s="281"/>
      <c r="K3" s="144"/>
      <c r="L3" s="144"/>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282"/>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44"/>
      <c r="C4" s="144"/>
      <c r="D4" s="144"/>
      <c r="E4" s="144"/>
      <c r="F4" s="144"/>
      <c r="G4" s="144"/>
      <c r="H4" s="144"/>
      <c r="I4" s="144"/>
      <c r="J4" s="251"/>
      <c r="K4" s="283"/>
      <c r="L4" s="283"/>
      <c r="M4" s="283"/>
      <c r="N4" s="283"/>
      <c r="O4" s="283"/>
      <c r="P4" s="283"/>
      <c r="Q4" s="283"/>
      <c r="R4" s="283"/>
      <c r="S4" s="283"/>
      <c r="T4" s="283"/>
      <c r="U4" s="283"/>
      <c r="V4" s="283"/>
      <c r="W4" s="283"/>
      <c r="X4" s="283"/>
      <c r="Y4" s="283"/>
      <c r="Z4" s="283"/>
      <c r="AA4" s="283"/>
      <c r="AB4" s="283"/>
      <c r="AC4" s="283"/>
      <c r="AD4" s="283"/>
      <c r="AE4" s="283"/>
      <c r="AF4" s="283"/>
      <c r="AG4" s="283"/>
      <c r="AH4" s="283"/>
      <c r="AI4" s="283"/>
      <c r="AJ4" s="283"/>
      <c r="AK4" s="283"/>
      <c r="AL4" s="283"/>
      <c r="AM4" s="255"/>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84" t="s">
        <v>117</v>
      </c>
      <c r="C6" s="280"/>
      <c r="D6" s="250"/>
      <c r="E6" s="299" t="s">
        <v>118</v>
      </c>
      <c r="F6" s="270"/>
      <c r="G6" s="270"/>
      <c r="H6" s="270"/>
      <c r="I6" s="256"/>
      <c r="J6" s="33" t="str">
        <f>IF(AND('Mapa final'!$Y$13="Muy Alta",'Mapa final'!$AA$13="Leve"),CONCATENATE("R1C",'Mapa final'!$O$13),"")</f>
        <v/>
      </c>
      <c r="K6" s="34" t="str">
        <f>IF(AND('Mapa final'!$Y$14="Muy Alta",'Mapa final'!$AA$14="Leve"),CONCATENATE("R1C",'Mapa final'!$O$14),"")</f>
        <v/>
      </c>
      <c r="L6" s="34" t="str">
        <f>IF(AND('Mapa final'!$Y$15="Muy Alta",'Mapa final'!$AA$15="Leve"),CONCATENATE("R1C",'Mapa final'!$O$15),"")</f>
        <v/>
      </c>
      <c r="M6" s="34" t="str">
        <f>IF(AND('Mapa final'!$Y$16="Muy Alta",'Mapa final'!$AA$16="Leve"),CONCATENATE("R1C",'Mapa final'!$O$16),"")</f>
        <v/>
      </c>
      <c r="N6" s="34" t="str">
        <f>IF(AND('Mapa final'!$Y$17="Muy Alta",'Mapa final'!$AA$17="Leve"),CONCATENATE("R1C",'Mapa final'!$O$17),"")</f>
        <v/>
      </c>
      <c r="O6" s="35" t="str">
        <f>IF(AND('Mapa final'!$Y$18="Muy Alta",'Mapa final'!$AA$18="Leve"),CONCATENATE("R1C",'Mapa final'!$O$18),"")</f>
        <v/>
      </c>
      <c r="P6" s="33" t="str">
        <f>IF(AND('Mapa final'!$Y$13="Muy Alta",'Mapa final'!$AA$13="Menor"),CONCATENATE("R1C",'Mapa final'!$O$13),"")</f>
        <v/>
      </c>
      <c r="Q6" s="34" t="str">
        <f>IF(AND('Mapa final'!$Y$14="Muy Alta",'Mapa final'!$AA$14="Menor"),CONCATENATE("R1C",'Mapa final'!$O$14),"")</f>
        <v/>
      </c>
      <c r="R6" s="34" t="str">
        <f>IF(AND('Mapa final'!$Y$15="Muy Alta",'Mapa final'!$AA$15="Menor"),CONCATENATE("R1C",'Mapa final'!$O$15),"")</f>
        <v/>
      </c>
      <c r="S6" s="34" t="str">
        <f>IF(AND('Mapa final'!$Y$16="Muy Alta",'Mapa final'!$AA$16="Menor"),CONCATENATE("R1C",'Mapa final'!$O$16),"")</f>
        <v/>
      </c>
      <c r="T6" s="34" t="str">
        <f>IF(AND('Mapa final'!$Y$17="Muy Alta",'Mapa final'!$AA$17="Menor"),CONCATENATE("R1C",'Mapa final'!$O$17),"")</f>
        <v/>
      </c>
      <c r="U6" s="35" t="str">
        <f>IF(AND('Mapa final'!$Y$18="Muy Alta",'Mapa final'!$AA$18="Menor"),CONCATENATE("R1C",'Mapa final'!$O$18),"")</f>
        <v/>
      </c>
      <c r="V6" s="33" t="str">
        <f>IF(AND('Mapa final'!$Y$13="Muy Alta",'Mapa final'!$AA$13="Moderado"),CONCATENATE("R1C",'Mapa final'!$O$13),"")</f>
        <v/>
      </c>
      <c r="W6" s="34" t="str">
        <f>IF(AND('Mapa final'!$Y$14="Muy Alta",'Mapa final'!$AA$14="Moderado"),CONCATENATE("R1C",'Mapa final'!$O$14),"")</f>
        <v/>
      </c>
      <c r="X6" s="34" t="str">
        <f>IF(AND('Mapa final'!$Y$15="Muy Alta",'Mapa final'!$AA$15="Moderado"),CONCATENATE("R1C",'Mapa final'!$O$15),"")</f>
        <v/>
      </c>
      <c r="Y6" s="34" t="str">
        <f>IF(AND('Mapa final'!$Y$16="Muy Alta",'Mapa final'!$AA$16="Moderado"),CONCATENATE("R1C",'Mapa final'!$O$16),"")</f>
        <v/>
      </c>
      <c r="Z6" s="34" t="str">
        <f>IF(AND('Mapa final'!$Y$17="Muy Alta",'Mapa final'!$AA$17="Moderado"),CONCATENATE("R1C",'Mapa final'!$O$17),"")</f>
        <v/>
      </c>
      <c r="AA6" s="35" t="str">
        <f>IF(AND('Mapa final'!$Y$18="Muy Alta",'Mapa final'!$AA$18="Moderado"),CONCATENATE("R1C",'Mapa final'!$O$18),"")</f>
        <v/>
      </c>
      <c r="AB6" s="33" t="str">
        <f>IF(AND('Mapa final'!$Y$13="Muy Alta",'Mapa final'!$AA$13="Mayor"),CONCATENATE("R1C",'Mapa final'!$O$13),"")</f>
        <v/>
      </c>
      <c r="AC6" s="34" t="str">
        <f>IF(AND('Mapa final'!$Y$14="Muy Alta",'Mapa final'!$AA$14="Mayor"),CONCATENATE("R1C",'Mapa final'!$O$14),"")</f>
        <v/>
      </c>
      <c r="AD6" s="34" t="str">
        <f>IF(AND('Mapa final'!$Y$15="Muy Alta",'Mapa final'!$AA$15="Mayor"),CONCATENATE("R1C",'Mapa final'!$O$15),"")</f>
        <v/>
      </c>
      <c r="AE6" s="34" t="str">
        <f>IF(AND('Mapa final'!$Y$16="Muy Alta",'Mapa final'!$AA$16="Mayor"),CONCATENATE("R1C",'Mapa final'!$O$16),"")</f>
        <v/>
      </c>
      <c r="AF6" s="34" t="str">
        <f>IF(AND('Mapa final'!$Y$17="Muy Alta",'Mapa final'!$AA$17="Mayor"),CONCATENATE("R1C",'Mapa final'!$O$17),"")</f>
        <v/>
      </c>
      <c r="AG6" s="35" t="str">
        <f>IF(AND('Mapa final'!$Y$18="Muy Alta",'Mapa final'!$AA$18="Mayor"),CONCATENATE("R1C",'Mapa final'!$O$18),"")</f>
        <v/>
      </c>
      <c r="AH6" s="36" t="str">
        <f>IF(AND('Mapa final'!$Y$13="Muy Alta",'Mapa final'!$AA$13="Catastrófico"),CONCATENATE("R1C",'Mapa final'!$O$13),"")</f>
        <v/>
      </c>
      <c r="AI6" s="37" t="str">
        <f>IF(AND('Mapa final'!$Y$14="Muy Alta",'Mapa final'!$AA$14="Catastrófico"),CONCATENATE("R1C",'Mapa final'!$O$14),"")</f>
        <v/>
      </c>
      <c r="AJ6" s="37" t="str">
        <f>IF(AND('Mapa final'!$Y$15="Muy Alta",'Mapa final'!$AA$15="Catastrófico"),CONCATENATE("R1C",'Mapa final'!$O$15),"")</f>
        <v/>
      </c>
      <c r="AK6" s="37" t="str">
        <f>IF(AND('Mapa final'!$Y$16="Muy Alta",'Mapa final'!$AA$16="Catastrófico"),CONCATENATE("R1C",'Mapa final'!$O$16),"")</f>
        <v/>
      </c>
      <c r="AL6" s="37" t="str">
        <f>IF(AND('Mapa final'!$Y$17="Muy Alta",'Mapa final'!$AA$17="Catastrófico"),CONCATENATE("R1C",'Mapa final'!$O$17),"")</f>
        <v/>
      </c>
      <c r="AM6" s="38" t="str">
        <f>IF(AND('Mapa final'!$Y$18="Muy Alta",'Mapa final'!$AA$18="Catastrófico"),CONCATENATE("R1C",'Mapa final'!$O$18),"")</f>
        <v/>
      </c>
      <c r="AN6" s="1"/>
      <c r="AO6" s="302" t="s">
        <v>119</v>
      </c>
      <c r="AP6" s="288"/>
      <c r="AQ6" s="288"/>
      <c r="AR6" s="288"/>
      <c r="AS6" s="288"/>
      <c r="AT6" s="289"/>
      <c r="AU6" s="1"/>
      <c r="AV6" s="1"/>
      <c r="AW6" s="1"/>
      <c r="AX6" s="1"/>
      <c r="AY6" s="1"/>
      <c r="AZ6" s="1"/>
      <c r="BA6" s="1"/>
      <c r="BB6" s="1"/>
      <c r="BC6" s="1"/>
      <c r="BD6" s="1"/>
      <c r="BE6" s="1"/>
      <c r="BF6" s="1"/>
      <c r="BG6" s="1"/>
      <c r="BH6" s="1"/>
      <c r="BI6" s="1"/>
    </row>
    <row r="7" spans="1:61" ht="15" customHeight="1" x14ac:dyDescent="0.25">
      <c r="A7" s="1"/>
      <c r="B7" s="281"/>
      <c r="C7" s="144"/>
      <c r="D7" s="145"/>
      <c r="E7" s="156"/>
      <c r="F7" s="144"/>
      <c r="G7" s="144"/>
      <c r="H7" s="144"/>
      <c r="I7" s="145"/>
      <c r="J7" s="39" t="str">
        <f>IF(AND('Mapa final'!$Y$19="Muy Alta",'Mapa final'!$AA$19="Leve"),CONCATENATE("R2C",'Mapa final'!$O$19),"")</f>
        <v/>
      </c>
      <c r="K7" s="40" t="str">
        <f>IF(AND('Mapa final'!$Y$20="Muy Alta",'Mapa final'!$AA$20="Leve"),CONCATENATE("R2C",'Mapa final'!$O$20),"")</f>
        <v/>
      </c>
      <c r="L7" s="40" t="str">
        <f>IF(AND('Mapa final'!$Y$21="Muy Alta",'Mapa final'!$AA$21="Leve"),CONCATENATE("R2C",'Mapa final'!$O$21),"")</f>
        <v/>
      </c>
      <c r="M7" s="40" t="str">
        <f>IF(AND('Mapa final'!$Y$22="Muy Alta",'Mapa final'!$AA$22="Leve"),CONCATENATE("R2C",'Mapa final'!$O$22),"")</f>
        <v/>
      </c>
      <c r="N7" s="40" t="str">
        <f>IF(AND('Mapa final'!$Y$23="Muy Alta",'Mapa final'!$AA$23="Leve"),CONCATENATE("R2C",'Mapa final'!$O$23),"")</f>
        <v/>
      </c>
      <c r="O7" s="41" t="str">
        <f>IF(AND('Mapa final'!$Y$24="Muy Alta",'Mapa final'!$AA$24="Leve"),CONCATENATE("R2C",'Mapa final'!$O$24),"")</f>
        <v/>
      </c>
      <c r="P7" s="39" t="str">
        <f>IF(AND('Mapa final'!$Y$19="Muy Alta",'Mapa final'!$AA$19="Menor"),CONCATENATE("R2C",'Mapa final'!$O$19),"")</f>
        <v/>
      </c>
      <c r="Q7" s="40" t="str">
        <f>IF(AND('Mapa final'!$Y$20="Muy Alta",'Mapa final'!$AA$20="Menor"),CONCATENATE("R2C",'Mapa final'!$O$20),"")</f>
        <v/>
      </c>
      <c r="R7" s="40" t="str">
        <f>IF(AND('Mapa final'!$Y$21="Muy Alta",'Mapa final'!$AA$21="Menor"),CONCATENATE("R2C",'Mapa final'!$O$21),"")</f>
        <v/>
      </c>
      <c r="S7" s="40" t="str">
        <f>IF(AND('Mapa final'!$Y$22="Muy Alta",'Mapa final'!$AA$22="Menor"),CONCATENATE("R2C",'Mapa final'!$O$22),"")</f>
        <v/>
      </c>
      <c r="T7" s="40" t="str">
        <f>IF(AND('Mapa final'!$Y$23="Muy Alta",'Mapa final'!$AA$23="Menor"),CONCATENATE("R2C",'Mapa final'!$O$23),"")</f>
        <v/>
      </c>
      <c r="U7" s="41" t="str">
        <f>IF(AND('Mapa final'!$Y$24="Muy Alta",'Mapa final'!$AA$24="Menor"),CONCATENATE("R2C",'Mapa final'!$O$24),"")</f>
        <v/>
      </c>
      <c r="V7" s="39" t="str">
        <f>IF(AND('Mapa final'!$Y$19="Muy Alta",'Mapa final'!$AA$19="Moderado"),CONCATENATE("R2C",'Mapa final'!$O$19),"")</f>
        <v/>
      </c>
      <c r="W7" s="40" t="str">
        <f>IF(AND('Mapa final'!$Y$20="Muy Alta",'Mapa final'!$AA$20="Moderado"),CONCATENATE("R2C",'Mapa final'!$O$20),"")</f>
        <v/>
      </c>
      <c r="X7" s="40" t="str">
        <f>IF(AND('Mapa final'!$Y$21="Muy Alta",'Mapa final'!$AA$21="Moderado"),CONCATENATE("R2C",'Mapa final'!$O$21),"")</f>
        <v/>
      </c>
      <c r="Y7" s="40" t="str">
        <f>IF(AND('Mapa final'!$Y$22="Muy Alta",'Mapa final'!$AA$22="Moderado"),CONCATENATE("R2C",'Mapa final'!$O$22),"")</f>
        <v/>
      </c>
      <c r="Z7" s="40" t="str">
        <f>IF(AND('Mapa final'!$Y$23="Muy Alta",'Mapa final'!$AA$23="Moderado"),CONCATENATE("R2C",'Mapa final'!$O$23),"")</f>
        <v/>
      </c>
      <c r="AA7" s="41" t="str">
        <f>IF(AND('Mapa final'!$Y$24="Muy Alta",'Mapa final'!$AA$24="Moderado"),CONCATENATE("R2C",'Mapa final'!$O$24),"")</f>
        <v/>
      </c>
      <c r="AB7" s="39" t="str">
        <f>IF(AND('Mapa final'!$Y$19="Muy Alta",'Mapa final'!$AA$19="Mayor"),CONCATENATE("R2C",'Mapa final'!$O$19),"")</f>
        <v/>
      </c>
      <c r="AC7" s="40" t="str">
        <f>IF(AND('Mapa final'!$Y$20="Muy Alta",'Mapa final'!$AA$20="Mayor"),CONCATENATE("R2C",'Mapa final'!$O$20),"")</f>
        <v/>
      </c>
      <c r="AD7" s="40" t="str">
        <f>IF(AND('Mapa final'!$Y$21="Muy Alta",'Mapa final'!$AA$21="Mayor"),CONCATENATE("R2C",'Mapa final'!$O$21),"")</f>
        <v/>
      </c>
      <c r="AE7" s="40" t="str">
        <f>IF(AND('Mapa final'!$Y$22="Muy Alta",'Mapa final'!$AA$22="Mayor"),CONCATENATE("R2C",'Mapa final'!$O$22),"")</f>
        <v/>
      </c>
      <c r="AF7" s="40" t="str">
        <f>IF(AND('Mapa final'!$Y$23="Muy Alta",'Mapa final'!$AA$23="Mayor"),CONCATENATE("R2C",'Mapa final'!$O$23),"")</f>
        <v/>
      </c>
      <c r="AG7" s="41" t="str">
        <f>IF(AND('Mapa final'!$Y$24="Muy Alta",'Mapa final'!$AA$24="Mayor"),CONCATENATE("R2C",'Mapa final'!$O$24),"")</f>
        <v/>
      </c>
      <c r="AH7" s="42" t="str">
        <f>IF(AND('Mapa final'!$Y$19="Muy Alta",'Mapa final'!$AA$19="Catastrófico"),CONCATENATE("R2C",'Mapa final'!$O$19),"")</f>
        <v/>
      </c>
      <c r="AI7" s="43" t="str">
        <f>IF(AND('Mapa final'!$Y$20="Muy Alta",'Mapa final'!$AA$20="Catastrófico"),CONCATENATE("R2C",'Mapa final'!$O$20),"")</f>
        <v/>
      </c>
      <c r="AJ7" s="43" t="str">
        <f>IF(AND('Mapa final'!$Y$21="Muy Alta",'Mapa final'!$AA$21="Catastrófico"),CONCATENATE("R2C",'Mapa final'!$O$21),"")</f>
        <v/>
      </c>
      <c r="AK7" s="43" t="str">
        <f>IF(AND('Mapa final'!$Y$22="Muy Alta",'Mapa final'!$AA$22="Catastrófico"),CONCATENATE("R2C",'Mapa final'!$O$22),"")</f>
        <v/>
      </c>
      <c r="AL7" s="43" t="str">
        <f>IF(AND('Mapa final'!$Y$23="Muy Alta",'Mapa final'!$AA$23="Catastrófico"),CONCATENATE("R2C",'Mapa final'!$O$23),"")</f>
        <v/>
      </c>
      <c r="AM7" s="44" t="str">
        <f>IF(AND('Mapa final'!$Y$24="Muy Alta",'Mapa final'!$AA$24="Catastrófico"),CONCATENATE("R2C",'Mapa final'!$O$24),"")</f>
        <v/>
      </c>
      <c r="AN7" s="1"/>
      <c r="AO7" s="290"/>
      <c r="AP7" s="144"/>
      <c r="AQ7" s="144"/>
      <c r="AR7" s="144"/>
      <c r="AS7" s="144"/>
      <c r="AT7" s="291"/>
      <c r="AU7" s="1"/>
      <c r="AV7" s="1"/>
      <c r="AW7" s="1"/>
      <c r="AX7" s="1"/>
      <c r="AY7" s="1"/>
      <c r="AZ7" s="1"/>
      <c r="BA7" s="1"/>
      <c r="BB7" s="1"/>
      <c r="BC7" s="1"/>
      <c r="BD7" s="1"/>
      <c r="BE7" s="1"/>
      <c r="BF7" s="1"/>
      <c r="BG7" s="1"/>
      <c r="BH7" s="1"/>
      <c r="BI7" s="1"/>
    </row>
    <row r="8" spans="1:61" ht="15" customHeight="1" x14ac:dyDescent="0.25">
      <c r="A8" s="1"/>
      <c r="B8" s="281"/>
      <c r="C8" s="144"/>
      <c r="D8" s="145"/>
      <c r="E8" s="156"/>
      <c r="F8" s="144"/>
      <c r="G8" s="144"/>
      <c r="H8" s="144"/>
      <c r="I8" s="145"/>
      <c r="J8" s="39" t="e">
        <f>IF(AND('Mapa final'!#REF!="Muy Alta",'Mapa final'!#REF!="Leve"),CONCATENATE("R3C",'Mapa final'!#REF!),"")</f>
        <v>#REF!</v>
      </c>
      <c r="K8" s="40" t="e">
        <f>IF(AND('Mapa final'!#REF!="Muy Alta",'Mapa final'!#REF!="Leve"),CONCATENATE("R3C",'Mapa final'!#REF!),"")</f>
        <v>#REF!</v>
      </c>
      <c r="L8" s="40" t="e">
        <f>IF(AND('Mapa final'!#REF!="Muy Alta",'Mapa final'!#REF!="Leve"),CONCATENATE("R3C",'Mapa final'!#REF!),"")</f>
        <v>#REF!</v>
      </c>
      <c r="M8" s="40" t="e">
        <f>IF(AND('Mapa final'!#REF!="Muy Alta",'Mapa final'!#REF!="Leve"),CONCATENATE("R3C",'Mapa final'!#REF!),"")</f>
        <v>#REF!</v>
      </c>
      <c r="N8" s="40" t="e">
        <f>IF(AND('Mapa final'!#REF!="Muy Alta",'Mapa final'!#REF!="Leve"),CONCATENATE("R3C",'Mapa final'!#REF!),"")</f>
        <v>#REF!</v>
      </c>
      <c r="O8" s="41" t="e">
        <f>IF(AND('Mapa final'!#REF!="Muy Alta",'Mapa final'!#REF!="Leve"),CONCATENATE("R3C",'Mapa final'!#REF!),"")</f>
        <v>#REF!</v>
      </c>
      <c r="P8" s="39" t="e">
        <f>IF(AND('Mapa final'!#REF!="Muy Alta",'Mapa final'!#REF!="Menor"),CONCATENATE("R3C",'Mapa final'!#REF!),"")</f>
        <v>#REF!</v>
      </c>
      <c r="Q8" s="40" t="e">
        <f>IF(AND('Mapa final'!#REF!="Muy Alta",'Mapa final'!#REF!="Menor"),CONCATENATE("R3C",'Mapa final'!#REF!),"")</f>
        <v>#REF!</v>
      </c>
      <c r="R8" s="40" t="e">
        <f>IF(AND('Mapa final'!#REF!="Muy Alta",'Mapa final'!#REF!="Menor"),CONCATENATE("R3C",'Mapa final'!#REF!),"")</f>
        <v>#REF!</v>
      </c>
      <c r="S8" s="40" t="e">
        <f>IF(AND('Mapa final'!#REF!="Muy Alta",'Mapa final'!#REF!="Menor"),CONCATENATE("R3C",'Mapa final'!#REF!),"")</f>
        <v>#REF!</v>
      </c>
      <c r="T8" s="40" t="e">
        <f>IF(AND('Mapa final'!#REF!="Muy Alta",'Mapa final'!#REF!="Menor"),CONCATENATE("R3C",'Mapa final'!#REF!),"")</f>
        <v>#REF!</v>
      </c>
      <c r="U8" s="41" t="e">
        <f>IF(AND('Mapa final'!#REF!="Muy Alta",'Mapa final'!#REF!="Menor"),CONCATENATE("R3C",'Mapa final'!#REF!),"")</f>
        <v>#REF!</v>
      </c>
      <c r="V8" s="39" t="e">
        <f>IF(AND('Mapa final'!#REF!="Muy Alta",'Mapa final'!#REF!="Moderado"),CONCATENATE("R3C",'Mapa final'!#REF!),"")</f>
        <v>#REF!</v>
      </c>
      <c r="W8" s="40" t="e">
        <f>IF(AND('Mapa final'!#REF!="Muy Alta",'Mapa final'!#REF!="Moderado"),CONCATENATE("R3C",'Mapa final'!#REF!),"")</f>
        <v>#REF!</v>
      </c>
      <c r="X8" s="40" t="e">
        <f>IF(AND('Mapa final'!#REF!="Muy Alta",'Mapa final'!#REF!="Moderado"),CONCATENATE("R3C",'Mapa final'!#REF!),"")</f>
        <v>#REF!</v>
      </c>
      <c r="Y8" s="40" t="e">
        <f>IF(AND('Mapa final'!#REF!="Muy Alta",'Mapa final'!#REF!="Moderado"),CONCATENATE("R3C",'Mapa final'!#REF!),"")</f>
        <v>#REF!</v>
      </c>
      <c r="Z8" s="40" t="e">
        <f>IF(AND('Mapa final'!#REF!="Muy Alta",'Mapa final'!#REF!="Moderado"),CONCATENATE("R3C",'Mapa final'!#REF!),"")</f>
        <v>#REF!</v>
      </c>
      <c r="AA8" s="41" t="e">
        <f>IF(AND('Mapa final'!#REF!="Muy Alta",'Mapa final'!#REF!="Moderado"),CONCATENATE("R3C",'Mapa final'!#REF!),"")</f>
        <v>#REF!</v>
      </c>
      <c r="AB8" s="39" t="e">
        <f>IF(AND('Mapa final'!#REF!="Muy Alta",'Mapa final'!#REF!="Mayor"),CONCATENATE("R3C",'Mapa final'!#REF!),"")</f>
        <v>#REF!</v>
      </c>
      <c r="AC8" s="40" t="e">
        <f>IF(AND('Mapa final'!#REF!="Muy Alta",'Mapa final'!#REF!="Mayor"),CONCATENATE("R3C",'Mapa final'!#REF!),"")</f>
        <v>#REF!</v>
      </c>
      <c r="AD8" s="40" t="e">
        <f>IF(AND('Mapa final'!#REF!="Muy Alta",'Mapa final'!#REF!="Mayor"),CONCATENATE("R3C",'Mapa final'!#REF!),"")</f>
        <v>#REF!</v>
      </c>
      <c r="AE8" s="40" t="e">
        <f>IF(AND('Mapa final'!#REF!="Muy Alta",'Mapa final'!#REF!="Mayor"),CONCATENATE("R3C",'Mapa final'!#REF!),"")</f>
        <v>#REF!</v>
      </c>
      <c r="AF8" s="40" t="e">
        <f>IF(AND('Mapa final'!#REF!="Muy Alta",'Mapa final'!#REF!="Mayor"),CONCATENATE("R3C",'Mapa final'!#REF!),"")</f>
        <v>#REF!</v>
      </c>
      <c r="AG8" s="41" t="e">
        <f>IF(AND('Mapa final'!#REF!="Muy Alta",'Mapa final'!#REF!="Mayor"),CONCATENATE("R3C",'Mapa final'!#REF!),"")</f>
        <v>#REF!</v>
      </c>
      <c r="AH8" s="42" t="e">
        <f>IF(AND('Mapa final'!#REF!="Muy Alta",'Mapa final'!#REF!="Catastrófico"),CONCATENATE("R3C",'Mapa final'!#REF!),"")</f>
        <v>#REF!</v>
      </c>
      <c r="AI8" s="43" t="e">
        <f>IF(AND('Mapa final'!#REF!="Muy Alta",'Mapa final'!#REF!="Catastrófico"),CONCATENATE("R3C",'Mapa final'!#REF!),"")</f>
        <v>#REF!</v>
      </c>
      <c r="AJ8" s="43" t="e">
        <f>IF(AND('Mapa final'!#REF!="Muy Alta",'Mapa final'!#REF!="Catastrófico"),CONCATENATE("R3C",'Mapa final'!#REF!),"")</f>
        <v>#REF!</v>
      </c>
      <c r="AK8" s="43" t="e">
        <f>IF(AND('Mapa final'!#REF!="Muy Alta",'Mapa final'!#REF!="Catastrófico"),CONCATENATE("R3C",'Mapa final'!#REF!),"")</f>
        <v>#REF!</v>
      </c>
      <c r="AL8" s="43" t="e">
        <f>IF(AND('Mapa final'!#REF!="Muy Alta",'Mapa final'!#REF!="Catastrófico"),CONCATENATE("R3C",'Mapa final'!#REF!),"")</f>
        <v>#REF!</v>
      </c>
      <c r="AM8" s="44" t="e">
        <f>IF(AND('Mapa final'!#REF!="Muy Alta",'Mapa final'!#REF!="Catastrófico"),CONCATENATE("R3C",'Mapa final'!#REF!),"")</f>
        <v>#REF!</v>
      </c>
      <c r="AN8" s="1"/>
      <c r="AO8" s="290"/>
      <c r="AP8" s="144"/>
      <c r="AQ8" s="144"/>
      <c r="AR8" s="144"/>
      <c r="AS8" s="144"/>
      <c r="AT8" s="291"/>
      <c r="AU8" s="1"/>
      <c r="AV8" s="1"/>
      <c r="AW8" s="1"/>
      <c r="AX8" s="1"/>
      <c r="AY8" s="1"/>
      <c r="AZ8" s="1"/>
      <c r="BA8" s="1"/>
      <c r="BB8" s="1"/>
      <c r="BC8" s="1"/>
      <c r="BD8" s="1"/>
      <c r="BE8" s="1"/>
      <c r="BF8" s="1"/>
      <c r="BG8" s="1"/>
      <c r="BH8" s="1"/>
      <c r="BI8" s="1"/>
    </row>
    <row r="9" spans="1:61" ht="15" customHeight="1" x14ac:dyDescent="0.25">
      <c r="A9" s="1"/>
      <c r="B9" s="281"/>
      <c r="C9" s="144"/>
      <c r="D9" s="145"/>
      <c r="E9" s="156"/>
      <c r="F9" s="144"/>
      <c r="G9" s="144"/>
      <c r="H9" s="144"/>
      <c r="I9" s="145"/>
      <c r="J9" s="39" t="e">
        <f>IF(AND('Mapa final'!#REF!="Muy Alta",'Mapa final'!#REF!="Leve"),CONCATENATE("R4C",'Mapa final'!#REF!),"")</f>
        <v>#REF!</v>
      </c>
      <c r="K9" s="40" t="e">
        <f>IF(AND('Mapa final'!#REF!="Muy Alta",'Mapa final'!#REF!="Leve"),CONCATENATE("R4C",'Mapa final'!#REF!),"")</f>
        <v>#REF!</v>
      </c>
      <c r="L9" s="40" t="e">
        <f>IF(AND('Mapa final'!#REF!="Muy Alta",'Mapa final'!#REF!="Leve"),CONCATENATE("R4C",'Mapa final'!#REF!),"")</f>
        <v>#REF!</v>
      </c>
      <c r="M9" s="40" t="e">
        <f>IF(AND('Mapa final'!#REF!="Muy Alta",'Mapa final'!#REF!="Leve"),CONCATENATE("R4C",'Mapa final'!#REF!),"")</f>
        <v>#REF!</v>
      </c>
      <c r="N9" s="40" t="e">
        <f>IF(AND('Mapa final'!#REF!="Muy Alta",'Mapa final'!#REF!="Leve"),CONCATENATE("R4C",'Mapa final'!#REF!),"")</f>
        <v>#REF!</v>
      </c>
      <c r="O9" s="41" t="e">
        <f>IF(AND('Mapa final'!#REF!="Muy Alta",'Mapa final'!#REF!="Leve"),CONCATENATE("R4C",'Mapa final'!#REF!),"")</f>
        <v>#REF!</v>
      </c>
      <c r="P9" s="39" t="e">
        <f>IF(AND('Mapa final'!#REF!="Muy Alta",'Mapa final'!#REF!="Menor"),CONCATENATE("R4C",'Mapa final'!#REF!),"")</f>
        <v>#REF!</v>
      </c>
      <c r="Q9" s="40" t="e">
        <f>IF(AND('Mapa final'!#REF!="Muy Alta",'Mapa final'!#REF!="Menor"),CONCATENATE("R4C",'Mapa final'!#REF!),"")</f>
        <v>#REF!</v>
      </c>
      <c r="R9" s="40" t="e">
        <f>IF(AND('Mapa final'!#REF!="Muy Alta",'Mapa final'!#REF!="Menor"),CONCATENATE("R4C",'Mapa final'!#REF!),"")</f>
        <v>#REF!</v>
      </c>
      <c r="S9" s="40" t="e">
        <f>IF(AND('Mapa final'!#REF!="Muy Alta",'Mapa final'!#REF!="Menor"),CONCATENATE("R4C",'Mapa final'!#REF!),"")</f>
        <v>#REF!</v>
      </c>
      <c r="T9" s="40" t="e">
        <f>IF(AND('Mapa final'!#REF!="Muy Alta",'Mapa final'!#REF!="Menor"),CONCATENATE("R4C",'Mapa final'!#REF!),"")</f>
        <v>#REF!</v>
      </c>
      <c r="U9" s="41" t="e">
        <f>IF(AND('Mapa final'!#REF!="Muy Alta",'Mapa final'!#REF!="Menor"),CONCATENATE("R4C",'Mapa final'!#REF!),"")</f>
        <v>#REF!</v>
      </c>
      <c r="V9" s="39" t="e">
        <f>IF(AND('Mapa final'!#REF!="Muy Alta",'Mapa final'!#REF!="Moderado"),CONCATENATE("R4C",'Mapa final'!#REF!),"")</f>
        <v>#REF!</v>
      </c>
      <c r="W9" s="40" t="e">
        <f>IF(AND('Mapa final'!#REF!="Muy Alta",'Mapa final'!#REF!="Moderado"),CONCATENATE("R4C",'Mapa final'!#REF!),"")</f>
        <v>#REF!</v>
      </c>
      <c r="X9" s="40" t="e">
        <f>IF(AND('Mapa final'!#REF!="Muy Alta",'Mapa final'!#REF!="Moderado"),CONCATENATE("R4C",'Mapa final'!#REF!),"")</f>
        <v>#REF!</v>
      </c>
      <c r="Y9" s="40" t="e">
        <f>IF(AND('Mapa final'!#REF!="Muy Alta",'Mapa final'!#REF!="Moderado"),CONCATENATE("R4C",'Mapa final'!#REF!),"")</f>
        <v>#REF!</v>
      </c>
      <c r="Z9" s="40" t="e">
        <f>IF(AND('Mapa final'!#REF!="Muy Alta",'Mapa final'!#REF!="Moderado"),CONCATENATE("R4C",'Mapa final'!#REF!),"")</f>
        <v>#REF!</v>
      </c>
      <c r="AA9" s="41" t="e">
        <f>IF(AND('Mapa final'!#REF!="Muy Alta",'Mapa final'!#REF!="Moderado"),CONCATENATE("R4C",'Mapa final'!#REF!),"")</f>
        <v>#REF!</v>
      </c>
      <c r="AB9" s="39" t="e">
        <f>IF(AND('Mapa final'!#REF!="Muy Alta",'Mapa final'!#REF!="Mayor"),CONCATENATE("R4C",'Mapa final'!#REF!),"")</f>
        <v>#REF!</v>
      </c>
      <c r="AC9" s="40" t="e">
        <f>IF(AND('Mapa final'!#REF!="Muy Alta",'Mapa final'!#REF!="Mayor"),CONCATENATE("R4C",'Mapa final'!#REF!),"")</f>
        <v>#REF!</v>
      </c>
      <c r="AD9" s="40" t="e">
        <f>IF(AND('Mapa final'!#REF!="Muy Alta",'Mapa final'!#REF!="Mayor"),CONCATENATE("R4C",'Mapa final'!#REF!),"")</f>
        <v>#REF!</v>
      </c>
      <c r="AE9" s="40" t="e">
        <f>IF(AND('Mapa final'!#REF!="Muy Alta",'Mapa final'!#REF!="Mayor"),CONCATENATE("R4C",'Mapa final'!#REF!),"")</f>
        <v>#REF!</v>
      </c>
      <c r="AF9" s="40" t="e">
        <f>IF(AND('Mapa final'!#REF!="Muy Alta",'Mapa final'!#REF!="Mayor"),CONCATENATE("R4C",'Mapa final'!#REF!),"")</f>
        <v>#REF!</v>
      </c>
      <c r="AG9" s="41" t="e">
        <f>IF(AND('Mapa final'!#REF!="Muy Alta",'Mapa final'!#REF!="Mayor"),CONCATENATE("R4C",'Mapa final'!#REF!),"")</f>
        <v>#REF!</v>
      </c>
      <c r="AH9" s="42" t="e">
        <f>IF(AND('Mapa final'!#REF!="Muy Alta",'Mapa final'!#REF!="Catastrófico"),CONCATENATE("R4C",'Mapa final'!#REF!),"")</f>
        <v>#REF!</v>
      </c>
      <c r="AI9" s="43" t="e">
        <f>IF(AND('Mapa final'!#REF!="Muy Alta",'Mapa final'!#REF!="Catastrófico"),CONCATENATE("R4C",'Mapa final'!#REF!),"")</f>
        <v>#REF!</v>
      </c>
      <c r="AJ9" s="43" t="e">
        <f>IF(AND('Mapa final'!#REF!="Muy Alta",'Mapa final'!#REF!="Catastrófico"),CONCATENATE("R4C",'Mapa final'!#REF!),"")</f>
        <v>#REF!</v>
      </c>
      <c r="AK9" s="43" t="e">
        <f>IF(AND('Mapa final'!#REF!="Muy Alta",'Mapa final'!#REF!="Catastrófico"),CONCATENATE("R4C",'Mapa final'!#REF!),"")</f>
        <v>#REF!</v>
      </c>
      <c r="AL9" s="43" t="e">
        <f>IF(AND('Mapa final'!#REF!="Muy Alta",'Mapa final'!#REF!="Catastrófico"),CONCATENATE("R4C",'Mapa final'!#REF!),"")</f>
        <v>#REF!</v>
      </c>
      <c r="AM9" s="44" t="e">
        <f>IF(AND('Mapa final'!#REF!="Muy Alta",'Mapa final'!#REF!="Catastrófico"),CONCATENATE("R4C",'Mapa final'!#REF!),"")</f>
        <v>#REF!</v>
      </c>
      <c r="AN9" s="1"/>
      <c r="AO9" s="290"/>
      <c r="AP9" s="144"/>
      <c r="AQ9" s="144"/>
      <c r="AR9" s="144"/>
      <c r="AS9" s="144"/>
      <c r="AT9" s="291"/>
      <c r="AU9" s="1"/>
      <c r="AV9" s="1"/>
      <c r="AW9" s="1"/>
      <c r="AX9" s="1"/>
      <c r="AY9" s="1"/>
      <c r="AZ9" s="1"/>
      <c r="BA9" s="1"/>
      <c r="BB9" s="1"/>
      <c r="BC9" s="1"/>
      <c r="BD9" s="1"/>
      <c r="BE9" s="1"/>
      <c r="BF9" s="1"/>
      <c r="BG9" s="1"/>
      <c r="BH9" s="1"/>
      <c r="BI9" s="1"/>
    </row>
    <row r="10" spans="1:61" ht="15" customHeight="1" x14ac:dyDescent="0.25">
      <c r="A10" s="1"/>
      <c r="B10" s="281"/>
      <c r="C10" s="144"/>
      <c r="D10" s="145"/>
      <c r="E10" s="156"/>
      <c r="F10" s="144"/>
      <c r="G10" s="144"/>
      <c r="H10" s="144"/>
      <c r="I10" s="145"/>
      <c r="J10" s="39" t="e">
        <f>IF(AND('Mapa final'!#REF!="Muy Alta",'Mapa final'!#REF!="Leve"),CONCATENATE("R5C",'Mapa final'!#REF!),"")</f>
        <v>#REF!</v>
      </c>
      <c r="K10" s="40" t="e">
        <f>IF(AND('Mapa final'!#REF!="Muy Alta",'Mapa final'!#REF!="Leve"),CONCATENATE("R5C",'Mapa final'!#REF!),"")</f>
        <v>#REF!</v>
      </c>
      <c r="L10" s="40" t="e">
        <f>IF(AND('Mapa final'!#REF!="Muy Alta",'Mapa final'!#REF!="Leve"),CONCATENATE("R5C",'Mapa final'!#REF!),"")</f>
        <v>#REF!</v>
      </c>
      <c r="M10" s="40" t="e">
        <f>IF(AND('Mapa final'!#REF!="Muy Alta",'Mapa final'!#REF!="Leve"),CONCATENATE("R5C",'Mapa final'!#REF!),"")</f>
        <v>#REF!</v>
      </c>
      <c r="N10" s="40" t="e">
        <f>IF(AND('Mapa final'!#REF!="Muy Alta",'Mapa final'!#REF!="Leve"),CONCATENATE("R5C",'Mapa final'!#REF!),"")</f>
        <v>#REF!</v>
      </c>
      <c r="O10" s="41" t="e">
        <f>IF(AND('Mapa final'!#REF!="Muy Alta",'Mapa final'!#REF!="Leve"),CONCATENATE("R5C",'Mapa final'!#REF!),"")</f>
        <v>#REF!</v>
      </c>
      <c r="P10" s="39" t="e">
        <f>IF(AND('Mapa final'!#REF!="Muy Alta",'Mapa final'!#REF!="Menor"),CONCATENATE("R5C",'Mapa final'!#REF!),"")</f>
        <v>#REF!</v>
      </c>
      <c r="Q10" s="40" t="e">
        <f>IF(AND('Mapa final'!#REF!="Muy Alta",'Mapa final'!#REF!="Menor"),CONCATENATE("R5C",'Mapa final'!#REF!),"")</f>
        <v>#REF!</v>
      </c>
      <c r="R10" s="40" t="e">
        <f>IF(AND('Mapa final'!#REF!="Muy Alta",'Mapa final'!#REF!="Menor"),CONCATENATE("R5C",'Mapa final'!#REF!),"")</f>
        <v>#REF!</v>
      </c>
      <c r="S10" s="40" t="e">
        <f>IF(AND('Mapa final'!#REF!="Muy Alta",'Mapa final'!#REF!="Menor"),CONCATENATE("R5C",'Mapa final'!#REF!),"")</f>
        <v>#REF!</v>
      </c>
      <c r="T10" s="40" t="e">
        <f>IF(AND('Mapa final'!#REF!="Muy Alta",'Mapa final'!#REF!="Menor"),CONCATENATE("R5C",'Mapa final'!#REF!),"")</f>
        <v>#REF!</v>
      </c>
      <c r="U10" s="41" t="e">
        <f>IF(AND('Mapa final'!#REF!="Muy Alta",'Mapa final'!#REF!="Menor"),CONCATENATE("R5C",'Mapa final'!#REF!),"")</f>
        <v>#REF!</v>
      </c>
      <c r="V10" s="39" t="e">
        <f>IF(AND('Mapa final'!#REF!="Muy Alta",'Mapa final'!#REF!="Moderado"),CONCATENATE("R5C",'Mapa final'!#REF!),"")</f>
        <v>#REF!</v>
      </c>
      <c r="W10" s="40" t="e">
        <f>IF(AND('Mapa final'!#REF!="Muy Alta",'Mapa final'!#REF!="Moderado"),CONCATENATE("R5C",'Mapa final'!#REF!),"")</f>
        <v>#REF!</v>
      </c>
      <c r="X10" s="40" t="e">
        <f>IF(AND('Mapa final'!#REF!="Muy Alta",'Mapa final'!#REF!="Moderado"),CONCATENATE("R5C",'Mapa final'!#REF!),"")</f>
        <v>#REF!</v>
      </c>
      <c r="Y10" s="40" t="e">
        <f>IF(AND('Mapa final'!#REF!="Muy Alta",'Mapa final'!#REF!="Moderado"),CONCATENATE("R5C",'Mapa final'!#REF!),"")</f>
        <v>#REF!</v>
      </c>
      <c r="Z10" s="40" t="e">
        <f>IF(AND('Mapa final'!#REF!="Muy Alta",'Mapa final'!#REF!="Moderado"),CONCATENATE("R5C",'Mapa final'!#REF!),"")</f>
        <v>#REF!</v>
      </c>
      <c r="AA10" s="41" t="e">
        <f>IF(AND('Mapa final'!#REF!="Muy Alta",'Mapa final'!#REF!="Moderado"),CONCATENATE("R5C",'Mapa final'!#REF!),"")</f>
        <v>#REF!</v>
      </c>
      <c r="AB10" s="39" t="e">
        <f>IF(AND('Mapa final'!#REF!="Muy Alta",'Mapa final'!#REF!="Mayor"),CONCATENATE("R5C",'Mapa final'!#REF!),"")</f>
        <v>#REF!</v>
      </c>
      <c r="AC10" s="40" t="e">
        <f>IF(AND('Mapa final'!#REF!="Muy Alta",'Mapa final'!#REF!="Mayor"),CONCATENATE("R5C",'Mapa final'!#REF!),"")</f>
        <v>#REF!</v>
      </c>
      <c r="AD10" s="40" t="e">
        <f>IF(AND('Mapa final'!#REF!="Muy Alta",'Mapa final'!#REF!="Mayor"),CONCATENATE("R5C",'Mapa final'!#REF!),"")</f>
        <v>#REF!</v>
      </c>
      <c r="AE10" s="40" t="e">
        <f>IF(AND('Mapa final'!#REF!="Muy Alta",'Mapa final'!#REF!="Mayor"),CONCATENATE("R5C",'Mapa final'!#REF!),"")</f>
        <v>#REF!</v>
      </c>
      <c r="AF10" s="40" t="e">
        <f>IF(AND('Mapa final'!#REF!="Muy Alta",'Mapa final'!#REF!="Mayor"),CONCATENATE("R5C",'Mapa final'!#REF!),"")</f>
        <v>#REF!</v>
      </c>
      <c r="AG10" s="41" t="e">
        <f>IF(AND('Mapa final'!#REF!="Muy Alta",'Mapa final'!#REF!="Mayor"),CONCATENATE("R5C",'Mapa final'!#REF!),"")</f>
        <v>#REF!</v>
      </c>
      <c r="AH10" s="42" t="e">
        <f>IF(AND('Mapa final'!#REF!="Muy Alta",'Mapa final'!#REF!="Catastrófico"),CONCATENATE("R5C",'Mapa final'!#REF!),"")</f>
        <v>#REF!</v>
      </c>
      <c r="AI10" s="43" t="e">
        <f>IF(AND('Mapa final'!#REF!="Muy Alta",'Mapa final'!#REF!="Catastrófico"),CONCATENATE("R5C",'Mapa final'!#REF!),"")</f>
        <v>#REF!</v>
      </c>
      <c r="AJ10" s="43" t="e">
        <f>IF(AND('Mapa final'!#REF!="Muy Alta",'Mapa final'!#REF!="Catastrófico"),CONCATENATE("R5C",'Mapa final'!#REF!),"")</f>
        <v>#REF!</v>
      </c>
      <c r="AK10" s="43" t="e">
        <f>IF(AND('Mapa final'!#REF!="Muy Alta",'Mapa final'!#REF!="Catastrófico"),CONCATENATE("R5C",'Mapa final'!#REF!),"")</f>
        <v>#REF!</v>
      </c>
      <c r="AL10" s="43" t="e">
        <f>IF(AND('Mapa final'!#REF!="Muy Alta",'Mapa final'!#REF!="Catastrófico"),CONCATENATE("R5C",'Mapa final'!#REF!),"")</f>
        <v>#REF!</v>
      </c>
      <c r="AM10" s="44" t="e">
        <f>IF(AND('Mapa final'!#REF!="Muy Alta",'Mapa final'!#REF!="Catastrófico"),CONCATENATE("R5C",'Mapa final'!#REF!),"")</f>
        <v>#REF!</v>
      </c>
      <c r="AN10" s="1"/>
      <c r="AO10" s="290"/>
      <c r="AP10" s="144"/>
      <c r="AQ10" s="144"/>
      <c r="AR10" s="144"/>
      <c r="AS10" s="144"/>
      <c r="AT10" s="291"/>
      <c r="AU10" s="1"/>
      <c r="AV10" s="1"/>
      <c r="AW10" s="1"/>
      <c r="AX10" s="1"/>
      <c r="AY10" s="1"/>
      <c r="AZ10" s="1"/>
      <c r="BA10" s="1"/>
      <c r="BB10" s="1"/>
      <c r="BC10" s="1"/>
      <c r="BD10" s="1"/>
      <c r="BE10" s="1"/>
      <c r="BF10" s="1"/>
      <c r="BG10" s="1"/>
      <c r="BH10" s="1"/>
      <c r="BI10" s="1"/>
    </row>
    <row r="11" spans="1:61" ht="15" customHeight="1" x14ac:dyDescent="0.25">
      <c r="A11" s="1"/>
      <c r="B11" s="281"/>
      <c r="C11" s="144"/>
      <c r="D11" s="145"/>
      <c r="E11" s="156"/>
      <c r="F11" s="144"/>
      <c r="G11" s="144"/>
      <c r="H11" s="144"/>
      <c r="I11" s="145"/>
      <c r="J11" s="39" t="e">
        <f>IF(AND('Mapa final'!#REF!="Muy Alta",'Mapa final'!#REF!="Leve"),CONCATENATE("R6C",'Mapa final'!#REF!),"")</f>
        <v>#REF!</v>
      </c>
      <c r="K11" s="40" t="e">
        <f>IF(AND('Mapa final'!#REF!="Muy Alta",'Mapa final'!#REF!="Leve"),CONCATENATE("R6C",'Mapa final'!#REF!),"")</f>
        <v>#REF!</v>
      </c>
      <c r="L11" s="40" t="e">
        <f>IF(AND('Mapa final'!#REF!="Muy Alta",'Mapa final'!#REF!="Leve"),CONCATENATE("R6C",'Mapa final'!#REF!),"")</f>
        <v>#REF!</v>
      </c>
      <c r="M11" s="40" t="e">
        <f>IF(AND('Mapa final'!#REF!="Muy Alta",'Mapa final'!#REF!="Leve"),CONCATENATE("R6C",'Mapa final'!#REF!),"")</f>
        <v>#REF!</v>
      </c>
      <c r="N11" s="40" t="e">
        <f>IF(AND('Mapa final'!#REF!="Muy Alta",'Mapa final'!#REF!="Leve"),CONCATENATE("R6C",'Mapa final'!#REF!),"")</f>
        <v>#REF!</v>
      </c>
      <c r="O11" s="41" t="e">
        <f>IF(AND('Mapa final'!#REF!="Muy Alta",'Mapa final'!#REF!="Leve"),CONCATENATE("R6C",'Mapa final'!#REF!),"")</f>
        <v>#REF!</v>
      </c>
      <c r="P11" s="39" t="e">
        <f>IF(AND('Mapa final'!#REF!="Muy Alta",'Mapa final'!#REF!="Menor"),CONCATENATE("R6C",'Mapa final'!#REF!),"")</f>
        <v>#REF!</v>
      </c>
      <c r="Q11" s="40" t="e">
        <f>IF(AND('Mapa final'!#REF!="Muy Alta",'Mapa final'!#REF!="Menor"),CONCATENATE("R6C",'Mapa final'!#REF!),"")</f>
        <v>#REF!</v>
      </c>
      <c r="R11" s="40" t="e">
        <f>IF(AND('Mapa final'!#REF!="Muy Alta",'Mapa final'!#REF!="Menor"),CONCATENATE("R6C",'Mapa final'!#REF!),"")</f>
        <v>#REF!</v>
      </c>
      <c r="S11" s="40" t="e">
        <f>IF(AND('Mapa final'!#REF!="Muy Alta",'Mapa final'!#REF!="Menor"),CONCATENATE("R6C",'Mapa final'!#REF!),"")</f>
        <v>#REF!</v>
      </c>
      <c r="T11" s="40" t="e">
        <f>IF(AND('Mapa final'!#REF!="Muy Alta",'Mapa final'!#REF!="Menor"),CONCATENATE("R6C",'Mapa final'!#REF!),"")</f>
        <v>#REF!</v>
      </c>
      <c r="U11" s="41" t="e">
        <f>IF(AND('Mapa final'!#REF!="Muy Alta",'Mapa final'!#REF!="Menor"),CONCATENATE("R6C",'Mapa final'!#REF!),"")</f>
        <v>#REF!</v>
      </c>
      <c r="V11" s="39" t="e">
        <f>IF(AND('Mapa final'!#REF!="Muy Alta",'Mapa final'!#REF!="Moderado"),CONCATENATE("R6C",'Mapa final'!#REF!),"")</f>
        <v>#REF!</v>
      </c>
      <c r="W11" s="40" t="e">
        <f>IF(AND('Mapa final'!#REF!="Muy Alta",'Mapa final'!#REF!="Moderado"),CONCATENATE("R6C",'Mapa final'!#REF!),"")</f>
        <v>#REF!</v>
      </c>
      <c r="X11" s="40" t="e">
        <f>IF(AND('Mapa final'!#REF!="Muy Alta",'Mapa final'!#REF!="Moderado"),CONCATENATE("R6C",'Mapa final'!#REF!),"")</f>
        <v>#REF!</v>
      </c>
      <c r="Y11" s="40" t="e">
        <f>IF(AND('Mapa final'!#REF!="Muy Alta",'Mapa final'!#REF!="Moderado"),CONCATENATE("R6C",'Mapa final'!#REF!),"")</f>
        <v>#REF!</v>
      </c>
      <c r="Z11" s="40" t="e">
        <f>IF(AND('Mapa final'!#REF!="Muy Alta",'Mapa final'!#REF!="Moderado"),CONCATENATE("R6C",'Mapa final'!#REF!),"")</f>
        <v>#REF!</v>
      </c>
      <c r="AA11" s="41" t="e">
        <f>IF(AND('Mapa final'!#REF!="Muy Alta",'Mapa final'!#REF!="Moderado"),CONCATENATE("R6C",'Mapa final'!#REF!),"")</f>
        <v>#REF!</v>
      </c>
      <c r="AB11" s="39" t="e">
        <f>IF(AND('Mapa final'!#REF!="Muy Alta",'Mapa final'!#REF!="Mayor"),CONCATENATE("R6C",'Mapa final'!#REF!),"")</f>
        <v>#REF!</v>
      </c>
      <c r="AC11" s="40" t="e">
        <f>IF(AND('Mapa final'!#REF!="Muy Alta",'Mapa final'!#REF!="Mayor"),CONCATENATE("R6C",'Mapa final'!#REF!),"")</f>
        <v>#REF!</v>
      </c>
      <c r="AD11" s="40" t="e">
        <f>IF(AND('Mapa final'!#REF!="Muy Alta",'Mapa final'!#REF!="Mayor"),CONCATENATE("R6C",'Mapa final'!#REF!),"")</f>
        <v>#REF!</v>
      </c>
      <c r="AE11" s="40" t="e">
        <f>IF(AND('Mapa final'!#REF!="Muy Alta",'Mapa final'!#REF!="Mayor"),CONCATENATE("R6C",'Mapa final'!#REF!),"")</f>
        <v>#REF!</v>
      </c>
      <c r="AF11" s="40" t="e">
        <f>IF(AND('Mapa final'!#REF!="Muy Alta",'Mapa final'!#REF!="Mayor"),CONCATENATE("R6C",'Mapa final'!#REF!),"")</f>
        <v>#REF!</v>
      </c>
      <c r="AG11" s="41" t="e">
        <f>IF(AND('Mapa final'!#REF!="Muy Alta",'Mapa final'!#REF!="Mayor"),CONCATENATE("R6C",'Mapa final'!#REF!),"")</f>
        <v>#REF!</v>
      </c>
      <c r="AH11" s="42" t="e">
        <f>IF(AND('Mapa final'!#REF!="Muy Alta",'Mapa final'!#REF!="Catastrófico"),CONCATENATE("R6C",'Mapa final'!#REF!),"")</f>
        <v>#REF!</v>
      </c>
      <c r="AI11" s="43" t="e">
        <f>IF(AND('Mapa final'!#REF!="Muy Alta",'Mapa final'!#REF!="Catastrófico"),CONCATENATE("R6C",'Mapa final'!#REF!),"")</f>
        <v>#REF!</v>
      </c>
      <c r="AJ11" s="43" t="e">
        <f>IF(AND('Mapa final'!#REF!="Muy Alta",'Mapa final'!#REF!="Catastrófico"),CONCATENATE("R6C",'Mapa final'!#REF!),"")</f>
        <v>#REF!</v>
      </c>
      <c r="AK11" s="43" t="e">
        <f>IF(AND('Mapa final'!#REF!="Muy Alta",'Mapa final'!#REF!="Catastrófico"),CONCATENATE("R6C",'Mapa final'!#REF!),"")</f>
        <v>#REF!</v>
      </c>
      <c r="AL11" s="43" t="e">
        <f>IF(AND('Mapa final'!#REF!="Muy Alta",'Mapa final'!#REF!="Catastrófico"),CONCATENATE("R6C",'Mapa final'!#REF!),"")</f>
        <v>#REF!</v>
      </c>
      <c r="AM11" s="44" t="e">
        <f>IF(AND('Mapa final'!#REF!="Muy Alta",'Mapa final'!#REF!="Catastrófico"),CONCATENATE("R6C",'Mapa final'!#REF!),"")</f>
        <v>#REF!</v>
      </c>
      <c r="AN11" s="1"/>
      <c r="AO11" s="290"/>
      <c r="AP11" s="144"/>
      <c r="AQ11" s="144"/>
      <c r="AR11" s="144"/>
      <c r="AS11" s="144"/>
      <c r="AT11" s="291"/>
      <c r="AU11" s="1"/>
      <c r="AV11" s="1"/>
      <c r="AW11" s="1"/>
      <c r="AX11" s="1"/>
      <c r="AY11" s="1"/>
      <c r="AZ11" s="1"/>
      <c r="BA11" s="1"/>
      <c r="BB11" s="1"/>
      <c r="BC11" s="1"/>
      <c r="BD11" s="1"/>
      <c r="BE11" s="1"/>
      <c r="BF11" s="1"/>
      <c r="BG11" s="1"/>
      <c r="BH11" s="1"/>
      <c r="BI11" s="1"/>
    </row>
    <row r="12" spans="1:61" ht="15" customHeight="1" x14ac:dyDescent="0.25">
      <c r="A12" s="1"/>
      <c r="B12" s="281"/>
      <c r="C12" s="144"/>
      <c r="D12" s="145"/>
      <c r="E12" s="156"/>
      <c r="F12" s="144"/>
      <c r="G12" s="144"/>
      <c r="H12" s="144"/>
      <c r="I12" s="145"/>
      <c r="J12" s="39" t="e">
        <f>IF(AND('Mapa final'!#REF!="Muy Alta",'Mapa final'!#REF!="Leve"),CONCATENATE("R7C",'Mapa final'!#REF!),"")</f>
        <v>#REF!</v>
      </c>
      <c r="K12" s="40" t="e">
        <f>IF(AND('Mapa final'!#REF!="Muy Alta",'Mapa final'!#REF!="Leve"),CONCATENATE("R7C",'Mapa final'!#REF!),"")</f>
        <v>#REF!</v>
      </c>
      <c r="L12" s="40" t="e">
        <f>IF(AND('Mapa final'!#REF!="Muy Alta",'Mapa final'!#REF!="Leve"),CONCATENATE("R7C",'Mapa final'!#REF!),"")</f>
        <v>#REF!</v>
      </c>
      <c r="M12" s="40" t="e">
        <f>IF(AND('Mapa final'!#REF!="Muy Alta",'Mapa final'!#REF!="Leve"),CONCATENATE("R7C",'Mapa final'!#REF!),"")</f>
        <v>#REF!</v>
      </c>
      <c r="N12" s="40" t="e">
        <f>IF(AND('Mapa final'!#REF!="Muy Alta",'Mapa final'!#REF!="Leve"),CONCATENATE("R7C",'Mapa final'!#REF!),"")</f>
        <v>#REF!</v>
      </c>
      <c r="O12" s="41" t="e">
        <f>IF(AND('Mapa final'!#REF!="Muy Alta",'Mapa final'!#REF!="Leve"),CONCATENATE("R7C",'Mapa final'!#REF!),"")</f>
        <v>#REF!</v>
      </c>
      <c r="P12" s="39" t="e">
        <f>IF(AND('Mapa final'!#REF!="Muy Alta",'Mapa final'!#REF!="Menor"),CONCATENATE("R7C",'Mapa final'!#REF!),"")</f>
        <v>#REF!</v>
      </c>
      <c r="Q12" s="40" t="e">
        <f>IF(AND('Mapa final'!#REF!="Muy Alta",'Mapa final'!#REF!="Menor"),CONCATENATE("R7C",'Mapa final'!#REF!),"")</f>
        <v>#REF!</v>
      </c>
      <c r="R12" s="40" t="e">
        <f>IF(AND('Mapa final'!#REF!="Muy Alta",'Mapa final'!#REF!="Menor"),CONCATENATE("R7C",'Mapa final'!#REF!),"")</f>
        <v>#REF!</v>
      </c>
      <c r="S12" s="40" t="e">
        <f>IF(AND('Mapa final'!#REF!="Muy Alta",'Mapa final'!#REF!="Menor"),CONCATENATE("R7C",'Mapa final'!#REF!),"")</f>
        <v>#REF!</v>
      </c>
      <c r="T12" s="40" t="e">
        <f>IF(AND('Mapa final'!#REF!="Muy Alta",'Mapa final'!#REF!="Menor"),CONCATENATE("R7C",'Mapa final'!#REF!),"")</f>
        <v>#REF!</v>
      </c>
      <c r="U12" s="41" t="e">
        <f>IF(AND('Mapa final'!#REF!="Muy Alta",'Mapa final'!#REF!="Menor"),CONCATENATE("R7C",'Mapa final'!#REF!),"")</f>
        <v>#REF!</v>
      </c>
      <c r="V12" s="39" t="e">
        <f>IF(AND('Mapa final'!#REF!="Muy Alta",'Mapa final'!#REF!="Moderado"),CONCATENATE("R7C",'Mapa final'!#REF!),"")</f>
        <v>#REF!</v>
      </c>
      <c r="W12" s="40" t="e">
        <f>IF(AND('Mapa final'!#REF!="Muy Alta",'Mapa final'!#REF!="Moderado"),CONCATENATE("R7C",'Mapa final'!#REF!),"")</f>
        <v>#REF!</v>
      </c>
      <c r="X12" s="40" t="e">
        <f>IF(AND('Mapa final'!#REF!="Muy Alta",'Mapa final'!#REF!="Moderado"),CONCATENATE("R7C",'Mapa final'!#REF!),"")</f>
        <v>#REF!</v>
      </c>
      <c r="Y12" s="40" t="e">
        <f>IF(AND('Mapa final'!#REF!="Muy Alta",'Mapa final'!#REF!="Moderado"),CONCATENATE("R7C",'Mapa final'!#REF!),"")</f>
        <v>#REF!</v>
      </c>
      <c r="Z12" s="40" t="e">
        <f>IF(AND('Mapa final'!#REF!="Muy Alta",'Mapa final'!#REF!="Moderado"),CONCATENATE("R7C",'Mapa final'!#REF!),"")</f>
        <v>#REF!</v>
      </c>
      <c r="AA12" s="41" t="e">
        <f>IF(AND('Mapa final'!#REF!="Muy Alta",'Mapa final'!#REF!="Moderado"),CONCATENATE("R7C",'Mapa final'!#REF!),"")</f>
        <v>#REF!</v>
      </c>
      <c r="AB12" s="39" t="e">
        <f>IF(AND('Mapa final'!#REF!="Muy Alta",'Mapa final'!#REF!="Mayor"),CONCATENATE("R7C",'Mapa final'!#REF!),"")</f>
        <v>#REF!</v>
      </c>
      <c r="AC12" s="40" t="e">
        <f>IF(AND('Mapa final'!#REF!="Muy Alta",'Mapa final'!#REF!="Mayor"),CONCATENATE("R7C",'Mapa final'!#REF!),"")</f>
        <v>#REF!</v>
      </c>
      <c r="AD12" s="40" t="e">
        <f>IF(AND('Mapa final'!#REF!="Muy Alta",'Mapa final'!#REF!="Mayor"),CONCATENATE("R7C",'Mapa final'!#REF!),"")</f>
        <v>#REF!</v>
      </c>
      <c r="AE12" s="40" t="e">
        <f>IF(AND('Mapa final'!#REF!="Muy Alta",'Mapa final'!#REF!="Mayor"),CONCATENATE("R7C",'Mapa final'!#REF!),"")</f>
        <v>#REF!</v>
      </c>
      <c r="AF12" s="40" t="e">
        <f>IF(AND('Mapa final'!#REF!="Muy Alta",'Mapa final'!#REF!="Mayor"),CONCATENATE("R7C",'Mapa final'!#REF!),"")</f>
        <v>#REF!</v>
      </c>
      <c r="AG12" s="41" t="e">
        <f>IF(AND('Mapa final'!#REF!="Muy Alta",'Mapa final'!#REF!="Mayor"),CONCATENATE("R7C",'Mapa final'!#REF!),"")</f>
        <v>#REF!</v>
      </c>
      <c r="AH12" s="42" t="e">
        <f>IF(AND('Mapa final'!#REF!="Muy Alta",'Mapa final'!#REF!="Catastrófico"),CONCATENATE("R7C",'Mapa final'!#REF!),"")</f>
        <v>#REF!</v>
      </c>
      <c r="AI12" s="43" t="e">
        <f>IF(AND('Mapa final'!#REF!="Muy Alta",'Mapa final'!#REF!="Catastrófico"),CONCATENATE("R7C",'Mapa final'!#REF!),"")</f>
        <v>#REF!</v>
      </c>
      <c r="AJ12" s="43" t="e">
        <f>IF(AND('Mapa final'!#REF!="Muy Alta",'Mapa final'!#REF!="Catastrófico"),CONCATENATE("R7C",'Mapa final'!#REF!),"")</f>
        <v>#REF!</v>
      </c>
      <c r="AK12" s="43" t="e">
        <f>IF(AND('Mapa final'!#REF!="Muy Alta",'Mapa final'!#REF!="Catastrófico"),CONCATENATE("R7C",'Mapa final'!#REF!),"")</f>
        <v>#REF!</v>
      </c>
      <c r="AL12" s="43" t="e">
        <f>IF(AND('Mapa final'!#REF!="Muy Alta",'Mapa final'!#REF!="Catastrófico"),CONCATENATE("R7C",'Mapa final'!#REF!),"")</f>
        <v>#REF!</v>
      </c>
      <c r="AM12" s="44" t="e">
        <f>IF(AND('Mapa final'!#REF!="Muy Alta",'Mapa final'!#REF!="Catastrófico"),CONCATENATE("R7C",'Mapa final'!#REF!),"")</f>
        <v>#REF!</v>
      </c>
      <c r="AN12" s="1"/>
      <c r="AO12" s="290"/>
      <c r="AP12" s="144"/>
      <c r="AQ12" s="144"/>
      <c r="AR12" s="144"/>
      <c r="AS12" s="144"/>
      <c r="AT12" s="291"/>
      <c r="AU12" s="1"/>
      <c r="AV12" s="1"/>
      <c r="AW12" s="1"/>
      <c r="AX12" s="1"/>
      <c r="AY12" s="1"/>
      <c r="AZ12" s="1"/>
      <c r="BA12" s="1"/>
      <c r="BB12" s="1"/>
      <c r="BC12" s="1"/>
      <c r="BD12" s="1"/>
      <c r="BE12" s="1"/>
      <c r="BF12" s="1"/>
      <c r="BG12" s="1"/>
      <c r="BH12" s="1"/>
      <c r="BI12" s="1"/>
    </row>
    <row r="13" spans="1:61" ht="15" customHeight="1" x14ac:dyDescent="0.25">
      <c r="A13" s="1"/>
      <c r="B13" s="281"/>
      <c r="C13" s="144"/>
      <c r="D13" s="145"/>
      <c r="E13" s="156"/>
      <c r="F13" s="144"/>
      <c r="G13" s="144"/>
      <c r="H13" s="144"/>
      <c r="I13" s="145"/>
      <c r="J13" s="39" t="e">
        <f>IF(AND('Mapa final'!#REF!="Muy Alta",'Mapa final'!#REF!="Leve"),CONCATENATE("R8C",'Mapa final'!#REF!),"")</f>
        <v>#REF!</v>
      </c>
      <c r="K13" s="40" t="e">
        <f>IF(AND('Mapa final'!#REF!="Muy Alta",'Mapa final'!#REF!="Leve"),CONCATENATE("R8C",'Mapa final'!#REF!),"")</f>
        <v>#REF!</v>
      </c>
      <c r="L13" s="40" t="e">
        <f>IF(AND('Mapa final'!#REF!="Muy Alta",'Mapa final'!#REF!="Leve"),CONCATENATE("R8C",'Mapa final'!#REF!),"")</f>
        <v>#REF!</v>
      </c>
      <c r="M13" s="40" t="e">
        <f>IF(AND('Mapa final'!#REF!="Muy Alta",'Mapa final'!#REF!="Leve"),CONCATENATE("R8C",'Mapa final'!#REF!),"")</f>
        <v>#REF!</v>
      </c>
      <c r="N13" s="40" t="e">
        <f>IF(AND('Mapa final'!#REF!="Muy Alta",'Mapa final'!#REF!="Leve"),CONCATENATE("R8C",'Mapa final'!#REF!),"")</f>
        <v>#REF!</v>
      </c>
      <c r="O13" s="41" t="e">
        <f>IF(AND('Mapa final'!#REF!="Muy Alta",'Mapa final'!#REF!="Leve"),CONCATENATE("R8C",'Mapa final'!#REF!),"")</f>
        <v>#REF!</v>
      </c>
      <c r="P13" s="39" t="e">
        <f>IF(AND('Mapa final'!#REF!="Muy Alta",'Mapa final'!#REF!="Menor"),CONCATENATE("R8C",'Mapa final'!#REF!),"")</f>
        <v>#REF!</v>
      </c>
      <c r="Q13" s="40" t="e">
        <f>IF(AND('Mapa final'!#REF!="Muy Alta",'Mapa final'!#REF!="Menor"),CONCATENATE("R8C",'Mapa final'!#REF!),"")</f>
        <v>#REF!</v>
      </c>
      <c r="R13" s="40" t="e">
        <f>IF(AND('Mapa final'!#REF!="Muy Alta",'Mapa final'!#REF!="Menor"),CONCATENATE("R8C",'Mapa final'!#REF!),"")</f>
        <v>#REF!</v>
      </c>
      <c r="S13" s="40" t="e">
        <f>IF(AND('Mapa final'!#REF!="Muy Alta",'Mapa final'!#REF!="Menor"),CONCATENATE("R8C",'Mapa final'!#REF!),"")</f>
        <v>#REF!</v>
      </c>
      <c r="T13" s="40" t="e">
        <f>IF(AND('Mapa final'!#REF!="Muy Alta",'Mapa final'!#REF!="Menor"),CONCATENATE("R8C",'Mapa final'!#REF!),"")</f>
        <v>#REF!</v>
      </c>
      <c r="U13" s="41" t="e">
        <f>IF(AND('Mapa final'!#REF!="Muy Alta",'Mapa final'!#REF!="Menor"),CONCATENATE("R8C",'Mapa final'!#REF!),"")</f>
        <v>#REF!</v>
      </c>
      <c r="V13" s="39" t="e">
        <f>IF(AND('Mapa final'!#REF!="Muy Alta",'Mapa final'!#REF!="Moderado"),CONCATENATE("R8C",'Mapa final'!#REF!),"")</f>
        <v>#REF!</v>
      </c>
      <c r="W13" s="40" t="e">
        <f>IF(AND('Mapa final'!#REF!="Muy Alta",'Mapa final'!#REF!="Moderado"),CONCATENATE("R8C",'Mapa final'!#REF!),"")</f>
        <v>#REF!</v>
      </c>
      <c r="X13" s="40" t="e">
        <f>IF(AND('Mapa final'!#REF!="Muy Alta",'Mapa final'!#REF!="Moderado"),CONCATENATE("R8C",'Mapa final'!#REF!),"")</f>
        <v>#REF!</v>
      </c>
      <c r="Y13" s="40" t="e">
        <f>IF(AND('Mapa final'!#REF!="Muy Alta",'Mapa final'!#REF!="Moderado"),CONCATENATE("R8C",'Mapa final'!#REF!),"")</f>
        <v>#REF!</v>
      </c>
      <c r="Z13" s="40" t="e">
        <f>IF(AND('Mapa final'!#REF!="Muy Alta",'Mapa final'!#REF!="Moderado"),CONCATENATE("R8C",'Mapa final'!#REF!),"")</f>
        <v>#REF!</v>
      </c>
      <c r="AA13" s="41" t="e">
        <f>IF(AND('Mapa final'!#REF!="Muy Alta",'Mapa final'!#REF!="Moderado"),CONCATENATE("R8C",'Mapa final'!#REF!),"")</f>
        <v>#REF!</v>
      </c>
      <c r="AB13" s="39" t="e">
        <f>IF(AND('Mapa final'!#REF!="Muy Alta",'Mapa final'!#REF!="Mayor"),CONCATENATE("R8C",'Mapa final'!#REF!),"")</f>
        <v>#REF!</v>
      </c>
      <c r="AC13" s="40" t="e">
        <f>IF(AND('Mapa final'!#REF!="Muy Alta",'Mapa final'!#REF!="Mayor"),CONCATENATE("R8C",'Mapa final'!#REF!),"")</f>
        <v>#REF!</v>
      </c>
      <c r="AD13" s="40" t="e">
        <f>IF(AND('Mapa final'!#REF!="Muy Alta",'Mapa final'!#REF!="Mayor"),CONCATENATE("R8C",'Mapa final'!#REF!),"")</f>
        <v>#REF!</v>
      </c>
      <c r="AE13" s="40" t="e">
        <f>IF(AND('Mapa final'!#REF!="Muy Alta",'Mapa final'!#REF!="Mayor"),CONCATENATE("R8C",'Mapa final'!#REF!),"")</f>
        <v>#REF!</v>
      </c>
      <c r="AF13" s="40" t="e">
        <f>IF(AND('Mapa final'!#REF!="Muy Alta",'Mapa final'!#REF!="Mayor"),CONCATENATE("R8C",'Mapa final'!#REF!),"")</f>
        <v>#REF!</v>
      </c>
      <c r="AG13" s="41" t="e">
        <f>IF(AND('Mapa final'!#REF!="Muy Alta",'Mapa final'!#REF!="Mayor"),CONCATENATE("R8C",'Mapa final'!#REF!),"")</f>
        <v>#REF!</v>
      </c>
      <c r="AH13" s="42" t="e">
        <f>IF(AND('Mapa final'!#REF!="Muy Alta",'Mapa final'!#REF!="Catastrófico"),CONCATENATE("R8C",'Mapa final'!#REF!),"")</f>
        <v>#REF!</v>
      </c>
      <c r="AI13" s="43" t="e">
        <f>IF(AND('Mapa final'!#REF!="Muy Alta",'Mapa final'!#REF!="Catastrófico"),CONCATENATE("R8C",'Mapa final'!#REF!),"")</f>
        <v>#REF!</v>
      </c>
      <c r="AJ13" s="43" t="e">
        <f>IF(AND('Mapa final'!#REF!="Muy Alta",'Mapa final'!#REF!="Catastrófico"),CONCATENATE("R8C",'Mapa final'!#REF!),"")</f>
        <v>#REF!</v>
      </c>
      <c r="AK13" s="43" t="e">
        <f>IF(AND('Mapa final'!#REF!="Muy Alta",'Mapa final'!#REF!="Catastrófico"),CONCATENATE("R8C",'Mapa final'!#REF!),"")</f>
        <v>#REF!</v>
      </c>
      <c r="AL13" s="43" t="e">
        <f>IF(AND('Mapa final'!#REF!="Muy Alta",'Mapa final'!#REF!="Catastrófico"),CONCATENATE("R8C",'Mapa final'!#REF!),"")</f>
        <v>#REF!</v>
      </c>
      <c r="AM13" s="44" t="e">
        <f>IF(AND('Mapa final'!#REF!="Muy Alta",'Mapa final'!#REF!="Catastrófico"),CONCATENATE("R8C",'Mapa final'!#REF!),"")</f>
        <v>#REF!</v>
      </c>
      <c r="AN13" s="1"/>
      <c r="AO13" s="290"/>
      <c r="AP13" s="144"/>
      <c r="AQ13" s="144"/>
      <c r="AR13" s="144"/>
      <c r="AS13" s="144"/>
      <c r="AT13" s="291"/>
      <c r="AU13" s="1"/>
      <c r="AV13" s="1"/>
      <c r="AW13" s="1"/>
      <c r="AX13" s="1"/>
      <c r="AY13" s="1"/>
      <c r="AZ13" s="1"/>
      <c r="BA13" s="1"/>
      <c r="BB13" s="1"/>
      <c r="BC13" s="1"/>
      <c r="BD13" s="1"/>
      <c r="BE13" s="1"/>
      <c r="BF13" s="1"/>
      <c r="BG13" s="1"/>
      <c r="BH13" s="1"/>
      <c r="BI13" s="1"/>
    </row>
    <row r="14" spans="1:61" ht="15" customHeight="1" x14ac:dyDescent="0.25">
      <c r="A14" s="1"/>
      <c r="B14" s="281"/>
      <c r="C14" s="144"/>
      <c r="D14" s="145"/>
      <c r="E14" s="156"/>
      <c r="F14" s="144"/>
      <c r="G14" s="144"/>
      <c r="H14" s="144"/>
      <c r="I14" s="145"/>
      <c r="J14" s="39" t="e">
        <f>IF(AND('Mapa final'!#REF!="Muy Alta",'Mapa final'!#REF!="Leve"),CONCATENATE("R9C",'Mapa final'!#REF!),"")</f>
        <v>#REF!</v>
      </c>
      <c r="K14" s="40" t="e">
        <f>IF(AND('Mapa final'!#REF!="Muy Alta",'Mapa final'!#REF!="Leve"),CONCATENATE("R9C",'Mapa final'!#REF!),"")</f>
        <v>#REF!</v>
      </c>
      <c r="L14" s="40" t="e">
        <f>IF(AND('Mapa final'!#REF!="Muy Alta",'Mapa final'!#REF!="Leve"),CONCATENATE("R9C",'Mapa final'!#REF!),"")</f>
        <v>#REF!</v>
      </c>
      <c r="M14" s="40" t="e">
        <f>IF(AND('Mapa final'!#REF!="Muy Alta",'Mapa final'!#REF!="Leve"),CONCATENATE("R9C",'Mapa final'!#REF!),"")</f>
        <v>#REF!</v>
      </c>
      <c r="N14" s="40" t="e">
        <f>IF(AND('Mapa final'!#REF!="Muy Alta",'Mapa final'!#REF!="Leve"),CONCATENATE("R9C",'Mapa final'!#REF!),"")</f>
        <v>#REF!</v>
      </c>
      <c r="O14" s="41" t="e">
        <f>IF(AND('Mapa final'!#REF!="Muy Alta",'Mapa final'!#REF!="Leve"),CONCATENATE("R9C",'Mapa final'!#REF!),"")</f>
        <v>#REF!</v>
      </c>
      <c r="P14" s="39" t="e">
        <f>IF(AND('Mapa final'!#REF!="Muy Alta",'Mapa final'!#REF!="Menor"),CONCATENATE("R9C",'Mapa final'!#REF!),"")</f>
        <v>#REF!</v>
      </c>
      <c r="Q14" s="40" t="e">
        <f>IF(AND('Mapa final'!#REF!="Muy Alta",'Mapa final'!#REF!="Menor"),CONCATENATE("R9C",'Mapa final'!#REF!),"")</f>
        <v>#REF!</v>
      </c>
      <c r="R14" s="40" t="e">
        <f>IF(AND('Mapa final'!#REF!="Muy Alta",'Mapa final'!#REF!="Menor"),CONCATENATE("R9C",'Mapa final'!#REF!),"")</f>
        <v>#REF!</v>
      </c>
      <c r="S14" s="40" t="e">
        <f>IF(AND('Mapa final'!#REF!="Muy Alta",'Mapa final'!#REF!="Menor"),CONCATENATE("R9C",'Mapa final'!#REF!),"")</f>
        <v>#REF!</v>
      </c>
      <c r="T14" s="40" t="e">
        <f>IF(AND('Mapa final'!#REF!="Muy Alta",'Mapa final'!#REF!="Menor"),CONCATENATE("R9C",'Mapa final'!#REF!),"")</f>
        <v>#REF!</v>
      </c>
      <c r="U14" s="41" t="e">
        <f>IF(AND('Mapa final'!#REF!="Muy Alta",'Mapa final'!#REF!="Menor"),CONCATENATE("R9C",'Mapa final'!#REF!),"")</f>
        <v>#REF!</v>
      </c>
      <c r="V14" s="39" t="e">
        <f>IF(AND('Mapa final'!#REF!="Muy Alta",'Mapa final'!#REF!="Moderado"),CONCATENATE("R9C",'Mapa final'!#REF!),"")</f>
        <v>#REF!</v>
      </c>
      <c r="W14" s="40" t="e">
        <f>IF(AND('Mapa final'!#REF!="Muy Alta",'Mapa final'!#REF!="Moderado"),CONCATENATE("R9C",'Mapa final'!#REF!),"")</f>
        <v>#REF!</v>
      </c>
      <c r="X14" s="40" t="e">
        <f>IF(AND('Mapa final'!#REF!="Muy Alta",'Mapa final'!#REF!="Moderado"),CONCATENATE("R9C",'Mapa final'!#REF!),"")</f>
        <v>#REF!</v>
      </c>
      <c r="Y14" s="40" t="e">
        <f>IF(AND('Mapa final'!#REF!="Muy Alta",'Mapa final'!#REF!="Moderado"),CONCATENATE("R9C",'Mapa final'!#REF!),"")</f>
        <v>#REF!</v>
      </c>
      <c r="Z14" s="40" t="e">
        <f>IF(AND('Mapa final'!#REF!="Muy Alta",'Mapa final'!#REF!="Moderado"),CONCATENATE("R9C",'Mapa final'!#REF!),"")</f>
        <v>#REF!</v>
      </c>
      <c r="AA14" s="41" t="e">
        <f>IF(AND('Mapa final'!#REF!="Muy Alta",'Mapa final'!#REF!="Moderado"),CONCATENATE("R9C",'Mapa final'!#REF!),"")</f>
        <v>#REF!</v>
      </c>
      <c r="AB14" s="39" t="e">
        <f>IF(AND('Mapa final'!#REF!="Muy Alta",'Mapa final'!#REF!="Mayor"),CONCATENATE("R9C",'Mapa final'!#REF!),"")</f>
        <v>#REF!</v>
      </c>
      <c r="AC14" s="40" t="e">
        <f>IF(AND('Mapa final'!#REF!="Muy Alta",'Mapa final'!#REF!="Mayor"),CONCATENATE("R9C",'Mapa final'!#REF!),"")</f>
        <v>#REF!</v>
      </c>
      <c r="AD14" s="40" t="e">
        <f>IF(AND('Mapa final'!#REF!="Muy Alta",'Mapa final'!#REF!="Mayor"),CONCATENATE("R9C",'Mapa final'!#REF!),"")</f>
        <v>#REF!</v>
      </c>
      <c r="AE14" s="40" t="e">
        <f>IF(AND('Mapa final'!#REF!="Muy Alta",'Mapa final'!#REF!="Mayor"),CONCATENATE("R9C",'Mapa final'!#REF!),"")</f>
        <v>#REF!</v>
      </c>
      <c r="AF14" s="40" t="e">
        <f>IF(AND('Mapa final'!#REF!="Muy Alta",'Mapa final'!#REF!="Mayor"),CONCATENATE("R9C",'Mapa final'!#REF!),"")</f>
        <v>#REF!</v>
      </c>
      <c r="AG14" s="41" t="e">
        <f>IF(AND('Mapa final'!#REF!="Muy Alta",'Mapa final'!#REF!="Mayor"),CONCATENATE("R9C",'Mapa final'!#REF!),"")</f>
        <v>#REF!</v>
      </c>
      <c r="AH14" s="42" t="e">
        <f>IF(AND('Mapa final'!#REF!="Muy Alta",'Mapa final'!#REF!="Catastrófico"),CONCATENATE("R9C",'Mapa final'!#REF!),"")</f>
        <v>#REF!</v>
      </c>
      <c r="AI14" s="43" t="e">
        <f>IF(AND('Mapa final'!#REF!="Muy Alta",'Mapa final'!#REF!="Catastrófico"),CONCATENATE("R9C",'Mapa final'!#REF!),"")</f>
        <v>#REF!</v>
      </c>
      <c r="AJ14" s="43" t="e">
        <f>IF(AND('Mapa final'!#REF!="Muy Alta",'Mapa final'!#REF!="Catastrófico"),CONCATENATE("R9C",'Mapa final'!#REF!),"")</f>
        <v>#REF!</v>
      </c>
      <c r="AK14" s="43" t="e">
        <f>IF(AND('Mapa final'!#REF!="Muy Alta",'Mapa final'!#REF!="Catastrófico"),CONCATENATE("R9C",'Mapa final'!#REF!),"")</f>
        <v>#REF!</v>
      </c>
      <c r="AL14" s="43" t="e">
        <f>IF(AND('Mapa final'!#REF!="Muy Alta",'Mapa final'!#REF!="Catastrófico"),CONCATENATE("R9C",'Mapa final'!#REF!),"")</f>
        <v>#REF!</v>
      </c>
      <c r="AM14" s="44" t="e">
        <f>IF(AND('Mapa final'!#REF!="Muy Alta",'Mapa final'!#REF!="Catastrófico"),CONCATENATE("R9C",'Mapa final'!#REF!),"")</f>
        <v>#REF!</v>
      </c>
      <c r="AN14" s="1"/>
      <c r="AO14" s="290"/>
      <c r="AP14" s="144"/>
      <c r="AQ14" s="144"/>
      <c r="AR14" s="144"/>
      <c r="AS14" s="144"/>
      <c r="AT14" s="291"/>
      <c r="AU14" s="1"/>
      <c r="AV14" s="1"/>
      <c r="AW14" s="1"/>
      <c r="AX14" s="1"/>
      <c r="AY14" s="1"/>
      <c r="AZ14" s="1"/>
      <c r="BA14" s="1"/>
      <c r="BB14" s="1"/>
      <c r="BC14" s="1"/>
      <c r="BD14" s="1"/>
      <c r="BE14" s="1"/>
      <c r="BF14" s="1"/>
      <c r="BG14" s="1"/>
      <c r="BH14" s="1"/>
      <c r="BI14" s="1"/>
    </row>
    <row r="15" spans="1:61" ht="15.75" customHeight="1" x14ac:dyDescent="0.25">
      <c r="A15" s="1"/>
      <c r="B15" s="281"/>
      <c r="C15" s="144"/>
      <c r="D15" s="145"/>
      <c r="E15" s="271"/>
      <c r="F15" s="272"/>
      <c r="G15" s="272"/>
      <c r="H15" s="272"/>
      <c r="I15" s="275"/>
      <c r="J15" s="45" t="e">
        <f>IF(AND('Mapa final'!#REF!="Muy Alta",'Mapa final'!#REF!="Leve"),CONCATENATE("R10C",'Mapa final'!#REF!),"")</f>
        <v>#REF!</v>
      </c>
      <c r="K15" s="46" t="e">
        <f>IF(AND('Mapa final'!#REF!="Muy Alta",'Mapa final'!#REF!="Leve"),CONCATENATE("R10C",'Mapa final'!#REF!),"")</f>
        <v>#REF!</v>
      </c>
      <c r="L15" s="46" t="e">
        <f>IF(AND('Mapa final'!#REF!="Muy Alta",'Mapa final'!#REF!="Leve"),CONCATENATE("R10C",'Mapa final'!#REF!),"")</f>
        <v>#REF!</v>
      </c>
      <c r="M15" s="46" t="e">
        <f>IF(AND('Mapa final'!#REF!="Muy Alta",'Mapa final'!#REF!="Leve"),CONCATENATE("R10C",'Mapa final'!#REF!),"")</f>
        <v>#REF!</v>
      </c>
      <c r="N15" s="46" t="e">
        <f>IF(AND('Mapa final'!#REF!="Muy Alta",'Mapa final'!#REF!="Leve"),CONCATENATE("R10C",'Mapa final'!#REF!),"")</f>
        <v>#REF!</v>
      </c>
      <c r="O15" s="47" t="e">
        <f>IF(AND('Mapa final'!#REF!="Muy Alta",'Mapa final'!#REF!="Leve"),CONCATENATE("R10C",'Mapa final'!#REF!),"")</f>
        <v>#REF!</v>
      </c>
      <c r="P15" s="39" t="e">
        <f>IF(AND('Mapa final'!#REF!="Muy Alta",'Mapa final'!#REF!="Menor"),CONCATENATE("R10C",'Mapa final'!#REF!),"")</f>
        <v>#REF!</v>
      </c>
      <c r="Q15" s="40" t="e">
        <f>IF(AND('Mapa final'!#REF!="Muy Alta",'Mapa final'!#REF!="Menor"),CONCATENATE("R10C",'Mapa final'!#REF!),"")</f>
        <v>#REF!</v>
      </c>
      <c r="R15" s="40" t="e">
        <f>IF(AND('Mapa final'!#REF!="Muy Alta",'Mapa final'!#REF!="Menor"),CONCATENATE("R10C",'Mapa final'!#REF!),"")</f>
        <v>#REF!</v>
      </c>
      <c r="S15" s="40" t="e">
        <f>IF(AND('Mapa final'!#REF!="Muy Alta",'Mapa final'!#REF!="Menor"),CONCATENATE("R10C",'Mapa final'!#REF!),"")</f>
        <v>#REF!</v>
      </c>
      <c r="T15" s="40" t="e">
        <f>IF(AND('Mapa final'!#REF!="Muy Alta",'Mapa final'!#REF!="Menor"),CONCATENATE("R10C",'Mapa final'!#REF!),"")</f>
        <v>#REF!</v>
      </c>
      <c r="U15" s="41" t="e">
        <f>IF(AND('Mapa final'!#REF!="Muy Alta",'Mapa final'!#REF!="Menor"),CONCATENATE("R10C",'Mapa final'!#REF!),"")</f>
        <v>#REF!</v>
      </c>
      <c r="V15" s="45" t="e">
        <f>IF(AND('Mapa final'!#REF!="Muy Alta",'Mapa final'!#REF!="Moderado"),CONCATENATE("R10C",'Mapa final'!#REF!),"")</f>
        <v>#REF!</v>
      </c>
      <c r="W15" s="46" t="e">
        <f>IF(AND('Mapa final'!#REF!="Muy Alta",'Mapa final'!#REF!="Moderado"),CONCATENATE("R10C",'Mapa final'!#REF!),"")</f>
        <v>#REF!</v>
      </c>
      <c r="X15" s="46" t="e">
        <f>IF(AND('Mapa final'!#REF!="Muy Alta",'Mapa final'!#REF!="Moderado"),CONCATENATE("R10C",'Mapa final'!#REF!),"")</f>
        <v>#REF!</v>
      </c>
      <c r="Y15" s="46" t="e">
        <f>IF(AND('Mapa final'!#REF!="Muy Alta",'Mapa final'!#REF!="Moderado"),CONCATENATE("R10C",'Mapa final'!#REF!),"")</f>
        <v>#REF!</v>
      </c>
      <c r="Z15" s="46" t="e">
        <f>IF(AND('Mapa final'!#REF!="Muy Alta",'Mapa final'!#REF!="Moderado"),CONCATENATE("R10C",'Mapa final'!#REF!),"")</f>
        <v>#REF!</v>
      </c>
      <c r="AA15" s="47" t="e">
        <f>IF(AND('Mapa final'!#REF!="Muy Alta",'Mapa final'!#REF!="Moderado"),CONCATENATE("R10C",'Mapa final'!#REF!),"")</f>
        <v>#REF!</v>
      </c>
      <c r="AB15" s="39" t="e">
        <f>IF(AND('Mapa final'!#REF!="Muy Alta",'Mapa final'!#REF!="Mayor"),CONCATENATE("R10C",'Mapa final'!#REF!),"")</f>
        <v>#REF!</v>
      </c>
      <c r="AC15" s="40" t="e">
        <f>IF(AND('Mapa final'!#REF!="Muy Alta",'Mapa final'!#REF!="Mayor"),CONCATENATE("R10C",'Mapa final'!#REF!),"")</f>
        <v>#REF!</v>
      </c>
      <c r="AD15" s="40" t="e">
        <f>IF(AND('Mapa final'!#REF!="Muy Alta",'Mapa final'!#REF!="Mayor"),CONCATENATE("R10C",'Mapa final'!#REF!),"")</f>
        <v>#REF!</v>
      </c>
      <c r="AE15" s="40" t="e">
        <f>IF(AND('Mapa final'!#REF!="Muy Alta",'Mapa final'!#REF!="Mayor"),CONCATENATE("R10C",'Mapa final'!#REF!),"")</f>
        <v>#REF!</v>
      </c>
      <c r="AF15" s="40" t="e">
        <f>IF(AND('Mapa final'!#REF!="Muy Alta",'Mapa final'!#REF!="Mayor"),CONCATENATE("R10C",'Mapa final'!#REF!),"")</f>
        <v>#REF!</v>
      </c>
      <c r="AG15" s="41" t="e">
        <f>IF(AND('Mapa final'!#REF!="Muy Alta",'Mapa final'!#REF!="Mayor"),CONCATENATE("R10C",'Mapa final'!#REF!),"")</f>
        <v>#REF!</v>
      </c>
      <c r="AH15" s="48" t="e">
        <f>IF(AND('Mapa final'!#REF!="Muy Alta",'Mapa final'!#REF!="Catastrófico"),CONCATENATE("R10C",'Mapa final'!#REF!),"")</f>
        <v>#REF!</v>
      </c>
      <c r="AI15" s="49" t="e">
        <f>IF(AND('Mapa final'!#REF!="Muy Alta",'Mapa final'!#REF!="Catastrófico"),CONCATENATE("R10C",'Mapa final'!#REF!),"")</f>
        <v>#REF!</v>
      </c>
      <c r="AJ15" s="49" t="e">
        <f>IF(AND('Mapa final'!#REF!="Muy Alta",'Mapa final'!#REF!="Catastrófico"),CONCATENATE("R10C",'Mapa final'!#REF!),"")</f>
        <v>#REF!</v>
      </c>
      <c r="AK15" s="49" t="e">
        <f>IF(AND('Mapa final'!#REF!="Muy Alta",'Mapa final'!#REF!="Catastrófico"),CONCATENATE("R10C",'Mapa final'!#REF!),"")</f>
        <v>#REF!</v>
      </c>
      <c r="AL15" s="49" t="e">
        <f>IF(AND('Mapa final'!#REF!="Muy Alta",'Mapa final'!#REF!="Catastrófico"),CONCATENATE("R10C",'Mapa final'!#REF!),"")</f>
        <v>#REF!</v>
      </c>
      <c r="AM15" s="50" t="e">
        <f>IF(AND('Mapa final'!#REF!="Muy Alta",'Mapa final'!#REF!="Catastrófico"),CONCATENATE("R10C",'Mapa final'!#REF!),"")</f>
        <v>#REF!</v>
      </c>
      <c r="AN15" s="1"/>
      <c r="AO15" s="292"/>
      <c r="AP15" s="293"/>
      <c r="AQ15" s="293"/>
      <c r="AR15" s="293"/>
      <c r="AS15" s="293"/>
      <c r="AT15" s="294"/>
      <c r="AU15" s="1"/>
      <c r="AV15" s="1"/>
      <c r="AW15" s="1"/>
      <c r="AX15" s="1"/>
      <c r="AY15" s="1"/>
      <c r="AZ15" s="1"/>
      <c r="BA15" s="1"/>
      <c r="BB15" s="1"/>
      <c r="BC15" s="1"/>
      <c r="BD15" s="1"/>
      <c r="BE15" s="1"/>
      <c r="BF15" s="1"/>
      <c r="BG15" s="1"/>
      <c r="BH15" s="1"/>
      <c r="BI15" s="1"/>
    </row>
    <row r="16" spans="1:61" ht="15" customHeight="1" x14ac:dyDescent="0.25">
      <c r="A16" s="1"/>
      <c r="B16" s="281"/>
      <c r="C16" s="144"/>
      <c r="D16" s="145"/>
      <c r="E16" s="299" t="s">
        <v>120</v>
      </c>
      <c r="F16" s="270"/>
      <c r="G16" s="270"/>
      <c r="H16" s="270"/>
      <c r="I16" s="270"/>
      <c r="J16" s="51" t="str">
        <f>IF(AND('Mapa final'!$Y$13="Alta",'Mapa final'!$AA$13="Leve"),CONCATENATE("R1C",'Mapa final'!$O$13),"")</f>
        <v/>
      </c>
      <c r="K16" s="52" t="str">
        <f>IF(AND('Mapa final'!$Y$14="Alta",'Mapa final'!$AA$14="Leve"),CONCATENATE("R1C",'Mapa final'!$O$14),"")</f>
        <v/>
      </c>
      <c r="L16" s="52" t="str">
        <f>IF(AND('Mapa final'!$Y$15="Alta",'Mapa final'!$AA$15="Leve"),CONCATENATE("R1C",'Mapa final'!$O$15),"")</f>
        <v/>
      </c>
      <c r="M16" s="52" t="str">
        <f>IF(AND('Mapa final'!$Y$16="Alta",'Mapa final'!$AA$16="Leve"),CONCATENATE("R1C",'Mapa final'!$O$16),"")</f>
        <v/>
      </c>
      <c r="N16" s="52" t="str">
        <f>IF(AND('Mapa final'!$Y$17="Alta",'Mapa final'!$AA$17="Leve"),CONCATENATE("R1C",'Mapa final'!$O$17),"")</f>
        <v/>
      </c>
      <c r="O16" s="53" t="str">
        <f>IF(AND('Mapa final'!$Y$18="Alta",'Mapa final'!$AA$18="Leve"),CONCATENATE("R1C",'Mapa final'!$O$18),"")</f>
        <v/>
      </c>
      <c r="P16" s="51" t="str">
        <f>IF(AND('Mapa final'!$Y$13="Alta",'Mapa final'!$AA$13="Menor"),CONCATENATE("R1C",'Mapa final'!$O$13),"")</f>
        <v/>
      </c>
      <c r="Q16" s="52" t="str">
        <f>IF(AND('Mapa final'!$Y$14="Alta",'Mapa final'!$AA$14="Menor"),CONCATENATE("R1C",'Mapa final'!$O$14),"")</f>
        <v/>
      </c>
      <c r="R16" s="52" t="str">
        <f>IF(AND('Mapa final'!$Y$15="Alta",'Mapa final'!$AA$15="Menor"),CONCATENATE("R1C",'Mapa final'!$O$15),"")</f>
        <v/>
      </c>
      <c r="S16" s="52" t="str">
        <f>IF(AND('Mapa final'!$Y$16="Alta",'Mapa final'!$AA$16="Menor"),CONCATENATE("R1C",'Mapa final'!$O$16),"")</f>
        <v/>
      </c>
      <c r="T16" s="52" t="str">
        <f>IF(AND('Mapa final'!$Y$17="Alta",'Mapa final'!$AA$17="Menor"),CONCATENATE("R1C",'Mapa final'!$O$17),"")</f>
        <v/>
      </c>
      <c r="U16" s="53" t="str">
        <f>IF(AND('Mapa final'!$Y$18="Alta",'Mapa final'!$AA$18="Menor"),CONCATENATE("R1C",'Mapa final'!$O$18),"")</f>
        <v/>
      </c>
      <c r="V16" s="33" t="str">
        <f>IF(AND('Mapa final'!$Y$13="Alta",'Mapa final'!$AA$13="Moderado"),CONCATENATE("R1C",'Mapa final'!$O$13),"")</f>
        <v/>
      </c>
      <c r="W16" s="34" t="str">
        <f>IF(AND('Mapa final'!$Y$14="Alta",'Mapa final'!$AA$14="Moderado"),CONCATENATE("R1C",'Mapa final'!$O$14),"")</f>
        <v/>
      </c>
      <c r="X16" s="34" t="str">
        <f>IF(AND('Mapa final'!$Y$15="Alta",'Mapa final'!$AA$15="Moderado"),CONCATENATE("R1C",'Mapa final'!$O$15),"")</f>
        <v/>
      </c>
      <c r="Y16" s="34" t="str">
        <f>IF(AND('Mapa final'!$Y$16="Alta",'Mapa final'!$AA$16="Moderado"),CONCATENATE("R1C",'Mapa final'!$O$16),"")</f>
        <v/>
      </c>
      <c r="Z16" s="34" t="str">
        <f>IF(AND('Mapa final'!$Y$17="Alta",'Mapa final'!$AA$17="Moderado"),CONCATENATE("R1C",'Mapa final'!$O$17),"")</f>
        <v/>
      </c>
      <c r="AA16" s="35" t="str">
        <f>IF(AND('Mapa final'!$Y$18="Alta",'Mapa final'!$AA$18="Moderado"),CONCATENATE("R1C",'Mapa final'!$O$18),"")</f>
        <v/>
      </c>
      <c r="AB16" s="33" t="str">
        <f>IF(AND('Mapa final'!$Y$13="Alta",'Mapa final'!$AA$13="Mayor"),CONCATENATE("R1C",'Mapa final'!$O$13),"")</f>
        <v/>
      </c>
      <c r="AC16" s="34" t="str">
        <f>IF(AND('Mapa final'!$Y$14="Alta",'Mapa final'!$AA$14="Mayor"),CONCATENATE("R1C",'Mapa final'!$O$14),"")</f>
        <v/>
      </c>
      <c r="AD16" s="34" t="str">
        <f>IF(AND('Mapa final'!$Y$15="Alta",'Mapa final'!$AA$15="Mayor"),CONCATENATE("R1C",'Mapa final'!$O$15),"")</f>
        <v/>
      </c>
      <c r="AE16" s="34" t="str">
        <f>IF(AND('Mapa final'!$Y$16="Alta",'Mapa final'!$AA$16="Mayor"),CONCATENATE("R1C",'Mapa final'!$O$16),"")</f>
        <v/>
      </c>
      <c r="AF16" s="34" t="str">
        <f>IF(AND('Mapa final'!$Y$17="Alta",'Mapa final'!$AA$17="Mayor"),CONCATENATE("R1C",'Mapa final'!$O$17),"")</f>
        <v/>
      </c>
      <c r="AG16" s="35" t="str">
        <f>IF(AND('Mapa final'!$Y$18="Alta",'Mapa final'!$AA$18="Mayor"),CONCATENATE("R1C",'Mapa final'!$O$18),"")</f>
        <v/>
      </c>
      <c r="AH16" s="36" t="str">
        <f>IF(AND('Mapa final'!$Y$13="Alta",'Mapa final'!$AA$13="Catastrófico"),CONCATENATE("R1C",'Mapa final'!$O$13),"")</f>
        <v/>
      </c>
      <c r="AI16" s="37" t="str">
        <f>IF(AND('Mapa final'!$Y$14="Alta",'Mapa final'!$AA$14="Catastrófico"),CONCATENATE("R1C",'Mapa final'!$O$14),"")</f>
        <v/>
      </c>
      <c r="AJ16" s="37" t="str">
        <f>IF(AND('Mapa final'!$Y$15="Alta",'Mapa final'!$AA$15="Catastrófico"),CONCATENATE("R1C",'Mapa final'!$O$15),"")</f>
        <v/>
      </c>
      <c r="AK16" s="37" t="str">
        <f>IF(AND('Mapa final'!$Y$16="Alta",'Mapa final'!$AA$16="Catastrófico"),CONCATENATE("R1C",'Mapa final'!$O$16),"")</f>
        <v/>
      </c>
      <c r="AL16" s="37" t="str">
        <f>IF(AND('Mapa final'!$Y$17="Alta",'Mapa final'!$AA$17="Catastrófico"),CONCATENATE("R1C",'Mapa final'!$O$17),"")</f>
        <v/>
      </c>
      <c r="AM16" s="38" t="str">
        <f>IF(AND('Mapa final'!$Y$18="Alta",'Mapa final'!$AA$18="Catastrófico"),CONCATENATE("R1C",'Mapa final'!$O$18),"")</f>
        <v/>
      </c>
      <c r="AN16" s="1"/>
      <c r="AO16" s="300" t="s">
        <v>121</v>
      </c>
      <c r="AP16" s="288"/>
      <c r="AQ16" s="288"/>
      <c r="AR16" s="288"/>
      <c r="AS16" s="288"/>
      <c r="AT16" s="289"/>
      <c r="AU16" s="1"/>
      <c r="AV16" s="1"/>
      <c r="AW16" s="1"/>
      <c r="AX16" s="1"/>
      <c r="AY16" s="1"/>
      <c r="AZ16" s="1"/>
      <c r="BA16" s="1"/>
      <c r="BB16" s="1"/>
      <c r="BC16" s="1"/>
      <c r="BD16" s="1"/>
      <c r="BE16" s="1"/>
      <c r="BF16" s="1"/>
      <c r="BG16" s="1"/>
      <c r="BH16" s="1"/>
      <c r="BI16" s="1"/>
    </row>
    <row r="17" spans="1:61" ht="15" customHeight="1" x14ac:dyDescent="0.25">
      <c r="A17" s="1"/>
      <c r="B17" s="281"/>
      <c r="C17" s="144"/>
      <c r="D17" s="145"/>
      <c r="E17" s="156"/>
      <c r="F17" s="144"/>
      <c r="G17" s="144"/>
      <c r="H17" s="144"/>
      <c r="I17" s="144"/>
      <c r="J17" s="54" t="str">
        <f>IF(AND('Mapa final'!$Y$19="Alta",'Mapa final'!$AA$19="Leve"),CONCATENATE("R2C",'Mapa final'!$O$19),"")</f>
        <v/>
      </c>
      <c r="K17" s="55" t="str">
        <f>IF(AND('Mapa final'!$Y$20="Alta",'Mapa final'!$AA$20="Leve"),CONCATENATE("R2C",'Mapa final'!$O$20),"")</f>
        <v/>
      </c>
      <c r="L17" s="55" t="str">
        <f>IF(AND('Mapa final'!$Y$21="Alta",'Mapa final'!$AA$21="Leve"),CONCATENATE("R2C",'Mapa final'!$O$21),"")</f>
        <v/>
      </c>
      <c r="M17" s="55" t="str">
        <f>IF(AND('Mapa final'!$Y$22="Alta",'Mapa final'!$AA$22="Leve"),CONCATENATE("R2C",'Mapa final'!$O$22),"")</f>
        <v/>
      </c>
      <c r="N17" s="55" t="str">
        <f>IF(AND('Mapa final'!$Y$23="Alta",'Mapa final'!$AA$23="Leve"),CONCATENATE("R2C",'Mapa final'!$O$23),"")</f>
        <v/>
      </c>
      <c r="O17" s="56" t="str">
        <f>IF(AND('Mapa final'!$Y$24="Alta",'Mapa final'!$AA$24="Leve"),CONCATENATE("R2C",'Mapa final'!$O$24),"")</f>
        <v/>
      </c>
      <c r="P17" s="54" t="str">
        <f>IF(AND('Mapa final'!$Y$19="Alta",'Mapa final'!$AA$19="Menor"),CONCATENATE("R2C",'Mapa final'!$O$19),"")</f>
        <v/>
      </c>
      <c r="Q17" s="55" t="str">
        <f>IF(AND('Mapa final'!$Y$20="Alta",'Mapa final'!$AA$20="Menor"),CONCATENATE("R2C",'Mapa final'!$O$20),"")</f>
        <v/>
      </c>
      <c r="R17" s="55" t="str">
        <f>IF(AND('Mapa final'!$Y$21="Alta",'Mapa final'!$AA$21="Menor"),CONCATENATE("R2C",'Mapa final'!$O$21),"")</f>
        <v/>
      </c>
      <c r="S17" s="55" t="str">
        <f>IF(AND('Mapa final'!$Y$22="Alta",'Mapa final'!$AA$22="Menor"),CONCATENATE("R2C",'Mapa final'!$O$22),"")</f>
        <v/>
      </c>
      <c r="T17" s="55" t="str">
        <f>IF(AND('Mapa final'!$Y$23="Alta",'Mapa final'!$AA$23="Menor"),CONCATENATE("R2C",'Mapa final'!$O$23),"")</f>
        <v/>
      </c>
      <c r="U17" s="56" t="str">
        <f>IF(AND('Mapa final'!$Y$24="Alta",'Mapa final'!$AA$24="Menor"),CONCATENATE("R2C",'Mapa final'!$O$24),"")</f>
        <v/>
      </c>
      <c r="V17" s="39" t="str">
        <f>IF(AND('Mapa final'!$Y$19="Alta",'Mapa final'!$AA$19="Moderado"),CONCATENATE("R2C",'Mapa final'!$O$19),"")</f>
        <v/>
      </c>
      <c r="W17" s="40" t="str">
        <f>IF(AND('Mapa final'!$Y$20="Alta",'Mapa final'!$AA$20="Moderado"),CONCATENATE("R2C",'Mapa final'!$O$20),"")</f>
        <v/>
      </c>
      <c r="X17" s="40" t="str">
        <f>IF(AND('Mapa final'!$Y$21="Alta",'Mapa final'!$AA$21="Moderado"),CONCATENATE("R2C",'Mapa final'!$O$21),"")</f>
        <v/>
      </c>
      <c r="Y17" s="40" t="str">
        <f>IF(AND('Mapa final'!$Y$22="Alta",'Mapa final'!$AA$22="Moderado"),CONCATENATE("R2C",'Mapa final'!$O$22),"")</f>
        <v/>
      </c>
      <c r="Z17" s="40" t="str">
        <f>IF(AND('Mapa final'!$Y$23="Alta",'Mapa final'!$AA$23="Moderado"),CONCATENATE("R2C",'Mapa final'!$O$23),"")</f>
        <v/>
      </c>
      <c r="AA17" s="41" t="str">
        <f>IF(AND('Mapa final'!$Y$24="Alta",'Mapa final'!$AA$24="Moderado"),CONCATENATE("R2C",'Mapa final'!$O$24),"")</f>
        <v/>
      </c>
      <c r="AB17" s="39" t="str">
        <f>IF(AND('Mapa final'!$Y$19="Alta",'Mapa final'!$AA$19="Mayor"),CONCATENATE("R2C",'Mapa final'!$O$19),"")</f>
        <v/>
      </c>
      <c r="AC17" s="40" t="str">
        <f>IF(AND('Mapa final'!$Y$20="Alta",'Mapa final'!$AA$20="Mayor"),CONCATENATE("R2C",'Mapa final'!$O$20),"")</f>
        <v/>
      </c>
      <c r="AD17" s="40" t="str">
        <f>IF(AND('Mapa final'!$Y$21="Alta",'Mapa final'!$AA$21="Mayor"),CONCATENATE("R2C",'Mapa final'!$O$21),"")</f>
        <v/>
      </c>
      <c r="AE17" s="40" t="str">
        <f>IF(AND('Mapa final'!$Y$22="Alta",'Mapa final'!$AA$22="Mayor"),CONCATENATE("R2C",'Mapa final'!$O$22),"")</f>
        <v/>
      </c>
      <c r="AF17" s="40" t="str">
        <f>IF(AND('Mapa final'!$Y$23="Alta",'Mapa final'!$AA$23="Mayor"),CONCATENATE("R2C",'Mapa final'!$O$23),"")</f>
        <v/>
      </c>
      <c r="AG17" s="41" t="str">
        <f>IF(AND('Mapa final'!$Y$24="Alta",'Mapa final'!$AA$24="Mayor"),CONCATENATE("R2C",'Mapa final'!$O$24),"")</f>
        <v/>
      </c>
      <c r="AH17" s="42" t="str">
        <f>IF(AND('Mapa final'!$Y$19="Alta",'Mapa final'!$AA$19="Catastrófico"),CONCATENATE("R2C",'Mapa final'!$O$19),"")</f>
        <v/>
      </c>
      <c r="AI17" s="43" t="str">
        <f>IF(AND('Mapa final'!$Y$20="Alta",'Mapa final'!$AA$20="Catastrófico"),CONCATENATE("R2C",'Mapa final'!$O$20),"")</f>
        <v/>
      </c>
      <c r="AJ17" s="43" t="str">
        <f>IF(AND('Mapa final'!$Y$21="Alta",'Mapa final'!$AA$21="Catastrófico"),CONCATENATE("R2C",'Mapa final'!$O$21),"")</f>
        <v/>
      </c>
      <c r="AK17" s="43" t="str">
        <f>IF(AND('Mapa final'!$Y$22="Alta",'Mapa final'!$AA$22="Catastrófico"),CONCATENATE("R2C",'Mapa final'!$O$22),"")</f>
        <v/>
      </c>
      <c r="AL17" s="43" t="str">
        <f>IF(AND('Mapa final'!$Y$23="Alta",'Mapa final'!$AA$23="Catastrófico"),CONCATENATE("R2C",'Mapa final'!$O$23),"")</f>
        <v/>
      </c>
      <c r="AM17" s="44" t="str">
        <f>IF(AND('Mapa final'!$Y$24="Alta",'Mapa final'!$AA$24="Catastrófico"),CONCATENATE("R2C",'Mapa final'!$O$24),"")</f>
        <v/>
      </c>
      <c r="AN17" s="1"/>
      <c r="AO17" s="290"/>
      <c r="AP17" s="144"/>
      <c r="AQ17" s="144"/>
      <c r="AR17" s="144"/>
      <c r="AS17" s="144"/>
      <c r="AT17" s="291"/>
      <c r="AU17" s="1"/>
      <c r="AV17" s="1"/>
      <c r="AW17" s="1"/>
      <c r="AX17" s="1"/>
      <c r="AY17" s="1"/>
      <c r="AZ17" s="1"/>
      <c r="BA17" s="1"/>
      <c r="BB17" s="1"/>
      <c r="BC17" s="1"/>
      <c r="BD17" s="1"/>
      <c r="BE17" s="1"/>
      <c r="BF17" s="1"/>
      <c r="BG17" s="1"/>
      <c r="BH17" s="1"/>
      <c r="BI17" s="1"/>
    </row>
    <row r="18" spans="1:61" ht="15" customHeight="1" x14ac:dyDescent="0.25">
      <c r="A18" s="1"/>
      <c r="B18" s="281"/>
      <c r="C18" s="144"/>
      <c r="D18" s="145"/>
      <c r="E18" s="156"/>
      <c r="F18" s="144"/>
      <c r="G18" s="144"/>
      <c r="H18" s="144"/>
      <c r="I18" s="144"/>
      <c r="J18" s="54" t="e">
        <f>IF(AND('Mapa final'!#REF!="Alta",'Mapa final'!#REF!="Leve"),CONCATENATE("R3C",'Mapa final'!#REF!),"")</f>
        <v>#REF!</v>
      </c>
      <c r="K18" s="55" t="e">
        <f>IF(AND('Mapa final'!#REF!="Alta",'Mapa final'!#REF!="Leve"),CONCATENATE("R3C",'Mapa final'!#REF!),"")</f>
        <v>#REF!</v>
      </c>
      <c r="L18" s="55" t="e">
        <f>IF(AND('Mapa final'!#REF!="Alta",'Mapa final'!#REF!="Leve"),CONCATENATE("R3C",'Mapa final'!#REF!),"")</f>
        <v>#REF!</v>
      </c>
      <c r="M18" s="55" t="e">
        <f>IF(AND('Mapa final'!#REF!="Alta",'Mapa final'!#REF!="Leve"),CONCATENATE("R3C",'Mapa final'!#REF!),"")</f>
        <v>#REF!</v>
      </c>
      <c r="N18" s="55" t="e">
        <f>IF(AND('Mapa final'!#REF!="Alta",'Mapa final'!#REF!="Leve"),CONCATENATE("R3C",'Mapa final'!#REF!),"")</f>
        <v>#REF!</v>
      </c>
      <c r="O18" s="56" t="e">
        <f>IF(AND('Mapa final'!#REF!="Alta",'Mapa final'!#REF!="Leve"),CONCATENATE("R3C",'Mapa final'!#REF!),"")</f>
        <v>#REF!</v>
      </c>
      <c r="P18" s="54" t="e">
        <f>IF(AND('Mapa final'!#REF!="Alta",'Mapa final'!#REF!="Menor"),CONCATENATE("R3C",'Mapa final'!#REF!),"")</f>
        <v>#REF!</v>
      </c>
      <c r="Q18" s="55" t="e">
        <f>IF(AND('Mapa final'!#REF!="Alta",'Mapa final'!#REF!="Menor"),CONCATENATE("R3C",'Mapa final'!#REF!),"")</f>
        <v>#REF!</v>
      </c>
      <c r="R18" s="55" t="e">
        <f>IF(AND('Mapa final'!#REF!="Alta",'Mapa final'!#REF!="Menor"),CONCATENATE("R3C",'Mapa final'!#REF!),"")</f>
        <v>#REF!</v>
      </c>
      <c r="S18" s="55" t="e">
        <f>IF(AND('Mapa final'!#REF!="Alta",'Mapa final'!#REF!="Menor"),CONCATENATE("R3C",'Mapa final'!#REF!),"")</f>
        <v>#REF!</v>
      </c>
      <c r="T18" s="55" t="e">
        <f>IF(AND('Mapa final'!#REF!="Alta",'Mapa final'!#REF!="Menor"),CONCATENATE("R3C",'Mapa final'!#REF!),"")</f>
        <v>#REF!</v>
      </c>
      <c r="U18" s="56" t="e">
        <f>IF(AND('Mapa final'!#REF!="Alta",'Mapa final'!#REF!="Menor"),CONCATENATE("R3C",'Mapa final'!#REF!),"")</f>
        <v>#REF!</v>
      </c>
      <c r="V18" s="39" t="e">
        <f>IF(AND('Mapa final'!#REF!="Alta",'Mapa final'!#REF!="Moderado"),CONCATENATE("R3C",'Mapa final'!#REF!),"")</f>
        <v>#REF!</v>
      </c>
      <c r="W18" s="40" t="e">
        <f>IF(AND('Mapa final'!#REF!="Alta",'Mapa final'!#REF!="Moderado"),CONCATENATE("R3C",'Mapa final'!#REF!),"")</f>
        <v>#REF!</v>
      </c>
      <c r="X18" s="40" t="e">
        <f>IF(AND('Mapa final'!#REF!="Alta",'Mapa final'!#REF!="Moderado"),CONCATENATE("R3C",'Mapa final'!#REF!),"")</f>
        <v>#REF!</v>
      </c>
      <c r="Y18" s="40" t="e">
        <f>IF(AND('Mapa final'!#REF!="Alta",'Mapa final'!#REF!="Moderado"),CONCATENATE("R3C",'Mapa final'!#REF!),"")</f>
        <v>#REF!</v>
      </c>
      <c r="Z18" s="40" t="e">
        <f>IF(AND('Mapa final'!#REF!="Alta",'Mapa final'!#REF!="Moderado"),CONCATENATE("R3C",'Mapa final'!#REF!),"")</f>
        <v>#REF!</v>
      </c>
      <c r="AA18" s="41" t="e">
        <f>IF(AND('Mapa final'!#REF!="Alta",'Mapa final'!#REF!="Moderado"),CONCATENATE("R3C",'Mapa final'!#REF!),"")</f>
        <v>#REF!</v>
      </c>
      <c r="AB18" s="39" t="e">
        <f>IF(AND('Mapa final'!#REF!="Alta",'Mapa final'!#REF!="Mayor"),CONCATENATE("R3C",'Mapa final'!#REF!),"")</f>
        <v>#REF!</v>
      </c>
      <c r="AC18" s="40" t="e">
        <f>IF(AND('Mapa final'!#REF!="Alta",'Mapa final'!#REF!="Mayor"),CONCATENATE("R3C",'Mapa final'!#REF!),"")</f>
        <v>#REF!</v>
      </c>
      <c r="AD18" s="40" t="e">
        <f>IF(AND('Mapa final'!#REF!="Alta",'Mapa final'!#REF!="Mayor"),CONCATENATE("R3C",'Mapa final'!#REF!),"")</f>
        <v>#REF!</v>
      </c>
      <c r="AE18" s="40" t="e">
        <f>IF(AND('Mapa final'!#REF!="Alta",'Mapa final'!#REF!="Mayor"),CONCATENATE("R3C",'Mapa final'!#REF!),"")</f>
        <v>#REF!</v>
      </c>
      <c r="AF18" s="40" t="e">
        <f>IF(AND('Mapa final'!#REF!="Alta",'Mapa final'!#REF!="Mayor"),CONCATENATE("R3C",'Mapa final'!#REF!),"")</f>
        <v>#REF!</v>
      </c>
      <c r="AG18" s="41" t="e">
        <f>IF(AND('Mapa final'!#REF!="Alta",'Mapa final'!#REF!="Mayor"),CONCATENATE("R3C",'Mapa final'!#REF!),"")</f>
        <v>#REF!</v>
      </c>
      <c r="AH18" s="42" t="e">
        <f>IF(AND('Mapa final'!#REF!="Alta",'Mapa final'!#REF!="Catastrófico"),CONCATENATE("R3C",'Mapa final'!#REF!),"")</f>
        <v>#REF!</v>
      </c>
      <c r="AI18" s="43" t="e">
        <f>IF(AND('Mapa final'!#REF!="Alta",'Mapa final'!#REF!="Catastrófico"),CONCATENATE("R3C",'Mapa final'!#REF!),"")</f>
        <v>#REF!</v>
      </c>
      <c r="AJ18" s="43" t="e">
        <f>IF(AND('Mapa final'!#REF!="Alta",'Mapa final'!#REF!="Catastrófico"),CONCATENATE("R3C",'Mapa final'!#REF!),"")</f>
        <v>#REF!</v>
      </c>
      <c r="AK18" s="43" t="e">
        <f>IF(AND('Mapa final'!#REF!="Alta",'Mapa final'!#REF!="Catastrófico"),CONCATENATE("R3C",'Mapa final'!#REF!),"")</f>
        <v>#REF!</v>
      </c>
      <c r="AL18" s="43" t="e">
        <f>IF(AND('Mapa final'!#REF!="Alta",'Mapa final'!#REF!="Catastrófico"),CONCATENATE("R3C",'Mapa final'!#REF!),"")</f>
        <v>#REF!</v>
      </c>
      <c r="AM18" s="44" t="e">
        <f>IF(AND('Mapa final'!#REF!="Alta",'Mapa final'!#REF!="Catastrófico"),CONCATENATE("R3C",'Mapa final'!#REF!),"")</f>
        <v>#REF!</v>
      </c>
      <c r="AN18" s="1"/>
      <c r="AO18" s="290"/>
      <c r="AP18" s="144"/>
      <c r="AQ18" s="144"/>
      <c r="AR18" s="144"/>
      <c r="AS18" s="144"/>
      <c r="AT18" s="291"/>
      <c r="AU18" s="1"/>
      <c r="AV18" s="1"/>
      <c r="AW18" s="1"/>
      <c r="AX18" s="1"/>
      <c r="AY18" s="1"/>
      <c r="AZ18" s="1"/>
      <c r="BA18" s="1"/>
      <c r="BB18" s="1"/>
      <c r="BC18" s="1"/>
      <c r="BD18" s="1"/>
      <c r="BE18" s="1"/>
      <c r="BF18" s="1"/>
      <c r="BG18" s="1"/>
      <c r="BH18" s="1"/>
      <c r="BI18" s="1"/>
    </row>
    <row r="19" spans="1:61" ht="15" customHeight="1" x14ac:dyDescent="0.25">
      <c r="A19" s="1"/>
      <c r="B19" s="281"/>
      <c r="C19" s="144"/>
      <c r="D19" s="145"/>
      <c r="E19" s="156"/>
      <c r="F19" s="144"/>
      <c r="G19" s="144"/>
      <c r="H19" s="144"/>
      <c r="I19" s="144"/>
      <c r="J19" s="54" t="e">
        <f>IF(AND('Mapa final'!#REF!="Alta",'Mapa final'!#REF!="Leve"),CONCATENATE("R4C",'Mapa final'!#REF!),"")</f>
        <v>#REF!</v>
      </c>
      <c r="K19" s="55" t="e">
        <f>IF(AND('Mapa final'!#REF!="Alta",'Mapa final'!#REF!="Leve"),CONCATENATE("R4C",'Mapa final'!#REF!),"")</f>
        <v>#REF!</v>
      </c>
      <c r="L19" s="55" t="e">
        <f>IF(AND('Mapa final'!#REF!="Alta",'Mapa final'!#REF!="Leve"),CONCATENATE("R4C",'Mapa final'!#REF!),"")</f>
        <v>#REF!</v>
      </c>
      <c r="M19" s="55" t="e">
        <f>IF(AND('Mapa final'!#REF!="Alta",'Mapa final'!#REF!="Leve"),CONCATENATE("R4C",'Mapa final'!#REF!),"")</f>
        <v>#REF!</v>
      </c>
      <c r="N19" s="55" t="e">
        <f>IF(AND('Mapa final'!#REF!="Alta",'Mapa final'!#REF!="Leve"),CONCATENATE("R4C",'Mapa final'!#REF!),"")</f>
        <v>#REF!</v>
      </c>
      <c r="O19" s="56" t="e">
        <f>IF(AND('Mapa final'!#REF!="Alta",'Mapa final'!#REF!="Leve"),CONCATENATE("R4C",'Mapa final'!#REF!),"")</f>
        <v>#REF!</v>
      </c>
      <c r="P19" s="54" t="e">
        <f>IF(AND('Mapa final'!#REF!="Alta",'Mapa final'!#REF!="Menor"),CONCATENATE("R4C",'Mapa final'!#REF!),"")</f>
        <v>#REF!</v>
      </c>
      <c r="Q19" s="55" t="e">
        <f>IF(AND('Mapa final'!#REF!="Alta",'Mapa final'!#REF!="Menor"),CONCATENATE("R4C",'Mapa final'!#REF!),"")</f>
        <v>#REF!</v>
      </c>
      <c r="R19" s="55" t="e">
        <f>IF(AND('Mapa final'!#REF!="Alta",'Mapa final'!#REF!="Menor"),CONCATENATE("R4C",'Mapa final'!#REF!),"")</f>
        <v>#REF!</v>
      </c>
      <c r="S19" s="55" t="e">
        <f>IF(AND('Mapa final'!#REF!="Alta",'Mapa final'!#REF!="Menor"),CONCATENATE("R4C",'Mapa final'!#REF!),"")</f>
        <v>#REF!</v>
      </c>
      <c r="T19" s="55" t="e">
        <f>IF(AND('Mapa final'!#REF!="Alta",'Mapa final'!#REF!="Menor"),CONCATENATE("R4C",'Mapa final'!#REF!),"")</f>
        <v>#REF!</v>
      </c>
      <c r="U19" s="56" t="e">
        <f>IF(AND('Mapa final'!#REF!="Alta",'Mapa final'!#REF!="Menor"),CONCATENATE("R4C",'Mapa final'!#REF!),"")</f>
        <v>#REF!</v>
      </c>
      <c r="V19" s="39" t="e">
        <f>IF(AND('Mapa final'!#REF!="Alta",'Mapa final'!#REF!="Moderado"),CONCATENATE("R4C",'Mapa final'!#REF!),"")</f>
        <v>#REF!</v>
      </c>
      <c r="W19" s="40" t="e">
        <f>IF(AND('Mapa final'!#REF!="Alta",'Mapa final'!#REF!="Moderado"),CONCATENATE("R4C",'Mapa final'!#REF!),"")</f>
        <v>#REF!</v>
      </c>
      <c r="X19" s="40" t="e">
        <f>IF(AND('Mapa final'!#REF!="Alta",'Mapa final'!#REF!="Moderado"),CONCATENATE("R4C",'Mapa final'!#REF!),"")</f>
        <v>#REF!</v>
      </c>
      <c r="Y19" s="40" t="e">
        <f>IF(AND('Mapa final'!#REF!="Alta",'Mapa final'!#REF!="Moderado"),CONCATENATE("R4C",'Mapa final'!#REF!),"")</f>
        <v>#REF!</v>
      </c>
      <c r="Z19" s="40" t="e">
        <f>IF(AND('Mapa final'!#REF!="Alta",'Mapa final'!#REF!="Moderado"),CONCATENATE("R4C",'Mapa final'!#REF!),"")</f>
        <v>#REF!</v>
      </c>
      <c r="AA19" s="41" t="e">
        <f>IF(AND('Mapa final'!#REF!="Alta",'Mapa final'!#REF!="Moderado"),CONCATENATE("R4C",'Mapa final'!#REF!),"")</f>
        <v>#REF!</v>
      </c>
      <c r="AB19" s="39" t="e">
        <f>IF(AND('Mapa final'!#REF!="Alta",'Mapa final'!#REF!="Mayor"),CONCATENATE("R4C",'Mapa final'!#REF!),"")</f>
        <v>#REF!</v>
      </c>
      <c r="AC19" s="40" t="e">
        <f>IF(AND('Mapa final'!#REF!="Alta",'Mapa final'!#REF!="Mayor"),CONCATENATE("R4C",'Mapa final'!#REF!),"")</f>
        <v>#REF!</v>
      </c>
      <c r="AD19" s="40" t="e">
        <f>IF(AND('Mapa final'!#REF!="Alta",'Mapa final'!#REF!="Mayor"),CONCATENATE("R4C",'Mapa final'!#REF!),"")</f>
        <v>#REF!</v>
      </c>
      <c r="AE19" s="40" t="e">
        <f>IF(AND('Mapa final'!#REF!="Alta",'Mapa final'!#REF!="Mayor"),CONCATENATE("R4C",'Mapa final'!#REF!),"")</f>
        <v>#REF!</v>
      </c>
      <c r="AF19" s="40" t="e">
        <f>IF(AND('Mapa final'!#REF!="Alta",'Mapa final'!#REF!="Mayor"),CONCATENATE("R4C",'Mapa final'!#REF!),"")</f>
        <v>#REF!</v>
      </c>
      <c r="AG19" s="41" t="e">
        <f>IF(AND('Mapa final'!#REF!="Alta",'Mapa final'!#REF!="Mayor"),CONCATENATE("R4C",'Mapa final'!#REF!),"")</f>
        <v>#REF!</v>
      </c>
      <c r="AH19" s="42" t="e">
        <f>IF(AND('Mapa final'!#REF!="Alta",'Mapa final'!#REF!="Catastrófico"),CONCATENATE("R4C",'Mapa final'!#REF!),"")</f>
        <v>#REF!</v>
      </c>
      <c r="AI19" s="43" t="e">
        <f>IF(AND('Mapa final'!#REF!="Alta",'Mapa final'!#REF!="Catastrófico"),CONCATENATE("R4C",'Mapa final'!#REF!),"")</f>
        <v>#REF!</v>
      </c>
      <c r="AJ19" s="43" t="e">
        <f>IF(AND('Mapa final'!#REF!="Alta",'Mapa final'!#REF!="Catastrófico"),CONCATENATE("R4C",'Mapa final'!#REF!),"")</f>
        <v>#REF!</v>
      </c>
      <c r="AK19" s="43" t="e">
        <f>IF(AND('Mapa final'!#REF!="Alta",'Mapa final'!#REF!="Catastrófico"),CONCATENATE("R4C",'Mapa final'!#REF!),"")</f>
        <v>#REF!</v>
      </c>
      <c r="AL19" s="43" t="e">
        <f>IF(AND('Mapa final'!#REF!="Alta",'Mapa final'!#REF!="Catastrófico"),CONCATENATE("R4C",'Mapa final'!#REF!),"")</f>
        <v>#REF!</v>
      </c>
      <c r="AM19" s="44" t="e">
        <f>IF(AND('Mapa final'!#REF!="Alta",'Mapa final'!#REF!="Catastrófico"),CONCATENATE("R4C",'Mapa final'!#REF!),"")</f>
        <v>#REF!</v>
      </c>
      <c r="AN19" s="1"/>
      <c r="AO19" s="290"/>
      <c r="AP19" s="144"/>
      <c r="AQ19" s="144"/>
      <c r="AR19" s="144"/>
      <c r="AS19" s="144"/>
      <c r="AT19" s="291"/>
      <c r="AU19" s="1"/>
      <c r="AV19" s="1"/>
      <c r="AW19" s="1"/>
      <c r="AX19" s="1"/>
      <c r="AY19" s="1"/>
      <c r="AZ19" s="1"/>
      <c r="BA19" s="1"/>
      <c r="BB19" s="1"/>
      <c r="BC19" s="1"/>
      <c r="BD19" s="1"/>
      <c r="BE19" s="1"/>
      <c r="BF19" s="1"/>
      <c r="BG19" s="1"/>
      <c r="BH19" s="1"/>
      <c r="BI19" s="1"/>
    </row>
    <row r="20" spans="1:61" ht="15" customHeight="1" x14ac:dyDescent="0.25">
      <c r="A20" s="1"/>
      <c r="B20" s="281"/>
      <c r="C20" s="144"/>
      <c r="D20" s="145"/>
      <c r="E20" s="156"/>
      <c r="F20" s="144"/>
      <c r="G20" s="144"/>
      <c r="H20" s="144"/>
      <c r="I20" s="144"/>
      <c r="J20" s="54" t="e">
        <f>IF(AND('Mapa final'!#REF!="Alta",'Mapa final'!#REF!="Leve"),CONCATENATE("R5C",'Mapa final'!#REF!),"")</f>
        <v>#REF!</v>
      </c>
      <c r="K20" s="55" t="e">
        <f>IF(AND('Mapa final'!#REF!="Alta",'Mapa final'!#REF!="Leve"),CONCATENATE("R5C",'Mapa final'!#REF!),"")</f>
        <v>#REF!</v>
      </c>
      <c r="L20" s="55" t="e">
        <f>IF(AND('Mapa final'!#REF!="Alta",'Mapa final'!#REF!="Leve"),CONCATENATE("R5C",'Mapa final'!#REF!),"")</f>
        <v>#REF!</v>
      </c>
      <c r="M20" s="55" t="e">
        <f>IF(AND('Mapa final'!#REF!="Alta",'Mapa final'!#REF!="Leve"),CONCATENATE("R5C",'Mapa final'!#REF!),"")</f>
        <v>#REF!</v>
      </c>
      <c r="N20" s="55" t="e">
        <f>IF(AND('Mapa final'!#REF!="Alta",'Mapa final'!#REF!="Leve"),CONCATENATE("R5C",'Mapa final'!#REF!),"")</f>
        <v>#REF!</v>
      </c>
      <c r="O20" s="56" t="e">
        <f>IF(AND('Mapa final'!#REF!="Alta",'Mapa final'!#REF!="Leve"),CONCATENATE("R5C",'Mapa final'!#REF!),"")</f>
        <v>#REF!</v>
      </c>
      <c r="P20" s="54" t="e">
        <f>IF(AND('Mapa final'!#REF!="Alta",'Mapa final'!#REF!="Menor"),CONCATENATE("R5C",'Mapa final'!#REF!),"")</f>
        <v>#REF!</v>
      </c>
      <c r="Q20" s="55" t="e">
        <f>IF(AND('Mapa final'!#REF!="Alta",'Mapa final'!#REF!="Menor"),CONCATENATE("R5C",'Mapa final'!#REF!),"")</f>
        <v>#REF!</v>
      </c>
      <c r="R20" s="55" t="e">
        <f>IF(AND('Mapa final'!#REF!="Alta",'Mapa final'!#REF!="Menor"),CONCATENATE("R5C",'Mapa final'!#REF!),"")</f>
        <v>#REF!</v>
      </c>
      <c r="S20" s="55" t="e">
        <f>IF(AND('Mapa final'!#REF!="Alta",'Mapa final'!#REF!="Menor"),CONCATENATE("R5C",'Mapa final'!#REF!),"")</f>
        <v>#REF!</v>
      </c>
      <c r="T20" s="55" t="e">
        <f>IF(AND('Mapa final'!#REF!="Alta",'Mapa final'!#REF!="Menor"),CONCATENATE("R5C",'Mapa final'!#REF!),"")</f>
        <v>#REF!</v>
      </c>
      <c r="U20" s="56" t="e">
        <f>IF(AND('Mapa final'!#REF!="Alta",'Mapa final'!#REF!="Menor"),CONCATENATE("R5C",'Mapa final'!#REF!),"")</f>
        <v>#REF!</v>
      </c>
      <c r="V20" s="39" t="e">
        <f>IF(AND('Mapa final'!#REF!="Alta",'Mapa final'!#REF!="Moderado"),CONCATENATE("R5C",'Mapa final'!#REF!),"")</f>
        <v>#REF!</v>
      </c>
      <c r="W20" s="40" t="e">
        <f>IF(AND('Mapa final'!#REF!="Alta",'Mapa final'!#REF!="Moderado"),CONCATENATE("R5C",'Mapa final'!#REF!),"")</f>
        <v>#REF!</v>
      </c>
      <c r="X20" s="40" t="e">
        <f>IF(AND('Mapa final'!#REF!="Alta",'Mapa final'!#REF!="Moderado"),CONCATENATE("R5C",'Mapa final'!#REF!),"")</f>
        <v>#REF!</v>
      </c>
      <c r="Y20" s="40" t="e">
        <f>IF(AND('Mapa final'!#REF!="Alta",'Mapa final'!#REF!="Moderado"),CONCATENATE("R5C",'Mapa final'!#REF!),"")</f>
        <v>#REF!</v>
      </c>
      <c r="Z20" s="40" t="e">
        <f>IF(AND('Mapa final'!#REF!="Alta",'Mapa final'!#REF!="Moderado"),CONCATENATE("R5C",'Mapa final'!#REF!),"")</f>
        <v>#REF!</v>
      </c>
      <c r="AA20" s="41" t="e">
        <f>IF(AND('Mapa final'!#REF!="Alta",'Mapa final'!#REF!="Moderado"),CONCATENATE("R5C",'Mapa final'!#REF!),"")</f>
        <v>#REF!</v>
      </c>
      <c r="AB20" s="39" t="e">
        <f>IF(AND('Mapa final'!#REF!="Alta",'Mapa final'!#REF!="Mayor"),CONCATENATE("R5C",'Mapa final'!#REF!),"")</f>
        <v>#REF!</v>
      </c>
      <c r="AC20" s="40" t="e">
        <f>IF(AND('Mapa final'!#REF!="Alta",'Mapa final'!#REF!="Mayor"),CONCATENATE("R5C",'Mapa final'!#REF!),"")</f>
        <v>#REF!</v>
      </c>
      <c r="AD20" s="40" t="e">
        <f>IF(AND('Mapa final'!#REF!="Alta",'Mapa final'!#REF!="Mayor"),CONCATENATE("R5C",'Mapa final'!#REF!),"")</f>
        <v>#REF!</v>
      </c>
      <c r="AE20" s="40" t="e">
        <f>IF(AND('Mapa final'!#REF!="Alta",'Mapa final'!#REF!="Mayor"),CONCATENATE("R5C",'Mapa final'!#REF!),"")</f>
        <v>#REF!</v>
      </c>
      <c r="AF20" s="40" t="e">
        <f>IF(AND('Mapa final'!#REF!="Alta",'Mapa final'!#REF!="Mayor"),CONCATENATE("R5C",'Mapa final'!#REF!),"")</f>
        <v>#REF!</v>
      </c>
      <c r="AG20" s="41" t="e">
        <f>IF(AND('Mapa final'!#REF!="Alta",'Mapa final'!#REF!="Mayor"),CONCATENATE("R5C",'Mapa final'!#REF!),"")</f>
        <v>#REF!</v>
      </c>
      <c r="AH20" s="42" t="e">
        <f>IF(AND('Mapa final'!#REF!="Alta",'Mapa final'!#REF!="Catastrófico"),CONCATENATE("R5C",'Mapa final'!#REF!),"")</f>
        <v>#REF!</v>
      </c>
      <c r="AI20" s="43" t="e">
        <f>IF(AND('Mapa final'!#REF!="Alta",'Mapa final'!#REF!="Catastrófico"),CONCATENATE("R5C",'Mapa final'!#REF!),"")</f>
        <v>#REF!</v>
      </c>
      <c r="AJ20" s="43" t="e">
        <f>IF(AND('Mapa final'!#REF!="Alta",'Mapa final'!#REF!="Catastrófico"),CONCATENATE("R5C",'Mapa final'!#REF!),"")</f>
        <v>#REF!</v>
      </c>
      <c r="AK20" s="43" t="e">
        <f>IF(AND('Mapa final'!#REF!="Alta",'Mapa final'!#REF!="Catastrófico"),CONCATENATE("R5C",'Mapa final'!#REF!),"")</f>
        <v>#REF!</v>
      </c>
      <c r="AL20" s="43" t="e">
        <f>IF(AND('Mapa final'!#REF!="Alta",'Mapa final'!#REF!="Catastrófico"),CONCATENATE("R5C",'Mapa final'!#REF!),"")</f>
        <v>#REF!</v>
      </c>
      <c r="AM20" s="44" t="e">
        <f>IF(AND('Mapa final'!#REF!="Alta",'Mapa final'!#REF!="Catastrófico"),CONCATENATE("R5C",'Mapa final'!#REF!),"")</f>
        <v>#REF!</v>
      </c>
      <c r="AN20" s="1"/>
      <c r="AO20" s="290"/>
      <c r="AP20" s="144"/>
      <c r="AQ20" s="144"/>
      <c r="AR20" s="144"/>
      <c r="AS20" s="144"/>
      <c r="AT20" s="291"/>
      <c r="AU20" s="1"/>
      <c r="AV20" s="1"/>
      <c r="AW20" s="1"/>
      <c r="AX20" s="1"/>
      <c r="AY20" s="1"/>
      <c r="AZ20" s="1"/>
      <c r="BA20" s="1"/>
      <c r="BB20" s="1"/>
      <c r="BC20" s="1"/>
      <c r="BD20" s="1"/>
      <c r="BE20" s="1"/>
      <c r="BF20" s="1"/>
      <c r="BG20" s="1"/>
      <c r="BH20" s="1"/>
      <c r="BI20" s="1"/>
    </row>
    <row r="21" spans="1:61" ht="15" customHeight="1" x14ac:dyDescent="0.25">
      <c r="A21" s="1"/>
      <c r="B21" s="281"/>
      <c r="C21" s="144"/>
      <c r="D21" s="145"/>
      <c r="E21" s="156"/>
      <c r="F21" s="144"/>
      <c r="G21" s="144"/>
      <c r="H21" s="144"/>
      <c r="I21" s="144"/>
      <c r="J21" s="54" t="e">
        <f>IF(AND('Mapa final'!#REF!="Alta",'Mapa final'!#REF!="Leve"),CONCATENATE("R6C",'Mapa final'!#REF!),"")</f>
        <v>#REF!</v>
      </c>
      <c r="K21" s="55" t="e">
        <f>IF(AND('Mapa final'!#REF!="Alta",'Mapa final'!#REF!="Leve"),CONCATENATE("R6C",'Mapa final'!#REF!),"")</f>
        <v>#REF!</v>
      </c>
      <c r="L21" s="55" t="e">
        <f>IF(AND('Mapa final'!#REF!="Alta",'Mapa final'!#REF!="Leve"),CONCATENATE("R6C",'Mapa final'!#REF!),"")</f>
        <v>#REF!</v>
      </c>
      <c r="M21" s="55" t="e">
        <f>IF(AND('Mapa final'!#REF!="Alta",'Mapa final'!#REF!="Leve"),CONCATENATE("R6C",'Mapa final'!#REF!),"")</f>
        <v>#REF!</v>
      </c>
      <c r="N21" s="55" t="e">
        <f>IF(AND('Mapa final'!#REF!="Alta",'Mapa final'!#REF!="Leve"),CONCATENATE("R6C",'Mapa final'!#REF!),"")</f>
        <v>#REF!</v>
      </c>
      <c r="O21" s="56" t="e">
        <f>IF(AND('Mapa final'!#REF!="Alta",'Mapa final'!#REF!="Leve"),CONCATENATE("R6C",'Mapa final'!#REF!),"")</f>
        <v>#REF!</v>
      </c>
      <c r="P21" s="54" t="e">
        <f>IF(AND('Mapa final'!#REF!="Alta",'Mapa final'!#REF!="Menor"),CONCATENATE("R6C",'Mapa final'!#REF!),"")</f>
        <v>#REF!</v>
      </c>
      <c r="Q21" s="55" t="e">
        <f>IF(AND('Mapa final'!#REF!="Alta",'Mapa final'!#REF!="Menor"),CONCATENATE("R6C",'Mapa final'!#REF!),"")</f>
        <v>#REF!</v>
      </c>
      <c r="R21" s="55" t="e">
        <f>IF(AND('Mapa final'!#REF!="Alta",'Mapa final'!#REF!="Menor"),CONCATENATE("R6C",'Mapa final'!#REF!),"")</f>
        <v>#REF!</v>
      </c>
      <c r="S21" s="55" t="e">
        <f>IF(AND('Mapa final'!#REF!="Alta",'Mapa final'!#REF!="Menor"),CONCATENATE("R6C",'Mapa final'!#REF!),"")</f>
        <v>#REF!</v>
      </c>
      <c r="T21" s="55" t="e">
        <f>IF(AND('Mapa final'!#REF!="Alta",'Mapa final'!#REF!="Menor"),CONCATENATE("R6C",'Mapa final'!#REF!),"")</f>
        <v>#REF!</v>
      </c>
      <c r="U21" s="56" t="e">
        <f>IF(AND('Mapa final'!#REF!="Alta",'Mapa final'!#REF!="Menor"),CONCATENATE("R6C",'Mapa final'!#REF!),"")</f>
        <v>#REF!</v>
      </c>
      <c r="V21" s="39" t="e">
        <f>IF(AND('Mapa final'!#REF!="Alta",'Mapa final'!#REF!="Moderado"),CONCATENATE("R6C",'Mapa final'!#REF!),"")</f>
        <v>#REF!</v>
      </c>
      <c r="W21" s="40" t="e">
        <f>IF(AND('Mapa final'!#REF!="Alta",'Mapa final'!#REF!="Moderado"),CONCATENATE("R6C",'Mapa final'!#REF!),"")</f>
        <v>#REF!</v>
      </c>
      <c r="X21" s="40" t="e">
        <f>IF(AND('Mapa final'!#REF!="Alta",'Mapa final'!#REF!="Moderado"),CONCATENATE("R6C",'Mapa final'!#REF!),"")</f>
        <v>#REF!</v>
      </c>
      <c r="Y21" s="40" t="e">
        <f>IF(AND('Mapa final'!#REF!="Alta",'Mapa final'!#REF!="Moderado"),CONCATENATE("R6C",'Mapa final'!#REF!),"")</f>
        <v>#REF!</v>
      </c>
      <c r="Z21" s="40" t="e">
        <f>IF(AND('Mapa final'!#REF!="Alta",'Mapa final'!#REF!="Moderado"),CONCATENATE("R6C",'Mapa final'!#REF!),"")</f>
        <v>#REF!</v>
      </c>
      <c r="AA21" s="41" t="e">
        <f>IF(AND('Mapa final'!#REF!="Alta",'Mapa final'!#REF!="Moderado"),CONCATENATE("R6C",'Mapa final'!#REF!),"")</f>
        <v>#REF!</v>
      </c>
      <c r="AB21" s="39" t="e">
        <f>IF(AND('Mapa final'!#REF!="Alta",'Mapa final'!#REF!="Mayor"),CONCATENATE("R6C",'Mapa final'!#REF!),"")</f>
        <v>#REF!</v>
      </c>
      <c r="AC21" s="40" t="e">
        <f>IF(AND('Mapa final'!#REF!="Alta",'Mapa final'!#REF!="Mayor"),CONCATENATE("R6C",'Mapa final'!#REF!),"")</f>
        <v>#REF!</v>
      </c>
      <c r="AD21" s="40" t="e">
        <f>IF(AND('Mapa final'!#REF!="Alta",'Mapa final'!#REF!="Mayor"),CONCATENATE("R6C",'Mapa final'!#REF!),"")</f>
        <v>#REF!</v>
      </c>
      <c r="AE21" s="40" t="e">
        <f>IF(AND('Mapa final'!#REF!="Alta",'Mapa final'!#REF!="Mayor"),CONCATENATE("R6C",'Mapa final'!#REF!),"")</f>
        <v>#REF!</v>
      </c>
      <c r="AF21" s="40" t="e">
        <f>IF(AND('Mapa final'!#REF!="Alta",'Mapa final'!#REF!="Mayor"),CONCATENATE("R6C",'Mapa final'!#REF!),"")</f>
        <v>#REF!</v>
      </c>
      <c r="AG21" s="41" t="e">
        <f>IF(AND('Mapa final'!#REF!="Alta",'Mapa final'!#REF!="Mayor"),CONCATENATE("R6C",'Mapa final'!#REF!),"")</f>
        <v>#REF!</v>
      </c>
      <c r="AH21" s="42" t="e">
        <f>IF(AND('Mapa final'!#REF!="Alta",'Mapa final'!#REF!="Catastrófico"),CONCATENATE("R6C",'Mapa final'!#REF!),"")</f>
        <v>#REF!</v>
      </c>
      <c r="AI21" s="43" t="e">
        <f>IF(AND('Mapa final'!#REF!="Alta",'Mapa final'!#REF!="Catastrófico"),CONCATENATE("R6C",'Mapa final'!#REF!),"")</f>
        <v>#REF!</v>
      </c>
      <c r="AJ21" s="43" t="e">
        <f>IF(AND('Mapa final'!#REF!="Alta",'Mapa final'!#REF!="Catastrófico"),CONCATENATE("R6C",'Mapa final'!#REF!),"")</f>
        <v>#REF!</v>
      </c>
      <c r="AK21" s="43" t="e">
        <f>IF(AND('Mapa final'!#REF!="Alta",'Mapa final'!#REF!="Catastrófico"),CONCATENATE("R6C",'Mapa final'!#REF!),"")</f>
        <v>#REF!</v>
      </c>
      <c r="AL21" s="43" t="e">
        <f>IF(AND('Mapa final'!#REF!="Alta",'Mapa final'!#REF!="Catastrófico"),CONCATENATE("R6C",'Mapa final'!#REF!),"")</f>
        <v>#REF!</v>
      </c>
      <c r="AM21" s="44" t="e">
        <f>IF(AND('Mapa final'!#REF!="Alta",'Mapa final'!#REF!="Catastrófico"),CONCATENATE("R6C",'Mapa final'!#REF!),"")</f>
        <v>#REF!</v>
      </c>
      <c r="AN21" s="1"/>
      <c r="AO21" s="290"/>
      <c r="AP21" s="144"/>
      <c r="AQ21" s="144"/>
      <c r="AR21" s="144"/>
      <c r="AS21" s="144"/>
      <c r="AT21" s="291"/>
      <c r="AU21" s="1"/>
      <c r="AV21" s="1"/>
      <c r="AW21" s="1"/>
      <c r="AX21" s="1"/>
      <c r="AY21" s="1"/>
      <c r="AZ21" s="1"/>
      <c r="BA21" s="1"/>
      <c r="BB21" s="1"/>
      <c r="BC21" s="1"/>
      <c r="BD21" s="1"/>
      <c r="BE21" s="1"/>
      <c r="BF21" s="1"/>
      <c r="BG21" s="1"/>
      <c r="BH21" s="1"/>
      <c r="BI21" s="1"/>
    </row>
    <row r="22" spans="1:61" ht="15" customHeight="1" x14ac:dyDescent="0.25">
      <c r="A22" s="1"/>
      <c r="B22" s="281"/>
      <c r="C22" s="144"/>
      <c r="D22" s="145"/>
      <c r="E22" s="156"/>
      <c r="F22" s="144"/>
      <c r="G22" s="144"/>
      <c r="H22" s="144"/>
      <c r="I22" s="144"/>
      <c r="J22" s="54" t="e">
        <f>IF(AND('Mapa final'!#REF!="Alta",'Mapa final'!#REF!="Leve"),CONCATENATE("R7C",'Mapa final'!#REF!),"")</f>
        <v>#REF!</v>
      </c>
      <c r="K22" s="55" t="e">
        <f>IF(AND('Mapa final'!#REF!="Alta",'Mapa final'!#REF!="Leve"),CONCATENATE("R7C",'Mapa final'!#REF!),"")</f>
        <v>#REF!</v>
      </c>
      <c r="L22" s="55" t="e">
        <f>IF(AND('Mapa final'!#REF!="Alta",'Mapa final'!#REF!="Leve"),CONCATENATE("R7C",'Mapa final'!#REF!),"")</f>
        <v>#REF!</v>
      </c>
      <c r="M22" s="55" t="e">
        <f>IF(AND('Mapa final'!#REF!="Alta",'Mapa final'!#REF!="Leve"),CONCATENATE("R7C",'Mapa final'!#REF!),"")</f>
        <v>#REF!</v>
      </c>
      <c r="N22" s="55" t="e">
        <f>IF(AND('Mapa final'!#REF!="Alta",'Mapa final'!#REF!="Leve"),CONCATENATE("R7C",'Mapa final'!#REF!),"")</f>
        <v>#REF!</v>
      </c>
      <c r="O22" s="56" t="e">
        <f>IF(AND('Mapa final'!#REF!="Alta",'Mapa final'!#REF!="Leve"),CONCATENATE("R7C",'Mapa final'!#REF!),"")</f>
        <v>#REF!</v>
      </c>
      <c r="P22" s="54" t="e">
        <f>IF(AND('Mapa final'!#REF!="Alta",'Mapa final'!#REF!="Menor"),CONCATENATE("R7C",'Mapa final'!#REF!),"")</f>
        <v>#REF!</v>
      </c>
      <c r="Q22" s="55" t="e">
        <f>IF(AND('Mapa final'!#REF!="Alta",'Mapa final'!#REF!="Menor"),CONCATENATE("R7C",'Mapa final'!#REF!),"")</f>
        <v>#REF!</v>
      </c>
      <c r="R22" s="55" t="e">
        <f>IF(AND('Mapa final'!#REF!="Alta",'Mapa final'!#REF!="Menor"),CONCATENATE("R7C",'Mapa final'!#REF!),"")</f>
        <v>#REF!</v>
      </c>
      <c r="S22" s="55" t="e">
        <f>IF(AND('Mapa final'!#REF!="Alta",'Mapa final'!#REF!="Menor"),CONCATENATE("R7C",'Mapa final'!#REF!),"")</f>
        <v>#REF!</v>
      </c>
      <c r="T22" s="55" t="e">
        <f>IF(AND('Mapa final'!#REF!="Alta",'Mapa final'!#REF!="Menor"),CONCATENATE("R7C",'Mapa final'!#REF!),"")</f>
        <v>#REF!</v>
      </c>
      <c r="U22" s="56" t="e">
        <f>IF(AND('Mapa final'!#REF!="Alta",'Mapa final'!#REF!="Menor"),CONCATENATE("R7C",'Mapa final'!#REF!),"")</f>
        <v>#REF!</v>
      </c>
      <c r="V22" s="39" t="e">
        <f>IF(AND('Mapa final'!#REF!="Alta",'Mapa final'!#REF!="Moderado"),CONCATENATE("R7C",'Mapa final'!#REF!),"")</f>
        <v>#REF!</v>
      </c>
      <c r="W22" s="40" t="e">
        <f>IF(AND('Mapa final'!#REF!="Alta",'Mapa final'!#REF!="Moderado"),CONCATENATE("R7C",'Mapa final'!#REF!),"")</f>
        <v>#REF!</v>
      </c>
      <c r="X22" s="40" t="e">
        <f>IF(AND('Mapa final'!#REF!="Alta",'Mapa final'!#REF!="Moderado"),CONCATENATE("R7C",'Mapa final'!#REF!),"")</f>
        <v>#REF!</v>
      </c>
      <c r="Y22" s="40" t="e">
        <f>IF(AND('Mapa final'!#REF!="Alta",'Mapa final'!#REF!="Moderado"),CONCATENATE("R7C",'Mapa final'!#REF!),"")</f>
        <v>#REF!</v>
      </c>
      <c r="Z22" s="40" t="e">
        <f>IF(AND('Mapa final'!#REF!="Alta",'Mapa final'!#REF!="Moderado"),CONCATENATE("R7C",'Mapa final'!#REF!),"")</f>
        <v>#REF!</v>
      </c>
      <c r="AA22" s="41" t="e">
        <f>IF(AND('Mapa final'!#REF!="Alta",'Mapa final'!#REF!="Moderado"),CONCATENATE("R7C",'Mapa final'!#REF!),"")</f>
        <v>#REF!</v>
      </c>
      <c r="AB22" s="39" t="e">
        <f>IF(AND('Mapa final'!#REF!="Alta",'Mapa final'!#REF!="Mayor"),CONCATENATE("R7C",'Mapa final'!#REF!),"")</f>
        <v>#REF!</v>
      </c>
      <c r="AC22" s="40" t="e">
        <f>IF(AND('Mapa final'!#REF!="Alta",'Mapa final'!#REF!="Mayor"),CONCATENATE("R7C",'Mapa final'!#REF!),"")</f>
        <v>#REF!</v>
      </c>
      <c r="AD22" s="40" t="e">
        <f>IF(AND('Mapa final'!#REF!="Alta",'Mapa final'!#REF!="Mayor"),CONCATENATE("R7C",'Mapa final'!#REF!),"")</f>
        <v>#REF!</v>
      </c>
      <c r="AE22" s="40" t="e">
        <f>IF(AND('Mapa final'!#REF!="Alta",'Mapa final'!#REF!="Mayor"),CONCATENATE("R7C",'Mapa final'!#REF!),"")</f>
        <v>#REF!</v>
      </c>
      <c r="AF22" s="40" t="e">
        <f>IF(AND('Mapa final'!#REF!="Alta",'Mapa final'!#REF!="Mayor"),CONCATENATE("R7C",'Mapa final'!#REF!),"")</f>
        <v>#REF!</v>
      </c>
      <c r="AG22" s="41" t="e">
        <f>IF(AND('Mapa final'!#REF!="Alta",'Mapa final'!#REF!="Mayor"),CONCATENATE("R7C",'Mapa final'!#REF!),"")</f>
        <v>#REF!</v>
      </c>
      <c r="AH22" s="42" t="e">
        <f>IF(AND('Mapa final'!#REF!="Alta",'Mapa final'!#REF!="Catastrófico"),CONCATENATE("R7C",'Mapa final'!#REF!),"")</f>
        <v>#REF!</v>
      </c>
      <c r="AI22" s="43" t="e">
        <f>IF(AND('Mapa final'!#REF!="Alta",'Mapa final'!#REF!="Catastrófico"),CONCATENATE("R7C",'Mapa final'!#REF!),"")</f>
        <v>#REF!</v>
      </c>
      <c r="AJ22" s="43" t="e">
        <f>IF(AND('Mapa final'!#REF!="Alta",'Mapa final'!#REF!="Catastrófico"),CONCATENATE("R7C",'Mapa final'!#REF!),"")</f>
        <v>#REF!</v>
      </c>
      <c r="AK22" s="43" t="e">
        <f>IF(AND('Mapa final'!#REF!="Alta",'Mapa final'!#REF!="Catastrófico"),CONCATENATE("R7C",'Mapa final'!#REF!),"")</f>
        <v>#REF!</v>
      </c>
      <c r="AL22" s="43" t="e">
        <f>IF(AND('Mapa final'!#REF!="Alta",'Mapa final'!#REF!="Catastrófico"),CONCATENATE("R7C",'Mapa final'!#REF!),"")</f>
        <v>#REF!</v>
      </c>
      <c r="AM22" s="44" t="e">
        <f>IF(AND('Mapa final'!#REF!="Alta",'Mapa final'!#REF!="Catastrófico"),CONCATENATE("R7C",'Mapa final'!#REF!),"")</f>
        <v>#REF!</v>
      </c>
      <c r="AN22" s="1"/>
      <c r="AO22" s="290"/>
      <c r="AP22" s="144"/>
      <c r="AQ22" s="144"/>
      <c r="AR22" s="144"/>
      <c r="AS22" s="144"/>
      <c r="AT22" s="291"/>
      <c r="AU22" s="1"/>
      <c r="AV22" s="1"/>
      <c r="AW22" s="1"/>
      <c r="AX22" s="1"/>
      <c r="AY22" s="1"/>
      <c r="AZ22" s="1"/>
      <c r="BA22" s="1"/>
      <c r="BB22" s="1"/>
      <c r="BC22" s="1"/>
      <c r="BD22" s="1"/>
      <c r="BE22" s="1"/>
      <c r="BF22" s="1"/>
      <c r="BG22" s="1"/>
      <c r="BH22" s="1"/>
      <c r="BI22" s="1"/>
    </row>
    <row r="23" spans="1:61" ht="15" customHeight="1" x14ac:dyDescent="0.25">
      <c r="A23" s="1"/>
      <c r="B23" s="281"/>
      <c r="C23" s="144"/>
      <c r="D23" s="145"/>
      <c r="E23" s="156"/>
      <c r="F23" s="144"/>
      <c r="G23" s="144"/>
      <c r="H23" s="144"/>
      <c r="I23" s="144"/>
      <c r="J23" s="54" t="e">
        <f>IF(AND('Mapa final'!#REF!="Alta",'Mapa final'!#REF!="Leve"),CONCATENATE("R8C",'Mapa final'!#REF!),"")</f>
        <v>#REF!</v>
      </c>
      <c r="K23" s="55" t="e">
        <f>IF(AND('Mapa final'!#REF!="Alta",'Mapa final'!#REF!="Leve"),CONCATENATE("R8C",'Mapa final'!#REF!),"")</f>
        <v>#REF!</v>
      </c>
      <c r="L23" s="55" t="e">
        <f>IF(AND('Mapa final'!#REF!="Alta",'Mapa final'!#REF!="Leve"),CONCATENATE("R8C",'Mapa final'!#REF!),"")</f>
        <v>#REF!</v>
      </c>
      <c r="M23" s="55" t="e">
        <f>IF(AND('Mapa final'!#REF!="Alta",'Mapa final'!#REF!="Leve"),CONCATENATE("R8C",'Mapa final'!#REF!),"")</f>
        <v>#REF!</v>
      </c>
      <c r="N23" s="55" t="e">
        <f>IF(AND('Mapa final'!#REF!="Alta",'Mapa final'!#REF!="Leve"),CONCATENATE("R8C",'Mapa final'!#REF!),"")</f>
        <v>#REF!</v>
      </c>
      <c r="O23" s="56" t="e">
        <f>IF(AND('Mapa final'!#REF!="Alta",'Mapa final'!#REF!="Leve"),CONCATENATE("R8C",'Mapa final'!#REF!),"")</f>
        <v>#REF!</v>
      </c>
      <c r="P23" s="54" t="e">
        <f>IF(AND('Mapa final'!#REF!="Alta",'Mapa final'!#REF!="Menor"),CONCATENATE("R8C",'Mapa final'!#REF!),"")</f>
        <v>#REF!</v>
      </c>
      <c r="Q23" s="55" t="e">
        <f>IF(AND('Mapa final'!#REF!="Alta",'Mapa final'!#REF!="Menor"),CONCATENATE("R8C",'Mapa final'!#REF!),"")</f>
        <v>#REF!</v>
      </c>
      <c r="R23" s="55" t="e">
        <f>IF(AND('Mapa final'!#REF!="Alta",'Mapa final'!#REF!="Menor"),CONCATENATE("R8C",'Mapa final'!#REF!),"")</f>
        <v>#REF!</v>
      </c>
      <c r="S23" s="55" t="e">
        <f>IF(AND('Mapa final'!#REF!="Alta",'Mapa final'!#REF!="Menor"),CONCATENATE("R8C",'Mapa final'!#REF!),"")</f>
        <v>#REF!</v>
      </c>
      <c r="T23" s="55" t="e">
        <f>IF(AND('Mapa final'!#REF!="Alta",'Mapa final'!#REF!="Menor"),CONCATENATE("R8C",'Mapa final'!#REF!),"")</f>
        <v>#REF!</v>
      </c>
      <c r="U23" s="56" t="e">
        <f>IF(AND('Mapa final'!#REF!="Alta",'Mapa final'!#REF!="Menor"),CONCATENATE("R8C",'Mapa final'!#REF!),"")</f>
        <v>#REF!</v>
      </c>
      <c r="V23" s="39" t="e">
        <f>IF(AND('Mapa final'!#REF!="Alta",'Mapa final'!#REF!="Moderado"),CONCATENATE("R8C",'Mapa final'!#REF!),"")</f>
        <v>#REF!</v>
      </c>
      <c r="W23" s="40" t="e">
        <f>IF(AND('Mapa final'!#REF!="Alta",'Mapa final'!#REF!="Moderado"),CONCATENATE("R8C",'Mapa final'!#REF!),"")</f>
        <v>#REF!</v>
      </c>
      <c r="X23" s="40" t="e">
        <f>IF(AND('Mapa final'!#REF!="Alta",'Mapa final'!#REF!="Moderado"),CONCATENATE("R8C",'Mapa final'!#REF!),"")</f>
        <v>#REF!</v>
      </c>
      <c r="Y23" s="40" t="e">
        <f>IF(AND('Mapa final'!#REF!="Alta",'Mapa final'!#REF!="Moderado"),CONCATENATE("R8C",'Mapa final'!#REF!),"")</f>
        <v>#REF!</v>
      </c>
      <c r="Z23" s="40" t="e">
        <f>IF(AND('Mapa final'!#REF!="Alta",'Mapa final'!#REF!="Moderado"),CONCATENATE("R8C",'Mapa final'!#REF!),"")</f>
        <v>#REF!</v>
      </c>
      <c r="AA23" s="41" t="e">
        <f>IF(AND('Mapa final'!#REF!="Alta",'Mapa final'!#REF!="Moderado"),CONCATENATE("R8C",'Mapa final'!#REF!),"")</f>
        <v>#REF!</v>
      </c>
      <c r="AB23" s="39" t="e">
        <f>IF(AND('Mapa final'!#REF!="Alta",'Mapa final'!#REF!="Mayor"),CONCATENATE("R8C",'Mapa final'!#REF!),"")</f>
        <v>#REF!</v>
      </c>
      <c r="AC23" s="40" t="e">
        <f>IF(AND('Mapa final'!#REF!="Alta",'Mapa final'!#REF!="Mayor"),CONCATENATE("R8C",'Mapa final'!#REF!),"")</f>
        <v>#REF!</v>
      </c>
      <c r="AD23" s="40" t="e">
        <f>IF(AND('Mapa final'!#REF!="Alta",'Mapa final'!#REF!="Mayor"),CONCATENATE("R8C",'Mapa final'!#REF!),"")</f>
        <v>#REF!</v>
      </c>
      <c r="AE23" s="40" t="e">
        <f>IF(AND('Mapa final'!#REF!="Alta",'Mapa final'!#REF!="Mayor"),CONCATENATE("R8C",'Mapa final'!#REF!),"")</f>
        <v>#REF!</v>
      </c>
      <c r="AF23" s="40" t="e">
        <f>IF(AND('Mapa final'!#REF!="Alta",'Mapa final'!#REF!="Mayor"),CONCATENATE("R8C",'Mapa final'!#REF!),"")</f>
        <v>#REF!</v>
      </c>
      <c r="AG23" s="41" t="e">
        <f>IF(AND('Mapa final'!#REF!="Alta",'Mapa final'!#REF!="Mayor"),CONCATENATE("R8C",'Mapa final'!#REF!),"")</f>
        <v>#REF!</v>
      </c>
      <c r="AH23" s="42" t="e">
        <f>IF(AND('Mapa final'!#REF!="Alta",'Mapa final'!#REF!="Catastrófico"),CONCATENATE("R8C",'Mapa final'!#REF!),"")</f>
        <v>#REF!</v>
      </c>
      <c r="AI23" s="43" t="e">
        <f>IF(AND('Mapa final'!#REF!="Alta",'Mapa final'!#REF!="Catastrófico"),CONCATENATE("R8C",'Mapa final'!#REF!),"")</f>
        <v>#REF!</v>
      </c>
      <c r="AJ23" s="43" t="e">
        <f>IF(AND('Mapa final'!#REF!="Alta",'Mapa final'!#REF!="Catastrófico"),CONCATENATE("R8C",'Mapa final'!#REF!),"")</f>
        <v>#REF!</v>
      </c>
      <c r="AK23" s="43" t="e">
        <f>IF(AND('Mapa final'!#REF!="Alta",'Mapa final'!#REF!="Catastrófico"),CONCATENATE("R8C",'Mapa final'!#REF!),"")</f>
        <v>#REF!</v>
      </c>
      <c r="AL23" s="43" t="e">
        <f>IF(AND('Mapa final'!#REF!="Alta",'Mapa final'!#REF!="Catastrófico"),CONCATENATE("R8C",'Mapa final'!#REF!),"")</f>
        <v>#REF!</v>
      </c>
      <c r="AM23" s="44" t="e">
        <f>IF(AND('Mapa final'!#REF!="Alta",'Mapa final'!#REF!="Catastrófico"),CONCATENATE("R8C",'Mapa final'!#REF!),"")</f>
        <v>#REF!</v>
      </c>
      <c r="AN23" s="1"/>
      <c r="AO23" s="290"/>
      <c r="AP23" s="144"/>
      <c r="AQ23" s="144"/>
      <c r="AR23" s="144"/>
      <c r="AS23" s="144"/>
      <c r="AT23" s="291"/>
      <c r="AU23" s="1"/>
      <c r="AV23" s="1"/>
      <c r="AW23" s="1"/>
      <c r="AX23" s="1"/>
      <c r="AY23" s="1"/>
      <c r="AZ23" s="1"/>
      <c r="BA23" s="1"/>
      <c r="BB23" s="1"/>
      <c r="BC23" s="1"/>
      <c r="BD23" s="1"/>
      <c r="BE23" s="1"/>
      <c r="BF23" s="1"/>
      <c r="BG23" s="1"/>
      <c r="BH23" s="1"/>
      <c r="BI23" s="1"/>
    </row>
    <row r="24" spans="1:61" ht="15" customHeight="1" x14ac:dyDescent="0.25">
      <c r="A24" s="1"/>
      <c r="B24" s="281"/>
      <c r="C24" s="144"/>
      <c r="D24" s="145"/>
      <c r="E24" s="156"/>
      <c r="F24" s="144"/>
      <c r="G24" s="144"/>
      <c r="H24" s="144"/>
      <c r="I24" s="144"/>
      <c r="J24" s="54" t="e">
        <f>IF(AND('Mapa final'!#REF!="Alta",'Mapa final'!#REF!="Leve"),CONCATENATE("R9C",'Mapa final'!#REF!),"")</f>
        <v>#REF!</v>
      </c>
      <c r="K24" s="55" t="e">
        <f>IF(AND('Mapa final'!#REF!="Alta",'Mapa final'!#REF!="Leve"),CONCATENATE("R9C",'Mapa final'!#REF!),"")</f>
        <v>#REF!</v>
      </c>
      <c r="L24" s="55" t="e">
        <f>IF(AND('Mapa final'!#REF!="Alta",'Mapa final'!#REF!="Leve"),CONCATENATE("R9C",'Mapa final'!#REF!),"")</f>
        <v>#REF!</v>
      </c>
      <c r="M24" s="55" t="e">
        <f>IF(AND('Mapa final'!#REF!="Alta",'Mapa final'!#REF!="Leve"),CONCATENATE("R9C",'Mapa final'!#REF!),"")</f>
        <v>#REF!</v>
      </c>
      <c r="N24" s="55" t="e">
        <f>IF(AND('Mapa final'!#REF!="Alta",'Mapa final'!#REF!="Leve"),CONCATENATE("R9C",'Mapa final'!#REF!),"")</f>
        <v>#REF!</v>
      </c>
      <c r="O24" s="56" t="e">
        <f>IF(AND('Mapa final'!#REF!="Alta",'Mapa final'!#REF!="Leve"),CONCATENATE("R9C",'Mapa final'!#REF!),"")</f>
        <v>#REF!</v>
      </c>
      <c r="P24" s="54" t="e">
        <f>IF(AND('Mapa final'!#REF!="Alta",'Mapa final'!#REF!="Menor"),CONCATENATE("R9C",'Mapa final'!#REF!),"")</f>
        <v>#REF!</v>
      </c>
      <c r="Q24" s="55" t="e">
        <f>IF(AND('Mapa final'!#REF!="Alta",'Mapa final'!#REF!="Menor"),CONCATENATE("R9C",'Mapa final'!#REF!),"")</f>
        <v>#REF!</v>
      </c>
      <c r="R24" s="55" t="e">
        <f>IF(AND('Mapa final'!#REF!="Alta",'Mapa final'!#REF!="Menor"),CONCATENATE("R9C",'Mapa final'!#REF!),"")</f>
        <v>#REF!</v>
      </c>
      <c r="S24" s="55" t="e">
        <f>IF(AND('Mapa final'!#REF!="Alta",'Mapa final'!#REF!="Menor"),CONCATENATE("R9C",'Mapa final'!#REF!),"")</f>
        <v>#REF!</v>
      </c>
      <c r="T24" s="55" t="e">
        <f>IF(AND('Mapa final'!#REF!="Alta",'Mapa final'!#REF!="Menor"),CONCATENATE("R9C",'Mapa final'!#REF!),"")</f>
        <v>#REF!</v>
      </c>
      <c r="U24" s="56" t="e">
        <f>IF(AND('Mapa final'!#REF!="Alta",'Mapa final'!#REF!="Menor"),CONCATENATE("R9C",'Mapa final'!#REF!),"")</f>
        <v>#REF!</v>
      </c>
      <c r="V24" s="39" t="e">
        <f>IF(AND('Mapa final'!#REF!="Alta",'Mapa final'!#REF!="Moderado"),CONCATENATE("R9C",'Mapa final'!#REF!),"")</f>
        <v>#REF!</v>
      </c>
      <c r="W24" s="40" t="e">
        <f>IF(AND('Mapa final'!#REF!="Alta",'Mapa final'!#REF!="Moderado"),CONCATENATE("R9C",'Mapa final'!#REF!),"")</f>
        <v>#REF!</v>
      </c>
      <c r="X24" s="40" t="e">
        <f>IF(AND('Mapa final'!#REF!="Alta",'Mapa final'!#REF!="Moderado"),CONCATENATE("R9C",'Mapa final'!#REF!),"")</f>
        <v>#REF!</v>
      </c>
      <c r="Y24" s="40" t="e">
        <f>IF(AND('Mapa final'!#REF!="Alta",'Mapa final'!#REF!="Moderado"),CONCATENATE("R9C",'Mapa final'!#REF!),"")</f>
        <v>#REF!</v>
      </c>
      <c r="Z24" s="40" t="e">
        <f>IF(AND('Mapa final'!#REF!="Alta",'Mapa final'!#REF!="Moderado"),CONCATENATE("R9C",'Mapa final'!#REF!),"")</f>
        <v>#REF!</v>
      </c>
      <c r="AA24" s="41" t="e">
        <f>IF(AND('Mapa final'!#REF!="Alta",'Mapa final'!#REF!="Moderado"),CONCATENATE("R9C",'Mapa final'!#REF!),"")</f>
        <v>#REF!</v>
      </c>
      <c r="AB24" s="39" t="e">
        <f>IF(AND('Mapa final'!#REF!="Alta",'Mapa final'!#REF!="Mayor"),CONCATENATE("R9C",'Mapa final'!#REF!),"")</f>
        <v>#REF!</v>
      </c>
      <c r="AC24" s="40" t="e">
        <f>IF(AND('Mapa final'!#REF!="Alta",'Mapa final'!#REF!="Mayor"),CONCATENATE("R9C",'Mapa final'!#REF!),"")</f>
        <v>#REF!</v>
      </c>
      <c r="AD24" s="40" t="e">
        <f>IF(AND('Mapa final'!#REF!="Alta",'Mapa final'!#REF!="Mayor"),CONCATENATE("R9C",'Mapa final'!#REF!),"")</f>
        <v>#REF!</v>
      </c>
      <c r="AE24" s="40" t="e">
        <f>IF(AND('Mapa final'!#REF!="Alta",'Mapa final'!#REF!="Mayor"),CONCATENATE("R9C",'Mapa final'!#REF!),"")</f>
        <v>#REF!</v>
      </c>
      <c r="AF24" s="40" t="e">
        <f>IF(AND('Mapa final'!#REF!="Alta",'Mapa final'!#REF!="Mayor"),CONCATENATE("R9C",'Mapa final'!#REF!),"")</f>
        <v>#REF!</v>
      </c>
      <c r="AG24" s="41" t="e">
        <f>IF(AND('Mapa final'!#REF!="Alta",'Mapa final'!#REF!="Mayor"),CONCATENATE("R9C",'Mapa final'!#REF!),"")</f>
        <v>#REF!</v>
      </c>
      <c r="AH24" s="42" t="e">
        <f>IF(AND('Mapa final'!#REF!="Alta",'Mapa final'!#REF!="Catastrófico"),CONCATENATE("R9C",'Mapa final'!#REF!),"")</f>
        <v>#REF!</v>
      </c>
      <c r="AI24" s="43" t="e">
        <f>IF(AND('Mapa final'!#REF!="Alta",'Mapa final'!#REF!="Catastrófico"),CONCATENATE("R9C",'Mapa final'!#REF!),"")</f>
        <v>#REF!</v>
      </c>
      <c r="AJ24" s="43" t="e">
        <f>IF(AND('Mapa final'!#REF!="Alta",'Mapa final'!#REF!="Catastrófico"),CONCATENATE("R9C",'Mapa final'!#REF!),"")</f>
        <v>#REF!</v>
      </c>
      <c r="AK24" s="43" t="e">
        <f>IF(AND('Mapa final'!#REF!="Alta",'Mapa final'!#REF!="Catastrófico"),CONCATENATE("R9C",'Mapa final'!#REF!),"")</f>
        <v>#REF!</v>
      </c>
      <c r="AL24" s="43" t="e">
        <f>IF(AND('Mapa final'!#REF!="Alta",'Mapa final'!#REF!="Catastrófico"),CONCATENATE("R9C",'Mapa final'!#REF!),"")</f>
        <v>#REF!</v>
      </c>
      <c r="AM24" s="44" t="e">
        <f>IF(AND('Mapa final'!#REF!="Alta",'Mapa final'!#REF!="Catastrófico"),CONCATENATE("R9C",'Mapa final'!#REF!),"")</f>
        <v>#REF!</v>
      </c>
      <c r="AN24" s="1"/>
      <c r="AO24" s="290"/>
      <c r="AP24" s="144"/>
      <c r="AQ24" s="144"/>
      <c r="AR24" s="144"/>
      <c r="AS24" s="144"/>
      <c r="AT24" s="291"/>
      <c r="AU24" s="1"/>
      <c r="AV24" s="1"/>
      <c r="AW24" s="1"/>
      <c r="AX24" s="1"/>
      <c r="AY24" s="1"/>
      <c r="AZ24" s="1"/>
      <c r="BA24" s="1"/>
      <c r="BB24" s="1"/>
      <c r="BC24" s="1"/>
      <c r="BD24" s="1"/>
      <c r="BE24" s="1"/>
      <c r="BF24" s="1"/>
      <c r="BG24" s="1"/>
      <c r="BH24" s="1"/>
      <c r="BI24" s="1"/>
    </row>
    <row r="25" spans="1:61" ht="15.75" customHeight="1" x14ac:dyDescent="0.25">
      <c r="A25" s="1"/>
      <c r="B25" s="281"/>
      <c r="C25" s="144"/>
      <c r="D25" s="145"/>
      <c r="E25" s="271"/>
      <c r="F25" s="272"/>
      <c r="G25" s="272"/>
      <c r="H25" s="272"/>
      <c r="I25" s="272"/>
      <c r="J25" s="57" t="e">
        <f>IF(AND('Mapa final'!#REF!="Alta",'Mapa final'!#REF!="Leve"),CONCATENATE("R10C",'Mapa final'!#REF!),"")</f>
        <v>#REF!</v>
      </c>
      <c r="K25" s="58" t="e">
        <f>IF(AND('Mapa final'!#REF!="Alta",'Mapa final'!#REF!="Leve"),CONCATENATE("R10C",'Mapa final'!#REF!),"")</f>
        <v>#REF!</v>
      </c>
      <c r="L25" s="58" t="e">
        <f>IF(AND('Mapa final'!#REF!="Alta",'Mapa final'!#REF!="Leve"),CONCATENATE("R10C",'Mapa final'!#REF!),"")</f>
        <v>#REF!</v>
      </c>
      <c r="M25" s="58" t="e">
        <f>IF(AND('Mapa final'!#REF!="Alta",'Mapa final'!#REF!="Leve"),CONCATENATE("R10C",'Mapa final'!#REF!),"")</f>
        <v>#REF!</v>
      </c>
      <c r="N25" s="58" t="e">
        <f>IF(AND('Mapa final'!#REF!="Alta",'Mapa final'!#REF!="Leve"),CONCATENATE("R10C",'Mapa final'!#REF!),"")</f>
        <v>#REF!</v>
      </c>
      <c r="O25" s="59" t="e">
        <f>IF(AND('Mapa final'!#REF!="Alta",'Mapa final'!#REF!="Leve"),CONCATENATE("R10C",'Mapa final'!#REF!),"")</f>
        <v>#REF!</v>
      </c>
      <c r="P25" s="57" t="e">
        <f>IF(AND('Mapa final'!#REF!="Alta",'Mapa final'!#REF!="Menor"),CONCATENATE("R10C",'Mapa final'!#REF!),"")</f>
        <v>#REF!</v>
      </c>
      <c r="Q25" s="58" t="e">
        <f>IF(AND('Mapa final'!#REF!="Alta",'Mapa final'!#REF!="Menor"),CONCATENATE("R10C",'Mapa final'!#REF!),"")</f>
        <v>#REF!</v>
      </c>
      <c r="R25" s="58" t="e">
        <f>IF(AND('Mapa final'!#REF!="Alta",'Mapa final'!#REF!="Menor"),CONCATENATE("R10C",'Mapa final'!#REF!),"")</f>
        <v>#REF!</v>
      </c>
      <c r="S25" s="58" t="e">
        <f>IF(AND('Mapa final'!#REF!="Alta",'Mapa final'!#REF!="Menor"),CONCATENATE("R10C",'Mapa final'!#REF!),"")</f>
        <v>#REF!</v>
      </c>
      <c r="T25" s="58" t="e">
        <f>IF(AND('Mapa final'!#REF!="Alta",'Mapa final'!#REF!="Menor"),CONCATENATE("R10C",'Mapa final'!#REF!),"")</f>
        <v>#REF!</v>
      </c>
      <c r="U25" s="59" t="e">
        <f>IF(AND('Mapa final'!#REF!="Alta",'Mapa final'!#REF!="Menor"),CONCATENATE("R10C",'Mapa final'!#REF!),"")</f>
        <v>#REF!</v>
      </c>
      <c r="V25" s="45" t="e">
        <f>IF(AND('Mapa final'!#REF!="Alta",'Mapa final'!#REF!="Moderado"),CONCATENATE("R10C",'Mapa final'!#REF!),"")</f>
        <v>#REF!</v>
      </c>
      <c r="W25" s="46" t="e">
        <f>IF(AND('Mapa final'!#REF!="Alta",'Mapa final'!#REF!="Moderado"),CONCATENATE("R10C",'Mapa final'!#REF!),"")</f>
        <v>#REF!</v>
      </c>
      <c r="X25" s="46" t="e">
        <f>IF(AND('Mapa final'!#REF!="Alta",'Mapa final'!#REF!="Moderado"),CONCATENATE("R10C",'Mapa final'!#REF!),"")</f>
        <v>#REF!</v>
      </c>
      <c r="Y25" s="46" t="e">
        <f>IF(AND('Mapa final'!#REF!="Alta",'Mapa final'!#REF!="Moderado"),CONCATENATE("R10C",'Mapa final'!#REF!),"")</f>
        <v>#REF!</v>
      </c>
      <c r="Z25" s="46" t="e">
        <f>IF(AND('Mapa final'!#REF!="Alta",'Mapa final'!#REF!="Moderado"),CONCATENATE("R10C",'Mapa final'!#REF!),"")</f>
        <v>#REF!</v>
      </c>
      <c r="AA25" s="47" t="e">
        <f>IF(AND('Mapa final'!#REF!="Alta",'Mapa final'!#REF!="Moderado"),CONCATENATE("R10C",'Mapa final'!#REF!),"")</f>
        <v>#REF!</v>
      </c>
      <c r="AB25" s="45" t="e">
        <f>IF(AND('Mapa final'!#REF!="Alta",'Mapa final'!#REF!="Mayor"),CONCATENATE("R10C",'Mapa final'!#REF!),"")</f>
        <v>#REF!</v>
      </c>
      <c r="AC25" s="46" t="e">
        <f>IF(AND('Mapa final'!#REF!="Alta",'Mapa final'!#REF!="Mayor"),CONCATENATE("R10C",'Mapa final'!#REF!),"")</f>
        <v>#REF!</v>
      </c>
      <c r="AD25" s="46" t="e">
        <f>IF(AND('Mapa final'!#REF!="Alta",'Mapa final'!#REF!="Mayor"),CONCATENATE("R10C",'Mapa final'!#REF!),"")</f>
        <v>#REF!</v>
      </c>
      <c r="AE25" s="46" t="e">
        <f>IF(AND('Mapa final'!#REF!="Alta",'Mapa final'!#REF!="Mayor"),CONCATENATE("R10C",'Mapa final'!#REF!),"")</f>
        <v>#REF!</v>
      </c>
      <c r="AF25" s="46" t="e">
        <f>IF(AND('Mapa final'!#REF!="Alta",'Mapa final'!#REF!="Mayor"),CONCATENATE("R10C",'Mapa final'!#REF!),"")</f>
        <v>#REF!</v>
      </c>
      <c r="AG25" s="47" t="e">
        <f>IF(AND('Mapa final'!#REF!="Alta",'Mapa final'!#REF!="Mayor"),CONCATENATE("R10C",'Mapa final'!#REF!),"")</f>
        <v>#REF!</v>
      </c>
      <c r="AH25" s="48" t="e">
        <f>IF(AND('Mapa final'!#REF!="Alta",'Mapa final'!#REF!="Catastrófico"),CONCATENATE("R10C",'Mapa final'!#REF!),"")</f>
        <v>#REF!</v>
      </c>
      <c r="AI25" s="49" t="e">
        <f>IF(AND('Mapa final'!#REF!="Alta",'Mapa final'!#REF!="Catastrófico"),CONCATENATE("R10C",'Mapa final'!#REF!),"")</f>
        <v>#REF!</v>
      </c>
      <c r="AJ25" s="49" t="e">
        <f>IF(AND('Mapa final'!#REF!="Alta",'Mapa final'!#REF!="Catastrófico"),CONCATENATE("R10C",'Mapa final'!#REF!),"")</f>
        <v>#REF!</v>
      </c>
      <c r="AK25" s="49" t="e">
        <f>IF(AND('Mapa final'!#REF!="Alta",'Mapa final'!#REF!="Catastrófico"),CONCATENATE("R10C",'Mapa final'!#REF!),"")</f>
        <v>#REF!</v>
      </c>
      <c r="AL25" s="49" t="e">
        <f>IF(AND('Mapa final'!#REF!="Alta",'Mapa final'!#REF!="Catastrófico"),CONCATENATE("R10C",'Mapa final'!#REF!),"")</f>
        <v>#REF!</v>
      </c>
      <c r="AM25" s="50" t="e">
        <f>IF(AND('Mapa final'!#REF!="Alta",'Mapa final'!#REF!="Catastrófico"),CONCATENATE("R10C",'Mapa final'!#REF!),"")</f>
        <v>#REF!</v>
      </c>
      <c r="AN25" s="1"/>
      <c r="AO25" s="292"/>
      <c r="AP25" s="293"/>
      <c r="AQ25" s="293"/>
      <c r="AR25" s="293"/>
      <c r="AS25" s="293"/>
      <c r="AT25" s="294"/>
      <c r="AU25" s="1"/>
      <c r="AV25" s="1"/>
      <c r="AW25" s="1"/>
      <c r="AX25" s="1"/>
      <c r="AY25" s="1"/>
      <c r="AZ25" s="1"/>
      <c r="BA25" s="1"/>
      <c r="BB25" s="1"/>
      <c r="BC25" s="1"/>
      <c r="BD25" s="1"/>
      <c r="BE25" s="1"/>
      <c r="BF25" s="1"/>
      <c r="BG25" s="1"/>
      <c r="BH25" s="1"/>
      <c r="BI25" s="1"/>
    </row>
    <row r="26" spans="1:61" ht="15" customHeight="1" x14ac:dyDescent="0.25">
      <c r="A26" s="1"/>
      <c r="B26" s="281"/>
      <c r="C26" s="144"/>
      <c r="D26" s="145"/>
      <c r="E26" s="299" t="s">
        <v>122</v>
      </c>
      <c r="F26" s="270"/>
      <c r="G26" s="270"/>
      <c r="H26" s="270"/>
      <c r="I26" s="256"/>
      <c r="J26" s="51" t="str">
        <f>IF(AND('Mapa final'!$Y$13="Media",'Mapa final'!$AA$13="Leve"),CONCATENATE("R1C",'Mapa final'!$O$13),"")</f>
        <v/>
      </c>
      <c r="K26" s="52" t="str">
        <f>IF(AND('Mapa final'!$Y$14="Media",'Mapa final'!$AA$14="Leve"),CONCATENATE("R1C",'Mapa final'!$O$14),"")</f>
        <v/>
      </c>
      <c r="L26" s="52" t="str">
        <f>IF(AND('Mapa final'!$Y$15="Media",'Mapa final'!$AA$15="Leve"),CONCATENATE("R1C",'Mapa final'!$O$15),"")</f>
        <v/>
      </c>
      <c r="M26" s="52" t="str">
        <f>IF(AND('Mapa final'!$Y$16="Media",'Mapa final'!$AA$16="Leve"),CONCATENATE("R1C",'Mapa final'!$O$16),"")</f>
        <v/>
      </c>
      <c r="N26" s="52" t="str">
        <f>IF(AND('Mapa final'!$Y$17="Media",'Mapa final'!$AA$17="Leve"),CONCATENATE("R1C",'Mapa final'!$O$17),"")</f>
        <v/>
      </c>
      <c r="O26" s="53" t="str">
        <f>IF(AND('Mapa final'!$Y$18="Media",'Mapa final'!$AA$18="Leve"),CONCATENATE("R1C",'Mapa final'!$O$18),"")</f>
        <v/>
      </c>
      <c r="P26" s="51" t="str">
        <f>IF(AND('Mapa final'!$Y$13="Media",'Mapa final'!$AA$13="Menor"),CONCATENATE("R1C",'Mapa final'!$O$13),"")</f>
        <v/>
      </c>
      <c r="Q26" s="52" t="str">
        <f>IF(AND('Mapa final'!$Y$14="Media",'Mapa final'!$AA$14="Menor"),CONCATENATE("R1C",'Mapa final'!$O$14),"")</f>
        <v/>
      </c>
      <c r="R26" s="52" t="str">
        <f>IF(AND('Mapa final'!$Y$15="Media",'Mapa final'!$AA$15="Menor"),CONCATENATE("R1C",'Mapa final'!$O$15),"")</f>
        <v/>
      </c>
      <c r="S26" s="52" t="str">
        <f>IF(AND('Mapa final'!$Y$16="Media",'Mapa final'!$AA$16="Menor"),CONCATENATE("R1C",'Mapa final'!$O$16),"")</f>
        <v/>
      </c>
      <c r="T26" s="52" t="str">
        <f>IF(AND('Mapa final'!$Y$17="Media",'Mapa final'!$AA$17="Menor"),CONCATENATE("R1C",'Mapa final'!$O$17),"")</f>
        <v/>
      </c>
      <c r="U26" s="53" t="str">
        <f>IF(AND('Mapa final'!$Y$18="Media",'Mapa final'!$AA$18="Menor"),CONCATENATE("R1C",'Mapa final'!$O$18),"")</f>
        <v/>
      </c>
      <c r="V26" s="51" t="str">
        <f>IF(AND('Mapa final'!$Y$13="Media",'Mapa final'!$AA$13="Moderado"),CONCATENATE("R1C",'Mapa final'!$O$13),"")</f>
        <v/>
      </c>
      <c r="W26" s="52" t="str">
        <f>IF(AND('Mapa final'!$Y$14="Media",'Mapa final'!$AA$14="Moderado"),CONCATENATE("R1C",'Mapa final'!$O$14),"")</f>
        <v/>
      </c>
      <c r="X26" s="52" t="str">
        <f>IF(AND('Mapa final'!$Y$15="Media",'Mapa final'!$AA$15="Moderado"),CONCATENATE("R1C",'Mapa final'!$O$15),"")</f>
        <v/>
      </c>
      <c r="Y26" s="52" t="str">
        <f>IF(AND('Mapa final'!$Y$16="Media",'Mapa final'!$AA$16="Moderado"),CONCATENATE("R1C",'Mapa final'!$O$16),"")</f>
        <v/>
      </c>
      <c r="Z26" s="52" t="str">
        <f>IF(AND('Mapa final'!$Y$17="Media",'Mapa final'!$AA$17="Moderado"),CONCATENATE("R1C",'Mapa final'!$O$17),"")</f>
        <v/>
      </c>
      <c r="AA26" s="53" t="str">
        <f>IF(AND('Mapa final'!$Y$18="Media",'Mapa final'!$AA$18="Moderado"),CONCATENATE("R1C",'Mapa final'!$O$18),"")</f>
        <v/>
      </c>
      <c r="AB26" s="33" t="str">
        <f>IF(AND('Mapa final'!$Y$13="Media",'Mapa final'!$AA$13="Mayor"),CONCATENATE("R1C",'Mapa final'!$O$13),"")</f>
        <v/>
      </c>
      <c r="AC26" s="34" t="str">
        <f>IF(AND('Mapa final'!$Y$14="Media",'Mapa final'!$AA$14="Mayor"),CONCATENATE("R1C",'Mapa final'!$O$14),"")</f>
        <v/>
      </c>
      <c r="AD26" s="34" t="str">
        <f>IF(AND('Mapa final'!$Y$15="Media",'Mapa final'!$AA$15="Mayor"),CONCATENATE("R1C",'Mapa final'!$O$15),"")</f>
        <v/>
      </c>
      <c r="AE26" s="34" t="str">
        <f>IF(AND('Mapa final'!$Y$16="Media",'Mapa final'!$AA$16="Mayor"),CONCATENATE("R1C",'Mapa final'!$O$16),"")</f>
        <v/>
      </c>
      <c r="AF26" s="34" t="str">
        <f>IF(AND('Mapa final'!$Y$17="Media",'Mapa final'!$AA$17="Mayor"),CONCATENATE("R1C",'Mapa final'!$O$17),"")</f>
        <v/>
      </c>
      <c r="AG26" s="35" t="str">
        <f>IF(AND('Mapa final'!$Y$18="Media",'Mapa final'!$AA$18="Mayor"),CONCATENATE("R1C",'Mapa final'!$O$18),"")</f>
        <v/>
      </c>
      <c r="AH26" s="36" t="str">
        <f>IF(AND('Mapa final'!$Y$13="Media",'Mapa final'!$AA$13="Catastrófico"),CONCATENATE("R1C",'Mapa final'!$O$13),"")</f>
        <v/>
      </c>
      <c r="AI26" s="37" t="str">
        <f>IF(AND('Mapa final'!$Y$14="Media",'Mapa final'!$AA$14="Catastrófico"),CONCATENATE("R1C",'Mapa final'!$O$14),"")</f>
        <v/>
      </c>
      <c r="AJ26" s="37" t="str">
        <f>IF(AND('Mapa final'!$Y$15="Media",'Mapa final'!$AA$15="Catastrófico"),CONCATENATE("R1C",'Mapa final'!$O$15),"")</f>
        <v/>
      </c>
      <c r="AK26" s="37" t="str">
        <f>IF(AND('Mapa final'!$Y$16="Media",'Mapa final'!$AA$16="Catastrófico"),CONCATENATE("R1C",'Mapa final'!$O$16),"")</f>
        <v/>
      </c>
      <c r="AL26" s="37" t="str">
        <f>IF(AND('Mapa final'!$Y$17="Media",'Mapa final'!$AA$17="Catastrófico"),CONCATENATE("R1C",'Mapa final'!$O$17),"")</f>
        <v/>
      </c>
      <c r="AM26" s="38" t="str">
        <f>IF(AND('Mapa final'!$Y$18="Media",'Mapa final'!$AA$18="Catastrófico"),CONCATENATE("R1C",'Mapa final'!$O$18),"")</f>
        <v/>
      </c>
      <c r="AN26" s="1"/>
      <c r="AO26" s="301" t="s">
        <v>123</v>
      </c>
      <c r="AP26" s="288"/>
      <c r="AQ26" s="288"/>
      <c r="AR26" s="288"/>
      <c r="AS26" s="288"/>
      <c r="AT26" s="289"/>
      <c r="AU26" s="1"/>
      <c r="AV26" s="1"/>
      <c r="AW26" s="1"/>
      <c r="AX26" s="1"/>
      <c r="AY26" s="1"/>
      <c r="AZ26" s="1"/>
      <c r="BA26" s="1"/>
      <c r="BB26" s="1"/>
      <c r="BC26" s="1"/>
      <c r="BD26" s="1"/>
      <c r="BE26" s="1"/>
      <c r="BF26" s="1"/>
      <c r="BG26" s="1"/>
      <c r="BH26" s="1"/>
      <c r="BI26" s="1"/>
    </row>
    <row r="27" spans="1:61" ht="15" customHeight="1" x14ac:dyDescent="0.25">
      <c r="A27" s="1"/>
      <c r="B27" s="281"/>
      <c r="C27" s="144"/>
      <c r="D27" s="145"/>
      <c r="E27" s="156"/>
      <c r="F27" s="144"/>
      <c r="G27" s="144"/>
      <c r="H27" s="144"/>
      <c r="I27" s="145"/>
      <c r="J27" s="54" t="str">
        <f>IF(AND('Mapa final'!$Y$19="Media",'Mapa final'!$AA$19="Leve"),CONCATENATE("R2C",'Mapa final'!$O$19),"")</f>
        <v/>
      </c>
      <c r="K27" s="55" t="str">
        <f>IF(AND('Mapa final'!$Y$20="Media",'Mapa final'!$AA$20="Leve"),CONCATENATE("R2C",'Mapa final'!$O$20),"")</f>
        <v/>
      </c>
      <c r="L27" s="55" t="str">
        <f>IF(AND('Mapa final'!$Y$21="Media",'Mapa final'!$AA$21="Leve"),CONCATENATE("R2C",'Mapa final'!$O$21),"")</f>
        <v/>
      </c>
      <c r="M27" s="55" t="str">
        <f>IF(AND('Mapa final'!$Y$22="Media",'Mapa final'!$AA$22="Leve"),CONCATENATE("R2C",'Mapa final'!$O$22),"")</f>
        <v/>
      </c>
      <c r="N27" s="55" t="str">
        <f>IF(AND('Mapa final'!$Y$23="Media",'Mapa final'!$AA$23="Leve"),CONCATENATE("R2C",'Mapa final'!$O$23),"")</f>
        <v/>
      </c>
      <c r="O27" s="56" t="str">
        <f>IF(AND('Mapa final'!$Y$24="Media",'Mapa final'!$AA$24="Leve"),CONCATENATE("R2C",'Mapa final'!$O$24),"")</f>
        <v/>
      </c>
      <c r="P27" s="54" t="str">
        <f>IF(AND('Mapa final'!$Y$19="Media",'Mapa final'!$AA$19="Menor"),CONCATENATE("R2C",'Mapa final'!$O$19),"")</f>
        <v/>
      </c>
      <c r="Q27" s="55" t="str">
        <f>IF(AND('Mapa final'!$Y$20="Media",'Mapa final'!$AA$20="Menor"),CONCATENATE("R2C",'Mapa final'!$O$20),"")</f>
        <v/>
      </c>
      <c r="R27" s="55" t="str">
        <f>IF(AND('Mapa final'!$Y$21="Media",'Mapa final'!$AA$21="Menor"),CONCATENATE("R2C",'Mapa final'!$O$21),"")</f>
        <v/>
      </c>
      <c r="S27" s="55" t="str">
        <f>IF(AND('Mapa final'!$Y$22="Media",'Mapa final'!$AA$22="Menor"),CONCATENATE("R2C",'Mapa final'!$O$22),"")</f>
        <v/>
      </c>
      <c r="T27" s="55" t="str">
        <f>IF(AND('Mapa final'!$Y$23="Media",'Mapa final'!$AA$23="Menor"),CONCATENATE("R2C",'Mapa final'!$O$23),"")</f>
        <v/>
      </c>
      <c r="U27" s="56" t="str">
        <f>IF(AND('Mapa final'!$Y$24="Media",'Mapa final'!$AA$24="Menor"),CONCATENATE("R2C",'Mapa final'!$O$24),"")</f>
        <v/>
      </c>
      <c r="V27" s="54" t="str">
        <f>IF(AND('Mapa final'!$Y$19="Media",'Mapa final'!$AA$19="Moderado"),CONCATENATE("R2C",'Mapa final'!$O$19),"")</f>
        <v/>
      </c>
      <c r="W27" s="55" t="str">
        <f>IF(AND('Mapa final'!$Y$20="Media",'Mapa final'!$AA$20="Moderado"),CONCATENATE("R2C",'Mapa final'!$O$20),"")</f>
        <v/>
      </c>
      <c r="X27" s="55" t="str">
        <f>IF(AND('Mapa final'!$Y$21="Media",'Mapa final'!$AA$21="Moderado"),CONCATENATE("R2C",'Mapa final'!$O$21),"")</f>
        <v/>
      </c>
      <c r="Y27" s="55" t="str">
        <f>IF(AND('Mapa final'!$Y$22="Media",'Mapa final'!$AA$22="Moderado"),CONCATENATE("R2C",'Mapa final'!$O$22),"")</f>
        <v/>
      </c>
      <c r="Z27" s="55" t="str">
        <f>IF(AND('Mapa final'!$Y$23="Media",'Mapa final'!$AA$23="Moderado"),CONCATENATE("R2C",'Mapa final'!$O$23),"")</f>
        <v/>
      </c>
      <c r="AA27" s="56" t="str">
        <f>IF(AND('Mapa final'!$Y$24="Media",'Mapa final'!$AA$24="Moderado"),CONCATENATE("R2C",'Mapa final'!$O$24),"")</f>
        <v/>
      </c>
      <c r="AB27" s="39" t="str">
        <f>IF(AND('Mapa final'!$Y$19="Media",'Mapa final'!$AA$19="Mayor"),CONCATENATE("R2C",'Mapa final'!$O$19),"")</f>
        <v/>
      </c>
      <c r="AC27" s="40" t="str">
        <f>IF(AND('Mapa final'!$Y$20="Media",'Mapa final'!$AA$20="Mayor"),CONCATENATE("R2C",'Mapa final'!$O$20),"")</f>
        <v/>
      </c>
      <c r="AD27" s="40" t="str">
        <f>IF(AND('Mapa final'!$Y$21="Media",'Mapa final'!$AA$21="Mayor"),CONCATENATE("R2C",'Mapa final'!$O$21),"")</f>
        <v/>
      </c>
      <c r="AE27" s="40" t="str">
        <f>IF(AND('Mapa final'!$Y$22="Media",'Mapa final'!$AA$22="Mayor"),CONCATENATE("R2C",'Mapa final'!$O$22),"")</f>
        <v/>
      </c>
      <c r="AF27" s="40" t="str">
        <f>IF(AND('Mapa final'!$Y$23="Media",'Mapa final'!$AA$23="Mayor"),CONCATENATE("R2C",'Mapa final'!$O$23),"")</f>
        <v/>
      </c>
      <c r="AG27" s="41" t="str">
        <f>IF(AND('Mapa final'!$Y$24="Media",'Mapa final'!$AA$24="Mayor"),CONCATENATE("R2C",'Mapa final'!$O$24),"")</f>
        <v/>
      </c>
      <c r="AH27" s="42" t="str">
        <f>IF(AND('Mapa final'!$Y$19="Media",'Mapa final'!$AA$19="Catastrófico"),CONCATENATE("R2C",'Mapa final'!$O$19),"")</f>
        <v/>
      </c>
      <c r="AI27" s="43" t="str">
        <f>IF(AND('Mapa final'!$Y$20="Media",'Mapa final'!$AA$20="Catastrófico"),CONCATENATE("R2C",'Mapa final'!$O$20),"")</f>
        <v/>
      </c>
      <c r="AJ27" s="43" t="str">
        <f>IF(AND('Mapa final'!$Y$21="Media",'Mapa final'!$AA$21="Catastrófico"),CONCATENATE("R2C",'Mapa final'!$O$21),"")</f>
        <v/>
      </c>
      <c r="AK27" s="43" t="str">
        <f>IF(AND('Mapa final'!$Y$22="Media",'Mapa final'!$AA$22="Catastrófico"),CONCATENATE("R2C",'Mapa final'!$O$22),"")</f>
        <v/>
      </c>
      <c r="AL27" s="43" t="str">
        <f>IF(AND('Mapa final'!$Y$23="Media",'Mapa final'!$AA$23="Catastrófico"),CONCATENATE("R2C",'Mapa final'!$O$23),"")</f>
        <v/>
      </c>
      <c r="AM27" s="44" t="str">
        <f>IF(AND('Mapa final'!$Y$24="Media",'Mapa final'!$AA$24="Catastrófico"),CONCATENATE("R2C",'Mapa final'!$O$24),"")</f>
        <v/>
      </c>
      <c r="AN27" s="1"/>
      <c r="AO27" s="290"/>
      <c r="AP27" s="144"/>
      <c r="AQ27" s="144"/>
      <c r="AR27" s="144"/>
      <c r="AS27" s="144"/>
      <c r="AT27" s="291"/>
      <c r="AU27" s="1"/>
      <c r="AV27" s="1"/>
      <c r="AW27" s="1"/>
      <c r="AX27" s="1"/>
      <c r="AY27" s="1"/>
      <c r="AZ27" s="1"/>
      <c r="BA27" s="1"/>
      <c r="BB27" s="1"/>
      <c r="BC27" s="1"/>
      <c r="BD27" s="1"/>
      <c r="BE27" s="1"/>
      <c r="BF27" s="1"/>
      <c r="BG27" s="1"/>
      <c r="BH27" s="1"/>
      <c r="BI27" s="1"/>
    </row>
    <row r="28" spans="1:61" ht="15" customHeight="1" x14ac:dyDescent="0.25">
      <c r="A28" s="1"/>
      <c r="B28" s="281"/>
      <c r="C28" s="144"/>
      <c r="D28" s="145"/>
      <c r="E28" s="156"/>
      <c r="F28" s="144"/>
      <c r="G28" s="144"/>
      <c r="H28" s="144"/>
      <c r="I28" s="145"/>
      <c r="J28" s="54" t="e">
        <f>IF(AND('Mapa final'!#REF!="Media",'Mapa final'!#REF!="Leve"),CONCATENATE("R3C",'Mapa final'!#REF!),"")</f>
        <v>#REF!</v>
      </c>
      <c r="K28" s="55" t="e">
        <f>IF(AND('Mapa final'!#REF!="Media",'Mapa final'!#REF!="Leve"),CONCATENATE("R3C",'Mapa final'!#REF!),"")</f>
        <v>#REF!</v>
      </c>
      <c r="L28" s="55" t="e">
        <f>IF(AND('Mapa final'!#REF!="Media",'Mapa final'!#REF!="Leve"),CONCATENATE("R3C",'Mapa final'!#REF!),"")</f>
        <v>#REF!</v>
      </c>
      <c r="M28" s="55" t="e">
        <f>IF(AND('Mapa final'!#REF!="Media",'Mapa final'!#REF!="Leve"),CONCATENATE("R3C",'Mapa final'!#REF!),"")</f>
        <v>#REF!</v>
      </c>
      <c r="N28" s="55" t="e">
        <f>IF(AND('Mapa final'!#REF!="Media",'Mapa final'!#REF!="Leve"),CONCATENATE("R3C",'Mapa final'!#REF!),"")</f>
        <v>#REF!</v>
      </c>
      <c r="O28" s="56" t="e">
        <f>IF(AND('Mapa final'!#REF!="Media",'Mapa final'!#REF!="Leve"),CONCATENATE("R3C",'Mapa final'!#REF!),"")</f>
        <v>#REF!</v>
      </c>
      <c r="P28" s="54" t="e">
        <f>IF(AND('Mapa final'!#REF!="Media",'Mapa final'!#REF!="Menor"),CONCATENATE("R3C",'Mapa final'!#REF!),"")</f>
        <v>#REF!</v>
      </c>
      <c r="Q28" s="55" t="e">
        <f>IF(AND('Mapa final'!#REF!="Media",'Mapa final'!#REF!="Menor"),CONCATENATE("R3C",'Mapa final'!#REF!),"")</f>
        <v>#REF!</v>
      </c>
      <c r="R28" s="55" t="e">
        <f>IF(AND('Mapa final'!#REF!="Media",'Mapa final'!#REF!="Menor"),CONCATENATE("R3C",'Mapa final'!#REF!),"")</f>
        <v>#REF!</v>
      </c>
      <c r="S28" s="55" t="e">
        <f>IF(AND('Mapa final'!#REF!="Media",'Mapa final'!#REF!="Menor"),CONCATENATE("R3C",'Mapa final'!#REF!),"")</f>
        <v>#REF!</v>
      </c>
      <c r="T28" s="55" t="e">
        <f>IF(AND('Mapa final'!#REF!="Media",'Mapa final'!#REF!="Menor"),CONCATENATE("R3C",'Mapa final'!#REF!),"")</f>
        <v>#REF!</v>
      </c>
      <c r="U28" s="56" t="e">
        <f>IF(AND('Mapa final'!#REF!="Media",'Mapa final'!#REF!="Menor"),CONCATENATE("R3C",'Mapa final'!#REF!),"")</f>
        <v>#REF!</v>
      </c>
      <c r="V28" s="54" t="e">
        <f>IF(AND('Mapa final'!#REF!="Media",'Mapa final'!#REF!="Moderado"),CONCATENATE("R3C",'Mapa final'!#REF!),"")</f>
        <v>#REF!</v>
      </c>
      <c r="W28" s="55" t="e">
        <f>IF(AND('Mapa final'!#REF!="Media",'Mapa final'!#REF!="Moderado"),CONCATENATE("R3C",'Mapa final'!#REF!),"")</f>
        <v>#REF!</v>
      </c>
      <c r="X28" s="55" t="e">
        <f>IF(AND('Mapa final'!#REF!="Media",'Mapa final'!#REF!="Moderado"),CONCATENATE("R3C",'Mapa final'!#REF!),"")</f>
        <v>#REF!</v>
      </c>
      <c r="Y28" s="55" t="e">
        <f>IF(AND('Mapa final'!#REF!="Media",'Mapa final'!#REF!="Moderado"),CONCATENATE("R3C",'Mapa final'!#REF!),"")</f>
        <v>#REF!</v>
      </c>
      <c r="Z28" s="55" t="e">
        <f>IF(AND('Mapa final'!#REF!="Media",'Mapa final'!#REF!="Moderado"),CONCATENATE("R3C",'Mapa final'!#REF!),"")</f>
        <v>#REF!</v>
      </c>
      <c r="AA28" s="56" t="e">
        <f>IF(AND('Mapa final'!#REF!="Media",'Mapa final'!#REF!="Moderado"),CONCATENATE("R3C",'Mapa final'!#REF!),"")</f>
        <v>#REF!</v>
      </c>
      <c r="AB28" s="39" t="e">
        <f>IF(AND('Mapa final'!#REF!="Media",'Mapa final'!#REF!="Mayor"),CONCATENATE("R3C",'Mapa final'!#REF!),"")</f>
        <v>#REF!</v>
      </c>
      <c r="AC28" s="40" t="e">
        <f>IF(AND('Mapa final'!#REF!="Media",'Mapa final'!#REF!="Mayor"),CONCATENATE("R3C",'Mapa final'!#REF!),"")</f>
        <v>#REF!</v>
      </c>
      <c r="AD28" s="40" t="e">
        <f>IF(AND('Mapa final'!#REF!="Media",'Mapa final'!#REF!="Mayor"),CONCATENATE("R3C",'Mapa final'!#REF!),"")</f>
        <v>#REF!</v>
      </c>
      <c r="AE28" s="40" t="e">
        <f>IF(AND('Mapa final'!#REF!="Media",'Mapa final'!#REF!="Mayor"),CONCATENATE("R3C",'Mapa final'!#REF!),"")</f>
        <v>#REF!</v>
      </c>
      <c r="AF28" s="40" t="e">
        <f>IF(AND('Mapa final'!#REF!="Media",'Mapa final'!#REF!="Mayor"),CONCATENATE("R3C",'Mapa final'!#REF!),"")</f>
        <v>#REF!</v>
      </c>
      <c r="AG28" s="41" t="e">
        <f>IF(AND('Mapa final'!#REF!="Media",'Mapa final'!#REF!="Mayor"),CONCATENATE("R3C",'Mapa final'!#REF!),"")</f>
        <v>#REF!</v>
      </c>
      <c r="AH28" s="42" t="e">
        <f>IF(AND('Mapa final'!#REF!="Media",'Mapa final'!#REF!="Catastrófico"),CONCATENATE("R3C",'Mapa final'!#REF!),"")</f>
        <v>#REF!</v>
      </c>
      <c r="AI28" s="43" t="e">
        <f>IF(AND('Mapa final'!#REF!="Media",'Mapa final'!#REF!="Catastrófico"),CONCATENATE("R3C",'Mapa final'!#REF!),"")</f>
        <v>#REF!</v>
      </c>
      <c r="AJ28" s="43" t="e">
        <f>IF(AND('Mapa final'!#REF!="Media",'Mapa final'!#REF!="Catastrófico"),CONCATENATE("R3C",'Mapa final'!#REF!),"")</f>
        <v>#REF!</v>
      </c>
      <c r="AK28" s="43" t="e">
        <f>IF(AND('Mapa final'!#REF!="Media",'Mapa final'!#REF!="Catastrófico"),CONCATENATE("R3C",'Mapa final'!#REF!),"")</f>
        <v>#REF!</v>
      </c>
      <c r="AL28" s="43" t="e">
        <f>IF(AND('Mapa final'!#REF!="Media",'Mapa final'!#REF!="Catastrófico"),CONCATENATE("R3C",'Mapa final'!#REF!),"")</f>
        <v>#REF!</v>
      </c>
      <c r="AM28" s="44" t="e">
        <f>IF(AND('Mapa final'!#REF!="Media",'Mapa final'!#REF!="Catastrófico"),CONCATENATE("R3C",'Mapa final'!#REF!),"")</f>
        <v>#REF!</v>
      </c>
      <c r="AN28" s="1"/>
      <c r="AO28" s="290"/>
      <c r="AP28" s="144"/>
      <c r="AQ28" s="144"/>
      <c r="AR28" s="144"/>
      <c r="AS28" s="144"/>
      <c r="AT28" s="291"/>
      <c r="AU28" s="1"/>
      <c r="AV28" s="1"/>
      <c r="AW28" s="1"/>
      <c r="AX28" s="1"/>
      <c r="AY28" s="1"/>
      <c r="AZ28" s="1"/>
      <c r="BA28" s="1"/>
      <c r="BB28" s="1"/>
      <c r="BC28" s="1"/>
      <c r="BD28" s="1"/>
      <c r="BE28" s="1"/>
      <c r="BF28" s="1"/>
      <c r="BG28" s="1"/>
      <c r="BH28" s="1"/>
      <c r="BI28" s="1"/>
    </row>
    <row r="29" spans="1:61" ht="15" customHeight="1" x14ac:dyDescent="0.25">
      <c r="A29" s="1"/>
      <c r="B29" s="281"/>
      <c r="C29" s="144"/>
      <c r="D29" s="145"/>
      <c r="E29" s="156"/>
      <c r="F29" s="144"/>
      <c r="G29" s="144"/>
      <c r="H29" s="144"/>
      <c r="I29" s="145"/>
      <c r="J29" s="54" t="e">
        <f>IF(AND('Mapa final'!#REF!="Media",'Mapa final'!#REF!="Leve"),CONCATENATE("R4C",'Mapa final'!#REF!),"")</f>
        <v>#REF!</v>
      </c>
      <c r="K29" s="55" t="e">
        <f>IF(AND('Mapa final'!#REF!="Media",'Mapa final'!#REF!="Leve"),CONCATENATE("R4C",'Mapa final'!#REF!),"")</f>
        <v>#REF!</v>
      </c>
      <c r="L29" s="55" t="e">
        <f>IF(AND('Mapa final'!#REF!="Media",'Mapa final'!#REF!="Leve"),CONCATENATE("R4C",'Mapa final'!#REF!),"")</f>
        <v>#REF!</v>
      </c>
      <c r="M29" s="55" t="e">
        <f>IF(AND('Mapa final'!#REF!="Media",'Mapa final'!#REF!="Leve"),CONCATENATE("R4C",'Mapa final'!#REF!),"")</f>
        <v>#REF!</v>
      </c>
      <c r="N29" s="55" t="e">
        <f>IF(AND('Mapa final'!#REF!="Media",'Mapa final'!#REF!="Leve"),CONCATENATE("R4C",'Mapa final'!#REF!),"")</f>
        <v>#REF!</v>
      </c>
      <c r="O29" s="56" t="e">
        <f>IF(AND('Mapa final'!#REF!="Media",'Mapa final'!#REF!="Leve"),CONCATENATE("R4C",'Mapa final'!#REF!),"")</f>
        <v>#REF!</v>
      </c>
      <c r="P29" s="54" t="e">
        <f>IF(AND('Mapa final'!#REF!="Media",'Mapa final'!#REF!="Menor"),CONCATENATE("R4C",'Mapa final'!#REF!),"")</f>
        <v>#REF!</v>
      </c>
      <c r="Q29" s="55" t="e">
        <f>IF(AND('Mapa final'!#REF!="Media",'Mapa final'!#REF!="Menor"),CONCATENATE("R4C",'Mapa final'!#REF!),"")</f>
        <v>#REF!</v>
      </c>
      <c r="R29" s="55" t="e">
        <f>IF(AND('Mapa final'!#REF!="Media",'Mapa final'!#REF!="Menor"),CONCATENATE("R4C",'Mapa final'!#REF!),"")</f>
        <v>#REF!</v>
      </c>
      <c r="S29" s="55" t="e">
        <f>IF(AND('Mapa final'!#REF!="Media",'Mapa final'!#REF!="Menor"),CONCATENATE("R4C",'Mapa final'!#REF!),"")</f>
        <v>#REF!</v>
      </c>
      <c r="T29" s="55" t="e">
        <f>IF(AND('Mapa final'!#REF!="Media",'Mapa final'!#REF!="Menor"),CONCATENATE("R4C",'Mapa final'!#REF!),"")</f>
        <v>#REF!</v>
      </c>
      <c r="U29" s="56" t="e">
        <f>IF(AND('Mapa final'!#REF!="Media",'Mapa final'!#REF!="Menor"),CONCATENATE("R4C",'Mapa final'!#REF!),"")</f>
        <v>#REF!</v>
      </c>
      <c r="V29" s="54" t="e">
        <f>IF(AND('Mapa final'!#REF!="Media",'Mapa final'!#REF!="Moderado"),CONCATENATE("R4C",'Mapa final'!#REF!),"")</f>
        <v>#REF!</v>
      </c>
      <c r="W29" s="55" t="e">
        <f>IF(AND('Mapa final'!#REF!="Media",'Mapa final'!#REF!="Moderado"),CONCATENATE("R4C",'Mapa final'!#REF!),"")</f>
        <v>#REF!</v>
      </c>
      <c r="X29" s="55" t="e">
        <f>IF(AND('Mapa final'!#REF!="Media",'Mapa final'!#REF!="Moderado"),CONCATENATE("R4C",'Mapa final'!#REF!),"")</f>
        <v>#REF!</v>
      </c>
      <c r="Y29" s="55" t="e">
        <f>IF(AND('Mapa final'!#REF!="Media",'Mapa final'!#REF!="Moderado"),CONCATENATE("R4C",'Mapa final'!#REF!),"")</f>
        <v>#REF!</v>
      </c>
      <c r="Z29" s="55" t="e">
        <f>IF(AND('Mapa final'!#REF!="Media",'Mapa final'!#REF!="Moderado"),CONCATENATE("R4C",'Mapa final'!#REF!),"")</f>
        <v>#REF!</v>
      </c>
      <c r="AA29" s="56" t="e">
        <f>IF(AND('Mapa final'!#REF!="Media",'Mapa final'!#REF!="Moderado"),CONCATENATE("R4C",'Mapa final'!#REF!),"")</f>
        <v>#REF!</v>
      </c>
      <c r="AB29" s="39" t="e">
        <f>IF(AND('Mapa final'!#REF!="Media",'Mapa final'!#REF!="Mayor"),CONCATENATE("R4C",'Mapa final'!#REF!),"")</f>
        <v>#REF!</v>
      </c>
      <c r="AC29" s="40" t="e">
        <f>IF(AND('Mapa final'!#REF!="Media",'Mapa final'!#REF!="Mayor"),CONCATENATE("R4C",'Mapa final'!#REF!),"")</f>
        <v>#REF!</v>
      </c>
      <c r="AD29" s="40" t="e">
        <f>IF(AND('Mapa final'!#REF!="Media",'Mapa final'!#REF!="Mayor"),CONCATENATE("R4C",'Mapa final'!#REF!),"")</f>
        <v>#REF!</v>
      </c>
      <c r="AE29" s="40" t="e">
        <f>IF(AND('Mapa final'!#REF!="Media",'Mapa final'!#REF!="Mayor"),CONCATENATE("R4C",'Mapa final'!#REF!),"")</f>
        <v>#REF!</v>
      </c>
      <c r="AF29" s="40" t="e">
        <f>IF(AND('Mapa final'!#REF!="Media",'Mapa final'!#REF!="Mayor"),CONCATENATE("R4C",'Mapa final'!#REF!),"")</f>
        <v>#REF!</v>
      </c>
      <c r="AG29" s="41" t="e">
        <f>IF(AND('Mapa final'!#REF!="Media",'Mapa final'!#REF!="Mayor"),CONCATENATE("R4C",'Mapa final'!#REF!),"")</f>
        <v>#REF!</v>
      </c>
      <c r="AH29" s="42" t="e">
        <f>IF(AND('Mapa final'!#REF!="Media",'Mapa final'!#REF!="Catastrófico"),CONCATENATE("R4C",'Mapa final'!#REF!),"")</f>
        <v>#REF!</v>
      </c>
      <c r="AI29" s="43" t="e">
        <f>IF(AND('Mapa final'!#REF!="Media",'Mapa final'!#REF!="Catastrófico"),CONCATENATE("R4C",'Mapa final'!#REF!),"")</f>
        <v>#REF!</v>
      </c>
      <c r="AJ29" s="43" t="e">
        <f>IF(AND('Mapa final'!#REF!="Media",'Mapa final'!#REF!="Catastrófico"),CONCATENATE("R4C",'Mapa final'!#REF!),"")</f>
        <v>#REF!</v>
      </c>
      <c r="AK29" s="43" t="e">
        <f>IF(AND('Mapa final'!#REF!="Media",'Mapa final'!#REF!="Catastrófico"),CONCATENATE("R4C",'Mapa final'!#REF!),"")</f>
        <v>#REF!</v>
      </c>
      <c r="AL29" s="43" t="e">
        <f>IF(AND('Mapa final'!#REF!="Media",'Mapa final'!#REF!="Catastrófico"),CONCATENATE("R4C",'Mapa final'!#REF!),"")</f>
        <v>#REF!</v>
      </c>
      <c r="AM29" s="44" t="e">
        <f>IF(AND('Mapa final'!#REF!="Media",'Mapa final'!#REF!="Catastrófico"),CONCATENATE("R4C",'Mapa final'!#REF!),"")</f>
        <v>#REF!</v>
      </c>
      <c r="AN29" s="1"/>
      <c r="AO29" s="290"/>
      <c r="AP29" s="144"/>
      <c r="AQ29" s="144"/>
      <c r="AR29" s="144"/>
      <c r="AS29" s="144"/>
      <c r="AT29" s="291"/>
      <c r="AU29" s="1"/>
      <c r="AV29" s="1"/>
      <c r="AW29" s="1"/>
      <c r="AX29" s="1"/>
      <c r="AY29" s="1"/>
      <c r="AZ29" s="1"/>
      <c r="BA29" s="1"/>
      <c r="BB29" s="1"/>
      <c r="BC29" s="1"/>
      <c r="BD29" s="1"/>
      <c r="BE29" s="1"/>
      <c r="BF29" s="1"/>
      <c r="BG29" s="1"/>
      <c r="BH29" s="1"/>
      <c r="BI29" s="1"/>
    </row>
    <row r="30" spans="1:61" ht="15" customHeight="1" x14ac:dyDescent="0.25">
      <c r="A30" s="1"/>
      <c r="B30" s="281"/>
      <c r="C30" s="144"/>
      <c r="D30" s="145"/>
      <c r="E30" s="156"/>
      <c r="F30" s="144"/>
      <c r="G30" s="144"/>
      <c r="H30" s="144"/>
      <c r="I30" s="145"/>
      <c r="J30" s="54" t="e">
        <f>IF(AND('Mapa final'!#REF!="Media",'Mapa final'!#REF!="Leve"),CONCATENATE("R5C",'Mapa final'!#REF!),"")</f>
        <v>#REF!</v>
      </c>
      <c r="K30" s="55" t="e">
        <f>IF(AND('Mapa final'!#REF!="Media",'Mapa final'!#REF!="Leve"),CONCATENATE("R5C",'Mapa final'!#REF!),"")</f>
        <v>#REF!</v>
      </c>
      <c r="L30" s="55" t="e">
        <f>IF(AND('Mapa final'!#REF!="Media",'Mapa final'!#REF!="Leve"),CONCATENATE("R5C",'Mapa final'!#REF!),"")</f>
        <v>#REF!</v>
      </c>
      <c r="M30" s="55" t="e">
        <f>IF(AND('Mapa final'!#REF!="Media",'Mapa final'!#REF!="Leve"),CONCATENATE("R5C",'Mapa final'!#REF!),"")</f>
        <v>#REF!</v>
      </c>
      <c r="N30" s="55" t="e">
        <f>IF(AND('Mapa final'!#REF!="Media",'Mapa final'!#REF!="Leve"),CONCATENATE("R5C",'Mapa final'!#REF!),"")</f>
        <v>#REF!</v>
      </c>
      <c r="O30" s="56" t="e">
        <f>IF(AND('Mapa final'!#REF!="Media",'Mapa final'!#REF!="Leve"),CONCATENATE("R5C",'Mapa final'!#REF!),"")</f>
        <v>#REF!</v>
      </c>
      <c r="P30" s="54" t="e">
        <f>IF(AND('Mapa final'!#REF!="Media",'Mapa final'!#REF!="Menor"),CONCATENATE("R5C",'Mapa final'!#REF!),"")</f>
        <v>#REF!</v>
      </c>
      <c r="Q30" s="55" t="e">
        <f>IF(AND('Mapa final'!#REF!="Media",'Mapa final'!#REF!="Menor"),CONCATENATE("R5C",'Mapa final'!#REF!),"")</f>
        <v>#REF!</v>
      </c>
      <c r="R30" s="55" t="e">
        <f>IF(AND('Mapa final'!#REF!="Media",'Mapa final'!#REF!="Menor"),CONCATENATE("R5C",'Mapa final'!#REF!),"")</f>
        <v>#REF!</v>
      </c>
      <c r="S30" s="55" t="e">
        <f>IF(AND('Mapa final'!#REF!="Media",'Mapa final'!#REF!="Menor"),CONCATENATE("R5C",'Mapa final'!#REF!),"")</f>
        <v>#REF!</v>
      </c>
      <c r="T30" s="55" t="e">
        <f>IF(AND('Mapa final'!#REF!="Media",'Mapa final'!#REF!="Menor"),CONCATENATE("R5C",'Mapa final'!#REF!),"")</f>
        <v>#REF!</v>
      </c>
      <c r="U30" s="56" t="e">
        <f>IF(AND('Mapa final'!#REF!="Media",'Mapa final'!#REF!="Menor"),CONCATENATE("R5C",'Mapa final'!#REF!),"")</f>
        <v>#REF!</v>
      </c>
      <c r="V30" s="54" t="e">
        <f>IF(AND('Mapa final'!#REF!="Media",'Mapa final'!#REF!="Moderado"),CONCATENATE("R5C",'Mapa final'!#REF!),"")</f>
        <v>#REF!</v>
      </c>
      <c r="W30" s="55" t="e">
        <f>IF(AND('Mapa final'!#REF!="Media",'Mapa final'!#REF!="Moderado"),CONCATENATE("R5C",'Mapa final'!#REF!),"")</f>
        <v>#REF!</v>
      </c>
      <c r="X30" s="55" t="e">
        <f>IF(AND('Mapa final'!#REF!="Media",'Mapa final'!#REF!="Moderado"),CONCATENATE("R5C",'Mapa final'!#REF!),"")</f>
        <v>#REF!</v>
      </c>
      <c r="Y30" s="55" t="e">
        <f>IF(AND('Mapa final'!#REF!="Media",'Mapa final'!#REF!="Moderado"),CONCATENATE("R5C",'Mapa final'!#REF!),"")</f>
        <v>#REF!</v>
      </c>
      <c r="Z30" s="55" t="e">
        <f>IF(AND('Mapa final'!#REF!="Media",'Mapa final'!#REF!="Moderado"),CONCATENATE("R5C",'Mapa final'!#REF!),"")</f>
        <v>#REF!</v>
      </c>
      <c r="AA30" s="56" t="e">
        <f>IF(AND('Mapa final'!#REF!="Media",'Mapa final'!#REF!="Moderado"),CONCATENATE("R5C",'Mapa final'!#REF!),"")</f>
        <v>#REF!</v>
      </c>
      <c r="AB30" s="39" t="e">
        <f>IF(AND('Mapa final'!#REF!="Media",'Mapa final'!#REF!="Mayor"),CONCATENATE("R5C",'Mapa final'!#REF!),"")</f>
        <v>#REF!</v>
      </c>
      <c r="AC30" s="40" t="e">
        <f>IF(AND('Mapa final'!#REF!="Media",'Mapa final'!#REF!="Mayor"),CONCATENATE("R5C",'Mapa final'!#REF!),"")</f>
        <v>#REF!</v>
      </c>
      <c r="AD30" s="40" t="e">
        <f>IF(AND('Mapa final'!#REF!="Media",'Mapa final'!#REF!="Mayor"),CONCATENATE("R5C",'Mapa final'!#REF!),"")</f>
        <v>#REF!</v>
      </c>
      <c r="AE30" s="40" t="e">
        <f>IF(AND('Mapa final'!#REF!="Media",'Mapa final'!#REF!="Mayor"),CONCATENATE("R5C",'Mapa final'!#REF!),"")</f>
        <v>#REF!</v>
      </c>
      <c r="AF30" s="40" t="e">
        <f>IF(AND('Mapa final'!#REF!="Media",'Mapa final'!#REF!="Mayor"),CONCATENATE("R5C",'Mapa final'!#REF!),"")</f>
        <v>#REF!</v>
      </c>
      <c r="AG30" s="41" t="e">
        <f>IF(AND('Mapa final'!#REF!="Media",'Mapa final'!#REF!="Mayor"),CONCATENATE("R5C",'Mapa final'!#REF!),"")</f>
        <v>#REF!</v>
      </c>
      <c r="AH30" s="42" t="e">
        <f>IF(AND('Mapa final'!#REF!="Media",'Mapa final'!#REF!="Catastrófico"),CONCATENATE("R5C",'Mapa final'!#REF!),"")</f>
        <v>#REF!</v>
      </c>
      <c r="AI30" s="43" t="e">
        <f>IF(AND('Mapa final'!#REF!="Media",'Mapa final'!#REF!="Catastrófico"),CONCATENATE("R5C",'Mapa final'!#REF!),"")</f>
        <v>#REF!</v>
      </c>
      <c r="AJ30" s="43" t="e">
        <f>IF(AND('Mapa final'!#REF!="Media",'Mapa final'!#REF!="Catastrófico"),CONCATENATE("R5C",'Mapa final'!#REF!),"")</f>
        <v>#REF!</v>
      </c>
      <c r="AK30" s="43" t="e">
        <f>IF(AND('Mapa final'!#REF!="Media",'Mapa final'!#REF!="Catastrófico"),CONCATENATE("R5C",'Mapa final'!#REF!),"")</f>
        <v>#REF!</v>
      </c>
      <c r="AL30" s="43" t="e">
        <f>IF(AND('Mapa final'!#REF!="Media",'Mapa final'!#REF!="Catastrófico"),CONCATENATE("R5C",'Mapa final'!#REF!),"")</f>
        <v>#REF!</v>
      </c>
      <c r="AM30" s="44" t="e">
        <f>IF(AND('Mapa final'!#REF!="Media",'Mapa final'!#REF!="Catastrófico"),CONCATENATE("R5C",'Mapa final'!#REF!),"")</f>
        <v>#REF!</v>
      </c>
      <c r="AN30" s="1"/>
      <c r="AO30" s="290"/>
      <c r="AP30" s="144"/>
      <c r="AQ30" s="144"/>
      <c r="AR30" s="144"/>
      <c r="AS30" s="144"/>
      <c r="AT30" s="291"/>
      <c r="AU30" s="1"/>
      <c r="AV30" s="1"/>
      <c r="AW30" s="1"/>
      <c r="AX30" s="1"/>
      <c r="AY30" s="1"/>
      <c r="AZ30" s="1"/>
      <c r="BA30" s="1"/>
      <c r="BB30" s="1"/>
      <c r="BC30" s="1"/>
      <c r="BD30" s="1"/>
      <c r="BE30" s="1"/>
      <c r="BF30" s="1"/>
      <c r="BG30" s="1"/>
      <c r="BH30" s="1"/>
      <c r="BI30" s="1"/>
    </row>
    <row r="31" spans="1:61" ht="15" customHeight="1" x14ac:dyDescent="0.25">
      <c r="A31" s="1"/>
      <c r="B31" s="281"/>
      <c r="C31" s="144"/>
      <c r="D31" s="145"/>
      <c r="E31" s="156"/>
      <c r="F31" s="144"/>
      <c r="G31" s="144"/>
      <c r="H31" s="144"/>
      <c r="I31" s="145"/>
      <c r="J31" s="54" t="e">
        <f>IF(AND('Mapa final'!#REF!="Media",'Mapa final'!#REF!="Leve"),CONCATENATE("R6C",'Mapa final'!#REF!),"")</f>
        <v>#REF!</v>
      </c>
      <c r="K31" s="55" t="e">
        <f>IF(AND('Mapa final'!#REF!="Media",'Mapa final'!#REF!="Leve"),CONCATENATE("R6C",'Mapa final'!#REF!),"")</f>
        <v>#REF!</v>
      </c>
      <c r="L31" s="55" t="e">
        <f>IF(AND('Mapa final'!#REF!="Media",'Mapa final'!#REF!="Leve"),CONCATENATE("R6C",'Mapa final'!#REF!),"")</f>
        <v>#REF!</v>
      </c>
      <c r="M31" s="55" t="e">
        <f>IF(AND('Mapa final'!#REF!="Media",'Mapa final'!#REF!="Leve"),CONCATENATE("R6C",'Mapa final'!#REF!),"")</f>
        <v>#REF!</v>
      </c>
      <c r="N31" s="55" t="e">
        <f>IF(AND('Mapa final'!#REF!="Media",'Mapa final'!#REF!="Leve"),CONCATENATE("R6C",'Mapa final'!#REF!),"")</f>
        <v>#REF!</v>
      </c>
      <c r="O31" s="56" t="e">
        <f>IF(AND('Mapa final'!#REF!="Media",'Mapa final'!#REF!="Leve"),CONCATENATE("R6C",'Mapa final'!#REF!),"")</f>
        <v>#REF!</v>
      </c>
      <c r="P31" s="54" t="e">
        <f>IF(AND('Mapa final'!#REF!="Media",'Mapa final'!#REF!="Menor"),CONCATENATE("R6C",'Mapa final'!#REF!),"")</f>
        <v>#REF!</v>
      </c>
      <c r="Q31" s="55" t="e">
        <f>IF(AND('Mapa final'!#REF!="Media",'Mapa final'!#REF!="Menor"),CONCATENATE("R6C",'Mapa final'!#REF!),"")</f>
        <v>#REF!</v>
      </c>
      <c r="R31" s="55" t="e">
        <f>IF(AND('Mapa final'!#REF!="Media",'Mapa final'!#REF!="Menor"),CONCATENATE("R6C",'Mapa final'!#REF!),"")</f>
        <v>#REF!</v>
      </c>
      <c r="S31" s="55" t="e">
        <f>IF(AND('Mapa final'!#REF!="Media",'Mapa final'!#REF!="Menor"),CONCATENATE("R6C",'Mapa final'!#REF!),"")</f>
        <v>#REF!</v>
      </c>
      <c r="T31" s="55" t="e">
        <f>IF(AND('Mapa final'!#REF!="Media",'Mapa final'!#REF!="Menor"),CONCATENATE("R6C",'Mapa final'!#REF!),"")</f>
        <v>#REF!</v>
      </c>
      <c r="U31" s="56" t="e">
        <f>IF(AND('Mapa final'!#REF!="Media",'Mapa final'!#REF!="Menor"),CONCATENATE("R6C",'Mapa final'!#REF!),"")</f>
        <v>#REF!</v>
      </c>
      <c r="V31" s="54" t="e">
        <f>IF(AND('Mapa final'!#REF!="Media",'Mapa final'!#REF!="Moderado"),CONCATENATE("R6C",'Mapa final'!#REF!),"")</f>
        <v>#REF!</v>
      </c>
      <c r="W31" s="55" t="e">
        <f>IF(AND('Mapa final'!#REF!="Media",'Mapa final'!#REF!="Moderado"),CONCATENATE("R6C",'Mapa final'!#REF!),"")</f>
        <v>#REF!</v>
      </c>
      <c r="X31" s="55" t="e">
        <f>IF(AND('Mapa final'!#REF!="Media",'Mapa final'!#REF!="Moderado"),CONCATENATE("R6C",'Mapa final'!#REF!),"")</f>
        <v>#REF!</v>
      </c>
      <c r="Y31" s="55" t="e">
        <f>IF(AND('Mapa final'!#REF!="Media",'Mapa final'!#REF!="Moderado"),CONCATENATE("R6C",'Mapa final'!#REF!),"")</f>
        <v>#REF!</v>
      </c>
      <c r="Z31" s="55" t="e">
        <f>IF(AND('Mapa final'!#REF!="Media",'Mapa final'!#REF!="Moderado"),CONCATENATE("R6C",'Mapa final'!#REF!),"")</f>
        <v>#REF!</v>
      </c>
      <c r="AA31" s="56" t="e">
        <f>IF(AND('Mapa final'!#REF!="Media",'Mapa final'!#REF!="Moderado"),CONCATENATE("R6C",'Mapa final'!#REF!),"")</f>
        <v>#REF!</v>
      </c>
      <c r="AB31" s="39" t="e">
        <f>IF(AND('Mapa final'!#REF!="Media",'Mapa final'!#REF!="Mayor"),CONCATENATE("R6C",'Mapa final'!#REF!),"")</f>
        <v>#REF!</v>
      </c>
      <c r="AC31" s="40" t="e">
        <f>IF(AND('Mapa final'!#REF!="Media",'Mapa final'!#REF!="Mayor"),CONCATENATE("R6C",'Mapa final'!#REF!),"")</f>
        <v>#REF!</v>
      </c>
      <c r="AD31" s="40" t="e">
        <f>IF(AND('Mapa final'!#REF!="Media",'Mapa final'!#REF!="Mayor"),CONCATENATE("R6C",'Mapa final'!#REF!),"")</f>
        <v>#REF!</v>
      </c>
      <c r="AE31" s="40" t="e">
        <f>IF(AND('Mapa final'!#REF!="Media",'Mapa final'!#REF!="Mayor"),CONCATENATE("R6C",'Mapa final'!#REF!),"")</f>
        <v>#REF!</v>
      </c>
      <c r="AF31" s="40" t="e">
        <f>IF(AND('Mapa final'!#REF!="Media",'Mapa final'!#REF!="Mayor"),CONCATENATE("R6C",'Mapa final'!#REF!),"")</f>
        <v>#REF!</v>
      </c>
      <c r="AG31" s="41" t="e">
        <f>IF(AND('Mapa final'!#REF!="Media",'Mapa final'!#REF!="Mayor"),CONCATENATE("R6C",'Mapa final'!#REF!),"")</f>
        <v>#REF!</v>
      </c>
      <c r="AH31" s="42" t="e">
        <f>IF(AND('Mapa final'!#REF!="Media",'Mapa final'!#REF!="Catastrófico"),CONCATENATE("R6C",'Mapa final'!#REF!),"")</f>
        <v>#REF!</v>
      </c>
      <c r="AI31" s="43" t="e">
        <f>IF(AND('Mapa final'!#REF!="Media",'Mapa final'!#REF!="Catastrófico"),CONCATENATE("R6C",'Mapa final'!#REF!),"")</f>
        <v>#REF!</v>
      </c>
      <c r="AJ31" s="43" t="e">
        <f>IF(AND('Mapa final'!#REF!="Media",'Mapa final'!#REF!="Catastrófico"),CONCATENATE("R6C",'Mapa final'!#REF!),"")</f>
        <v>#REF!</v>
      </c>
      <c r="AK31" s="43" t="e">
        <f>IF(AND('Mapa final'!#REF!="Media",'Mapa final'!#REF!="Catastrófico"),CONCATENATE("R6C",'Mapa final'!#REF!),"")</f>
        <v>#REF!</v>
      </c>
      <c r="AL31" s="43" t="e">
        <f>IF(AND('Mapa final'!#REF!="Media",'Mapa final'!#REF!="Catastrófico"),CONCATENATE("R6C",'Mapa final'!#REF!),"")</f>
        <v>#REF!</v>
      </c>
      <c r="AM31" s="44" t="e">
        <f>IF(AND('Mapa final'!#REF!="Media",'Mapa final'!#REF!="Catastrófico"),CONCATENATE("R6C",'Mapa final'!#REF!),"")</f>
        <v>#REF!</v>
      </c>
      <c r="AN31" s="1"/>
      <c r="AO31" s="290"/>
      <c r="AP31" s="144"/>
      <c r="AQ31" s="144"/>
      <c r="AR31" s="144"/>
      <c r="AS31" s="144"/>
      <c r="AT31" s="291"/>
      <c r="AU31" s="1"/>
      <c r="AV31" s="1"/>
      <c r="AW31" s="1"/>
      <c r="AX31" s="1"/>
      <c r="AY31" s="1"/>
      <c r="AZ31" s="1"/>
      <c r="BA31" s="1"/>
      <c r="BB31" s="1"/>
      <c r="BC31" s="1"/>
      <c r="BD31" s="1"/>
      <c r="BE31" s="1"/>
      <c r="BF31" s="1"/>
      <c r="BG31" s="1"/>
      <c r="BH31" s="1"/>
      <c r="BI31" s="1"/>
    </row>
    <row r="32" spans="1:61" ht="15" customHeight="1" x14ac:dyDescent="0.25">
      <c r="A32" s="1"/>
      <c r="B32" s="281"/>
      <c r="C32" s="144"/>
      <c r="D32" s="145"/>
      <c r="E32" s="156"/>
      <c r="F32" s="144"/>
      <c r="G32" s="144"/>
      <c r="H32" s="144"/>
      <c r="I32" s="145"/>
      <c r="J32" s="54" t="e">
        <f>IF(AND('Mapa final'!#REF!="Media",'Mapa final'!#REF!="Leve"),CONCATENATE("R7C",'Mapa final'!#REF!),"")</f>
        <v>#REF!</v>
      </c>
      <c r="K32" s="55" t="e">
        <f>IF(AND('Mapa final'!#REF!="Media",'Mapa final'!#REF!="Leve"),CONCATENATE("R7C",'Mapa final'!#REF!),"")</f>
        <v>#REF!</v>
      </c>
      <c r="L32" s="55" t="e">
        <f>IF(AND('Mapa final'!#REF!="Media",'Mapa final'!#REF!="Leve"),CONCATENATE("R7C",'Mapa final'!#REF!),"")</f>
        <v>#REF!</v>
      </c>
      <c r="M32" s="55" t="e">
        <f>IF(AND('Mapa final'!#REF!="Media",'Mapa final'!#REF!="Leve"),CONCATENATE("R7C",'Mapa final'!#REF!),"")</f>
        <v>#REF!</v>
      </c>
      <c r="N32" s="55" t="e">
        <f>IF(AND('Mapa final'!#REF!="Media",'Mapa final'!#REF!="Leve"),CONCATENATE("R7C",'Mapa final'!#REF!),"")</f>
        <v>#REF!</v>
      </c>
      <c r="O32" s="56" t="e">
        <f>IF(AND('Mapa final'!#REF!="Media",'Mapa final'!#REF!="Leve"),CONCATENATE("R7C",'Mapa final'!#REF!),"")</f>
        <v>#REF!</v>
      </c>
      <c r="P32" s="54" t="e">
        <f>IF(AND('Mapa final'!#REF!="Media",'Mapa final'!#REF!="Menor"),CONCATENATE("R7C",'Mapa final'!#REF!),"")</f>
        <v>#REF!</v>
      </c>
      <c r="Q32" s="55" t="e">
        <f>IF(AND('Mapa final'!#REF!="Media",'Mapa final'!#REF!="Menor"),CONCATENATE("R7C",'Mapa final'!#REF!),"")</f>
        <v>#REF!</v>
      </c>
      <c r="R32" s="55" t="e">
        <f>IF(AND('Mapa final'!#REF!="Media",'Mapa final'!#REF!="Menor"),CONCATENATE("R7C",'Mapa final'!#REF!),"")</f>
        <v>#REF!</v>
      </c>
      <c r="S32" s="55" t="e">
        <f>IF(AND('Mapa final'!#REF!="Media",'Mapa final'!#REF!="Menor"),CONCATENATE("R7C",'Mapa final'!#REF!),"")</f>
        <v>#REF!</v>
      </c>
      <c r="T32" s="55" t="e">
        <f>IF(AND('Mapa final'!#REF!="Media",'Mapa final'!#REF!="Menor"),CONCATENATE("R7C",'Mapa final'!#REF!),"")</f>
        <v>#REF!</v>
      </c>
      <c r="U32" s="56" t="e">
        <f>IF(AND('Mapa final'!#REF!="Media",'Mapa final'!#REF!="Menor"),CONCATENATE("R7C",'Mapa final'!#REF!),"")</f>
        <v>#REF!</v>
      </c>
      <c r="V32" s="54" t="e">
        <f>IF(AND('Mapa final'!#REF!="Media",'Mapa final'!#REF!="Moderado"),CONCATENATE("R7C",'Mapa final'!#REF!),"")</f>
        <v>#REF!</v>
      </c>
      <c r="W32" s="55" t="e">
        <f>IF(AND('Mapa final'!#REF!="Media",'Mapa final'!#REF!="Moderado"),CONCATENATE("R7C",'Mapa final'!#REF!),"")</f>
        <v>#REF!</v>
      </c>
      <c r="X32" s="55" t="e">
        <f>IF(AND('Mapa final'!#REF!="Media",'Mapa final'!#REF!="Moderado"),CONCATENATE("R7C",'Mapa final'!#REF!),"")</f>
        <v>#REF!</v>
      </c>
      <c r="Y32" s="55" t="e">
        <f>IF(AND('Mapa final'!#REF!="Media",'Mapa final'!#REF!="Moderado"),CONCATENATE("R7C",'Mapa final'!#REF!),"")</f>
        <v>#REF!</v>
      </c>
      <c r="Z32" s="55" t="e">
        <f>IF(AND('Mapa final'!#REF!="Media",'Mapa final'!#REF!="Moderado"),CONCATENATE("R7C",'Mapa final'!#REF!),"")</f>
        <v>#REF!</v>
      </c>
      <c r="AA32" s="56" t="e">
        <f>IF(AND('Mapa final'!#REF!="Media",'Mapa final'!#REF!="Moderado"),CONCATENATE("R7C",'Mapa final'!#REF!),"")</f>
        <v>#REF!</v>
      </c>
      <c r="AB32" s="39" t="e">
        <f>IF(AND('Mapa final'!#REF!="Media",'Mapa final'!#REF!="Mayor"),CONCATENATE("R7C",'Mapa final'!#REF!),"")</f>
        <v>#REF!</v>
      </c>
      <c r="AC32" s="40" t="e">
        <f>IF(AND('Mapa final'!#REF!="Media",'Mapa final'!#REF!="Mayor"),CONCATENATE("R7C",'Mapa final'!#REF!),"")</f>
        <v>#REF!</v>
      </c>
      <c r="AD32" s="40" t="e">
        <f>IF(AND('Mapa final'!#REF!="Media",'Mapa final'!#REF!="Mayor"),CONCATENATE("R7C",'Mapa final'!#REF!),"")</f>
        <v>#REF!</v>
      </c>
      <c r="AE32" s="40" t="e">
        <f>IF(AND('Mapa final'!#REF!="Media",'Mapa final'!#REF!="Mayor"),CONCATENATE("R7C",'Mapa final'!#REF!),"")</f>
        <v>#REF!</v>
      </c>
      <c r="AF32" s="40" t="e">
        <f>IF(AND('Mapa final'!#REF!="Media",'Mapa final'!#REF!="Mayor"),CONCATENATE("R7C",'Mapa final'!#REF!),"")</f>
        <v>#REF!</v>
      </c>
      <c r="AG32" s="41" t="e">
        <f>IF(AND('Mapa final'!#REF!="Media",'Mapa final'!#REF!="Mayor"),CONCATENATE("R7C",'Mapa final'!#REF!),"")</f>
        <v>#REF!</v>
      </c>
      <c r="AH32" s="42" t="e">
        <f>IF(AND('Mapa final'!#REF!="Media",'Mapa final'!#REF!="Catastrófico"),CONCATENATE("R7C",'Mapa final'!#REF!),"")</f>
        <v>#REF!</v>
      </c>
      <c r="AI32" s="43" t="e">
        <f>IF(AND('Mapa final'!#REF!="Media",'Mapa final'!#REF!="Catastrófico"),CONCATENATE("R7C",'Mapa final'!#REF!),"")</f>
        <v>#REF!</v>
      </c>
      <c r="AJ32" s="43" t="e">
        <f>IF(AND('Mapa final'!#REF!="Media",'Mapa final'!#REF!="Catastrófico"),CONCATENATE("R7C",'Mapa final'!#REF!),"")</f>
        <v>#REF!</v>
      </c>
      <c r="AK32" s="43" t="e">
        <f>IF(AND('Mapa final'!#REF!="Media",'Mapa final'!#REF!="Catastrófico"),CONCATENATE("R7C",'Mapa final'!#REF!),"")</f>
        <v>#REF!</v>
      </c>
      <c r="AL32" s="43" t="e">
        <f>IF(AND('Mapa final'!#REF!="Media",'Mapa final'!#REF!="Catastrófico"),CONCATENATE("R7C",'Mapa final'!#REF!),"")</f>
        <v>#REF!</v>
      </c>
      <c r="AM32" s="44" t="e">
        <f>IF(AND('Mapa final'!#REF!="Media",'Mapa final'!#REF!="Catastrófico"),CONCATENATE("R7C",'Mapa final'!#REF!),"")</f>
        <v>#REF!</v>
      </c>
      <c r="AN32" s="1"/>
      <c r="AO32" s="290"/>
      <c r="AP32" s="144"/>
      <c r="AQ32" s="144"/>
      <c r="AR32" s="144"/>
      <c r="AS32" s="144"/>
      <c r="AT32" s="291"/>
      <c r="AU32" s="1"/>
      <c r="AV32" s="1"/>
      <c r="AW32" s="1"/>
      <c r="AX32" s="1"/>
      <c r="AY32" s="1"/>
      <c r="AZ32" s="1"/>
      <c r="BA32" s="1"/>
      <c r="BB32" s="1"/>
      <c r="BC32" s="1"/>
      <c r="BD32" s="1"/>
      <c r="BE32" s="1"/>
      <c r="BF32" s="1"/>
      <c r="BG32" s="1"/>
      <c r="BH32" s="1"/>
      <c r="BI32" s="1"/>
    </row>
    <row r="33" spans="1:61" ht="15" customHeight="1" x14ac:dyDescent="0.25">
      <c r="A33" s="1"/>
      <c r="B33" s="281"/>
      <c r="C33" s="144"/>
      <c r="D33" s="145"/>
      <c r="E33" s="156"/>
      <c r="F33" s="144"/>
      <c r="G33" s="144"/>
      <c r="H33" s="144"/>
      <c r="I33" s="145"/>
      <c r="J33" s="54" t="e">
        <f>IF(AND('Mapa final'!#REF!="Media",'Mapa final'!#REF!="Leve"),CONCATENATE("R8C",'Mapa final'!#REF!),"")</f>
        <v>#REF!</v>
      </c>
      <c r="K33" s="55" t="e">
        <f>IF(AND('Mapa final'!#REF!="Media",'Mapa final'!#REF!="Leve"),CONCATENATE("R8C",'Mapa final'!#REF!),"")</f>
        <v>#REF!</v>
      </c>
      <c r="L33" s="55" t="e">
        <f>IF(AND('Mapa final'!#REF!="Media",'Mapa final'!#REF!="Leve"),CONCATENATE("R8C",'Mapa final'!#REF!),"")</f>
        <v>#REF!</v>
      </c>
      <c r="M33" s="55" t="e">
        <f>IF(AND('Mapa final'!#REF!="Media",'Mapa final'!#REF!="Leve"),CONCATENATE("R8C",'Mapa final'!#REF!),"")</f>
        <v>#REF!</v>
      </c>
      <c r="N33" s="55" t="e">
        <f>IF(AND('Mapa final'!#REF!="Media",'Mapa final'!#REF!="Leve"),CONCATENATE("R8C",'Mapa final'!#REF!),"")</f>
        <v>#REF!</v>
      </c>
      <c r="O33" s="56" t="e">
        <f>IF(AND('Mapa final'!#REF!="Media",'Mapa final'!#REF!="Leve"),CONCATENATE("R8C",'Mapa final'!#REF!),"")</f>
        <v>#REF!</v>
      </c>
      <c r="P33" s="54" t="e">
        <f>IF(AND('Mapa final'!#REF!="Media",'Mapa final'!#REF!="Menor"),CONCATENATE("R8C",'Mapa final'!#REF!),"")</f>
        <v>#REF!</v>
      </c>
      <c r="Q33" s="55" t="e">
        <f>IF(AND('Mapa final'!#REF!="Media",'Mapa final'!#REF!="Menor"),CONCATENATE("R8C",'Mapa final'!#REF!),"")</f>
        <v>#REF!</v>
      </c>
      <c r="R33" s="55" t="e">
        <f>IF(AND('Mapa final'!#REF!="Media",'Mapa final'!#REF!="Menor"),CONCATENATE("R8C",'Mapa final'!#REF!),"")</f>
        <v>#REF!</v>
      </c>
      <c r="S33" s="55" t="e">
        <f>IF(AND('Mapa final'!#REF!="Media",'Mapa final'!#REF!="Menor"),CONCATENATE("R8C",'Mapa final'!#REF!),"")</f>
        <v>#REF!</v>
      </c>
      <c r="T33" s="55" t="e">
        <f>IF(AND('Mapa final'!#REF!="Media",'Mapa final'!#REF!="Menor"),CONCATENATE("R8C",'Mapa final'!#REF!),"")</f>
        <v>#REF!</v>
      </c>
      <c r="U33" s="56" t="e">
        <f>IF(AND('Mapa final'!#REF!="Media",'Mapa final'!#REF!="Menor"),CONCATENATE("R8C",'Mapa final'!#REF!),"")</f>
        <v>#REF!</v>
      </c>
      <c r="V33" s="54" t="e">
        <f>IF(AND('Mapa final'!#REF!="Media",'Mapa final'!#REF!="Moderado"),CONCATENATE("R8C",'Mapa final'!#REF!),"")</f>
        <v>#REF!</v>
      </c>
      <c r="W33" s="55" t="e">
        <f>IF(AND('Mapa final'!#REF!="Media",'Mapa final'!#REF!="Moderado"),CONCATENATE("R8C",'Mapa final'!#REF!),"")</f>
        <v>#REF!</v>
      </c>
      <c r="X33" s="55" t="e">
        <f>IF(AND('Mapa final'!#REF!="Media",'Mapa final'!#REF!="Moderado"),CONCATENATE("R8C",'Mapa final'!#REF!),"")</f>
        <v>#REF!</v>
      </c>
      <c r="Y33" s="55" t="e">
        <f>IF(AND('Mapa final'!#REF!="Media",'Mapa final'!#REF!="Moderado"),CONCATENATE("R8C",'Mapa final'!#REF!),"")</f>
        <v>#REF!</v>
      </c>
      <c r="Z33" s="55" t="e">
        <f>IF(AND('Mapa final'!#REF!="Media",'Mapa final'!#REF!="Moderado"),CONCATENATE("R8C",'Mapa final'!#REF!),"")</f>
        <v>#REF!</v>
      </c>
      <c r="AA33" s="56" t="e">
        <f>IF(AND('Mapa final'!#REF!="Media",'Mapa final'!#REF!="Moderado"),CONCATENATE("R8C",'Mapa final'!#REF!),"")</f>
        <v>#REF!</v>
      </c>
      <c r="AB33" s="39" t="e">
        <f>IF(AND('Mapa final'!#REF!="Media",'Mapa final'!#REF!="Mayor"),CONCATENATE("R8C",'Mapa final'!#REF!),"")</f>
        <v>#REF!</v>
      </c>
      <c r="AC33" s="40" t="e">
        <f>IF(AND('Mapa final'!#REF!="Media",'Mapa final'!#REF!="Mayor"),CONCATENATE("R8C",'Mapa final'!#REF!),"")</f>
        <v>#REF!</v>
      </c>
      <c r="AD33" s="40" t="e">
        <f>IF(AND('Mapa final'!#REF!="Media",'Mapa final'!#REF!="Mayor"),CONCATENATE("R8C",'Mapa final'!#REF!),"")</f>
        <v>#REF!</v>
      </c>
      <c r="AE33" s="40" t="e">
        <f>IF(AND('Mapa final'!#REF!="Media",'Mapa final'!#REF!="Mayor"),CONCATENATE("R8C",'Mapa final'!#REF!),"")</f>
        <v>#REF!</v>
      </c>
      <c r="AF33" s="40" t="e">
        <f>IF(AND('Mapa final'!#REF!="Media",'Mapa final'!#REF!="Mayor"),CONCATENATE("R8C",'Mapa final'!#REF!),"")</f>
        <v>#REF!</v>
      </c>
      <c r="AG33" s="41" t="e">
        <f>IF(AND('Mapa final'!#REF!="Media",'Mapa final'!#REF!="Mayor"),CONCATENATE("R8C",'Mapa final'!#REF!),"")</f>
        <v>#REF!</v>
      </c>
      <c r="AH33" s="42" t="e">
        <f>IF(AND('Mapa final'!#REF!="Media",'Mapa final'!#REF!="Catastrófico"),CONCATENATE("R8C",'Mapa final'!#REF!),"")</f>
        <v>#REF!</v>
      </c>
      <c r="AI33" s="43" t="e">
        <f>IF(AND('Mapa final'!#REF!="Media",'Mapa final'!#REF!="Catastrófico"),CONCATENATE("R8C",'Mapa final'!#REF!),"")</f>
        <v>#REF!</v>
      </c>
      <c r="AJ33" s="43" t="e">
        <f>IF(AND('Mapa final'!#REF!="Media",'Mapa final'!#REF!="Catastrófico"),CONCATENATE("R8C",'Mapa final'!#REF!),"")</f>
        <v>#REF!</v>
      </c>
      <c r="AK33" s="43" t="e">
        <f>IF(AND('Mapa final'!#REF!="Media",'Mapa final'!#REF!="Catastrófico"),CONCATENATE("R8C",'Mapa final'!#REF!),"")</f>
        <v>#REF!</v>
      </c>
      <c r="AL33" s="43" t="e">
        <f>IF(AND('Mapa final'!#REF!="Media",'Mapa final'!#REF!="Catastrófico"),CONCATENATE("R8C",'Mapa final'!#REF!),"")</f>
        <v>#REF!</v>
      </c>
      <c r="AM33" s="44" t="e">
        <f>IF(AND('Mapa final'!#REF!="Media",'Mapa final'!#REF!="Catastrófico"),CONCATENATE("R8C",'Mapa final'!#REF!),"")</f>
        <v>#REF!</v>
      </c>
      <c r="AN33" s="1"/>
      <c r="AO33" s="290"/>
      <c r="AP33" s="144"/>
      <c r="AQ33" s="144"/>
      <c r="AR33" s="144"/>
      <c r="AS33" s="144"/>
      <c r="AT33" s="291"/>
      <c r="AU33" s="1"/>
      <c r="AV33" s="1"/>
      <c r="AW33" s="1"/>
      <c r="AX33" s="1"/>
      <c r="AY33" s="1"/>
      <c r="AZ33" s="1"/>
      <c r="BA33" s="1"/>
      <c r="BB33" s="1"/>
      <c r="BC33" s="1"/>
      <c r="BD33" s="1"/>
      <c r="BE33" s="1"/>
      <c r="BF33" s="1"/>
      <c r="BG33" s="1"/>
      <c r="BH33" s="1"/>
      <c r="BI33" s="1"/>
    </row>
    <row r="34" spans="1:61" ht="15" customHeight="1" x14ac:dyDescent="0.25">
      <c r="A34" s="1"/>
      <c r="B34" s="281"/>
      <c r="C34" s="144"/>
      <c r="D34" s="145"/>
      <c r="E34" s="156"/>
      <c r="F34" s="144"/>
      <c r="G34" s="144"/>
      <c r="H34" s="144"/>
      <c r="I34" s="145"/>
      <c r="J34" s="54" t="e">
        <f>IF(AND('Mapa final'!#REF!="Media",'Mapa final'!#REF!="Leve"),CONCATENATE("R9C",'Mapa final'!#REF!),"")</f>
        <v>#REF!</v>
      </c>
      <c r="K34" s="55" t="e">
        <f>IF(AND('Mapa final'!#REF!="Media",'Mapa final'!#REF!="Leve"),CONCATENATE("R9C",'Mapa final'!#REF!),"")</f>
        <v>#REF!</v>
      </c>
      <c r="L34" s="55" t="e">
        <f>IF(AND('Mapa final'!#REF!="Media",'Mapa final'!#REF!="Leve"),CONCATENATE("R9C",'Mapa final'!#REF!),"")</f>
        <v>#REF!</v>
      </c>
      <c r="M34" s="55" t="e">
        <f>IF(AND('Mapa final'!#REF!="Media",'Mapa final'!#REF!="Leve"),CONCATENATE("R9C",'Mapa final'!#REF!),"")</f>
        <v>#REF!</v>
      </c>
      <c r="N34" s="55" t="e">
        <f>IF(AND('Mapa final'!#REF!="Media",'Mapa final'!#REF!="Leve"),CONCATENATE("R9C",'Mapa final'!#REF!),"")</f>
        <v>#REF!</v>
      </c>
      <c r="O34" s="56" t="e">
        <f>IF(AND('Mapa final'!#REF!="Media",'Mapa final'!#REF!="Leve"),CONCATENATE("R9C",'Mapa final'!#REF!),"")</f>
        <v>#REF!</v>
      </c>
      <c r="P34" s="54" t="e">
        <f>IF(AND('Mapa final'!#REF!="Media",'Mapa final'!#REF!="Menor"),CONCATENATE("R9C",'Mapa final'!#REF!),"")</f>
        <v>#REF!</v>
      </c>
      <c r="Q34" s="55" t="e">
        <f>IF(AND('Mapa final'!#REF!="Media",'Mapa final'!#REF!="Menor"),CONCATENATE("R9C",'Mapa final'!#REF!),"")</f>
        <v>#REF!</v>
      </c>
      <c r="R34" s="55" t="e">
        <f>IF(AND('Mapa final'!#REF!="Media",'Mapa final'!#REF!="Menor"),CONCATENATE("R9C",'Mapa final'!#REF!),"")</f>
        <v>#REF!</v>
      </c>
      <c r="S34" s="55" t="e">
        <f>IF(AND('Mapa final'!#REF!="Media",'Mapa final'!#REF!="Menor"),CONCATENATE("R9C",'Mapa final'!#REF!),"")</f>
        <v>#REF!</v>
      </c>
      <c r="T34" s="55" t="e">
        <f>IF(AND('Mapa final'!#REF!="Media",'Mapa final'!#REF!="Menor"),CONCATENATE("R9C",'Mapa final'!#REF!),"")</f>
        <v>#REF!</v>
      </c>
      <c r="U34" s="56" t="e">
        <f>IF(AND('Mapa final'!#REF!="Media",'Mapa final'!#REF!="Menor"),CONCATENATE("R9C",'Mapa final'!#REF!),"")</f>
        <v>#REF!</v>
      </c>
      <c r="V34" s="54" t="e">
        <f>IF(AND('Mapa final'!#REF!="Media",'Mapa final'!#REF!="Moderado"),CONCATENATE("R9C",'Mapa final'!#REF!),"")</f>
        <v>#REF!</v>
      </c>
      <c r="W34" s="55" t="e">
        <f>IF(AND('Mapa final'!#REF!="Media",'Mapa final'!#REF!="Moderado"),CONCATENATE("R9C",'Mapa final'!#REF!),"")</f>
        <v>#REF!</v>
      </c>
      <c r="X34" s="55" t="e">
        <f>IF(AND('Mapa final'!#REF!="Media",'Mapa final'!#REF!="Moderado"),CONCATENATE("R9C",'Mapa final'!#REF!),"")</f>
        <v>#REF!</v>
      </c>
      <c r="Y34" s="55" t="e">
        <f>IF(AND('Mapa final'!#REF!="Media",'Mapa final'!#REF!="Moderado"),CONCATENATE("R9C",'Mapa final'!#REF!),"")</f>
        <v>#REF!</v>
      </c>
      <c r="Z34" s="55" t="e">
        <f>IF(AND('Mapa final'!#REF!="Media",'Mapa final'!#REF!="Moderado"),CONCATENATE("R9C",'Mapa final'!#REF!),"")</f>
        <v>#REF!</v>
      </c>
      <c r="AA34" s="56" t="e">
        <f>IF(AND('Mapa final'!#REF!="Media",'Mapa final'!#REF!="Moderado"),CONCATENATE("R9C",'Mapa final'!#REF!),"")</f>
        <v>#REF!</v>
      </c>
      <c r="AB34" s="39" t="e">
        <f>IF(AND('Mapa final'!#REF!="Media",'Mapa final'!#REF!="Mayor"),CONCATENATE("R9C",'Mapa final'!#REF!),"")</f>
        <v>#REF!</v>
      </c>
      <c r="AC34" s="40" t="e">
        <f>IF(AND('Mapa final'!#REF!="Media",'Mapa final'!#REF!="Mayor"),CONCATENATE("R9C",'Mapa final'!#REF!),"")</f>
        <v>#REF!</v>
      </c>
      <c r="AD34" s="40" t="e">
        <f>IF(AND('Mapa final'!#REF!="Media",'Mapa final'!#REF!="Mayor"),CONCATENATE("R9C",'Mapa final'!#REF!),"")</f>
        <v>#REF!</v>
      </c>
      <c r="AE34" s="40" t="e">
        <f>IF(AND('Mapa final'!#REF!="Media",'Mapa final'!#REF!="Mayor"),CONCATENATE("R9C",'Mapa final'!#REF!),"")</f>
        <v>#REF!</v>
      </c>
      <c r="AF34" s="40" t="e">
        <f>IF(AND('Mapa final'!#REF!="Media",'Mapa final'!#REF!="Mayor"),CONCATENATE("R9C",'Mapa final'!#REF!),"")</f>
        <v>#REF!</v>
      </c>
      <c r="AG34" s="41" t="e">
        <f>IF(AND('Mapa final'!#REF!="Media",'Mapa final'!#REF!="Mayor"),CONCATENATE("R9C",'Mapa final'!#REF!),"")</f>
        <v>#REF!</v>
      </c>
      <c r="AH34" s="42" t="e">
        <f>IF(AND('Mapa final'!#REF!="Media",'Mapa final'!#REF!="Catastrófico"),CONCATENATE("R9C",'Mapa final'!#REF!),"")</f>
        <v>#REF!</v>
      </c>
      <c r="AI34" s="43" t="e">
        <f>IF(AND('Mapa final'!#REF!="Media",'Mapa final'!#REF!="Catastrófico"),CONCATENATE("R9C",'Mapa final'!#REF!),"")</f>
        <v>#REF!</v>
      </c>
      <c r="AJ34" s="43" t="e">
        <f>IF(AND('Mapa final'!#REF!="Media",'Mapa final'!#REF!="Catastrófico"),CONCATENATE("R9C",'Mapa final'!#REF!),"")</f>
        <v>#REF!</v>
      </c>
      <c r="AK34" s="43" t="e">
        <f>IF(AND('Mapa final'!#REF!="Media",'Mapa final'!#REF!="Catastrófico"),CONCATENATE("R9C",'Mapa final'!#REF!),"")</f>
        <v>#REF!</v>
      </c>
      <c r="AL34" s="43" t="e">
        <f>IF(AND('Mapa final'!#REF!="Media",'Mapa final'!#REF!="Catastrófico"),CONCATENATE("R9C",'Mapa final'!#REF!),"")</f>
        <v>#REF!</v>
      </c>
      <c r="AM34" s="44" t="e">
        <f>IF(AND('Mapa final'!#REF!="Media",'Mapa final'!#REF!="Catastrófico"),CONCATENATE("R9C",'Mapa final'!#REF!),"")</f>
        <v>#REF!</v>
      </c>
      <c r="AN34" s="1"/>
      <c r="AO34" s="290"/>
      <c r="AP34" s="144"/>
      <c r="AQ34" s="144"/>
      <c r="AR34" s="144"/>
      <c r="AS34" s="144"/>
      <c r="AT34" s="291"/>
      <c r="AU34" s="1"/>
      <c r="AV34" s="1"/>
      <c r="AW34" s="1"/>
      <c r="AX34" s="1"/>
      <c r="AY34" s="1"/>
      <c r="AZ34" s="1"/>
      <c r="BA34" s="1"/>
      <c r="BB34" s="1"/>
      <c r="BC34" s="1"/>
      <c r="BD34" s="1"/>
      <c r="BE34" s="1"/>
      <c r="BF34" s="1"/>
      <c r="BG34" s="1"/>
      <c r="BH34" s="1"/>
      <c r="BI34" s="1"/>
    </row>
    <row r="35" spans="1:61" ht="15.75" customHeight="1" x14ac:dyDescent="0.25">
      <c r="A35" s="1"/>
      <c r="B35" s="281"/>
      <c r="C35" s="144"/>
      <c r="D35" s="145"/>
      <c r="E35" s="271"/>
      <c r="F35" s="272"/>
      <c r="G35" s="272"/>
      <c r="H35" s="272"/>
      <c r="I35" s="275"/>
      <c r="J35" s="54" t="e">
        <f>IF(AND('Mapa final'!#REF!="Media",'Mapa final'!#REF!="Leve"),CONCATENATE("R10C",'Mapa final'!#REF!),"")</f>
        <v>#REF!</v>
      </c>
      <c r="K35" s="55" t="e">
        <f>IF(AND('Mapa final'!#REF!="Media",'Mapa final'!#REF!="Leve"),CONCATENATE("R10C",'Mapa final'!#REF!),"")</f>
        <v>#REF!</v>
      </c>
      <c r="L35" s="55" t="e">
        <f>IF(AND('Mapa final'!#REF!="Media",'Mapa final'!#REF!="Leve"),CONCATENATE("R10C",'Mapa final'!#REF!),"")</f>
        <v>#REF!</v>
      </c>
      <c r="M35" s="55" t="e">
        <f>IF(AND('Mapa final'!#REF!="Media",'Mapa final'!#REF!="Leve"),CONCATENATE("R10C",'Mapa final'!#REF!),"")</f>
        <v>#REF!</v>
      </c>
      <c r="N35" s="55" t="e">
        <f>IF(AND('Mapa final'!#REF!="Media",'Mapa final'!#REF!="Leve"),CONCATENATE("R10C",'Mapa final'!#REF!),"")</f>
        <v>#REF!</v>
      </c>
      <c r="O35" s="56" t="e">
        <f>IF(AND('Mapa final'!#REF!="Media",'Mapa final'!#REF!="Leve"),CONCATENATE("R10C",'Mapa final'!#REF!),"")</f>
        <v>#REF!</v>
      </c>
      <c r="P35" s="54" t="e">
        <f>IF(AND('Mapa final'!#REF!="Media",'Mapa final'!#REF!="Menor"),CONCATENATE("R10C",'Mapa final'!#REF!),"")</f>
        <v>#REF!</v>
      </c>
      <c r="Q35" s="55" t="e">
        <f>IF(AND('Mapa final'!#REF!="Media",'Mapa final'!#REF!="Menor"),CONCATENATE("R10C",'Mapa final'!#REF!),"")</f>
        <v>#REF!</v>
      </c>
      <c r="R35" s="55" t="e">
        <f>IF(AND('Mapa final'!#REF!="Media",'Mapa final'!#REF!="Menor"),CONCATENATE("R10C",'Mapa final'!#REF!),"")</f>
        <v>#REF!</v>
      </c>
      <c r="S35" s="55" t="e">
        <f>IF(AND('Mapa final'!#REF!="Media",'Mapa final'!#REF!="Menor"),CONCATENATE("R10C",'Mapa final'!#REF!),"")</f>
        <v>#REF!</v>
      </c>
      <c r="T35" s="55" t="e">
        <f>IF(AND('Mapa final'!#REF!="Media",'Mapa final'!#REF!="Menor"),CONCATENATE("R10C",'Mapa final'!#REF!),"")</f>
        <v>#REF!</v>
      </c>
      <c r="U35" s="56" t="e">
        <f>IF(AND('Mapa final'!#REF!="Media",'Mapa final'!#REF!="Menor"),CONCATENATE("R10C",'Mapa final'!#REF!),"")</f>
        <v>#REF!</v>
      </c>
      <c r="V35" s="54" t="e">
        <f>IF(AND('Mapa final'!#REF!="Media",'Mapa final'!#REF!="Moderado"),CONCATENATE("R10C",'Mapa final'!#REF!),"")</f>
        <v>#REF!</v>
      </c>
      <c r="W35" s="55" t="e">
        <f>IF(AND('Mapa final'!#REF!="Media",'Mapa final'!#REF!="Moderado"),CONCATENATE("R10C",'Mapa final'!#REF!),"")</f>
        <v>#REF!</v>
      </c>
      <c r="X35" s="55" t="e">
        <f>IF(AND('Mapa final'!#REF!="Media",'Mapa final'!#REF!="Moderado"),CONCATENATE("R10C",'Mapa final'!#REF!),"")</f>
        <v>#REF!</v>
      </c>
      <c r="Y35" s="55" t="e">
        <f>IF(AND('Mapa final'!#REF!="Media",'Mapa final'!#REF!="Moderado"),CONCATENATE("R10C",'Mapa final'!#REF!),"")</f>
        <v>#REF!</v>
      </c>
      <c r="Z35" s="55" t="e">
        <f>IF(AND('Mapa final'!#REF!="Media",'Mapa final'!#REF!="Moderado"),CONCATENATE("R10C",'Mapa final'!#REF!),"")</f>
        <v>#REF!</v>
      </c>
      <c r="AA35" s="56" t="e">
        <f>IF(AND('Mapa final'!#REF!="Media",'Mapa final'!#REF!="Moderado"),CONCATENATE("R10C",'Mapa final'!#REF!),"")</f>
        <v>#REF!</v>
      </c>
      <c r="AB35" s="45" t="e">
        <f>IF(AND('Mapa final'!#REF!="Media",'Mapa final'!#REF!="Mayor"),CONCATENATE("R10C",'Mapa final'!#REF!),"")</f>
        <v>#REF!</v>
      </c>
      <c r="AC35" s="46" t="e">
        <f>IF(AND('Mapa final'!#REF!="Media",'Mapa final'!#REF!="Mayor"),CONCATENATE("R10C",'Mapa final'!#REF!),"")</f>
        <v>#REF!</v>
      </c>
      <c r="AD35" s="46" t="e">
        <f>IF(AND('Mapa final'!#REF!="Media",'Mapa final'!#REF!="Mayor"),CONCATENATE("R10C",'Mapa final'!#REF!),"")</f>
        <v>#REF!</v>
      </c>
      <c r="AE35" s="46" t="e">
        <f>IF(AND('Mapa final'!#REF!="Media",'Mapa final'!#REF!="Mayor"),CONCATENATE("R10C",'Mapa final'!#REF!),"")</f>
        <v>#REF!</v>
      </c>
      <c r="AF35" s="46" t="e">
        <f>IF(AND('Mapa final'!#REF!="Media",'Mapa final'!#REF!="Mayor"),CONCATENATE("R10C",'Mapa final'!#REF!),"")</f>
        <v>#REF!</v>
      </c>
      <c r="AG35" s="47" t="e">
        <f>IF(AND('Mapa final'!#REF!="Media",'Mapa final'!#REF!="Mayor"),CONCATENATE("R10C",'Mapa final'!#REF!),"")</f>
        <v>#REF!</v>
      </c>
      <c r="AH35" s="48" t="e">
        <f>IF(AND('Mapa final'!#REF!="Media",'Mapa final'!#REF!="Catastrófico"),CONCATENATE("R10C",'Mapa final'!#REF!),"")</f>
        <v>#REF!</v>
      </c>
      <c r="AI35" s="49" t="e">
        <f>IF(AND('Mapa final'!#REF!="Media",'Mapa final'!#REF!="Catastrófico"),CONCATENATE("R10C",'Mapa final'!#REF!),"")</f>
        <v>#REF!</v>
      </c>
      <c r="AJ35" s="49" t="e">
        <f>IF(AND('Mapa final'!#REF!="Media",'Mapa final'!#REF!="Catastrófico"),CONCATENATE("R10C",'Mapa final'!#REF!),"")</f>
        <v>#REF!</v>
      </c>
      <c r="AK35" s="49" t="e">
        <f>IF(AND('Mapa final'!#REF!="Media",'Mapa final'!#REF!="Catastrófico"),CONCATENATE("R10C",'Mapa final'!#REF!),"")</f>
        <v>#REF!</v>
      </c>
      <c r="AL35" s="49" t="e">
        <f>IF(AND('Mapa final'!#REF!="Media",'Mapa final'!#REF!="Catastrófico"),CONCATENATE("R10C",'Mapa final'!#REF!),"")</f>
        <v>#REF!</v>
      </c>
      <c r="AM35" s="50" t="e">
        <f>IF(AND('Mapa final'!#REF!="Media",'Mapa final'!#REF!="Catastrófico"),CONCATENATE("R10C",'Mapa final'!#REF!),"")</f>
        <v>#REF!</v>
      </c>
      <c r="AN35" s="1"/>
      <c r="AO35" s="292"/>
      <c r="AP35" s="293"/>
      <c r="AQ35" s="293"/>
      <c r="AR35" s="293"/>
      <c r="AS35" s="293"/>
      <c r="AT35" s="294"/>
      <c r="AU35" s="1"/>
      <c r="AV35" s="1"/>
      <c r="AW35" s="1"/>
      <c r="AX35" s="1"/>
      <c r="AY35" s="1"/>
      <c r="AZ35" s="1"/>
      <c r="BA35" s="1"/>
      <c r="BB35" s="1"/>
      <c r="BC35" s="1"/>
      <c r="BD35" s="1"/>
      <c r="BE35" s="1"/>
      <c r="BF35" s="1"/>
      <c r="BG35" s="1"/>
      <c r="BH35" s="1"/>
      <c r="BI35" s="1"/>
    </row>
    <row r="36" spans="1:61" ht="15" customHeight="1" x14ac:dyDescent="0.25">
      <c r="A36" s="1"/>
      <c r="B36" s="281"/>
      <c r="C36" s="144"/>
      <c r="D36" s="145"/>
      <c r="E36" s="299" t="s">
        <v>124</v>
      </c>
      <c r="F36" s="270"/>
      <c r="G36" s="270"/>
      <c r="H36" s="270"/>
      <c r="I36" s="270"/>
      <c r="J36" s="60" t="str">
        <f>IF(AND('Mapa final'!$Y$13="Baja",'Mapa final'!$AA$13="Leve"),CONCATENATE("R1C",'Mapa final'!$O$13),"")</f>
        <v/>
      </c>
      <c r="K36" s="61" t="str">
        <f>IF(AND('Mapa final'!$Y$14="Baja",'Mapa final'!$AA$14="Leve"),CONCATENATE("R1C",'Mapa final'!$O$14),"")</f>
        <v/>
      </c>
      <c r="L36" s="61" t="str">
        <f>IF(AND('Mapa final'!$Y$15="Baja",'Mapa final'!$AA$15="Leve"),CONCATENATE("R1C",'Mapa final'!$O$15),"")</f>
        <v/>
      </c>
      <c r="M36" s="61" t="str">
        <f>IF(AND('Mapa final'!$Y$16="Baja",'Mapa final'!$AA$16="Leve"),CONCATENATE("R1C",'Mapa final'!$O$16),"")</f>
        <v/>
      </c>
      <c r="N36" s="61" t="str">
        <f>IF(AND('Mapa final'!$Y$17="Baja",'Mapa final'!$AA$17="Leve"),CONCATENATE("R1C",'Mapa final'!$O$17),"")</f>
        <v/>
      </c>
      <c r="O36" s="62" t="str">
        <f>IF(AND('Mapa final'!$Y$18="Baja",'Mapa final'!$AA$18="Leve"),CONCATENATE("R1C",'Mapa final'!$O$18),"")</f>
        <v/>
      </c>
      <c r="P36" s="51" t="str">
        <f>IF(AND('Mapa final'!$Y$13="Baja",'Mapa final'!$AA$13="Menor"),CONCATENATE("R1C",'Mapa final'!$O$13),"")</f>
        <v/>
      </c>
      <c r="Q36" s="52" t="str">
        <f>IF(AND('Mapa final'!$Y$14="Baja",'Mapa final'!$AA$14="Menor"),CONCATENATE("R1C",'Mapa final'!$O$14),"")</f>
        <v/>
      </c>
      <c r="R36" s="52" t="str">
        <f>IF(AND('Mapa final'!$Y$15="Baja",'Mapa final'!$AA$15="Menor"),CONCATENATE("R1C",'Mapa final'!$O$15),"")</f>
        <v/>
      </c>
      <c r="S36" s="52" t="str">
        <f>IF(AND('Mapa final'!$Y$16="Baja",'Mapa final'!$AA$16="Menor"),CONCATENATE("R1C",'Mapa final'!$O$16),"")</f>
        <v/>
      </c>
      <c r="T36" s="52" t="str">
        <f>IF(AND('Mapa final'!$Y$17="Baja",'Mapa final'!$AA$17="Menor"),CONCATENATE("R1C",'Mapa final'!$O$17),"")</f>
        <v/>
      </c>
      <c r="U36" s="53" t="str">
        <f>IF(AND('Mapa final'!$Y$18="Baja",'Mapa final'!$AA$18="Menor"),CONCATENATE("R1C",'Mapa final'!$O$18),"")</f>
        <v/>
      </c>
      <c r="V36" s="51" t="str">
        <f>IF(AND('Mapa final'!$Y$13="Baja",'Mapa final'!$AA$13="Moderado"),CONCATENATE("R1C",'Mapa final'!$O$13),"")</f>
        <v/>
      </c>
      <c r="W36" s="52" t="str">
        <f>IF(AND('Mapa final'!$Y$14="Baja",'Mapa final'!$AA$14="Moderado"),CONCATENATE("R1C",'Mapa final'!$O$14),"")</f>
        <v/>
      </c>
      <c r="X36" s="52" t="str">
        <f>IF(AND('Mapa final'!$Y$15="Baja",'Mapa final'!$AA$15="Moderado"),CONCATENATE("R1C",'Mapa final'!$O$15),"")</f>
        <v/>
      </c>
      <c r="Y36" s="52" t="str">
        <f>IF(AND('Mapa final'!$Y$16="Baja",'Mapa final'!$AA$16="Moderado"),CONCATENATE("R1C",'Mapa final'!$O$16),"")</f>
        <v/>
      </c>
      <c r="Z36" s="52" t="str">
        <f>IF(AND('Mapa final'!$Y$17="Baja",'Mapa final'!$AA$17="Moderado"),CONCATENATE("R1C",'Mapa final'!$O$17),"")</f>
        <v/>
      </c>
      <c r="AA36" s="53" t="str">
        <f>IF(AND('Mapa final'!$Y$18="Baja",'Mapa final'!$AA$18="Moderado"),CONCATENATE("R1C",'Mapa final'!$O$18),"")</f>
        <v/>
      </c>
      <c r="AB36" s="33" t="str">
        <f>IF(AND('Mapa final'!$Y$13="Baja",'Mapa final'!$AA$13="Mayor"),CONCATENATE("R1C",'Mapa final'!$O$13),"")</f>
        <v>R1C1</v>
      </c>
      <c r="AC36" s="34" t="str">
        <f>IF(AND('Mapa final'!$Y$14="Baja",'Mapa final'!$AA$14="Mayor"),CONCATENATE("R1C",'Mapa final'!$O$14),"")</f>
        <v/>
      </c>
      <c r="AD36" s="34" t="str">
        <f>IF(AND('Mapa final'!$Y$15="Baja",'Mapa final'!$AA$15="Mayor"),CONCATENATE("R1C",'Mapa final'!$O$15),"")</f>
        <v/>
      </c>
      <c r="AE36" s="34" t="str">
        <f>IF(AND('Mapa final'!$Y$16="Baja",'Mapa final'!$AA$16="Mayor"),CONCATENATE("R1C",'Mapa final'!$O$16),"")</f>
        <v/>
      </c>
      <c r="AF36" s="34" t="str">
        <f>IF(AND('Mapa final'!$Y$17="Baja",'Mapa final'!$AA$17="Mayor"),CONCATENATE("R1C",'Mapa final'!$O$17),"")</f>
        <v/>
      </c>
      <c r="AG36" s="35" t="str">
        <f>IF(AND('Mapa final'!$Y$18="Baja",'Mapa final'!$AA$18="Mayor"),CONCATENATE("R1C",'Mapa final'!$O$18),"")</f>
        <v/>
      </c>
      <c r="AH36" s="36" t="str">
        <f>IF(AND('Mapa final'!$Y$13="Baja",'Mapa final'!$AA$13="Catastrófico"),CONCATENATE("R1C",'Mapa final'!$O$13),"")</f>
        <v/>
      </c>
      <c r="AI36" s="37" t="str">
        <f>IF(AND('Mapa final'!$Y$14="Baja",'Mapa final'!$AA$14="Catastrófico"),CONCATENATE("R1C",'Mapa final'!$O$14),"")</f>
        <v/>
      </c>
      <c r="AJ36" s="37" t="str">
        <f>IF(AND('Mapa final'!$Y$15="Baja",'Mapa final'!$AA$15="Catastrófico"),CONCATENATE("R1C",'Mapa final'!$O$15),"")</f>
        <v/>
      </c>
      <c r="AK36" s="37" t="str">
        <f>IF(AND('Mapa final'!$Y$16="Baja",'Mapa final'!$AA$16="Catastrófico"),CONCATENATE("R1C",'Mapa final'!$O$16),"")</f>
        <v/>
      </c>
      <c r="AL36" s="37" t="str">
        <f>IF(AND('Mapa final'!$Y$17="Baja",'Mapa final'!$AA$17="Catastrófico"),CONCATENATE("R1C",'Mapa final'!$O$17),"")</f>
        <v/>
      </c>
      <c r="AM36" s="38" t="str">
        <f>IF(AND('Mapa final'!$Y$18="Baja",'Mapa final'!$AA$18="Catastrófico"),CONCATENATE("R1C",'Mapa final'!$O$18),"")</f>
        <v/>
      </c>
      <c r="AN36" s="1"/>
      <c r="AO36" s="303" t="s">
        <v>125</v>
      </c>
      <c r="AP36" s="288"/>
      <c r="AQ36" s="288"/>
      <c r="AR36" s="288"/>
      <c r="AS36" s="288"/>
      <c r="AT36" s="289"/>
      <c r="AU36" s="1"/>
      <c r="AV36" s="1"/>
      <c r="AW36" s="1"/>
      <c r="AX36" s="1"/>
      <c r="AY36" s="1"/>
      <c r="AZ36" s="1"/>
      <c r="BA36" s="1"/>
      <c r="BB36" s="1"/>
      <c r="BC36" s="1"/>
      <c r="BD36" s="1"/>
      <c r="BE36" s="1"/>
      <c r="BF36" s="1"/>
      <c r="BG36" s="1"/>
      <c r="BH36" s="1"/>
      <c r="BI36" s="1"/>
    </row>
    <row r="37" spans="1:61" ht="15" customHeight="1" x14ac:dyDescent="0.25">
      <c r="A37" s="1"/>
      <c r="B37" s="281"/>
      <c r="C37" s="144"/>
      <c r="D37" s="145"/>
      <c r="E37" s="156"/>
      <c r="F37" s="144"/>
      <c r="G37" s="144"/>
      <c r="H37" s="144"/>
      <c r="I37" s="144"/>
      <c r="J37" s="63" t="str">
        <f>IF(AND('Mapa final'!$Y$19="Baja",'Mapa final'!$AA$19="Leve"),CONCATENATE("R2C",'Mapa final'!$O$19),"")</f>
        <v/>
      </c>
      <c r="K37" s="64" t="str">
        <f>IF(AND('Mapa final'!$Y$20="Baja",'Mapa final'!$AA$20="Leve"),CONCATENATE("R2C",'Mapa final'!$O$20),"")</f>
        <v/>
      </c>
      <c r="L37" s="64" t="str">
        <f>IF(AND('Mapa final'!$Y$21="Baja",'Mapa final'!$AA$21="Leve"),CONCATENATE("R2C",'Mapa final'!$O$21),"")</f>
        <v/>
      </c>
      <c r="M37" s="64" t="str">
        <f>IF(AND('Mapa final'!$Y$22="Baja",'Mapa final'!$AA$22="Leve"),CONCATENATE("R2C",'Mapa final'!$O$22),"")</f>
        <v/>
      </c>
      <c r="N37" s="64" t="str">
        <f>IF(AND('Mapa final'!$Y$23="Baja",'Mapa final'!$AA$23="Leve"),CONCATENATE("R2C",'Mapa final'!$O$23),"")</f>
        <v/>
      </c>
      <c r="O37" s="65" t="str">
        <f>IF(AND('Mapa final'!$Y$24="Baja",'Mapa final'!$AA$24="Leve"),CONCATENATE("R2C",'Mapa final'!$O$24),"")</f>
        <v/>
      </c>
      <c r="P37" s="54" t="str">
        <f>IF(AND('Mapa final'!$Y$19="Baja",'Mapa final'!$AA$19="Menor"),CONCATENATE("R2C",'Mapa final'!$O$19),"")</f>
        <v/>
      </c>
      <c r="Q37" s="55" t="str">
        <f>IF(AND('Mapa final'!$Y$20="Baja",'Mapa final'!$AA$20="Menor"),CONCATENATE("R2C",'Mapa final'!$O$20),"")</f>
        <v/>
      </c>
      <c r="R37" s="55" t="str">
        <f>IF(AND('Mapa final'!$Y$21="Baja",'Mapa final'!$AA$21="Menor"),CONCATENATE("R2C",'Mapa final'!$O$21),"")</f>
        <v/>
      </c>
      <c r="S37" s="55" t="str">
        <f>IF(AND('Mapa final'!$Y$22="Baja",'Mapa final'!$AA$22="Menor"),CONCATENATE("R2C",'Mapa final'!$O$22),"")</f>
        <v/>
      </c>
      <c r="T37" s="55" t="str">
        <f>IF(AND('Mapa final'!$Y$23="Baja",'Mapa final'!$AA$23="Menor"),CONCATENATE("R2C",'Mapa final'!$O$23),"")</f>
        <v/>
      </c>
      <c r="U37" s="56" t="str">
        <f>IF(AND('Mapa final'!$Y$24="Baja",'Mapa final'!$AA$24="Menor"),CONCATENATE("R2C",'Mapa final'!$O$24),"")</f>
        <v/>
      </c>
      <c r="V37" s="54" t="str">
        <f>IF(AND('Mapa final'!$Y$19="Baja",'Mapa final'!$AA$19="Moderado"),CONCATENATE("R2C",'Mapa final'!$O$19),"")</f>
        <v>R2C1</v>
      </c>
      <c r="W37" s="55" t="str">
        <f>IF(AND('Mapa final'!$Y$20="Baja",'Mapa final'!$AA$20="Moderado"),CONCATENATE("R2C",'Mapa final'!$O$20),"")</f>
        <v/>
      </c>
      <c r="X37" s="55" t="str">
        <f>IF(AND('Mapa final'!$Y$21="Baja",'Mapa final'!$AA$21="Moderado"),CONCATENATE("R2C",'Mapa final'!$O$21),"")</f>
        <v/>
      </c>
      <c r="Y37" s="55" t="str">
        <f>IF(AND('Mapa final'!$Y$22="Baja",'Mapa final'!$AA$22="Moderado"),CONCATENATE("R2C",'Mapa final'!$O$22),"")</f>
        <v/>
      </c>
      <c r="Z37" s="55" t="str">
        <f>IF(AND('Mapa final'!$Y$23="Baja",'Mapa final'!$AA$23="Moderado"),CONCATENATE("R2C",'Mapa final'!$O$23),"")</f>
        <v/>
      </c>
      <c r="AA37" s="56" t="str">
        <f>IF(AND('Mapa final'!$Y$24="Baja",'Mapa final'!$AA$24="Moderado"),CONCATENATE("R2C",'Mapa final'!$O$24),"")</f>
        <v/>
      </c>
      <c r="AB37" s="39" t="str">
        <f>IF(AND('Mapa final'!$Y$19="Baja",'Mapa final'!$AA$19="Mayor"),CONCATENATE("R2C",'Mapa final'!$O$19),"")</f>
        <v/>
      </c>
      <c r="AC37" s="40" t="str">
        <f>IF(AND('Mapa final'!$Y$20="Baja",'Mapa final'!$AA$20="Mayor"),CONCATENATE("R2C",'Mapa final'!$O$20),"")</f>
        <v/>
      </c>
      <c r="AD37" s="40" t="str">
        <f>IF(AND('Mapa final'!$Y$21="Baja",'Mapa final'!$AA$21="Mayor"),CONCATENATE("R2C",'Mapa final'!$O$21),"")</f>
        <v/>
      </c>
      <c r="AE37" s="40" t="str">
        <f>IF(AND('Mapa final'!$Y$22="Baja",'Mapa final'!$AA$22="Mayor"),CONCATENATE("R2C",'Mapa final'!$O$22),"")</f>
        <v/>
      </c>
      <c r="AF37" s="40" t="str">
        <f>IF(AND('Mapa final'!$Y$23="Baja",'Mapa final'!$AA$23="Mayor"),CONCATENATE("R2C",'Mapa final'!$O$23),"")</f>
        <v/>
      </c>
      <c r="AG37" s="41" t="str">
        <f>IF(AND('Mapa final'!$Y$24="Baja",'Mapa final'!$AA$24="Mayor"),CONCATENATE("R2C",'Mapa final'!$O$24),"")</f>
        <v/>
      </c>
      <c r="AH37" s="42" t="str">
        <f>IF(AND('Mapa final'!$Y$19="Baja",'Mapa final'!$AA$19="Catastrófico"),CONCATENATE("R2C",'Mapa final'!$O$19),"")</f>
        <v/>
      </c>
      <c r="AI37" s="43" t="str">
        <f>IF(AND('Mapa final'!$Y$20="Baja",'Mapa final'!$AA$20="Catastrófico"),CONCATENATE("R2C",'Mapa final'!$O$20),"")</f>
        <v/>
      </c>
      <c r="AJ37" s="43" t="str">
        <f>IF(AND('Mapa final'!$Y$21="Baja",'Mapa final'!$AA$21="Catastrófico"),CONCATENATE("R2C",'Mapa final'!$O$21),"")</f>
        <v/>
      </c>
      <c r="AK37" s="43" t="str">
        <f>IF(AND('Mapa final'!$Y$22="Baja",'Mapa final'!$AA$22="Catastrófico"),CONCATENATE("R2C",'Mapa final'!$O$22),"")</f>
        <v/>
      </c>
      <c r="AL37" s="43" t="str">
        <f>IF(AND('Mapa final'!$Y$23="Baja",'Mapa final'!$AA$23="Catastrófico"),CONCATENATE("R2C",'Mapa final'!$O$23),"")</f>
        <v/>
      </c>
      <c r="AM37" s="44" t="str">
        <f>IF(AND('Mapa final'!$Y$24="Baja",'Mapa final'!$AA$24="Catastrófico"),CONCATENATE("R2C",'Mapa final'!$O$24),"")</f>
        <v/>
      </c>
      <c r="AN37" s="1"/>
      <c r="AO37" s="290"/>
      <c r="AP37" s="144"/>
      <c r="AQ37" s="144"/>
      <c r="AR37" s="144"/>
      <c r="AS37" s="144"/>
      <c r="AT37" s="291"/>
      <c r="AU37" s="1"/>
      <c r="AV37" s="1"/>
      <c r="AW37" s="1"/>
      <c r="AX37" s="1"/>
      <c r="AY37" s="1"/>
      <c r="AZ37" s="1"/>
      <c r="BA37" s="1"/>
      <c r="BB37" s="1"/>
      <c r="BC37" s="1"/>
      <c r="BD37" s="1"/>
      <c r="BE37" s="1"/>
      <c r="BF37" s="1"/>
      <c r="BG37" s="1"/>
      <c r="BH37" s="1"/>
      <c r="BI37" s="1"/>
    </row>
    <row r="38" spans="1:61" ht="15" customHeight="1" x14ac:dyDescent="0.25">
      <c r="A38" s="1"/>
      <c r="B38" s="281"/>
      <c r="C38" s="144"/>
      <c r="D38" s="145"/>
      <c r="E38" s="156"/>
      <c r="F38" s="144"/>
      <c r="G38" s="144"/>
      <c r="H38" s="144"/>
      <c r="I38" s="144"/>
      <c r="J38" s="63" t="e">
        <f>IF(AND('Mapa final'!#REF!="Baja",'Mapa final'!#REF!="Leve"),CONCATENATE("R3C",'Mapa final'!#REF!),"")</f>
        <v>#REF!</v>
      </c>
      <c r="K38" s="64" t="e">
        <f>IF(AND('Mapa final'!#REF!="Baja",'Mapa final'!#REF!="Leve"),CONCATENATE("R3C",'Mapa final'!#REF!),"")</f>
        <v>#REF!</v>
      </c>
      <c r="L38" s="64" t="e">
        <f>IF(AND('Mapa final'!#REF!="Baja",'Mapa final'!#REF!="Leve"),CONCATENATE("R3C",'Mapa final'!#REF!),"")</f>
        <v>#REF!</v>
      </c>
      <c r="M38" s="64" t="e">
        <f>IF(AND('Mapa final'!#REF!="Baja",'Mapa final'!#REF!="Leve"),CONCATENATE("R3C",'Mapa final'!#REF!),"")</f>
        <v>#REF!</v>
      </c>
      <c r="N38" s="64" t="e">
        <f>IF(AND('Mapa final'!#REF!="Baja",'Mapa final'!#REF!="Leve"),CONCATENATE("R3C",'Mapa final'!#REF!),"")</f>
        <v>#REF!</v>
      </c>
      <c r="O38" s="65" t="e">
        <f>IF(AND('Mapa final'!#REF!="Baja",'Mapa final'!#REF!="Leve"),CONCATENATE("R3C",'Mapa final'!#REF!),"")</f>
        <v>#REF!</v>
      </c>
      <c r="P38" s="54" t="e">
        <f>IF(AND('Mapa final'!#REF!="Baja",'Mapa final'!#REF!="Menor"),CONCATENATE("R3C",'Mapa final'!#REF!),"")</f>
        <v>#REF!</v>
      </c>
      <c r="Q38" s="55" t="e">
        <f>IF(AND('Mapa final'!#REF!="Baja",'Mapa final'!#REF!="Menor"),CONCATENATE("R3C",'Mapa final'!#REF!),"")</f>
        <v>#REF!</v>
      </c>
      <c r="R38" s="55" t="e">
        <f>IF(AND('Mapa final'!#REF!="Baja",'Mapa final'!#REF!="Menor"),CONCATENATE("R3C",'Mapa final'!#REF!),"")</f>
        <v>#REF!</v>
      </c>
      <c r="S38" s="55" t="e">
        <f>IF(AND('Mapa final'!#REF!="Baja",'Mapa final'!#REF!="Menor"),CONCATENATE("R3C",'Mapa final'!#REF!),"")</f>
        <v>#REF!</v>
      </c>
      <c r="T38" s="55" t="e">
        <f>IF(AND('Mapa final'!#REF!="Baja",'Mapa final'!#REF!="Menor"),CONCATENATE("R3C",'Mapa final'!#REF!),"")</f>
        <v>#REF!</v>
      </c>
      <c r="U38" s="56" t="e">
        <f>IF(AND('Mapa final'!#REF!="Baja",'Mapa final'!#REF!="Menor"),CONCATENATE("R3C",'Mapa final'!#REF!),"")</f>
        <v>#REF!</v>
      </c>
      <c r="V38" s="54" t="e">
        <f>IF(AND('Mapa final'!#REF!="Baja",'Mapa final'!#REF!="Moderado"),CONCATENATE("R3C",'Mapa final'!#REF!),"")</f>
        <v>#REF!</v>
      </c>
      <c r="W38" s="55" t="e">
        <f>IF(AND('Mapa final'!#REF!="Baja",'Mapa final'!#REF!="Moderado"),CONCATENATE("R3C",'Mapa final'!#REF!),"")</f>
        <v>#REF!</v>
      </c>
      <c r="X38" s="55" t="e">
        <f>IF(AND('Mapa final'!#REF!="Baja",'Mapa final'!#REF!="Moderado"),CONCATENATE("R3C",'Mapa final'!#REF!),"")</f>
        <v>#REF!</v>
      </c>
      <c r="Y38" s="55" t="e">
        <f>IF(AND('Mapa final'!#REF!="Baja",'Mapa final'!#REF!="Moderado"),CONCATENATE("R3C",'Mapa final'!#REF!),"")</f>
        <v>#REF!</v>
      </c>
      <c r="Z38" s="55" t="e">
        <f>IF(AND('Mapa final'!#REF!="Baja",'Mapa final'!#REF!="Moderado"),CONCATENATE("R3C",'Mapa final'!#REF!),"")</f>
        <v>#REF!</v>
      </c>
      <c r="AA38" s="56" t="e">
        <f>IF(AND('Mapa final'!#REF!="Baja",'Mapa final'!#REF!="Moderado"),CONCATENATE("R3C",'Mapa final'!#REF!),"")</f>
        <v>#REF!</v>
      </c>
      <c r="AB38" s="39" t="e">
        <f>IF(AND('Mapa final'!#REF!="Baja",'Mapa final'!#REF!="Mayor"),CONCATENATE("R3C",'Mapa final'!#REF!),"")</f>
        <v>#REF!</v>
      </c>
      <c r="AC38" s="40" t="e">
        <f>IF(AND('Mapa final'!#REF!="Baja",'Mapa final'!#REF!="Mayor"),CONCATENATE("R3C",'Mapa final'!#REF!),"")</f>
        <v>#REF!</v>
      </c>
      <c r="AD38" s="40" t="e">
        <f>IF(AND('Mapa final'!#REF!="Baja",'Mapa final'!#REF!="Mayor"),CONCATENATE("R3C",'Mapa final'!#REF!),"")</f>
        <v>#REF!</v>
      </c>
      <c r="AE38" s="40" t="e">
        <f>IF(AND('Mapa final'!#REF!="Baja",'Mapa final'!#REF!="Mayor"),CONCATENATE("R3C",'Mapa final'!#REF!),"")</f>
        <v>#REF!</v>
      </c>
      <c r="AF38" s="40" t="e">
        <f>IF(AND('Mapa final'!#REF!="Baja",'Mapa final'!#REF!="Mayor"),CONCATENATE("R3C",'Mapa final'!#REF!),"")</f>
        <v>#REF!</v>
      </c>
      <c r="AG38" s="41" t="e">
        <f>IF(AND('Mapa final'!#REF!="Baja",'Mapa final'!#REF!="Mayor"),CONCATENATE("R3C",'Mapa final'!#REF!),"")</f>
        <v>#REF!</v>
      </c>
      <c r="AH38" s="42" t="e">
        <f>IF(AND('Mapa final'!#REF!="Baja",'Mapa final'!#REF!="Catastrófico"),CONCATENATE("R3C",'Mapa final'!#REF!),"")</f>
        <v>#REF!</v>
      </c>
      <c r="AI38" s="43" t="e">
        <f>IF(AND('Mapa final'!#REF!="Baja",'Mapa final'!#REF!="Catastrófico"),CONCATENATE("R3C",'Mapa final'!#REF!),"")</f>
        <v>#REF!</v>
      </c>
      <c r="AJ38" s="43" t="e">
        <f>IF(AND('Mapa final'!#REF!="Baja",'Mapa final'!#REF!="Catastrófico"),CONCATENATE("R3C",'Mapa final'!#REF!),"")</f>
        <v>#REF!</v>
      </c>
      <c r="AK38" s="43" t="e">
        <f>IF(AND('Mapa final'!#REF!="Baja",'Mapa final'!#REF!="Catastrófico"),CONCATENATE("R3C",'Mapa final'!#REF!),"")</f>
        <v>#REF!</v>
      </c>
      <c r="AL38" s="43" t="e">
        <f>IF(AND('Mapa final'!#REF!="Baja",'Mapa final'!#REF!="Catastrófico"),CONCATENATE("R3C",'Mapa final'!#REF!),"")</f>
        <v>#REF!</v>
      </c>
      <c r="AM38" s="44" t="e">
        <f>IF(AND('Mapa final'!#REF!="Baja",'Mapa final'!#REF!="Catastrófico"),CONCATENATE("R3C",'Mapa final'!#REF!),"")</f>
        <v>#REF!</v>
      </c>
      <c r="AN38" s="1"/>
      <c r="AO38" s="290"/>
      <c r="AP38" s="144"/>
      <c r="AQ38" s="144"/>
      <c r="AR38" s="144"/>
      <c r="AS38" s="144"/>
      <c r="AT38" s="291"/>
      <c r="AU38" s="1"/>
      <c r="AV38" s="1"/>
      <c r="AW38" s="1"/>
      <c r="AX38" s="1"/>
      <c r="AY38" s="1"/>
      <c r="AZ38" s="1"/>
      <c r="BA38" s="1"/>
      <c r="BB38" s="1"/>
      <c r="BC38" s="1"/>
      <c r="BD38" s="1"/>
      <c r="BE38" s="1"/>
      <c r="BF38" s="1"/>
      <c r="BG38" s="1"/>
      <c r="BH38" s="1"/>
      <c r="BI38" s="1"/>
    </row>
    <row r="39" spans="1:61" ht="15" customHeight="1" x14ac:dyDescent="0.25">
      <c r="A39" s="1"/>
      <c r="B39" s="281"/>
      <c r="C39" s="144"/>
      <c r="D39" s="145"/>
      <c r="E39" s="156"/>
      <c r="F39" s="144"/>
      <c r="G39" s="144"/>
      <c r="H39" s="144"/>
      <c r="I39" s="144"/>
      <c r="J39" s="63" t="e">
        <f>IF(AND('Mapa final'!#REF!="Baja",'Mapa final'!#REF!="Leve"),CONCATENATE("R4C",'Mapa final'!#REF!),"")</f>
        <v>#REF!</v>
      </c>
      <c r="K39" s="64" t="e">
        <f>IF(AND('Mapa final'!#REF!="Baja",'Mapa final'!#REF!="Leve"),CONCATENATE("R4C",'Mapa final'!#REF!),"")</f>
        <v>#REF!</v>
      </c>
      <c r="L39" s="64" t="e">
        <f>IF(AND('Mapa final'!#REF!="Baja",'Mapa final'!#REF!="Leve"),CONCATENATE("R4C",'Mapa final'!#REF!),"")</f>
        <v>#REF!</v>
      </c>
      <c r="M39" s="64" t="e">
        <f>IF(AND('Mapa final'!#REF!="Baja",'Mapa final'!#REF!="Leve"),CONCATENATE("R4C",'Mapa final'!#REF!),"")</f>
        <v>#REF!</v>
      </c>
      <c r="N39" s="64" t="e">
        <f>IF(AND('Mapa final'!#REF!="Baja",'Mapa final'!#REF!="Leve"),CONCATENATE("R4C",'Mapa final'!#REF!),"")</f>
        <v>#REF!</v>
      </c>
      <c r="O39" s="65" t="e">
        <f>IF(AND('Mapa final'!#REF!="Baja",'Mapa final'!#REF!="Leve"),CONCATENATE("R4C",'Mapa final'!#REF!),"")</f>
        <v>#REF!</v>
      </c>
      <c r="P39" s="54" t="e">
        <f>IF(AND('Mapa final'!#REF!="Baja",'Mapa final'!#REF!="Menor"),CONCATENATE("R4C",'Mapa final'!#REF!),"")</f>
        <v>#REF!</v>
      </c>
      <c r="Q39" s="55" t="e">
        <f>IF(AND('Mapa final'!#REF!="Baja",'Mapa final'!#REF!="Menor"),CONCATENATE("R4C",'Mapa final'!#REF!),"")</f>
        <v>#REF!</v>
      </c>
      <c r="R39" s="55" t="e">
        <f>IF(AND('Mapa final'!#REF!="Baja",'Mapa final'!#REF!="Menor"),CONCATENATE("R4C",'Mapa final'!#REF!),"")</f>
        <v>#REF!</v>
      </c>
      <c r="S39" s="55" t="e">
        <f>IF(AND('Mapa final'!#REF!="Baja",'Mapa final'!#REF!="Menor"),CONCATENATE("R4C",'Mapa final'!#REF!),"")</f>
        <v>#REF!</v>
      </c>
      <c r="T39" s="55" t="e">
        <f>IF(AND('Mapa final'!#REF!="Baja",'Mapa final'!#REF!="Menor"),CONCATENATE("R4C",'Mapa final'!#REF!),"")</f>
        <v>#REF!</v>
      </c>
      <c r="U39" s="56" t="e">
        <f>IF(AND('Mapa final'!#REF!="Baja",'Mapa final'!#REF!="Menor"),CONCATENATE("R4C",'Mapa final'!#REF!),"")</f>
        <v>#REF!</v>
      </c>
      <c r="V39" s="54" t="e">
        <f>IF(AND('Mapa final'!#REF!="Baja",'Mapa final'!#REF!="Moderado"),CONCATENATE("R4C",'Mapa final'!#REF!),"")</f>
        <v>#REF!</v>
      </c>
      <c r="W39" s="55" t="e">
        <f>IF(AND('Mapa final'!#REF!="Baja",'Mapa final'!#REF!="Moderado"),CONCATENATE("R4C",'Mapa final'!#REF!),"")</f>
        <v>#REF!</v>
      </c>
      <c r="X39" s="55" t="e">
        <f>IF(AND('Mapa final'!#REF!="Baja",'Mapa final'!#REF!="Moderado"),CONCATENATE("R4C",'Mapa final'!#REF!),"")</f>
        <v>#REF!</v>
      </c>
      <c r="Y39" s="55" t="e">
        <f>IF(AND('Mapa final'!#REF!="Baja",'Mapa final'!#REF!="Moderado"),CONCATENATE("R4C",'Mapa final'!#REF!),"")</f>
        <v>#REF!</v>
      </c>
      <c r="Z39" s="55" t="e">
        <f>IF(AND('Mapa final'!#REF!="Baja",'Mapa final'!#REF!="Moderado"),CONCATENATE("R4C",'Mapa final'!#REF!),"")</f>
        <v>#REF!</v>
      </c>
      <c r="AA39" s="56" t="e">
        <f>IF(AND('Mapa final'!#REF!="Baja",'Mapa final'!#REF!="Moderado"),CONCATENATE("R4C",'Mapa final'!#REF!),"")</f>
        <v>#REF!</v>
      </c>
      <c r="AB39" s="39" t="e">
        <f>IF(AND('Mapa final'!#REF!="Baja",'Mapa final'!#REF!="Mayor"),CONCATENATE("R4C",'Mapa final'!#REF!),"")</f>
        <v>#REF!</v>
      </c>
      <c r="AC39" s="40" t="e">
        <f>IF(AND('Mapa final'!#REF!="Baja",'Mapa final'!#REF!="Mayor"),CONCATENATE("R4C",'Mapa final'!#REF!),"")</f>
        <v>#REF!</v>
      </c>
      <c r="AD39" s="40" t="e">
        <f>IF(AND('Mapa final'!#REF!="Baja",'Mapa final'!#REF!="Mayor"),CONCATENATE("R4C",'Mapa final'!#REF!),"")</f>
        <v>#REF!</v>
      </c>
      <c r="AE39" s="40" t="e">
        <f>IF(AND('Mapa final'!#REF!="Baja",'Mapa final'!#REF!="Mayor"),CONCATENATE("R4C",'Mapa final'!#REF!),"")</f>
        <v>#REF!</v>
      </c>
      <c r="AF39" s="40" t="e">
        <f>IF(AND('Mapa final'!#REF!="Baja",'Mapa final'!#REF!="Mayor"),CONCATENATE("R4C",'Mapa final'!#REF!),"")</f>
        <v>#REF!</v>
      </c>
      <c r="AG39" s="41" t="e">
        <f>IF(AND('Mapa final'!#REF!="Baja",'Mapa final'!#REF!="Mayor"),CONCATENATE("R4C",'Mapa final'!#REF!),"")</f>
        <v>#REF!</v>
      </c>
      <c r="AH39" s="42" t="e">
        <f>IF(AND('Mapa final'!#REF!="Baja",'Mapa final'!#REF!="Catastrófico"),CONCATENATE("R4C",'Mapa final'!#REF!),"")</f>
        <v>#REF!</v>
      </c>
      <c r="AI39" s="43" t="e">
        <f>IF(AND('Mapa final'!#REF!="Baja",'Mapa final'!#REF!="Catastrófico"),CONCATENATE("R4C",'Mapa final'!#REF!),"")</f>
        <v>#REF!</v>
      </c>
      <c r="AJ39" s="43" t="e">
        <f>IF(AND('Mapa final'!#REF!="Baja",'Mapa final'!#REF!="Catastrófico"),CONCATENATE("R4C",'Mapa final'!#REF!),"")</f>
        <v>#REF!</v>
      </c>
      <c r="AK39" s="43" t="e">
        <f>IF(AND('Mapa final'!#REF!="Baja",'Mapa final'!#REF!="Catastrófico"),CONCATENATE("R4C",'Mapa final'!#REF!),"")</f>
        <v>#REF!</v>
      </c>
      <c r="AL39" s="43" t="e">
        <f>IF(AND('Mapa final'!#REF!="Baja",'Mapa final'!#REF!="Catastrófico"),CONCATENATE("R4C",'Mapa final'!#REF!),"")</f>
        <v>#REF!</v>
      </c>
      <c r="AM39" s="44" t="e">
        <f>IF(AND('Mapa final'!#REF!="Baja",'Mapa final'!#REF!="Catastrófico"),CONCATENATE("R4C",'Mapa final'!#REF!),"")</f>
        <v>#REF!</v>
      </c>
      <c r="AN39" s="1"/>
      <c r="AO39" s="290"/>
      <c r="AP39" s="144"/>
      <c r="AQ39" s="144"/>
      <c r="AR39" s="144"/>
      <c r="AS39" s="144"/>
      <c r="AT39" s="291"/>
      <c r="AU39" s="1"/>
      <c r="AV39" s="1"/>
      <c r="AW39" s="1"/>
      <c r="AX39" s="1"/>
      <c r="AY39" s="1"/>
      <c r="AZ39" s="1"/>
      <c r="BA39" s="1"/>
      <c r="BB39" s="1"/>
      <c r="BC39" s="1"/>
      <c r="BD39" s="1"/>
      <c r="BE39" s="1"/>
      <c r="BF39" s="1"/>
      <c r="BG39" s="1"/>
      <c r="BH39" s="1"/>
      <c r="BI39" s="1"/>
    </row>
    <row r="40" spans="1:61" ht="15" customHeight="1" x14ac:dyDescent="0.25">
      <c r="A40" s="1"/>
      <c r="B40" s="281"/>
      <c r="C40" s="144"/>
      <c r="D40" s="145"/>
      <c r="E40" s="156"/>
      <c r="F40" s="144"/>
      <c r="G40" s="144"/>
      <c r="H40" s="144"/>
      <c r="I40" s="144"/>
      <c r="J40" s="63" t="e">
        <f>IF(AND('Mapa final'!#REF!="Baja",'Mapa final'!#REF!="Leve"),CONCATENATE("R5C",'Mapa final'!#REF!),"")</f>
        <v>#REF!</v>
      </c>
      <c r="K40" s="64" t="e">
        <f>IF(AND('Mapa final'!#REF!="Baja",'Mapa final'!#REF!="Leve"),CONCATENATE("R5C",'Mapa final'!#REF!),"")</f>
        <v>#REF!</v>
      </c>
      <c r="L40" s="64" t="e">
        <f>IF(AND('Mapa final'!#REF!="Baja",'Mapa final'!#REF!="Leve"),CONCATENATE("R5C",'Mapa final'!#REF!),"")</f>
        <v>#REF!</v>
      </c>
      <c r="M40" s="64" t="e">
        <f>IF(AND('Mapa final'!#REF!="Baja",'Mapa final'!#REF!="Leve"),CONCATENATE("R5C",'Mapa final'!#REF!),"")</f>
        <v>#REF!</v>
      </c>
      <c r="N40" s="64" t="e">
        <f>IF(AND('Mapa final'!#REF!="Baja",'Mapa final'!#REF!="Leve"),CONCATENATE("R5C",'Mapa final'!#REF!),"")</f>
        <v>#REF!</v>
      </c>
      <c r="O40" s="65" t="e">
        <f>IF(AND('Mapa final'!#REF!="Baja",'Mapa final'!#REF!="Leve"),CONCATENATE("R5C",'Mapa final'!#REF!),"")</f>
        <v>#REF!</v>
      </c>
      <c r="P40" s="54" t="e">
        <f>IF(AND('Mapa final'!#REF!="Baja",'Mapa final'!#REF!="Menor"),CONCATENATE("R5C",'Mapa final'!#REF!),"")</f>
        <v>#REF!</v>
      </c>
      <c r="Q40" s="55" t="e">
        <f>IF(AND('Mapa final'!#REF!="Baja",'Mapa final'!#REF!="Menor"),CONCATENATE("R5C",'Mapa final'!#REF!),"")</f>
        <v>#REF!</v>
      </c>
      <c r="R40" s="55" t="e">
        <f>IF(AND('Mapa final'!#REF!="Baja",'Mapa final'!#REF!="Menor"),CONCATENATE("R5C",'Mapa final'!#REF!),"")</f>
        <v>#REF!</v>
      </c>
      <c r="S40" s="55" t="e">
        <f>IF(AND('Mapa final'!#REF!="Baja",'Mapa final'!#REF!="Menor"),CONCATENATE("R5C",'Mapa final'!#REF!),"")</f>
        <v>#REF!</v>
      </c>
      <c r="T40" s="55" t="e">
        <f>IF(AND('Mapa final'!#REF!="Baja",'Mapa final'!#REF!="Menor"),CONCATENATE("R5C",'Mapa final'!#REF!),"")</f>
        <v>#REF!</v>
      </c>
      <c r="U40" s="56" t="e">
        <f>IF(AND('Mapa final'!#REF!="Baja",'Mapa final'!#REF!="Menor"),CONCATENATE("R5C",'Mapa final'!#REF!),"")</f>
        <v>#REF!</v>
      </c>
      <c r="V40" s="54" t="e">
        <f>IF(AND('Mapa final'!#REF!="Baja",'Mapa final'!#REF!="Moderado"),CONCATENATE("R5C",'Mapa final'!#REF!),"")</f>
        <v>#REF!</v>
      </c>
      <c r="W40" s="55" t="e">
        <f>IF(AND('Mapa final'!#REF!="Baja",'Mapa final'!#REF!="Moderado"),CONCATENATE("R5C",'Mapa final'!#REF!),"")</f>
        <v>#REF!</v>
      </c>
      <c r="X40" s="55" t="e">
        <f>IF(AND('Mapa final'!#REF!="Baja",'Mapa final'!#REF!="Moderado"),CONCATENATE("R5C",'Mapa final'!#REF!),"")</f>
        <v>#REF!</v>
      </c>
      <c r="Y40" s="55" t="e">
        <f>IF(AND('Mapa final'!#REF!="Baja",'Mapa final'!#REF!="Moderado"),CONCATENATE("R5C",'Mapa final'!#REF!),"")</f>
        <v>#REF!</v>
      </c>
      <c r="Z40" s="55" t="e">
        <f>IF(AND('Mapa final'!#REF!="Baja",'Mapa final'!#REF!="Moderado"),CONCATENATE("R5C",'Mapa final'!#REF!),"")</f>
        <v>#REF!</v>
      </c>
      <c r="AA40" s="56" t="e">
        <f>IF(AND('Mapa final'!#REF!="Baja",'Mapa final'!#REF!="Moderado"),CONCATENATE("R5C",'Mapa final'!#REF!),"")</f>
        <v>#REF!</v>
      </c>
      <c r="AB40" s="39" t="e">
        <f>IF(AND('Mapa final'!#REF!="Baja",'Mapa final'!#REF!="Mayor"),CONCATENATE("R5C",'Mapa final'!#REF!),"")</f>
        <v>#REF!</v>
      </c>
      <c r="AC40" s="40" t="e">
        <f>IF(AND('Mapa final'!#REF!="Baja",'Mapa final'!#REF!="Mayor"),CONCATENATE("R5C",'Mapa final'!#REF!),"")</f>
        <v>#REF!</v>
      </c>
      <c r="AD40" s="40" t="e">
        <f>IF(AND('Mapa final'!#REF!="Baja",'Mapa final'!#REF!="Mayor"),CONCATENATE("R5C",'Mapa final'!#REF!),"")</f>
        <v>#REF!</v>
      </c>
      <c r="AE40" s="40" t="e">
        <f>IF(AND('Mapa final'!#REF!="Baja",'Mapa final'!#REF!="Mayor"),CONCATENATE("R5C",'Mapa final'!#REF!),"")</f>
        <v>#REF!</v>
      </c>
      <c r="AF40" s="40" t="e">
        <f>IF(AND('Mapa final'!#REF!="Baja",'Mapa final'!#REF!="Mayor"),CONCATENATE("R5C",'Mapa final'!#REF!),"")</f>
        <v>#REF!</v>
      </c>
      <c r="AG40" s="41" t="e">
        <f>IF(AND('Mapa final'!#REF!="Baja",'Mapa final'!#REF!="Mayor"),CONCATENATE("R5C",'Mapa final'!#REF!),"")</f>
        <v>#REF!</v>
      </c>
      <c r="AH40" s="42" t="e">
        <f>IF(AND('Mapa final'!#REF!="Baja",'Mapa final'!#REF!="Catastrófico"),CONCATENATE("R5C",'Mapa final'!#REF!),"")</f>
        <v>#REF!</v>
      </c>
      <c r="AI40" s="43" t="e">
        <f>IF(AND('Mapa final'!#REF!="Baja",'Mapa final'!#REF!="Catastrófico"),CONCATENATE("R5C",'Mapa final'!#REF!),"")</f>
        <v>#REF!</v>
      </c>
      <c r="AJ40" s="43" t="e">
        <f>IF(AND('Mapa final'!#REF!="Baja",'Mapa final'!#REF!="Catastrófico"),CONCATENATE("R5C",'Mapa final'!#REF!),"")</f>
        <v>#REF!</v>
      </c>
      <c r="AK40" s="43" t="e">
        <f>IF(AND('Mapa final'!#REF!="Baja",'Mapa final'!#REF!="Catastrófico"),CONCATENATE("R5C",'Mapa final'!#REF!),"")</f>
        <v>#REF!</v>
      </c>
      <c r="AL40" s="43" t="e">
        <f>IF(AND('Mapa final'!#REF!="Baja",'Mapa final'!#REF!="Catastrófico"),CONCATENATE("R5C",'Mapa final'!#REF!),"")</f>
        <v>#REF!</v>
      </c>
      <c r="AM40" s="44" t="e">
        <f>IF(AND('Mapa final'!#REF!="Baja",'Mapa final'!#REF!="Catastrófico"),CONCATENATE("R5C",'Mapa final'!#REF!),"")</f>
        <v>#REF!</v>
      </c>
      <c r="AN40" s="1"/>
      <c r="AO40" s="290"/>
      <c r="AP40" s="144"/>
      <c r="AQ40" s="144"/>
      <c r="AR40" s="144"/>
      <c r="AS40" s="144"/>
      <c r="AT40" s="291"/>
      <c r="AU40" s="1"/>
      <c r="AV40" s="1"/>
      <c r="AW40" s="1"/>
      <c r="AX40" s="1"/>
      <c r="AY40" s="1"/>
      <c r="AZ40" s="1"/>
      <c r="BA40" s="1"/>
      <c r="BB40" s="1"/>
      <c r="BC40" s="1"/>
      <c r="BD40" s="1"/>
      <c r="BE40" s="1"/>
      <c r="BF40" s="1"/>
      <c r="BG40" s="1"/>
      <c r="BH40" s="1"/>
      <c r="BI40" s="1"/>
    </row>
    <row r="41" spans="1:61" ht="15" customHeight="1" x14ac:dyDescent="0.25">
      <c r="A41" s="1"/>
      <c r="B41" s="281"/>
      <c r="C41" s="144"/>
      <c r="D41" s="145"/>
      <c r="E41" s="156"/>
      <c r="F41" s="144"/>
      <c r="G41" s="144"/>
      <c r="H41" s="144"/>
      <c r="I41" s="144"/>
      <c r="J41" s="63" t="e">
        <f>IF(AND('Mapa final'!#REF!="Baja",'Mapa final'!#REF!="Leve"),CONCATENATE("R6C",'Mapa final'!#REF!),"")</f>
        <v>#REF!</v>
      </c>
      <c r="K41" s="64" t="e">
        <f>IF(AND('Mapa final'!#REF!="Baja",'Mapa final'!#REF!="Leve"),CONCATENATE("R6C",'Mapa final'!#REF!),"")</f>
        <v>#REF!</v>
      </c>
      <c r="L41" s="64" t="e">
        <f>IF(AND('Mapa final'!#REF!="Baja",'Mapa final'!#REF!="Leve"),CONCATENATE("R6C",'Mapa final'!#REF!),"")</f>
        <v>#REF!</v>
      </c>
      <c r="M41" s="64" t="e">
        <f>IF(AND('Mapa final'!#REF!="Baja",'Mapa final'!#REF!="Leve"),CONCATENATE("R6C",'Mapa final'!#REF!),"")</f>
        <v>#REF!</v>
      </c>
      <c r="N41" s="64" t="e">
        <f>IF(AND('Mapa final'!#REF!="Baja",'Mapa final'!#REF!="Leve"),CONCATENATE("R6C",'Mapa final'!#REF!),"")</f>
        <v>#REF!</v>
      </c>
      <c r="O41" s="65" t="e">
        <f>IF(AND('Mapa final'!#REF!="Baja",'Mapa final'!#REF!="Leve"),CONCATENATE("R6C",'Mapa final'!#REF!),"")</f>
        <v>#REF!</v>
      </c>
      <c r="P41" s="54" t="e">
        <f>IF(AND('Mapa final'!#REF!="Baja",'Mapa final'!#REF!="Menor"),CONCATENATE("R6C",'Mapa final'!#REF!),"")</f>
        <v>#REF!</v>
      </c>
      <c r="Q41" s="55" t="e">
        <f>IF(AND('Mapa final'!#REF!="Baja",'Mapa final'!#REF!="Menor"),CONCATENATE("R6C",'Mapa final'!#REF!),"")</f>
        <v>#REF!</v>
      </c>
      <c r="R41" s="55" t="e">
        <f>IF(AND('Mapa final'!#REF!="Baja",'Mapa final'!#REF!="Menor"),CONCATENATE("R6C",'Mapa final'!#REF!),"")</f>
        <v>#REF!</v>
      </c>
      <c r="S41" s="55" t="e">
        <f>IF(AND('Mapa final'!#REF!="Baja",'Mapa final'!#REF!="Menor"),CONCATENATE("R6C",'Mapa final'!#REF!),"")</f>
        <v>#REF!</v>
      </c>
      <c r="T41" s="55" t="e">
        <f>IF(AND('Mapa final'!#REF!="Baja",'Mapa final'!#REF!="Menor"),CONCATENATE("R6C",'Mapa final'!#REF!),"")</f>
        <v>#REF!</v>
      </c>
      <c r="U41" s="56" t="e">
        <f>IF(AND('Mapa final'!#REF!="Baja",'Mapa final'!#REF!="Menor"),CONCATENATE("R6C",'Mapa final'!#REF!),"")</f>
        <v>#REF!</v>
      </c>
      <c r="V41" s="54" t="e">
        <f>IF(AND('Mapa final'!#REF!="Baja",'Mapa final'!#REF!="Moderado"),CONCATENATE("R6C",'Mapa final'!#REF!),"")</f>
        <v>#REF!</v>
      </c>
      <c r="W41" s="55" t="e">
        <f>IF(AND('Mapa final'!#REF!="Baja",'Mapa final'!#REF!="Moderado"),CONCATENATE("R6C",'Mapa final'!#REF!),"")</f>
        <v>#REF!</v>
      </c>
      <c r="X41" s="55" t="e">
        <f>IF(AND('Mapa final'!#REF!="Baja",'Mapa final'!#REF!="Moderado"),CONCATENATE("R6C",'Mapa final'!#REF!),"")</f>
        <v>#REF!</v>
      </c>
      <c r="Y41" s="55" t="e">
        <f>IF(AND('Mapa final'!#REF!="Baja",'Mapa final'!#REF!="Moderado"),CONCATENATE("R6C",'Mapa final'!#REF!),"")</f>
        <v>#REF!</v>
      </c>
      <c r="Z41" s="55" t="e">
        <f>IF(AND('Mapa final'!#REF!="Baja",'Mapa final'!#REF!="Moderado"),CONCATENATE("R6C",'Mapa final'!#REF!),"")</f>
        <v>#REF!</v>
      </c>
      <c r="AA41" s="56" t="e">
        <f>IF(AND('Mapa final'!#REF!="Baja",'Mapa final'!#REF!="Moderado"),CONCATENATE("R6C",'Mapa final'!#REF!),"")</f>
        <v>#REF!</v>
      </c>
      <c r="AB41" s="39" t="e">
        <f>IF(AND('Mapa final'!#REF!="Baja",'Mapa final'!#REF!="Mayor"),CONCATENATE("R6C",'Mapa final'!#REF!),"")</f>
        <v>#REF!</v>
      </c>
      <c r="AC41" s="40" t="e">
        <f>IF(AND('Mapa final'!#REF!="Baja",'Mapa final'!#REF!="Mayor"),CONCATENATE("R6C",'Mapa final'!#REF!),"")</f>
        <v>#REF!</v>
      </c>
      <c r="AD41" s="40" t="e">
        <f>IF(AND('Mapa final'!#REF!="Baja",'Mapa final'!#REF!="Mayor"),CONCATENATE("R6C",'Mapa final'!#REF!),"")</f>
        <v>#REF!</v>
      </c>
      <c r="AE41" s="40" t="e">
        <f>IF(AND('Mapa final'!#REF!="Baja",'Mapa final'!#REF!="Mayor"),CONCATENATE("R6C",'Mapa final'!#REF!),"")</f>
        <v>#REF!</v>
      </c>
      <c r="AF41" s="40" t="e">
        <f>IF(AND('Mapa final'!#REF!="Baja",'Mapa final'!#REF!="Mayor"),CONCATENATE("R6C",'Mapa final'!#REF!),"")</f>
        <v>#REF!</v>
      </c>
      <c r="AG41" s="41" t="e">
        <f>IF(AND('Mapa final'!#REF!="Baja",'Mapa final'!#REF!="Mayor"),CONCATENATE("R6C",'Mapa final'!#REF!),"")</f>
        <v>#REF!</v>
      </c>
      <c r="AH41" s="42" t="e">
        <f>IF(AND('Mapa final'!#REF!="Baja",'Mapa final'!#REF!="Catastrófico"),CONCATENATE("R6C",'Mapa final'!#REF!),"")</f>
        <v>#REF!</v>
      </c>
      <c r="AI41" s="43" t="e">
        <f>IF(AND('Mapa final'!#REF!="Baja",'Mapa final'!#REF!="Catastrófico"),CONCATENATE("R6C",'Mapa final'!#REF!),"")</f>
        <v>#REF!</v>
      </c>
      <c r="AJ41" s="43" t="e">
        <f>IF(AND('Mapa final'!#REF!="Baja",'Mapa final'!#REF!="Catastrófico"),CONCATENATE("R6C",'Mapa final'!#REF!),"")</f>
        <v>#REF!</v>
      </c>
      <c r="AK41" s="43" t="e">
        <f>IF(AND('Mapa final'!#REF!="Baja",'Mapa final'!#REF!="Catastrófico"),CONCATENATE("R6C",'Mapa final'!#REF!),"")</f>
        <v>#REF!</v>
      </c>
      <c r="AL41" s="43" t="e">
        <f>IF(AND('Mapa final'!#REF!="Baja",'Mapa final'!#REF!="Catastrófico"),CONCATENATE("R6C",'Mapa final'!#REF!),"")</f>
        <v>#REF!</v>
      </c>
      <c r="AM41" s="44" t="e">
        <f>IF(AND('Mapa final'!#REF!="Baja",'Mapa final'!#REF!="Catastrófico"),CONCATENATE("R6C",'Mapa final'!#REF!),"")</f>
        <v>#REF!</v>
      </c>
      <c r="AN41" s="1"/>
      <c r="AO41" s="290"/>
      <c r="AP41" s="144"/>
      <c r="AQ41" s="144"/>
      <c r="AR41" s="144"/>
      <c r="AS41" s="144"/>
      <c r="AT41" s="291"/>
      <c r="AU41" s="1"/>
      <c r="AV41" s="1"/>
      <c r="AW41" s="1"/>
      <c r="AX41" s="1"/>
      <c r="AY41" s="1"/>
      <c r="AZ41" s="1"/>
      <c r="BA41" s="1"/>
      <c r="BB41" s="1"/>
      <c r="BC41" s="1"/>
      <c r="BD41" s="1"/>
      <c r="BE41" s="1"/>
      <c r="BF41" s="1"/>
      <c r="BG41" s="1"/>
      <c r="BH41" s="1"/>
      <c r="BI41" s="1"/>
    </row>
    <row r="42" spans="1:61" ht="15" customHeight="1" x14ac:dyDescent="0.25">
      <c r="A42" s="1"/>
      <c r="B42" s="281"/>
      <c r="C42" s="144"/>
      <c r="D42" s="145"/>
      <c r="E42" s="156"/>
      <c r="F42" s="144"/>
      <c r="G42" s="144"/>
      <c r="H42" s="144"/>
      <c r="I42" s="144"/>
      <c r="J42" s="63" t="e">
        <f>IF(AND('Mapa final'!#REF!="Baja",'Mapa final'!#REF!="Leve"),CONCATENATE("R7C",'Mapa final'!#REF!),"")</f>
        <v>#REF!</v>
      </c>
      <c r="K42" s="64" t="e">
        <f>IF(AND('Mapa final'!#REF!="Baja",'Mapa final'!#REF!="Leve"),CONCATENATE("R7C",'Mapa final'!#REF!),"")</f>
        <v>#REF!</v>
      </c>
      <c r="L42" s="64" t="e">
        <f>IF(AND('Mapa final'!#REF!="Baja",'Mapa final'!#REF!="Leve"),CONCATENATE("R7C",'Mapa final'!#REF!),"")</f>
        <v>#REF!</v>
      </c>
      <c r="M42" s="64" t="e">
        <f>IF(AND('Mapa final'!#REF!="Baja",'Mapa final'!#REF!="Leve"),CONCATENATE("R7C",'Mapa final'!#REF!),"")</f>
        <v>#REF!</v>
      </c>
      <c r="N42" s="64" t="e">
        <f>IF(AND('Mapa final'!#REF!="Baja",'Mapa final'!#REF!="Leve"),CONCATENATE("R7C",'Mapa final'!#REF!),"")</f>
        <v>#REF!</v>
      </c>
      <c r="O42" s="65" t="e">
        <f>IF(AND('Mapa final'!#REF!="Baja",'Mapa final'!#REF!="Leve"),CONCATENATE("R7C",'Mapa final'!#REF!),"")</f>
        <v>#REF!</v>
      </c>
      <c r="P42" s="54" t="e">
        <f>IF(AND('Mapa final'!#REF!="Baja",'Mapa final'!#REF!="Menor"),CONCATENATE("R7C",'Mapa final'!#REF!),"")</f>
        <v>#REF!</v>
      </c>
      <c r="Q42" s="55" t="e">
        <f>IF(AND('Mapa final'!#REF!="Baja",'Mapa final'!#REF!="Menor"),CONCATENATE("R7C",'Mapa final'!#REF!),"")</f>
        <v>#REF!</v>
      </c>
      <c r="R42" s="55" t="e">
        <f>IF(AND('Mapa final'!#REF!="Baja",'Mapa final'!#REF!="Menor"),CONCATENATE("R7C",'Mapa final'!#REF!),"")</f>
        <v>#REF!</v>
      </c>
      <c r="S42" s="55" t="e">
        <f>IF(AND('Mapa final'!#REF!="Baja",'Mapa final'!#REF!="Menor"),CONCATENATE("R7C",'Mapa final'!#REF!),"")</f>
        <v>#REF!</v>
      </c>
      <c r="T42" s="55" t="e">
        <f>IF(AND('Mapa final'!#REF!="Baja",'Mapa final'!#REF!="Menor"),CONCATENATE("R7C",'Mapa final'!#REF!),"")</f>
        <v>#REF!</v>
      </c>
      <c r="U42" s="56" t="e">
        <f>IF(AND('Mapa final'!#REF!="Baja",'Mapa final'!#REF!="Menor"),CONCATENATE("R7C",'Mapa final'!#REF!),"")</f>
        <v>#REF!</v>
      </c>
      <c r="V42" s="54" t="e">
        <f>IF(AND('Mapa final'!#REF!="Baja",'Mapa final'!#REF!="Moderado"),CONCATENATE("R7C",'Mapa final'!#REF!),"")</f>
        <v>#REF!</v>
      </c>
      <c r="W42" s="55" t="e">
        <f>IF(AND('Mapa final'!#REF!="Baja",'Mapa final'!#REF!="Moderado"),CONCATENATE("R7C",'Mapa final'!#REF!),"")</f>
        <v>#REF!</v>
      </c>
      <c r="X42" s="55" t="e">
        <f>IF(AND('Mapa final'!#REF!="Baja",'Mapa final'!#REF!="Moderado"),CONCATENATE("R7C",'Mapa final'!#REF!),"")</f>
        <v>#REF!</v>
      </c>
      <c r="Y42" s="55" t="e">
        <f>IF(AND('Mapa final'!#REF!="Baja",'Mapa final'!#REF!="Moderado"),CONCATENATE("R7C",'Mapa final'!#REF!),"")</f>
        <v>#REF!</v>
      </c>
      <c r="Z42" s="55" t="e">
        <f>IF(AND('Mapa final'!#REF!="Baja",'Mapa final'!#REF!="Moderado"),CONCATENATE("R7C",'Mapa final'!#REF!),"")</f>
        <v>#REF!</v>
      </c>
      <c r="AA42" s="56" t="e">
        <f>IF(AND('Mapa final'!#REF!="Baja",'Mapa final'!#REF!="Moderado"),CONCATENATE("R7C",'Mapa final'!#REF!),"")</f>
        <v>#REF!</v>
      </c>
      <c r="AB42" s="39" t="e">
        <f>IF(AND('Mapa final'!#REF!="Baja",'Mapa final'!#REF!="Mayor"),CONCATENATE("R7C",'Mapa final'!#REF!),"")</f>
        <v>#REF!</v>
      </c>
      <c r="AC42" s="40" t="e">
        <f>IF(AND('Mapa final'!#REF!="Baja",'Mapa final'!#REF!="Mayor"),CONCATENATE("R7C",'Mapa final'!#REF!),"")</f>
        <v>#REF!</v>
      </c>
      <c r="AD42" s="40" t="e">
        <f>IF(AND('Mapa final'!#REF!="Baja",'Mapa final'!#REF!="Mayor"),CONCATENATE("R7C",'Mapa final'!#REF!),"")</f>
        <v>#REF!</v>
      </c>
      <c r="AE42" s="40" t="e">
        <f>IF(AND('Mapa final'!#REF!="Baja",'Mapa final'!#REF!="Mayor"),CONCATENATE("R7C",'Mapa final'!#REF!),"")</f>
        <v>#REF!</v>
      </c>
      <c r="AF42" s="40" t="e">
        <f>IF(AND('Mapa final'!#REF!="Baja",'Mapa final'!#REF!="Mayor"),CONCATENATE("R7C",'Mapa final'!#REF!),"")</f>
        <v>#REF!</v>
      </c>
      <c r="AG42" s="41" t="e">
        <f>IF(AND('Mapa final'!#REF!="Baja",'Mapa final'!#REF!="Mayor"),CONCATENATE("R7C",'Mapa final'!#REF!),"")</f>
        <v>#REF!</v>
      </c>
      <c r="AH42" s="42" t="e">
        <f>IF(AND('Mapa final'!#REF!="Baja",'Mapa final'!#REF!="Catastrófico"),CONCATENATE("R7C",'Mapa final'!#REF!),"")</f>
        <v>#REF!</v>
      </c>
      <c r="AI42" s="43" t="e">
        <f>IF(AND('Mapa final'!#REF!="Baja",'Mapa final'!#REF!="Catastrófico"),CONCATENATE("R7C",'Mapa final'!#REF!),"")</f>
        <v>#REF!</v>
      </c>
      <c r="AJ42" s="43" t="e">
        <f>IF(AND('Mapa final'!#REF!="Baja",'Mapa final'!#REF!="Catastrófico"),CONCATENATE("R7C",'Mapa final'!#REF!),"")</f>
        <v>#REF!</v>
      </c>
      <c r="AK42" s="43" t="e">
        <f>IF(AND('Mapa final'!#REF!="Baja",'Mapa final'!#REF!="Catastrófico"),CONCATENATE("R7C",'Mapa final'!#REF!),"")</f>
        <v>#REF!</v>
      </c>
      <c r="AL42" s="43" t="e">
        <f>IF(AND('Mapa final'!#REF!="Baja",'Mapa final'!#REF!="Catastrófico"),CONCATENATE("R7C",'Mapa final'!#REF!),"")</f>
        <v>#REF!</v>
      </c>
      <c r="AM42" s="44" t="e">
        <f>IF(AND('Mapa final'!#REF!="Baja",'Mapa final'!#REF!="Catastrófico"),CONCATENATE("R7C",'Mapa final'!#REF!),"")</f>
        <v>#REF!</v>
      </c>
      <c r="AN42" s="1"/>
      <c r="AO42" s="290"/>
      <c r="AP42" s="144"/>
      <c r="AQ42" s="144"/>
      <c r="AR42" s="144"/>
      <c r="AS42" s="144"/>
      <c r="AT42" s="291"/>
      <c r="AU42" s="1"/>
      <c r="AV42" s="1"/>
      <c r="AW42" s="1"/>
      <c r="AX42" s="1"/>
      <c r="AY42" s="1"/>
      <c r="AZ42" s="1"/>
      <c r="BA42" s="1"/>
      <c r="BB42" s="1"/>
      <c r="BC42" s="1"/>
      <c r="BD42" s="1"/>
      <c r="BE42" s="1"/>
      <c r="BF42" s="1"/>
      <c r="BG42" s="1"/>
      <c r="BH42" s="1"/>
      <c r="BI42" s="1"/>
    </row>
    <row r="43" spans="1:61" ht="15" customHeight="1" x14ac:dyDescent="0.25">
      <c r="A43" s="1"/>
      <c r="B43" s="281"/>
      <c r="C43" s="144"/>
      <c r="D43" s="145"/>
      <c r="E43" s="156"/>
      <c r="F43" s="144"/>
      <c r="G43" s="144"/>
      <c r="H43" s="144"/>
      <c r="I43" s="144"/>
      <c r="J43" s="63" t="e">
        <f>IF(AND('Mapa final'!#REF!="Baja",'Mapa final'!#REF!="Leve"),CONCATENATE("R8C",'Mapa final'!#REF!),"")</f>
        <v>#REF!</v>
      </c>
      <c r="K43" s="64" t="e">
        <f>IF(AND('Mapa final'!#REF!="Baja",'Mapa final'!#REF!="Leve"),CONCATENATE("R8C",'Mapa final'!#REF!),"")</f>
        <v>#REF!</v>
      </c>
      <c r="L43" s="64" t="e">
        <f>IF(AND('Mapa final'!#REF!="Baja",'Mapa final'!#REF!="Leve"),CONCATENATE("R8C",'Mapa final'!#REF!),"")</f>
        <v>#REF!</v>
      </c>
      <c r="M43" s="64" t="e">
        <f>IF(AND('Mapa final'!#REF!="Baja",'Mapa final'!#REF!="Leve"),CONCATENATE("R8C",'Mapa final'!#REF!),"")</f>
        <v>#REF!</v>
      </c>
      <c r="N43" s="64" t="e">
        <f>IF(AND('Mapa final'!#REF!="Baja",'Mapa final'!#REF!="Leve"),CONCATENATE("R8C",'Mapa final'!#REF!),"")</f>
        <v>#REF!</v>
      </c>
      <c r="O43" s="65" t="e">
        <f>IF(AND('Mapa final'!#REF!="Baja",'Mapa final'!#REF!="Leve"),CONCATENATE("R8C",'Mapa final'!#REF!),"")</f>
        <v>#REF!</v>
      </c>
      <c r="P43" s="54" t="e">
        <f>IF(AND('Mapa final'!#REF!="Baja",'Mapa final'!#REF!="Menor"),CONCATENATE("R8C",'Mapa final'!#REF!),"")</f>
        <v>#REF!</v>
      </c>
      <c r="Q43" s="55" t="e">
        <f>IF(AND('Mapa final'!#REF!="Baja",'Mapa final'!#REF!="Menor"),CONCATENATE("R8C",'Mapa final'!#REF!),"")</f>
        <v>#REF!</v>
      </c>
      <c r="R43" s="55" t="e">
        <f>IF(AND('Mapa final'!#REF!="Baja",'Mapa final'!#REF!="Menor"),CONCATENATE("R8C",'Mapa final'!#REF!),"")</f>
        <v>#REF!</v>
      </c>
      <c r="S43" s="55" t="e">
        <f>IF(AND('Mapa final'!#REF!="Baja",'Mapa final'!#REF!="Menor"),CONCATENATE("R8C",'Mapa final'!#REF!),"")</f>
        <v>#REF!</v>
      </c>
      <c r="T43" s="55" t="e">
        <f>IF(AND('Mapa final'!#REF!="Baja",'Mapa final'!#REF!="Menor"),CONCATENATE("R8C",'Mapa final'!#REF!),"")</f>
        <v>#REF!</v>
      </c>
      <c r="U43" s="56" t="e">
        <f>IF(AND('Mapa final'!#REF!="Baja",'Mapa final'!#REF!="Menor"),CONCATENATE("R8C",'Mapa final'!#REF!),"")</f>
        <v>#REF!</v>
      </c>
      <c r="V43" s="54" t="e">
        <f>IF(AND('Mapa final'!#REF!="Baja",'Mapa final'!#REF!="Moderado"),CONCATENATE("R8C",'Mapa final'!#REF!),"")</f>
        <v>#REF!</v>
      </c>
      <c r="W43" s="55" t="e">
        <f>IF(AND('Mapa final'!#REF!="Baja",'Mapa final'!#REF!="Moderado"),CONCATENATE("R8C",'Mapa final'!#REF!),"")</f>
        <v>#REF!</v>
      </c>
      <c r="X43" s="55" t="e">
        <f>IF(AND('Mapa final'!#REF!="Baja",'Mapa final'!#REF!="Moderado"),CONCATENATE("R8C",'Mapa final'!#REF!),"")</f>
        <v>#REF!</v>
      </c>
      <c r="Y43" s="55" t="e">
        <f>IF(AND('Mapa final'!#REF!="Baja",'Mapa final'!#REF!="Moderado"),CONCATENATE("R8C",'Mapa final'!#REF!),"")</f>
        <v>#REF!</v>
      </c>
      <c r="Z43" s="55" t="e">
        <f>IF(AND('Mapa final'!#REF!="Baja",'Mapa final'!#REF!="Moderado"),CONCATENATE("R8C",'Mapa final'!#REF!),"")</f>
        <v>#REF!</v>
      </c>
      <c r="AA43" s="56" t="e">
        <f>IF(AND('Mapa final'!#REF!="Baja",'Mapa final'!#REF!="Moderado"),CONCATENATE("R8C",'Mapa final'!#REF!),"")</f>
        <v>#REF!</v>
      </c>
      <c r="AB43" s="39" t="e">
        <f>IF(AND('Mapa final'!#REF!="Baja",'Mapa final'!#REF!="Mayor"),CONCATENATE("R8C",'Mapa final'!#REF!),"")</f>
        <v>#REF!</v>
      </c>
      <c r="AC43" s="40" t="e">
        <f>IF(AND('Mapa final'!#REF!="Baja",'Mapa final'!#REF!="Mayor"),CONCATENATE("R8C",'Mapa final'!#REF!),"")</f>
        <v>#REF!</v>
      </c>
      <c r="AD43" s="40" t="e">
        <f>IF(AND('Mapa final'!#REF!="Baja",'Mapa final'!#REF!="Mayor"),CONCATENATE("R8C",'Mapa final'!#REF!),"")</f>
        <v>#REF!</v>
      </c>
      <c r="AE43" s="40" t="e">
        <f>IF(AND('Mapa final'!#REF!="Baja",'Mapa final'!#REF!="Mayor"),CONCATENATE("R8C",'Mapa final'!#REF!),"")</f>
        <v>#REF!</v>
      </c>
      <c r="AF43" s="40" t="e">
        <f>IF(AND('Mapa final'!#REF!="Baja",'Mapa final'!#REF!="Mayor"),CONCATENATE("R8C",'Mapa final'!#REF!),"")</f>
        <v>#REF!</v>
      </c>
      <c r="AG43" s="41" t="e">
        <f>IF(AND('Mapa final'!#REF!="Baja",'Mapa final'!#REF!="Mayor"),CONCATENATE("R8C",'Mapa final'!#REF!),"")</f>
        <v>#REF!</v>
      </c>
      <c r="AH43" s="42" t="e">
        <f>IF(AND('Mapa final'!#REF!="Baja",'Mapa final'!#REF!="Catastrófico"),CONCATENATE("R8C",'Mapa final'!#REF!),"")</f>
        <v>#REF!</v>
      </c>
      <c r="AI43" s="43" t="e">
        <f>IF(AND('Mapa final'!#REF!="Baja",'Mapa final'!#REF!="Catastrófico"),CONCATENATE("R8C",'Mapa final'!#REF!),"")</f>
        <v>#REF!</v>
      </c>
      <c r="AJ43" s="43" t="e">
        <f>IF(AND('Mapa final'!#REF!="Baja",'Mapa final'!#REF!="Catastrófico"),CONCATENATE("R8C",'Mapa final'!#REF!),"")</f>
        <v>#REF!</v>
      </c>
      <c r="AK43" s="43" t="e">
        <f>IF(AND('Mapa final'!#REF!="Baja",'Mapa final'!#REF!="Catastrófico"),CONCATENATE("R8C",'Mapa final'!#REF!),"")</f>
        <v>#REF!</v>
      </c>
      <c r="AL43" s="43" t="e">
        <f>IF(AND('Mapa final'!#REF!="Baja",'Mapa final'!#REF!="Catastrófico"),CONCATENATE("R8C",'Mapa final'!#REF!),"")</f>
        <v>#REF!</v>
      </c>
      <c r="AM43" s="44" t="e">
        <f>IF(AND('Mapa final'!#REF!="Baja",'Mapa final'!#REF!="Catastrófico"),CONCATENATE("R8C",'Mapa final'!#REF!),"")</f>
        <v>#REF!</v>
      </c>
      <c r="AN43" s="1"/>
      <c r="AO43" s="290"/>
      <c r="AP43" s="144"/>
      <c r="AQ43" s="144"/>
      <c r="AR43" s="144"/>
      <c r="AS43" s="144"/>
      <c r="AT43" s="291"/>
      <c r="AU43" s="1"/>
      <c r="AV43" s="1"/>
      <c r="AW43" s="1"/>
      <c r="AX43" s="1"/>
      <c r="AY43" s="1"/>
      <c r="AZ43" s="1"/>
      <c r="BA43" s="1"/>
      <c r="BB43" s="1"/>
      <c r="BC43" s="1"/>
      <c r="BD43" s="1"/>
      <c r="BE43" s="1"/>
      <c r="BF43" s="1"/>
      <c r="BG43" s="1"/>
      <c r="BH43" s="1"/>
      <c r="BI43" s="1"/>
    </row>
    <row r="44" spans="1:61" ht="15" customHeight="1" x14ac:dyDescent="0.25">
      <c r="A44" s="1"/>
      <c r="B44" s="281"/>
      <c r="C44" s="144"/>
      <c r="D44" s="145"/>
      <c r="E44" s="156"/>
      <c r="F44" s="144"/>
      <c r="G44" s="144"/>
      <c r="H44" s="144"/>
      <c r="I44" s="144"/>
      <c r="J44" s="63" t="e">
        <f>IF(AND('Mapa final'!#REF!="Baja",'Mapa final'!#REF!="Leve"),CONCATENATE("R9C",'Mapa final'!#REF!),"")</f>
        <v>#REF!</v>
      </c>
      <c r="K44" s="64" t="e">
        <f>IF(AND('Mapa final'!#REF!="Baja",'Mapa final'!#REF!="Leve"),CONCATENATE("R9C",'Mapa final'!#REF!),"")</f>
        <v>#REF!</v>
      </c>
      <c r="L44" s="64" t="e">
        <f>IF(AND('Mapa final'!#REF!="Baja",'Mapa final'!#REF!="Leve"),CONCATENATE("R9C",'Mapa final'!#REF!),"")</f>
        <v>#REF!</v>
      </c>
      <c r="M44" s="64" t="e">
        <f>IF(AND('Mapa final'!#REF!="Baja",'Mapa final'!#REF!="Leve"),CONCATENATE("R9C",'Mapa final'!#REF!),"")</f>
        <v>#REF!</v>
      </c>
      <c r="N44" s="64" t="e">
        <f>IF(AND('Mapa final'!#REF!="Baja",'Mapa final'!#REF!="Leve"),CONCATENATE("R9C",'Mapa final'!#REF!),"")</f>
        <v>#REF!</v>
      </c>
      <c r="O44" s="65" t="e">
        <f>IF(AND('Mapa final'!#REF!="Baja",'Mapa final'!#REF!="Leve"),CONCATENATE("R9C",'Mapa final'!#REF!),"")</f>
        <v>#REF!</v>
      </c>
      <c r="P44" s="54" t="e">
        <f>IF(AND('Mapa final'!#REF!="Baja",'Mapa final'!#REF!="Menor"),CONCATENATE("R9C",'Mapa final'!#REF!),"")</f>
        <v>#REF!</v>
      </c>
      <c r="Q44" s="55" t="e">
        <f>IF(AND('Mapa final'!#REF!="Baja",'Mapa final'!#REF!="Menor"),CONCATENATE("R9C",'Mapa final'!#REF!),"")</f>
        <v>#REF!</v>
      </c>
      <c r="R44" s="55" t="e">
        <f>IF(AND('Mapa final'!#REF!="Baja",'Mapa final'!#REF!="Menor"),CONCATENATE("R9C",'Mapa final'!#REF!),"")</f>
        <v>#REF!</v>
      </c>
      <c r="S44" s="55" t="e">
        <f>IF(AND('Mapa final'!#REF!="Baja",'Mapa final'!#REF!="Menor"),CONCATENATE("R9C",'Mapa final'!#REF!),"")</f>
        <v>#REF!</v>
      </c>
      <c r="T44" s="55" t="e">
        <f>IF(AND('Mapa final'!#REF!="Baja",'Mapa final'!#REF!="Menor"),CONCATENATE("R9C",'Mapa final'!#REF!),"")</f>
        <v>#REF!</v>
      </c>
      <c r="U44" s="56" t="e">
        <f>IF(AND('Mapa final'!#REF!="Baja",'Mapa final'!#REF!="Menor"),CONCATENATE("R9C",'Mapa final'!#REF!),"")</f>
        <v>#REF!</v>
      </c>
      <c r="V44" s="54" t="e">
        <f>IF(AND('Mapa final'!#REF!="Baja",'Mapa final'!#REF!="Moderado"),CONCATENATE("R9C",'Mapa final'!#REF!),"")</f>
        <v>#REF!</v>
      </c>
      <c r="W44" s="55" t="e">
        <f>IF(AND('Mapa final'!#REF!="Baja",'Mapa final'!#REF!="Moderado"),CONCATENATE("R9C",'Mapa final'!#REF!),"")</f>
        <v>#REF!</v>
      </c>
      <c r="X44" s="55" t="e">
        <f>IF(AND('Mapa final'!#REF!="Baja",'Mapa final'!#REF!="Moderado"),CONCATENATE("R9C",'Mapa final'!#REF!),"")</f>
        <v>#REF!</v>
      </c>
      <c r="Y44" s="55" t="e">
        <f>IF(AND('Mapa final'!#REF!="Baja",'Mapa final'!#REF!="Moderado"),CONCATENATE("R9C",'Mapa final'!#REF!),"")</f>
        <v>#REF!</v>
      </c>
      <c r="Z44" s="55" t="e">
        <f>IF(AND('Mapa final'!#REF!="Baja",'Mapa final'!#REF!="Moderado"),CONCATENATE("R9C",'Mapa final'!#REF!),"")</f>
        <v>#REF!</v>
      </c>
      <c r="AA44" s="56" t="e">
        <f>IF(AND('Mapa final'!#REF!="Baja",'Mapa final'!#REF!="Moderado"),CONCATENATE("R9C",'Mapa final'!#REF!),"")</f>
        <v>#REF!</v>
      </c>
      <c r="AB44" s="39" t="e">
        <f>IF(AND('Mapa final'!#REF!="Baja",'Mapa final'!#REF!="Mayor"),CONCATENATE("R9C",'Mapa final'!#REF!),"")</f>
        <v>#REF!</v>
      </c>
      <c r="AC44" s="40" t="e">
        <f>IF(AND('Mapa final'!#REF!="Baja",'Mapa final'!#REF!="Mayor"),CONCATENATE("R9C",'Mapa final'!#REF!),"")</f>
        <v>#REF!</v>
      </c>
      <c r="AD44" s="40" t="e">
        <f>IF(AND('Mapa final'!#REF!="Baja",'Mapa final'!#REF!="Mayor"),CONCATENATE("R9C",'Mapa final'!#REF!),"")</f>
        <v>#REF!</v>
      </c>
      <c r="AE44" s="40" t="e">
        <f>IF(AND('Mapa final'!#REF!="Baja",'Mapa final'!#REF!="Mayor"),CONCATENATE("R9C",'Mapa final'!#REF!),"")</f>
        <v>#REF!</v>
      </c>
      <c r="AF44" s="40" t="e">
        <f>IF(AND('Mapa final'!#REF!="Baja",'Mapa final'!#REF!="Mayor"),CONCATENATE("R9C",'Mapa final'!#REF!),"")</f>
        <v>#REF!</v>
      </c>
      <c r="AG44" s="41" t="e">
        <f>IF(AND('Mapa final'!#REF!="Baja",'Mapa final'!#REF!="Mayor"),CONCATENATE("R9C",'Mapa final'!#REF!),"")</f>
        <v>#REF!</v>
      </c>
      <c r="AH44" s="42" t="e">
        <f>IF(AND('Mapa final'!#REF!="Baja",'Mapa final'!#REF!="Catastrófico"),CONCATENATE("R9C",'Mapa final'!#REF!),"")</f>
        <v>#REF!</v>
      </c>
      <c r="AI44" s="43" t="e">
        <f>IF(AND('Mapa final'!#REF!="Baja",'Mapa final'!#REF!="Catastrófico"),CONCATENATE("R9C",'Mapa final'!#REF!),"")</f>
        <v>#REF!</v>
      </c>
      <c r="AJ44" s="43" t="e">
        <f>IF(AND('Mapa final'!#REF!="Baja",'Mapa final'!#REF!="Catastrófico"),CONCATENATE("R9C",'Mapa final'!#REF!),"")</f>
        <v>#REF!</v>
      </c>
      <c r="AK44" s="43" t="e">
        <f>IF(AND('Mapa final'!#REF!="Baja",'Mapa final'!#REF!="Catastrófico"),CONCATENATE("R9C",'Mapa final'!#REF!),"")</f>
        <v>#REF!</v>
      </c>
      <c r="AL44" s="43" t="e">
        <f>IF(AND('Mapa final'!#REF!="Baja",'Mapa final'!#REF!="Catastrófico"),CONCATENATE("R9C",'Mapa final'!#REF!),"")</f>
        <v>#REF!</v>
      </c>
      <c r="AM44" s="44" t="e">
        <f>IF(AND('Mapa final'!#REF!="Baja",'Mapa final'!#REF!="Catastrófico"),CONCATENATE("R9C",'Mapa final'!#REF!),"")</f>
        <v>#REF!</v>
      </c>
      <c r="AN44" s="1"/>
      <c r="AO44" s="290"/>
      <c r="AP44" s="144"/>
      <c r="AQ44" s="144"/>
      <c r="AR44" s="144"/>
      <c r="AS44" s="144"/>
      <c r="AT44" s="291"/>
      <c r="AU44" s="1"/>
      <c r="AV44" s="1"/>
      <c r="AW44" s="1"/>
      <c r="AX44" s="1"/>
      <c r="AY44" s="1"/>
      <c r="AZ44" s="1"/>
      <c r="BA44" s="1"/>
      <c r="BB44" s="1"/>
      <c r="BC44" s="1"/>
      <c r="BD44" s="1"/>
      <c r="BE44" s="1"/>
      <c r="BF44" s="1"/>
      <c r="BG44" s="1"/>
      <c r="BH44" s="1"/>
      <c r="BI44" s="1"/>
    </row>
    <row r="45" spans="1:61" ht="15.75" customHeight="1" x14ac:dyDescent="0.25">
      <c r="A45" s="1"/>
      <c r="B45" s="281"/>
      <c r="C45" s="144"/>
      <c r="D45" s="145"/>
      <c r="E45" s="271"/>
      <c r="F45" s="272"/>
      <c r="G45" s="272"/>
      <c r="H45" s="272"/>
      <c r="I45" s="272"/>
      <c r="J45" s="66" t="e">
        <f>IF(AND('Mapa final'!#REF!="Baja",'Mapa final'!#REF!="Leve"),CONCATENATE("R10C",'Mapa final'!#REF!),"")</f>
        <v>#REF!</v>
      </c>
      <c r="K45" s="67" t="e">
        <f>IF(AND('Mapa final'!#REF!="Baja",'Mapa final'!#REF!="Leve"),CONCATENATE("R10C",'Mapa final'!#REF!),"")</f>
        <v>#REF!</v>
      </c>
      <c r="L45" s="67" t="e">
        <f>IF(AND('Mapa final'!#REF!="Baja",'Mapa final'!#REF!="Leve"),CONCATENATE("R10C",'Mapa final'!#REF!),"")</f>
        <v>#REF!</v>
      </c>
      <c r="M45" s="67" t="e">
        <f>IF(AND('Mapa final'!#REF!="Baja",'Mapa final'!#REF!="Leve"),CONCATENATE("R10C",'Mapa final'!#REF!),"")</f>
        <v>#REF!</v>
      </c>
      <c r="N45" s="67" t="e">
        <f>IF(AND('Mapa final'!#REF!="Baja",'Mapa final'!#REF!="Leve"),CONCATENATE("R10C",'Mapa final'!#REF!),"")</f>
        <v>#REF!</v>
      </c>
      <c r="O45" s="68" t="e">
        <f>IF(AND('Mapa final'!#REF!="Baja",'Mapa final'!#REF!="Leve"),CONCATENATE("R10C",'Mapa final'!#REF!),"")</f>
        <v>#REF!</v>
      </c>
      <c r="P45" s="54" t="e">
        <f>IF(AND('Mapa final'!#REF!="Baja",'Mapa final'!#REF!="Menor"),CONCATENATE("R10C",'Mapa final'!#REF!),"")</f>
        <v>#REF!</v>
      </c>
      <c r="Q45" s="55" t="e">
        <f>IF(AND('Mapa final'!#REF!="Baja",'Mapa final'!#REF!="Menor"),CONCATENATE("R10C",'Mapa final'!#REF!),"")</f>
        <v>#REF!</v>
      </c>
      <c r="R45" s="55" t="e">
        <f>IF(AND('Mapa final'!#REF!="Baja",'Mapa final'!#REF!="Menor"),CONCATENATE("R10C",'Mapa final'!#REF!),"")</f>
        <v>#REF!</v>
      </c>
      <c r="S45" s="55" t="e">
        <f>IF(AND('Mapa final'!#REF!="Baja",'Mapa final'!#REF!="Menor"),CONCATENATE("R10C",'Mapa final'!#REF!),"")</f>
        <v>#REF!</v>
      </c>
      <c r="T45" s="55" t="e">
        <f>IF(AND('Mapa final'!#REF!="Baja",'Mapa final'!#REF!="Menor"),CONCATENATE("R10C",'Mapa final'!#REF!),"")</f>
        <v>#REF!</v>
      </c>
      <c r="U45" s="56" t="e">
        <f>IF(AND('Mapa final'!#REF!="Baja",'Mapa final'!#REF!="Menor"),CONCATENATE("R10C",'Mapa final'!#REF!),"")</f>
        <v>#REF!</v>
      </c>
      <c r="V45" s="57" t="e">
        <f>IF(AND('Mapa final'!#REF!="Baja",'Mapa final'!#REF!="Moderado"),CONCATENATE("R10C",'Mapa final'!#REF!),"")</f>
        <v>#REF!</v>
      </c>
      <c r="W45" s="58" t="e">
        <f>IF(AND('Mapa final'!#REF!="Baja",'Mapa final'!#REF!="Moderado"),CONCATENATE("R10C",'Mapa final'!#REF!),"")</f>
        <v>#REF!</v>
      </c>
      <c r="X45" s="58" t="e">
        <f>IF(AND('Mapa final'!#REF!="Baja",'Mapa final'!#REF!="Moderado"),CONCATENATE("R10C",'Mapa final'!#REF!),"")</f>
        <v>#REF!</v>
      </c>
      <c r="Y45" s="58" t="e">
        <f>IF(AND('Mapa final'!#REF!="Baja",'Mapa final'!#REF!="Moderado"),CONCATENATE("R10C",'Mapa final'!#REF!),"")</f>
        <v>#REF!</v>
      </c>
      <c r="Z45" s="58" t="e">
        <f>IF(AND('Mapa final'!#REF!="Baja",'Mapa final'!#REF!="Moderado"),CONCATENATE("R10C",'Mapa final'!#REF!),"")</f>
        <v>#REF!</v>
      </c>
      <c r="AA45" s="59" t="e">
        <f>IF(AND('Mapa final'!#REF!="Baja",'Mapa final'!#REF!="Moderado"),CONCATENATE("R10C",'Mapa final'!#REF!),"")</f>
        <v>#REF!</v>
      </c>
      <c r="AB45" s="45" t="e">
        <f>IF(AND('Mapa final'!#REF!="Baja",'Mapa final'!#REF!="Mayor"),CONCATENATE("R10C",'Mapa final'!#REF!),"")</f>
        <v>#REF!</v>
      </c>
      <c r="AC45" s="46" t="e">
        <f>IF(AND('Mapa final'!#REF!="Baja",'Mapa final'!#REF!="Mayor"),CONCATENATE("R10C",'Mapa final'!#REF!),"")</f>
        <v>#REF!</v>
      </c>
      <c r="AD45" s="46" t="e">
        <f>IF(AND('Mapa final'!#REF!="Baja",'Mapa final'!#REF!="Mayor"),CONCATENATE("R10C",'Mapa final'!#REF!),"")</f>
        <v>#REF!</v>
      </c>
      <c r="AE45" s="46" t="e">
        <f>IF(AND('Mapa final'!#REF!="Baja",'Mapa final'!#REF!="Mayor"),CONCATENATE("R10C",'Mapa final'!#REF!),"")</f>
        <v>#REF!</v>
      </c>
      <c r="AF45" s="46" t="e">
        <f>IF(AND('Mapa final'!#REF!="Baja",'Mapa final'!#REF!="Mayor"),CONCATENATE("R10C",'Mapa final'!#REF!),"")</f>
        <v>#REF!</v>
      </c>
      <c r="AG45" s="47" t="e">
        <f>IF(AND('Mapa final'!#REF!="Baja",'Mapa final'!#REF!="Mayor"),CONCATENATE("R10C",'Mapa final'!#REF!),"")</f>
        <v>#REF!</v>
      </c>
      <c r="AH45" s="48" t="e">
        <f>IF(AND('Mapa final'!#REF!="Baja",'Mapa final'!#REF!="Catastrófico"),CONCATENATE("R10C",'Mapa final'!#REF!),"")</f>
        <v>#REF!</v>
      </c>
      <c r="AI45" s="49" t="e">
        <f>IF(AND('Mapa final'!#REF!="Baja",'Mapa final'!#REF!="Catastrófico"),CONCATENATE("R10C",'Mapa final'!#REF!),"")</f>
        <v>#REF!</v>
      </c>
      <c r="AJ45" s="49" t="e">
        <f>IF(AND('Mapa final'!#REF!="Baja",'Mapa final'!#REF!="Catastrófico"),CONCATENATE("R10C",'Mapa final'!#REF!),"")</f>
        <v>#REF!</v>
      </c>
      <c r="AK45" s="49" t="e">
        <f>IF(AND('Mapa final'!#REF!="Baja",'Mapa final'!#REF!="Catastrófico"),CONCATENATE("R10C",'Mapa final'!#REF!),"")</f>
        <v>#REF!</v>
      </c>
      <c r="AL45" s="49" t="e">
        <f>IF(AND('Mapa final'!#REF!="Baja",'Mapa final'!#REF!="Catastrófico"),CONCATENATE("R10C",'Mapa final'!#REF!),"")</f>
        <v>#REF!</v>
      </c>
      <c r="AM45" s="50" t="e">
        <f>IF(AND('Mapa final'!#REF!="Baja",'Mapa final'!#REF!="Catastrófico"),CONCATENATE("R10C",'Mapa final'!#REF!),"")</f>
        <v>#REF!</v>
      </c>
      <c r="AN45" s="1"/>
      <c r="AO45" s="292"/>
      <c r="AP45" s="293"/>
      <c r="AQ45" s="293"/>
      <c r="AR45" s="293"/>
      <c r="AS45" s="293"/>
      <c r="AT45" s="294"/>
    </row>
    <row r="46" spans="1:61" ht="46.5" customHeight="1" x14ac:dyDescent="0.35">
      <c r="A46" s="1"/>
      <c r="B46" s="281"/>
      <c r="C46" s="144"/>
      <c r="D46" s="145"/>
      <c r="E46" s="299" t="s">
        <v>126</v>
      </c>
      <c r="F46" s="270"/>
      <c r="G46" s="270"/>
      <c r="H46" s="270"/>
      <c r="I46" s="256"/>
      <c r="J46" s="60" t="str">
        <f>IF(AND('Mapa final'!$Y$13="Muy Baja",'Mapa final'!$AA$13="Leve"),CONCATENATE("R1C",'Mapa final'!$O$13),"")</f>
        <v/>
      </c>
      <c r="K46" s="61" t="str">
        <f>IF(AND('Mapa final'!$Y$14="Muy Baja",'Mapa final'!$AA$14="Leve"),CONCATENATE("R1C",'Mapa final'!$O$14),"")</f>
        <v/>
      </c>
      <c r="L46" s="61" t="str">
        <f>IF(AND('Mapa final'!$Y$15="Muy Baja",'Mapa final'!$AA$15="Leve"),CONCATENATE("R1C",'Mapa final'!$O$15),"")</f>
        <v/>
      </c>
      <c r="M46" s="61" t="str">
        <f>IF(AND('Mapa final'!$Y$16="Muy Baja",'Mapa final'!$AA$16="Leve"),CONCATENATE("R1C",'Mapa final'!$O$16),"")</f>
        <v/>
      </c>
      <c r="N46" s="61" t="str">
        <f>IF(AND('Mapa final'!$Y$17="Muy Baja",'Mapa final'!$AA$17="Leve"),CONCATENATE("R1C",'Mapa final'!$O$17),"")</f>
        <v/>
      </c>
      <c r="O46" s="62" t="str">
        <f>IF(AND('Mapa final'!$Y$18="Muy Baja",'Mapa final'!$AA$18="Leve"),CONCATENATE("R1C",'Mapa final'!$O$18),"")</f>
        <v/>
      </c>
      <c r="P46" s="60" t="str">
        <f>IF(AND('Mapa final'!$Y$13="Muy Baja",'Mapa final'!$AA$13="Menor"),CONCATENATE("R1C",'Mapa final'!$O$13),"")</f>
        <v/>
      </c>
      <c r="Q46" s="61" t="str">
        <f>IF(AND('Mapa final'!$Y$14="Muy Baja",'Mapa final'!$AA$14="Menor"),CONCATENATE("R1C",'Mapa final'!$O$14),"")</f>
        <v/>
      </c>
      <c r="R46" s="61" t="str">
        <f>IF(AND('Mapa final'!$Y$15="Muy Baja",'Mapa final'!$AA$15="Menor"),CONCATENATE("R1C",'Mapa final'!$O$15),"")</f>
        <v/>
      </c>
      <c r="S46" s="61" t="str">
        <f>IF(AND('Mapa final'!$Y$16="Muy Baja",'Mapa final'!$AA$16="Menor"),CONCATENATE("R1C",'Mapa final'!$O$16),"")</f>
        <v/>
      </c>
      <c r="T46" s="61" t="str">
        <f>IF(AND('Mapa final'!$Y$17="Muy Baja",'Mapa final'!$AA$17="Menor"),CONCATENATE("R1C",'Mapa final'!$O$17),"")</f>
        <v/>
      </c>
      <c r="U46" s="62" t="str">
        <f>IF(AND('Mapa final'!$Y$18="Muy Baja",'Mapa final'!$AA$18="Menor"),CONCATENATE("R1C",'Mapa final'!$O$18),"")</f>
        <v/>
      </c>
      <c r="V46" s="51" t="str">
        <f>IF(AND('Mapa final'!$Y$13="Muy Baja",'Mapa final'!$AA$13="Moderado"),CONCATENATE("R1C",'Mapa final'!$O$13),"")</f>
        <v/>
      </c>
      <c r="W46" s="69" t="str">
        <f>IF(AND('Mapa final'!$Y$14="Muy Baja",'Mapa final'!$AA$14="Moderado"),CONCATENATE("R1C",'Mapa final'!$O$14),"")</f>
        <v/>
      </c>
      <c r="X46" s="52" t="str">
        <f>IF(AND('Mapa final'!$Y$15="Muy Baja",'Mapa final'!$AA$15="Moderado"),CONCATENATE("R1C",'Mapa final'!$O$15),"")</f>
        <v/>
      </c>
      <c r="Y46" s="52" t="str">
        <f>IF(AND('Mapa final'!$Y$16="Muy Baja",'Mapa final'!$AA$16="Moderado"),CONCATENATE("R1C",'Mapa final'!$O$16),"")</f>
        <v/>
      </c>
      <c r="Z46" s="52" t="str">
        <f>IF(AND('Mapa final'!$Y$17="Muy Baja",'Mapa final'!$AA$17="Moderado"),CONCATENATE("R1C",'Mapa final'!$O$17),"")</f>
        <v/>
      </c>
      <c r="AA46" s="53" t="str">
        <f>IF(AND('Mapa final'!$Y$18="Muy Baja",'Mapa final'!$AA$18="Moderado"),CONCATENATE("R1C",'Mapa final'!$O$18),"")</f>
        <v/>
      </c>
      <c r="AB46" s="33" t="str">
        <f>IF(AND('Mapa final'!$Y$13="Muy Baja",'Mapa final'!$AA$13="Mayor"),CONCATENATE("R1C",'Mapa final'!$O$13),"")</f>
        <v/>
      </c>
      <c r="AC46" s="34" t="str">
        <f>IF(AND('Mapa final'!$Y$14="Muy Baja",'Mapa final'!$AA$14="Mayor"),CONCATENATE("R1C",'Mapa final'!$O$14),"")</f>
        <v/>
      </c>
      <c r="AD46" s="34" t="str">
        <f>IF(AND('Mapa final'!$Y$15="Muy Baja",'Mapa final'!$AA$15="Mayor"),CONCATENATE("R1C",'Mapa final'!$O$15),"")</f>
        <v/>
      </c>
      <c r="AE46" s="34" t="str">
        <f>IF(AND('Mapa final'!$Y$16="Muy Baja",'Mapa final'!$AA$16="Mayor"),CONCATENATE("R1C",'Mapa final'!$O$16),"")</f>
        <v/>
      </c>
      <c r="AF46" s="34" t="str">
        <f>IF(AND('Mapa final'!$Y$17="Muy Baja",'Mapa final'!$AA$17="Mayor"),CONCATENATE("R1C",'Mapa final'!$O$17),"")</f>
        <v/>
      </c>
      <c r="AG46" s="35" t="str">
        <f>IF(AND('Mapa final'!$Y$18="Muy Baja",'Mapa final'!$AA$18="Mayor"),CONCATENATE("R1C",'Mapa final'!$O$18),"")</f>
        <v/>
      </c>
      <c r="AH46" s="36" t="str">
        <f>IF(AND('Mapa final'!$Y$13="Muy Baja",'Mapa final'!$AA$13="Catastrófico"),CONCATENATE("R1C",'Mapa final'!$O$13),"")</f>
        <v/>
      </c>
      <c r="AI46" s="37" t="str">
        <f>IF(AND('Mapa final'!$Y$14="Muy Baja",'Mapa final'!$AA$14="Catastrófico"),CONCATENATE("R1C",'Mapa final'!$O$14),"")</f>
        <v/>
      </c>
      <c r="AJ46" s="37" t="str">
        <f>IF(AND('Mapa final'!$Y$15="Muy Baja",'Mapa final'!$AA$15="Catastrófico"),CONCATENATE("R1C",'Mapa final'!$O$15),"")</f>
        <v/>
      </c>
      <c r="AK46" s="37" t="str">
        <f>IF(AND('Mapa final'!$Y$16="Muy Baja",'Mapa final'!$AA$16="Catastrófico"),CONCATENATE("R1C",'Mapa final'!$O$16),"")</f>
        <v/>
      </c>
      <c r="AL46" s="37" t="str">
        <f>IF(AND('Mapa final'!$Y$17="Muy Baja",'Mapa final'!$AA$17="Catastrófico"),CONCATENATE("R1C",'Mapa final'!$O$17),"")</f>
        <v/>
      </c>
      <c r="AM46" s="38" t="str">
        <f>IF(AND('Mapa final'!$Y$18="Muy Baja",'Mapa final'!$AA$18="Catastrófico"),CONCATENATE("R1C",'Mapa final'!$O$18),"")</f>
        <v/>
      </c>
      <c r="AN46" s="1"/>
      <c r="AO46" s="1"/>
      <c r="AP46" s="1"/>
      <c r="AQ46" s="1"/>
      <c r="AR46" s="1"/>
      <c r="AS46" s="1"/>
      <c r="AT46" s="1"/>
      <c r="AU46" s="1"/>
      <c r="AV46" s="1"/>
      <c r="AW46" s="1"/>
      <c r="AX46" s="1"/>
      <c r="AY46" s="1"/>
      <c r="AZ46" s="1"/>
      <c r="BA46" s="1"/>
      <c r="BB46" s="1"/>
      <c r="BC46" s="1"/>
      <c r="BD46" s="1"/>
      <c r="BE46" s="1"/>
      <c r="BF46" s="1"/>
      <c r="BG46" s="1"/>
      <c r="BH46" s="1"/>
      <c r="BI46" s="1"/>
    </row>
    <row r="47" spans="1:61" ht="46.5" customHeight="1" x14ac:dyDescent="0.25">
      <c r="A47" s="1"/>
      <c r="B47" s="281"/>
      <c r="C47" s="144"/>
      <c r="D47" s="145"/>
      <c r="E47" s="156"/>
      <c r="F47" s="144"/>
      <c r="G47" s="144"/>
      <c r="H47" s="144"/>
      <c r="I47" s="145"/>
      <c r="J47" s="63" t="str">
        <f>IF(AND('Mapa final'!$Y$19="Muy Baja",'Mapa final'!$AA$19="Leve"),CONCATENATE("R2C",'Mapa final'!$O$19),"")</f>
        <v/>
      </c>
      <c r="K47" s="64" t="str">
        <f>IF(AND('Mapa final'!$Y$20="Muy Baja",'Mapa final'!$AA$20="Leve"),CONCATENATE("R2C",'Mapa final'!$O$20),"")</f>
        <v/>
      </c>
      <c r="L47" s="64" t="str">
        <f>IF(AND('Mapa final'!$Y$21="Muy Baja",'Mapa final'!$AA$21="Leve"),CONCATENATE("R2C",'Mapa final'!$O$21),"")</f>
        <v/>
      </c>
      <c r="M47" s="64" t="str">
        <f>IF(AND('Mapa final'!$Y$22="Muy Baja",'Mapa final'!$AA$22="Leve"),CONCATENATE("R2C",'Mapa final'!$O$22),"")</f>
        <v/>
      </c>
      <c r="N47" s="64" t="str">
        <f>IF(AND('Mapa final'!$Y$23="Muy Baja",'Mapa final'!$AA$23="Leve"),CONCATENATE("R2C",'Mapa final'!$O$23),"")</f>
        <v/>
      </c>
      <c r="O47" s="65" t="str">
        <f>IF(AND('Mapa final'!$Y$24="Muy Baja",'Mapa final'!$AA$24="Leve"),CONCATENATE("R2C",'Mapa final'!$O$24),"")</f>
        <v/>
      </c>
      <c r="P47" s="63" t="str">
        <f>IF(AND('Mapa final'!$Y$19="Muy Baja",'Mapa final'!$AA$19="Menor"),CONCATENATE("R2C",'Mapa final'!$O$19),"")</f>
        <v/>
      </c>
      <c r="Q47" s="64" t="str">
        <f>IF(AND('Mapa final'!$Y$20="Muy Baja",'Mapa final'!$AA$20="Menor"),CONCATENATE("R2C",'Mapa final'!$O$20),"")</f>
        <v/>
      </c>
      <c r="R47" s="64" t="str">
        <f>IF(AND('Mapa final'!$Y$21="Muy Baja",'Mapa final'!$AA$21="Menor"),CONCATENATE("R2C",'Mapa final'!$O$21),"")</f>
        <v/>
      </c>
      <c r="S47" s="64" t="str">
        <f>IF(AND('Mapa final'!$Y$22="Muy Baja",'Mapa final'!$AA$22="Menor"),CONCATENATE("R2C",'Mapa final'!$O$22),"")</f>
        <v/>
      </c>
      <c r="T47" s="64" t="str">
        <f>IF(AND('Mapa final'!$Y$23="Muy Baja",'Mapa final'!$AA$23="Menor"),CONCATENATE("R2C",'Mapa final'!$O$23),"")</f>
        <v/>
      </c>
      <c r="U47" s="65" t="str">
        <f>IF(AND('Mapa final'!$Y$24="Muy Baja",'Mapa final'!$AA$24="Menor"),CONCATENATE("R2C",'Mapa final'!$O$24),"")</f>
        <v/>
      </c>
      <c r="V47" s="54" t="str">
        <f>IF(AND('Mapa final'!$Y$19="Muy Baja",'Mapa final'!$AA$19="Moderado"),CONCATENATE("R2C",'Mapa final'!$O$19),"")</f>
        <v/>
      </c>
      <c r="W47" s="55" t="str">
        <f>IF(AND('Mapa final'!$Y$20="Muy Baja",'Mapa final'!$AA$20="Moderado"),CONCATENATE("R2C",'Mapa final'!$O$20),"")</f>
        <v/>
      </c>
      <c r="X47" s="55" t="str">
        <f>IF(AND('Mapa final'!$Y$21="Muy Baja",'Mapa final'!$AA$21="Moderado"),CONCATENATE("R2C",'Mapa final'!$O$21),"")</f>
        <v/>
      </c>
      <c r="Y47" s="55" t="str">
        <f>IF(AND('Mapa final'!$Y$22="Muy Baja",'Mapa final'!$AA$22="Moderado"),CONCATENATE("R2C",'Mapa final'!$O$22),"")</f>
        <v/>
      </c>
      <c r="Z47" s="55" t="str">
        <f>IF(AND('Mapa final'!$Y$23="Muy Baja",'Mapa final'!$AA$23="Moderado"),CONCATENATE("R2C",'Mapa final'!$O$23),"")</f>
        <v/>
      </c>
      <c r="AA47" s="56" t="str">
        <f>IF(AND('Mapa final'!$Y$24="Muy Baja",'Mapa final'!$AA$24="Moderado"),CONCATENATE("R2C",'Mapa final'!$O$24),"")</f>
        <v/>
      </c>
      <c r="AB47" s="39" t="str">
        <f>IF(AND('Mapa final'!$Y$19="Muy Baja",'Mapa final'!$AA$19="Mayor"),CONCATENATE("R2C",'Mapa final'!$O$19),"")</f>
        <v/>
      </c>
      <c r="AC47" s="40" t="str">
        <f>IF(AND('Mapa final'!$Y$20="Muy Baja",'Mapa final'!$AA$20="Mayor"),CONCATENATE("R2C",'Mapa final'!$O$20),"")</f>
        <v/>
      </c>
      <c r="AD47" s="40" t="str">
        <f>IF(AND('Mapa final'!$Y$21="Muy Baja",'Mapa final'!$AA$21="Mayor"),CONCATENATE("R2C",'Mapa final'!$O$21),"")</f>
        <v/>
      </c>
      <c r="AE47" s="40" t="str">
        <f>IF(AND('Mapa final'!$Y$22="Muy Baja",'Mapa final'!$AA$22="Mayor"),CONCATENATE("R2C",'Mapa final'!$O$22),"")</f>
        <v/>
      </c>
      <c r="AF47" s="40" t="str">
        <f>IF(AND('Mapa final'!$Y$23="Muy Baja",'Mapa final'!$AA$23="Mayor"),CONCATENATE("R2C",'Mapa final'!$O$23),"")</f>
        <v/>
      </c>
      <c r="AG47" s="41" t="str">
        <f>IF(AND('Mapa final'!$Y$24="Muy Baja",'Mapa final'!$AA$24="Mayor"),CONCATENATE("R2C",'Mapa final'!$O$24),"")</f>
        <v/>
      </c>
      <c r="AH47" s="42" t="str">
        <f>IF(AND('Mapa final'!$Y$19="Muy Baja",'Mapa final'!$AA$19="Catastrófico"),CONCATENATE("R2C",'Mapa final'!$O$19),"")</f>
        <v/>
      </c>
      <c r="AI47" s="43" t="str">
        <f>IF(AND('Mapa final'!$Y$20="Muy Baja",'Mapa final'!$AA$20="Catastrófico"),CONCATENATE("R2C",'Mapa final'!$O$20),"")</f>
        <v/>
      </c>
      <c r="AJ47" s="43" t="str">
        <f>IF(AND('Mapa final'!$Y$21="Muy Baja",'Mapa final'!$AA$21="Catastrófico"),CONCATENATE("R2C",'Mapa final'!$O$21),"")</f>
        <v/>
      </c>
      <c r="AK47" s="43" t="str">
        <f>IF(AND('Mapa final'!$Y$22="Muy Baja",'Mapa final'!$AA$22="Catastrófico"),CONCATENATE("R2C",'Mapa final'!$O$22),"")</f>
        <v/>
      </c>
      <c r="AL47" s="43" t="str">
        <f>IF(AND('Mapa final'!$Y$23="Muy Baja",'Mapa final'!$AA$23="Catastrófico"),CONCATENATE("R2C",'Mapa final'!$O$23),"")</f>
        <v/>
      </c>
      <c r="AM47" s="44" t="str">
        <f>IF(AND('Mapa final'!$Y$24="Muy Baja",'Mapa final'!$AA$24="Catastrófico"),CONCATENATE("R2C",'Mapa final'!$O$24),"")</f>
        <v/>
      </c>
      <c r="AN47" s="1"/>
      <c r="AO47" s="1"/>
      <c r="AP47" s="1"/>
      <c r="AQ47" s="1"/>
      <c r="AR47" s="1"/>
      <c r="AS47" s="1"/>
      <c r="AT47" s="1"/>
      <c r="AU47" s="1"/>
      <c r="AV47" s="1"/>
      <c r="AW47" s="1"/>
      <c r="AX47" s="1"/>
      <c r="AY47" s="1"/>
      <c r="AZ47" s="1"/>
      <c r="BA47" s="1"/>
      <c r="BB47" s="1"/>
      <c r="BC47" s="1"/>
      <c r="BD47" s="1"/>
      <c r="BE47" s="1"/>
      <c r="BF47" s="1"/>
      <c r="BG47" s="1"/>
      <c r="BH47" s="1"/>
      <c r="BI47" s="1"/>
    </row>
    <row r="48" spans="1:61" ht="15" customHeight="1" x14ac:dyDescent="0.25">
      <c r="A48" s="1"/>
      <c r="B48" s="281"/>
      <c r="C48" s="144"/>
      <c r="D48" s="145"/>
      <c r="E48" s="156"/>
      <c r="F48" s="144"/>
      <c r="G48" s="144"/>
      <c r="H48" s="144"/>
      <c r="I48" s="145"/>
      <c r="J48" s="63" t="e">
        <f>IF(AND('Mapa final'!#REF!="Muy Baja",'Mapa final'!#REF!="Leve"),CONCATENATE("R3C",'Mapa final'!#REF!),"")</f>
        <v>#REF!</v>
      </c>
      <c r="K48" s="64" t="e">
        <f>IF(AND('Mapa final'!#REF!="Muy Baja",'Mapa final'!#REF!="Leve"),CONCATENATE("R3C",'Mapa final'!#REF!),"")</f>
        <v>#REF!</v>
      </c>
      <c r="L48" s="64" t="e">
        <f>IF(AND('Mapa final'!#REF!="Muy Baja",'Mapa final'!#REF!="Leve"),CONCATENATE("R3C",'Mapa final'!#REF!),"")</f>
        <v>#REF!</v>
      </c>
      <c r="M48" s="64" t="e">
        <f>IF(AND('Mapa final'!#REF!="Muy Baja",'Mapa final'!#REF!="Leve"),CONCATENATE("R3C",'Mapa final'!#REF!),"")</f>
        <v>#REF!</v>
      </c>
      <c r="N48" s="64" t="e">
        <f>IF(AND('Mapa final'!#REF!="Muy Baja",'Mapa final'!#REF!="Leve"),CONCATENATE("R3C",'Mapa final'!#REF!),"")</f>
        <v>#REF!</v>
      </c>
      <c r="O48" s="65" t="e">
        <f>IF(AND('Mapa final'!#REF!="Muy Baja",'Mapa final'!#REF!="Leve"),CONCATENATE("R3C",'Mapa final'!#REF!),"")</f>
        <v>#REF!</v>
      </c>
      <c r="P48" s="63" t="e">
        <f>IF(AND('Mapa final'!#REF!="Muy Baja",'Mapa final'!#REF!="Menor"),CONCATENATE("R3C",'Mapa final'!#REF!),"")</f>
        <v>#REF!</v>
      </c>
      <c r="Q48" s="64" t="e">
        <f>IF(AND('Mapa final'!#REF!="Muy Baja",'Mapa final'!#REF!="Menor"),CONCATENATE("R3C",'Mapa final'!#REF!),"")</f>
        <v>#REF!</v>
      </c>
      <c r="R48" s="64" t="e">
        <f>IF(AND('Mapa final'!#REF!="Muy Baja",'Mapa final'!#REF!="Menor"),CONCATENATE("R3C",'Mapa final'!#REF!),"")</f>
        <v>#REF!</v>
      </c>
      <c r="S48" s="64" t="e">
        <f>IF(AND('Mapa final'!#REF!="Muy Baja",'Mapa final'!#REF!="Menor"),CONCATENATE("R3C",'Mapa final'!#REF!),"")</f>
        <v>#REF!</v>
      </c>
      <c r="T48" s="64" t="e">
        <f>IF(AND('Mapa final'!#REF!="Muy Baja",'Mapa final'!#REF!="Menor"),CONCATENATE("R3C",'Mapa final'!#REF!),"")</f>
        <v>#REF!</v>
      </c>
      <c r="U48" s="65" t="e">
        <f>IF(AND('Mapa final'!#REF!="Muy Baja",'Mapa final'!#REF!="Menor"),CONCATENATE("R3C",'Mapa final'!#REF!),"")</f>
        <v>#REF!</v>
      </c>
      <c r="V48" s="54" t="e">
        <f>IF(AND('Mapa final'!#REF!="Muy Baja",'Mapa final'!#REF!="Moderado"),CONCATENATE("R3C",'Mapa final'!#REF!),"")</f>
        <v>#REF!</v>
      </c>
      <c r="W48" s="55" t="e">
        <f>IF(AND('Mapa final'!#REF!="Muy Baja",'Mapa final'!#REF!="Moderado"),CONCATENATE("R3C",'Mapa final'!#REF!),"")</f>
        <v>#REF!</v>
      </c>
      <c r="X48" s="55" t="e">
        <f>IF(AND('Mapa final'!#REF!="Muy Baja",'Mapa final'!#REF!="Moderado"),CONCATENATE("R3C",'Mapa final'!#REF!),"")</f>
        <v>#REF!</v>
      </c>
      <c r="Y48" s="55" t="e">
        <f>IF(AND('Mapa final'!#REF!="Muy Baja",'Mapa final'!#REF!="Moderado"),CONCATENATE("R3C",'Mapa final'!#REF!),"")</f>
        <v>#REF!</v>
      </c>
      <c r="Z48" s="55" t="e">
        <f>IF(AND('Mapa final'!#REF!="Muy Baja",'Mapa final'!#REF!="Moderado"),CONCATENATE("R3C",'Mapa final'!#REF!),"")</f>
        <v>#REF!</v>
      </c>
      <c r="AA48" s="56" t="e">
        <f>IF(AND('Mapa final'!#REF!="Muy Baja",'Mapa final'!#REF!="Moderado"),CONCATENATE("R3C",'Mapa final'!#REF!),"")</f>
        <v>#REF!</v>
      </c>
      <c r="AB48" s="39" t="e">
        <f>IF(AND('Mapa final'!#REF!="Muy Baja",'Mapa final'!#REF!="Mayor"),CONCATENATE("R3C",'Mapa final'!#REF!),"")</f>
        <v>#REF!</v>
      </c>
      <c r="AC48" s="40" t="e">
        <f>IF(AND('Mapa final'!#REF!="Muy Baja",'Mapa final'!#REF!="Mayor"),CONCATENATE("R3C",'Mapa final'!#REF!),"")</f>
        <v>#REF!</v>
      </c>
      <c r="AD48" s="40" t="e">
        <f>IF(AND('Mapa final'!#REF!="Muy Baja",'Mapa final'!#REF!="Mayor"),CONCATENATE("R3C",'Mapa final'!#REF!),"")</f>
        <v>#REF!</v>
      </c>
      <c r="AE48" s="40" t="e">
        <f>IF(AND('Mapa final'!#REF!="Muy Baja",'Mapa final'!#REF!="Mayor"),CONCATENATE("R3C",'Mapa final'!#REF!),"")</f>
        <v>#REF!</v>
      </c>
      <c r="AF48" s="40" t="e">
        <f>IF(AND('Mapa final'!#REF!="Muy Baja",'Mapa final'!#REF!="Mayor"),CONCATENATE("R3C",'Mapa final'!#REF!),"")</f>
        <v>#REF!</v>
      </c>
      <c r="AG48" s="41" t="e">
        <f>IF(AND('Mapa final'!#REF!="Muy Baja",'Mapa final'!#REF!="Mayor"),CONCATENATE("R3C",'Mapa final'!#REF!),"")</f>
        <v>#REF!</v>
      </c>
      <c r="AH48" s="42" t="e">
        <f>IF(AND('Mapa final'!#REF!="Muy Baja",'Mapa final'!#REF!="Catastrófico"),CONCATENATE("R3C",'Mapa final'!#REF!),"")</f>
        <v>#REF!</v>
      </c>
      <c r="AI48" s="43" t="e">
        <f>IF(AND('Mapa final'!#REF!="Muy Baja",'Mapa final'!#REF!="Catastrófico"),CONCATENATE("R3C",'Mapa final'!#REF!),"")</f>
        <v>#REF!</v>
      </c>
      <c r="AJ48" s="43" t="e">
        <f>IF(AND('Mapa final'!#REF!="Muy Baja",'Mapa final'!#REF!="Catastrófico"),CONCATENATE("R3C",'Mapa final'!#REF!),"")</f>
        <v>#REF!</v>
      </c>
      <c r="AK48" s="43" t="e">
        <f>IF(AND('Mapa final'!#REF!="Muy Baja",'Mapa final'!#REF!="Catastrófico"),CONCATENATE("R3C",'Mapa final'!#REF!),"")</f>
        <v>#REF!</v>
      </c>
      <c r="AL48" s="43" t="e">
        <f>IF(AND('Mapa final'!#REF!="Muy Baja",'Mapa final'!#REF!="Catastrófico"),CONCATENATE("R3C",'Mapa final'!#REF!),"")</f>
        <v>#REF!</v>
      </c>
      <c r="AM48" s="44" t="e">
        <f>IF(AND('Mapa final'!#REF!="Muy Baja",'Mapa final'!#REF!="Catastrófico"),CONCATENATE("R3C",'Mapa final'!#REF!),"")</f>
        <v>#REF!</v>
      </c>
      <c r="AN48" s="1"/>
      <c r="AO48" s="1"/>
      <c r="AP48" s="1"/>
      <c r="AQ48" s="1"/>
      <c r="AR48" s="1"/>
      <c r="AS48" s="1"/>
      <c r="AT48" s="1"/>
      <c r="AU48" s="1"/>
      <c r="AV48" s="1"/>
      <c r="AW48" s="1"/>
      <c r="AX48" s="1"/>
      <c r="AY48" s="1"/>
      <c r="AZ48" s="1"/>
      <c r="BA48" s="1"/>
      <c r="BB48" s="1"/>
      <c r="BC48" s="1"/>
      <c r="BD48" s="1"/>
      <c r="BE48" s="1"/>
      <c r="BF48" s="1"/>
      <c r="BG48" s="1"/>
      <c r="BH48" s="1"/>
      <c r="BI48" s="1"/>
    </row>
    <row r="49" spans="1:61" ht="15" customHeight="1" x14ac:dyDescent="0.25">
      <c r="A49" s="1"/>
      <c r="B49" s="281"/>
      <c r="C49" s="144"/>
      <c r="D49" s="145"/>
      <c r="E49" s="156"/>
      <c r="F49" s="144"/>
      <c r="G49" s="144"/>
      <c r="H49" s="144"/>
      <c r="I49" s="145"/>
      <c r="J49" s="63" t="e">
        <f>IF(AND('Mapa final'!#REF!="Muy Baja",'Mapa final'!#REF!="Leve"),CONCATENATE("R4C",'Mapa final'!#REF!),"")</f>
        <v>#REF!</v>
      </c>
      <c r="K49" s="64" t="e">
        <f>IF(AND('Mapa final'!#REF!="Muy Baja",'Mapa final'!#REF!="Leve"),CONCATENATE("R4C",'Mapa final'!#REF!),"")</f>
        <v>#REF!</v>
      </c>
      <c r="L49" s="64" t="e">
        <f>IF(AND('Mapa final'!#REF!="Muy Baja",'Mapa final'!#REF!="Leve"),CONCATENATE("R4C",'Mapa final'!#REF!),"")</f>
        <v>#REF!</v>
      </c>
      <c r="M49" s="64" t="e">
        <f>IF(AND('Mapa final'!#REF!="Muy Baja",'Mapa final'!#REF!="Leve"),CONCATENATE("R4C",'Mapa final'!#REF!),"")</f>
        <v>#REF!</v>
      </c>
      <c r="N49" s="64" t="e">
        <f>IF(AND('Mapa final'!#REF!="Muy Baja",'Mapa final'!#REF!="Leve"),CONCATENATE("R4C",'Mapa final'!#REF!),"")</f>
        <v>#REF!</v>
      </c>
      <c r="O49" s="65" t="e">
        <f>IF(AND('Mapa final'!#REF!="Muy Baja",'Mapa final'!#REF!="Leve"),CONCATENATE("R4C",'Mapa final'!#REF!),"")</f>
        <v>#REF!</v>
      </c>
      <c r="P49" s="63" t="e">
        <f>IF(AND('Mapa final'!#REF!="Muy Baja",'Mapa final'!#REF!="Menor"),CONCATENATE("R4C",'Mapa final'!#REF!),"")</f>
        <v>#REF!</v>
      </c>
      <c r="Q49" s="64" t="e">
        <f>IF(AND('Mapa final'!#REF!="Muy Baja",'Mapa final'!#REF!="Menor"),CONCATENATE("R4C",'Mapa final'!#REF!),"")</f>
        <v>#REF!</v>
      </c>
      <c r="R49" s="64" t="e">
        <f>IF(AND('Mapa final'!#REF!="Muy Baja",'Mapa final'!#REF!="Menor"),CONCATENATE("R4C",'Mapa final'!#REF!),"")</f>
        <v>#REF!</v>
      </c>
      <c r="S49" s="64" t="e">
        <f>IF(AND('Mapa final'!#REF!="Muy Baja",'Mapa final'!#REF!="Menor"),CONCATENATE("R4C",'Mapa final'!#REF!),"")</f>
        <v>#REF!</v>
      </c>
      <c r="T49" s="64" t="e">
        <f>IF(AND('Mapa final'!#REF!="Muy Baja",'Mapa final'!#REF!="Menor"),CONCATENATE("R4C",'Mapa final'!#REF!),"")</f>
        <v>#REF!</v>
      </c>
      <c r="U49" s="65" t="e">
        <f>IF(AND('Mapa final'!#REF!="Muy Baja",'Mapa final'!#REF!="Menor"),CONCATENATE("R4C",'Mapa final'!#REF!),"")</f>
        <v>#REF!</v>
      </c>
      <c r="V49" s="54" t="e">
        <f>IF(AND('Mapa final'!#REF!="Muy Baja",'Mapa final'!#REF!="Moderado"),CONCATENATE("R4C",'Mapa final'!#REF!),"")</f>
        <v>#REF!</v>
      </c>
      <c r="W49" s="55" t="e">
        <f>IF(AND('Mapa final'!#REF!="Muy Baja",'Mapa final'!#REF!="Moderado"),CONCATENATE("R4C",'Mapa final'!#REF!),"")</f>
        <v>#REF!</v>
      </c>
      <c r="X49" s="55" t="e">
        <f>IF(AND('Mapa final'!#REF!="Muy Baja",'Mapa final'!#REF!="Moderado"),CONCATENATE("R4C",'Mapa final'!#REF!),"")</f>
        <v>#REF!</v>
      </c>
      <c r="Y49" s="55" t="e">
        <f>IF(AND('Mapa final'!#REF!="Muy Baja",'Mapa final'!#REF!="Moderado"),CONCATENATE("R4C",'Mapa final'!#REF!),"")</f>
        <v>#REF!</v>
      </c>
      <c r="Z49" s="55" t="e">
        <f>IF(AND('Mapa final'!#REF!="Muy Baja",'Mapa final'!#REF!="Moderado"),CONCATENATE("R4C",'Mapa final'!#REF!),"")</f>
        <v>#REF!</v>
      </c>
      <c r="AA49" s="56" t="e">
        <f>IF(AND('Mapa final'!#REF!="Muy Baja",'Mapa final'!#REF!="Moderado"),CONCATENATE("R4C",'Mapa final'!#REF!),"")</f>
        <v>#REF!</v>
      </c>
      <c r="AB49" s="39" t="e">
        <f>IF(AND('Mapa final'!#REF!="Muy Baja",'Mapa final'!#REF!="Mayor"),CONCATENATE("R4C",'Mapa final'!#REF!),"")</f>
        <v>#REF!</v>
      </c>
      <c r="AC49" s="40" t="e">
        <f>IF(AND('Mapa final'!#REF!="Muy Baja",'Mapa final'!#REF!="Mayor"),CONCATENATE("R4C",'Mapa final'!#REF!),"")</f>
        <v>#REF!</v>
      </c>
      <c r="AD49" s="40" t="e">
        <f>IF(AND('Mapa final'!#REF!="Muy Baja",'Mapa final'!#REF!="Mayor"),CONCATENATE("R4C",'Mapa final'!#REF!),"")</f>
        <v>#REF!</v>
      </c>
      <c r="AE49" s="40" t="e">
        <f>IF(AND('Mapa final'!#REF!="Muy Baja",'Mapa final'!#REF!="Mayor"),CONCATENATE("R4C",'Mapa final'!#REF!),"")</f>
        <v>#REF!</v>
      </c>
      <c r="AF49" s="40" t="e">
        <f>IF(AND('Mapa final'!#REF!="Muy Baja",'Mapa final'!#REF!="Mayor"),CONCATENATE("R4C",'Mapa final'!#REF!),"")</f>
        <v>#REF!</v>
      </c>
      <c r="AG49" s="41" t="e">
        <f>IF(AND('Mapa final'!#REF!="Muy Baja",'Mapa final'!#REF!="Mayor"),CONCATENATE("R4C",'Mapa final'!#REF!),"")</f>
        <v>#REF!</v>
      </c>
      <c r="AH49" s="42" t="e">
        <f>IF(AND('Mapa final'!#REF!="Muy Baja",'Mapa final'!#REF!="Catastrófico"),CONCATENATE("R4C",'Mapa final'!#REF!),"")</f>
        <v>#REF!</v>
      </c>
      <c r="AI49" s="43" t="e">
        <f>IF(AND('Mapa final'!#REF!="Muy Baja",'Mapa final'!#REF!="Catastrófico"),CONCATENATE("R4C",'Mapa final'!#REF!),"")</f>
        <v>#REF!</v>
      </c>
      <c r="AJ49" s="43" t="e">
        <f>IF(AND('Mapa final'!#REF!="Muy Baja",'Mapa final'!#REF!="Catastrófico"),CONCATENATE("R4C",'Mapa final'!#REF!),"")</f>
        <v>#REF!</v>
      </c>
      <c r="AK49" s="43" t="e">
        <f>IF(AND('Mapa final'!#REF!="Muy Baja",'Mapa final'!#REF!="Catastrófico"),CONCATENATE("R4C",'Mapa final'!#REF!),"")</f>
        <v>#REF!</v>
      </c>
      <c r="AL49" s="43" t="e">
        <f>IF(AND('Mapa final'!#REF!="Muy Baja",'Mapa final'!#REF!="Catastrófico"),CONCATENATE("R4C",'Mapa final'!#REF!),"")</f>
        <v>#REF!</v>
      </c>
      <c r="AM49" s="44" t="e">
        <f>IF(AND('Mapa final'!#REF!="Muy Baja",'Mapa final'!#REF!="Catastrófico"),CONCATENATE("R4C",'Mapa final'!#REF!),"")</f>
        <v>#REF!</v>
      </c>
      <c r="AN49" s="1"/>
      <c r="AO49" s="1"/>
      <c r="AP49" s="1"/>
      <c r="AQ49" s="1"/>
      <c r="AR49" s="1"/>
      <c r="AS49" s="1"/>
      <c r="AT49" s="1"/>
      <c r="AU49" s="1"/>
      <c r="AV49" s="1"/>
      <c r="AW49" s="1"/>
      <c r="AX49" s="1"/>
      <c r="AY49" s="1"/>
      <c r="AZ49" s="1"/>
      <c r="BA49" s="1"/>
      <c r="BB49" s="1"/>
      <c r="BC49" s="1"/>
      <c r="BD49" s="1"/>
      <c r="BE49" s="1"/>
      <c r="BF49" s="1"/>
      <c r="BG49" s="1"/>
      <c r="BH49" s="1"/>
      <c r="BI49" s="1"/>
    </row>
    <row r="50" spans="1:61" ht="15" customHeight="1" x14ac:dyDescent="0.25">
      <c r="A50" s="1"/>
      <c r="B50" s="281"/>
      <c r="C50" s="144"/>
      <c r="D50" s="145"/>
      <c r="E50" s="156"/>
      <c r="F50" s="144"/>
      <c r="G50" s="144"/>
      <c r="H50" s="144"/>
      <c r="I50" s="145"/>
      <c r="J50" s="63" t="e">
        <f>IF(AND('Mapa final'!#REF!="Muy Baja",'Mapa final'!#REF!="Leve"),CONCATENATE("R5C",'Mapa final'!#REF!),"")</f>
        <v>#REF!</v>
      </c>
      <c r="K50" s="64" t="e">
        <f>IF(AND('Mapa final'!#REF!="Muy Baja",'Mapa final'!#REF!="Leve"),CONCATENATE("R5C",'Mapa final'!#REF!),"")</f>
        <v>#REF!</v>
      </c>
      <c r="L50" s="64" t="e">
        <f>IF(AND('Mapa final'!#REF!="Muy Baja",'Mapa final'!#REF!="Leve"),CONCATENATE("R5C",'Mapa final'!#REF!),"")</f>
        <v>#REF!</v>
      </c>
      <c r="M50" s="64" t="e">
        <f>IF(AND('Mapa final'!#REF!="Muy Baja",'Mapa final'!#REF!="Leve"),CONCATENATE("R5C",'Mapa final'!#REF!),"")</f>
        <v>#REF!</v>
      </c>
      <c r="N50" s="64" t="e">
        <f>IF(AND('Mapa final'!#REF!="Muy Baja",'Mapa final'!#REF!="Leve"),CONCATENATE("R5C",'Mapa final'!#REF!),"")</f>
        <v>#REF!</v>
      </c>
      <c r="O50" s="65" t="e">
        <f>IF(AND('Mapa final'!#REF!="Muy Baja",'Mapa final'!#REF!="Leve"),CONCATENATE("R5C",'Mapa final'!#REF!),"")</f>
        <v>#REF!</v>
      </c>
      <c r="P50" s="63" t="e">
        <f>IF(AND('Mapa final'!#REF!="Muy Baja",'Mapa final'!#REF!="Menor"),CONCATENATE("R5C",'Mapa final'!#REF!),"")</f>
        <v>#REF!</v>
      </c>
      <c r="Q50" s="64" t="e">
        <f>IF(AND('Mapa final'!#REF!="Muy Baja",'Mapa final'!#REF!="Menor"),CONCATENATE("R5C",'Mapa final'!#REF!),"")</f>
        <v>#REF!</v>
      </c>
      <c r="R50" s="64" t="e">
        <f>IF(AND('Mapa final'!#REF!="Muy Baja",'Mapa final'!#REF!="Menor"),CONCATENATE("R5C",'Mapa final'!#REF!),"")</f>
        <v>#REF!</v>
      </c>
      <c r="S50" s="64" t="e">
        <f>IF(AND('Mapa final'!#REF!="Muy Baja",'Mapa final'!#REF!="Menor"),CONCATENATE("R5C",'Mapa final'!#REF!),"")</f>
        <v>#REF!</v>
      </c>
      <c r="T50" s="64" t="e">
        <f>IF(AND('Mapa final'!#REF!="Muy Baja",'Mapa final'!#REF!="Menor"),CONCATENATE("R5C",'Mapa final'!#REF!),"")</f>
        <v>#REF!</v>
      </c>
      <c r="U50" s="65" t="e">
        <f>IF(AND('Mapa final'!#REF!="Muy Baja",'Mapa final'!#REF!="Menor"),CONCATENATE("R5C",'Mapa final'!#REF!),"")</f>
        <v>#REF!</v>
      </c>
      <c r="V50" s="54" t="e">
        <f>IF(AND('Mapa final'!#REF!="Muy Baja",'Mapa final'!#REF!="Moderado"),CONCATENATE("R5C",'Mapa final'!#REF!),"")</f>
        <v>#REF!</v>
      </c>
      <c r="W50" s="55" t="e">
        <f>IF(AND('Mapa final'!#REF!="Muy Baja",'Mapa final'!#REF!="Moderado"),CONCATENATE("R5C",'Mapa final'!#REF!),"")</f>
        <v>#REF!</v>
      </c>
      <c r="X50" s="55" t="e">
        <f>IF(AND('Mapa final'!#REF!="Muy Baja",'Mapa final'!#REF!="Moderado"),CONCATENATE("R5C",'Mapa final'!#REF!),"")</f>
        <v>#REF!</v>
      </c>
      <c r="Y50" s="55" t="e">
        <f>IF(AND('Mapa final'!#REF!="Muy Baja",'Mapa final'!#REF!="Moderado"),CONCATENATE("R5C",'Mapa final'!#REF!),"")</f>
        <v>#REF!</v>
      </c>
      <c r="Z50" s="55" t="e">
        <f>IF(AND('Mapa final'!#REF!="Muy Baja",'Mapa final'!#REF!="Moderado"),CONCATENATE("R5C",'Mapa final'!#REF!),"")</f>
        <v>#REF!</v>
      </c>
      <c r="AA50" s="56" t="e">
        <f>IF(AND('Mapa final'!#REF!="Muy Baja",'Mapa final'!#REF!="Moderado"),CONCATENATE("R5C",'Mapa final'!#REF!),"")</f>
        <v>#REF!</v>
      </c>
      <c r="AB50" s="39" t="e">
        <f>IF(AND('Mapa final'!#REF!="Muy Baja",'Mapa final'!#REF!="Mayor"),CONCATENATE("R5C",'Mapa final'!#REF!),"")</f>
        <v>#REF!</v>
      </c>
      <c r="AC50" s="40" t="e">
        <f>IF(AND('Mapa final'!#REF!="Muy Baja",'Mapa final'!#REF!="Mayor"),CONCATENATE("R5C",'Mapa final'!#REF!),"")</f>
        <v>#REF!</v>
      </c>
      <c r="AD50" s="40" t="e">
        <f>IF(AND('Mapa final'!#REF!="Muy Baja",'Mapa final'!#REF!="Mayor"),CONCATENATE("R5C",'Mapa final'!#REF!),"")</f>
        <v>#REF!</v>
      </c>
      <c r="AE50" s="40" t="e">
        <f>IF(AND('Mapa final'!#REF!="Muy Baja",'Mapa final'!#REF!="Mayor"),CONCATENATE("R5C",'Mapa final'!#REF!),"")</f>
        <v>#REF!</v>
      </c>
      <c r="AF50" s="40" t="e">
        <f>IF(AND('Mapa final'!#REF!="Muy Baja",'Mapa final'!#REF!="Mayor"),CONCATENATE("R5C",'Mapa final'!#REF!),"")</f>
        <v>#REF!</v>
      </c>
      <c r="AG50" s="41" t="e">
        <f>IF(AND('Mapa final'!#REF!="Muy Baja",'Mapa final'!#REF!="Mayor"),CONCATENATE("R5C",'Mapa final'!#REF!),"")</f>
        <v>#REF!</v>
      </c>
      <c r="AH50" s="42" t="e">
        <f>IF(AND('Mapa final'!#REF!="Muy Baja",'Mapa final'!#REF!="Catastrófico"),CONCATENATE("R5C",'Mapa final'!#REF!),"")</f>
        <v>#REF!</v>
      </c>
      <c r="AI50" s="43" t="e">
        <f>IF(AND('Mapa final'!#REF!="Muy Baja",'Mapa final'!#REF!="Catastrófico"),CONCATENATE("R5C",'Mapa final'!#REF!),"")</f>
        <v>#REF!</v>
      </c>
      <c r="AJ50" s="43" t="e">
        <f>IF(AND('Mapa final'!#REF!="Muy Baja",'Mapa final'!#REF!="Catastrófico"),CONCATENATE("R5C",'Mapa final'!#REF!),"")</f>
        <v>#REF!</v>
      </c>
      <c r="AK50" s="43" t="e">
        <f>IF(AND('Mapa final'!#REF!="Muy Baja",'Mapa final'!#REF!="Catastrófico"),CONCATENATE("R5C",'Mapa final'!#REF!),"")</f>
        <v>#REF!</v>
      </c>
      <c r="AL50" s="43" t="e">
        <f>IF(AND('Mapa final'!#REF!="Muy Baja",'Mapa final'!#REF!="Catastrófico"),CONCATENATE("R5C",'Mapa final'!#REF!),"")</f>
        <v>#REF!</v>
      </c>
      <c r="AM50" s="44" t="e">
        <f>IF(AND('Mapa final'!#REF!="Muy Baja",'Mapa final'!#REF!="Catastrófico"),CONCATENATE("R5C",'Mapa final'!#REF!),"")</f>
        <v>#REF!</v>
      </c>
      <c r="AN50" s="1"/>
      <c r="AO50" s="1"/>
      <c r="AP50" s="1"/>
      <c r="AQ50" s="1"/>
      <c r="AR50" s="1"/>
      <c r="AS50" s="1"/>
      <c r="AT50" s="1"/>
      <c r="AU50" s="1"/>
      <c r="AV50" s="1"/>
      <c r="AW50" s="1"/>
      <c r="AX50" s="1"/>
      <c r="AY50" s="1"/>
      <c r="AZ50" s="1"/>
      <c r="BA50" s="1"/>
      <c r="BB50" s="1"/>
      <c r="BC50" s="1"/>
      <c r="BD50" s="1"/>
      <c r="BE50" s="1"/>
      <c r="BF50" s="1"/>
      <c r="BG50" s="1"/>
      <c r="BH50" s="1"/>
      <c r="BI50" s="1"/>
    </row>
    <row r="51" spans="1:61" ht="15" customHeight="1" x14ac:dyDescent="0.25">
      <c r="A51" s="1"/>
      <c r="B51" s="281"/>
      <c r="C51" s="144"/>
      <c r="D51" s="145"/>
      <c r="E51" s="156"/>
      <c r="F51" s="144"/>
      <c r="G51" s="144"/>
      <c r="H51" s="144"/>
      <c r="I51" s="145"/>
      <c r="J51" s="63" t="e">
        <f>IF(AND('Mapa final'!#REF!="Muy Baja",'Mapa final'!#REF!="Leve"),CONCATENATE("R6C",'Mapa final'!#REF!),"")</f>
        <v>#REF!</v>
      </c>
      <c r="K51" s="64" t="e">
        <f>IF(AND('Mapa final'!#REF!="Muy Baja",'Mapa final'!#REF!="Leve"),CONCATENATE("R6C",'Mapa final'!#REF!),"")</f>
        <v>#REF!</v>
      </c>
      <c r="L51" s="64" t="e">
        <f>IF(AND('Mapa final'!#REF!="Muy Baja",'Mapa final'!#REF!="Leve"),CONCATENATE("R6C",'Mapa final'!#REF!),"")</f>
        <v>#REF!</v>
      </c>
      <c r="M51" s="64" t="e">
        <f>IF(AND('Mapa final'!#REF!="Muy Baja",'Mapa final'!#REF!="Leve"),CONCATENATE("R6C",'Mapa final'!#REF!),"")</f>
        <v>#REF!</v>
      </c>
      <c r="N51" s="64" t="e">
        <f>IF(AND('Mapa final'!#REF!="Muy Baja",'Mapa final'!#REF!="Leve"),CONCATENATE("R6C",'Mapa final'!#REF!),"")</f>
        <v>#REF!</v>
      </c>
      <c r="O51" s="65" t="e">
        <f>IF(AND('Mapa final'!#REF!="Muy Baja",'Mapa final'!#REF!="Leve"),CONCATENATE("R6C",'Mapa final'!#REF!),"")</f>
        <v>#REF!</v>
      </c>
      <c r="P51" s="63" t="e">
        <f>IF(AND('Mapa final'!#REF!="Muy Baja",'Mapa final'!#REF!="Menor"),CONCATENATE("R6C",'Mapa final'!#REF!),"")</f>
        <v>#REF!</v>
      </c>
      <c r="Q51" s="64" t="e">
        <f>IF(AND('Mapa final'!#REF!="Muy Baja",'Mapa final'!#REF!="Menor"),CONCATENATE("R6C",'Mapa final'!#REF!),"")</f>
        <v>#REF!</v>
      </c>
      <c r="R51" s="64" t="e">
        <f>IF(AND('Mapa final'!#REF!="Muy Baja",'Mapa final'!#REF!="Menor"),CONCATENATE("R6C",'Mapa final'!#REF!),"")</f>
        <v>#REF!</v>
      </c>
      <c r="S51" s="64" t="e">
        <f>IF(AND('Mapa final'!#REF!="Muy Baja",'Mapa final'!#REF!="Menor"),CONCATENATE("R6C",'Mapa final'!#REF!),"")</f>
        <v>#REF!</v>
      </c>
      <c r="T51" s="64" t="e">
        <f>IF(AND('Mapa final'!#REF!="Muy Baja",'Mapa final'!#REF!="Menor"),CONCATENATE("R6C",'Mapa final'!#REF!),"")</f>
        <v>#REF!</v>
      </c>
      <c r="U51" s="65" t="e">
        <f>IF(AND('Mapa final'!#REF!="Muy Baja",'Mapa final'!#REF!="Menor"),CONCATENATE("R6C",'Mapa final'!#REF!),"")</f>
        <v>#REF!</v>
      </c>
      <c r="V51" s="54" t="e">
        <f>IF(AND('Mapa final'!#REF!="Muy Baja",'Mapa final'!#REF!="Moderado"),CONCATENATE("R6C",'Mapa final'!#REF!),"")</f>
        <v>#REF!</v>
      </c>
      <c r="W51" s="55" t="e">
        <f>IF(AND('Mapa final'!#REF!="Muy Baja",'Mapa final'!#REF!="Moderado"),CONCATENATE("R6C",'Mapa final'!#REF!),"")</f>
        <v>#REF!</v>
      </c>
      <c r="X51" s="55" t="e">
        <f>IF(AND('Mapa final'!#REF!="Muy Baja",'Mapa final'!#REF!="Moderado"),CONCATENATE("R6C",'Mapa final'!#REF!),"")</f>
        <v>#REF!</v>
      </c>
      <c r="Y51" s="55" t="e">
        <f>IF(AND('Mapa final'!#REF!="Muy Baja",'Mapa final'!#REF!="Moderado"),CONCATENATE("R6C",'Mapa final'!#REF!),"")</f>
        <v>#REF!</v>
      </c>
      <c r="Z51" s="55" t="e">
        <f>IF(AND('Mapa final'!#REF!="Muy Baja",'Mapa final'!#REF!="Moderado"),CONCATENATE("R6C",'Mapa final'!#REF!),"")</f>
        <v>#REF!</v>
      </c>
      <c r="AA51" s="56" t="e">
        <f>IF(AND('Mapa final'!#REF!="Muy Baja",'Mapa final'!#REF!="Moderado"),CONCATENATE("R6C",'Mapa final'!#REF!),"")</f>
        <v>#REF!</v>
      </c>
      <c r="AB51" s="39" t="e">
        <f>IF(AND('Mapa final'!#REF!="Muy Baja",'Mapa final'!#REF!="Mayor"),CONCATENATE("R6C",'Mapa final'!#REF!),"")</f>
        <v>#REF!</v>
      </c>
      <c r="AC51" s="40" t="e">
        <f>IF(AND('Mapa final'!#REF!="Muy Baja",'Mapa final'!#REF!="Mayor"),CONCATENATE("R6C",'Mapa final'!#REF!),"")</f>
        <v>#REF!</v>
      </c>
      <c r="AD51" s="40" t="e">
        <f>IF(AND('Mapa final'!#REF!="Muy Baja",'Mapa final'!#REF!="Mayor"),CONCATENATE("R6C",'Mapa final'!#REF!),"")</f>
        <v>#REF!</v>
      </c>
      <c r="AE51" s="40" t="e">
        <f>IF(AND('Mapa final'!#REF!="Muy Baja",'Mapa final'!#REF!="Mayor"),CONCATENATE("R6C",'Mapa final'!#REF!),"")</f>
        <v>#REF!</v>
      </c>
      <c r="AF51" s="40" t="e">
        <f>IF(AND('Mapa final'!#REF!="Muy Baja",'Mapa final'!#REF!="Mayor"),CONCATENATE("R6C",'Mapa final'!#REF!),"")</f>
        <v>#REF!</v>
      </c>
      <c r="AG51" s="41" t="e">
        <f>IF(AND('Mapa final'!#REF!="Muy Baja",'Mapa final'!#REF!="Mayor"),CONCATENATE("R6C",'Mapa final'!#REF!),"")</f>
        <v>#REF!</v>
      </c>
      <c r="AH51" s="42" t="e">
        <f>IF(AND('Mapa final'!#REF!="Muy Baja",'Mapa final'!#REF!="Catastrófico"),CONCATENATE("R6C",'Mapa final'!#REF!),"")</f>
        <v>#REF!</v>
      </c>
      <c r="AI51" s="43" t="e">
        <f>IF(AND('Mapa final'!#REF!="Muy Baja",'Mapa final'!#REF!="Catastrófico"),CONCATENATE("R6C",'Mapa final'!#REF!),"")</f>
        <v>#REF!</v>
      </c>
      <c r="AJ51" s="43" t="e">
        <f>IF(AND('Mapa final'!#REF!="Muy Baja",'Mapa final'!#REF!="Catastrófico"),CONCATENATE("R6C",'Mapa final'!#REF!),"")</f>
        <v>#REF!</v>
      </c>
      <c r="AK51" s="43" t="e">
        <f>IF(AND('Mapa final'!#REF!="Muy Baja",'Mapa final'!#REF!="Catastrófico"),CONCATENATE("R6C",'Mapa final'!#REF!),"")</f>
        <v>#REF!</v>
      </c>
      <c r="AL51" s="43" t="e">
        <f>IF(AND('Mapa final'!#REF!="Muy Baja",'Mapa final'!#REF!="Catastrófico"),CONCATENATE("R6C",'Mapa final'!#REF!),"")</f>
        <v>#REF!</v>
      </c>
      <c r="AM51" s="44" t="e">
        <f>IF(AND('Mapa final'!#REF!="Muy Baja",'Mapa final'!#REF!="Catastrófico"),CONCATENATE("R6C",'Mapa final'!#REF!),"")</f>
        <v>#REF!</v>
      </c>
      <c r="AN51" s="1"/>
      <c r="AO51" s="1"/>
      <c r="AP51" s="1"/>
      <c r="AQ51" s="1"/>
      <c r="AR51" s="1"/>
      <c r="AS51" s="1"/>
      <c r="AT51" s="1"/>
      <c r="AU51" s="1"/>
      <c r="AV51" s="1"/>
      <c r="AW51" s="1"/>
      <c r="AX51" s="1"/>
      <c r="AY51" s="1"/>
      <c r="AZ51" s="1"/>
      <c r="BA51" s="1"/>
      <c r="BB51" s="1"/>
      <c r="BC51" s="1"/>
      <c r="BD51" s="1"/>
      <c r="BE51" s="1"/>
      <c r="BF51" s="1"/>
      <c r="BG51" s="1"/>
      <c r="BH51" s="1"/>
      <c r="BI51" s="1"/>
    </row>
    <row r="52" spans="1:61" ht="15" customHeight="1" x14ac:dyDescent="0.25">
      <c r="A52" s="1"/>
      <c r="B52" s="281"/>
      <c r="C52" s="144"/>
      <c r="D52" s="145"/>
      <c r="E52" s="156"/>
      <c r="F52" s="144"/>
      <c r="G52" s="144"/>
      <c r="H52" s="144"/>
      <c r="I52" s="145"/>
      <c r="J52" s="63" t="e">
        <f>IF(AND('Mapa final'!#REF!="Muy Baja",'Mapa final'!#REF!="Leve"),CONCATENATE("R7C",'Mapa final'!#REF!),"")</f>
        <v>#REF!</v>
      </c>
      <c r="K52" s="64" t="e">
        <f>IF(AND('Mapa final'!#REF!="Muy Baja",'Mapa final'!#REF!="Leve"),CONCATENATE("R7C",'Mapa final'!#REF!),"")</f>
        <v>#REF!</v>
      </c>
      <c r="L52" s="64" t="e">
        <f>IF(AND('Mapa final'!#REF!="Muy Baja",'Mapa final'!#REF!="Leve"),CONCATENATE("R7C",'Mapa final'!#REF!),"")</f>
        <v>#REF!</v>
      </c>
      <c r="M52" s="64" t="e">
        <f>IF(AND('Mapa final'!#REF!="Muy Baja",'Mapa final'!#REF!="Leve"),CONCATENATE("R7C",'Mapa final'!#REF!),"")</f>
        <v>#REF!</v>
      </c>
      <c r="N52" s="64" t="e">
        <f>IF(AND('Mapa final'!#REF!="Muy Baja",'Mapa final'!#REF!="Leve"),CONCATENATE("R7C",'Mapa final'!#REF!),"")</f>
        <v>#REF!</v>
      </c>
      <c r="O52" s="65" t="e">
        <f>IF(AND('Mapa final'!#REF!="Muy Baja",'Mapa final'!#REF!="Leve"),CONCATENATE("R7C",'Mapa final'!#REF!),"")</f>
        <v>#REF!</v>
      </c>
      <c r="P52" s="63" t="e">
        <f>IF(AND('Mapa final'!#REF!="Muy Baja",'Mapa final'!#REF!="Menor"),CONCATENATE("R7C",'Mapa final'!#REF!),"")</f>
        <v>#REF!</v>
      </c>
      <c r="Q52" s="64" t="e">
        <f>IF(AND('Mapa final'!#REF!="Muy Baja",'Mapa final'!#REF!="Menor"),CONCATENATE("R7C",'Mapa final'!#REF!),"")</f>
        <v>#REF!</v>
      </c>
      <c r="R52" s="64" t="e">
        <f>IF(AND('Mapa final'!#REF!="Muy Baja",'Mapa final'!#REF!="Menor"),CONCATENATE("R7C",'Mapa final'!#REF!),"")</f>
        <v>#REF!</v>
      </c>
      <c r="S52" s="64" t="e">
        <f>IF(AND('Mapa final'!#REF!="Muy Baja",'Mapa final'!#REF!="Menor"),CONCATENATE("R7C",'Mapa final'!#REF!),"")</f>
        <v>#REF!</v>
      </c>
      <c r="T52" s="64" t="e">
        <f>IF(AND('Mapa final'!#REF!="Muy Baja",'Mapa final'!#REF!="Menor"),CONCATENATE("R7C",'Mapa final'!#REF!),"")</f>
        <v>#REF!</v>
      </c>
      <c r="U52" s="65" t="e">
        <f>IF(AND('Mapa final'!#REF!="Muy Baja",'Mapa final'!#REF!="Menor"),CONCATENATE("R7C",'Mapa final'!#REF!),"")</f>
        <v>#REF!</v>
      </c>
      <c r="V52" s="54" t="e">
        <f>IF(AND('Mapa final'!#REF!="Muy Baja",'Mapa final'!#REF!="Moderado"),CONCATENATE("R7C",'Mapa final'!#REF!),"")</f>
        <v>#REF!</v>
      </c>
      <c r="W52" s="55" t="e">
        <f>IF(AND('Mapa final'!#REF!="Muy Baja",'Mapa final'!#REF!="Moderado"),CONCATENATE("R7C",'Mapa final'!#REF!),"")</f>
        <v>#REF!</v>
      </c>
      <c r="X52" s="55" t="e">
        <f>IF(AND('Mapa final'!#REF!="Muy Baja",'Mapa final'!#REF!="Moderado"),CONCATENATE("R7C",'Mapa final'!#REF!),"")</f>
        <v>#REF!</v>
      </c>
      <c r="Y52" s="55" t="e">
        <f>IF(AND('Mapa final'!#REF!="Muy Baja",'Mapa final'!#REF!="Moderado"),CONCATENATE("R7C",'Mapa final'!#REF!),"")</f>
        <v>#REF!</v>
      </c>
      <c r="Z52" s="55" t="e">
        <f>IF(AND('Mapa final'!#REF!="Muy Baja",'Mapa final'!#REF!="Moderado"),CONCATENATE("R7C",'Mapa final'!#REF!),"")</f>
        <v>#REF!</v>
      </c>
      <c r="AA52" s="56" t="e">
        <f>IF(AND('Mapa final'!#REF!="Muy Baja",'Mapa final'!#REF!="Moderado"),CONCATENATE("R7C",'Mapa final'!#REF!),"")</f>
        <v>#REF!</v>
      </c>
      <c r="AB52" s="39" t="e">
        <f>IF(AND('Mapa final'!#REF!="Muy Baja",'Mapa final'!#REF!="Mayor"),CONCATENATE("R7C",'Mapa final'!#REF!),"")</f>
        <v>#REF!</v>
      </c>
      <c r="AC52" s="40" t="e">
        <f>IF(AND('Mapa final'!#REF!="Muy Baja",'Mapa final'!#REF!="Mayor"),CONCATENATE("R7C",'Mapa final'!#REF!),"")</f>
        <v>#REF!</v>
      </c>
      <c r="AD52" s="40" t="e">
        <f>IF(AND('Mapa final'!#REF!="Muy Baja",'Mapa final'!#REF!="Mayor"),CONCATENATE("R7C",'Mapa final'!#REF!),"")</f>
        <v>#REF!</v>
      </c>
      <c r="AE52" s="40" t="e">
        <f>IF(AND('Mapa final'!#REF!="Muy Baja",'Mapa final'!#REF!="Mayor"),CONCATENATE("R7C",'Mapa final'!#REF!),"")</f>
        <v>#REF!</v>
      </c>
      <c r="AF52" s="40" t="e">
        <f>IF(AND('Mapa final'!#REF!="Muy Baja",'Mapa final'!#REF!="Mayor"),CONCATENATE("R7C",'Mapa final'!#REF!),"")</f>
        <v>#REF!</v>
      </c>
      <c r="AG52" s="41" t="e">
        <f>IF(AND('Mapa final'!#REF!="Muy Baja",'Mapa final'!#REF!="Mayor"),CONCATENATE("R7C",'Mapa final'!#REF!),"")</f>
        <v>#REF!</v>
      </c>
      <c r="AH52" s="42" t="e">
        <f>IF(AND('Mapa final'!#REF!="Muy Baja",'Mapa final'!#REF!="Catastrófico"),CONCATENATE("R7C",'Mapa final'!#REF!),"")</f>
        <v>#REF!</v>
      </c>
      <c r="AI52" s="43" t="e">
        <f>IF(AND('Mapa final'!#REF!="Muy Baja",'Mapa final'!#REF!="Catastrófico"),CONCATENATE("R7C",'Mapa final'!#REF!),"")</f>
        <v>#REF!</v>
      </c>
      <c r="AJ52" s="43" t="e">
        <f>IF(AND('Mapa final'!#REF!="Muy Baja",'Mapa final'!#REF!="Catastrófico"),CONCATENATE("R7C",'Mapa final'!#REF!),"")</f>
        <v>#REF!</v>
      </c>
      <c r="AK52" s="43" t="e">
        <f>IF(AND('Mapa final'!#REF!="Muy Baja",'Mapa final'!#REF!="Catastrófico"),CONCATENATE("R7C",'Mapa final'!#REF!),"")</f>
        <v>#REF!</v>
      </c>
      <c r="AL52" s="43" t="e">
        <f>IF(AND('Mapa final'!#REF!="Muy Baja",'Mapa final'!#REF!="Catastrófico"),CONCATENATE("R7C",'Mapa final'!#REF!),"")</f>
        <v>#REF!</v>
      </c>
      <c r="AM52" s="44" t="e">
        <f>IF(AND('Mapa final'!#REF!="Muy Baja",'Mapa final'!#REF!="Catastrófico"),CONCATENATE("R7C",'Mapa final'!#REF!),"")</f>
        <v>#REF!</v>
      </c>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281"/>
      <c r="C53" s="144"/>
      <c r="D53" s="145"/>
      <c r="E53" s="156"/>
      <c r="F53" s="144"/>
      <c r="G53" s="144"/>
      <c r="H53" s="144"/>
      <c r="I53" s="145"/>
      <c r="J53" s="63" t="e">
        <f>IF(AND('Mapa final'!#REF!="Muy Baja",'Mapa final'!#REF!="Leve"),CONCATENATE("R8C",'Mapa final'!#REF!),"")</f>
        <v>#REF!</v>
      </c>
      <c r="K53" s="64" t="e">
        <f>IF(AND('Mapa final'!#REF!="Muy Baja",'Mapa final'!#REF!="Leve"),CONCATENATE("R8C",'Mapa final'!#REF!),"")</f>
        <v>#REF!</v>
      </c>
      <c r="L53" s="64" t="e">
        <f>IF(AND('Mapa final'!#REF!="Muy Baja",'Mapa final'!#REF!="Leve"),CONCATENATE("R8C",'Mapa final'!#REF!),"")</f>
        <v>#REF!</v>
      </c>
      <c r="M53" s="64" t="e">
        <f>IF(AND('Mapa final'!#REF!="Muy Baja",'Mapa final'!#REF!="Leve"),CONCATENATE("R8C",'Mapa final'!#REF!),"")</f>
        <v>#REF!</v>
      </c>
      <c r="N53" s="64" t="e">
        <f>IF(AND('Mapa final'!#REF!="Muy Baja",'Mapa final'!#REF!="Leve"),CONCATENATE("R8C",'Mapa final'!#REF!),"")</f>
        <v>#REF!</v>
      </c>
      <c r="O53" s="65" t="e">
        <f>IF(AND('Mapa final'!#REF!="Muy Baja",'Mapa final'!#REF!="Leve"),CONCATENATE("R8C",'Mapa final'!#REF!),"")</f>
        <v>#REF!</v>
      </c>
      <c r="P53" s="63" t="e">
        <f>IF(AND('Mapa final'!#REF!="Muy Baja",'Mapa final'!#REF!="Menor"),CONCATENATE("R8C",'Mapa final'!#REF!),"")</f>
        <v>#REF!</v>
      </c>
      <c r="Q53" s="64" t="e">
        <f>IF(AND('Mapa final'!#REF!="Muy Baja",'Mapa final'!#REF!="Menor"),CONCATENATE("R8C",'Mapa final'!#REF!),"")</f>
        <v>#REF!</v>
      </c>
      <c r="R53" s="64" t="e">
        <f>IF(AND('Mapa final'!#REF!="Muy Baja",'Mapa final'!#REF!="Menor"),CONCATENATE("R8C",'Mapa final'!#REF!),"")</f>
        <v>#REF!</v>
      </c>
      <c r="S53" s="64" t="e">
        <f>IF(AND('Mapa final'!#REF!="Muy Baja",'Mapa final'!#REF!="Menor"),CONCATENATE("R8C",'Mapa final'!#REF!),"")</f>
        <v>#REF!</v>
      </c>
      <c r="T53" s="64" t="e">
        <f>IF(AND('Mapa final'!#REF!="Muy Baja",'Mapa final'!#REF!="Menor"),CONCATENATE("R8C",'Mapa final'!#REF!),"")</f>
        <v>#REF!</v>
      </c>
      <c r="U53" s="65" t="e">
        <f>IF(AND('Mapa final'!#REF!="Muy Baja",'Mapa final'!#REF!="Menor"),CONCATENATE("R8C",'Mapa final'!#REF!),"")</f>
        <v>#REF!</v>
      </c>
      <c r="V53" s="54" t="e">
        <f>IF(AND('Mapa final'!#REF!="Muy Baja",'Mapa final'!#REF!="Moderado"),CONCATENATE("R8C",'Mapa final'!#REF!),"")</f>
        <v>#REF!</v>
      </c>
      <c r="W53" s="55" t="e">
        <f>IF(AND('Mapa final'!#REF!="Muy Baja",'Mapa final'!#REF!="Moderado"),CONCATENATE("R8C",'Mapa final'!#REF!),"")</f>
        <v>#REF!</v>
      </c>
      <c r="X53" s="55" t="e">
        <f>IF(AND('Mapa final'!#REF!="Muy Baja",'Mapa final'!#REF!="Moderado"),CONCATENATE("R8C",'Mapa final'!#REF!),"")</f>
        <v>#REF!</v>
      </c>
      <c r="Y53" s="55" t="e">
        <f>IF(AND('Mapa final'!#REF!="Muy Baja",'Mapa final'!#REF!="Moderado"),CONCATENATE("R8C",'Mapa final'!#REF!),"")</f>
        <v>#REF!</v>
      </c>
      <c r="Z53" s="55" t="e">
        <f>IF(AND('Mapa final'!#REF!="Muy Baja",'Mapa final'!#REF!="Moderado"),CONCATENATE("R8C",'Mapa final'!#REF!),"")</f>
        <v>#REF!</v>
      </c>
      <c r="AA53" s="56" t="e">
        <f>IF(AND('Mapa final'!#REF!="Muy Baja",'Mapa final'!#REF!="Moderado"),CONCATENATE("R8C",'Mapa final'!#REF!),"")</f>
        <v>#REF!</v>
      </c>
      <c r="AB53" s="39" t="e">
        <f>IF(AND('Mapa final'!#REF!="Muy Baja",'Mapa final'!#REF!="Mayor"),CONCATENATE("R8C",'Mapa final'!#REF!),"")</f>
        <v>#REF!</v>
      </c>
      <c r="AC53" s="40" t="e">
        <f>IF(AND('Mapa final'!#REF!="Muy Baja",'Mapa final'!#REF!="Mayor"),CONCATENATE("R8C",'Mapa final'!#REF!),"")</f>
        <v>#REF!</v>
      </c>
      <c r="AD53" s="40" t="e">
        <f>IF(AND('Mapa final'!#REF!="Muy Baja",'Mapa final'!#REF!="Mayor"),CONCATENATE("R8C",'Mapa final'!#REF!),"")</f>
        <v>#REF!</v>
      </c>
      <c r="AE53" s="40" t="e">
        <f>IF(AND('Mapa final'!#REF!="Muy Baja",'Mapa final'!#REF!="Mayor"),CONCATENATE("R8C",'Mapa final'!#REF!),"")</f>
        <v>#REF!</v>
      </c>
      <c r="AF53" s="40" t="e">
        <f>IF(AND('Mapa final'!#REF!="Muy Baja",'Mapa final'!#REF!="Mayor"),CONCATENATE("R8C",'Mapa final'!#REF!),"")</f>
        <v>#REF!</v>
      </c>
      <c r="AG53" s="41" t="e">
        <f>IF(AND('Mapa final'!#REF!="Muy Baja",'Mapa final'!#REF!="Mayor"),CONCATENATE("R8C",'Mapa final'!#REF!),"")</f>
        <v>#REF!</v>
      </c>
      <c r="AH53" s="42" t="e">
        <f>IF(AND('Mapa final'!#REF!="Muy Baja",'Mapa final'!#REF!="Catastrófico"),CONCATENATE("R8C",'Mapa final'!#REF!),"")</f>
        <v>#REF!</v>
      </c>
      <c r="AI53" s="43" t="e">
        <f>IF(AND('Mapa final'!#REF!="Muy Baja",'Mapa final'!#REF!="Catastrófico"),CONCATENATE("R8C",'Mapa final'!#REF!),"")</f>
        <v>#REF!</v>
      </c>
      <c r="AJ53" s="43" t="e">
        <f>IF(AND('Mapa final'!#REF!="Muy Baja",'Mapa final'!#REF!="Catastrófico"),CONCATENATE("R8C",'Mapa final'!#REF!),"")</f>
        <v>#REF!</v>
      </c>
      <c r="AK53" s="43" t="e">
        <f>IF(AND('Mapa final'!#REF!="Muy Baja",'Mapa final'!#REF!="Catastrófico"),CONCATENATE("R8C",'Mapa final'!#REF!),"")</f>
        <v>#REF!</v>
      </c>
      <c r="AL53" s="43" t="e">
        <f>IF(AND('Mapa final'!#REF!="Muy Baja",'Mapa final'!#REF!="Catastrófico"),CONCATENATE("R8C",'Mapa final'!#REF!),"")</f>
        <v>#REF!</v>
      </c>
      <c r="AM53" s="44" t="e">
        <f>IF(AND('Mapa final'!#REF!="Muy Baja",'Mapa final'!#REF!="Catastrófico"),CONCATENATE("R8C",'Mapa final'!#REF!),"")</f>
        <v>#REF!</v>
      </c>
      <c r="AN53" s="1"/>
      <c r="AO53" s="1"/>
      <c r="AP53" s="1"/>
      <c r="AQ53" s="1"/>
      <c r="AR53" s="1"/>
      <c r="AS53" s="1"/>
      <c r="AT53" s="1"/>
      <c r="AU53" s="1"/>
      <c r="AV53" s="1"/>
      <c r="AW53" s="1"/>
      <c r="AX53" s="1"/>
      <c r="AY53" s="1"/>
      <c r="AZ53" s="1"/>
      <c r="BA53" s="1"/>
      <c r="BB53" s="1"/>
      <c r="BC53" s="1"/>
      <c r="BD53" s="1"/>
      <c r="BE53" s="1"/>
      <c r="BF53" s="1"/>
      <c r="BG53" s="1"/>
      <c r="BH53" s="1"/>
      <c r="BI53" s="1"/>
    </row>
    <row r="54" spans="1:61" ht="15" customHeight="1" x14ac:dyDescent="0.25">
      <c r="A54" s="1"/>
      <c r="B54" s="281"/>
      <c r="C54" s="144"/>
      <c r="D54" s="145"/>
      <c r="E54" s="156"/>
      <c r="F54" s="144"/>
      <c r="G54" s="144"/>
      <c r="H54" s="144"/>
      <c r="I54" s="145"/>
      <c r="J54" s="63" t="e">
        <f>IF(AND('Mapa final'!#REF!="Muy Baja",'Mapa final'!#REF!="Leve"),CONCATENATE("R9C",'Mapa final'!#REF!),"")</f>
        <v>#REF!</v>
      </c>
      <c r="K54" s="64" t="e">
        <f>IF(AND('Mapa final'!#REF!="Muy Baja",'Mapa final'!#REF!="Leve"),CONCATENATE("R9C",'Mapa final'!#REF!),"")</f>
        <v>#REF!</v>
      </c>
      <c r="L54" s="64" t="e">
        <f>IF(AND('Mapa final'!#REF!="Muy Baja",'Mapa final'!#REF!="Leve"),CONCATENATE("R9C",'Mapa final'!#REF!),"")</f>
        <v>#REF!</v>
      </c>
      <c r="M54" s="64" t="e">
        <f>IF(AND('Mapa final'!#REF!="Muy Baja",'Mapa final'!#REF!="Leve"),CONCATENATE("R9C",'Mapa final'!#REF!),"")</f>
        <v>#REF!</v>
      </c>
      <c r="N54" s="64" t="e">
        <f>IF(AND('Mapa final'!#REF!="Muy Baja",'Mapa final'!#REF!="Leve"),CONCATENATE("R9C",'Mapa final'!#REF!),"")</f>
        <v>#REF!</v>
      </c>
      <c r="O54" s="65" t="e">
        <f>IF(AND('Mapa final'!#REF!="Muy Baja",'Mapa final'!#REF!="Leve"),CONCATENATE("R9C",'Mapa final'!#REF!),"")</f>
        <v>#REF!</v>
      </c>
      <c r="P54" s="63" t="e">
        <f>IF(AND('Mapa final'!#REF!="Muy Baja",'Mapa final'!#REF!="Menor"),CONCATENATE("R9C",'Mapa final'!#REF!),"")</f>
        <v>#REF!</v>
      </c>
      <c r="Q54" s="64" t="e">
        <f>IF(AND('Mapa final'!#REF!="Muy Baja",'Mapa final'!#REF!="Menor"),CONCATENATE("R9C",'Mapa final'!#REF!),"")</f>
        <v>#REF!</v>
      </c>
      <c r="R54" s="64" t="e">
        <f>IF(AND('Mapa final'!#REF!="Muy Baja",'Mapa final'!#REF!="Menor"),CONCATENATE("R9C",'Mapa final'!#REF!),"")</f>
        <v>#REF!</v>
      </c>
      <c r="S54" s="64" t="e">
        <f>IF(AND('Mapa final'!#REF!="Muy Baja",'Mapa final'!#REF!="Menor"),CONCATENATE("R9C",'Mapa final'!#REF!),"")</f>
        <v>#REF!</v>
      </c>
      <c r="T54" s="64" t="e">
        <f>IF(AND('Mapa final'!#REF!="Muy Baja",'Mapa final'!#REF!="Menor"),CONCATENATE("R9C",'Mapa final'!#REF!),"")</f>
        <v>#REF!</v>
      </c>
      <c r="U54" s="65" t="e">
        <f>IF(AND('Mapa final'!#REF!="Muy Baja",'Mapa final'!#REF!="Menor"),CONCATENATE("R9C",'Mapa final'!#REF!),"")</f>
        <v>#REF!</v>
      </c>
      <c r="V54" s="54" t="e">
        <f>IF(AND('Mapa final'!#REF!="Muy Baja",'Mapa final'!#REF!="Moderado"),CONCATENATE("R9C",'Mapa final'!#REF!),"")</f>
        <v>#REF!</v>
      </c>
      <c r="W54" s="55" t="e">
        <f>IF(AND('Mapa final'!#REF!="Muy Baja",'Mapa final'!#REF!="Moderado"),CONCATENATE("R9C",'Mapa final'!#REF!),"")</f>
        <v>#REF!</v>
      </c>
      <c r="X54" s="55" t="e">
        <f>IF(AND('Mapa final'!#REF!="Muy Baja",'Mapa final'!#REF!="Moderado"),CONCATENATE("R9C",'Mapa final'!#REF!),"")</f>
        <v>#REF!</v>
      </c>
      <c r="Y54" s="55" t="e">
        <f>IF(AND('Mapa final'!#REF!="Muy Baja",'Mapa final'!#REF!="Moderado"),CONCATENATE("R9C",'Mapa final'!#REF!),"")</f>
        <v>#REF!</v>
      </c>
      <c r="Z54" s="55" t="e">
        <f>IF(AND('Mapa final'!#REF!="Muy Baja",'Mapa final'!#REF!="Moderado"),CONCATENATE("R9C",'Mapa final'!#REF!),"")</f>
        <v>#REF!</v>
      </c>
      <c r="AA54" s="56" t="e">
        <f>IF(AND('Mapa final'!#REF!="Muy Baja",'Mapa final'!#REF!="Moderado"),CONCATENATE("R9C",'Mapa final'!#REF!),"")</f>
        <v>#REF!</v>
      </c>
      <c r="AB54" s="39" t="e">
        <f>IF(AND('Mapa final'!#REF!="Muy Baja",'Mapa final'!#REF!="Mayor"),CONCATENATE("R9C",'Mapa final'!#REF!),"")</f>
        <v>#REF!</v>
      </c>
      <c r="AC54" s="40" t="e">
        <f>IF(AND('Mapa final'!#REF!="Muy Baja",'Mapa final'!#REF!="Mayor"),CONCATENATE("R9C",'Mapa final'!#REF!),"")</f>
        <v>#REF!</v>
      </c>
      <c r="AD54" s="40" t="e">
        <f>IF(AND('Mapa final'!#REF!="Muy Baja",'Mapa final'!#REF!="Mayor"),CONCATENATE("R9C",'Mapa final'!#REF!),"")</f>
        <v>#REF!</v>
      </c>
      <c r="AE54" s="40" t="e">
        <f>IF(AND('Mapa final'!#REF!="Muy Baja",'Mapa final'!#REF!="Mayor"),CONCATENATE("R9C",'Mapa final'!#REF!),"")</f>
        <v>#REF!</v>
      </c>
      <c r="AF54" s="40" t="e">
        <f>IF(AND('Mapa final'!#REF!="Muy Baja",'Mapa final'!#REF!="Mayor"),CONCATENATE("R9C",'Mapa final'!#REF!),"")</f>
        <v>#REF!</v>
      </c>
      <c r="AG54" s="41" t="e">
        <f>IF(AND('Mapa final'!#REF!="Muy Baja",'Mapa final'!#REF!="Mayor"),CONCATENATE("R9C",'Mapa final'!#REF!),"")</f>
        <v>#REF!</v>
      </c>
      <c r="AH54" s="42" t="e">
        <f>IF(AND('Mapa final'!#REF!="Muy Baja",'Mapa final'!#REF!="Catastrófico"),CONCATENATE("R9C",'Mapa final'!#REF!),"")</f>
        <v>#REF!</v>
      </c>
      <c r="AI54" s="43" t="e">
        <f>IF(AND('Mapa final'!#REF!="Muy Baja",'Mapa final'!#REF!="Catastrófico"),CONCATENATE("R9C",'Mapa final'!#REF!),"")</f>
        <v>#REF!</v>
      </c>
      <c r="AJ54" s="43" t="e">
        <f>IF(AND('Mapa final'!#REF!="Muy Baja",'Mapa final'!#REF!="Catastrófico"),CONCATENATE("R9C",'Mapa final'!#REF!),"")</f>
        <v>#REF!</v>
      </c>
      <c r="AK54" s="43" t="e">
        <f>IF(AND('Mapa final'!#REF!="Muy Baja",'Mapa final'!#REF!="Catastrófico"),CONCATENATE("R9C",'Mapa final'!#REF!),"")</f>
        <v>#REF!</v>
      </c>
      <c r="AL54" s="43" t="e">
        <f>IF(AND('Mapa final'!#REF!="Muy Baja",'Mapa final'!#REF!="Catastrófico"),CONCATENATE("R9C",'Mapa final'!#REF!),"")</f>
        <v>#REF!</v>
      </c>
      <c r="AM54" s="44" t="e">
        <f>IF(AND('Mapa final'!#REF!="Muy Baja",'Mapa final'!#REF!="Catastrófico"),CONCATENATE("R9C",'Mapa final'!#REF!),"")</f>
        <v>#REF!</v>
      </c>
      <c r="AN54" s="1"/>
      <c r="AO54" s="1"/>
      <c r="AP54" s="1"/>
      <c r="AQ54" s="1"/>
      <c r="AR54" s="1"/>
      <c r="AS54" s="1"/>
      <c r="AT54" s="1"/>
      <c r="AU54" s="1"/>
      <c r="AV54" s="1"/>
      <c r="AW54" s="1"/>
      <c r="AX54" s="1"/>
      <c r="AY54" s="1"/>
      <c r="AZ54" s="1"/>
      <c r="BA54" s="1"/>
      <c r="BB54" s="1"/>
      <c r="BC54" s="1"/>
      <c r="BD54" s="1"/>
      <c r="BE54" s="1"/>
      <c r="BF54" s="1"/>
      <c r="BG54" s="1"/>
      <c r="BH54" s="1"/>
      <c r="BI54" s="1"/>
    </row>
    <row r="55" spans="1:61" ht="15.75" customHeight="1" x14ac:dyDescent="0.25">
      <c r="A55" s="1"/>
      <c r="B55" s="251"/>
      <c r="C55" s="283"/>
      <c r="D55" s="252"/>
      <c r="E55" s="271"/>
      <c r="F55" s="272"/>
      <c r="G55" s="272"/>
      <c r="H55" s="272"/>
      <c r="I55" s="275"/>
      <c r="J55" s="66" t="e">
        <f>IF(AND('Mapa final'!#REF!="Muy Baja",'Mapa final'!#REF!="Leve"),CONCATENATE("R10C",'Mapa final'!#REF!),"")</f>
        <v>#REF!</v>
      </c>
      <c r="K55" s="67" t="e">
        <f>IF(AND('Mapa final'!#REF!="Muy Baja",'Mapa final'!#REF!="Leve"),CONCATENATE("R10C",'Mapa final'!#REF!),"")</f>
        <v>#REF!</v>
      </c>
      <c r="L55" s="67" t="e">
        <f>IF(AND('Mapa final'!#REF!="Muy Baja",'Mapa final'!#REF!="Leve"),CONCATENATE("R10C",'Mapa final'!#REF!),"")</f>
        <v>#REF!</v>
      </c>
      <c r="M55" s="67" t="e">
        <f>IF(AND('Mapa final'!#REF!="Muy Baja",'Mapa final'!#REF!="Leve"),CONCATENATE("R10C",'Mapa final'!#REF!),"")</f>
        <v>#REF!</v>
      </c>
      <c r="N55" s="67" t="e">
        <f>IF(AND('Mapa final'!#REF!="Muy Baja",'Mapa final'!#REF!="Leve"),CONCATENATE("R10C",'Mapa final'!#REF!),"")</f>
        <v>#REF!</v>
      </c>
      <c r="O55" s="68" t="e">
        <f>IF(AND('Mapa final'!#REF!="Muy Baja",'Mapa final'!#REF!="Leve"),CONCATENATE("R10C",'Mapa final'!#REF!),"")</f>
        <v>#REF!</v>
      </c>
      <c r="P55" s="66" t="e">
        <f>IF(AND('Mapa final'!#REF!="Muy Baja",'Mapa final'!#REF!="Menor"),CONCATENATE("R10C",'Mapa final'!#REF!),"")</f>
        <v>#REF!</v>
      </c>
      <c r="Q55" s="67" t="e">
        <f>IF(AND('Mapa final'!#REF!="Muy Baja",'Mapa final'!#REF!="Menor"),CONCATENATE("R10C",'Mapa final'!#REF!),"")</f>
        <v>#REF!</v>
      </c>
      <c r="R55" s="67" t="e">
        <f>IF(AND('Mapa final'!#REF!="Muy Baja",'Mapa final'!#REF!="Menor"),CONCATENATE("R10C",'Mapa final'!#REF!),"")</f>
        <v>#REF!</v>
      </c>
      <c r="S55" s="67" t="e">
        <f>IF(AND('Mapa final'!#REF!="Muy Baja",'Mapa final'!#REF!="Menor"),CONCATENATE("R10C",'Mapa final'!#REF!),"")</f>
        <v>#REF!</v>
      </c>
      <c r="T55" s="67" t="e">
        <f>IF(AND('Mapa final'!#REF!="Muy Baja",'Mapa final'!#REF!="Menor"),CONCATENATE("R10C",'Mapa final'!#REF!),"")</f>
        <v>#REF!</v>
      </c>
      <c r="U55" s="68" t="e">
        <f>IF(AND('Mapa final'!#REF!="Muy Baja",'Mapa final'!#REF!="Menor"),CONCATENATE("R10C",'Mapa final'!#REF!),"")</f>
        <v>#REF!</v>
      </c>
      <c r="V55" s="57" t="e">
        <f>IF(AND('Mapa final'!#REF!="Muy Baja",'Mapa final'!#REF!="Moderado"),CONCATENATE("R10C",'Mapa final'!#REF!),"")</f>
        <v>#REF!</v>
      </c>
      <c r="W55" s="58" t="e">
        <f>IF(AND('Mapa final'!#REF!="Muy Baja",'Mapa final'!#REF!="Moderado"),CONCATENATE("R10C",'Mapa final'!#REF!),"")</f>
        <v>#REF!</v>
      </c>
      <c r="X55" s="58" t="e">
        <f>IF(AND('Mapa final'!#REF!="Muy Baja",'Mapa final'!#REF!="Moderado"),CONCATENATE("R10C",'Mapa final'!#REF!),"")</f>
        <v>#REF!</v>
      </c>
      <c r="Y55" s="58" t="e">
        <f>IF(AND('Mapa final'!#REF!="Muy Baja",'Mapa final'!#REF!="Moderado"),CONCATENATE("R10C",'Mapa final'!#REF!),"")</f>
        <v>#REF!</v>
      </c>
      <c r="Z55" s="58" t="e">
        <f>IF(AND('Mapa final'!#REF!="Muy Baja",'Mapa final'!#REF!="Moderado"),CONCATENATE("R10C",'Mapa final'!#REF!),"")</f>
        <v>#REF!</v>
      </c>
      <c r="AA55" s="59" t="e">
        <f>IF(AND('Mapa final'!#REF!="Muy Baja",'Mapa final'!#REF!="Moderado"),CONCATENATE("R10C",'Mapa final'!#REF!),"")</f>
        <v>#REF!</v>
      </c>
      <c r="AB55" s="45" t="e">
        <f>IF(AND('Mapa final'!#REF!="Muy Baja",'Mapa final'!#REF!="Mayor"),CONCATENATE("R10C",'Mapa final'!#REF!),"")</f>
        <v>#REF!</v>
      </c>
      <c r="AC55" s="46" t="e">
        <f>IF(AND('Mapa final'!#REF!="Muy Baja",'Mapa final'!#REF!="Mayor"),CONCATENATE("R10C",'Mapa final'!#REF!),"")</f>
        <v>#REF!</v>
      </c>
      <c r="AD55" s="46" t="e">
        <f>IF(AND('Mapa final'!#REF!="Muy Baja",'Mapa final'!#REF!="Mayor"),CONCATENATE("R10C",'Mapa final'!#REF!),"")</f>
        <v>#REF!</v>
      </c>
      <c r="AE55" s="46" t="e">
        <f>IF(AND('Mapa final'!#REF!="Muy Baja",'Mapa final'!#REF!="Mayor"),CONCATENATE("R10C",'Mapa final'!#REF!),"")</f>
        <v>#REF!</v>
      </c>
      <c r="AF55" s="46" t="e">
        <f>IF(AND('Mapa final'!#REF!="Muy Baja",'Mapa final'!#REF!="Mayor"),CONCATENATE("R10C",'Mapa final'!#REF!),"")</f>
        <v>#REF!</v>
      </c>
      <c r="AG55" s="47" t="e">
        <f>IF(AND('Mapa final'!#REF!="Muy Baja",'Mapa final'!#REF!="Mayor"),CONCATENATE("R10C",'Mapa final'!#REF!),"")</f>
        <v>#REF!</v>
      </c>
      <c r="AH55" s="48" t="e">
        <f>IF(AND('Mapa final'!#REF!="Muy Baja",'Mapa final'!#REF!="Catastrófico"),CONCATENATE("R10C",'Mapa final'!#REF!),"")</f>
        <v>#REF!</v>
      </c>
      <c r="AI55" s="49" t="e">
        <f>IF(AND('Mapa final'!#REF!="Muy Baja",'Mapa final'!#REF!="Catastrófico"),CONCATENATE("R10C",'Mapa final'!#REF!),"")</f>
        <v>#REF!</v>
      </c>
      <c r="AJ55" s="49" t="e">
        <f>IF(AND('Mapa final'!#REF!="Muy Baja",'Mapa final'!#REF!="Catastrófico"),CONCATENATE("R10C",'Mapa final'!#REF!),"")</f>
        <v>#REF!</v>
      </c>
      <c r="AK55" s="49" t="e">
        <f>IF(AND('Mapa final'!#REF!="Muy Baja",'Mapa final'!#REF!="Catastrófico"),CONCATENATE("R10C",'Mapa final'!#REF!),"")</f>
        <v>#REF!</v>
      </c>
      <c r="AL55" s="49" t="e">
        <f>IF(AND('Mapa final'!#REF!="Muy Baja",'Mapa final'!#REF!="Catastrófico"),CONCATENATE("R10C",'Mapa final'!#REF!),"")</f>
        <v>#REF!</v>
      </c>
      <c r="AM55" s="50" t="e">
        <f>IF(AND('Mapa final'!#REF!="Muy Baja",'Mapa final'!#REF!="Catastrófico"),CONCATENATE("R10C",'Mapa final'!#REF!),"")</f>
        <v>#REF!</v>
      </c>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299" t="s">
        <v>127</v>
      </c>
      <c r="K56" s="270"/>
      <c r="L56" s="270"/>
      <c r="M56" s="270"/>
      <c r="N56" s="270"/>
      <c r="O56" s="256"/>
      <c r="P56" s="299" t="s">
        <v>128</v>
      </c>
      <c r="Q56" s="270"/>
      <c r="R56" s="270"/>
      <c r="S56" s="270"/>
      <c r="T56" s="270"/>
      <c r="U56" s="256"/>
      <c r="V56" s="299" t="s">
        <v>129</v>
      </c>
      <c r="W56" s="270"/>
      <c r="X56" s="270"/>
      <c r="Y56" s="270"/>
      <c r="Z56" s="270"/>
      <c r="AA56" s="256"/>
      <c r="AB56" s="299" t="s">
        <v>130</v>
      </c>
      <c r="AC56" s="270"/>
      <c r="AD56" s="270"/>
      <c r="AE56" s="270"/>
      <c r="AF56" s="270"/>
      <c r="AG56" s="256"/>
      <c r="AH56" s="299" t="s">
        <v>131</v>
      </c>
      <c r="AI56" s="270"/>
      <c r="AJ56" s="270"/>
      <c r="AK56" s="270"/>
      <c r="AL56" s="270"/>
      <c r="AM56" s="256"/>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56"/>
      <c r="K57" s="144"/>
      <c r="L57" s="144"/>
      <c r="M57" s="144"/>
      <c r="N57" s="144"/>
      <c r="O57" s="145"/>
      <c r="P57" s="156"/>
      <c r="Q57" s="144"/>
      <c r="R57" s="144"/>
      <c r="S57" s="144"/>
      <c r="T57" s="144"/>
      <c r="U57" s="145"/>
      <c r="V57" s="156"/>
      <c r="W57" s="144"/>
      <c r="X57" s="144"/>
      <c r="Y57" s="144"/>
      <c r="Z57" s="144"/>
      <c r="AA57" s="145"/>
      <c r="AB57" s="156"/>
      <c r="AC57" s="144"/>
      <c r="AD57" s="144"/>
      <c r="AE57" s="144"/>
      <c r="AF57" s="144"/>
      <c r="AG57" s="145"/>
      <c r="AH57" s="156"/>
      <c r="AI57" s="144"/>
      <c r="AJ57" s="144"/>
      <c r="AK57" s="144"/>
      <c r="AL57" s="144"/>
      <c r="AM57" s="145"/>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56"/>
      <c r="K58" s="144"/>
      <c r="L58" s="144"/>
      <c r="M58" s="144"/>
      <c r="N58" s="144"/>
      <c r="O58" s="145"/>
      <c r="P58" s="156"/>
      <c r="Q58" s="144"/>
      <c r="R58" s="144"/>
      <c r="S58" s="144"/>
      <c r="T58" s="144"/>
      <c r="U58" s="145"/>
      <c r="V58" s="156"/>
      <c r="W58" s="144"/>
      <c r="X58" s="144"/>
      <c r="Y58" s="144"/>
      <c r="Z58" s="144"/>
      <c r="AA58" s="145"/>
      <c r="AB58" s="156"/>
      <c r="AC58" s="144"/>
      <c r="AD58" s="144"/>
      <c r="AE58" s="144"/>
      <c r="AF58" s="144"/>
      <c r="AG58" s="145"/>
      <c r="AH58" s="156"/>
      <c r="AI58" s="144"/>
      <c r="AJ58" s="144"/>
      <c r="AK58" s="144"/>
      <c r="AL58" s="144"/>
      <c r="AM58" s="145"/>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56"/>
      <c r="K59" s="144"/>
      <c r="L59" s="144"/>
      <c r="M59" s="144"/>
      <c r="N59" s="144"/>
      <c r="O59" s="145"/>
      <c r="P59" s="156"/>
      <c r="Q59" s="144"/>
      <c r="R59" s="144"/>
      <c r="S59" s="144"/>
      <c r="T59" s="144"/>
      <c r="U59" s="145"/>
      <c r="V59" s="156"/>
      <c r="W59" s="144"/>
      <c r="X59" s="144"/>
      <c r="Y59" s="144"/>
      <c r="Z59" s="144"/>
      <c r="AA59" s="145"/>
      <c r="AB59" s="156"/>
      <c r="AC59" s="144"/>
      <c r="AD59" s="144"/>
      <c r="AE59" s="144"/>
      <c r="AF59" s="144"/>
      <c r="AG59" s="145"/>
      <c r="AH59" s="156"/>
      <c r="AI59" s="144"/>
      <c r="AJ59" s="144"/>
      <c r="AK59" s="144"/>
      <c r="AL59" s="144"/>
      <c r="AM59" s="145"/>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56"/>
      <c r="K60" s="144"/>
      <c r="L60" s="144"/>
      <c r="M60" s="144"/>
      <c r="N60" s="144"/>
      <c r="O60" s="145"/>
      <c r="P60" s="156"/>
      <c r="Q60" s="144"/>
      <c r="R60" s="144"/>
      <c r="S60" s="144"/>
      <c r="T60" s="144"/>
      <c r="U60" s="145"/>
      <c r="V60" s="156"/>
      <c r="W60" s="144"/>
      <c r="X60" s="144"/>
      <c r="Y60" s="144"/>
      <c r="Z60" s="144"/>
      <c r="AA60" s="145"/>
      <c r="AB60" s="156"/>
      <c r="AC60" s="144"/>
      <c r="AD60" s="144"/>
      <c r="AE60" s="144"/>
      <c r="AF60" s="144"/>
      <c r="AG60" s="145"/>
      <c r="AH60" s="156"/>
      <c r="AI60" s="144"/>
      <c r="AJ60" s="144"/>
      <c r="AK60" s="144"/>
      <c r="AL60" s="144"/>
      <c r="AM60" s="145"/>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271"/>
      <c r="K61" s="272"/>
      <c r="L61" s="272"/>
      <c r="M61" s="272"/>
      <c r="N61" s="272"/>
      <c r="O61" s="275"/>
      <c r="P61" s="271"/>
      <c r="Q61" s="272"/>
      <c r="R61" s="272"/>
      <c r="S61" s="272"/>
      <c r="T61" s="272"/>
      <c r="U61" s="275"/>
      <c r="V61" s="271"/>
      <c r="W61" s="272"/>
      <c r="X61" s="272"/>
      <c r="Y61" s="272"/>
      <c r="Z61" s="272"/>
      <c r="AA61" s="275"/>
      <c r="AB61" s="271"/>
      <c r="AC61" s="272"/>
      <c r="AD61" s="272"/>
      <c r="AE61" s="272"/>
      <c r="AF61" s="272"/>
      <c r="AG61" s="275"/>
      <c r="AH61" s="271"/>
      <c r="AI61" s="272"/>
      <c r="AJ61" s="272"/>
      <c r="AK61" s="272"/>
      <c r="AL61" s="272"/>
      <c r="AM61" s="275"/>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1" ht="15" customHeight="1" x14ac:dyDescent="0.25">
      <c r="A63" s="1"/>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1"/>
      <c r="AV63" s="1"/>
      <c r="AW63" s="1"/>
      <c r="AX63" s="1"/>
      <c r="AY63" s="1"/>
      <c r="AZ63" s="1"/>
      <c r="BA63" s="1"/>
      <c r="BB63" s="1"/>
      <c r="BC63" s="1"/>
      <c r="BD63" s="1"/>
      <c r="BE63" s="1"/>
      <c r="BF63" s="1"/>
      <c r="BG63" s="1"/>
      <c r="BH63" s="1"/>
    </row>
    <row r="64" spans="1:61" ht="15" customHeight="1" x14ac:dyDescent="0.25">
      <c r="A64" s="1"/>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1"/>
      <c r="AV64" s="1"/>
      <c r="AW64" s="1"/>
      <c r="AX64" s="1"/>
      <c r="AY64" s="1"/>
      <c r="AZ64" s="1"/>
      <c r="BA64" s="1"/>
      <c r="BB64" s="1"/>
      <c r="BC64" s="1"/>
      <c r="BD64" s="1"/>
      <c r="BE64" s="1"/>
      <c r="BF64" s="1"/>
      <c r="BG64" s="1"/>
      <c r="BH64" s="1"/>
    </row>
    <row r="65" spans="1:6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5.75" customHeight="1" x14ac:dyDescent="0.25">
      <c r="A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5.75" customHeight="1" x14ac:dyDescent="0.25">
      <c r="A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5.75" customHeight="1" x14ac:dyDescent="0.25">
      <c r="A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5.75" customHeight="1" x14ac:dyDescent="0.25">
      <c r="A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5.75" customHeight="1" x14ac:dyDescent="0.25">
      <c r="A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5.75" customHeight="1" x14ac:dyDescent="0.25">
      <c r="A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5.75" customHeight="1" x14ac:dyDescent="0.25">
      <c r="A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5.75" customHeight="1" x14ac:dyDescent="0.25">
      <c r="A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5.75" customHeight="1" x14ac:dyDescent="0.25">
      <c r="A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5.75" customHeight="1" x14ac:dyDescent="0.25">
      <c r="A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5.75" customHeight="1" x14ac:dyDescent="0.25">
      <c r="A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5.75" customHeight="1" x14ac:dyDescent="0.25">
      <c r="A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5.75" customHeight="1" x14ac:dyDescent="0.25">
      <c r="A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5.75" customHeight="1" x14ac:dyDescent="0.25">
      <c r="A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5.75" customHeight="1" x14ac:dyDescent="0.25">
      <c r="A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5.75" customHeight="1" x14ac:dyDescent="0.25">
      <c r="A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5.75" customHeight="1" x14ac:dyDescent="0.25">
      <c r="A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5.75" customHeight="1" x14ac:dyDescent="0.25">
      <c r="A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5.75" customHeight="1" x14ac:dyDescent="0.25">
      <c r="A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5.75" customHeight="1" x14ac:dyDescent="0.25">
      <c r="A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5.75" customHeight="1" x14ac:dyDescent="0.25">
      <c r="A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5.75" customHeight="1" x14ac:dyDescent="0.25">
      <c r="A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5.75" customHeight="1" x14ac:dyDescent="0.25">
      <c r="A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5.75" customHeight="1" x14ac:dyDescent="0.25">
      <c r="A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5.75" customHeight="1" x14ac:dyDescent="0.25">
      <c r="A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5.75" customHeight="1" x14ac:dyDescent="0.25">
      <c r="A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5.75" customHeight="1" x14ac:dyDescent="0.25">
      <c r="A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5.75" customHeight="1" x14ac:dyDescent="0.25">
      <c r="A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5.75" customHeight="1" x14ac:dyDescent="0.25">
      <c r="A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5.75" customHeight="1" x14ac:dyDescent="0.25">
      <c r="A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5.75" customHeight="1" x14ac:dyDescent="0.25">
      <c r="A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5.75" customHeight="1" x14ac:dyDescent="0.25">
      <c r="A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5.75" customHeight="1" x14ac:dyDescent="0.25">
      <c r="A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5.75" customHeight="1" x14ac:dyDescent="0.25">
      <c r="A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5.75" customHeight="1" x14ac:dyDescent="0.25">
      <c r="A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5.75" customHeight="1" x14ac:dyDescent="0.25">
      <c r="A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5.75" customHeight="1" x14ac:dyDescent="0.25">
      <c r="A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5.75" customHeight="1" x14ac:dyDescent="0.25">
      <c r="A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5.75" customHeight="1" x14ac:dyDescent="0.25">
      <c r="A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5.75" customHeight="1" x14ac:dyDescent="0.25">
      <c r="A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5.75" customHeight="1" x14ac:dyDescent="0.25">
      <c r="A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5.75" customHeight="1" x14ac:dyDescent="0.25">
      <c r="A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5.75" customHeight="1" x14ac:dyDescent="0.25">
      <c r="A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5.75" customHeight="1" x14ac:dyDescent="0.25">
      <c r="A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5.75" customHeight="1" x14ac:dyDescent="0.25">
      <c r="A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5.75" customHeight="1" x14ac:dyDescent="0.25">
      <c r="A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5.75" customHeight="1" x14ac:dyDescent="0.25">
      <c r="A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5.75" customHeight="1" x14ac:dyDescent="0.25">
      <c r="A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5.75" customHeight="1" x14ac:dyDescent="0.25">
      <c r="A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5.75" customHeight="1" x14ac:dyDescent="0.25">
      <c r="A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5.75" customHeight="1" x14ac:dyDescent="0.25">
      <c r="A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5.75" customHeight="1" x14ac:dyDescent="0.25">
      <c r="A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5.75" customHeight="1" x14ac:dyDescent="0.25">
      <c r="A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5.75" customHeight="1" x14ac:dyDescent="0.25">
      <c r="A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5.75" customHeight="1" x14ac:dyDescent="0.25">
      <c r="A245" s="1"/>
    </row>
    <row r="246" spans="1:60" ht="15.75" customHeight="1" x14ac:dyDescent="0.25">
      <c r="A246" s="1"/>
    </row>
    <row r="247" spans="1:60" ht="15.75" customHeight="1" x14ac:dyDescent="0.25">
      <c r="A247" s="1"/>
    </row>
    <row r="248" spans="1:60" ht="15.75" customHeight="1" x14ac:dyDescent="0.25">
      <c r="A248" s="1"/>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O16:AT25"/>
    <mergeCell ref="AO26:AT35"/>
    <mergeCell ref="AO6:AT15"/>
    <mergeCell ref="AO36:AT45"/>
    <mergeCell ref="E46:I55"/>
    <mergeCell ref="J56:O61"/>
    <mergeCell ref="P56:U61"/>
    <mergeCell ref="V56:AA61"/>
    <mergeCell ref="AB56:AG61"/>
    <mergeCell ref="AH56:AM61"/>
    <mergeCell ref="B2:I4"/>
    <mergeCell ref="J2:AM4"/>
    <mergeCell ref="B6:D55"/>
    <mergeCell ref="E6:I15"/>
    <mergeCell ref="E16:I25"/>
    <mergeCell ref="E26:I35"/>
    <mergeCell ref="E36:I45"/>
  </mergeCells>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1000"/>
  <sheetViews>
    <sheetView workbookViewId="0"/>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1"/>
      <c r="B1" s="304" t="s">
        <v>133</v>
      </c>
      <c r="C1" s="144"/>
      <c r="D1" s="144"/>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25.5" x14ac:dyDescent="0.25">
      <c r="A3" s="1"/>
      <c r="B3" s="70"/>
      <c r="C3" s="71" t="s">
        <v>134</v>
      </c>
      <c r="D3" s="71" t="s">
        <v>117</v>
      </c>
      <c r="E3" s="1"/>
      <c r="F3" s="1"/>
      <c r="G3" s="1"/>
      <c r="H3" s="1"/>
      <c r="I3" s="1"/>
      <c r="J3" s="1"/>
      <c r="K3" s="1"/>
      <c r="L3" s="1"/>
      <c r="M3" s="1"/>
      <c r="N3" s="1"/>
      <c r="O3" s="1"/>
      <c r="P3" s="1"/>
      <c r="Q3" s="1"/>
      <c r="R3" s="1"/>
      <c r="S3" s="1"/>
      <c r="T3" s="1"/>
      <c r="U3" s="1"/>
      <c r="V3" s="1"/>
      <c r="W3" s="1"/>
      <c r="X3" s="1"/>
    </row>
    <row r="4" spans="1:24" ht="51" x14ac:dyDescent="0.25">
      <c r="A4" s="1"/>
      <c r="B4" s="72" t="s">
        <v>135</v>
      </c>
      <c r="C4" s="73" t="s">
        <v>136</v>
      </c>
      <c r="D4" s="74">
        <v>0.2</v>
      </c>
      <c r="E4" s="1"/>
      <c r="F4" s="1"/>
      <c r="G4" s="1"/>
      <c r="H4" s="1"/>
      <c r="I4" s="1"/>
      <c r="J4" s="1"/>
      <c r="K4" s="1"/>
      <c r="L4" s="1"/>
      <c r="M4" s="1"/>
      <c r="N4" s="1"/>
      <c r="O4" s="1"/>
      <c r="P4" s="1"/>
      <c r="Q4" s="1"/>
      <c r="R4" s="1"/>
      <c r="S4" s="1"/>
      <c r="T4" s="1"/>
      <c r="U4" s="1"/>
      <c r="V4" s="1"/>
      <c r="W4" s="1"/>
      <c r="X4" s="1"/>
    </row>
    <row r="5" spans="1:24" ht="51" x14ac:dyDescent="0.25">
      <c r="A5" s="1"/>
      <c r="B5" s="75" t="s">
        <v>137</v>
      </c>
      <c r="C5" s="76" t="s">
        <v>138</v>
      </c>
      <c r="D5" s="77">
        <v>0.4</v>
      </c>
      <c r="E5" s="1"/>
      <c r="F5" s="1"/>
      <c r="G5" s="1"/>
      <c r="H5" s="1"/>
      <c r="I5" s="1"/>
      <c r="J5" s="1"/>
      <c r="K5" s="1"/>
      <c r="L5" s="1"/>
      <c r="M5" s="1"/>
      <c r="N5" s="1"/>
      <c r="O5" s="1"/>
      <c r="P5" s="1"/>
      <c r="Q5" s="1"/>
      <c r="R5" s="1"/>
      <c r="S5" s="1"/>
      <c r="T5" s="1"/>
      <c r="U5" s="1"/>
      <c r="V5" s="1"/>
      <c r="W5" s="1"/>
      <c r="X5" s="1"/>
    </row>
    <row r="6" spans="1:24" ht="51" x14ac:dyDescent="0.25">
      <c r="A6" s="1"/>
      <c r="B6" s="78" t="s">
        <v>139</v>
      </c>
      <c r="C6" s="76" t="s">
        <v>140</v>
      </c>
      <c r="D6" s="77">
        <v>0.6</v>
      </c>
      <c r="E6" s="1"/>
      <c r="F6" s="1"/>
      <c r="G6" s="1"/>
      <c r="H6" s="1"/>
      <c r="I6" s="1"/>
      <c r="J6" s="1"/>
      <c r="K6" s="1"/>
      <c r="L6" s="1"/>
      <c r="M6" s="1"/>
      <c r="N6" s="1"/>
      <c r="O6" s="1"/>
      <c r="P6" s="1"/>
      <c r="Q6" s="1"/>
      <c r="R6" s="1"/>
      <c r="S6" s="1"/>
      <c r="T6" s="1"/>
      <c r="U6" s="1"/>
      <c r="V6" s="1"/>
      <c r="W6" s="1"/>
      <c r="X6" s="1"/>
    </row>
    <row r="7" spans="1:24" ht="76.5" x14ac:dyDescent="0.25">
      <c r="A7" s="1"/>
      <c r="B7" s="79" t="s">
        <v>141</v>
      </c>
      <c r="C7" s="76" t="s">
        <v>142</v>
      </c>
      <c r="D7" s="77">
        <v>0.8</v>
      </c>
      <c r="E7" s="1"/>
      <c r="F7" s="1"/>
      <c r="G7" s="1"/>
      <c r="H7" s="1"/>
      <c r="I7" s="1"/>
      <c r="J7" s="1"/>
      <c r="K7" s="1"/>
      <c r="L7" s="1"/>
      <c r="M7" s="1"/>
      <c r="N7" s="1"/>
      <c r="O7" s="1"/>
      <c r="P7" s="1"/>
      <c r="Q7" s="1"/>
      <c r="R7" s="1"/>
      <c r="S7" s="1"/>
      <c r="T7" s="1"/>
      <c r="U7" s="1"/>
      <c r="V7" s="1"/>
      <c r="W7" s="1"/>
      <c r="X7" s="1"/>
    </row>
    <row r="8" spans="1:24" ht="51" x14ac:dyDescent="0.25">
      <c r="A8" s="1"/>
      <c r="B8" s="80" t="s">
        <v>143</v>
      </c>
      <c r="C8" s="76" t="s">
        <v>144</v>
      </c>
      <c r="D8" s="77">
        <v>1</v>
      </c>
      <c r="E8" s="1"/>
      <c r="F8" s="1"/>
      <c r="G8" s="1"/>
      <c r="H8" s="1"/>
      <c r="I8" s="1"/>
      <c r="J8" s="1"/>
      <c r="K8" s="1"/>
      <c r="L8" s="1"/>
      <c r="M8" s="1"/>
      <c r="N8" s="1"/>
      <c r="O8" s="1"/>
      <c r="P8" s="1"/>
      <c r="Q8" s="1"/>
      <c r="R8" s="1"/>
      <c r="S8" s="1"/>
      <c r="T8" s="1"/>
      <c r="U8" s="1"/>
      <c r="V8" s="1"/>
      <c r="W8" s="1"/>
      <c r="X8" s="1"/>
    </row>
    <row r="9" spans="1:24" x14ac:dyDescent="0.25">
      <c r="A9" s="1"/>
      <c r="B9" s="1"/>
      <c r="C9" s="1"/>
      <c r="D9" s="1"/>
      <c r="E9" s="1"/>
      <c r="F9" s="1"/>
      <c r="G9" s="1"/>
      <c r="H9" s="1"/>
      <c r="I9" s="1"/>
      <c r="J9" s="1"/>
      <c r="K9" s="1"/>
      <c r="L9" s="1"/>
      <c r="M9" s="1"/>
      <c r="N9" s="1"/>
      <c r="O9" s="1"/>
      <c r="P9" s="1"/>
      <c r="Q9" s="1"/>
      <c r="R9" s="1"/>
      <c r="S9" s="1"/>
      <c r="T9" s="1"/>
      <c r="U9" s="1"/>
      <c r="V9" s="1"/>
      <c r="W9" s="1"/>
      <c r="X9" s="1"/>
    </row>
    <row r="10" spans="1:24" ht="16.5" x14ac:dyDescent="0.25">
      <c r="A10" s="1"/>
      <c r="B10" s="81"/>
      <c r="C10" s="1"/>
      <c r="D10" s="1"/>
      <c r="E10" s="1"/>
      <c r="F10" s="1"/>
      <c r="G10" s="1"/>
      <c r="H10" s="1"/>
      <c r="I10" s="1"/>
      <c r="J10" s="1"/>
      <c r="K10" s="1"/>
      <c r="L10" s="1"/>
      <c r="M10" s="1"/>
      <c r="N10" s="1"/>
      <c r="O10" s="1"/>
      <c r="P10" s="1"/>
      <c r="Q10" s="1"/>
      <c r="R10" s="1"/>
      <c r="S10" s="1"/>
      <c r="T10" s="1"/>
      <c r="U10" s="1"/>
      <c r="V10" s="1"/>
      <c r="W10" s="1"/>
      <c r="X10" s="1"/>
    </row>
    <row r="11" spans="1:24" x14ac:dyDescent="0.25">
      <c r="A11" s="1"/>
      <c r="B11" s="1"/>
      <c r="C11" s="1"/>
      <c r="D11" s="1"/>
      <c r="E11" s="1"/>
      <c r="F11" s="1"/>
      <c r="G11" s="1"/>
      <c r="H11" s="1"/>
      <c r="I11" s="1"/>
      <c r="J11" s="1"/>
      <c r="K11" s="1"/>
      <c r="L11" s="1"/>
      <c r="M11" s="1"/>
      <c r="N11" s="1"/>
      <c r="O11" s="1"/>
      <c r="P11" s="1"/>
      <c r="Q11" s="1"/>
      <c r="R11" s="1"/>
      <c r="S11" s="1"/>
      <c r="T11" s="1"/>
      <c r="U11" s="1"/>
      <c r="V11" s="1"/>
      <c r="W11" s="1"/>
      <c r="X11" s="1"/>
    </row>
    <row r="12" spans="1:24" x14ac:dyDescent="0.25">
      <c r="A12" s="1"/>
      <c r="B12" s="1"/>
      <c r="C12" s="1"/>
      <c r="D12" s="1"/>
      <c r="E12" s="1"/>
      <c r="F12" s="1"/>
      <c r="G12" s="1"/>
      <c r="H12" s="1"/>
      <c r="I12" s="1"/>
      <c r="J12" s="1"/>
      <c r="K12" s="1"/>
      <c r="L12" s="1"/>
      <c r="M12" s="1"/>
      <c r="N12" s="1"/>
      <c r="O12" s="1"/>
      <c r="P12" s="1"/>
      <c r="Q12" s="1"/>
      <c r="R12" s="1"/>
      <c r="S12" s="1"/>
      <c r="T12" s="1"/>
      <c r="U12" s="1"/>
      <c r="V12" s="1"/>
      <c r="W12" s="1"/>
      <c r="X12" s="1"/>
    </row>
    <row r="13" spans="1:24" x14ac:dyDescent="0.25">
      <c r="A13" s="1"/>
      <c r="B13" s="1"/>
      <c r="C13" s="1"/>
      <c r="D13" s="1"/>
      <c r="E13" s="1"/>
      <c r="F13" s="1"/>
      <c r="G13" s="1"/>
      <c r="H13" s="1"/>
      <c r="I13" s="1"/>
      <c r="J13" s="1"/>
      <c r="K13" s="1"/>
      <c r="L13" s="1"/>
      <c r="M13" s="1"/>
      <c r="N13" s="1"/>
      <c r="O13" s="1"/>
      <c r="P13" s="1"/>
      <c r="Q13" s="1"/>
      <c r="R13" s="1"/>
      <c r="S13" s="1"/>
      <c r="T13" s="1"/>
      <c r="U13" s="1"/>
      <c r="V13" s="1"/>
      <c r="W13" s="1"/>
      <c r="X13" s="1"/>
    </row>
    <row r="14" spans="1:24" x14ac:dyDescent="0.25">
      <c r="A14" s="1"/>
      <c r="B14" s="1"/>
      <c r="C14" s="1"/>
      <c r="D14" s="1"/>
      <c r="E14" s="1"/>
      <c r="F14" s="1"/>
      <c r="G14" s="1"/>
      <c r="H14" s="1"/>
      <c r="I14" s="1"/>
      <c r="J14" s="1"/>
      <c r="K14" s="1"/>
      <c r="L14" s="1"/>
      <c r="M14" s="1"/>
      <c r="N14" s="1"/>
      <c r="O14" s="1"/>
      <c r="P14" s="1"/>
      <c r="Q14" s="1"/>
      <c r="R14" s="1"/>
      <c r="S14" s="1"/>
      <c r="T14" s="1"/>
      <c r="U14" s="1"/>
      <c r="V14" s="1"/>
      <c r="W14" s="1"/>
      <c r="X14" s="1"/>
    </row>
    <row r="15" spans="1:24" x14ac:dyDescent="0.25">
      <c r="A15" s="1"/>
      <c r="B15" s="1"/>
      <c r="C15" s="1"/>
      <c r="D15" s="1"/>
      <c r="E15" s="1"/>
      <c r="F15" s="1"/>
      <c r="G15" s="1"/>
      <c r="H15" s="1"/>
      <c r="I15" s="1"/>
      <c r="J15" s="1"/>
      <c r="K15" s="1"/>
      <c r="L15" s="1"/>
      <c r="M15" s="1"/>
      <c r="N15" s="1"/>
      <c r="O15" s="1"/>
      <c r="P15" s="1"/>
      <c r="Q15" s="1"/>
      <c r="R15" s="1"/>
      <c r="S15" s="1"/>
      <c r="T15" s="1"/>
      <c r="U15" s="1"/>
      <c r="V15" s="1"/>
      <c r="W15" s="1"/>
      <c r="X15" s="1"/>
    </row>
    <row r="16" spans="1:24" x14ac:dyDescent="0.25">
      <c r="A16" s="1"/>
      <c r="B16" s="1"/>
      <c r="C16" s="1"/>
      <c r="D16" s="1"/>
      <c r="E16" s="1"/>
      <c r="F16" s="1"/>
      <c r="G16" s="1"/>
      <c r="H16" s="1"/>
      <c r="I16" s="1"/>
      <c r="J16" s="1"/>
      <c r="K16" s="1"/>
      <c r="L16" s="1"/>
      <c r="M16" s="1"/>
      <c r="N16" s="1"/>
      <c r="O16" s="1"/>
      <c r="P16" s="1"/>
      <c r="Q16" s="1"/>
      <c r="R16" s="1"/>
      <c r="S16" s="1"/>
      <c r="T16" s="1"/>
      <c r="U16" s="1"/>
      <c r="V16" s="1"/>
      <c r="W16" s="1"/>
      <c r="X16" s="1"/>
    </row>
    <row r="17" spans="1:24" x14ac:dyDescent="0.25">
      <c r="A17" s="1"/>
      <c r="B17" s="1"/>
      <c r="C17" s="1"/>
      <c r="D17" s="1"/>
      <c r="E17" s="1"/>
      <c r="F17" s="1"/>
      <c r="G17" s="1"/>
      <c r="H17" s="1"/>
      <c r="I17" s="1"/>
      <c r="J17" s="1"/>
      <c r="K17" s="1"/>
      <c r="L17" s="1"/>
      <c r="M17" s="1"/>
      <c r="N17" s="1"/>
      <c r="O17" s="1"/>
      <c r="P17" s="1"/>
      <c r="Q17" s="1"/>
      <c r="R17" s="1"/>
      <c r="S17" s="1"/>
      <c r="T17" s="1"/>
      <c r="U17" s="1"/>
      <c r="V17" s="1"/>
      <c r="W17" s="1"/>
      <c r="X17" s="1"/>
    </row>
    <row r="18" spans="1:24" x14ac:dyDescent="0.25">
      <c r="A18" s="1"/>
      <c r="B18" s="1"/>
      <c r="C18" s="1"/>
      <c r="D18" s="1"/>
      <c r="E18" s="1"/>
      <c r="F18" s="1"/>
      <c r="G18" s="1"/>
      <c r="H18" s="1"/>
      <c r="I18" s="1"/>
      <c r="J18" s="1"/>
      <c r="K18" s="1"/>
      <c r="L18" s="1"/>
      <c r="M18" s="1"/>
      <c r="N18" s="1"/>
      <c r="O18" s="1"/>
      <c r="P18" s="1"/>
      <c r="Q18" s="1"/>
      <c r="R18" s="1"/>
      <c r="S18" s="1"/>
      <c r="T18" s="1"/>
      <c r="U18" s="1"/>
      <c r="V18" s="1"/>
      <c r="W18" s="1"/>
      <c r="X18" s="1"/>
    </row>
    <row r="19" spans="1:24" x14ac:dyDescent="0.25">
      <c r="A19" s="1"/>
      <c r="B19" s="1"/>
      <c r="C19" s="1"/>
      <c r="D19" s="1"/>
      <c r="E19" s="1"/>
      <c r="F19" s="1"/>
      <c r="G19" s="1"/>
      <c r="H19" s="1"/>
      <c r="I19" s="1"/>
      <c r="J19" s="1"/>
      <c r="K19" s="1"/>
      <c r="L19" s="1"/>
      <c r="M19" s="1"/>
      <c r="N19" s="1"/>
      <c r="O19" s="1"/>
      <c r="P19" s="1"/>
      <c r="Q19" s="1"/>
      <c r="R19" s="1"/>
      <c r="S19" s="1"/>
      <c r="T19" s="1"/>
      <c r="U19" s="1"/>
      <c r="V19" s="1"/>
      <c r="W19" s="1"/>
      <c r="X19" s="1"/>
    </row>
    <row r="20" spans="1:24" x14ac:dyDescent="0.25">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row>
    <row r="27" spans="1:2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row>
    <row r="28" spans="1:2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row>
    <row r="29" spans="1:2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row>
    <row r="30" spans="1:2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x14ac:dyDescent="0.25">
      <c r="A33" s="1"/>
      <c r="E33" s="1"/>
      <c r="F33" s="1"/>
      <c r="G33" s="1"/>
      <c r="H33" s="1"/>
      <c r="I33" s="1"/>
      <c r="J33" s="1"/>
      <c r="K33" s="1"/>
      <c r="L33" s="1"/>
      <c r="M33" s="1"/>
      <c r="N33" s="1"/>
      <c r="O33" s="1"/>
      <c r="P33" s="1"/>
      <c r="Q33" s="1"/>
      <c r="R33" s="1"/>
      <c r="S33" s="1"/>
      <c r="T33" s="1"/>
      <c r="U33" s="1"/>
      <c r="V33" s="1"/>
      <c r="W33" s="1"/>
      <c r="X33" s="1"/>
    </row>
    <row r="34" spans="1:24" ht="15.75" customHeight="1" x14ac:dyDescent="0.25">
      <c r="A34" s="1"/>
      <c r="E34" s="1"/>
      <c r="F34" s="1"/>
      <c r="G34" s="1"/>
      <c r="H34" s="1"/>
      <c r="I34" s="1"/>
      <c r="J34" s="1"/>
      <c r="K34" s="1"/>
      <c r="L34" s="1"/>
      <c r="M34" s="1"/>
      <c r="N34" s="1"/>
      <c r="O34" s="1"/>
      <c r="P34" s="1"/>
      <c r="Q34" s="1"/>
      <c r="R34" s="1"/>
      <c r="S34" s="1"/>
      <c r="T34" s="1"/>
      <c r="U34" s="1"/>
      <c r="V34" s="1"/>
      <c r="W34" s="1"/>
      <c r="X34" s="1"/>
    </row>
    <row r="35" spans="1:24" ht="15.75" customHeight="1" x14ac:dyDescent="0.25">
      <c r="A35" s="1"/>
    </row>
    <row r="36" spans="1:24" ht="15.75" customHeight="1" x14ac:dyDescent="0.25">
      <c r="A36" s="1"/>
    </row>
    <row r="37" spans="1:24" ht="15.75" customHeight="1" x14ac:dyDescent="0.25">
      <c r="A37" s="1"/>
    </row>
    <row r="38" spans="1:24" ht="15.75" customHeight="1" x14ac:dyDescent="0.25">
      <c r="A38" s="1"/>
    </row>
    <row r="39" spans="1:24" ht="15.75" customHeight="1" x14ac:dyDescent="0.25">
      <c r="A39" s="1"/>
    </row>
    <row r="40" spans="1:24" ht="15.75" customHeight="1" x14ac:dyDescent="0.25">
      <c r="A40" s="1"/>
    </row>
    <row r="41" spans="1:24" ht="15.75" customHeight="1" x14ac:dyDescent="0.25">
      <c r="A41" s="1"/>
    </row>
    <row r="42" spans="1:24" ht="15.75" customHeight="1" x14ac:dyDescent="0.25">
      <c r="A42" s="1"/>
    </row>
    <row r="43" spans="1:24" ht="15.75" customHeight="1" x14ac:dyDescent="0.25">
      <c r="A43" s="1"/>
    </row>
    <row r="44" spans="1:24" ht="15.75" customHeight="1" x14ac:dyDescent="0.25">
      <c r="A44" s="1"/>
    </row>
    <row r="45" spans="1:24" ht="15.75" customHeight="1" x14ac:dyDescent="0.25">
      <c r="A45" s="1"/>
    </row>
    <row r="46" spans="1:24" ht="15.75" customHeight="1" x14ac:dyDescent="0.25">
      <c r="A46" s="1"/>
    </row>
    <row r="47" spans="1:24" ht="15.75" customHeight="1" x14ac:dyDescent="0.25">
      <c r="A47" s="1"/>
    </row>
    <row r="48" spans="1:24"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923C"/>
  </sheetPr>
  <dimension ref="A1:U1000"/>
  <sheetViews>
    <sheetView workbookViewId="0"/>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1"/>
      <c r="B1" s="305" t="s">
        <v>145</v>
      </c>
      <c r="C1" s="144"/>
      <c r="D1" s="144"/>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30" x14ac:dyDescent="0.25">
      <c r="A3" s="1"/>
      <c r="B3" s="82"/>
      <c r="C3" s="83" t="s">
        <v>146</v>
      </c>
      <c r="D3" s="83" t="s">
        <v>147</v>
      </c>
      <c r="E3" s="1"/>
      <c r="F3" s="1"/>
      <c r="G3" s="1"/>
      <c r="H3" s="1"/>
      <c r="I3" s="1"/>
      <c r="J3" s="1"/>
      <c r="K3" s="1"/>
      <c r="L3" s="1"/>
      <c r="M3" s="1"/>
      <c r="N3" s="1"/>
      <c r="O3" s="1"/>
      <c r="P3" s="1"/>
      <c r="Q3" s="1"/>
      <c r="R3" s="1"/>
      <c r="S3" s="1"/>
      <c r="T3" s="1"/>
      <c r="U3" s="1"/>
    </row>
    <row r="4" spans="1:21" ht="33.75" x14ac:dyDescent="0.25">
      <c r="A4" s="84" t="s">
        <v>148</v>
      </c>
      <c r="B4" s="85" t="s">
        <v>149</v>
      </c>
      <c r="C4" s="86" t="s">
        <v>150</v>
      </c>
      <c r="D4" s="87" t="s">
        <v>151</v>
      </c>
      <c r="E4" s="1"/>
      <c r="F4" s="1"/>
      <c r="G4" s="1"/>
      <c r="H4" s="1"/>
      <c r="I4" s="1"/>
      <c r="J4" s="1"/>
      <c r="K4" s="1"/>
      <c r="L4" s="1"/>
      <c r="M4" s="1"/>
      <c r="N4" s="1"/>
      <c r="O4" s="1"/>
      <c r="P4" s="1"/>
      <c r="Q4" s="1"/>
      <c r="R4" s="1"/>
      <c r="S4" s="1"/>
      <c r="T4" s="1"/>
      <c r="U4" s="1"/>
    </row>
    <row r="5" spans="1:21" ht="67.5" x14ac:dyDescent="0.25">
      <c r="A5" s="84" t="s">
        <v>152</v>
      </c>
      <c r="B5" s="88" t="s">
        <v>153</v>
      </c>
      <c r="C5" s="89" t="s">
        <v>154</v>
      </c>
      <c r="D5" s="90" t="s">
        <v>155</v>
      </c>
      <c r="E5" s="1"/>
      <c r="F5" s="1"/>
      <c r="G5" s="1"/>
      <c r="H5" s="1"/>
      <c r="I5" s="1"/>
      <c r="J5" s="1"/>
      <c r="K5" s="1"/>
      <c r="L5" s="1"/>
      <c r="M5" s="1"/>
      <c r="N5" s="1"/>
      <c r="O5" s="1"/>
      <c r="P5" s="1"/>
      <c r="Q5" s="1"/>
      <c r="R5" s="1"/>
      <c r="S5" s="1"/>
      <c r="T5" s="1"/>
      <c r="U5" s="1"/>
    </row>
    <row r="6" spans="1:21" ht="67.5" x14ac:dyDescent="0.25">
      <c r="A6" s="84" t="s">
        <v>123</v>
      </c>
      <c r="B6" s="91" t="s">
        <v>156</v>
      </c>
      <c r="C6" s="89" t="s">
        <v>157</v>
      </c>
      <c r="D6" s="90" t="s">
        <v>158</v>
      </c>
      <c r="E6" s="1"/>
      <c r="F6" s="1"/>
      <c r="G6" s="1"/>
      <c r="H6" s="1"/>
      <c r="I6" s="1"/>
      <c r="J6" s="1"/>
      <c r="K6" s="1"/>
      <c r="L6" s="1"/>
      <c r="M6" s="1"/>
      <c r="N6" s="1"/>
      <c r="O6" s="1"/>
      <c r="P6" s="1"/>
      <c r="Q6" s="1"/>
      <c r="R6" s="1"/>
      <c r="S6" s="1"/>
      <c r="T6" s="1"/>
      <c r="U6" s="1"/>
    </row>
    <row r="7" spans="1:21" ht="101.25" x14ac:dyDescent="0.25">
      <c r="A7" s="84" t="s">
        <v>159</v>
      </c>
      <c r="B7" s="92" t="s">
        <v>160</v>
      </c>
      <c r="C7" s="89" t="s">
        <v>161</v>
      </c>
      <c r="D7" s="90" t="s">
        <v>162</v>
      </c>
      <c r="E7" s="1"/>
      <c r="F7" s="1"/>
      <c r="G7" s="1"/>
      <c r="H7" s="1"/>
      <c r="I7" s="1"/>
      <c r="J7" s="1"/>
      <c r="K7" s="1"/>
      <c r="L7" s="1"/>
      <c r="M7" s="1"/>
      <c r="N7" s="1"/>
      <c r="O7" s="1"/>
      <c r="P7" s="1"/>
      <c r="Q7" s="1"/>
      <c r="R7" s="1"/>
      <c r="S7" s="1"/>
      <c r="T7" s="1"/>
      <c r="U7" s="1"/>
    </row>
    <row r="8" spans="1:21" ht="67.5" x14ac:dyDescent="0.25">
      <c r="A8" s="84" t="s">
        <v>163</v>
      </c>
      <c r="B8" s="93" t="s">
        <v>164</v>
      </c>
      <c r="C8" s="89" t="s">
        <v>165</v>
      </c>
      <c r="D8" s="90" t="s">
        <v>166</v>
      </c>
      <c r="E8" s="1"/>
      <c r="F8" s="1"/>
      <c r="G8" s="1"/>
      <c r="H8" s="1"/>
      <c r="I8" s="1"/>
      <c r="J8" s="1"/>
      <c r="K8" s="1"/>
      <c r="L8" s="1"/>
      <c r="M8" s="1"/>
      <c r="N8" s="1"/>
      <c r="O8" s="1"/>
      <c r="P8" s="1"/>
      <c r="Q8" s="1"/>
      <c r="R8" s="1"/>
      <c r="S8" s="1"/>
      <c r="T8" s="1"/>
      <c r="U8" s="1"/>
    </row>
    <row r="9" spans="1:21" ht="20.25" x14ac:dyDescent="0.25">
      <c r="A9" s="84"/>
      <c r="B9" s="84"/>
      <c r="C9" s="94"/>
      <c r="D9" s="94"/>
      <c r="E9" s="1"/>
      <c r="F9" s="1"/>
      <c r="G9" s="1"/>
      <c r="H9" s="1"/>
      <c r="I9" s="1"/>
      <c r="J9" s="1"/>
      <c r="K9" s="1"/>
      <c r="L9" s="1"/>
      <c r="M9" s="1"/>
      <c r="N9" s="1"/>
      <c r="O9" s="1"/>
      <c r="P9" s="1"/>
      <c r="Q9" s="1"/>
      <c r="R9" s="1"/>
      <c r="S9" s="1"/>
      <c r="T9" s="1"/>
      <c r="U9" s="1"/>
    </row>
    <row r="10" spans="1:21" ht="16.5" x14ac:dyDescent="0.25">
      <c r="A10" s="84"/>
      <c r="B10" s="95"/>
      <c r="C10" s="95"/>
      <c r="D10" s="95"/>
      <c r="E10" s="1"/>
      <c r="F10" s="1"/>
      <c r="G10" s="1"/>
      <c r="H10" s="1"/>
      <c r="I10" s="1"/>
      <c r="J10" s="1"/>
      <c r="K10" s="1"/>
      <c r="L10" s="1"/>
      <c r="M10" s="1"/>
      <c r="N10" s="1"/>
      <c r="O10" s="1"/>
      <c r="P10" s="1"/>
      <c r="Q10" s="1"/>
      <c r="R10" s="1"/>
      <c r="S10" s="1"/>
      <c r="T10" s="1"/>
      <c r="U10" s="1"/>
    </row>
    <row r="11" spans="1:21" x14ac:dyDescent="0.25">
      <c r="A11" s="84"/>
      <c r="B11" s="84" t="s">
        <v>167</v>
      </c>
      <c r="C11" s="84" t="s">
        <v>168</v>
      </c>
      <c r="D11" s="84" t="s">
        <v>169</v>
      </c>
      <c r="E11" s="1"/>
      <c r="F11" s="1"/>
      <c r="G11" s="1"/>
      <c r="H11" s="1"/>
      <c r="I11" s="1"/>
      <c r="J11" s="1"/>
      <c r="K11" s="1"/>
      <c r="L11" s="1"/>
      <c r="M11" s="1"/>
      <c r="N11" s="1"/>
      <c r="O11" s="1"/>
      <c r="P11" s="1"/>
      <c r="Q11" s="1"/>
      <c r="R11" s="1"/>
      <c r="S11" s="1"/>
      <c r="T11" s="1"/>
      <c r="U11" s="1"/>
    </row>
    <row r="12" spans="1:21" x14ac:dyDescent="0.25">
      <c r="A12" s="84"/>
      <c r="B12" s="84" t="s">
        <v>170</v>
      </c>
      <c r="C12" s="84" t="s">
        <v>171</v>
      </c>
      <c r="D12" s="84" t="s">
        <v>172</v>
      </c>
      <c r="E12" s="1"/>
      <c r="F12" s="1"/>
      <c r="G12" s="1"/>
      <c r="H12" s="1"/>
      <c r="I12" s="1"/>
      <c r="J12" s="1"/>
      <c r="K12" s="1"/>
      <c r="L12" s="1"/>
      <c r="M12" s="1"/>
      <c r="N12" s="1"/>
      <c r="O12" s="1"/>
      <c r="P12" s="1"/>
      <c r="Q12" s="1"/>
      <c r="R12" s="1"/>
      <c r="S12" s="1"/>
      <c r="T12" s="1"/>
      <c r="U12" s="1"/>
    </row>
    <row r="13" spans="1:21" x14ac:dyDescent="0.25">
      <c r="A13" s="84"/>
      <c r="B13" s="84"/>
      <c r="C13" s="84" t="s">
        <v>173</v>
      </c>
      <c r="D13" s="84" t="s">
        <v>112</v>
      </c>
      <c r="E13" s="1"/>
      <c r="F13" s="1"/>
      <c r="G13" s="1"/>
      <c r="H13" s="1"/>
      <c r="I13" s="1"/>
      <c r="J13" s="1"/>
      <c r="K13" s="1"/>
      <c r="L13" s="1"/>
      <c r="M13" s="1"/>
      <c r="N13" s="1"/>
      <c r="O13" s="1"/>
      <c r="P13" s="1"/>
      <c r="Q13" s="1"/>
      <c r="R13" s="1"/>
      <c r="S13" s="1"/>
      <c r="T13" s="1"/>
      <c r="U13" s="1"/>
    </row>
    <row r="14" spans="1:21" x14ac:dyDescent="0.25">
      <c r="A14" s="84"/>
      <c r="B14" s="84"/>
      <c r="C14" s="84" t="s">
        <v>174</v>
      </c>
      <c r="D14" s="84" t="s">
        <v>101</v>
      </c>
      <c r="E14" s="1"/>
      <c r="F14" s="1"/>
      <c r="G14" s="1"/>
      <c r="H14" s="1"/>
      <c r="I14" s="1"/>
      <c r="J14" s="1"/>
      <c r="K14" s="1"/>
      <c r="L14" s="1"/>
      <c r="M14" s="1"/>
      <c r="N14" s="1"/>
      <c r="O14" s="1"/>
      <c r="P14" s="1"/>
      <c r="Q14" s="1"/>
      <c r="R14" s="1"/>
      <c r="S14" s="1"/>
      <c r="T14" s="1"/>
      <c r="U14" s="1"/>
    </row>
    <row r="15" spans="1:21" x14ac:dyDescent="0.25">
      <c r="A15" s="84"/>
      <c r="B15" s="84"/>
      <c r="C15" s="84" t="s">
        <v>175</v>
      </c>
      <c r="D15" s="84" t="s">
        <v>176</v>
      </c>
      <c r="E15" s="1"/>
      <c r="F15" s="1"/>
      <c r="G15" s="1"/>
      <c r="H15" s="1"/>
      <c r="I15" s="1"/>
      <c r="J15" s="1"/>
      <c r="K15" s="1"/>
      <c r="L15" s="1"/>
      <c r="M15" s="1"/>
      <c r="N15" s="1"/>
      <c r="O15" s="1"/>
      <c r="P15" s="1"/>
      <c r="Q15" s="1"/>
      <c r="R15" s="1"/>
      <c r="S15" s="1"/>
      <c r="T15" s="1"/>
      <c r="U15" s="1"/>
    </row>
    <row r="16" spans="1:21" x14ac:dyDescent="0.25">
      <c r="A16" s="84"/>
      <c r="B16" s="84"/>
      <c r="C16" s="84"/>
      <c r="D16" s="84"/>
      <c r="E16" s="1"/>
      <c r="F16" s="1"/>
      <c r="G16" s="1"/>
      <c r="H16" s="1"/>
      <c r="I16" s="1"/>
      <c r="J16" s="1"/>
      <c r="K16" s="1"/>
      <c r="L16" s="1"/>
      <c r="M16" s="1"/>
      <c r="N16" s="1"/>
      <c r="O16" s="1"/>
    </row>
    <row r="17" spans="1:15" x14ac:dyDescent="0.25">
      <c r="A17" s="84"/>
      <c r="B17" s="84"/>
      <c r="C17" s="84"/>
      <c r="D17" s="84"/>
      <c r="E17" s="1"/>
      <c r="F17" s="1"/>
      <c r="G17" s="1"/>
      <c r="H17" s="1"/>
      <c r="I17" s="1"/>
      <c r="J17" s="1"/>
      <c r="K17" s="1"/>
      <c r="L17" s="1"/>
      <c r="M17" s="1"/>
      <c r="N17" s="1"/>
      <c r="O17" s="1"/>
    </row>
    <row r="18" spans="1:15" x14ac:dyDescent="0.25">
      <c r="A18" s="84"/>
      <c r="B18" s="1"/>
      <c r="C18" s="1"/>
      <c r="D18" s="1"/>
      <c r="E18" s="1"/>
      <c r="F18" s="1"/>
      <c r="G18" s="1"/>
      <c r="H18" s="1"/>
      <c r="I18" s="1"/>
      <c r="J18" s="1"/>
      <c r="K18" s="1"/>
      <c r="L18" s="1"/>
      <c r="M18" s="1"/>
      <c r="N18" s="1"/>
      <c r="O18" s="1"/>
    </row>
    <row r="19" spans="1:15" x14ac:dyDescent="0.25">
      <c r="A19" s="84"/>
      <c r="B19" s="1"/>
      <c r="C19" s="1"/>
      <c r="D19" s="1"/>
      <c r="E19" s="1"/>
      <c r="F19" s="1"/>
      <c r="G19" s="1"/>
      <c r="H19" s="1"/>
      <c r="I19" s="1"/>
      <c r="J19" s="1"/>
      <c r="K19" s="1"/>
      <c r="L19" s="1"/>
      <c r="M19" s="1"/>
      <c r="N19" s="1"/>
      <c r="O19" s="1"/>
    </row>
    <row r="20" spans="1:15" x14ac:dyDescent="0.25">
      <c r="A20" s="84"/>
      <c r="B20" s="1"/>
      <c r="C20" s="1"/>
      <c r="D20" s="1"/>
      <c r="E20" s="1"/>
      <c r="F20" s="1"/>
      <c r="G20" s="1"/>
      <c r="H20" s="1"/>
      <c r="I20" s="1"/>
      <c r="J20" s="1"/>
      <c r="K20" s="1"/>
      <c r="L20" s="1"/>
      <c r="M20" s="1"/>
      <c r="N20" s="1"/>
      <c r="O20" s="1"/>
    </row>
    <row r="21" spans="1:15" ht="15.75" customHeight="1" x14ac:dyDescent="0.25">
      <c r="A21" s="84"/>
      <c r="B21" s="1"/>
      <c r="C21" s="1"/>
      <c r="D21" s="1"/>
      <c r="E21" s="1"/>
      <c r="F21" s="1"/>
      <c r="G21" s="1"/>
      <c r="H21" s="1"/>
      <c r="I21" s="1"/>
      <c r="J21" s="1"/>
      <c r="K21" s="1"/>
      <c r="L21" s="1"/>
      <c r="M21" s="1"/>
      <c r="N21" s="1"/>
      <c r="O21" s="1"/>
    </row>
    <row r="22" spans="1:15" ht="15.75" customHeight="1" x14ac:dyDescent="0.25">
      <c r="A22" s="84"/>
      <c r="B22" s="84"/>
      <c r="C22" s="94"/>
      <c r="D22" s="94"/>
      <c r="E22" s="1"/>
      <c r="F22" s="1"/>
      <c r="G22" s="1"/>
      <c r="H22" s="1"/>
      <c r="I22" s="1"/>
      <c r="J22" s="1"/>
      <c r="K22" s="1"/>
      <c r="L22" s="1"/>
      <c r="M22" s="1"/>
      <c r="N22" s="1"/>
      <c r="O22" s="1"/>
    </row>
    <row r="23" spans="1:15" ht="15.75" customHeight="1" x14ac:dyDescent="0.25">
      <c r="A23" s="84"/>
      <c r="B23" s="84"/>
      <c r="C23" s="94"/>
      <c r="D23" s="94"/>
      <c r="E23" s="1"/>
      <c r="F23" s="1"/>
      <c r="G23" s="1"/>
      <c r="H23" s="1"/>
      <c r="I23" s="1"/>
      <c r="J23" s="1"/>
      <c r="K23" s="1"/>
      <c r="L23" s="1"/>
      <c r="M23" s="1"/>
      <c r="N23" s="1"/>
      <c r="O23" s="1"/>
    </row>
    <row r="24" spans="1:15" ht="15.75" customHeight="1" x14ac:dyDescent="0.25">
      <c r="A24" s="84"/>
      <c r="B24" s="84"/>
      <c r="C24" s="94"/>
      <c r="D24" s="94"/>
      <c r="E24" s="1"/>
      <c r="F24" s="1"/>
      <c r="G24" s="1"/>
      <c r="H24" s="1"/>
      <c r="I24" s="1"/>
      <c r="J24" s="1"/>
      <c r="K24" s="1"/>
      <c r="L24" s="1"/>
      <c r="M24" s="1"/>
      <c r="N24" s="1"/>
      <c r="O24" s="1"/>
    </row>
    <row r="25" spans="1:15" ht="15.75" customHeight="1" x14ac:dyDescent="0.25">
      <c r="A25" s="84"/>
      <c r="B25" s="84"/>
      <c r="C25" s="94"/>
      <c r="D25" s="94"/>
      <c r="E25" s="1"/>
      <c r="F25" s="1"/>
      <c r="G25" s="1"/>
      <c r="H25" s="1"/>
      <c r="I25" s="1"/>
      <c r="J25" s="1"/>
      <c r="K25" s="1"/>
      <c r="L25" s="1"/>
      <c r="M25" s="1"/>
      <c r="N25" s="1"/>
      <c r="O25" s="1"/>
    </row>
    <row r="26" spans="1:15" ht="15.75" customHeight="1" x14ac:dyDescent="0.25">
      <c r="A26" s="84"/>
      <c r="B26" s="84"/>
      <c r="C26" s="94"/>
      <c r="D26" s="94"/>
      <c r="E26" s="1"/>
      <c r="F26" s="1"/>
      <c r="G26" s="1"/>
      <c r="H26" s="1"/>
      <c r="I26" s="1"/>
      <c r="J26" s="1"/>
      <c r="K26" s="1"/>
      <c r="L26" s="1"/>
      <c r="M26" s="1"/>
      <c r="N26" s="1"/>
      <c r="O26" s="1"/>
    </row>
    <row r="27" spans="1:15" ht="15.75" customHeight="1" x14ac:dyDescent="0.25">
      <c r="A27" s="84"/>
      <c r="B27" s="84"/>
      <c r="C27" s="94"/>
      <c r="D27" s="94"/>
      <c r="E27" s="1"/>
      <c r="F27" s="1"/>
      <c r="G27" s="1"/>
      <c r="H27" s="1"/>
      <c r="I27" s="1"/>
      <c r="J27" s="1"/>
      <c r="K27" s="1"/>
      <c r="L27" s="1"/>
      <c r="M27" s="1"/>
      <c r="N27" s="1"/>
      <c r="O27" s="1"/>
    </row>
    <row r="28" spans="1:15" ht="15.75" customHeight="1" x14ac:dyDescent="0.25">
      <c r="A28" s="84"/>
      <c r="B28" s="84"/>
      <c r="C28" s="94"/>
      <c r="D28" s="94"/>
      <c r="E28" s="1"/>
      <c r="F28" s="1"/>
      <c r="G28" s="1"/>
      <c r="H28" s="1"/>
      <c r="I28" s="1"/>
      <c r="J28" s="1"/>
      <c r="K28" s="1"/>
      <c r="L28" s="1"/>
      <c r="M28" s="1"/>
      <c r="N28" s="1"/>
      <c r="O28" s="1"/>
    </row>
    <row r="29" spans="1:15" ht="15.75" customHeight="1" x14ac:dyDescent="0.25">
      <c r="A29" s="84"/>
      <c r="B29" s="84"/>
      <c r="C29" s="94"/>
      <c r="D29" s="94"/>
      <c r="E29" s="1"/>
      <c r="F29" s="1"/>
      <c r="G29" s="1"/>
      <c r="H29" s="1"/>
      <c r="I29" s="1"/>
      <c r="J29" s="1"/>
      <c r="K29" s="1"/>
      <c r="L29" s="1"/>
      <c r="M29" s="1"/>
      <c r="N29" s="1"/>
      <c r="O29" s="1"/>
    </row>
    <row r="30" spans="1:15" ht="15.75" customHeight="1" x14ac:dyDescent="0.25">
      <c r="A30" s="84"/>
      <c r="B30" s="84"/>
      <c r="C30" s="94"/>
      <c r="D30" s="94"/>
      <c r="E30" s="1"/>
      <c r="F30" s="1"/>
      <c r="G30" s="1"/>
      <c r="H30" s="1"/>
      <c r="I30" s="1"/>
      <c r="J30" s="1"/>
      <c r="K30" s="1"/>
      <c r="L30" s="1"/>
      <c r="M30" s="1"/>
      <c r="N30" s="1"/>
      <c r="O30" s="1"/>
    </row>
    <row r="31" spans="1:15" ht="15.75" customHeight="1" x14ac:dyDescent="0.25">
      <c r="A31" s="84"/>
      <c r="B31" s="84"/>
      <c r="C31" s="94"/>
      <c r="D31" s="94"/>
      <c r="E31" s="1"/>
      <c r="F31" s="1"/>
      <c r="G31" s="1"/>
      <c r="H31" s="1"/>
      <c r="I31" s="1"/>
      <c r="J31" s="1"/>
      <c r="K31" s="1"/>
      <c r="L31" s="1"/>
      <c r="M31" s="1"/>
      <c r="N31" s="1"/>
      <c r="O31" s="1"/>
    </row>
    <row r="32" spans="1:15" ht="15.75" customHeight="1" x14ac:dyDescent="0.25">
      <c r="A32" s="84"/>
      <c r="B32" s="84"/>
      <c r="C32" s="94"/>
      <c r="D32" s="94"/>
      <c r="E32" s="1"/>
      <c r="F32" s="1"/>
      <c r="G32" s="1"/>
      <c r="H32" s="1"/>
      <c r="I32" s="1"/>
      <c r="J32" s="1"/>
      <c r="K32" s="1"/>
      <c r="L32" s="1"/>
      <c r="M32" s="1"/>
      <c r="N32" s="1"/>
      <c r="O32" s="1"/>
    </row>
    <row r="33" spans="1:15" ht="15.75" customHeight="1" x14ac:dyDescent="0.25">
      <c r="A33" s="84"/>
      <c r="B33" s="84"/>
      <c r="C33" s="94"/>
      <c r="D33" s="94"/>
      <c r="E33" s="1"/>
      <c r="F33" s="1"/>
      <c r="G33" s="1"/>
      <c r="H33" s="1"/>
      <c r="I33" s="1"/>
      <c r="J33" s="1"/>
      <c r="K33" s="1"/>
      <c r="L33" s="1"/>
      <c r="M33" s="1"/>
      <c r="N33" s="1"/>
      <c r="O33" s="1"/>
    </row>
    <row r="34" spans="1:15" ht="15.75" customHeight="1" x14ac:dyDescent="0.25">
      <c r="A34" s="84"/>
      <c r="B34" s="84"/>
      <c r="C34" s="94"/>
      <c r="D34" s="94"/>
      <c r="E34" s="1"/>
      <c r="F34" s="1"/>
      <c r="G34" s="1"/>
      <c r="H34" s="1"/>
      <c r="I34" s="1"/>
      <c r="J34" s="1"/>
      <c r="K34" s="1"/>
      <c r="L34" s="1"/>
      <c r="M34" s="1"/>
      <c r="N34" s="1"/>
      <c r="O34" s="1"/>
    </row>
    <row r="35" spans="1:15" ht="15.75" customHeight="1" x14ac:dyDescent="0.25">
      <c r="A35" s="84"/>
      <c r="B35" s="84"/>
      <c r="C35" s="94"/>
      <c r="D35" s="94"/>
      <c r="E35" s="1"/>
      <c r="F35" s="1"/>
      <c r="G35" s="1"/>
      <c r="H35" s="1"/>
      <c r="I35" s="1"/>
      <c r="J35" s="1"/>
      <c r="K35" s="1"/>
      <c r="L35" s="1"/>
      <c r="M35" s="1"/>
      <c r="N35" s="1"/>
      <c r="O35" s="1"/>
    </row>
    <row r="36" spans="1:15" ht="15.75" customHeight="1" x14ac:dyDescent="0.25">
      <c r="A36" s="84"/>
      <c r="B36" s="84"/>
      <c r="C36" s="94"/>
      <c r="D36" s="94"/>
      <c r="E36" s="1"/>
      <c r="F36" s="1"/>
      <c r="G36" s="1"/>
      <c r="H36" s="1"/>
      <c r="I36" s="1"/>
      <c r="J36" s="1"/>
      <c r="K36" s="1"/>
      <c r="L36" s="1"/>
      <c r="M36" s="1"/>
      <c r="N36" s="1"/>
      <c r="O36" s="1"/>
    </row>
    <row r="37" spans="1:15" ht="15.75" customHeight="1" x14ac:dyDescent="0.25">
      <c r="A37" s="84"/>
      <c r="B37" s="84"/>
      <c r="C37" s="94"/>
      <c r="D37" s="94"/>
      <c r="E37" s="1"/>
      <c r="F37" s="1"/>
      <c r="G37" s="1"/>
      <c r="H37" s="1"/>
      <c r="I37" s="1"/>
      <c r="J37" s="1"/>
      <c r="K37" s="1"/>
      <c r="L37" s="1"/>
      <c r="M37" s="1"/>
      <c r="N37" s="1"/>
      <c r="O37" s="1"/>
    </row>
    <row r="38" spans="1:15" ht="15.75" customHeight="1" x14ac:dyDescent="0.25">
      <c r="A38" s="84"/>
      <c r="B38" s="84"/>
      <c r="C38" s="94"/>
      <c r="D38" s="94"/>
      <c r="E38" s="1"/>
      <c r="F38" s="1"/>
      <c r="G38" s="1"/>
      <c r="H38" s="1"/>
      <c r="I38" s="1"/>
      <c r="J38" s="1"/>
      <c r="K38" s="1"/>
      <c r="L38" s="1"/>
      <c r="M38" s="1"/>
      <c r="N38" s="1"/>
      <c r="O38" s="1"/>
    </row>
    <row r="39" spans="1:15" ht="15.75" customHeight="1" x14ac:dyDescent="0.25">
      <c r="A39" s="84"/>
      <c r="B39" s="84"/>
      <c r="C39" s="94"/>
      <c r="D39" s="94"/>
      <c r="E39" s="1"/>
      <c r="F39" s="1"/>
      <c r="G39" s="1"/>
      <c r="H39" s="1"/>
      <c r="I39" s="1"/>
      <c r="J39" s="1"/>
      <c r="K39" s="1"/>
      <c r="L39" s="1"/>
      <c r="M39" s="1"/>
      <c r="N39" s="1"/>
      <c r="O39" s="1"/>
    </row>
    <row r="40" spans="1:15" ht="15.75" customHeight="1" x14ac:dyDescent="0.25">
      <c r="A40" s="84"/>
      <c r="B40" s="84"/>
      <c r="C40" s="94"/>
      <c r="D40" s="94"/>
      <c r="E40" s="1"/>
      <c r="F40" s="1"/>
      <c r="G40" s="1"/>
      <c r="H40" s="1"/>
      <c r="I40" s="1"/>
      <c r="J40" s="1"/>
      <c r="K40" s="1"/>
      <c r="L40" s="1"/>
      <c r="M40" s="1"/>
      <c r="N40" s="1"/>
      <c r="O40" s="1"/>
    </row>
    <row r="41" spans="1:15" ht="15.75" customHeight="1" x14ac:dyDescent="0.25">
      <c r="A41" s="84"/>
      <c r="B41" s="84"/>
      <c r="C41" s="94"/>
      <c r="D41" s="94"/>
      <c r="E41" s="1"/>
      <c r="F41" s="1"/>
      <c r="G41" s="1"/>
      <c r="H41" s="1"/>
      <c r="I41" s="1"/>
      <c r="J41" s="1"/>
      <c r="K41" s="1"/>
      <c r="L41" s="1"/>
      <c r="M41" s="1"/>
      <c r="N41" s="1"/>
      <c r="O41" s="1"/>
    </row>
    <row r="42" spans="1:15" ht="15.75" customHeight="1" x14ac:dyDescent="0.25">
      <c r="A42" s="84"/>
      <c r="B42" s="84"/>
      <c r="C42" s="94"/>
      <c r="D42" s="94"/>
      <c r="E42" s="1"/>
      <c r="F42" s="1"/>
      <c r="G42" s="1"/>
      <c r="H42" s="1"/>
      <c r="I42" s="1"/>
      <c r="J42" s="1"/>
      <c r="K42" s="1"/>
      <c r="L42" s="1"/>
      <c r="M42" s="1"/>
      <c r="N42" s="1"/>
      <c r="O42" s="1"/>
    </row>
    <row r="43" spans="1:15" ht="15.75" customHeight="1" x14ac:dyDescent="0.25">
      <c r="A43" s="84"/>
      <c r="B43" s="84"/>
      <c r="C43" s="94"/>
      <c r="D43" s="94"/>
      <c r="E43" s="1"/>
      <c r="F43" s="1"/>
      <c r="G43" s="1"/>
      <c r="H43" s="1"/>
      <c r="I43" s="1"/>
      <c r="J43" s="1"/>
      <c r="K43" s="1"/>
      <c r="L43" s="1"/>
      <c r="M43" s="1"/>
      <c r="N43" s="1"/>
      <c r="O43" s="1"/>
    </row>
    <row r="44" spans="1:15" ht="15.75" customHeight="1" x14ac:dyDescent="0.25">
      <c r="A44" s="84"/>
      <c r="B44" s="84"/>
      <c r="C44" s="94"/>
      <c r="D44" s="94"/>
      <c r="E44" s="1"/>
      <c r="F44" s="1"/>
      <c r="G44" s="1"/>
      <c r="H44" s="1"/>
      <c r="I44" s="1"/>
      <c r="J44" s="1"/>
      <c r="K44" s="1"/>
      <c r="L44" s="1"/>
      <c r="M44" s="1"/>
      <c r="N44" s="1"/>
      <c r="O44" s="1"/>
    </row>
    <row r="45" spans="1:15" ht="15.75" customHeight="1" x14ac:dyDescent="0.25">
      <c r="A45" s="84"/>
      <c r="B45" s="84"/>
      <c r="C45" s="94"/>
      <c r="D45" s="94"/>
      <c r="E45" s="1"/>
      <c r="F45" s="1"/>
      <c r="G45" s="1"/>
      <c r="H45" s="1"/>
      <c r="I45" s="1"/>
      <c r="J45" s="1"/>
      <c r="K45" s="1"/>
      <c r="L45" s="1"/>
      <c r="M45" s="1"/>
      <c r="N45" s="1"/>
      <c r="O45" s="1"/>
    </row>
    <row r="46" spans="1:15" ht="15.75" customHeight="1" x14ac:dyDescent="0.25">
      <c r="A46" s="84"/>
      <c r="B46" s="84"/>
      <c r="C46" s="94"/>
      <c r="D46" s="94"/>
      <c r="E46" s="1"/>
      <c r="F46" s="1"/>
      <c r="G46" s="1"/>
      <c r="H46" s="1"/>
      <c r="I46" s="1"/>
      <c r="J46" s="1"/>
      <c r="K46" s="1"/>
      <c r="L46" s="1"/>
      <c r="M46" s="1"/>
      <c r="N46" s="1"/>
      <c r="O46" s="1"/>
    </row>
    <row r="47" spans="1:15" ht="15.75" customHeight="1" x14ac:dyDescent="0.25">
      <c r="A47" s="84"/>
      <c r="B47" s="84"/>
      <c r="C47" s="94"/>
      <c r="D47" s="94"/>
      <c r="E47" s="1"/>
      <c r="F47" s="1"/>
      <c r="G47" s="1"/>
      <c r="H47" s="1"/>
      <c r="I47" s="1"/>
      <c r="J47" s="1"/>
      <c r="K47" s="1"/>
      <c r="L47" s="1"/>
      <c r="M47" s="1"/>
      <c r="N47" s="1"/>
      <c r="O47" s="1"/>
    </row>
    <row r="48" spans="1:15" ht="15.75" customHeight="1" x14ac:dyDescent="0.25">
      <c r="A48" s="84"/>
      <c r="B48" s="84"/>
      <c r="C48" s="94"/>
      <c r="D48" s="94"/>
      <c r="E48" s="1"/>
      <c r="F48" s="1"/>
      <c r="G48" s="1"/>
      <c r="H48" s="1"/>
      <c r="I48" s="1"/>
      <c r="J48" s="1"/>
      <c r="K48" s="1"/>
      <c r="L48" s="1"/>
      <c r="M48" s="1"/>
      <c r="N48" s="1"/>
      <c r="O48" s="1"/>
    </row>
    <row r="49" spans="1:15" ht="15.75" customHeight="1" x14ac:dyDescent="0.25">
      <c r="A49" s="84"/>
      <c r="B49" s="84"/>
      <c r="C49" s="94"/>
      <c r="D49" s="94"/>
      <c r="E49" s="1"/>
      <c r="F49" s="1"/>
      <c r="G49" s="1"/>
      <c r="H49" s="1"/>
      <c r="I49" s="1"/>
      <c r="J49" s="1"/>
      <c r="K49" s="1"/>
      <c r="L49" s="1"/>
      <c r="M49" s="1"/>
      <c r="N49" s="1"/>
      <c r="O49" s="1"/>
    </row>
    <row r="50" spans="1:15" ht="15.75" customHeight="1" x14ac:dyDescent="0.25">
      <c r="A50" s="84"/>
      <c r="B50" s="84"/>
      <c r="C50" s="94"/>
      <c r="D50" s="94"/>
      <c r="E50" s="1"/>
      <c r="F50" s="1"/>
      <c r="G50" s="1"/>
      <c r="H50" s="1"/>
      <c r="I50" s="1"/>
      <c r="J50" s="1"/>
      <c r="K50" s="1"/>
      <c r="L50" s="1"/>
      <c r="M50" s="1"/>
      <c r="N50" s="1"/>
      <c r="O50" s="1"/>
    </row>
    <row r="51" spans="1:15" ht="15.75" customHeight="1" x14ac:dyDescent="0.25">
      <c r="A51" s="84"/>
      <c r="B51" s="84"/>
      <c r="C51" s="94"/>
      <c r="D51" s="94"/>
      <c r="E51" s="1"/>
      <c r="F51" s="1"/>
      <c r="G51" s="1"/>
      <c r="H51" s="1"/>
      <c r="I51" s="1"/>
      <c r="J51" s="1"/>
      <c r="K51" s="1"/>
      <c r="L51" s="1"/>
      <c r="M51" s="1"/>
      <c r="N51" s="1"/>
      <c r="O51" s="1"/>
    </row>
    <row r="52" spans="1:15" ht="15.75" customHeight="1" x14ac:dyDescent="0.25">
      <c r="A52" s="84"/>
      <c r="B52" s="96"/>
      <c r="C52" s="97"/>
      <c r="D52" s="97"/>
    </row>
    <row r="53" spans="1:15" ht="15.75" customHeight="1" x14ac:dyDescent="0.25">
      <c r="A53" s="84"/>
      <c r="B53" s="96"/>
      <c r="C53" s="97"/>
      <c r="D53" s="97"/>
    </row>
    <row r="54" spans="1:15" ht="15.75" customHeight="1" x14ac:dyDescent="0.25">
      <c r="A54" s="84"/>
      <c r="B54" s="96"/>
      <c r="C54" s="97"/>
      <c r="D54" s="97"/>
    </row>
    <row r="55" spans="1:15" ht="15.75" customHeight="1" x14ac:dyDescent="0.25">
      <c r="A55" s="84"/>
      <c r="B55" s="96"/>
      <c r="C55" s="97"/>
      <c r="D55" s="97"/>
    </row>
    <row r="56" spans="1:15" ht="15.75" customHeight="1" x14ac:dyDescent="0.25">
      <c r="A56" s="84"/>
      <c r="B56" s="96"/>
      <c r="C56" s="97"/>
      <c r="D56" s="97"/>
    </row>
    <row r="57" spans="1:15" ht="15.75" customHeight="1" x14ac:dyDescent="0.25">
      <c r="A57" s="84"/>
      <c r="B57" s="96"/>
      <c r="C57" s="97"/>
      <c r="D57" s="97"/>
    </row>
    <row r="58" spans="1:15" ht="15.75" customHeight="1" x14ac:dyDescent="0.25">
      <c r="A58" s="84"/>
      <c r="B58" s="96"/>
      <c r="C58" s="97"/>
      <c r="D58" s="97"/>
    </row>
    <row r="59" spans="1:15" ht="15.75" customHeight="1" x14ac:dyDescent="0.25">
      <c r="A59" s="84"/>
      <c r="B59" s="96"/>
      <c r="C59" s="97"/>
      <c r="D59" s="97"/>
    </row>
    <row r="60" spans="1:15" ht="15.75" customHeight="1" x14ac:dyDescent="0.25">
      <c r="A60" s="84"/>
      <c r="B60" s="96"/>
      <c r="C60" s="97"/>
      <c r="D60" s="97"/>
    </row>
    <row r="61" spans="1:15" ht="15.75" customHeight="1" x14ac:dyDescent="0.25">
      <c r="A61" s="84"/>
      <c r="B61" s="96"/>
      <c r="C61" s="97"/>
      <c r="D61" s="97"/>
    </row>
    <row r="62" spans="1:15" ht="15.75" customHeight="1" x14ac:dyDescent="0.25">
      <c r="A62" s="84"/>
      <c r="B62" s="96"/>
      <c r="C62" s="97"/>
      <c r="D62" s="97"/>
    </row>
    <row r="63" spans="1:15" ht="15.75" customHeight="1" x14ac:dyDescent="0.25">
      <c r="A63" s="84"/>
      <c r="B63" s="96"/>
      <c r="C63" s="97"/>
      <c r="D63" s="97"/>
    </row>
    <row r="64" spans="1:15" ht="15.75" customHeight="1" x14ac:dyDescent="0.25">
      <c r="A64" s="84"/>
      <c r="B64" s="96"/>
      <c r="C64" s="97"/>
      <c r="D64" s="97"/>
    </row>
    <row r="65" spans="1:4" ht="15.75" customHeight="1" x14ac:dyDescent="0.25">
      <c r="A65" s="84"/>
      <c r="B65" s="96"/>
      <c r="C65" s="97"/>
      <c r="D65" s="97"/>
    </row>
    <row r="66" spans="1:4" ht="15.75" customHeight="1" x14ac:dyDescent="0.25">
      <c r="A66" s="84"/>
      <c r="B66" s="96"/>
      <c r="C66" s="97"/>
      <c r="D66" s="97"/>
    </row>
    <row r="67" spans="1:4" ht="15.75" customHeight="1" x14ac:dyDescent="0.25">
      <c r="A67" s="84"/>
      <c r="B67" s="96"/>
      <c r="C67" s="97"/>
      <c r="D67" s="97"/>
    </row>
    <row r="68" spans="1:4" ht="15.75" customHeight="1" x14ac:dyDescent="0.25">
      <c r="A68" s="84"/>
      <c r="B68" s="96"/>
      <c r="C68" s="97"/>
      <c r="D68" s="97"/>
    </row>
    <row r="69" spans="1:4" ht="15.75" customHeight="1" x14ac:dyDescent="0.25">
      <c r="A69" s="84"/>
      <c r="B69" s="96"/>
      <c r="C69" s="97"/>
      <c r="D69" s="97"/>
    </row>
    <row r="70" spans="1:4" ht="15.75" customHeight="1" x14ac:dyDescent="0.25">
      <c r="A70" s="84"/>
      <c r="B70" s="96"/>
      <c r="C70" s="97"/>
      <c r="D70" s="97"/>
    </row>
    <row r="71" spans="1:4" ht="15.75" customHeight="1" x14ac:dyDescent="0.25">
      <c r="A71" s="84"/>
      <c r="B71" s="96"/>
      <c r="C71" s="97"/>
      <c r="D71" s="97"/>
    </row>
    <row r="72" spans="1:4" ht="15.75" customHeight="1" x14ac:dyDescent="0.25">
      <c r="A72" s="84"/>
      <c r="B72" s="96"/>
      <c r="C72" s="97"/>
      <c r="D72" s="97"/>
    </row>
    <row r="73" spans="1:4" ht="15.75" customHeight="1" x14ac:dyDescent="0.25">
      <c r="A73" s="84"/>
      <c r="B73" s="96"/>
      <c r="C73" s="97"/>
      <c r="D73" s="97"/>
    </row>
    <row r="74" spans="1:4" ht="15.75" customHeight="1" x14ac:dyDescent="0.25">
      <c r="A74" s="84"/>
      <c r="B74" s="96"/>
      <c r="C74" s="97"/>
      <c r="D74" s="97"/>
    </row>
    <row r="75" spans="1:4" ht="15.75" customHeight="1" x14ac:dyDescent="0.25">
      <c r="A75" s="84"/>
      <c r="B75" s="96"/>
      <c r="C75" s="97"/>
      <c r="D75" s="97"/>
    </row>
    <row r="76" spans="1:4" ht="15.75" customHeight="1" x14ac:dyDescent="0.25">
      <c r="A76" s="84"/>
      <c r="B76" s="96"/>
      <c r="C76" s="97"/>
      <c r="D76" s="97"/>
    </row>
    <row r="77" spans="1:4" ht="15.75" customHeight="1" x14ac:dyDescent="0.25">
      <c r="A77" s="84"/>
      <c r="B77" s="96"/>
      <c r="C77" s="97"/>
      <c r="D77" s="97"/>
    </row>
    <row r="78" spans="1:4" ht="15.75" customHeight="1" x14ac:dyDescent="0.25">
      <c r="A78" s="84"/>
      <c r="B78" s="96"/>
      <c r="C78" s="97"/>
      <c r="D78" s="97"/>
    </row>
    <row r="79" spans="1:4" ht="15.75" customHeight="1" x14ac:dyDescent="0.25">
      <c r="A79" s="84"/>
      <c r="B79" s="96"/>
      <c r="C79" s="97"/>
      <c r="D79" s="97"/>
    </row>
    <row r="80" spans="1:4" ht="15.75" customHeight="1" x14ac:dyDescent="0.25">
      <c r="A80" s="84"/>
      <c r="B80" s="96"/>
      <c r="C80" s="97"/>
      <c r="D80" s="97"/>
    </row>
    <row r="81" spans="1:4" ht="15.75" customHeight="1" x14ac:dyDescent="0.25">
      <c r="A81" s="84"/>
      <c r="B81" s="96"/>
      <c r="C81" s="97"/>
      <c r="D81" s="97"/>
    </row>
    <row r="82" spans="1:4" ht="15.75" customHeight="1" x14ac:dyDescent="0.25">
      <c r="A82" s="84"/>
      <c r="B82" s="96"/>
      <c r="C82" s="97"/>
      <c r="D82" s="97"/>
    </row>
    <row r="83" spans="1:4" ht="15.75" customHeight="1" x14ac:dyDescent="0.25">
      <c r="A83" s="84"/>
      <c r="B83" s="96"/>
      <c r="C83" s="97"/>
      <c r="D83" s="97"/>
    </row>
    <row r="84" spans="1:4" ht="15.75" customHeight="1" x14ac:dyDescent="0.25">
      <c r="A84" s="84"/>
      <c r="B84" s="96"/>
      <c r="C84" s="97"/>
      <c r="D84" s="97"/>
    </row>
    <row r="85" spans="1:4" ht="15.75" customHeight="1" x14ac:dyDescent="0.25">
      <c r="A85" s="84"/>
      <c r="B85" s="96"/>
      <c r="C85" s="97"/>
      <c r="D85" s="97"/>
    </row>
    <row r="86" spans="1:4" ht="15.75" customHeight="1" x14ac:dyDescent="0.25">
      <c r="A86" s="84"/>
      <c r="B86" s="96"/>
      <c r="C86" s="97"/>
      <c r="D86" s="97"/>
    </row>
    <row r="87" spans="1:4" ht="15.75" customHeight="1" x14ac:dyDescent="0.25">
      <c r="A87" s="84"/>
      <c r="B87" s="96"/>
      <c r="C87" s="97"/>
      <c r="D87" s="97"/>
    </row>
    <row r="88" spans="1:4" ht="15.75" customHeight="1" x14ac:dyDescent="0.25">
      <c r="A88" s="84"/>
      <c r="B88" s="96"/>
      <c r="C88" s="97"/>
      <c r="D88" s="97"/>
    </row>
    <row r="89" spans="1:4" ht="15.75" customHeight="1" x14ac:dyDescent="0.25">
      <c r="A89" s="84"/>
      <c r="B89" s="96"/>
      <c r="C89" s="97"/>
      <c r="D89" s="97"/>
    </row>
    <row r="90" spans="1:4" ht="15.75" customHeight="1" x14ac:dyDescent="0.25">
      <c r="A90" s="84"/>
      <c r="B90" s="96"/>
      <c r="C90" s="97"/>
      <c r="D90" s="97"/>
    </row>
    <row r="91" spans="1:4" ht="15.75" customHeight="1" x14ac:dyDescent="0.25">
      <c r="A91" s="84"/>
      <c r="B91" s="96"/>
      <c r="C91" s="97"/>
      <c r="D91" s="97"/>
    </row>
    <row r="92" spans="1:4" ht="15.75" customHeight="1" x14ac:dyDescent="0.25">
      <c r="A92" s="84"/>
      <c r="B92" s="96"/>
      <c r="C92" s="97"/>
      <c r="D92" s="97"/>
    </row>
    <row r="93" spans="1:4" ht="15.75" customHeight="1" x14ac:dyDescent="0.25">
      <c r="A93" s="84"/>
      <c r="B93" s="96"/>
      <c r="C93" s="97"/>
      <c r="D93" s="97"/>
    </row>
    <row r="94" spans="1:4" ht="15.75" customHeight="1" x14ac:dyDescent="0.25">
      <c r="A94" s="84"/>
      <c r="B94" s="96"/>
      <c r="C94" s="97"/>
      <c r="D94" s="97"/>
    </row>
    <row r="95" spans="1:4" ht="15.75" customHeight="1" x14ac:dyDescent="0.25">
      <c r="A95" s="84"/>
      <c r="B95" s="96"/>
      <c r="C95" s="97"/>
      <c r="D95" s="97"/>
    </row>
    <row r="96" spans="1:4" ht="15.75" customHeight="1" x14ac:dyDescent="0.25">
      <c r="A96" s="84"/>
      <c r="B96" s="96"/>
      <c r="C96" s="97"/>
      <c r="D96" s="97"/>
    </row>
    <row r="97" spans="1:4" ht="15.75" customHeight="1" x14ac:dyDescent="0.25">
      <c r="A97" s="84"/>
      <c r="B97" s="96"/>
      <c r="C97" s="97"/>
      <c r="D97" s="97"/>
    </row>
    <row r="98" spans="1:4" ht="15.75" customHeight="1" x14ac:dyDescent="0.25">
      <c r="A98" s="84"/>
      <c r="B98" s="96"/>
      <c r="C98" s="97"/>
      <c r="D98" s="97"/>
    </row>
    <row r="99" spans="1:4" ht="15.75" customHeight="1" x14ac:dyDescent="0.25">
      <c r="A99" s="84"/>
      <c r="B99" s="96"/>
      <c r="C99" s="97"/>
      <c r="D99" s="97"/>
    </row>
    <row r="100" spans="1:4" ht="15.75" customHeight="1" x14ac:dyDescent="0.25">
      <c r="A100" s="84"/>
      <c r="B100" s="96"/>
      <c r="C100" s="97"/>
      <c r="D100" s="97"/>
    </row>
    <row r="101" spans="1:4" ht="15.75" customHeight="1" x14ac:dyDescent="0.25">
      <c r="A101" s="84"/>
      <c r="B101" s="96"/>
      <c r="C101" s="97"/>
      <c r="D101" s="97"/>
    </row>
    <row r="102" spans="1:4" ht="15.75" customHeight="1" x14ac:dyDescent="0.25">
      <c r="A102" s="84"/>
      <c r="B102" s="96"/>
      <c r="C102" s="97"/>
      <c r="D102" s="97"/>
    </row>
    <row r="103" spans="1:4" ht="15.75" customHeight="1" x14ac:dyDescent="0.25">
      <c r="A103" s="84"/>
      <c r="B103" s="96"/>
      <c r="C103" s="97"/>
      <c r="D103" s="97"/>
    </row>
    <row r="104" spans="1:4" ht="15.75" customHeight="1" x14ac:dyDescent="0.25">
      <c r="A104" s="84"/>
      <c r="B104" s="96"/>
      <c r="C104" s="97"/>
      <c r="D104" s="97"/>
    </row>
    <row r="105" spans="1:4" ht="15.75" customHeight="1" x14ac:dyDescent="0.25">
      <c r="A105" s="84"/>
      <c r="B105" s="96"/>
      <c r="C105" s="97"/>
      <c r="D105" s="97"/>
    </row>
    <row r="106" spans="1:4" ht="15.75" customHeight="1" x14ac:dyDescent="0.25">
      <c r="A106" s="84"/>
      <c r="B106" s="96"/>
      <c r="C106" s="97"/>
      <c r="D106" s="97"/>
    </row>
    <row r="107" spans="1:4" ht="15.75" customHeight="1" x14ac:dyDescent="0.25">
      <c r="A107" s="84"/>
      <c r="B107" s="96"/>
      <c r="C107" s="97"/>
      <c r="D107" s="97"/>
    </row>
    <row r="108" spans="1:4" ht="15.75" customHeight="1" x14ac:dyDescent="0.25">
      <c r="A108" s="84"/>
      <c r="B108" s="96"/>
      <c r="C108" s="97"/>
      <c r="D108" s="97"/>
    </row>
    <row r="109" spans="1:4" ht="15.75" customHeight="1" x14ac:dyDescent="0.25">
      <c r="A109" s="84"/>
      <c r="B109" s="96"/>
      <c r="C109" s="97"/>
      <c r="D109" s="97"/>
    </row>
    <row r="110" spans="1:4" ht="15.75" customHeight="1" x14ac:dyDescent="0.25">
      <c r="A110" s="84"/>
      <c r="B110" s="96"/>
      <c r="C110" s="97"/>
      <c r="D110" s="97"/>
    </row>
    <row r="111" spans="1:4" ht="15.75" customHeight="1" x14ac:dyDescent="0.25">
      <c r="A111" s="84"/>
      <c r="B111" s="96"/>
      <c r="C111" s="97"/>
      <c r="D111" s="97"/>
    </row>
    <row r="112" spans="1:4" ht="15.75" customHeight="1" x14ac:dyDescent="0.25">
      <c r="A112" s="84"/>
      <c r="B112" s="96"/>
      <c r="C112" s="97"/>
      <c r="D112" s="97"/>
    </row>
    <row r="113" spans="1:4" ht="15.75" customHeight="1" x14ac:dyDescent="0.25">
      <c r="A113" s="84"/>
      <c r="B113" s="96"/>
      <c r="C113" s="97"/>
      <c r="D113" s="97"/>
    </row>
    <row r="114" spans="1:4" ht="15.75" customHeight="1" x14ac:dyDescent="0.25">
      <c r="A114" s="84"/>
      <c r="B114" s="96"/>
      <c r="C114" s="97"/>
      <c r="D114" s="97"/>
    </row>
    <row r="115" spans="1:4" ht="15.75" customHeight="1" x14ac:dyDescent="0.25">
      <c r="A115" s="84"/>
      <c r="B115" s="96"/>
      <c r="C115" s="97"/>
      <c r="D115" s="97"/>
    </row>
    <row r="116" spans="1:4" ht="15.75" customHeight="1" x14ac:dyDescent="0.25">
      <c r="A116" s="84"/>
      <c r="B116" s="96"/>
      <c r="C116" s="97"/>
      <c r="D116" s="97"/>
    </row>
    <row r="117" spans="1:4" ht="15.75" customHeight="1" x14ac:dyDescent="0.25">
      <c r="A117" s="84"/>
      <c r="B117" s="96"/>
      <c r="C117" s="97"/>
      <c r="D117" s="97"/>
    </row>
    <row r="118" spans="1:4" ht="15.75" customHeight="1" x14ac:dyDescent="0.25">
      <c r="A118" s="84"/>
      <c r="B118" s="96"/>
      <c r="C118" s="97"/>
      <c r="D118" s="97"/>
    </row>
    <row r="119" spans="1:4" ht="15.75" customHeight="1" x14ac:dyDescent="0.25">
      <c r="A119" s="84"/>
      <c r="B119" s="96"/>
      <c r="C119" s="97"/>
      <c r="D119" s="97"/>
    </row>
    <row r="120" spans="1:4" ht="15.75" customHeight="1" x14ac:dyDescent="0.25">
      <c r="A120" s="84"/>
      <c r="B120" s="96"/>
      <c r="C120" s="97"/>
      <c r="D120" s="97"/>
    </row>
    <row r="121" spans="1:4" ht="15.75" customHeight="1" x14ac:dyDescent="0.25">
      <c r="A121" s="84"/>
      <c r="B121" s="96"/>
      <c r="C121" s="97"/>
      <c r="D121" s="97"/>
    </row>
    <row r="122" spans="1:4" ht="15.75" customHeight="1" x14ac:dyDescent="0.25">
      <c r="A122" s="84"/>
      <c r="B122" s="96"/>
      <c r="C122" s="97"/>
      <c r="D122" s="97"/>
    </row>
    <row r="123" spans="1:4" ht="15.75" customHeight="1" x14ac:dyDescent="0.25">
      <c r="A123" s="84"/>
      <c r="B123" s="96"/>
      <c r="C123" s="97"/>
      <c r="D123" s="97"/>
    </row>
    <row r="124" spans="1:4" ht="15.75" customHeight="1" x14ac:dyDescent="0.25">
      <c r="A124" s="84"/>
      <c r="B124" s="96"/>
      <c r="C124" s="97"/>
      <c r="D124" s="97"/>
    </row>
    <row r="125" spans="1:4" ht="15.75" customHeight="1" x14ac:dyDescent="0.25">
      <c r="A125" s="84"/>
      <c r="B125" s="96"/>
      <c r="C125" s="97"/>
      <c r="D125" s="97"/>
    </row>
    <row r="126" spans="1:4" ht="15.75" customHeight="1" x14ac:dyDescent="0.25">
      <c r="A126" s="84"/>
      <c r="B126" s="96"/>
      <c r="C126" s="97"/>
      <c r="D126" s="97"/>
    </row>
    <row r="127" spans="1:4" ht="15.75" customHeight="1" x14ac:dyDescent="0.25">
      <c r="A127" s="84"/>
      <c r="B127" s="96"/>
      <c r="C127" s="97"/>
      <c r="D127" s="97"/>
    </row>
    <row r="128" spans="1:4" ht="15.75" customHeight="1" x14ac:dyDescent="0.25">
      <c r="A128" s="84"/>
      <c r="B128" s="96"/>
      <c r="C128" s="97"/>
      <c r="D128" s="97"/>
    </row>
    <row r="129" spans="1:4" ht="15.75" customHeight="1" x14ac:dyDescent="0.25">
      <c r="A129" s="84"/>
      <c r="B129" s="96"/>
      <c r="C129" s="97"/>
      <c r="D129" s="97"/>
    </row>
    <row r="130" spans="1:4" ht="15.75" customHeight="1" x14ac:dyDescent="0.25">
      <c r="A130" s="84"/>
      <c r="B130" s="96"/>
      <c r="C130" s="97"/>
      <c r="D130" s="97"/>
    </row>
    <row r="131" spans="1:4" ht="15.75" customHeight="1" x14ac:dyDescent="0.25">
      <c r="A131" s="84"/>
      <c r="B131" s="96"/>
      <c r="C131" s="97"/>
      <c r="D131" s="97"/>
    </row>
    <row r="132" spans="1:4" ht="15.75" customHeight="1" x14ac:dyDescent="0.25">
      <c r="A132" s="84"/>
      <c r="B132" s="96"/>
      <c r="C132" s="97"/>
      <c r="D132" s="97"/>
    </row>
    <row r="133" spans="1:4" ht="15.75" customHeight="1" x14ac:dyDescent="0.25">
      <c r="A133" s="84"/>
      <c r="B133" s="96"/>
      <c r="C133" s="97"/>
      <c r="D133" s="97"/>
    </row>
    <row r="134" spans="1:4" ht="15.75" customHeight="1" x14ac:dyDescent="0.25">
      <c r="A134" s="84"/>
      <c r="B134" s="96"/>
      <c r="C134" s="97"/>
      <c r="D134" s="97"/>
    </row>
    <row r="135" spans="1:4" ht="15.75" customHeight="1" x14ac:dyDescent="0.25">
      <c r="A135" s="84"/>
      <c r="B135" s="96"/>
      <c r="C135" s="97"/>
      <c r="D135" s="97"/>
    </row>
    <row r="136" spans="1:4" ht="15.75" customHeight="1" x14ac:dyDescent="0.25">
      <c r="A136" s="84"/>
      <c r="B136" s="96"/>
      <c r="C136" s="97"/>
      <c r="D136" s="97"/>
    </row>
    <row r="137" spans="1:4" ht="15.75" customHeight="1" x14ac:dyDescent="0.25">
      <c r="A137" s="84"/>
      <c r="B137" s="96"/>
      <c r="C137" s="97"/>
      <c r="D137" s="97"/>
    </row>
    <row r="138" spans="1:4" ht="15.75" customHeight="1" x14ac:dyDescent="0.25">
      <c r="A138" s="84"/>
      <c r="B138" s="96"/>
      <c r="C138" s="97"/>
      <c r="D138" s="97"/>
    </row>
    <row r="139" spans="1:4" ht="15.75" customHeight="1" x14ac:dyDescent="0.25">
      <c r="A139" s="84"/>
      <c r="B139" s="96"/>
      <c r="C139" s="97"/>
      <c r="D139" s="97"/>
    </row>
    <row r="140" spans="1:4" ht="15.75" customHeight="1" x14ac:dyDescent="0.25">
      <c r="A140" s="84"/>
      <c r="B140" s="96"/>
      <c r="C140" s="97"/>
      <c r="D140" s="97"/>
    </row>
    <row r="141" spans="1:4" ht="15.75" customHeight="1" x14ac:dyDescent="0.25">
      <c r="A141" s="84"/>
      <c r="B141" s="96"/>
      <c r="C141" s="97"/>
      <c r="D141" s="97"/>
    </row>
    <row r="142" spans="1:4" ht="15.75" customHeight="1" x14ac:dyDescent="0.25">
      <c r="A142" s="84"/>
      <c r="B142" s="96"/>
      <c r="C142" s="97"/>
      <c r="D142" s="97"/>
    </row>
    <row r="143" spans="1:4" ht="15.75" customHeight="1" x14ac:dyDescent="0.25">
      <c r="A143" s="84"/>
      <c r="B143" s="96"/>
      <c r="C143" s="97"/>
      <c r="D143" s="97"/>
    </row>
    <row r="144" spans="1:4" ht="15.75" customHeight="1" x14ac:dyDescent="0.25">
      <c r="A144" s="84"/>
      <c r="B144" s="96"/>
      <c r="C144" s="97"/>
      <c r="D144" s="97"/>
    </row>
    <row r="145" spans="1:4" ht="15.75" customHeight="1" x14ac:dyDescent="0.25">
      <c r="A145" s="84"/>
      <c r="B145" s="96"/>
      <c r="C145" s="97"/>
      <c r="D145" s="97"/>
    </row>
    <row r="146" spans="1:4" ht="15.75" customHeight="1" x14ac:dyDescent="0.25">
      <c r="A146" s="84"/>
      <c r="B146" s="96"/>
      <c r="C146" s="97"/>
      <c r="D146" s="97"/>
    </row>
    <row r="147" spans="1:4" ht="15.75" customHeight="1" x14ac:dyDescent="0.25">
      <c r="A147" s="84"/>
      <c r="B147" s="96"/>
      <c r="C147" s="97"/>
      <c r="D147" s="97"/>
    </row>
    <row r="148" spans="1:4" ht="15.75" customHeight="1" x14ac:dyDescent="0.25">
      <c r="A148" s="84"/>
      <c r="B148" s="96"/>
      <c r="C148" s="97"/>
      <c r="D148" s="97"/>
    </row>
    <row r="149" spans="1:4" ht="15.75" customHeight="1" x14ac:dyDescent="0.25">
      <c r="A149" s="84"/>
      <c r="B149" s="96"/>
      <c r="C149" s="97"/>
      <c r="D149" s="97"/>
    </row>
    <row r="150" spans="1:4" ht="15.75" customHeight="1" x14ac:dyDescent="0.25">
      <c r="A150" s="84"/>
      <c r="B150" s="96"/>
      <c r="C150" s="97"/>
      <c r="D150" s="97"/>
    </row>
    <row r="151" spans="1:4" ht="15.75" customHeight="1" x14ac:dyDescent="0.25">
      <c r="A151" s="84"/>
      <c r="B151" s="96"/>
      <c r="C151" s="97"/>
      <c r="D151" s="97"/>
    </row>
    <row r="152" spans="1:4" ht="15.75" customHeight="1" x14ac:dyDescent="0.25">
      <c r="A152" s="84"/>
      <c r="B152" s="96"/>
      <c r="C152" s="97"/>
      <c r="D152" s="97"/>
    </row>
    <row r="153" spans="1:4" ht="15.75" customHeight="1" x14ac:dyDescent="0.25">
      <c r="A153" s="84"/>
      <c r="B153" s="96"/>
      <c r="C153" s="97"/>
      <c r="D153" s="97"/>
    </row>
    <row r="154" spans="1:4" ht="15.75" customHeight="1" x14ac:dyDescent="0.25">
      <c r="A154" s="84"/>
      <c r="B154" s="96"/>
      <c r="C154" s="97"/>
      <c r="D154" s="97"/>
    </row>
    <row r="155" spans="1:4" ht="15.75" customHeight="1" x14ac:dyDescent="0.25">
      <c r="A155" s="84"/>
      <c r="B155" s="96"/>
      <c r="C155" s="97"/>
      <c r="D155" s="97"/>
    </row>
    <row r="156" spans="1:4" ht="15.75" customHeight="1" x14ac:dyDescent="0.25">
      <c r="A156" s="84"/>
      <c r="B156" s="96"/>
      <c r="C156" s="97"/>
      <c r="D156" s="97"/>
    </row>
    <row r="157" spans="1:4" ht="15.75" customHeight="1" x14ac:dyDescent="0.25">
      <c r="A157" s="84"/>
      <c r="B157" s="96"/>
      <c r="C157" s="97"/>
      <c r="D157" s="97"/>
    </row>
    <row r="158" spans="1:4" ht="15.75" customHeight="1" x14ac:dyDescent="0.25">
      <c r="A158" s="84"/>
      <c r="B158" s="96"/>
      <c r="C158" s="97"/>
      <c r="D158" s="97"/>
    </row>
    <row r="159" spans="1:4" ht="15.75" customHeight="1" x14ac:dyDescent="0.25">
      <c r="A159" s="84"/>
      <c r="B159" s="96"/>
      <c r="C159" s="97"/>
      <c r="D159" s="97"/>
    </row>
    <row r="160" spans="1:4" ht="15.75" customHeight="1" x14ac:dyDescent="0.25">
      <c r="A160" s="84"/>
      <c r="B160" s="96"/>
      <c r="C160" s="97"/>
      <c r="D160" s="97"/>
    </row>
    <row r="161" spans="1:4" ht="15.75" customHeight="1" x14ac:dyDescent="0.25">
      <c r="A161" s="84"/>
      <c r="B161" s="96"/>
      <c r="C161" s="97"/>
      <c r="D161" s="97"/>
    </row>
    <row r="162" spans="1:4" ht="15.75" customHeight="1" x14ac:dyDescent="0.25">
      <c r="A162" s="84"/>
      <c r="B162" s="96"/>
      <c r="C162" s="97"/>
      <c r="D162" s="97"/>
    </row>
    <row r="163" spans="1:4" ht="15.75" customHeight="1" x14ac:dyDescent="0.25">
      <c r="A163" s="84"/>
      <c r="B163" s="96"/>
      <c r="C163" s="97"/>
      <c r="D163" s="97"/>
    </row>
    <row r="164" spans="1:4" ht="15.75" customHeight="1" x14ac:dyDescent="0.25">
      <c r="A164" s="84"/>
      <c r="B164" s="96"/>
      <c r="C164" s="97"/>
      <c r="D164" s="97"/>
    </row>
    <row r="165" spans="1:4" ht="15.75" customHeight="1" x14ac:dyDescent="0.25">
      <c r="A165" s="84"/>
      <c r="B165" s="96"/>
      <c r="C165" s="97"/>
      <c r="D165" s="97"/>
    </row>
    <row r="166" spans="1:4" ht="15.75" customHeight="1" x14ac:dyDescent="0.25">
      <c r="A166" s="84"/>
      <c r="B166" s="96"/>
      <c r="C166" s="97"/>
      <c r="D166" s="97"/>
    </row>
    <row r="167" spans="1:4" ht="15.75" customHeight="1" x14ac:dyDescent="0.25">
      <c r="A167" s="84"/>
      <c r="B167" s="96"/>
      <c r="C167" s="97"/>
      <c r="D167" s="97"/>
    </row>
    <row r="168" spans="1:4" ht="15.75" customHeight="1" x14ac:dyDescent="0.25">
      <c r="A168" s="84"/>
      <c r="B168" s="96"/>
      <c r="C168" s="97"/>
      <c r="D168" s="97"/>
    </row>
    <row r="169" spans="1:4" ht="15.75" customHeight="1" x14ac:dyDescent="0.25">
      <c r="A169" s="84"/>
      <c r="B169" s="96"/>
      <c r="C169" s="97"/>
      <c r="D169" s="97"/>
    </row>
    <row r="170" spans="1:4" ht="15.75" customHeight="1" x14ac:dyDescent="0.25">
      <c r="A170" s="84"/>
      <c r="B170" s="96"/>
      <c r="C170" s="97"/>
      <c r="D170" s="97"/>
    </row>
    <row r="171" spans="1:4" ht="15.75" customHeight="1" x14ac:dyDescent="0.25">
      <c r="A171" s="84"/>
      <c r="B171" s="96"/>
      <c r="C171" s="97"/>
      <c r="D171" s="97"/>
    </row>
    <row r="172" spans="1:4" ht="15.75" customHeight="1" x14ac:dyDescent="0.25">
      <c r="A172" s="84"/>
      <c r="B172" s="96"/>
      <c r="C172" s="97"/>
      <c r="D172" s="97"/>
    </row>
    <row r="173" spans="1:4" ht="15.75" customHeight="1" x14ac:dyDescent="0.25">
      <c r="A173" s="84"/>
      <c r="B173" s="96"/>
      <c r="C173" s="97"/>
      <c r="D173" s="97"/>
    </row>
    <row r="174" spans="1:4" ht="15.75" customHeight="1" x14ac:dyDescent="0.25">
      <c r="A174" s="84"/>
      <c r="B174" s="96"/>
      <c r="C174" s="97"/>
      <c r="D174" s="97"/>
    </row>
    <row r="175" spans="1:4" ht="15.75" customHeight="1" x14ac:dyDescent="0.25">
      <c r="A175" s="84"/>
      <c r="B175" s="96"/>
      <c r="C175" s="97"/>
      <c r="D175" s="97"/>
    </row>
    <row r="176" spans="1:4" ht="15.75" customHeight="1" x14ac:dyDescent="0.25">
      <c r="A176" s="84"/>
      <c r="B176" s="96"/>
      <c r="C176" s="97"/>
      <c r="D176" s="97"/>
    </row>
    <row r="177" spans="1:4" ht="15.75" customHeight="1" x14ac:dyDescent="0.25">
      <c r="A177" s="84"/>
      <c r="B177" s="96"/>
      <c r="C177" s="97"/>
      <c r="D177" s="97"/>
    </row>
    <row r="178" spans="1:4" ht="15.75" customHeight="1" x14ac:dyDescent="0.25">
      <c r="A178" s="84"/>
      <c r="B178" s="96"/>
      <c r="C178" s="97"/>
      <c r="D178" s="97"/>
    </row>
    <row r="179" spans="1:4" ht="15.75" customHeight="1" x14ac:dyDescent="0.25">
      <c r="A179" s="84"/>
      <c r="B179" s="96"/>
      <c r="C179" s="97"/>
      <c r="D179" s="97"/>
    </row>
    <row r="180" spans="1:4" ht="15.75" customHeight="1" x14ac:dyDescent="0.25">
      <c r="A180" s="84"/>
      <c r="B180" s="96"/>
      <c r="C180" s="97"/>
      <c r="D180" s="97"/>
    </row>
    <row r="181" spans="1:4" ht="15.75" customHeight="1" x14ac:dyDescent="0.25">
      <c r="A181" s="84"/>
      <c r="B181" s="96"/>
      <c r="C181" s="97"/>
      <c r="D181" s="97"/>
    </row>
    <row r="182" spans="1:4" ht="15.75" customHeight="1" x14ac:dyDescent="0.25">
      <c r="A182" s="84"/>
      <c r="B182" s="96"/>
      <c r="C182" s="97"/>
      <c r="D182" s="97"/>
    </row>
    <row r="183" spans="1:4" ht="15.75" customHeight="1" x14ac:dyDescent="0.25">
      <c r="A183" s="84"/>
      <c r="B183" s="96"/>
      <c r="C183" s="97"/>
      <c r="D183" s="97"/>
    </row>
    <row r="184" spans="1:4" ht="15.75" customHeight="1" x14ac:dyDescent="0.25">
      <c r="A184" s="84"/>
      <c r="B184" s="96"/>
      <c r="C184" s="97"/>
      <c r="D184" s="97"/>
    </row>
    <row r="185" spans="1:4" ht="15.75" customHeight="1" x14ac:dyDescent="0.25">
      <c r="A185" s="84"/>
      <c r="B185" s="96"/>
      <c r="C185" s="97"/>
      <c r="D185" s="97"/>
    </row>
    <row r="186" spans="1:4" ht="15.75" customHeight="1" x14ac:dyDescent="0.25">
      <c r="A186" s="84"/>
      <c r="B186" s="96"/>
      <c r="C186" s="97"/>
      <c r="D186" s="97"/>
    </row>
    <row r="187" spans="1:4" ht="15.75" customHeight="1" x14ac:dyDescent="0.25">
      <c r="A187" s="84"/>
      <c r="B187" s="96"/>
      <c r="C187" s="97"/>
      <c r="D187" s="97"/>
    </row>
    <row r="188" spans="1:4" ht="15.75" customHeight="1" x14ac:dyDescent="0.25">
      <c r="A188" s="84"/>
      <c r="B188" s="96"/>
      <c r="C188" s="97"/>
      <c r="D188" s="97"/>
    </row>
    <row r="189" spans="1:4" ht="15.75" customHeight="1" x14ac:dyDescent="0.25">
      <c r="A189" s="84"/>
      <c r="B189" s="96"/>
      <c r="C189" s="97"/>
      <c r="D189" s="97"/>
    </row>
    <row r="190" spans="1:4" ht="15.75" customHeight="1" x14ac:dyDescent="0.25">
      <c r="A190" s="84"/>
      <c r="B190" s="96"/>
      <c r="C190" s="97"/>
      <c r="D190" s="97"/>
    </row>
    <row r="191" spans="1:4" ht="15.75" customHeight="1" x14ac:dyDescent="0.25">
      <c r="A191" s="84"/>
      <c r="B191" s="96"/>
      <c r="C191" s="97"/>
      <c r="D191" s="97"/>
    </row>
    <row r="192" spans="1:4" ht="15.75" customHeight="1" x14ac:dyDescent="0.25">
      <c r="A192" s="84"/>
      <c r="B192" s="96"/>
      <c r="C192" s="97"/>
      <c r="D192" s="97"/>
    </row>
    <row r="193" spans="1:4" ht="15.75" customHeight="1" x14ac:dyDescent="0.25">
      <c r="A193" s="84"/>
      <c r="B193" s="96"/>
      <c r="C193" s="97"/>
      <c r="D193" s="97"/>
    </row>
    <row r="194" spans="1:4" ht="15.75" customHeight="1" x14ac:dyDescent="0.25">
      <c r="A194" s="84"/>
      <c r="B194" s="96"/>
      <c r="C194" s="97"/>
      <c r="D194" s="97"/>
    </row>
    <row r="195" spans="1:4" ht="15.75" customHeight="1" x14ac:dyDescent="0.25">
      <c r="A195" s="84"/>
      <c r="B195" s="96"/>
      <c r="C195" s="97"/>
      <c r="D195" s="97"/>
    </row>
    <row r="196" spans="1:4" ht="15.75" customHeight="1" x14ac:dyDescent="0.25">
      <c r="A196" s="84"/>
      <c r="B196" s="96"/>
      <c r="C196" s="97"/>
      <c r="D196" s="97"/>
    </row>
    <row r="197" spans="1:4" ht="15.75" customHeight="1" x14ac:dyDescent="0.25">
      <c r="A197" s="84"/>
      <c r="B197" s="96"/>
      <c r="C197" s="97"/>
      <c r="D197" s="97"/>
    </row>
    <row r="198" spans="1:4" ht="15.75" customHeight="1" x14ac:dyDescent="0.25">
      <c r="A198" s="84"/>
      <c r="B198" s="96"/>
      <c r="C198" s="97"/>
      <c r="D198" s="97"/>
    </row>
    <row r="199" spans="1:4" ht="15.75" customHeight="1" x14ac:dyDescent="0.25">
      <c r="A199" s="84"/>
      <c r="B199" s="96"/>
      <c r="C199" s="97"/>
      <c r="D199" s="97"/>
    </row>
    <row r="200" spans="1:4" ht="15.75" customHeight="1" x14ac:dyDescent="0.25">
      <c r="A200" s="84"/>
      <c r="B200" s="96"/>
      <c r="C200" s="97"/>
      <c r="D200" s="97"/>
    </row>
    <row r="201" spans="1:4" ht="15.75" customHeight="1" x14ac:dyDescent="0.25">
      <c r="A201" s="84"/>
      <c r="B201" s="96"/>
      <c r="C201" s="97"/>
      <c r="D201" s="97"/>
    </row>
    <row r="202" spans="1:4" ht="15.75" customHeight="1" x14ac:dyDescent="0.25">
      <c r="A202" s="84"/>
      <c r="B202" s="96"/>
      <c r="C202" s="97"/>
      <c r="D202" s="97"/>
    </row>
    <row r="203" spans="1:4" ht="15.75" customHeight="1" x14ac:dyDescent="0.25">
      <c r="A203" s="84"/>
      <c r="B203" s="96"/>
      <c r="C203" s="97"/>
      <c r="D203" s="97"/>
    </row>
    <row r="204" spans="1:4" ht="15.75" customHeight="1" x14ac:dyDescent="0.25">
      <c r="A204" s="84"/>
      <c r="B204" s="96"/>
      <c r="C204" s="97"/>
      <c r="D204" s="97"/>
    </row>
    <row r="205" spans="1:4" ht="15.75" customHeight="1" x14ac:dyDescent="0.25">
      <c r="A205" s="84"/>
      <c r="B205" s="96"/>
      <c r="C205" s="97"/>
      <c r="D205" s="97"/>
    </row>
    <row r="206" spans="1:4" ht="15.75" customHeight="1" x14ac:dyDescent="0.25">
      <c r="A206" s="84"/>
      <c r="B206" s="96"/>
      <c r="C206" s="97"/>
      <c r="D206" s="97"/>
    </row>
    <row r="207" spans="1:4" ht="15.75" customHeight="1" x14ac:dyDescent="0.25">
      <c r="A207" s="84"/>
      <c r="B207" s="96"/>
      <c r="C207" s="97"/>
      <c r="D207" s="97"/>
    </row>
    <row r="208" spans="1:4" ht="15.75" customHeight="1" x14ac:dyDescent="0.25">
      <c r="A208" s="1"/>
      <c r="B208" s="96"/>
      <c r="C208" s="96"/>
      <c r="D208" s="96"/>
    </row>
    <row r="209" spans="1:8" ht="15.75" customHeight="1" x14ac:dyDescent="0.25">
      <c r="A209" s="1"/>
      <c r="B209" s="98" t="s">
        <v>177</v>
      </c>
      <c r="C209" s="98" t="s">
        <v>178</v>
      </c>
      <c r="D209" s="99" t="s">
        <v>177</v>
      </c>
      <c r="E209" s="99" t="s">
        <v>178</v>
      </c>
    </row>
    <row r="210" spans="1:8" ht="15.75" customHeight="1" x14ac:dyDescent="0.35">
      <c r="A210" s="1"/>
      <c r="B210" s="100" t="s">
        <v>179</v>
      </c>
      <c r="C210" s="100" t="s">
        <v>180</v>
      </c>
      <c r="D210" s="101" t="s">
        <v>179</v>
      </c>
      <c r="F210" s="101" t="str">
        <f t="shared" ref="F210:F221" si="0">IF(NOT(ISBLANK(D210)),D210,IF(NOT(ISBLANK(E210)),"     "&amp;E210,FALSE))</f>
        <v>Afectación Económica o presupuestal</v>
      </c>
      <c r="G210" s="101" t="s">
        <v>179</v>
      </c>
      <c r="H210" s="101" t="str">
        <f ca="1">IF(NOT(ISERROR(MATCH(G210,ANCHORARRAY(B221),0))),F223&amp;"Por favor no seleccionar los criterios de impacto",G210)</f>
        <v>Afectación Económica o presupuestal</v>
      </c>
    </row>
    <row r="211" spans="1:8" ht="15.75" customHeight="1" x14ac:dyDescent="0.35">
      <c r="A211" s="1"/>
      <c r="B211" s="100" t="s">
        <v>179</v>
      </c>
      <c r="C211" s="100" t="s">
        <v>154</v>
      </c>
      <c r="E211" s="101" t="s">
        <v>180</v>
      </c>
      <c r="F211" s="101" t="str">
        <f t="shared" si="0"/>
        <v xml:space="preserve">     Afectación menor a 10 SMLMV .</v>
      </c>
    </row>
    <row r="212" spans="1:8" ht="15.75" customHeight="1" x14ac:dyDescent="0.35">
      <c r="A212" s="1"/>
      <c r="B212" s="100" t="s">
        <v>179</v>
      </c>
      <c r="C212" s="100" t="s">
        <v>157</v>
      </c>
      <c r="E212" s="101" t="s">
        <v>154</v>
      </c>
      <c r="F212" s="101" t="str">
        <f t="shared" si="0"/>
        <v xml:space="preserve">     Entre 10 y 50 SMLMV </v>
      </c>
    </row>
    <row r="213" spans="1:8" ht="15.75" customHeight="1" x14ac:dyDescent="0.35">
      <c r="A213" s="1"/>
      <c r="B213" s="100" t="s">
        <v>179</v>
      </c>
      <c r="C213" s="100" t="s">
        <v>161</v>
      </c>
      <c r="E213" s="101" t="s">
        <v>157</v>
      </c>
      <c r="F213" s="101" t="str">
        <f t="shared" si="0"/>
        <v xml:space="preserve">     Entre 50 y 100 SMLMV </v>
      </c>
    </row>
    <row r="214" spans="1:8" ht="15.75" customHeight="1" x14ac:dyDescent="0.35">
      <c r="A214" s="1"/>
      <c r="B214" s="100" t="s">
        <v>179</v>
      </c>
      <c r="C214" s="100" t="s">
        <v>165</v>
      </c>
      <c r="E214" s="101" t="s">
        <v>161</v>
      </c>
      <c r="F214" s="101" t="str">
        <f t="shared" si="0"/>
        <v xml:space="preserve">     Entre 100 y 500 SMLMV </v>
      </c>
    </row>
    <row r="215" spans="1:8" ht="15.75" customHeight="1" x14ac:dyDescent="0.35">
      <c r="A215" s="1"/>
      <c r="B215" s="100" t="s">
        <v>147</v>
      </c>
      <c r="C215" s="100" t="s">
        <v>151</v>
      </c>
      <c r="E215" s="101" t="s">
        <v>165</v>
      </c>
      <c r="F215" s="101" t="str">
        <f t="shared" si="0"/>
        <v xml:space="preserve">     Mayor a 500 SMLMV </v>
      </c>
    </row>
    <row r="216" spans="1:8" ht="15.75" customHeight="1" x14ac:dyDescent="0.35">
      <c r="A216" s="1"/>
      <c r="B216" s="100" t="s">
        <v>147</v>
      </c>
      <c r="C216" s="100" t="s">
        <v>155</v>
      </c>
      <c r="D216" s="101" t="s">
        <v>147</v>
      </c>
      <c r="F216" s="101" t="str">
        <f t="shared" si="0"/>
        <v>Pérdida Reputacional</v>
      </c>
    </row>
    <row r="217" spans="1:8" ht="15.75" customHeight="1" x14ac:dyDescent="0.35">
      <c r="A217" s="1"/>
      <c r="B217" s="100" t="s">
        <v>147</v>
      </c>
      <c r="C217" s="100" t="s">
        <v>158</v>
      </c>
      <c r="E217" s="101" t="s">
        <v>151</v>
      </c>
      <c r="F217" s="101" t="str">
        <f t="shared" si="0"/>
        <v xml:space="preserve">     El riesgo afecta la imagen de alguna área de la organización</v>
      </c>
    </row>
    <row r="218" spans="1:8" ht="15.75" customHeight="1" x14ac:dyDescent="0.35">
      <c r="A218" s="1"/>
      <c r="B218" s="100" t="s">
        <v>147</v>
      </c>
      <c r="C218" s="100" t="s">
        <v>162</v>
      </c>
      <c r="E218" s="101" t="s">
        <v>155</v>
      </c>
      <c r="F218" s="101" t="str">
        <f t="shared" si="0"/>
        <v xml:space="preserve">     El riesgo afecta la imagen de la entidad internamente, de conocimiento general, nivel interno, de junta dircetiva y accionistas y/o de provedores</v>
      </c>
    </row>
    <row r="219" spans="1:8" ht="15.75" customHeight="1" x14ac:dyDescent="0.35">
      <c r="A219" s="1"/>
      <c r="B219" s="100" t="s">
        <v>147</v>
      </c>
      <c r="C219" s="100" t="s">
        <v>166</v>
      </c>
      <c r="E219" s="101" t="s">
        <v>158</v>
      </c>
      <c r="F219" s="101" t="str">
        <f t="shared" si="0"/>
        <v xml:space="preserve">     El riesgo afecta la imagen de la entidad con algunos usuarios de relevancia frente al logro de los objetivos</v>
      </c>
    </row>
    <row r="220" spans="1:8" ht="15.75" customHeight="1" x14ac:dyDescent="0.25">
      <c r="A220" s="1"/>
      <c r="B220" s="102"/>
      <c r="C220" s="102"/>
      <c r="E220" s="101" t="s">
        <v>162</v>
      </c>
      <c r="F220" s="101" t="str">
        <f t="shared" si="0"/>
        <v xml:space="preserve">     El riesgo afecta la imagen de de la entidad con efecto publicitario sostenido a nivel de sector administrativo, nivel departamental o municipal</v>
      </c>
    </row>
    <row r="221" spans="1:8" ht="15.75" customHeight="1" x14ac:dyDescent="0.25">
      <c r="A221" s="1"/>
      <c r="B221" s="102" t="str">
        <f ca="1">IFERROR(__xludf.DUMMYFUNCTION("ARRAY_CONSTRAIN(ARRAYFORMULA(UNIQUE('Tabla Impacto'!$B$209:$B$219)), 3, 1)"),"Criterios")</f>
        <v>Criterios</v>
      </c>
      <c r="C221" s="102"/>
      <c r="E221" s="101" t="s">
        <v>166</v>
      </c>
      <c r="F221" s="101" t="str">
        <f t="shared" si="0"/>
        <v xml:space="preserve">     El riesgo afecta la imagen de la entidad a nivel nacional, con efecto publicitarios sostenible a nivel país</v>
      </c>
    </row>
    <row r="222" spans="1:8" ht="15.75" customHeight="1" x14ac:dyDescent="0.25">
      <c r="A222" s="1"/>
      <c r="B222" s="102" t="str">
        <f ca="1">IFERROR(__xludf.DUMMYFUNCTION("""COMPUTED_VALUE"""),"Afectación Económica o presupuestal")</f>
        <v>Afectación Económica o presupuestal</v>
      </c>
      <c r="C222" s="102"/>
    </row>
    <row r="223" spans="1:8" ht="15.75" customHeight="1" x14ac:dyDescent="0.25">
      <c r="B223" s="102" t="str">
        <f ca="1">IFERROR(__xludf.DUMMYFUNCTION("""COMPUTED_VALUE"""),"Pérdida Reputacional")</f>
        <v>Pérdida Reputacional</v>
      </c>
      <c r="C223" s="102"/>
      <c r="F223" s="103" t="s">
        <v>181</v>
      </c>
    </row>
    <row r="224" spans="1:8" ht="15.75" customHeight="1" x14ac:dyDescent="0.25">
      <c r="B224" s="99"/>
      <c r="C224" s="99"/>
      <c r="F224" s="103" t="s">
        <v>182</v>
      </c>
    </row>
    <row r="225" spans="2:4" ht="15.75" customHeight="1" x14ac:dyDescent="0.25">
      <c r="B225" s="99"/>
      <c r="C225" s="99"/>
    </row>
    <row r="226" spans="2:4" ht="15.75" customHeight="1" x14ac:dyDescent="0.25">
      <c r="B226" s="99"/>
      <c r="C226" s="99"/>
    </row>
    <row r="227" spans="2:4" ht="15.75" customHeight="1" x14ac:dyDescent="0.25">
      <c r="B227" s="99"/>
      <c r="C227" s="99"/>
      <c r="D227" s="99"/>
    </row>
    <row r="228" spans="2:4" ht="15.75" customHeight="1" x14ac:dyDescent="0.25">
      <c r="B228" s="99"/>
      <c r="C228" s="99"/>
      <c r="D228" s="99"/>
    </row>
    <row r="229" spans="2:4" ht="15.75" customHeight="1" x14ac:dyDescent="0.25">
      <c r="B229" s="99"/>
      <c r="C229" s="99"/>
      <c r="D229" s="99"/>
    </row>
    <row r="230" spans="2:4" ht="15.75" customHeight="1" x14ac:dyDescent="0.25">
      <c r="B230" s="99"/>
      <c r="C230" s="99"/>
      <c r="D230" s="99"/>
    </row>
    <row r="231" spans="2:4" ht="15.75" customHeight="1" x14ac:dyDescent="0.25">
      <c r="B231" s="99"/>
      <c r="C231" s="99"/>
      <c r="D231" s="99"/>
    </row>
    <row r="232" spans="2:4" ht="15.75" customHeight="1" x14ac:dyDescent="0.25">
      <c r="B232" s="99"/>
      <c r="C232" s="99"/>
      <c r="D232" s="99"/>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500-000000000000}">
      <formula1>$F$210:$F$221</formula1>
    </dataValidation>
  </dataValidations>
  <pageMargins left="0.7" right="0.7" top="0.75" bottom="0.75" header="0" footer="0"/>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F497A"/>
  </sheetPr>
  <dimension ref="A1:Z1000"/>
  <sheetViews>
    <sheetView workbookViewId="0"/>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104"/>
      <c r="B1" s="309" t="s">
        <v>183</v>
      </c>
      <c r="C1" s="310"/>
      <c r="D1" s="310"/>
      <c r="E1" s="310"/>
      <c r="F1" s="311"/>
      <c r="G1" s="104"/>
      <c r="H1" s="104"/>
      <c r="I1" s="104"/>
      <c r="J1" s="104"/>
      <c r="K1" s="104"/>
      <c r="L1" s="104"/>
      <c r="M1" s="104"/>
      <c r="N1" s="104"/>
      <c r="O1" s="104"/>
      <c r="P1" s="104"/>
      <c r="Q1" s="104"/>
      <c r="R1" s="104"/>
      <c r="S1" s="104"/>
      <c r="T1" s="104"/>
      <c r="U1" s="104"/>
      <c r="V1" s="104"/>
      <c r="W1" s="104"/>
      <c r="X1" s="104"/>
      <c r="Y1" s="104"/>
      <c r="Z1" s="104"/>
    </row>
    <row r="2" spans="1:26" ht="12.75" customHeight="1" x14ac:dyDescent="0.25">
      <c r="A2" s="104"/>
      <c r="B2" s="105"/>
      <c r="C2" s="105"/>
      <c r="D2" s="105"/>
      <c r="E2" s="105"/>
      <c r="F2" s="105"/>
      <c r="G2" s="104"/>
      <c r="H2" s="104"/>
      <c r="I2" s="104"/>
      <c r="J2" s="104"/>
      <c r="K2" s="104"/>
      <c r="L2" s="104"/>
      <c r="M2" s="104"/>
      <c r="N2" s="104"/>
      <c r="O2" s="104"/>
      <c r="P2" s="104"/>
      <c r="Q2" s="104"/>
      <c r="R2" s="104"/>
      <c r="S2" s="104"/>
      <c r="T2" s="104"/>
      <c r="U2" s="104"/>
      <c r="V2" s="104"/>
      <c r="W2" s="104"/>
      <c r="X2" s="104"/>
      <c r="Y2" s="104"/>
      <c r="Z2" s="104"/>
    </row>
    <row r="3" spans="1:26" ht="12.75" customHeight="1" x14ac:dyDescent="0.2">
      <c r="A3" s="104"/>
      <c r="B3" s="312" t="s">
        <v>184</v>
      </c>
      <c r="C3" s="310"/>
      <c r="D3" s="313"/>
      <c r="E3" s="106" t="s">
        <v>185</v>
      </c>
      <c r="F3" s="107" t="s">
        <v>186</v>
      </c>
      <c r="G3" s="104"/>
      <c r="H3" s="104"/>
      <c r="I3" s="104"/>
      <c r="J3" s="104"/>
      <c r="K3" s="104"/>
      <c r="L3" s="104"/>
      <c r="M3" s="104"/>
      <c r="N3" s="104"/>
      <c r="O3" s="104"/>
      <c r="P3" s="104"/>
      <c r="Q3" s="104"/>
      <c r="R3" s="104"/>
      <c r="S3" s="104"/>
      <c r="T3" s="104"/>
      <c r="U3" s="104"/>
      <c r="V3" s="104"/>
      <c r="W3" s="104"/>
      <c r="X3" s="104"/>
      <c r="Y3" s="104"/>
      <c r="Z3" s="104"/>
    </row>
    <row r="4" spans="1:26" ht="12.75" customHeight="1" x14ac:dyDescent="0.2">
      <c r="A4" s="104"/>
      <c r="B4" s="314" t="s">
        <v>187</v>
      </c>
      <c r="C4" s="317" t="s">
        <v>93</v>
      </c>
      <c r="D4" s="108" t="s">
        <v>102</v>
      </c>
      <c r="E4" s="109" t="s">
        <v>188</v>
      </c>
      <c r="F4" s="110">
        <v>0.25</v>
      </c>
      <c r="G4" s="104"/>
      <c r="H4" s="104"/>
      <c r="I4" s="104"/>
      <c r="J4" s="104"/>
      <c r="K4" s="104"/>
      <c r="L4" s="104"/>
      <c r="M4" s="104"/>
      <c r="N4" s="104"/>
      <c r="O4" s="104"/>
      <c r="P4" s="104"/>
      <c r="Q4" s="104"/>
      <c r="R4" s="104"/>
      <c r="S4" s="104"/>
      <c r="T4" s="104"/>
      <c r="U4" s="104"/>
      <c r="V4" s="104"/>
      <c r="W4" s="104"/>
      <c r="X4" s="104"/>
      <c r="Y4" s="104"/>
      <c r="Z4" s="104"/>
    </row>
    <row r="5" spans="1:26" ht="12.75" customHeight="1" x14ac:dyDescent="0.2">
      <c r="A5" s="104"/>
      <c r="B5" s="315"/>
      <c r="C5" s="318"/>
      <c r="D5" s="111" t="s">
        <v>189</v>
      </c>
      <c r="E5" s="112" t="s">
        <v>190</v>
      </c>
      <c r="F5" s="113">
        <v>0.15</v>
      </c>
      <c r="G5" s="104"/>
      <c r="H5" s="104"/>
      <c r="I5" s="104"/>
      <c r="J5" s="104"/>
      <c r="K5" s="104"/>
      <c r="L5" s="104"/>
      <c r="M5" s="104"/>
      <c r="N5" s="104"/>
      <c r="O5" s="104"/>
      <c r="P5" s="104"/>
      <c r="Q5" s="104"/>
      <c r="R5" s="104"/>
      <c r="S5" s="104"/>
      <c r="T5" s="104"/>
      <c r="U5" s="104"/>
      <c r="V5" s="104"/>
      <c r="W5" s="104"/>
      <c r="X5" s="104"/>
      <c r="Y5" s="104"/>
      <c r="Z5" s="104"/>
    </row>
    <row r="6" spans="1:26" ht="12.75" customHeight="1" x14ac:dyDescent="0.2">
      <c r="A6" s="104"/>
      <c r="B6" s="315"/>
      <c r="C6" s="198"/>
      <c r="D6" s="111" t="s">
        <v>191</v>
      </c>
      <c r="E6" s="112" t="s">
        <v>192</v>
      </c>
      <c r="F6" s="113">
        <v>0.1</v>
      </c>
      <c r="G6" s="104"/>
      <c r="H6" s="104"/>
      <c r="I6" s="104"/>
      <c r="J6" s="104"/>
      <c r="K6" s="104"/>
      <c r="L6" s="104"/>
      <c r="M6" s="104"/>
      <c r="N6" s="104"/>
      <c r="O6" s="104"/>
      <c r="P6" s="104"/>
      <c r="Q6" s="104"/>
      <c r="R6" s="104"/>
      <c r="S6" s="104"/>
      <c r="T6" s="104"/>
      <c r="U6" s="104"/>
      <c r="V6" s="104"/>
      <c r="W6" s="104"/>
      <c r="X6" s="104"/>
      <c r="Y6" s="104"/>
      <c r="Z6" s="104"/>
    </row>
    <row r="7" spans="1:26" ht="12.75" customHeight="1" x14ac:dyDescent="0.2">
      <c r="A7" s="104"/>
      <c r="B7" s="315"/>
      <c r="C7" s="307" t="s">
        <v>94</v>
      </c>
      <c r="D7" s="111" t="s">
        <v>193</v>
      </c>
      <c r="E7" s="112" t="s">
        <v>194</v>
      </c>
      <c r="F7" s="113">
        <v>0.25</v>
      </c>
      <c r="G7" s="104"/>
      <c r="H7" s="104"/>
      <c r="I7" s="104"/>
      <c r="J7" s="104"/>
      <c r="K7" s="104"/>
      <c r="L7" s="104"/>
      <c r="M7" s="104"/>
      <c r="N7" s="104"/>
      <c r="O7" s="104"/>
      <c r="P7" s="104"/>
      <c r="Q7" s="104"/>
      <c r="R7" s="104"/>
      <c r="S7" s="104"/>
      <c r="T7" s="104"/>
      <c r="U7" s="104"/>
      <c r="V7" s="104"/>
      <c r="W7" s="104"/>
      <c r="X7" s="104"/>
      <c r="Y7" s="104"/>
      <c r="Z7" s="104"/>
    </row>
    <row r="8" spans="1:26" ht="12.75" customHeight="1" x14ac:dyDescent="0.2">
      <c r="A8" s="104"/>
      <c r="B8" s="316"/>
      <c r="C8" s="198"/>
      <c r="D8" s="111" t="s">
        <v>103</v>
      </c>
      <c r="E8" s="112" t="s">
        <v>195</v>
      </c>
      <c r="F8" s="113">
        <v>0.15</v>
      </c>
      <c r="G8" s="104"/>
      <c r="H8" s="104"/>
      <c r="I8" s="104"/>
      <c r="J8" s="104"/>
      <c r="K8" s="104"/>
      <c r="L8" s="104"/>
      <c r="M8" s="104"/>
      <c r="N8" s="104"/>
      <c r="O8" s="104"/>
      <c r="P8" s="104"/>
      <c r="Q8" s="104"/>
      <c r="R8" s="104"/>
      <c r="S8" s="104"/>
      <c r="T8" s="104"/>
      <c r="U8" s="104"/>
      <c r="V8" s="104"/>
      <c r="W8" s="104"/>
      <c r="X8" s="104"/>
      <c r="Y8" s="104"/>
      <c r="Z8" s="104"/>
    </row>
    <row r="9" spans="1:26" ht="12.75" customHeight="1" x14ac:dyDescent="0.2">
      <c r="A9" s="104"/>
      <c r="B9" s="319" t="s">
        <v>196</v>
      </c>
      <c r="C9" s="307" t="s">
        <v>96</v>
      </c>
      <c r="D9" s="111" t="s">
        <v>104</v>
      </c>
      <c r="E9" s="112" t="s">
        <v>197</v>
      </c>
      <c r="F9" s="114" t="s">
        <v>198</v>
      </c>
      <c r="G9" s="104"/>
      <c r="H9" s="104"/>
      <c r="I9" s="104"/>
      <c r="J9" s="104"/>
      <c r="K9" s="104"/>
      <c r="L9" s="104"/>
      <c r="M9" s="104"/>
      <c r="N9" s="104"/>
      <c r="O9" s="104"/>
      <c r="P9" s="104"/>
      <c r="Q9" s="104"/>
      <c r="R9" s="104"/>
      <c r="S9" s="104"/>
      <c r="T9" s="104"/>
      <c r="U9" s="104"/>
      <c r="V9" s="104"/>
      <c r="W9" s="104"/>
      <c r="X9" s="104"/>
      <c r="Y9" s="104"/>
      <c r="Z9" s="104"/>
    </row>
    <row r="10" spans="1:26" ht="12.75" customHeight="1" x14ac:dyDescent="0.2">
      <c r="A10" s="104"/>
      <c r="B10" s="315"/>
      <c r="C10" s="198"/>
      <c r="D10" s="111" t="s">
        <v>199</v>
      </c>
      <c r="E10" s="112" t="s">
        <v>200</v>
      </c>
      <c r="F10" s="114" t="s">
        <v>198</v>
      </c>
      <c r="G10" s="104"/>
      <c r="H10" s="104"/>
      <c r="I10" s="104"/>
      <c r="J10" s="104"/>
      <c r="K10" s="104"/>
      <c r="L10" s="104"/>
      <c r="M10" s="104"/>
      <c r="N10" s="104"/>
      <c r="O10" s="104"/>
      <c r="P10" s="104"/>
      <c r="Q10" s="104"/>
      <c r="R10" s="104"/>
      <c r="S10" s="104"/>
      <c r="T10" s="104"/>
      <c r="U10" s="104"/>
      <c r="V10" s="104"/>
      <c r="W10" s="104"/>
      <c r="X10" s="104"/>
      <c r="Y10" s="104"/>
      <c r="Z10" s="104"/>
    </row>
    <row r="11" spans="1:26" ht="12.75" customHeight="1" x14ac:dyDescent="0.2">
      <c r="A11" s="104"/>
      <c r="B11" s="315"/>
      <c r="C11" s="307" t="s">
        <v>97</v>
      </c>
      <c r="D11" s="111" t="s">
        <v>105</v>
      </c>
      <c r="E11" s="112" t="s">
        <v>201</v>
      </c>
      <c r="F11" s="114" t="s">
        <v>198</v>
      </c>
      <c r="G11" s="104"/>
      <c r="H11" s="104"/>
      <c r="I11" s="104"/>
      <c r="J11" s="104"/>
      <c r="K11" s="104"/>
      <c r="L11" s="104"/>
      <c r="M11" s="104"/>
      <c r="N11" s="104"/>
      <c r="O11" s="104"/>
      <c r="P11" s="104"/>
      <c r="Q11" s="104"/>
      <c r="R11" s="104"/>
      <c r="S11" s="104"/>
      <c r="T11" s="104"/>
      <c r="U11" s="104"/>
      <c r="V11" s="104"/>
      <c r="W11" s="104"/>
      <c r="X11" s="104"/>
      <c r="Y11" s="104"/>
      <c r="Z11" s="104"/>
    </row>
    <row r="12" spans="1:26" ht="12.75" customHeight="1" x14ac:dyDescent="0.2">
      <c r="A12" s="104"/>
      <c r="B12" s="315"/>
      <c r="C12" s="198"/>
      <c r="D12" s="111" t="s">
        <v>202</v>
      </c>
      <c r="E12" s="112" t="s">
        <v>203</v>
      </c>
      <c r="F12" s="114" t="s">
        <v>198</v>
      </c>
      <c r="G12" s="104"/>
      <c r="H12" s="104"/>
      <c r="I12" s="104"/>
      <c r="J12" s="104"/>
      <c r="K12" s="104"/>
      <c r="L12" s="104"/>
      <c r="M12" s="104"/>
      <c r="N12" s="104"/>
      <c r="O12" s="104"/>
      <c r="P12" s="104"/>
      <c r="Q12" s="104"/>
      <c r="R12" s="104"/>
      <c r="S12" s="104"/>
      <c r="T12" s="104"/>
      <c r="U12" s="104"/>
      <c r="V12" s="104"/>
      <c r="W12" s="104"/>
      <c r="X12" s="104"/>
      <c r="Y12" s="104"/>
      <c r="Z12" s="104"/>
    </row>
    <row r="13" spans="1:26" ht="12.75" customHeight="1" x14ac:dyDescent="0.2">
      <c r="A13" s="104"/>
      <c r="B13" s="315"/>
      <c r="C13" s="307" t="s">
        <v>98</v>
      </c>
      <c r="D13" s="111" t="s">
        <v>106</v>
      </c>
      <c r="E13" s="112" t="s">
        <v>204</v>
      </c>
      <c r="F13" s="114" t="s">
        <v>198</v>
      </c>
      <c r="G13" s="104"/>
      <c r="H13" s="104"/>
      <c r="I13" s="104"/>
      <c r="J13" s="104"/>
      <c r="K13" s="104"/>
      <c r="L13" s="104"/>
      <c r="M13" s="104"/>
      <c r="N13" s="104"/>
      <c r="O13" s="104"/>
      <c r="P13" s="104"/>
      <c r="Q13" s="104"/>
      <c r="R13" s="104"/>
      <c r="S13" s="104"/>
      <c r="T13" s="104"/>
      <c r="U13" s="104"/>
      <c r="V13" s="104"/>
      <c r="W13" s="104"/>
      <c r="X13" s="104"/>
      <c r="Y13" s="104"/>
      <c r="Z13" s="104"/>
    </row>
    <row r="14" spans="1:26" ht="12.75" customHeight="1" x14ac:dyDescent="0.2">
      <c r="A14" s="104"/>
      <c r="B14" s="320"/>
      <c r="C14" s="308"/>
      <c r="D14" s="115" t="s">
        <v>205</v>
      </c>
      <c r="E14" s="116" t="s">
        <v>206</v>
      </c>
      <c r="F14" s="117" t="s">
        <v>198</v>
      </c>
      <c r="G14" s="104"/>
      <c r="H14" s="104"/>
      <c r="I14" s="104"/>
      <c r="J14" s="104"/>
      <c r="K14" s="104"/>
      <c r="L14" s="104"/>
      <c r="M14" s="104"/>
      <c r="N14" s="104"/>
      <c r="O14" s="104"/>
      <c r="P14" s="104"/>
      <c r="Q14" s="104"/>
      <c r="R14" s="104"/>
      <c r="S14" s="104"/>
      <c r="T14" s="104"/>
      <c r="U14" s="104"/>
      <c r="V14" s="104"/>
      <c r="W14" s="104"/>
      <c r="X14" s="104"/>
      <c r="Y14" s="104"/>
      <c r="Z14" s="104"/>
    </row>
    <row r="15" spans="1:26" ht="49.5" customHeight="1" x14ac:dyDescent="0.2">
      <c r="A15" s="104"/>
      <c r="B15" s="306" t="s">
        <v>207</v>
      </c>
      <c r="C15" s="122"/>
      <c r="D15" s="122"/>
      <c r="E15" s="122"/>
      <c r="F15" s="208"/>
      <c r="G15" s="104"/>
      <c r="H15" s="104"/>
      <c r="I15" s="104"/>
      <c r="J15" s="104"/>
      <c r="K15" s="104"/>
      <c r="L15" s="104"/>
      <c r="M15" s="104"/>
      <c r="N15" s="104"/>
      <c r="O15" s="104"/>
      <c r="P15" s="104"/>
      <c r="Q15" s="104"/>
      <c r="R15" s="104"/>
      <c r="S15" s="104"/>
      <c r="T15" s="104"/>
      <c r="U15" s="104"/>
      <c r="V15" s="104"/>
      <c r="W15" s="104"/>
      <c r="X15" s="104"/>
      <c r="Y15" s="104"/>
      <c r="Z15" s="104"/>
    </row>
    <row r="16" spans="1:26" ht="27" customHeight="1" x14ac:dyDescent="0.25">
      <c r="A16" s="104"/>
      <c r="B16" s="118"/>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spans="1:26" ht="12.75" customHeight="1" x14ac:dyDescent="0.2">
      <c r="A17" s="104"/>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spans="1:26" ht="12.75" customHeight="1" x14ac:dyDescent="0.2">
      <c r="A18" s="104"/>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row>
    <row r="19" spans="1:26" ht="12.75" customHeight="1" x14ac:dyDescent="0.2">
      <c r="A19" s="104"/>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spans="1:26" ht="12.75" customHeight="1" x14ac:dyDescent="0.2">
      <c r="A20" s="104"/>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spans="1:26" ht="12.75" customHeight="1" x14ac:dyDescent="0.2">
      <c r="A21" s="104"/>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spans="1:26" ht="12.75" customHeight="1" x14ac:dyDescent="0.2">
      <c r="A22" s="10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spans="1:26" ht="12.75" customHeight="1" x14ac:dyDescent="0.2">
      <c r="A23" s="104"/>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spans="1:26" ht="12.75" customHeight="1" x14ac:dyDescent="0.2">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spans="1:26" ht="12.75" customHeight="1" x14ac:dyDescent="0.2">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spans="1:26" ht="12.75" customHeight="1" x14ac:dyDescent="0.2">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spans="1:26" ht="12.75" customHeight="1" x14ac:dyDescent="0.2">
      <c r="A27" s="104"/>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spans="1:26" ht="12.75" customHeight="1" x14ac:dyDescent="0.2">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spans="1:26" ht="12.75" customHeight="1" x14ac:dyDescent="0.2">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spans="1:26" ht="12.75" customHeight="1" x14ac:dyDescent="0.2">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spans="1:26" ht="12.75" customHeight="1" x14ac:dyDescent="0.2">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spans="1:26" ht="12.75" customHeight="1" x14ac:dyDescent="0.2">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spans="1:26" ht="12.75" customHeight="1" x14ac:dyDescent="0.2">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spans="1:26" ht="12.75" customHeight="1" x14ac:dyDescent="0.2">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spans="1:26" ht="12.75" customHeight="1" x14ac:dyDescent="0.2">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spans="1:26" ht="12.75" customHeight="1" x14ac:dyDescent="0.2">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spans="1:26" ht="12.75" customHeight="1" x14ac:dyDescent="0.2">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spans="1:26" ht="12.75" customHeight="1" x14ac:dyDescent="0.2">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spans="1:26" ht="12.75" customHeight="1" x14ac:dyDescent="0.2">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spans="1:26" ht="12.75" customHeight="1" x14ac:dyDescent="0.2">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spans="1:26" ht="12.75" customHeight="1" x14ac:dyDescent="0.2">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spans="1:26" ht="12.75" customHeight="1" x14ac:dyDescent="0.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spans="1:26" ht="12.75" customHeight="1" x14ac:dyDescent="0.2">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spans="1:26" ht="12.75" customHeight="1" x14ac:dyDescent="0.2">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spans="1:26" ht="12.75" customHeight="1" x14ac:dyDescent="0.2">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spans="1:26" ht="12.75" customHeight="1" x14ac:dyDescent="0.2">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spans="1:26" ht="12.75" customHeight="1" x14ac:dyDescent="0.2">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spans="1:26" ht="12.75" customHeight="1" x14ac:dyDescent="0.2">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spans="1:26" ht="12.75" customHeight="1" x14ac:dyDescent="0.2">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spans="1:26" ht="12.75" customHeight="1" x14ac:dyDescent="0.2">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spans="1:26" ht="12.75" customHeight="1" x14ac:dyDescent="0.2">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spans="1:26" ht="12.75" customHeight="1" x14ac:dyDescent="0.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spans="1:26" ht="12.75" customHeight="1" x14ac:dyDescent="0.2">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spans="1:26" ht="12.75" customHeight="1" x14ac:dyDescent="0.2">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spans="1:26" ht="12.75" customHeight="1" x14ac:dyDescent="0.2">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spans="1:26" ht="12.75" customHeight="1" x14ac:dyDescent="0.2">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spans="1:26" ht="12.75" customHeight="1" x14ac:dyDescent="0.2">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spans="1:26" ht="12.75" customHeight="1" x14ac:dyDescent="0.2">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spans="1:26" ht="12.75" customHeight="1" x14ac:dyDescent="0.2">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spans="1:26" ht="12.75" customHeight="1" x14ac:dyDescent="0.2">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spans="1:26" ht="12.75" customHeight="1" x14ac:dyDescent="0.2">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spans="1:26" ht="12.75" customHeight="1" x14ac:dyDescent="0.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spans="1:26" ht="12.75" customHeight="1" x14ac:dyDescent="0.2">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spans="1:26" ht="12.75" customHeight="1" x14ac:dyDescent="0.2">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spans="1:26" ht="12.75" customHeight="1" x14ac:dyDescent="0.2">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spans="1:26" ht="12.75" customHeight="1" x14ac:dyDescent="0.2">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spans="1:26" ht="12.75" customHeight="1" x14ac:dyDescent="0.2">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spans="1:26" ht="12.75" customHeight="1" x14ac:dyDescent="0.2">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spans="1:26" ht="12.75" customHeight="1" x14ac:dyDescent="0.2">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spans="1:26" ht="12.75" customHeight="1" x14ac:dyDescent="0.2">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spans="1:26" ht="12.75" customHeight="1" x14ac:dyDescent="0.2">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spans="1:26" ht="12.75" customHeight="1" x14ac:dyDescent="0.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spans="1:26" ht="12.75" customHeight="1" x14ac:dyDescent="0.2">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spans="1:26" ht="12.75" customHeight="1" x14ac:dyDescent="0.2">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spans="1:26" ht="12.75" customHeight="1" x14ac:dyDescent="0.2">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spans="1:26" ht="12.75" customHeight="1" x14ac:dyDescent="0.2">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spans="1:26" ht="12.75" customHeight="1" x14ac:dyDescent="0.2">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spans="1:26" ht="12.75" customHeight="1" x14ac:dyDescent="0.2">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spans="1:26" ht="12.75" customHeight="1" x14ac:dyDescent="0.2">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spans="1:26" ht="12.75" customHeight="1" x14ac:dyDescent="0.2">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spans="1:26" ht="12.75" customHeight="1" x14ac:dyDescent="0.2">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spans="1:26" ht="12.75" customHeight="1" x14ac:dyDescent="0.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spans="1:26" ht="12.75" customHeight="1" x14ac:dyDescent="0.2">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spans="1:26" ht="12.75" customHeight="1" x14ac:dyDescent="0.2">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spans="1:26" ht="12.75" customHeight="1" x14ac:dyDescent="0.2">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spans="1:26" ht="12.75" customHeight="1" x14ac:dyDescent="0.2">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spans="1:26" ht="12.75" customHeight="1" x14ac:dyDescent="0.2">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spans="1:26" ht="12.75" customHeight="1" x14ac:dyDescent="0.2">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spans="1:26" ht="12.75" customHeight="1" x14ac:dyDescent="0.2">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spans="1:26" ht="12.75" customHeight="1" x14ac:dyDescent="0.2">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spans="1:26" ht="12.75" customHeight="1" x14ac:dyDescent="0.2">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spans="1:26" ht="12.75" customHeight="1" x14ac:dyDescent="0.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spans="1:26" ht="12.75" customHeight="1" x14ac:dyDescent="0.2">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spans="1:26" ht="12.75" customHeight="1" x14ac:dyDescent="0.2">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spans="1:26" ht="12.75" customHeight="1" x14ac:dyDescent="0.2">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spans="1:26" ht="12.75" customHeight="1" x14ac:dyDescent="0.2">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spans="1:26" ht="12.75" customHeight="1" x14ac:dyDescent="0.2">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spans="1:26" ht="12.75" customHeight="1" x14ac:dyDescent="0.2">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spans="1:26" ht="12.75" customHeight="1" x14ac:dyDescent="0.2">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spans="1:26" ht="12.75" customHeight="1" x14ac:dyDescent="0.2">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spans="1:26" ht="12.75" customHeight="1" x14ac:dyDescent="0.2">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spans="1:26" ht="12.75" customHeight="1" x14ac:dyDescent="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spans="1:26" ht="12.75" customHeight="1" x14ac:dyDescent="0.2">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spans="1:26" ht="12.75" customHeight="1" x14ac:dyDescent="0.2">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spans="1:26" ht="12.75" customHeight="1" x14ac:dyDescent="0.2">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spans="1:26" ht="12.75" customHeight="1" x14ac:dyDescent="0.2">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spans="1:26" ht="12.75" customHeight="1" x14ac:dyDescent="0.2">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spans="1:26" ht="12.75" customHeight="1" x14ac:dyDescent="0.2">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spans="1:26" ht="12.75" customHeight="1" x14ac:dyDescent="0.2">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spans="1:26" ht="12.75" customHeight="1" x14ac:dyDescent="0.2">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spans="1:26" ht="12.75" customHeight="1" x14ac:dyDescent="0.2">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spans="1:26" ht="12.75" customHeight="1" x14ac:dyDescent="0.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spans="1:26" ht="12.75" customHeight="1" x14ac:dyDescent="0.2">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spans="1:26" ht="12.75" customHeight="1" x14ac:dyDescent="0.2">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spans="1:26" ht="12.75" customHeight="1" x14ac:dyDescent="0.2">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spans="1:26" ht="12.75" customHeight="1" x14ac:dyDescent="0.2">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spans="1:26" ht="12.75" customHeight="1" x14ac:dyDescent="0.2">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spans="1:26" ht="12.75" customHeight="1" x14ac:dyDescent="0.2">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spans="1:26" ht="12.75" customHeight="1" x14ac:dyDescent="0.2">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spans="1:26" ht="12.75" customHeight="1" x14ac:dyDescent="0.2">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spans="1:26" ht="12.75" customHeight="1" x14ac:dyDescent="0.2">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spans="1:26" ht="12.75" customHeight="1" x14ac:dyDescent="0.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spans="1:26" ht="12.75" customHeight="1" x14ac:dyDescent="0.2">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spans="1:26" ht="12.75" customHeight="1" x14ac:dyDescent="0.2">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spans="1:26" ht="12.75" customHeight="1" x14ac:dyDescent="0.2">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spans="1:26" ht="12.75" customHeight="1" x14ac:dyDescent="0.2">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spans="1:26" ht="12.75" customHeight="1" x14ac:dyDescent="0.2">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spans="1:26" ht="12.75" customHeight="1" x14ac:dyDescent="0.2">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spans="1:26" ht="12.75" customHeight="1" x14ac:dyDescent="0.2">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spans="1:26" ht="12.75" customHeight="1" x14ac:dyDescent="0.2">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spans="1:26" ht="12.75" customHeight="1" x14ac:dyDescent="0.2">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spans="1:26" ht="12.75" customHeight="1" x14ac:dyDescent="0.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spans="1:26" ht="12.75" customHeight="1" x14ac:dyDescent="0.2">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spans="1:26" ht="12.75" customHeight="1" x14ac:dyDescent="0.2">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spans="1:26" ht="12.75" customHeight="1" x14ac:dyDescent="0.2">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spans="1:26" ht="12.75" customHeight="1" x14ac:dyDescent="0.2">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spans="1:26" ht="12.75" customHeight="1" x14ac:dyDescent="0.2">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spans="1:26" ht="12.75" customHeight="1" x14ac:dyDescent="0.2">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spans="1:26" ht="12.75" customHeight="1" x14ac:dyDescent="0.2">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spans="1:26" ht="12.75" customHeight="1" x14ac:dyDescent="0.2">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spans="1:26" ht="12.75" customHeight="1" x14ac:dyDescent="0.2">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spans="1:26" ht="12.75" customHeight="1" x14ac:dyDescent="0.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spans="1:26" ht="12.75" customHeight="1" x14ac:dyDescent="0.2">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spans="1:26" ht="12.75" customHeight="1" x14ac:dyDescent="0.2">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spans="1:26" ht="12.75" customHeight="1" x14ac:dyDescent="0.2">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spans="1:26" ht="12.75" customHeight="1" x14ac:dyDescent="0.2">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spans="1:26" ht="12.75" customHeight="1" x14ac:dyDescent="0.2">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spans="1:26" ht="12.75" customHeight="1" x14ac:dyDescent="0.2">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spans="1:26" ht="12.75" customHeight="1" x14ac:dyDescent="0.2">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spans="1:26" ht="12.75" customHeight="1" x14ac:dyDescent="0.2">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spans="1:26" ht="12.75" customHeight="1" x14ac:dyDescent="0.2">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spans="1:26" ht="12.75" customHeight="1" x14ac:dyDescent="0.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spans="1:26" ht="12.75" customHeight="1" x14ac:dyDescent="0.2">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spans="1:26" ht="12.75" customHeight="1" x14ac:dyDescent="0.2">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spans="1:26" ht="12.75" customHeight="1" x14ac:dyDescent="0.2">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spans="1:26" ht="12.75" customHeight="1" x14ac:dyDescent="0.2">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spans="1:26" ht="12.75" customHeight="1" x14ac:dyDescent="0.2">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spans="1:26" ht="12.75" customHeight="1" x14ac:dyDescent="0.2">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spans="1:26" ht="12.75" customHeight="1" x14ac:dyDescent="0.2">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spans="1:26" ht="12.75" customHeight="1" x14ac:dyDescent="0.2">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spans="1:26" ht="12.75" customHeight="1" x14ac:dyDescent="0.2">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spans="1:26" ht="12.75" customHeight="1" x14ac:dyDescent="0.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spans="1:26" ht="12.75" customHeight="1" x14ac:dyDescent="0.2">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spans="1:26" ht="12.75" customHeight="1" x14ac:dyDescent="0.2">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spans="1:26" ht="12.75" customHeight="1" x14ac:dyDescent="0.2">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spans="1:26" ht="12.75" customHeight="1" x14ac:dyDescent="0.2">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spans="1:26" ht="12.75" customHeight="1" x14ac:dyDescent="0.2">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spans="1:26" ht="12.75" customHeight="1" x14ac:dyDescent="0.2">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spans="1:26" ht="12.75" customHeight="1" x14ac:dyDescent="0.2">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spans="1:26" ht="12.75" customHeight="1" x14ac:dyDescent="0.2">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spans="1:26" ht="12.75" customHeight="1" x14ac:dyDescent="0.2">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spans="1:26" ht="12.75" customHeight="1" x14ac:dyDescent="0.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spans="1:26" ht="12.75" customHeight="1" x14ac:dyDescent="0.2">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spans="1:26" ht="12.75" customHeight="1" x14ac:dyDescent="0.2">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spans="1:26" ht="12.75" customHeight="1" x14ac:dyDescent="0.2">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spans="1:26" ht="12.75" customHeight="1" x14ac:dyDescent="0.2">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spans="1:26" ht="12.75" customHeight="1" x14ac:dyDescent="0.2">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spans="1:26" ht="12.75" customHeight="1" x14ac:dyDescent="0.2">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spans="1:26" ht="12.75" customHeight="1" x14ac:dyDescent="0.2">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spans="1:26" ht="12.75" customHeight="1" x14ac:dyDescent="0.2">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spans="1:26" ht="12.75" customHeight="1" x14ac:dyDescent="0.2">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spans="1:26" ht="12.75" customHeight="1" x14ac:dyDescent="0.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spans="1:26" ht="12.75" customHeight="1" x14ac:dyDescent="0.2">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spans="1:26" ht="12.75" customHeight="1" x14ac:dyDescent="0.2">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spans="1:26" ht="12.75" customHeight="1" x14ac:dyDescent="0.2">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spans="1:26" ht="12.75" customHeight="1" x14ac:dyDescent="0.2">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spans="1:26" ht="12.75" customHeight="1" x14ac:dyDescent="0.2">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spans="1:26" ht="12.75" customHeight="1" x14ac:dyDescent="0.2">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spans="1:26" ht="12.75" customHeight="1" x14ac:dyDescent="0.2">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spans="1:26" ht="12.75" customHeight="1" x14ac:dyDescent="0.2">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spans="1:26" ht="12.75" customHeight="1" x14ac:dyDescent="0.2">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spans="1:26" ht="12.75" customHeight="1" x14ac:dyDescent="0.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spans="1:26" ht="12.75" customHeight="1" x14ac:dyDescent="0.2">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spans="1:26" ht="12.75" customHeight="1" x14ac:dyDescent="0.2">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spans="1:26" ht="12.75" customHeight="1" x14ac:dyDescent="0.2">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spans="1:26" ht="12.75" customHeight="1" x14ac:dyDescent="0.2">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spans="1:26" ht="12.75" customHeight="1" x14ac:dyDescent="0.2">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spans="1:26" ht="12.75" customHeight="1" x14ac:dyDescent="0.2">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spans="1:26" ht="12.75" customHeight="1" x14ac:dyDescent="0.2">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spans="1:26" ht="12.75" customHeight="1" x14ac:dyDescent="0.2">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spans="1:26" ht="12.75" customHeight="1" x14ac:dyDescent="0.2">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spans="1:26" ht="12.75" customHeight="1" x14ac:dyDescent="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spans="1:26" ht="12.75" customHeight="1" x14ac:dyDescent="0.2">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spans="1:26" ht="12.75" customHeight="1" x14ac:dyDescent="0.2">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spans="1:26" ht="12.75" customHeight="1" x14ac:dyDescent="0.2">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spans="1:26" ht="12.75" customHeight="1" x14ac:dyDescent="0.2">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spans="1:26" ht="12.75" customHeight="1" x14ac:dyDescent="0.2">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spans="1:26" ht="12.75" customHeight="1" x14ac:dyDescent="0.2">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spans="1:26" ht="12.75" customHeight="1" x14ac:dyDescent="0.2">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spans="1:26" ht="12.75" customHeight="1" x14ac:dyDescent="0.2">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spans="1:26" ht="12.75" customHeight="1" x14ac:dyDescent="0.2">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spans="1:26" ht="12.75" customHeight="1" x14ac:dyDescent="0.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spans="1:26" ht="12.75" customHeight="1" x14ac:dyDescent="0.2">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spans="1:26" ht="12.75" customHeight="1" x14ac:dyDescent="0.2">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spans="1:26" ht="12.75" customHeight="1" x14ac:dyDescent="0.2">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spans="1:26" ht="12.75" customHeight="1" x14ac:dyDescent="0.2">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spans="1:26" ht="12.75" customHeight="1" x14ac:dyDescent="0.2">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spans="1:26" ht="12.75" customHeight="1" x14ac:dyDescent="0.2">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spans="1:26" ht="12.75" customHeight="1" x14ac:dyDescent="0.2">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spans="1:26" ht="12.75" customHeight="1" x14ac:dyDescent="0.2">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spans="1:26" ht="12.75" customHeight="1" x14ac:dyDescent="0.2">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spans="1:26" ht="12.75" customHeight="1" x14ac:dyDescent="0.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spans="1:26" ht="12.75" customHeight="1" x14ac:dyDescent="0.2">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spans="1:26" ht="12.75" customHeight="1" x14ac:dyDescent="0.2">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spans="1:26" ht="12.75" customHeight="1" x14ac:dyDescent="0.2">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spans="1:26" ht="12.75" customHeight="1" x14ac:dyDescent="0.2">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spans="1:26" ht="12.75" customHeight="1" x14ac:dyDescent="0.2">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spans="1:26" ht="12.75" customHeight="1" x14ac:dyDescent="0.2">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spans="1:26" ht="12.75" customHeight="1" x14ac:dyDescent="0.2">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spans="1:26" ht="12.75" customHeight="1" x14ac:dyDescent="0.2">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spans="1:26" ht="12.75" customHeight="1" x14ac:dyDescent="0.2">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spans="1:26" ht="12.75" customHeight="1" x14ac:dyDescent="0.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spans="1:26" ht="12.75" customHeight="1" x14ac:dyDescent="0.2">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spans="1:26" ht="12.75" customHeight="1" x14ac:dyDescent="0.2">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spans="1:26" ht="12.75" customHeight="1" x14ac:dyDescent="0.2">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spans="1:26" ht="12.75" customHeight="1" x14ac:dyDescent="0.2">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spans="1:26" ht="12.75" customHeight="1" x14ac:dyDescent="0.2">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spans="1:26" ht="12.75" customHeight="1" x14ac:dyDescent="0.2">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spans="1:26" ht="12.75" customHeight="1" x14ac:dyDescent="0.2">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spans="1:26" ht="12.75" customHeight="1" x14ac:dyDescent="0.2">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spans="1:26" ht="12.75" customHeight="1" x14ac:dyDescent="0.2">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spans="1:26" ht="12.75" customHeight="1" x14ac:dyDescent="0.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spans="1:26" ht="12.75" customHeight="1" x14ac:dyDescent="0.2">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spans="1:26" ht="12.75" customHeight="1" x14ac:dyDescent="0.2">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spans="1:26" ht="12.75" customHeight="1" x14ac:dyDescent="0.2">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spans="1:26" ht="12.75" customHeight="1" x14ac:dyDescent="0.2">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spans="1:26" ht="12.75" customHeight="1" x14ac:dyDescent="0.2">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spans="1:26" ht="12.75" customHeight="1" x14ac:dyDescent="0.2">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spans="1:26" ht="12.75" customHeight="1" x14ac:dyDescent="0.2">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spans="1:26" ht="12.75" customHeight="1" x14ac:dyDescent="0.2">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spans="1:26" ht="12.75" customHeight="1" x14ac:dyDescent="0.2">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spans="1:26" ht="12.75" customHeight="1" x14ac:dyDescent="0.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spans="1:26" ht="12.75" customHeight="1" x14ac:dyDescent="0.2">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spans="1:26" ht="12.75" customHeight="1" x14ac:dyDescent="0.2">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spans="1:26" ht="12.75" customHeight="1" x14ac:dyDescent="0.2">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spans="1:26" ht="12.75" customHeight="1" x14ac:dyDescent="0.2">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spans="1:26" ht="12.75" customHeight="1" x14ac:dyDescent="0.2">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spans="1:26" ht="12.75" customHeight="1" x14ac:dyDescent="0.2">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spans="1:26" ht="12.75" customHeight="1" x14ac:dyDescent="0.2">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spans="1:26" ht="12.75" customHeight="1" x14ac:dyDescent="0.2">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spans="1:26" ht="12.75" customHeight="1" x14ac:dyDescent="0.2">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spans="1:26" ht="12.75" customHeight="1" x14ac:dyDescent="0.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spans="1:26" ht="12.75" customHeight="1" x14ac:dyDescent="0.2">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spans="1:26" ht="12.75" customHeight="1" x14ac:dyDescent="0.2">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spans="1:26" ht="12.75" customHeight="1" x14ac:dyDescent="0.2">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spans="1:26" ht="12.75" customHeight="1" x14ac:dyDescent="0.2">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spans="1:26" ht="12.75" customHeight="1" x14ac:dyDescent="0.2">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spans="1:26" ht="12.75" customHeight="1" x14ac:dyDescent="0.2">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spans="1:26" ht="12.75" customHeight="1" x14ac:dyDescent="0.2">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spans="1:26" ht="12.75" customHeight="1" x14ac:dyDescent="0.2">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spans="1:26" ht="12.75" customHeight="1" x14ac:dyDescent="0.2">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spans="1:26" ht="12.75" customHeight="1" x14ac:dyDescent="0.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spans="1:26" ht="12.75" customHeight="1" x14ac:dyDescent="0.2">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spans="1:26" ht="12.75" customHeight="1" x14ac:dyDescent="0.2">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spans="1:26" ht="12.75" customHeight="1" x14ac:dyDescent="0.2">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spans="1:26" ht="12.75" customHeight="1" x14ac:dyDescent="0.2">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spans="1:26" ht="12.75" customHeight="1" x14ac:dyDescent="0.2">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spans="1:26" ht="12.75" customHeight="1" x14ac:dyDescent="0.2">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spans="1:26" ht="12.75" customHeight="1" x14ac:dyDescent="0.2">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spans="1:26" ht="12.75" customHeight="1" x14ac:dyDescent="0.2">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spans="1:26" ht="12.75" customHeight="1" x14ac:dyDescent="0.2">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spans="1:26" ht="12.75" customHeight="1" x14ac:dyDescent="0.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spans="1:26" ht="12.75" customHeight="1" x14ac:dyDescent="0.2">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spans="1:26" ht="12.75" customHeight="1" x14ac:dyDescent="0.2">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spans="1:26" ht="12.75" customHeight="1" x14ac:dyDescent="0.2">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spans="1:26" ht="12.75" customHeight="1" x14ac:dyDescent="0.2">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spans="1:26" ht="12.75" customHeight="1" x14ac:dyDescent="0.2">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spans="1:26" ht="12.75" customHeight="1" x14ac:dyDescent="0.2">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spans="1:26" ht="12.75" customHeight="1" x14ac:dyDescent="0.2">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spans="1:26" ht="12.75" customHeight="1" x14ac:dyDescent="0.2">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spans="1:26" ht="12.75" customHeight="1" x14ac:dyDescent="0.2">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spans="1:26" ht="12.75" customHeight="1" x14ac:dyDescent="0.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spans="1:26" ht="12.75" customHeight="1" x14ac:dyDescent="0.2">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spans="1:26" ht="12.75" customHeight="1" x14ac:dyDescent="0.2">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spans="1:26" ht="12.75" customHeight="1" x14ac:dyDescent="0.2">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spans="1:26" ht="12.75" customHeight="1" x14ac:dyDescent="0.2">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spans="1:26" ht="12.75" customHeight="1" x14ac:dyDescent="0.2">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spans="1:26" ht="12.75" customHeight="1" x14ac:dyDescent="0.2">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spans="1:26" ht="12.75" customHeight="1" x14ac:dyDescent="0.2">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spans="1:26" ht="12.75" customHeight="1" x14ac:dyDescent="0.2">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spans="1:26" ht="12.75" customHeight="1" x14ac:dyDescent="0.2">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spans="1:26" ht="12.75" customHeight="1" x14ac:dyDescent="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spans="1:26" ht="12.75" customHeight="1" x14ac:dyDescent="0.2">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spans="1:26" ht="12.75" customHeight="1" x14ac:dyDescent="0.2">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spans="1:26" ht="12.75" customHeight="1" x14ac:dyDescent="0.2">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spans="1:26" ht="12.75" customHeight="1" x14ac:dyDescent="0.2">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spans="1:26" ht="12.75" customHeight="1" x14ac:dyDescent="0.2">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spans="1:26" ht="12.75" customHeight="1" x14ac:dyDescent="0.2">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spans="1:26" ht="12.75" customHeight="1" x14ac:dyDescent="0.2">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spans="1:26" ht="12.75" customHeight="1" x14ac:dyDescent="0.2">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spans="1:26" ht="12.75" customHeight="1" x14ac:dyDescent="0.2">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spans="1:26" ht="12.75" customHeight="1" x14ac:dyDescent="0.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spans="1:26" ht="12.75" customHeight="1" x14ac:dyDescent="0.2">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spans="1:26" ht="12.75" customHeight="1" x14ac:dyDescent="0.2">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spans="1:26" ht="12.75" customHeight="1" x14ac:dyDescent="0.2">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spans="1:26" ht="12.75" customHeight="1" x14ac:dyDescent="0.2">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spans="1:26" ht="12.75" customHeight="1" x14ac:dyDescent="0.2">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spans="1:26" ht="12.75" customHeight="1" x14ac:dyDescent="0.2">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spans="1:26" ht="12.75" customHeight="1" x14ac:dyDescent="0.2">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spans="1:26" ht="12.75" customHeight="1" x14ac:dyDescent="0.2">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spans="1:26" ht="12.75" customHeight="1" x14ac:dyDescent="0.2">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spans="1:26" ht="12.75" customHeight="1" x14ac:dyDescent="0.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spans="1:26" ht="12.75" customHeight="1" x14ac:dyDescent="0.2">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spans="1:26" ht="12.75" customHeight="1" x14ac:dyDescent="0.2">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spans="1:26" ht="12.75" customHeight="1" x14ac:dyDescent="0.2">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spans="1:26" ht="12.75" customHeight="1" x14ac:dyDescent="0.2">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spans="1:26" ht="12.75" customHeight="1" x14ac:dyDescent="0.2">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spans="1:26" ht="12.75" customHeight="1" x14ac:dyDescent="0.2">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spans="1:26" ht="12.75" customHeight="1" x14ac:dyDescent="0.2">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spans="1:26" ht="12.75" customHeight="1" x14ac:dyDescent="0.2">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spans="1:26" ht="12.75" customHeight="1" x14ac:dyDescent="0.2">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spans="1:26" ht="12.75" customHeight="1" x14ac:dyDescent="0.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spans="1:26" ht="12.75" customHeight="1" x14ac:dyDescent="0.2">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spans="1:26" ht="12.75" customHeight="1" x14ac:dyDescent="0.2">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spans="1:26" ht="12.75" customHeight="1" x14ac:dyDescent="0.2">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spans="1:26" ht="12.75" customHeight="1" x14ac:dyDescent="0.2">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spans="1:26" ht="12.75" customHeight="1" x14ac:dyDescent="0.2">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spans="1:26" ht="12.75" customHeight="1" x14ac:dyDescent="0.2">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spans="1:26" ht="12.75" customHeight="1" x14ac:dyDescent="0.2">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spans="1:26" ht="12.75" customHeight="1" x14ac:dyDescent="0.2">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spans="1:26" ht="12.75" customHeight="1" x14ac:dyDescent="0.2">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spans="1:26" ht="12.75" customHeight="1" x14ac:dyDescent="0.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spans="1:26" ht="12.75" customHeight="1" x14ac:dyDescent="0.2">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spans="1:26" ht="12.75" customHeight="1" x14ac:dyDescent="0.2">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spans="1:26" ht="12.75" customHeight="1" x14ac:dyDescent="0.2">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spans="1:26" ht="12.75" customHeight="1" x14ac:dyDescent="0.2">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spans="1:26" ht="12.75" customHeight="1" x14ac:dyDescent="0.2">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spans="1:26" ht="12.75" customHeight="1" x14ac:dyDescent="0.2">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spans="1:26" ht="12.75" customHeight="1" x14ac:dyDescent="0.2">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spans="1:26" ht="12.75" customHeight="1" x14ac:dyDescent="0.2">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spans="1:26" ht="12.75" customHeight="1" x14ac:dyDescent="0.2">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spans="1:26" ht="12.75" customHeight="1" x14ac:dyDescent="0.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spans="1:26" ht="12.75" customHeight="1" x14ac:dyDescent="0.2">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spans="1:26" ht="12.75" customHeight="1" x14ac:dyDescent="0.2">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spans="1:26" ht="12.75" customHeight="1" x14ac:dyDescent="0.2">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spans="1:26" ht="12.75" customHeight="1" x14ac:dyDescent="0.2">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spans="1:26" ht="12.75" customHeight="1" x14ac:dyDescent="0.2">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spans="1:26" ht="12.75" customHeight="1" x14ac:dyDescent="0.2">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spans="1:26" ht="12.75" customHeight="1" x14ac:dyDescent="0.2">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spans="1:26" ht="12.75" customHeight="1" x14ac:dyDescent="0.2">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spans="1:26" ht="12.75" customHeight="1" x14ac:dyDescent="0.2">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spans="1:26" ht="12.75" customHeight="1" x14ac:dyDescent="0.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spans="1:26" ht="12.75" customHeight="1" x14ac:dyDescent="0.2">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spans="1:26" ht="12.75" customHeight="1" x14ac:dyDescent="0.2">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spans="1:26" ht="12.75" customHeight="1" x14ac:dyDescent="0.2">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spans="1:26" ht="12.75" customHeight="1" x14ac:dyDescent="0.2">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spans="1:26" ht="12.75" customHeight="1" x14ac:dyDescent="0.2">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spans="1:26" ht="12.75" customHeight="1" x14ac:dyDescent="0.2">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spans="1:26" ht="12.75" customHeight="1" x14ac:dyDescent="0.2">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spans="1:26" ht="12.75" customHeight="1" x14ac:dyDescent="0.2">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spans="1:26" ht="12.75" customHeight="1" x14ac:dyDescent="0.2">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spans="1:26" ht="12.75" customHeight="1" x14ac:dyDescent="0.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spans="1:26" ht="12.75" customHeight="1" x14ac:dyDescent="0.2">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spans="1:26" ht="12.75" customHeight="1" x14ac:dyDescent="0.2">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spans="1:26" ht="12.75" customHeight="1" x14ac:dyDescent="0.2">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spans="1:26" ht="12.75" customHeight="1" x14ac:dyDescent="0.2">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spans="1:26" ht="12.75" customHeight="1" x14ac:dyDescent="0.2">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spans="1:26" ht="12.75" customHeight="1" x14ac:dyDescent="0.2">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spans="1:26" ht="12.75" customHeight="1" x14ac:dyDescent="0.2">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spans="1:26" ht="12.75" customHeight="1" x14ac:dyDescent="0.2">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spans="1:26" ht="12.75" customHeight="1" x14ac:dyDescent="0.2">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spans="1:26" ht="12.75" customHeight="1" x14ac:dyDescent="0.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spans="1:26" ht="12.75" customHeight="1" x14ac:dyDescent="0.2">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spans="1:26" ht="12.75" customHeight="1" x14ac:dyDescent="0.2">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spans="1:26" ht="12.75" customHeight="1" x14ac:dyDescent="0.2">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spans="1:26" ht="12.75" customHeight="1" x14ac:dyDescent="0.2">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spans="1:26" ht="12.75" customHeight="1" x14ac:dyDescent="0.2">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spans="1:26" ht="12.75" customHeight="1" x14ac:dyDescent="0.2">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spans="1:26" ht="12.75" customHeight="1" x14ac:dyDescent="0.2">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spans="1:26" ht="12.75" customHeight="1" x14ac:dyDescent="0.2">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spans="1:26" ht="12.75" customHeight="1" x14ac:dyDescent="0.2">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spans="1:26" ht="12.75" customHeight="1" x14ac:dyDescent="0.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spans="1:26" ht="12.75" customHeight="1" x14ac:dyDescent="0.2">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spans="1:26" ht="12.75" customHeight="1" x14ac:dyDescent="0.2">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spans="1:26" ht="12.75" customHeight="1" x14ac:dyDescent="0.2">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spans="1:26" ht="12.75" customHeight="1" x14ac:dyDescent="0.2">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spans="1:26" ht="12.75" customHeight="1" x14ac:dyDescent="0.2">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spans="1:26" ht="12.75" customHeight="1" x14ac:dyDescent="0.2">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spans="1:26" ht="12.75" customHeight="1" x14ac:dyDescent="0.2">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spans="1:26" ht="12.75" customHeight="1" x14ac:dyDescent="0.2">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spans="1:26" ht="12.75" customHeight="1" x14ac:dyDescent="0.2">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spans="1:26" ht="12.75" customHeight="1" x14ac:dyDescent="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spans="1:26" ht="12.75" customHeight="1" x14ac:dyDescent="0.2">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spans="1:26" ht="12.75" customHeight="1" x14ac:dyDescent="0.2">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spans="1:26" ht="12.75" customHeight="1" x14ac:dyDescent="0.2">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spans="1:26" ht="12.75" customHeight="1" x14ac:dyDescent="0.2">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spans="1:26" ht="12.75" customHeight="1" x14ac:dyDescent="0.2">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spans="1:26" ht="12.75" customHeight="1" x14ac:dyDescent="0.2">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spans="1:26" ht="12.75" customHeight="1" x14ac:dyDescent="0.2">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spans="1:26" ht="12.75" customHeight="1" x14ac:dyDescent="0.2">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spans="1:26" ht="12.75" customHeight="1" x14ac:dyDescent="0.2">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spans="1:26" ht="12.75" customHeight="1" x14ac:dyDescent="0.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spans="1:26" ht="12.75" customHeight="1" x14ac:dyDescent="0.2">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spans="1:26" ht="12.75" customHeight="1" x14ac:dyDescent="0.2">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spans="1:26" ht="12.75" customHeight="1" x14ac:dyDescent="0.2">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spans="1:26" ht="12.75" customHeight="1" x14ac:dyDescent="0.2">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spans="1:26" ht="12.75" customHeight="1" x14ac:dyDescent="0.2">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spans="1:26" ht="12.75" customHeight="1" x14ac:dyDescent="0.2">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spans="1:26" ht="12.75" customHeight="1" x14ac:dyDescent="0.2">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spans="1:26" ht="12.75" customHeight="1" x14ac:dyDescent="0.2">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spans="1:26" ht="12.75" customHeight="1" x14ac:dyDescent="0.2">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spans="1:26" ht="12.75" customHeight="1" x14ac:dyDescent="0.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spans="1:26" ht="12.75" customHeight="1" x14ac:dyDescent="0.2">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spans="1:26" ht="12.75" customHeight="1" x14ac:dyDescent="0.2">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spans="1:26" ht="12.75" customHeight="1" x14ac:dyDescent="0.2">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spans="1:26" ht="12.75" customHeight="1" x14ac:dyDescent="0.2">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spans="1:26" ht="12.75" customHeight="1" x14ac:dyDescent="0.2">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spans="1:26" ht="12.75" customHeight="1" x14ac:dyDescent="0.2">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spans="1:26" ht="12.75" customHeight="1" x14ac:dyDescent="0.2">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spans="1:26" ht="12.75" customHeight="1" x14ac:dyDescent="0.2">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spans="1:26" ht="12.75" customHeight="1" x14ac:dyDescent="0.2">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spans="1:26" ht="12.75" customHeight="1" x14ac:dyDescent="0.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spans="1:26" ht="12.75" customHeight="1" x14ac:dyDescent="0.2">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spans="1:26" ht="12.75" customHeight="1" x14ac:dyDescent="0.2">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spans="1:26" ht="12.75" customHeight="1" x14ac:dyDescent="0.2">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spans="1:26" ht="12.75" customHeight="1" x14ac:dyDescent="0.2">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spans="1:26" ht="12.75" customHeight="1" x14ac:dyDescent="0.2">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spans="1:26" ht="12.75" customHeight="1" x14ac:dyDescent="0.2">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spans="1:26" ht="12.75" customHeight="1" x14ac:dyDescent="0.2">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spans="1:26" ht="12.75" customHeight="1" x14ac:dyDescent="0.2">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spans="1:26" ht="12.75" customHeight="1" x14ac:dyDescent="0.2">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spans="1:26" ht="12.75" customHeight="1" x14ac:dyDescent="0.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spans="1:26" ht="12.75" customHeight="1" x14ac:dyDescent="0.2">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spans="1:26" ht="12.75" customHeight="1" x14ac:dyDescent="0.2">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spans="1:26" ht="12.75" customHeight="1" x14ac:dyDescent="0.2">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spans="1:26" ht="12.75" customHeight="1" x14ac:dyDescent="0.2">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spans="1:26" ht="12.75" customHeight="1" x14ac:dyDescent="0.2">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spans="1:26" ht="12.75" customHeight="1" x14ac:dyDescent="0.2">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spans="1:26" ht="12.75" customHeight="1" x14ac:dyDescent="0.2">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spans="1:26" ht="12.75" customHeight="1" x14ac:dyDescent="0.2">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spans="1:26" ht="12.75" customHeight="1" x14ac:dyDescent="0.2">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spans="1:26" ht="12.75" customHeight="1" x14ac:dyDescent="0.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spans="1:26" ht="12.75" customHeight="1" x14ac:dyDescent="0.2">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spans="1:26" ht="12.75" customHeight="1" x14ac:dyDescent="0.2">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spans="1:26" ht="12.75" customHeight="1" x14ac:dyDescent="0.2">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spans="1:26" ht="12.75" customHeight="1" x14ac:dyDescent="0.2">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spans="1:26" ht="12.75" customHeight="1" x14ac:dyDescent="0.2">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spans="1:26" ht="12.75" customHeight="1" x14ac:dyDescent="0.2">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spans="1:26" ht="12.75" customHeight="1" x14ac:dyDescent="0.2">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spans="1:26" ht="12.75" customHeight="1" x14ac:dyDescent="0.2">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spans="1:26" ht="12.75" customHeight="1" x14ac:dyDescent="0.2">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spans="1:26" ht="12.75" customHeight="1" x14ac:dyDescent="0.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spans="1:26" ht="12.75" customHeight="1" x14ac:dyDescent="0.2">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spans="1:26" ht="12.75" customHeight="1" x14ac:dyDescent="0.2">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spans="1:26" ht="12.75" customHeight="1" x14ac:dyDescent="0.2">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spans="1:26" ht="12.75" customHeight="1" x14ac:dyDescent="0.2">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spans="1:26" ht="12.75" customHeight="1" x14ac:dyDescent="0.2">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spans="1:26" ht="12.75" customHeight="1" x14ac:dyDescent="0.2">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spans="1:26" ht="12.75" customHeight="1" x14ac:dyDescent="0.2">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spans="1:26" ht="12.75" customHeight="1" x14ac:dyDescent="0.2">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spans="1:26" ht="12.75" customHeight="1" x14ac:dyDescent="0.2">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spans="1:26" ht="12.75" customHeight="1" x14ac:dyDescent="0.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spans="1:26" ht="12.75" customHeight="1" x14ac:dyDescent="0.2">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spans="1:26" ht="12.75" customHeight="1" x14ac:dyDescent="0.2">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spans="1:26" ht="12.75" customHeight="1" x14ac:dyDescent="0.2">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spans="1:26" ht="12.75" customHeight="1" x14ac:dyDescent="0.2">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spans="1:26" ht="12.75" customHeight="1" x14ac:dyDescent="0.2">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spans="1:26" ht="12.75" customHeight="1" x14ac:dyDescent="0.2">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spans="1:26" ht="12.75" customHeight="1" x14ac:dyDescent="0.2">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spans="1:26" ht="12.75" customHeight="1" x14ac:dyDescent="0.2">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spans="1:26" ht="12.75" customHeight="1" x14ac:dyDescent="0.2">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spans="1:26" ht="12.75" customHeight="1" x14ac:dyDescent="0.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spans="1:26" ht="12.75" customHeight="1" x14ac:dyDescent="0.2">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spans="1:26" ht="12.75" customHeight="1" x14ac:dyDescent="0.2">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spans="1:26" ht="12.75" customHeight="1" x14ac:dyDescent="0.2">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spans="1:26" ht="12.75" customHeight="1" x14ac:dyDescent="0.2">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spans="1:26" ht="12.75" customHeight="1" x14ac:dyDescent="0.2">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spans="1:26" ht="12.75" customHeight="1" x14ac:dyDescent="0.2">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spans="1:26" ht="12.75" customHeight="1" x14ac:dyDescent="0.2">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spans="1:26" ht="12.75" customHeight="1" x14ac:dyDescent="0.2">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spans="1:26" ht="12.75" customHeight="1" x14ac:dyDescent="0.2">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spans="1:26" ht="12.75" customHeight="1" x14ac:dyDescent="0.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spans="1:26" ht="12.75" customHeight="1" x14ac:dyDescent="0.2">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spans="1:26" ht="12.75" customHeight="1" x14ac:dyDescent="0.2">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spans="1:26" ht="12.75" customHeight="1" x14ac:dyDescent="0.2">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spans="1:26" ht="12.75" customHeight="1" x14ac:dyDescent="0.2">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spans="1:26" ht="12.75" customHeight="1" x14ac:dyDescent="0.2">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spans="1:26" ht="12.75" customHeight="1" x14ac:dyDescent="0.2">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spans="1:26" ht="12.75" customHeight="1" x14ac:dyDescent="0.2">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spans="1:26" ht="12.75" customHeight="1" x14ac:dyDescent="0.2">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spans="1:26" ht="12.75" customHeight="1" x14ac:dyDescent="0.2">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spans="1:26" ht="12.75" customHeight="1" x14ac:dyDescent="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spans="1:26" ht="12.75" customHeight="1" x14ac:dyDescent="0.2">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spans="1:26" ht="12.75" customHeight="1" x14ac:dyDescent="0.2">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spans="1:26" ht="12.75" customHeight="1" x14ac:dyDescent="0.2">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spans="1:26" ht="12.75" customHeight="1" x14ac:dyDescent="0.2">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spans="1:26" ht="12.75" customHeight="1" x14ac:dyDescent="0.2">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spans="1:26" ht="12.75" customHeight="1" x14ac:dyDescent="0.2">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spans="1:26" ht="12.75" customHeight="1" x14ac:dyDescent="0.2">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spans="1:26" ht="12.75" customHeight="1" x14ac:dyDescent="0.2">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spans="1:26" ht="12.75" customHeight="1" x14ac:dyDescent="0.2">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spans="1:26" ht="12.75" customHeight="1" x14ac:dyDescent="0.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spans="1:26" ht="12.75" customHeight="1" x14ac:dyDescent="0.2">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spans="1:26" ht="12.75" customHeight="1" x14ac:dyDescent="0.2">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spans="1:26" ht="12.75" customHeight="1" x14ac:dyDescent="0.2">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spans="1:26" ht="12.75" customHeight="1" x14ac:dyDescent="0.2">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spans="1:26" ht="12.75" customHeight="1" x14ac:dyDescent="0.2">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spans="1:26" ht="12.75" customHeight="1" x14ac:dyDescent="0.2">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spans="1:26" ht="12.75" customHeight="1" x14ac:dyDescent="0.2">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spans="1:26" ht="12.75" customHeight="1" x14ac:dyDescent="0.2">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spans="1:26" ht="12.75" customHeight="1" x14ac:dyDescent="0.2">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spans="1:26" ht="12.75" customHeight="1" x14ac:dyDescent="0.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spans="1:26" ht="12.75" customHeight="1" x14ac:dyDescent="0.2">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spans="1:26" ht="12.75" customHeight="1" x14ac:dyDescent="0.2">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spans="1:26" ht="12.75" customHeight="1" x14ac:dyDescent="0.2">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spans="1:26" ht="12.75" customHeight="1" x14ac:dyDescent="0.2">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spans="1:26" ht="12.75" customHeight="1" x14ac:dyDescent="0.2">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spans="1:26" ht="12.75" customHeight="1" x14ac:dyDescent="0.2">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spans="1:26" ht="12.75" customHeight="1" x14ac:dyDescent="0.2">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spans="1:26" ht="12.75" customHeight="1" x14ac:dyDescent="0.2">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spans="1:26" ht="12.75" customHeight="1" x14ac:dyDescent="0.2">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spans="1:26" ht="12.75" customHeight="1" x14ac:dyDescent="0.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spans="1:26" ht="12.75" customHeight="1" x14ac:dyDescent="0.2">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spans="1:26" ht="12.75" customHeight="1" x14ac:dyDescent="0.2">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spans="1:26" ht="12.75" customHeight="1" x14ac:dyDescent="0.2">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spans="1:26" ht="12.75" customHeight="1" x14ac:dyDescent="0.2">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spans="1:26" ht="12.75" customHeight="1" x14ac:dyDescent="0.2">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spans="1:26" ht="12.75" customHeight="1" x14ac:dyDescent="0.2">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spans="1:26" ht="12.75" customHeight="1" x14ac:dyDescent="0.2">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spans="1:26" ht="12.75" customHeight="1" x14ac:dyDescent="0.2">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spans="1:26" ht="12.75" customHeight="1" x14ac:dyDescent="0.2">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spans="1:26" ht="12.75" customHeight="1" x14ac:dyDescent="0.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spans="1:26" ht="12.75" customHeight="1" x14ac:dyDescent="0.2">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spans="1:26" ht="12.75" customHeight="1" x14ac:dyDescent="0.2">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spans="1:26" ht="12.75" customHeight="1" x14ac:dyDescent="0.2">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spans="1:26" ht="12.75" customHeight="1" x14ac:dyDescent="0.2">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spans="1:26" ht="12.75" customHeight="1" x14ac:dyDescent="0.2">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spans="1:26" ht="12.75" customHeight="1" x14ac:dyDescent="0.2">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spans="1:26" ht="12.75" customHeight="1" x14ac:dyDescent="0.2">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spans="1:26" ht="12.75" customHeight="1" x14ac:dyDescent="0.2">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spans="1:26" ht="12.75" customHeight="1" x14ac:dyDescent="0.2">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spans="1:26" ht="12.75" customHeight="1" x14ac:dyDescent="0.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spans="1:26" ht="12.75" customHeight="1" x14ac:dyDescent="0.2">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spans="1:26" ht="12.75" customHeight="1" x14ac:dyDescent="0.2">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spans="1:26" ht="12.75" customHeight="1" x14ac:dyDescent="0.2">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spans="1:26" ht="12.75" customHeight="1" x14ac:dyDescent="0.2">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spans="1:26" ht="12.75" customHeight="1" x14ac:dyDescent="0.2">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spans="1:26" ht="12.75" customHeight="1" x14ac:dyDescent="0.2">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spans="1:26" ht="12.75" customHeight="1" x14ac:dyDescent="0.2">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spans="1:26" ht="12.75" customHeight="1" x14ac:dyDescent="0.2">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spans="1:26" ht="12.75" customHeight="1" x14ac:dyDescent="0.2">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spans="1:26" ht="12.75" customHeight="1" x14ac:dyDescent="0.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spans="1:26" ht="12.75" customHeight="1" x14ac:dyDescent="0.2">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spans="1:26" ht="12.75" customHeight="1" x14ac:dyDescent="0.2">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spans="1:26" ht="12.75" customHeight="1" x14ac:dyDescent="0.2">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spans="1:26" ht="12.75" customHeight="1" x14ac:dyDescent="0.2">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spans="1:26" ht="12.75" customHeight="1" x14ac:dyDescent="0.2">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spans="1:26" ht="12.75" customHeight="1" x14ac:dyDescent="0.2">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spans="1:26" ht="12.75" customHeight="1" x14ac:dyDescent="0.2">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spans="1:26" ht="12.75" customHeight="1" x14ac:dyDescent="0.2">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spans="1:26" ht="12.75" customHeight="1" x14ac:dyDescent="0.2">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spans="1:26" ht="12.75" customHeight="1" x14ac:dyDescent="0.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spans="1:26" ht="12.75" customHeight="1" x14ac:dyDescent="0.2">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spans="1:26" ht="12.75" customHeight="1" x14ac:dyDescent="0.2">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spans="1:26" ht="12.75" customHeight="1" x14ac:dyDescent="0.2">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spans="1:26" ht="12.75" customHeight="1" x14ac:dyDescent="0.2">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spans="1:26" ht="12.75" customHeight="1" x14ac:dyDescent="0.2">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spans="1:26" ht="12.75" customHeight="1" x14ac:dyDescent="0.2">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spans="1:26" ht="12.75" customHeight="1" x14ac:dyDescent="0.2">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spans="1:26" ht="12.75" customHeight="1" x14ac:dyDescent="0.2">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spans="1:26" ht="12.75" customHeight="1" x14ac:dyDescent="0.2">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spans="1:26" ht="12.75" customHeight="1" x14ac:dyDescent="0.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spans="1:26" ht="12.75" customHeight="1" x14ac:dyDescent="0.2">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spans="1:26" ht="12.75" customHeight="1" x14ac:dyDescent="0.2">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spans="1:26" ht="12.75" customHeight="1" x14ac:dyDescent="0.2">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spans="1:26" ht="12.75" customHeight="1" x14ac:dyDescent="0.2">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spans="1:26" ht="12.75" customHeight="1" x14ac:dyDescent="0.2">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spans="1:26" ht="12.75" customHeight="1" x14ac:dyDescent="0.2">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spans="1:26" ht="12.75" customHeight="1" x14ac:dyDescent="0.2">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spans="1:26" ht="12.75" customHeight="1" x14ac:dyDescent="0.2">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spans="1:26" ht="12.75" customHeight="1" x14ac:dyDescent="0.2">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spans="1:26" ht="12.75" customHeight="1" x14ac:dyDescent="0.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spans="1:26" ht="12.75" customHeight="1" x14ac:dyDescent="0.2">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spans="1:26" ht="12.75" customHeight="1" x14ac:dyDescent="0.2">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spans="1:26" ht="12.75" customHeight="1" x14ac:dyDescent="0.2">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spans="1:26" ht="12.75" customHeight="1" x14ac:dyDescent="0.2">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spans="1:26" ht="12.75" customHeight="1" x14ac:dyDescent="0.2">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spans="1:26" ht="12.75" customHeight="1" x14ac:dyDescent="0.2">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spans="1:26" ht="12.75" customHeight="1" x14ac:dyDescent="0.2">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spans="1:26" ht="12.75" customHeight="1" x14ac:dyDescent="0.2">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spans="1:26" ht="12.75" customHeight="1" x14ac:dyDescent="0.2">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spans="1:26" ht="12.75" customHeight="1" x14ac:dyDescent="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spans="1:26" ht="12.75" customHeight="1" x14ac:dyDescent="0.2">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spans="1:26" ht="12.75" customHeight="1" x14ac:dyDescent="0.2">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spans="1:26" ht="12.75" customHeight="1" x14ac:dyDescent="0.2">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spans="1:26" ht="12.75" customHeight="1" x14ac:dyDescent="0.2">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spans="1:26" ht="12.75" customHeight="1" x14ac:dyDescent="0.2">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spans="1:26" ht="12.75" customHeight="1" x14ac:dyDescent="0.2">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spans="1:26" ht="12.75" customHeight="1" x14ac:dyDescent="0.2">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spans="1:26" ht="12.75" customHeight="1" x14ac:dyDescent="0.2">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spans="1:26" ht="12.75" customHeight="1" x14ac:dyDescent="0.2">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spans="1:26" ht="12.75" customHeight="1" x14ac:dyDescent="0.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spans="1:26" ht="12.75" customHeight="1" x14ac:dyDescent="0.2">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spans="1:26" ht="12.75" customHeight="1" x14ac:dyDescent="0.2">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spans="1:26" ht="12.75" customHeight="1" x14ac:dyDescent="0.2">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spans="1:26" ht="12.75" customHeight="1" x14ac:dyDescent="0.2">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spans="1:26" ht="12.75" customHeight="1" x14ac:dyDescent="0.2">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spans="1:26" ht="12.75" customHeight="1" x14ac:dyDescent="0.2">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spans="1:26" ht="12.75" customHeight="1" x14ac:dyDescent="0.2">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spans="1:26" ht="12.75" customHeight="1" x14ac:dyDescent="0.2">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spans="1:26" ht="12.75" customHeight="1" x14ac:dyDescent="0.2">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spans="1:26" ht="12.75" customHeight="1" x14ac:dyDescent="0.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spans="1:26" ht="12.75" customHeight="1" x14ac:dyDescent="0.2">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spans="1:26" ht="12.75" customHeight="1" x14ac:dyDescent="0.2">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spans="1:26" ht="12.75" customHeight="1" x14ac:dyDescent="0.2">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spans="1:26" ht="12.75" customHeight="1" x14ac:dyDescent="0.2">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spans="1:26" ht="12.75" customHeight="1" x14ac:dyDescent="0.2">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spans="1:26" ht="12.75" customHeight="1" x14ac:dyDescent="0.2">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spans="1:26" ht="12.75" customHeight="1" x14ac:dyDescent="0.2">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spans="1:26" ht="12.75" customHeight="1" x14ac:dyDescent="0.2">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spans="1:26" ht="12.75" customHeight="1" x14ac:dyDescent="0.2">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spans="1:26" ht="12.75" customHeight="1" x14ac:dyDescent="0.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spans="1:26" ht="12.75" customHeight="1" x14ac:dyDescent="0.2">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spans="1:26" ht="12.75" customHeight="1" x14ac:dyDescent="0.2">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spans="1:26" ht="12.75" customHeight="1" x14ac:dyDescent="0.2">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spans="1:26" ht="12.75" customHeight="1" x14ac:dyDescent="0.2">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spans="1:26" ht="12.75" customHeight="1" x14ac:dyDescent="0.2">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spans="1:26" ht="12.75" customHeight="1" x14ac:dyDescent="0.2">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spans="1:26" ht="12.75" customHeight="1" x14ac:dyDescent="0.2">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spans="1:26" ht="12.75" customHeight="1" x14ac:dyDescent="0.2">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spans="1:26" ht="12.75" customHeight="1" x14ac:dyDescent="0.2">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spans="1:26" ht="12.75" customHeight="1" x14ac:dyDescent="0.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spans="1:26" ht="12.75" customHeight="1" x14ac:dyDescent="0.2">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spans="1:26" ht="12.75" customHeight="1" x14ac:dyDescent="0.2">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spans="1:26" ht="12.75" customHeight="1" x14ac:dyDescent="0.2">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spans="1:26" ht="12.75" customHeight="1" x14ac:dyDescent="0.2">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spans="1:26" ht="12.75" customHeight="1" x14ac:dyDescent="0.2">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spans="1:26" ht="12.75" customHeight="1" x14ac:dyDescent="0.2">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spans="1:26" ht="12.75" customHeight="1" x14ac:dyDescent="0.2">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spans="1:26" ht="12.75" customHeight="1" x14ac:dyDescent="0.2">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spans="1:26" ht="12.75" customHeight="1" x14ac:dyDescent="0.2">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spans="1:26" ht="12.75" customHeight="1" x14ac:dyDescent="0.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spans="1:26" ht="12.75" customHeight="1" x14ac:dyDescent="0.2">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spans="1:26" ht="12.75" customHeight="1" x14ac:dyDescent="0.2">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spans="1:26" ht="12.75" customHeight="1" x14ac:dyDescent="0.2">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spans="1:26" ht="12.75" customHeight="1" x14ac:dyDescent="0.2">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spans="1:26" ht="12.75" customHeight="1" x14ac:dyDescent="0.2">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spans="1:26" ht="12.75" customHeight="1" x14ac:dyDescent="0.2">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spans="1:26" ht="12.75" customHeight="1" x14ac:dyDescent="0.2">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spans="1:26" ht="12.75" customHeight="1" x14ac:dyDescent="0.2">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spans="1:26" ht="12.75" customHeight="1" x14ac:dyDescent="0.2">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spans="1:26" ht="12.75" customHeight="1" x14ac:dyDescent="0.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spans="1:26" ht="12.75" customHeight="1" x14ac:dyDescent="0.2">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spans="1:26" ht="12.75" customHeight="1" x14ac:dyDescent="0.2">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spans="1:26" ht="12.75" customHeight="1" x14ac:dyDescent="0.2">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spans="1:26" ht="12.75" customHeight="1" x14ac:dyDescent="0.2">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spans="1:26" ht="12.75" customHeight="1" x14ac:dyDescent="0.2">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spans="1:26" ht="12.75" customHeight="1" x14ac:dyDescent="0.2">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spans="1:26" ht="12.75" customHeight="1" x14ac:dyDescent="0.2">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spans="1:26" ht="12.75" customHeight="1" x14ac:dyDescent="0.2">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spans="1:26" ht="12.75" customHeight="1" x14ac:dyDescent="0.2">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spans="1:26" ht="12.75" customHeight="1" x14ac:dyDescent="0.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spans="1:26" ht="12.75" customHeight="1" x14ac:dyDescent="0.2">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spans="1:26" ht="12.75" customHeight="1" x14ac:dyDescent="0.2">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spans="1:26" ht="12.75" customHeight="1" x14ac:dyDescent="0.2">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spans="1:26" ht="12.75" customHeight="1" x14ac:dyDescent="0.2">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spans="1:26" ht="12.75" customHeight="1" x14ac:dyDescent="0.2">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spans="1:26" ht="12.75" customHeight="1" x14ac:dyDescent="0.2">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spans="1:26" ht="12.75" customHeight="1" x14ac:dyDescent="0.2">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spans="1:26" ht="12.75" customHeight="1" x14ac:dyDescent="0.2">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spans="1:26" ht="12.75" customHeight="1" x14ac:dyDescent="0.2">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spans="1:26" ht="12.75" customHeight="1" x14ac:dyDescent="0.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spans="1:26" ht="12.75" customHeight="1" x14ac:dyDescent="0.2">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spans="1:26" ht="12.75" customHeight="1" x14ac:dyDescent="0.2">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spans="1:26" ht="12.75" customHeight="1" x14ac:dyDescent="0.2">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spans="1:26" ht="12.75" customHeight="1" x14ac:dyDescent="0.2">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spans="1:26" ht="12.75" customHeight="1" x14ac:dyDescent="0.2">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spans="1:26" ht="12.75" customHeight="1" x14ac:dyDescent="0.2">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spans="1:26" ht="12.75" customHeight="1" x14ac:dyDescent="0.2">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spans="1:26" ht="12.75" customHeight="1" x14ac:dyDescent="0.2">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spans="1:26" ht="12.75" customHeight="1" x14ac:dyDescent="0.2">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spans="1:26" ht="12.75" customHeight="1" x14ac:dyDescent="0.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spans="1:26" ht="12.75" customHeight="1" x14ac:dyDescent="0.2">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spans="1:26" ht="12.75" customHeight="1" x14ac:dyDescent="0.2">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spans="1:26" ht="12.75" customHeight="1" x14ac:dyDescent="0.2">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spans="1:26" ht="12.75" customHeight="1" x14ac:dyDescent="0.2">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spans="1:26" ht="12.75" customHeight="1" x14ac:dyDescent="0.2">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spans="1:26" ht="12.75" customHeight="1" x14ac:dyDescent="0.2">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spans="1:26" ht="12.75" customHeight="1" x14ac:dyDescent="0.2">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spans="1:26" ht="12.75" customHeight="1" x14ac:dyDescent="0.2">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spans="1:26" ht="12.75" customHeight="1" x14ac:dyDescent="0.2">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spans="1:26" ht="12.75" customHeight="1" x14ac:dyDescent="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spans="1:26" ht="12.75" customHeight="1" x14ac:dyDescent="0.2">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spans="1:26" ht="12.75" customHeight="1" x14ac:dyDescent="0.2">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spans="1:26" ht="12.75" customHeight="1" x14ac:dyDescent="0.2">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spans="1:26" ht="12.75" customHeight="1" x14ac:dyDescent="0.2">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spans="1:26" ht="12.75" customHeight="1" x14ac:dyDescent="0.2">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spans="1:26" ht="12.75" customHeight="1" x14ac:dyDescent="0.2">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spans="1:26" ht="12.75" customHeight="1" x14ac:dyDescent="0.2">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spans="1:26" ht="12.75" customHeight="1" x14ac:dyDescent="0.2">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spans="1:26" ht="12.75" customHeight="1" x14ac:dyDescent="0.2">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spans="1:26" ht="12.75" customHeight="1" x14ac:dyDescent="0.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spans="1:26" ht="12.75" customHeight="1" x14ac:dyDescent="0.2">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spans="1:26" ht="12.75" customHeight="1" x14ac:dyDescent="0.2">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spans="1:26" ht="12.75" customHeight="1" x14ac:dyDescent="0.2">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spans="1:26" ht="12.75" customHeight="1" x14ac:dyDescent="0.2">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spans="1:26" ht="12.75" customHeight="1" x14ac:dyDescent="0.2">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spans="1:26" ht="12.75" customHeight="1" x14ac:dyDescent="0.2">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spans="1:26" ht="12.75" customHeight="1" x14ac:dyDescent="0.2">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spans="1:26" ht="12.75" customHeight="1" x14ac:dyDescent="0.2">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spans="1:26" ht="12.75" customHeight="1" x14ac:dyDescent="0.2">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spans="1:26" ht="12.75" customHeight="1" x14ac:dyDescent="0.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spans="1:26" ht="12.75" customHeight="1" x14ac:dyDescent="0.2">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spans="1:26" ht="12.75" customHeight="1" x14ac:dyDescent="0.2">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spans="1:26" ht="12.75" customHeight="1" x14ac:dyDescent="0.2">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spans="1:26" ht="12.75" customHeight="1" x14ac:dyDescent="0.2">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spans="1:26" ht="12.75" customHeight="1" x14ac:dyDescent="0.2">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spans="1:26" ht="12.75" customHeight="1" x14ac:dyDescent="0.2">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spans="1:26" ht="12.75" customHeight="1" x14ac:dyDescent="0.2">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spans="1:26" ht="12.75" customHeight="1" x14ac:dyDescent="0.2">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spans="1:26" ht="12.75" customHeight="1" x14ac:dyDescent="0.2">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spans="1:26" ht="12.75" customHeight="1" x14ac:dyDescent="0.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spans="1:26" ht="12.75" customHeight="1" x14ac:dyDescent="0.2">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spans="1:26" ht="12.75" customHeight="1" x14ac:dyDescent="0.2">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spans="1:26" ht="12.75" customHeight="1" x14ac:dyDescent="0.2">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spans="1:26" ht="12.75" customHeight="1" x14ac:dyDescent="0.2">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spans="1:26" ht="12.75" customHeight="1" x14ac:dyDescent="0.2">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spans="1:26" ht="12.75" customHeight="1" x14ac:dyDescent="0.2">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spans="1:26" ht="12.75" customHeight="1" x14ac:dyDescent="0.2">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spans="1:26" ht="12.75" customHeight="1" x14ac:dyDescent="0.2">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spans="1:26" ht="12.75" customHeight="1" x14ac:dyDescent="0.2">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spans="1:26" ht="12.75" customHeight="1" x14ac:dyDescent="0.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spans="1:26" ht="12.75" customHeight="1" x14ac:dyDescent="0.2">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spans="1:26" ht="12.75" customHeight="1" x14ac:dyDescent="0.2">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spans="1:26" ht="12.75" customHeight="1" x14ac:dyDescent="0.2">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spans="1:26" ht="12.75" customHeight="1" x14ac:dyDescent="0.2">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spans="1:26" ht="12.75" customHeight="1" x14ac:dyDescent="0.2">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spans="1:26" ht="12.75" customHeight="1" x14ac:dyDescent="0.2">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spans="1:26" ht="12.75" customHeight="1" x14ac:dyDescent="0.2">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spans="1:26" ht="12.75" customHeight="1" x14ac:dyDescent="0.2">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spans="1:26" ht="12.75" customHeight="1" x14ac:dyDescent="0.2">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spans="1:26" ht="12.75" customHeight="1" x14ac:dyDescent="0.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spans="1:26" ht="12.75" customHeight="1" x14ac:dyDescent="0.2">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spans="1:26" ht="12.75" customHeight="1" x14ac:dyDescent="0.2">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spans="1:26" ht="12.75" customHeight="1" x14ac:dyDescent="0.2">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spans="1:26" ht="12.75" customHeight="1" x14ac:dyDescent="0.2">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spans="1:26" ht="12.75" customHeight="1" x14ac:dyDescent="0.2">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spans="1:26" ht="12.75" customHeight="1" x14ac:dyDescent="0.2">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spans="1:26" ht="12.75" customHeight="1" x14ac:dyDescent="0.2">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spans="1:26" ht="12.75" customHeight="1" x14ac:dyDescent="0.2">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spans="1:26" ht="12.75" customHeight="1" x14ac:dyDescent="0.2">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spans="1:26" ht="12.75" customHeight="1" x14ac:dyDescent="0.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spans="1:26" ht="12.75" customHeight="1" x14ac:dyDescent="0.2">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spans="1:26" ht="12.75" customHeight="1" x14ac:dyDescent="0.2">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spans="1:26" ht="12.75" customHeight="1" x14ac:dyDescent="0.2">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spans="1:26" ht="12.75" customHeight="1" x14ac:dyDescent="0.2">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spans="1:26" ht="12.75" customHeight="1" x14ac:dyDescent="0.2">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spans="1:26" ht="12.75" customHeight="1" x14ac:dyDescent="0.2">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spans="1:26" ht="12.75" customHeight="1" x14ac:dyDescent="0.2">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spans="1:26" ht="12.75" customHeight="1" x14ac:dyDescent="0.2">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spans="1:26" ht="12.75" customHeight="1" x14ac:dyDescent="0.2">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spans="1:26" ht="12.75" customHeight="1" x14ac:dyDescent="0.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spans="1:26" ht="12.75" customHeight="1" x14ac:dyDescent="0.2">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spans="1:26" ht="12.75" customHeight="1" x14ac:dyDescent="0.2">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spans="1:26" ht="12.75" customHeight="1" x14ac:dyDescent="0.2">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spans="1:26" ht="12.75" customHeight="1" x14ac:dyDescent="0.2">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spans="1:26" ht="12.75" customHeight="1" x14ac:dyDescent="0.2">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spans="1:26" ht="12.75" customHeight="1" x14ac:dyDescent="0.2">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spans="1:26" ht="12.75" customHeight="1" x14ac:dyDescent="0.2">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spans="1:26" ht="12.75" customHeight="1" x14ac:dyDescent="0.2">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spans="1:26" ht="12.75" customHeight="1" x14ac:dyDescent="0.2">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spans="1:26" ht="12.75" customHeight="1" x14ac:dyDescent="0.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spans="1:26" ht="12.75" customHeight="1" x14ac:dyDescent="0.2">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spans="1:26" ht="12.75" customHeight="1" x14ac:dyDescent="0.2">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spans="1:26" ht="12.75" customHeight="1" x14ac:dyDescent="0.2">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spans="1:26" ht="12.75" customHeight="1" x14ac:dyDescent="0.2">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spans="1:26" ht="12.75" customHeight="1" x14ac:dyDescent="0.2">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spans="1:26" ht="12.75" customHeight="1" x14ac:dyDescent="0.2">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spans="1:26" ht="12.75" customHeight="1" x14ac:dyDescent="0.2">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spans="1:26" ht="12.75" customHeight="1" x14ac:dyDescent="0.2">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spans="1:26" ht="12.75" customHeight="1" x14ac:dyDescent="0.2">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spans="1:26" ht="12.75" customHeight="1" x14ac:dyDescent="0.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spans="1:26" ht="12.75" customHeight="1" x14ac:dyDescent="0.2">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spans="1:26" ht="12.75" customHeight="1" x14ac:dyDescent="0.2">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spans="1:26" ht="12.75" customHeight="1" x14ac:dyDescent="0.2">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spans="1:26" ht="12.75" customHeight="1" x14ac:dyDescent="0.2">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spans="1:26" ht="12.75" customHeight="1" x14ac:dyDescent="0.2">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spans="1:26" ht="12.75" customHeight="1" x14ac:dyDescent="0.2">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spans="1:26" ht="12.75" customHeight="1" x14ac:dyDescent="0.2">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spans="1:26" ht="12.75" customHeight="1" x14ac:dyDescent="0.2">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spans="1:26" ht="12.75" customHeight="1" x14ac:dyDescent="0.2">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spans="1:26" ht="12.75" customHeight="1" x14ac:dyDescent="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spans="1:26" ht="12.75" customHeight="1" x14ac:dyDescent="0.2">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spans="1:26" ht="12.75" customHeight="1" x14ac:dyDescent="0.2">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spans="1:26" ht="12.75" customHeight="1" x14ac:dyDescent="0.2">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spans="1:26" ht="12.75" customHeight="1" x14ac:dyDescent="0.2">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spans="1:26" ht="12.75" customHeight="1" x14ac:dyDescent="0.2">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spans="1:26" ht="12.75" customHeight="1" x14ac:dyDescent="0.2">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spans="1:26" ht="12.75" customHeight="1" x14ac:dyDescent="0.2">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spans="1:26" ht="12.75" customHeight="1" x14ac:dyDescent="0.2">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spans="1:26" ht="12.75" customHeight="1" x14ac:dyDescent="0.2">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spans="1:26" ht="12.75" customHeight="1" x14ac:dyDescent="0.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spans="1:26" ht="12.75" customHeight="1" x14ac:dyDescent="0.2">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spans="1:26" ht="12.75" customHeight="1" x14ac:dyDescent="0.2">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spans="1:26" ht="12.75" customHeight="1" x14ac:dyDescent="0.2">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spans="1:26" ht="12.75" customHeight="1" x14ac:dyDescent="0.2">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spans="1:26" ht="12.75" customHeight="1" x14ac:dyDescent="0.2">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spans="1:26" ht="12.75" customHeight="1" x14ac:dyDescent="0.2">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spans="1:26" ht="12.75" customHeight="1" x14ac:dyDescent="0.2">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spans="1:26" ht="12.75" customHeight="1" x14ac:dyDescent="0.2">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spans="1:26" ht="12.75" customHeight="1" x14ac:dyDescent="0.2">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spans="1:26" ht="12.75" customHeight="1" x14ac:dyDescent="0.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spans="1:26" ht="12.75" customHeight="1" x14ac:dyDescent="0.2">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spans="1:26" ht="12.75" customHeight="1" x14ac:dyDescent="0.2">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spans="1:26" ht="12.75" customHeight="1" x14ac:dyDescent="0.2">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spans="1:26" ht="12.75" customHeight="1" x14ac:dyDescent="0.2">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spans="1:26" ht="12.75" customHeight="1" x14ac:dyDescent="0.2">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spans="1:26" ht="12.75" customHeight="1" x14ac:dyDescent="0.2">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spans="1:26" ht="12.75" customHeight="1" x14ac:dyDescent="0.2">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spans="1:26" ht="12.75" customHeight="1" x14ac:dyDescent="0.2">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spans="1:26" ht="12.75" customHeight="1" x14ac:dyDescent="0.2">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spans="1:26" ht="12.75" customHeight="1" x14ac:dyDescent="0.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spans="1:26" ht="12.75" customHeight="1" x14ac:dyDescent="0.2">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spans="1:26" ht="12.75" customHeight="1" x14ac:dyDescent="0.2">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spans="1:26" ht="12.75" customHeight="1" x14ac:dyDescent="0.2">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spans="1:26" ht="12.75" customHeight="1" x14ac:dyDescent="0.2">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spans="1:26" ht="12.75" customHeight="1" x14ac:dyDescent="0.2">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spans="1:26" ht="12.75" customHeight="1" x14ac:dyDescent="0.2">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spans="1:26" ht="12.75" customHeight="1" x14ac:dyDescent="0.2">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spans="1:26" ht="12.75" customHeight="1" x14ac:dyDescent="0.2">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spans="1:26" ht="12.75" customHeight="1" x14ac:dyDescent="0.2">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spans="1:26" ht="12.75" customHeight="1" x14ac:dyDescent="0.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spans="1:26" ht="12.75" customHeight="1" x14ac:dyDescent="0.2">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spans="1:26" ht="12.75" customHeight="1" x14ac:dyDescent="0.2">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spans="1:26" ht="12.75" customHeight="1" x14ac:dyDescent="0.2">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spans="1:26" ht="12.75" customHeight="1" x14ac:dyDescent="0.2">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spans="1:26" ht="12.75" customHeight="1" x14ac:dyDescent="0.2">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spans="1:26" ht="12.75" customHeight="1" x14ac:dyDescent="0.2">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spans="1:26" ht="12.75" customHeight="1" x14ac:dyDescent="0.2">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spans="1:26" ht="12.75" customHeight="1" x14ac:dyDescent="0.2">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spans="1:26" ht="12.75" customHeight="1" x14ac:dyDescent="0.2">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spans="1:26" ht="12.75" customHeight="1" x14ac:dyDescent="0.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spans="1:26" ht="12.75" customHeight="1" x14ac:dyDescent="0.2">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spans="1:26" ht="12.75" customHeight="1" x14ac:dyDescent="0.2">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spans="1:26" ht="12.75" customHeight="1" x14ac:dyDescent="0.2">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spans="1:26" ht="12.75" customHeight="1" x14ac:dyDescent="0.2">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spans="1:26" ht="12.75" customHeight="1" x14ac:dyDescent="0.2">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spans="1:26" ht="12.75" customHeight="1" x14ac:dyDescent="0.2">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spans="1:26" ht="12.75" customHeight="1" x14ac:dyDescent="0.2">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spans="1:26" ht="12.75" customHeight="1" x14ac:dyDescent="0.2">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spans="1:26" ht="12.75" customHeight="1" x14ac:dyDescent="0.2">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spans="1:26" ht="12.75" customHeight="1" x14ac:dyDescent="0.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spans="1:26" ht="12.75" customHeight="1" x14ac:dyDescent="0.2">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spans="1:26" ht="12.75" customHeight="1" x14ac:dyDescent="0.2">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spans="1:26" ht="12.75" customHeight="1" x14ac:dyDescent="0.2">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spans="1:26" ht="12.75" customHeight="1" x14ac:dyDescent="0.2">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spans="1:26" ht="12.75" customHeight="1" x14ac:dyDescent="0.2">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spans="1:26" ht="12.75" customHeight="1" x14ac:dyDescent="0.2">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spans="1:26" ht="12.75" customHeight="1" x14ac:dyDescent="0.2">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spans="1:26" ht="12.75" customHeight="1" x14ac:dyDescent="0.2">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spans="1:26" ht="12.75" customHeight="1" x14ac:dyDescent="0.2">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spans="1:26" ht="12.75" customHeight="1" x14ac:dyDescent="0.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spans="1:26" ht="12.75" customHeight="1" x14ac:dyDescent="0.2">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spans="1:26" ht="12.75" customHeight="1" x14ac:dyDescent="0.2">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spans="1:26" ht="12.75" customHeight="1" x14ac:dyDescent="0.2">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spans="1:26" ht="12.75" customHeight="1" x14ac:dyDescent="0.2">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spans="1:26" ht="12.75" customHeight="1" x14ac:dyDescent="0.2">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spans="1:26" ht="12.75" customHeight="1" x14ac:dyDescent="0.2">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spans="1:26" ht="12.75" customHeight="1" x14ac:dyDescent="0.2">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spans="1:26" ht="12.75" customHeight="1" x14ac:dyDescent="0.2">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spans="1:26" ht="12.75" customHeight="1" x14ac:dyDescent="0.2">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spans="1:26" ht="12.75" customHeight="1" x14ac:dyDescent="0.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spans="1:26" ht="12.75" customHeight="1" x14ac:dyDescent="0.2">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spans="1:26" ht="12.75" customHeight="1" x14ac:dyDescent="0.2">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spans="1:26" ht="12.75" customHeight="1" x14ac:dyDescent="0.2">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spans="1:26" ht="12.75" customHeight="1" x14ac:dyDescent="0.2">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spans="1:26" ht="12.75" customHeight="1" x14ac:dyDescent="0.2">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spans="1:26" ht="12.75" customHeight="1" x14ac:dyDescent="0.2">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spans="1:26" ht="12.75" customHeight="1" x14ac:dyDescent="0.2">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spans="1:26" ht="12.75" customHeight="1" x14ac:dyDescent="0.2">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spans="1:26" ht="12.75" customHeight="1" x14ac:dyDescent="0.2">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spans="1:26" ht="12.75" customHeight="1" x14ac:dyDescent="0.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spans="1:26" ht="12.75" customHeight="1" x14ac:dyDescent="0.2">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spans="1:26" ht="12.75" customHeight="1" x14ac:dyDescent="0.2">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spans="1:26" ht="12.75" customHeight="1" x14ac:dyDescent="0.2">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spans="1:26" ht="12.75" customHeight="1" x14ac:dyDescent="0.2">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spans="1:26" ht="12.75" customHeight="1" x14ac:dyDescent="0.2">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spans="1:26" ht="12.75" customHeight="1" x14ac:dyDescent="0.2">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spans="1:26" ht="12.75" customHeight="1" x14ac:dyDescent="0.2">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spans="1:26" ht="12.75" customHeight="1" x14ac:dyDescent="0.2">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spans="1:26" ht="12.75" customHeight="1" x14ac:dyDescent="0.2">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spans="1:26" ht="12.75" customHeight="1" x14ac:dyDescent="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spans="1:26" ht="12.75" customHeight="1" x14ac:dyDescent="0.2">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spans="1:26" ht="12.75" customHeight="1" x14ac:dyDescent="0.2">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spans="1:26" ht="12.75" customHeight="1" x14ac:dyDescent="0.2">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spans="1:26" ht="12.75" customHeight="1" x14ac:dyDescent="0.2">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spans="1:26" ht="12.75" customHeight="1" x14ac:dyDescent="0.2">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spans="1:26" ht="12.75" customHeight="1" x14ac:dyDescent="0.2">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spans="1:26" ht="12.75" customHeight="1" x14ac:dyDescent="0.2">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spans="1:26" ht="12.75" customHeight="1" x14ac:dyDescent="0.2">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spans="1:26" ht="12.75" customHeight="1" x14ac:dyDescent="0.2">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spans="1:26" ht="12.75" customHeight="1" x14ac:dyDescent="0.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spans="1:26" ht="12.75" customHeight="1" x14ac:dyDescent="0.2">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spans="1:26" ht="12.75" customHeight="1" x14ac:dyDescent="0.2">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spans="1:26" ht="12.75" customHeight="1" x14ac:dyDescent="0.2">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spans="1:26" ht="12.75" customHeight="1" x14ac:dyDescent="0.2">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spans="1:26" ht="12.75" customHeight="1" x14ac:dyDescent="0.2">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spans="1:26" ht="12.75" customHeight="1" x14ac:dyDescent="0.2">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spans="1:26" ht="12.75" customHeight="1" x14ac:dyDescent="0.2">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spans="1:26" ht="12.75" customHeight="1" x14ac:dyDescent="0.2">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spans="1:26" ht="12.75" customHeight="1" x14ac:dyDescent="0.2">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spans="1:26" ht="12.75" customHeight="1" x14ac:dyDescent="0.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spans="1:26" ht="12.75" customHeight="1" x14ac:dyDescent="0.2">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spans="1:26" ht="12.75" customHeight="1" x14ac:dyDescent="0.2">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spans="1:26" ht="12.75" customHeight="1" x14ac:dyDescent="0.2">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spans="1:26" ht="12.75" customHeight="1" x14ac:dyDescent="0.2">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spans="1:26" ht="12.75" customHeight="1" x14ac:dyDescent="0.2">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spans="1:26" ht="12.75" customHeight="1" x14ac:dyDescent="0.2">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spans="1:26" ht="12.75" customHeight="1" x14ac:dyDescent="0.2">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spans="1:26" ht="12.75" customHeight="1" x14ac:dyDescent="0.2">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spans="1:26" ht="12.75" customHeight="1" x14ac:dyDescent="0.2">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spans="1:26" ht="12.75" customHeight="1" x14ac:dyDescent="0.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spans="1:26" ht="12.75" customHeight="1" x14ac:dyDescent="0.2">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spans="1:26" ht="12.75" customHeight="1" x14ac:dyDescent="0.2">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spans="1:26" ht="12.75" customHeight="1" x14ac:dyDescent="0.2">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spans="1:26" ht="12.75" customHeight="1" x14ac:dyDescent="0.2">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spans="1:26" ht="12.75" customHeight="1" x14ac:dyDescent="0.2">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spans="1:26" ht="12.75" customHeight="1" x14ac:dyDescent="0.2">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spans="1:26" ht="12.75" customHeight="1" x14ac:dyDescent="0.2">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spans="1:26" ht="12.75" customHeight="1" x14ac:dyDescent="0.2">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spans="1:26" ht="12.75" customHeight="1" x14ac:dyDescent="0.2">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spans="1:26" ht="12.75" customHeight="1" x14ac:dyDescent="0.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spans="1:26" ht="12.75" customHeight="1" x14ac:dyDescent="0.2">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spans="1:26" ht="12.75" customHeight="1" x14ac:dyDescent="0.2">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spans="1:26" ht="12.75" customHeight="1" x14ac:dyDescent="0.2">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spans="1:26" ht="12.75" customHeight="1" x14ac:dyDescent="0.2">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spans="1:26" ht="12.75" customHeight="1" x14ac:dyDescent="0.2">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spans="1:26" ht="12.75" customHeight="1" x14ac:dyDescent="0.2">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spans="1:26" ht="12.75" customHeight="1" x14ac:dyDescent="0.2">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spans="1:26" ht="12.75" customHeight="1" x14ac:dyDescent="0.2">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spans="1:26" ht="12.75" customHeight="1" x14ac:dyDescent="0.2">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spans="1:26" ht="12.75" customHeight="1" x14ac:dyDescent="0.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spans="1:26" ht="12.75" customHeight="1" x14ac:dyDescent="0.2">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spans="1:26" ht="12.75" customHeight="1" x14ac:dyDescent="0.2">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spans="1:26" ht="12.75" customHeight="1" x14ac:dyDescent="0.2">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spans="1:26" ht="12.75" customHeight="1" x14ac:dyDescent="0.2">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spans="1:26" ht="12.75" customHeight="1" x14ac:dyDescent="0.2">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spans="1:26" ht="12.75" customHeight="1" x14ac:dyDescent="0.2">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spans="1:26" ht="12.75" customHeight="1" x14ac:dyDescent="0.2">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spans="1:26" ht="12.75" customHeight="1" x14ac:dyDescent="0.2">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spans="1:26" ht="12.75" customHeight="1" x14ac:dyDescent="0.2">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spans="1:26" ht="12.75" customHeight="1" x14ac:dyDescent="0.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spans="1:26" ht="12.75" customHeight="1" x14ac:dyDescent="0.2">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spans="1:26" ht="12.75" customHeight="1" x14ac:dyDescent="0.2">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spans="1:26" ht="12.75" customHeight="1" x14ac:dyDescent="0.2">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spans="1:26" ht="12.75" customHeight="1" x14ac:dyDescent="0.2">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spans="1:26" ht="12.75" customHeight="1" x14ac:dyDescent="0.2">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spans="1:26" ht="12.75" customHeight="1" x14ac:dyDescent="0.2">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spans="1:26" ht="12.75" customHeight="1" x14ac:dyDescent="0.2">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spans="1:26" ht="12.75" customHeight="1" x14ac:dyDescent="0.2">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spans="1:26" ht="12.75" customHeight="1" x14ac:dyDescent="0.2">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spans="1:26" ht="12.75" customHeight="1" x14ac:dyDescent="0.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spans="1:26" ht="12.75" customHeight="1" x14ac:dyDescent="0.2">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spans="1:26" ht="12.75" customHeight="1" x14ac:dyDescent="0.2">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spans="1:26" ht="12.75" customHeight="1" x14ac:dyDescent="0.2">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spans="1:26" ht="12.75" customHeight="1" x14ac:dyDescent="0.2">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spans="1:26" ht="12.75" customHeight="1" x14ac:dyDescent="0.2">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spans="1:26" ht="12.75" customHeight="1" x14ac:dyDescent="0.2">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spans="1:26" ht="12.75" customHeight="1" x14ac:dyDescent="0.2">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spans="1:26" ht="12.75" customHeight="1" x14ac:dyDescent="0.2">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spans="1:26" ht="12.75" customHeight="1" x14ac:dyDescent="0.2">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spans="1:26" ht="12.75" customHeight="1" x14ac:dyDescent="0.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spans="1:26" ht="12.75" customHeight="1" x14ac:dyDescent="0.2">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spans="1:26" ht="12.75" customHeight="1" x14ac:dyDescent="0.2">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spans="1:26" ht="12.75" customHeight="1" x14ac:dyDescent="0.2">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spans="1:26" ht="12.75" customHeight="1" x14ac:dyDescent="0.2">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spans="1:26" ht="12.75" customHeight="1" x14ac:dyDescent="0.2">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spans="1:26" ht="12.75" customHeight="1" x14ac:dyDescent="0.2">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spans="1:26" ht="12.75" customHeight="1" x14ac:dyDescent="0.2">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spans="1:26" ht="12.75" customHeight="1" x14ac:dyDescent="0.2">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spans="1:26" ht="12.75" customHeight="1" x14ac:dyDescent="0.2">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spans="1:26" ht="12.75" customHeight="1" x14ac:dyDescent="0.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spans="1:26" ht="12.75" customHeight="1" x14ac:dyDescent="0.2">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spans="1:26" ht="12.75" customHeight="1" x14ac:dyDescent="0.2">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spans="1:26" ht="12.75" customHeight="1" x14ac:dyDescent="0.2">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spans="1:26" ht="12.75" customHeight="1" x14ac:dyDescent="0.2">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spans="1:26" ht="12.75" customHeight="1" x14ac:dyDescent="0.2">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spans="1:26" ht="12.75" customHeight="1" x14ac:dyDescent="0.2">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spans="1:26" ht="12.75" customHeight="1" x14ac:dyDescent="0.2">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spans="1:26" ht="12.75" customHeight="1" x14ac:dyDescent="0.2">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01" t="s">
        <v>208</v>
      </c>
      <c r="E2" s="101" t="s">
        <v>209</v>
      </c>
    </row>
    <row r="3" spans="2:5" x14ac:dyDescent="0.25">
      <c r="B3" s="101" t="s">
        <v>210</v>
      </c>
      <c r="E3" s="101" t="s">
        <v>99</v>
      </c>
    </row>
    <row r="4" spans="2:5" x14ac:dyDescent="0.25">
      <c r="B4" s="101" t="s">
        <v>211</v>
      </c>
      <c r="E4" s="101" t="s">
        <v>212</v>
      </c>
    </row>
    <row r="5" spans="2:5" x14ac:dyDescent="0.25">
      <c r="B5" s="101" t="s">
        <v>107</v>
      </c>
    </row>
    <row r="8" spans="2:5" x14ac:dyDescent="0.25">
      <c r="B8" s="101" t="s">
        <v>213</v>
      </c>
    </row>
    <row r="9" spans="2:5" x14ac:dyDescent="0.25">
      <c r="B9" s="101" t="s">
        <v>113</v>
      </c>
    </row>
    <row r="10" spans="2:5" x14ac:dyDescent="0.25">
      <c r="B10" s="101" t="s">
        <v>111</v>
      </c>
    </row>
    <row r="13" spans="2:5" x14ac:dyDescent="0.25">
      <c r="B13" s="101" t="s">
        <v>214</v>
      </c>
    </row>
    <row r="14" spans="2:5" x14ac:dyDescent="0.25">
      <c r="B14" s="101" t="s">
        <v>100</v>
      </c>
    </row>
    <row r="15" spans="2:5" x14ac:dyDescent="0.25">
      <c r="B15" s="101" t="s">
        <v>215</v>
      </c>
    </row>
    <row r="16" spans="2:5" x14ac:dyDescent="0.25">
      <c r="B16" s="101" t="s">
        <v>216</v>
      </c>
    </row>
    <row r="17" spans="2:2" x14ac:dyDescent="0.25">
      <c r="B17" s="101" t="s">
        <v>217</v>
      </c>
    </row>
    <row r="18" spans="2:2" x14ac:dyDescent="0.25">
      <c r="B18" s="101" t="s">
        <v>218</v>
      </c>
    </row>
    <row r="19" spans="2:2" x14ac:dyDescent="0.25">
      <c r="B19" s="101" t="s">
        <v>219</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19"/>
      <c r="B1" s="119"/>
      <c r="C1" s="119"/>
      <c r="D1" s="119"/>
      <c r="E1" s="119"/>
      <c r="F1" s="119"/>
      <c r="G1" s="119"/>
      <c r="H1" s="119"/>
      <c r="I1" s="119"/>
      <c r="J1" s="119"/>
      <c r="K1" s="119"/>
      <c r="L1" s="119"/>
      <c r="M1" s="119"/>
      <c r="N1" s="119"/>
      <c r="O1" s="119"/>
      <c r="P1" s="119"/>
      <c r="Q1" s="119"/>
      <c r="R1" s="119"/>
      <c r="S1" s="119"/>
      <c r="T1" s="119"/>
      <c r="U1" s="119"/>
      <c r="V1" s="119"/>
      <c r="W1" s="119"/>
      <c r="X1" s="119"/>
      <c r="Y1" s="119"/>
      <c r="Z1" s="119"/>
    </row>
    <row r="2" spans="1:26" ht="12.75" customHeight="1" x14ac:dyDescent="0.2">
      <c r="A2" s="119"/>
      <c r="B2" s="119"/>
      <c r="C2" s="119"/>
      <c r="D2" s="119"/>
      <c r="E2" s="119"/>
      <c r="F2" s="119"/>
      <c r="G2" s="119"/>
      <c r="H2" s="119"/>
      <c r="I2" s="119"/>
      <c r="J2" s="119"/>
      <c r="K2" s="119"/>
      <c r="L2" s="119"/>
      <c r="M2" s="119"/>
      <c r="N2" s="119"/>
      <c r="O2" s="119"/>
      <c r="P2" s="119"/>
      <c r="Q2" s="119"/>
      <c r="R2" s="119"/>
      <c r="S2" s="119"/>
      <c r="T2" s="119"/>
      <c r="U2" s="119"/>
      <c r="V2" s="119"/>
      <c r="W2" s="119"/>
      <c r="X2" s="119"/>
      <c r="Y2" s="119"/>
      <c r="Z2" s="119"/>
    </row>
    <row r="3" spans="1:26" ht="12.75" customHeight="1" x14ac:dyDescent="0.2">
      <c r="A3" s="120" t="s">
        <v>102</v>
      </c>
      <c r="B3" s="119"/>
      <c r="C3" s="119"/>
      <c r="D3" s="119"/>
      <c r="E3" s="119"/>
      <c r="F3" s="119"/>
      <c r="G3" s="119"/>
      <c r="H3" s="119"/>
      <c r="I3" s="119"/>
      <c r="J3" s="119"/>
      <c r="K3" s="119"/>
      <c r="L3" s="119"/>
      <c r="M3" s="119"/>
      <c r="N3" s="119"/>
      <c r="O3" s="119"/>
      <c r="P3" s="119"/>
      <c r="Q3" s="119"/>
      <c r="R3" s="119"/>
      <c r="S3" s="119"/>
      <c r="T3" s="119"/>
      <c r="U3" s="119"/>
      <c r="V3" s="119"/>
      <c r="W3" s="119"/>
      <c r="X3" s="119"/>
      <c r="Y3" s="119"/>
      <c r="Z3" s="119"/>
    </row>
    <row r="4" spans="1:26" ht="12.75" customHeight="1" x14ac:dyDescent="0.2">
      <c r="A4" s="120" t="s">
        <v>189</v>
      </c>
      <c r="B4" s="119"/>
      <c r="C4" s="119"/>
      <c r="D4" s="119"/>
      <c r="E4" s="119"/>
      <c r="F4" s="119"/>
      <c r="G4" s="119"/>
      <c r="H4" s="119"/>
      <c r="I4" s="119"/>
      <c r="J4" s="119"/>
      <c r="K4" s="119"/>
      <c r="L4" s="119"/>
      <c r="M4" s="119"/>
      <c r="N4" s="119"/>
      <c r="O4" s="119"/>
      <c r="P4" s="119"/>
      <c r="Q4" s="119"/>
      <c r="R4" s="119"/>
      <c r="S4" s="119"/>
      <c r="T4" s="119"/>
      <c r="U4" s="119"/>
      <c r="V4" s="119"/>
      <c r="W4" s="119"/>
      <c r="X4" s="119"/>
      <c r="Y4" s="119"/>
      <c r="Z4" s="119"/>
    </row>
    <row r="5" spans="1:26" ht="12.75" customHeight="1" x14ac:dyDescent="0.2">
      <c r="A5" s="120" t="s">
        <v>191</v>
      </c>
      <c r="B5" s="119"/>
      <c r="C5" s="119"/>
      <c r="D5" s="119"/>
      <c r="E5" s="119"/>
      <c r="F5" s="119"/>
      <c r="G5" s="119"/>
      <c r="H5" s="119"/>
      <c r="I5" s="119"/>
      <c r="J5" s="119"/>
      <c r="K5" s="119"/>
      <c r="L5" s="119"/>
      <c r="M5" s="119"/>
      <c r="N5" s="119"/>
      <c r="O5" s="119"/>
      <c r="P5" s="119"/>
      <c r="Q5" s="119"/>
      <c r="R5" s="119"/>
      <c r="S5" s="119"/>
      <c r="T5" s="119"/>
      <c r="U5" s="119"/>
      <c r="V5" s="119"/>
      <c r="W5" s="119"/>
      <c r="X5" s="119"/>
      <c r="Y5" s="119"/>
      <c r="Z5" s="119"/>
    </row>
    <row r="6" spans="1:26" ht="12.75" customHeight="1" x14ac:dyDescent="0.2">
      <c r="A6" s="120" t="s">
        <v>193</v>
      </c>
      <c r="B6" s="119"/>
      <c r="C6" s="119"/>
      <c r="D6" s="119"/>
      <c r="E6" s="119"/>
      <c r="F6" s="119"/>
      <c r="G6" s="119"/>
      <c r="H6" s="119"/>
      <c r="I6" s="119"/>
      <c r="J6" s="119"/>
      <c r="K6" s="119"/>
      <c r="L6" s="119"/>
      <c r="M6" s="119"/>
      <c r="N6" s="119"/>
      <c r="O6" s="119"/>
      <c r="P6" s="119"/>
      <c r="Q6" s="119"/>
      <c r="R6" s="119"/>
      <c r="S6" s="119"/>
      <c r="T6" s="119"/>
      <c r="U6" s="119"/>
      <c r="V6" s="119"/>
      <c r="W6" s="119"/>
      <c r="X6" s="119"/>
      <c r="Y6" s="119"/>
      <c r="Z6" s="119"/>
    </row>
    <row r="7" spans="1:26" ht="12.75" customHeight="1" x14ac:dyDescent="0.2">
      <c r="A7" s="120" t="s">
        <v>103</v>
      </c>
      <c r="B7" s="119"/>
      <c r="C7" s="119"/>
      <c r="D7" s="119"/>
      <c r="E7" s="119"/>
      <c r="F7" s="119"/>
      <c r="G7" s="119"/>
      <c r="H7" s="119"/>
      <c r="I7" s="119"/>
      <c r="J7" s="119"/>
      <c r="K7" s="119"/>
      <c r="L7" s="119"/>
      <c r="M7" s="119"/>
      <c r="N7" s="119"/>
      <c r="O7" s="119"/>
      <c r="P7" s="119"/>
      <c r="Q7" s="119"/>
      <c r="R7" s="119"/>
      <c r="S7" s="119"/>
      <c r="T7" s="119"/>
      <c r="U7" s="119"/>
      <c r="V7" s="119"/>
      <c r="W7" s="119"/>
      <c r="X7" s="119"/>
      <c r="Y7" s="119"/>
      <c r="Z7" s="119"/>
    </row>
    <row r="8" spans="1:26" ht="12.75" customHeight="1" x14ac:dyDescent="0.2">
      <c r="A8" s="120" t="s">
        <v>104</v>
      </c>
      <c r="B8" s="119"/>
      <c r="C8" s="119"/>
      <c r="D8" s="119"/>
      <c r="E8" s="119"/>
      <c r="F8" s="119"/>
      <c r="G8" s="119"/>
      <c r="H8" s="119"/>
      <c r="I8" s="119"/>
      <c r="J8" s="119"/>
      <c r="K8" s="119"/>
      <c r="L8" s="119"/>
      <c r="M8" s="119"/>
      <c r="N8" s="119"/>
      <c r="O8" s="119"/>
      <c r="P8" s="119"/>
      <c r="Q8" s="119"/>
      <c r="R8" s="119"/>
      <c r="S8" s="119"/>
      <c r="T8" s="119"/>
      <c r="U8" s="119"/>
      <c r="V8" s="119"/>
      <c r="W8" s="119"/>
      <c r="X8" s="119"/>
      <c r="Y8" s="119"/>
      <c r="Z8" s="119"/>
    </row>
    <row r="9" spans="1:26" ht="12.75" customHeight="1" x14ac:dyDescent="0.2">
      <c r="A9" s="120" t="s">
        <v>199</v>
      </c>
      <c r="B9" s="119"/>
      <c r="C9" s="119"/>
      <c r="D9" s="119"/>
      <c r="E9" s="119"/>
      <c r="F9" s="119"/>
      <c r="G9" s="119"/>
      <c r="H9" s="119"/>
      <c r="I9" s="119"/>
      <c r="J9" s="119"/>
      <c r="K9" s="119"/>
      <c r="L9" s="119"/>
      <c r="M9" s="119"/>
      <c r="N9" s="119"/>
      <c r="O9" s="119"/>
      <c r="P9" s="119"/>
      <c r="Q9" s="119"/>
      <c r="R9" s="119"/>
      <c r="S9" s="119"/>
      <c r="T9" s="119"/>
      <c r="U9" s="119"/>
      <c r="V9" s="119"/>
      <c r="W9" s="119"/>
      <c r="X9" s="119"/>
      <c r="Y9" s="119"/>
      <c r="Z9" s="119"/>
    </row>
    <row r="10" spans="1:26" ht="12.75" customHeight="1" x14ac:dyDescent="0.2">
      <c r="A10" s="120" t="s">
        <v>105</v>
      </c>
      <c r="B10" s="119"/>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row>
    <row r="11" spans="1:26" ht="12.75" customHeight="1" x14ac:dyDescent="0.2">
      <c r="A11" s="120" t="s">
        <v>202</v>
      </c>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row>
    <row r="12" spans="1:26" ht="12.75" customHeight="1" x14ac:dyDescent="0.2">
      <c r="A12" s="120" t="s">
        <v>220</v>
      </c>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row>
    <row r="13" spans="1:26" ht="12.75" customHeight="1" x14ac:dyDescent="0.2">
      <c r="A13" s="120" t="s">
        <v>221</v>
      </c>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row>
    <row r="14" spans="1:26" ht="12.75" customHeight="1" x14ac:dyDescent="0.2">
      <c r="A14" s="120" t="s">
        <v>222</v>
      </c>
      <c r="B14" s="119"/>
      <c r="C14" s="119"/>
      <c r="D14" s="119"/>
      <c r="E14" s="119"/>
      <c r="F14" s="119"/>
      <c r="G14" s="119"/>
      <c r="H14" s="119"/>
      <c r="I14" s="119"/>
      <c r="J14" s="119"/>
      <c r="K14" s="119"/>
      <c r="L14" s="119"/>
      <c r="M14" s="119"/>
      <c r="N14" s="119"/>
      <c r="O14" s="119"/>
      <c r="P14" s="119"/>
      <c r="Q14" s="119"/>
      <c r="R14" s="119"/>
      <c r="S14" s="119"/>
      <c r="T14" s="119"/>
      <c r="U14" s="119"/>
      <c r="V14" s="119"/>
      <c r="W14" s="119"/>
      <c r="X14" s="119"/>
      <c r="Y14" s="119"/>
      <c r="Z14" s="119"/>
    </row>
    <row r="15" spans="1:26" ht="12.75" customHeight="1" x14ac:dyDescent="0.2">
      <c r="A15" s="119"/>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row>
    <row r="16" spans="1:26" ht="12.75" customHeight="1" x14ac:dyDescent="0.2">
      <c r="A16" s="120" t="s">
        <v>223</v>
      </c>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row>
    <row r="17" spans="1:26" ht="12.75" customHeight="1" x14ac:dyDescent="0.2">
      <c r="A17" s="120" t="s">
        <v>208</v>
      </c>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row>
    <row r="18" spans="1:26" ht="12.75" customHeight="1" x14ac:dyDescent="0.2">
      <c r="A18" s="120" t="s">
        <v>210</v>
      </c>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row>
    <row r="19" spans="1:26" ht="12.75" customHeight="1" x14ac:dyDescent="0.2">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row>
    <row r="20" spans="1:26" ht="12.75" customHeight="1" x14ac:dyDescent="0.2">
      <c r="A20" s="120" t="s">
        <v>113</v>
      </c>
      <c r="B20" s="119"/>
      <c r="C20" s="119"/>
      <c r="D20" s="119"/>
      <c r="E20" s="119"/>
      <c r="F20" s="119"/>
      <c r="G20" s="119"/>
      <c r="H20" s="119"/>
      <c r="I20" s="119"/>
      <c r="J20" s="119"/>
      <c r="K20" s="119"/>
      <c r="L20" s="119"/>
      <c r="M20" s="119"/>
      <c r="N20" s="119"/>
      <c r="O20" s="119"/>
      <c r="P20" s="119"/>
      <c r="Q20" s="119"/>
      <c r="R20" s="119"/>
      <c r="S20" s="119"/>
      <c r="T20" s="119"/>
      <c r="U20" s="119"/>
      <c r="V20" s="119"/>
      <c r="W20" s="119"/>
      <c r="X20" s="119"/>
      <c r="Y20" s="119"/>
      <c r="Z20" s="119"/>
    </row>
    <row r="21" spans="1:26" ht="12.75" customHeight="1" x14ac:dyDescent="0.2">
      <c r="A21" s="120" t="s">
        <v>111</v>
      </c>
      <c r="B21" s="119"/>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row>
    <row r="22" spans="1:26" ht="12.75" customHeight="1" x14ac:dyDescent="0.2">
      <c r="A22" s="119"/>
      <c r="B22" s="119"/>
      <c r="C22" s="119"/>
      <c r="D22" s="119"/>
      <c r="E22" s="119"/>
      <c r="F22" s="119"/>
      <c r="G22" s="119"/>
      <c r="H22" s="119"/>
      <c r="I22" s="119"/>
      <c r="J22" s="119"/>
      <c r="K22" s="119"/>
      <c r="L22" s="119"/>
      <c r="M22" s="119"/>
      <c r="N22" s="119"/>
      <c r="O22" s="119"/>
      <c r="P22" s="119"/>
      <c r="Q22" s="119"/>
      <c r="R22" s="119"/>
      <c r="S22" s="119"/>
      <c r="T22" s="119"/>
      <c r="U22" s="119"/>
      <c r="V22" s="119"/>
      <c r="W22" s="119"/>
      <c r="X22" s="119"/>
      <c r="Y22" s="119"/>
      <c r="Z22" s="119"/>
    </row>
    <row r="23" spans="1:26" ht="12.75" customHeight="1" x14ac:dyDescent="0.2">
      <c r="A23" s="119"/>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row>
    <row r="24" spans="1:26" ht="12.75" customHeight="1" x14ac:dyDescent="0.2">
      <c r="A24" s="119"/>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row>
    <row r="25" spans="1:26" ht="12.75" customHeight="1" x14ac:dyDescent="0.2">
      <c r="A25" s="119"/>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row>
    <row r="26" spans="1:26" ht="12.75" customHeight="1" x14ac:dyDescent="0.2">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row>
    <row r="27" spans="1:26" ht="12.75" customHeight="1" x14ac:dyDescent="0.2">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row>
    <row r="28" spans="1:26" ht="12.75" customHeight="1" x14ac:dyDescent="0.2">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row>
    <row r="29" spans="1:26" ht="12.75" customHeight="1" x14ac:dyDescent="0.2">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row>
    <row r="30" spans="1:26" ht="12.75" customHeight="1" x14ac:dyDescent="0.2">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row>
    <row r="31" spans="1:26" ht="12.75" customHeight="1" x14ac:dyDescent="0.2">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row>
    <row r="32" spans="1:26" ht="12.75" customHeight="1" x14ac:dyDescent="0.2">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spans="1:26" ht="12.75" customHeight="1" x14ac:dyDescent="0.2">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row>
    <row r="34" spans="1:26" ht="12.75" customHeight="1" x14ac:dyDescent="0.2">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row>
    <row r="35" spans="1:26" ht="12.75" customHeight="1" x14ac:dyDescent="0.2">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row>
    <row r="36" spans="1:26" ht="12.75" customHeight="1" x14ac:dyDescent="0.2">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row>
    <row r="37" spans="1:26" ht="12.75" customHeight="1" x14ac:dyDescent="0.2">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row>
    <row r="38" spans="1:26" ht="12.75" customHeight="1" x14ac:dyDescent="0.2">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row>
    <row r="39" spans="1:26" ht="12.75" customHeight="1" x14ac:dyDescent="0.2">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row>
    <row r="40" spans="1:26" ht="12.75" customHeight="1" x14ac:dyDescent="0.2">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row>
    <row r="41" spans="1:26" ht="12.75" customHeight="1" x14ac:dyDescent="0.2">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spans="1:26" ht="12.75" customHeight="1" x14ac:dyDescent="0.2">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spans="1:26" ht="12.75" customHeight="1" x14ac:dyDescent="0.2">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row>
    <row r="44" spans="1:26" ht="12.75" customHeight="1" x14ac:dyDescent="0.2">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row>
    <row r="45" spans="1:26" ht="12.75" customHeight="1" x14ac:dyDescent="0.2">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row>
    <row r="46" spans="1:26" ht="12.75" customHeight="1" x14ac:dyDescent="0.2">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row>
    <row r="47" spans="1:26" ht="12.75" customHeight="1" x14ac:dyDescent="0.2">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row>
    <row r="48" spans="1:26" ht="12.75" customHeight="1" x14ac:dyDescent="0.2">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row>
    <row r="49" spans="1:26" ht="12.75" customHeight="1" x14ac:dyDescent="0.2">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row>
    <row r="50" spans="1:26" ht="12.75" customHeight="1" x14ac:dyDescent="0.2">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row>
    <row r="51" spans="1:26" ht="12.75" customHeight="1" x14ac:dyDescent="0.2">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row>
    <row r="52" spans="1:26" ht="12.75" customHeight="1" x14ac:dyDescent="0.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row>
    <row r="53" spans="1:26" ht="12.75" customHeight="1" x14ac:dyDescent="0.2">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row>
    <row r="54" spans="1:26" ht="12.75" customHeight="1" x14ac:dyDescent="0.2">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spans="1:26" ht="12.75" customHeight="1" x14ac:dyDescent="0.2">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row>
    <row r="56" spans="1:26" ht="12.75" customHeight="1" x14ac:dyDescent="0.2">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spans="1:26" ht="12.75" customHeight="1" x14ac:dyDescent="0.2">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spans="1:26" ht="12.75" customHeight="1" x14ac:dyDescent="0.2">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spans="1:26" ht="12.75" customHeight="1" x14ac:dyDescent="0.2">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spans="1:26" ht="12.75" customHeight="1" x14ac:dyDescent="0.2">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spans="1:26" ht="12.75" customHeight="1" x14ac:dyDescent="0.2">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spans="1:26" ht="12.75" customHeight="1" x14ac:dyDescent="0.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row>
    <row r="63" spans="1:26" ht="12.75" customHeight="1" x14ac:dyDescent="0.2">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row>
    <row r="64" spans="1:26" ht="12.75" customHeight="1" x14ac:dyDescent="0.2">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row>
    <row r="65" spans="1:26" ht="12.75" customHeight="1" x14ac:dyDescent="0.2">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row>
    <row r="66" spans="1:26" ht="12.75" customHeight="1" x14ac:dyDescent="0.2">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row>
    <row r="67" spans="1:26" ht="12.75" customHeight="1" x14ac:dyDescent="0.2">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row>
    <row r="68" spans="1:26" ht="12.75" customHeight="1" x14ac:dyDescent="0.2">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row>
    <row r="69" spans="1:26" ht="12.75" customHeight="1" x14ac:dyDescent="0.2">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row>
    <row r="70" spans="1:26" ht="12.75" customHeight="1" x14ac:dyDescent="0.2">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row>
    <row r="71" spans="1:26" ht="12.75" customHeight="1" x14ac:dyDescent="0.2">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row>
    <row r="72" spans="1:26" ht="12.75" customHeight="1" x14ac:dyDescent="0.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spans="1:26" ht="12.75" customHeight="1" x14ac:dyDescent="0.2">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spans="1:26" ht="12.75" customHeight="1" x14ac:dyDescent="0.2">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spans="1:26" ht="12.75" customHeight="1" x14ac:dyDescent="0.2">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spans="1:26" ht="12.75" customHeight="1" x14ac:dyDescent="0.2">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spans="1:26" ht="12.75" customHeight="1" x14ac:dyDescent="0.2">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spans="1:26" ht="12.75" customHeight="1" x14ac:dyDescent="0.2">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spans="1:26" ht="12.75" customHeight="1" x14ac:dyDescent="0.2">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spans="1:26" ht="12.75" customHeight="1" x14ac:dyDescent="0.2">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spans="1:26" ht="12.75" customHeight="1" x14ac:dyDescent="0.2">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spans="1:26" ht="12.75" customHeight="1" x14ac:dyDescent="0.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spans="1:26" ht="12.75" customHeight="1" x14ac:dyDescent="0.2">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spans="1:26" ht="12.75" customHeight="1" x14ac:dyDescent="0.2">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spans="1:26" ht="12.75" customHeight="1" x14ac:dyDescent="0.2">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spans="1:26" ht="12.75" customHeight="1" x14ac:dyDescent="0.2">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spans="1:26" ht="12.75" customHeight="1" x14ac:dyDescent="0.2">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spans="1:26" ht="12.75" customHeight="1" x14ac:dyDescent="0.2">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spans="1:26" ht="12.75" customHeight="1" x14ac:dyDescent="0.2">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spans="1:26" ht="12.75" customHeight="1" x14ac:dyDescent="0.2">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spans="1:26" ht="12.75" customHeight="1" x14ac:dyDescent="0.2">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spans="1:26" ht="12.75" customHeight="1" x14ac:dyDescent="0.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spans="1:26" ht="12.75" customHeight="1" x14ac:dyDescent="0.2">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spans="1:26" ht="12.75" customHeight="1" x14ac:dyDescent="0.2">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spans="1:26" ht="12.75" customHeight="1" x14ac:dyDescent="0.2">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spans="1:26" ht="12.75" customHeight="1" x14ac:dyDescent="0.2">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spans="1:26" ht="12.75" customHeight="1" x14ac:dyDescent="0.2">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spans="1:26" ht="12.75" customHeight="1" x14ac:dyDescent="0.2">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spans="1:26" ht="12.75" customHeight="1" x14ac:dyDescent="0.2">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spans="1:26" ht="12.75" customHeight="1" x14ac:dyDescent="0.2">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spans="1:26" ht="12.75" customHeight="1" x14ac:dyDescent="0.2">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spans="1:26" ht="12.75" customHeight="1" x14ac:dyDescent="0.2">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spans="1:26" ht="12.75" customHeight="1" x14ac:dyDescent="0.2">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spans="1:26" ht="12.75" customHeight="1" x14ac:dyDescent="0.2">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spans="1:26" ht="12.75" customHeight="1" x14ac:dyDescent="0.2">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spans="1:26" ht="12.75" customHeight="1" x14ac:dyDescent="0.2">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spans="1:26" ht="12.75" customHeight="1" x14ac:dyDescent="0.2">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spans="1:26" ht="12.75" customHeight="1" x14ac:dyDescent="0.2">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spans="1:26" ht="12.75" customHeight="1" x14ac:dyDescent="0.2">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spans="1:26" ht="12.75" customHeight="1" x14ac:dyDescent="0.2">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spans="1:26" ht="12.75" customHeight="1" x14ac:dyDescent="0.2">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spans="1:26" ht="12.75" customHeight="1" x14ac:dyDescent="0.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spans="1:26" ht="12.75" customHeight="1" x14ac:dyDescent="0.2">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spans="1:26" ht="12.75" customHeight="1" x14ac:dyDescent="0.2">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spans="1:26" ht="12.75" customHeight="1" x14ac:dyDescent="0.2">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spans="1:26" ht="12.75" customHeight="1" x14ac:dyDescent="0.2">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spans="1:26" ht="12.75" customHeight="1" x14ac:dyDescent="0.2">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spans="1:26" ht="12.75" customHeight="1" x14ac:dyDescent="0.2">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spans="1:26" ht="12.75" customHeight="1" x14ac:dyDescent="0.2">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spans="1:26" ht="12.75" customHeight="1" x14ac:dyDescent="0.2">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spans="1:26" ht="12.75" customHeight="1" x14ac:dyDescent="0.2">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spans="1:26" ht="12.75" customHeight="1" x14ac:dyDescent="0.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spans="1:26" ht="12.75" customHeight="1" x14ac:dyDescent="0.2">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spans="1:26" ht="12.75" customHeight="1" x14ac:dyDescent="0.2">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spans="1:26" ht="12.75" customHeight="1" x14ac:dyDescent="0.2">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spans="1:26" ht="12.75" customHeight="1" x14ac:dyDescent="0.2">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spans="1:26" ht="12.75" customHeight="1" x14ac:dyDescent="0.2">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spans="1:26" ht="12.75" customHeight="1" x14ac:dyDescent="0.2">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spans="1:26" ht="12.75" customHeight="1" x14ac:dyDescent="0.2">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spans="1:26" ht="12.75" customHeight="1" x14ac:dyDescent="0.2">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spans="1:26" ht="12.75" customHeight="1" x14ac:dyDescent="0.2">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spans="1:26" ht="12.75" customHeight="1" x14ac:dyDescent="0.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spans="1:26" ht="12.75" customHeight="1" x14ac:dyDescent="0.2">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spans="1:26" ht="12.75" customHeight="1" x14ac:dyDescent="0.2">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spans="1:26" ht="12.75" customHeight="1" x14ac:dyDescent="0.2">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spans="1:26" ht="12.75" customHeight="1" x14ac:dyDescent="0.2">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spans="1:26" ht="12.75" customHeight="1" x14ac:dyDescent="0.2">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spans="1:26" ht="12.75" customHeight="1" x14ac:dyDescent="0.2">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spans="1:26" ht="12.75" customHeight="1" x14ac:dyDescent="0.2">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spans="1:26" ht="12.75" customHeight="1" x14ac:dyDescent="0.2">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spans="1:26" ht="12.75" customHeight="1" x14ac:dyDescent="0.2">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spans="1:26" ht="12.75" customHeight="1" x14ac:dyDescent="0.2">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spans="1:26" ht="12.75" customHeight="1" x14ac:dyDescent="0.2">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spans="1:26" ht="12.75" customHeight="1" x14ac:dyDescent="0.2">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spans="1:26" ht="12.75" customHeight="1" x14ac:dyDescent="0.2">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spans="1:26" ht="12.75" customHeight="1" x14ac:dyDescent="0.2">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spans="1:26" ht="12.75" customHeight="1" x14ac:dyDescent="0.2">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spans="1:26" ht="12.75" customHeight="1" x14ac:dyDescent="0.2">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spans="1:26" ht="12.75" customHeight="1" x14ac:dyDescent="0.2">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spans="1:26" ht="12.75" customHeight="1" x14ac:dyDescent="0.2">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spans="1:26" ht="12.75" customHeight="1" x14ac:dyDescent="0.2">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spans="1:26" ht="12.75" customHeight="1" x14ac:dyDescent="0.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spans="1:26" ht="12.75" customHeight="1" x14ac:dyDescent="0.2">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spans="1:26" ht="12.75" customHeight="1" x14ac:dyDescent="0.2">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spans="1:26" ht="12.75" customHeight="1" x14ac:dyDescent="0.2">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spans="1:26" ht="12.75" customHeight="1" x14ac:dyDescent="0.2">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spans="1:26" ht="12.75" customHeight="1" x14ac:dyDescent="0.2">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spans="1:26" ht="12.75" customHeight="1" x14ac:dyDescent="0.2">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spans="1:26" ht="12.75" customHeight="1" x14ac:dyDescent="0.2">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spans="1:26" ht="12.75" customHeight="1" x14ac:dyDescent="0.2">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spans="1:26" ht="12.75" customHeight="1" x14ac:dyDescent="0.2">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spans="1:26" ht="12.75" customHeight="1" x14ac:dyDescent="0.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spans="1:26" ht="12.75" customHeight="1" x14ac:dyDescent="0.2">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spans="1:26" ht="12.75" customHeight="1" x14ac:dyDescent="0.2">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spans="1:26" ht="12.75" customHeight="1" x14ac:dyDescent="0.2">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spans="1:26" ht="12.75" customHeight="1" x14ac:dyDescent="0.2">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spans="1:26" ht="12.75" customHeight="1" x14ac:dyDescent="0.2">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spans="1:26" ht="12.75" customHeight="1" x14ac:dyDescent="0.2">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spans="1:26" ht="12.75" customHeight="1" x14ac:dyDescent="0.2">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spans="1:26" ht="12.75" customHeight="1" x14ac:dyDescent="0.2">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spans="1:26" ht="12.75" customHeight="1" x14ac:dyDescent="0.2">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spans="1:26" ht="12.75" customHeight="1" x14ac:dyDescent="0.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spans="1:26" ht="12.75" customHeight="1" x14ac:dyDescent="0.2">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spans="1:26" ht="12.75" customHeight="1" x14ac:dyDescent="0.2">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spans="1:26" ht="12.75" customHeight="1" x14ac:dyDescent="0.2">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spans="1:26" ht="12.75" customHeight="1" x14ac:dyDescent="0.2">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spans="1:26" ht="12.75" customHeight="1" x14ac:dyDescent="0.2">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spans="1:26" ht="12.75" customHeight="1" x14ac:dyDescent="0.2">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spans="1:26" ht="12.75" customHeight="1" x14ac:dyDescent="0.2">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spans="1:26" ht="12.75" customHeight="1" x14ac:dyDescent="0.2">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spans="1:26" ht="12.75" customHeight="1" x14ac:dyDescent="0.2">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spans="1:26" ht="12.75" customHeight="1" x14ac:dyDescent="0.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spans="1:26" ht="12.75" customHeight="1" x14ac:dyDescent="0.2">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spans="1:26" ht="12.75" customHeight="1" x14ac:dyDescent="0.2">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spans="1:26" ht="12.75" customHeight="1" x14ac:dyDescent="0.2">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spans="1:26" ht="12.75" customHeight="1" x14ac:dyDescent="0.2">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spans="1:26" ht="12.75" customHeight="1" x14ac:dyDescent="0.2">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spans="1:26" ht="12.75" customHeight="1" x14ac:dyDescent="0.2">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spans="1:26" ht="12.75" customHeight="1" x14ac:dyDescent="0.2">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spans="1:26" ht="12.75" customHeight="1" x14ac:dyDescent="0.2">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spans="1:26" ht="12.75" customHeight="1" x14ac:dyDescent="0.2">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spans="1:26" ht="12.75" customHeight="1" x14ac:dyDescent="0.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spans="1:26" ht="12.75" customHeight="1" x14ac:dyDescent="0.2">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spans="1:26" ht="12.75" customHeight="1" x14ac:dyDescent="0.2">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spans="1:26" ht="12.75" customHeight="1" x14ac:dyDescent="0.2">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spans="1:26" ht="12.75" customHeight="1" x14ac:dyDescent="0.2">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spans="1:26" ht="12.75" customHeight="1" x14ac:dyDescent="0.2">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spans="1:26" ht="12.75" customHeight="1" x14ac:dyDescent="0.2">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spans="1:26" ht="12.75" customHeight="1" x14ac:dyDescent="0.2">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spans="1:26" ht="12.75" customHeight="1" x14ac:dyDescent="0.2">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spans="1:26" ht="12.75" customHeight="1" x14ac:dyDescent="0.2">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spans="1:26" ht="12.75" customHeight="1" x14ac:dyDescent="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spans="1:26" ht="12.75" customHeight="1" x14ac:dyDescent="0.2">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spans="1:26" ht="12.75" customHeight="1" x14ac:dyDescent="0.2">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spans="1:26" ht="12.75" customHeight="1" x14ac:dyDescent="0.2">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spans="1:26" ht="12.75" customHeight="1" x14ac:dyDescent="0.2">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spans="1:26" ht="12.75" customHeight="1" x14ac:dyDescent="0.2">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spans="1:26" ht="12.75" customHeight="1" x14ac:dyDescent="0.2">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spans="1:26" ht="12.75" customHeight="1" x14ac:dyDescent="0.2">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spans="1:26" ht="12.75" customHeight="1" x14ac:dyDescent="0.2">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spans="1:26" ht="12.75" customHeight="1" x14ac:dyDescent="0.2">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spans="1:26" ht="12.75" customHeight="1" x14ac:dyDescent="0.2">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spans="1:26" ht="12.75" customHeight="1" x14ac:dyDescent="0.2">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spans="1:26" ht="12.75" customHeight="1" x14ac:dyDescent="0.2">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spans="1:26" ht="12.75" customHeight="1" x14ac:dyDescent="0.2">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spans="1:26" ht="12.75" customHeight="1" x14ac:dyDescent="0.2">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spans="1:26" ht="12.75" customHeight="1" x14ac:dyDescent="0.2">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spans="1:26" ht="12.75" customHeight="1" x14ac:dyDescent="0.2">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spans="1:26" ht="12.75" customHeight="1" x14ac:dyDescent="0.2">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spans="1:26" ht="12.75" customHeight="1" x14ac:dyDescent="0.2">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spans="1:26" ht="12.75" customHeight="1" x14ac:dyDescent="0.2">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spans="1:26" ht="12.75" customHeight="1" x14ac:dyDescent="0.2">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spans="1:26" ht="12.75" customHeight="1" x14ac:dyDescent="0.2">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spans="1:26" ht="12.75" customHeight="1" x14ac:dyDescent="0.2">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spans="1:26" ht="12.75" customHeight="1" x14ac:dyDescent="0.2">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spans="1:26" ht="12.75" customHeight="1" x14ac:dyDescent="0.2">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spans="1:26" ht="12.75" customHeight="1" x14ac:dyDescent="0.2">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spans="1:26" ht="12.75" customHeight="1" x14ac:dyDescent="0.2">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spans="1:26" ht="12.75" customHeight="1" x14ac:dyDescent="0.2">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spans="1:26" ht="12.75" customHeight="1" x14ac:dyDescent="0.2">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spans="1:26" ht="12.75" customHeight="1" x14ac:dyDescent="0.2">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spans="1:26" ht="12.75" customHeight="1" x14ac:dyDescent="0.2">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spans="1:26" ht="12.75" customHeight="1" x14ac:dyDescent="0.2">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spans="1:26" ht="12.75" customHeight="1" x14ac:dyDescent="0.2">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spans="1:26" ht="12.75" customHeight="1" x14ac:dyDescent="0.2">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spans="1:26" ht="12.75" customHeight="1" x14ac:dyDescent="0.2">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spans="1:26" ht="12.75" customHeight="1" x14ac:dyDescent="0.2">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spans="1:26" ht="12.75" customHeight="1" x14ac:dyDescent="0.2">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spans="1:26" ht="12.75" customHeight="1" x14ac:dyDescent="0.2">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spans="1:26" ht="12.75" customHeight="1" x14ac:dyDescent="0.2">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spans="1:26" ht="12.75" customHeight="1" x14ac:dyDescent="0.2">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spans="1:26" ht="12.75" customHeight="1" x14ac:dyDescent="0.2">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spans="1:26" ht="12.75" customHeight="1" x14ac:dyDescent="0.2">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spans="1:26" ht="12.75" customHeight="1" x14ac:dyDescent="0.2">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spans="1:26" ht="12.75" customHeight="1" x14ac:dyDescent="0.2">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spans="1:26" ht="12.75" customHeight="1" x14ac:dyDescent="0.2">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spans="1:26" ht="12.75" customHeight="1" x14ac:dyDescent="0.2">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spans="1:26" ht="12.75" customHeight="1" x14ac:dyDescent="0.2">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spans="1:26" ht="12.75" customHeight="1" x14ac:dyDescent="0.2">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spans="1:26" ht="12.75" customHeight="1" x14ac:dyDescent="0.2">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spans="1:26" ht="12.75" customHeight="1" x14ac:dyDescent="0.2">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spans="1:26" ht="12.75" customHeight="1" x14ac:dyDescent="0.2">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spans="1:26" ht="12.75" customHeight="1" x14ac:dyDescent="0.2">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spans="1:26" ht="12.75" customHeight="1" x14ac:dyDescent="0.2">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spans="1:26" ht="12.75" customHeight="1" x14ac:dyDescent="0.2">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spans="1:26" ht="12.75" customHeight="1" x14ac:dyDescent="0.2">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spans="1:26" ht="12.75" customHeight="1" x14ac:dyDescent="0.2">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spans="1:26" ht="12.75" customHeight="1" x14ac:dyDescent="0.2">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spans="1:26" ht="12.75" customHeight="1" x14ac:dyDescent="0.2">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spans="1:26" ht="12.75" customHeight="1" x14ac:dyDescent="0.2">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spans="1:26" ht="12.75" customHeight="1" x14ac:dyDescent="0.2">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spans="1:26" ht="12.75" customHeight="1" x14ac:dyDescent="0.2">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spans="1:26" ht="12.75" customHeight="1" x14ac:dyDescent="0.2">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spans="1:26" ht="12.75" customHeight="1" x14ac:dyDescent="0.2">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spans="1:26" ht="12.75" customHeight="1" x14ac:dyDescent="0.2">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spans="1:26" ht="12.75" customHeight="1" x14ac:dyDescent="0.2">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spans="1:26" ht="12.75" customHeight="1" x14ac:dyDescent="0.2">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spans="1:26" ht="12.75" customHeight="1" x14ac:dyDescent="0.2">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spans="1:26" ht="12.75" customHeight="1" x14ac:dyDescent="0.2">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spans="1:26" ht="12.75" customHeight="1" x14ac:dyDescent="0.2">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spans="1:26" ht="12.75" customHeight="1" x14ac:dyDescent="0.2">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spans="1:26" ht="12.75" customHeight="1" x14ac:dyDescent="0.2">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spans="1:26" ht="12.75" customHeight="1" x14ac:dyDescent="0.2">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spans="1:26" ht="12.75" customHeight="1" x14ac:dyDescent="0.2">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spans="1:26" ht="12.75" customHeight="1" x14ac:dyDescent="0.2">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spans="1:26" ht="12.75" customHeight="1" x14ac:dyDescent="0.2">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spans="1:26" ht="12.75" customHeight="1" x14ac:dyDescent="0.2">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spans="1:26" ht="12.75" customHeight="1" x14ac:dyDescent="0.2">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spans="1:26" ht="12.75" customHeight="1" x14ac:dyDescent="0.2">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spans="1:26" ht="12.75" customHeight="1" x14ac:dyDescent="0.2">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spans="1:26" ht="12.75" customHeight="1" x14ac:dyDescent="0.2">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spans="1:26" ht="12.75" customHeight="1" x14ac:dyDescent="0.2">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spans="1:26" ht="12.75" customHeight="1" x14ac:dyDescent="0.2">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spans="1:26" ht="12.75" customHeight="1" x14ac:dyDescent="0.2">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spans="1:26" ht="12.75" customHeight="1" x14ac:dyDescent="0.2">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spans="1:26" ht="12.75" customHeight="1" x14ac:dyDescent="0.2">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spans="1:26" ht="12.75" customHeight="1" x14ac:dyDescent="0.2">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spans="1:26" ht="12.75" customHeight="1" x14ac:dyDescent="0.2">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spans="1:26" ht="12.75" customHeight="1" x14ac:dyDescent="0.2">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spans="1:26" ht="12.75" customHeight="1" x14ac:dyDescent="0.2">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spans="1:26" ht="12.75" customHeight="1" x14ac:dyDescent="0.2">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spans="1:26" ht="12.75" customHeight="1" x14ac:dyDescent="0.2">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spans="1:26" ht="12.75" customHeight="1" x14ac:dyDescent="0.2">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spans="1:26" ht="12.75" customHeight="1" x14ac:dyDescent="0.2">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spans="1:26" ht="12.75" customHeight="1" x14ac:dyDescent="0.2">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spans="1:26" ht="12.75" customHeight="1" x14ac:dyDescent="0.2">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spans="1:26" ht="12.75" customHeight="1" x14ac:dyDescent="0.2">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spans="1:26" ht="12.75" customHeight="1" x14ac:dyDescent="0.2">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spans="1:26" ht="12.75" customHeight="1" x14ac:dyDescent="0.2">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spans="1:26" ht="12.75" customHeight="1" x14ac:dyDescent="0.2">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spans="1:26" ht="12.75" customHeight="1" x14ac:dyDescent="0.2">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spans="1:26" ht="12.75" customHeight="1" x14ac:dyDescent="0.2">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spans="1:26" ht="12.75" customHeight="1" x14ac:dyDescent="0.2">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spans="1:26" ht="12.75" customHeight="1" x14ac:dyDescent="0.2">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spans="1:26" ht="12.75" customHeight="1" x14ac:dyDescent="0.2">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spans="1:26" ht="12.75" customHeight="1" x14ac:dyDescent="0.2">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spans="1:26" ht="12.75" customHeight="1" x14ac:dyDescent="0.2">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spans="1:26" ht="12.75" customHeight="1" x14ac:dyDescent="0.2">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spans="1:26" ht="12.75" customHeight="1" x14ac:dyDescent="0.2">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spans="1:26" ht="12.75" customHeight="1" x14ac:dyDescent="0.2">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spans="1:26" ht="12.75" customHeight="1" x14ac:dyDescent="0.2">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spans="1:26" ht="12.75" customHeight="1" x14ac:dyDescent="0.2">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spans="1:26" ht="12.75" customHeight="1" x14ac:dyDescent="0.2">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spans="1:26" ht="12.75" customHeight="1" x14ac:dyDescent="0.2">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spans="1:26" ht="12.75" customHeight="1" x14ac:dyDescent="0.2">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spans="1:26" ht="12.75" customHeight="1" x14ac:dyDescent="0.2">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spans="1:26" ht="12.75" customHeight="1" x14ac:dyDescent="0.2">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spans="1:26" ht="12.75" customHeight="1" x14ac:dyDescent="0.2">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spans="1:26" ht="12.75" customHeight="1" x14ac:dyDescent="0.2">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spans="1:26" ht="12.75" customHeight="1" x14ac:dyDescent="0.2">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spans="1:26" ht="12.75" customHeight="1" x14ac:dyDescent="0.2">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spans="1:26" ht="12.75" customHeight="1" x14ac:dyDescent="0.2">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spans="1:26" ht="12.75" customHeight="1" x14ac:dyDescent="0.2">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spans="1:26" ht="12.75" customHeight="1" x14ac:dyDescent="0.2">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spans="1:26" ht="12.75" customHeight="1" x14ac:dyDescent="0.2">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spans="1:26" ht="12.75" customHeight="1" x14ac:dyDescent="0.2">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spans="1:26" ht="12.75" customHeight="1" x14ac:dyDescent="0.2">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spans="1:26" ht="12.75" customHeight="1" x14ac:dyDescent="0.2">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spans="1:26" ht="12.75" customHeight="1" x14ac:dyDescent="0.2">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spans="1:26" ht="12.75" customHeight="1" x14ac:dyDescent="0.2">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spans="1:26" ht="12.75" customHeight="1" x14ac:dyDescent="0.2">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spans="1:26" ht="12.75" customHeight="1" x14ac:dyDescent="0.2">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spans="1:26" ht="12.75" customHeight="1" x14ac:dyDescent="0.2">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spans="1:26" ht="12.75" customHeight="1" x14ac:dyDescent="0.2">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spans="1:26" ht="12.75" customHeight="1" x14ac:dyDescent="0.2">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spans="1:26" ht="12.75" customHeight="1" x14ac:dyDescent="0.2">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spans="1:26" ht="12.75" customHeight="1" x14ac:dyDescent="0.2">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spans="1:26" ht="12.75" customHeight="1" x14ac:dyDescent="0.2">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spans="1:26" ht="12.75" customHeight="1" x14ac:dyDescent="0.2">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spans="1:26" ht="12.75" customHeight="1" x14ac:dyDescent="0.2">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spans="1:26" ht="12.75" customHeight="1" x14ac:dyDescent="0.2">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spans="1:26" ht="12.75" customHeight="1" x14ac:dyDescent="0.2">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spans="1:26" ht="12.75" customHeight="1" x14ac:dyDescent="0.2">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spans="1:26" ht="12.75" customHeight="1" x14ac:dyDescent="0.2">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spans="1:26" ht="12.75" customHeight="1" x14ac:dyDescent="0.2">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spans="1:26" ht="12.75" customHeight="1" x14ac:dyDescent="0.2">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spans="1:26" ht="12.75" customHeight="1" x14ac:dyDescent="0.2">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spans="1:26" ht="12.75" customHeight="1" x14ac:dyDescent="0.2">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spans="1:26" ht="12.75" customHeight="1" x14ac:dyDescent="0.2">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spans="1:26" ht="12.75" customHeight="1" x14ac:dyDescent="0.2">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spans="1:26" ht="12.75" customHeight="1" x14ac:dyDescent="0.2">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spans="1:26" ht="12.75" customHeight="1" x14ac:dyDescent="0.2">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spans="1:26" ht="12.75" customHeight="1" x14ac:dyDescent="0.2">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spans="1:26" ht="12.75" customHeight="1" x14ac:dyDescent="0.2">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spans="1:26" ht="12.75" customHeight="1" x14ac:dyDescent="0.2">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spans="1:26" ht="12.75" customHeight="1" x14ac:dyDescent="0.2">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spans="1:26" ht="12.75" customHeight="1" x14ac:dyDescent="0.2">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spans="1:26" ht="12.75" customHeight="1" x14ac:dyDescent="0.2">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spans="1:26" ht="12.75" customHeight="1" x14ac:dyDescent="0.2">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spans="1:26" ht="12.75" customHeight="1" x14ac:dyDescent="0.2">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spans="1:26" ht="12.75" customHeight="1" x14ac:dyDescent="0.2">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spans="1:26" ht="12.75" customHeight="1" x14ac:dyDescent="0.2">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spans="1:26" ht="12.75" customHeight="1" x14ac:dyDescent="0.2">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spans="1:26" ht="12.75" customHeight="1" x14ac:dyDescent="0.2">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spans="1:26" ht="12.75" customHeight="1" x14ac:dyDescent="0.2">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spans="1:26" ht="12.75" customHeight="1" x14ac:dyDescent="0.2">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spans="1:26" ht="12.75" customHeight="1" x14ac:dyDescent="0.2">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spans="1:26" ht="12.75" customHeight="1" x14ac:dyDescent="0.2">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spans="1:26" ht="12.75" customHeight="1" x14ac:dyDescent="0.2">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spans="1:26" ht="12.75" customHeight="1" x14ac:dyDescent="0.2">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spans="1:26" ht="12.75" customHeight="1" x14ac:dyDescent="0.2">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spans="1:26" ht="12.75" customHeight="1" x14ac:dyDescent="0.2">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spans="1:26" ht="12.75" customHeight="1" x14ac:dyDescent="0.2">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spans="1:26" ht="12.75" customHeight="1" x14ac:dyDescent="0.2">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spans="1:26" ht="12.75" customHeight="1" x14ac:dyDescent="0.2">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spans="1:26" ht="12.75" customHeight="1" x14ac:dyDescent="0.2">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spans="1:26" ht="12.75" customHeight="1" x14ac:dyDescent="0.2">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spans="1:26" ht="12.75" customHeight="1" x14ac:dyDescent="0.2">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spans="1:26" ht="12.75" customHeight="1" x14ac:dyDescent="0.2">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spans="1:26" ht="12.75" customHeight="1" x14ac:dyDescent="0.2">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spans="1:26" ht="12.75" customHeight="1" x14ac:dyDescent="0.2">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spans="1:26" ht="12.75" customHeight="1" x14ac:dyDescent="0.2">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spans="1:26" ht="12.75" customHeight="1" x14ac:dyDescent="0.2">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spans="1:26" ht="12.75" customHeight="1" x14ac:dyDescent="0.2">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spans="1:26" ht="12.75" customHeight="1" x14ac:dyDescent="0.2">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spans="1:26" ht="12.75" customHeight="1" x14ac:dyDescent="0.2">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spans="1:26" ht="12.75" customHeight="1" x14ac:dyDescent="0.2">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spans="1:26" ht="12.75" customHeight="1" x14ac:dyDescent="0.2">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spans="1:26" ht="12.75" customHeight="1" x14ac:dyDescent="0.2">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spans="1:26" ht="12.75" customHeight="1" x14ac:dyDescent="0.2">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spans="1:26" ht="12.75" customHeight="1" x14ac:dyDescent="0.2">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spans="1:26" ht="12.75" customHeight="1" x14ac:dyDescent="0.2">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spans="1:26" ht="12.75" customHeight="1" x14ac:dyDescent="0.2">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spans="1:26" ht="12.75" customHeight="1" x14ac:dyDescent="0.2">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spans="1:26" ht="12.75" customHeight="1" x14ac:dyDescent="0.2">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spans="1:26" ht="12.75" customHeight="1" x14ac:dyDescent="0.2">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spans="1:26" ht="12.75" customHeight="1" x14ac:dyDescent="0.2">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spans="1:26" ht="12.75" customHeight="1" x14ac:dyDescent="0.2">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spans="1:26" ht="12.75" customHeight="1" x14ac:dyDescent="0.2">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spans="1:26" ht="12.75" customHeight="1" x14ac:dyDescent="0.2">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spans="1:26" ht="12.75" customHeight="1" x14ac:dyDescent="0.2">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spans="1:26" ht="12.75" customHeight="1" x14ac:dyDescent="0.2">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spans="1:26" ht="12.75" customHeight="1" x14ac:dyDescent="0.2">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spans="1:26" ht="12.75" customHeight="1" x14ac:dyDescent="0.2">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spans="1:26" ht="12.75" customHeight="1" x14ac:dyDescent="0.2">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spans="1:26" ht="12.75" customHeight="1" x14ac:dyDescent="0.2">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spans="1:26" ht="12.75" customHeight="1" x14ac:dyDescent="0.2">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spans="1:26" ht="12.75" customHeight="1" x14ac:dyDescent="0.2">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spans="1:26" ht="12.75" customHeight="1" x14ac:dyDescent="0.2">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spans="1:26" ht="12.75" customHeight="1" x14ac:dyDescent="0.2">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spans="1:26" ht="12.75" customHeight="1" x14ac:dyDescent="0.2">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spans="1:26" ht="12.75" customHeight="1" x14ac:dyDescent="0.2">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spans="1:26" ht="12.75" customHeight="1" x14ac:dyDescent="0.2">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spans="1:26" ht="12.75" customHeight="1" x14ac:dyDescent="0.2">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spans="1:26" ht="12.75" customHeight="1" x14ac:dyDescent="0.2">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spans="1:26" ht="12.75" customHeight="1" x14ac:dyDescent="0.2">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spans="1:26" ht="12.75" customHeight="1" x14ac:dyDescent="0.2">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spans="1:26" ht="12.75" customHeight="1" x14ac:dyDescent="0.2">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spans="1:26" ht="12.75" customHeight="1" x14ac:dyDescent="0.2">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spans="1:26" ht="12.75" customHeight="1" x14ac:dyDescent="0.2">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spans="1:26" ht="12.75" customHeight="1" x14ac:dyDescent="0.2">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spans="1:26" ht="12.75" customHeight="1" x14ac:dyDescent="0.2">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spans="1:26" ht="12.75" customHeight="1" x14ac:dyDescent="0.2">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spans="1:26" ht="12.75" customHeight="1" x14ac:dyDescent="0.2">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spans="1:26" ht="12.75" customHeight="1" x14ac:dyDescent="0.2">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spans="1:26" ht="12.75" customHeight="1" x14ac:dyDescent="0.2">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spans="1:26" ht="12.75" customHeight="1" x14ac:dyDescent="0.2">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spans="1:26" ht="12.75" customHeight="1" x14ac:dyDescent="0.2">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spans="1:26" ht="12.75" customHeight="1" x14ac:dyDescent="0.2">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spans="1:26" ht="12.75" customHeight="1" x14ac:dyDescent="0.2">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spans="1:26" ht="12.75" customHeight="1" x14ac:dyDescent="0.2">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spans="1:26" ht="12.75" customHeight="1" x14ac:dyDescent="0.2">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spans="1:26" ht="12.75" customHeight="1" x14ac:dyDescent="0.2">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spans="1:26" ht="12.75" customHeight="1" x14ac:dyDescent="0.2">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spans="1:26" ht="12.75" customHeight="1" x14ac:dyDescent="0.2">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spans="1:26" ht="12.75" customHeight="1" x14ac:dyDescent="0.2">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spans="1:26" ht="12.75" customHeight="1" x14ac:dyDescent="0.2">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spans="1:26" ht="12.75" customHeight="1" x14ac:dyDescent="0.2">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spans="1:26" ht="12.75" customHeight="1" x14ac:dyDescent="0.2">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spans="1:26" ht="12.75" customHeight="1" x14ac:dyDescent="0.2">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spans="1:26" ht="12.75" customHeight="1" x14ac:dyDescent="0.2">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spans="1:26" ht="12.75" customHeight="1" x14ac:dyDescent="0.2">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spans="1:26" ht="12.75" customHeight="1" x14ac:dyDescent="0.2">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spans="1:26" ht="12.75" customHeight="1" x14ac:dyDescent="0.2">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spans="1:26" ht="12.75" customHeight="1" x14ac:dyDescent="0.2">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spans="1:26" ht="12.75" customHeight="1" x14ac:dyDescent="0.2">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spans="1:26" ht="12.75" customHeight="1" x14ac:dyDescent="0.2">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spans="1:26" ht="12.75" customHeight="1" x14ac:dyDescent="0.2">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spans="1:26" ht="12.75" customHeight="1" x14ac:dyDescent="0.2">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spans="1:26" ht="12.75" customHeight="1" x14ac:dyDescent="0.2">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spans="1:26" ht="12.75" customHeight="1" x14ac:dyDescent="0.2">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spans="1:26" ht="12.75" customHeight="1" x14ac:dyDescent="0.2">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spans="1:26" ht="12.75" customHeight="1" x14ac:dyDescent="0.2">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spans="1:26" ht="12.75" customHeight="1" x14ac:dyDescent="0.2">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spans="1:26" ht="12.75" customHeight="1" x14ac:dyDescent="0.2">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spans="1:26" ht="12.75" customHeight="1" x14ac:dyDescent="0.2">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spans="1:26" ht="12.75" customHeight="1" x14ac:dyDescent="0.2">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spans="1:26" ht="12.75" customHeight="1" x14ac:dyDescent="0.2">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spans="1:26" ht="12.75" customHeight="1" x14ac:dyDescent="0.2">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spans="1:26" ht="12.75" customHeight="1" x14ac:dyDescent="0.2">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spans="1:26" ht="12.75" customHeight="1" x14ac:dyDescent="0.2">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spans="1:26" ht="12.75" customHeight="1" x14ac:dyDescent="0.2">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spans="1:26" ht="12.75" customHeight="1" x14ac:dyDescent="0.2">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spans="1:26" ht="12.75" customHeight="1" x14ac:dyDescent="0.2">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spans="1:26" ht="12.75" customHeight="1" x14ac:dyDescent="0.2">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spans="1:26" ht="12.75" customHeight="1" x14ac:dyDescent="0.2">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spans="1:26" ht="12.75" customHeight="1" x14ac:dyDescent="0.2">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spans="1:26" ht="12.75" customHeight="1" x14ac:dyDescent="0.2">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spans="1:26" ht="12.75" customHeight="1" x14ac:dyDescent="0.2">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spans="1:26" ht="12.75" customHeight="1" x14ac:dyDescent="0.2">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spans="1:26" ht="12.75" customHeight="1" x14ac:dyDescent="0.2">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spans="1:26" ht="12.75" customHeight="1" x14ac:dyDescent="0.2">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spans="1:26" ht="12.75" customHeight="1" x14ac:dyDescent="0.2">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spans="1:26" ht="12.75" customHeight="1" x14ac:dyDescent="0.2">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spans="1:26" ht="12.75" customHeight="1" x14ac:dyDescent="0.2">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spans="1:26" ht="12.75" customHeight="1" x14ac:dyDescent="0.2">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spans="1:26" ht="12.75" customHeight="1" x14ac:dyDescent="0.2">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spans="1:26" ht="12.75" customHeight="1" x14ac:dyDescent="0.2">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spans="1:26" ht="12.75" customHeight="1" x14ac:dyDescent="0.2">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spans="1:26" ht="12.75" customHeight="1" x14ac:dyDescent="0.2">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spans="1:26" ht="12.75" customHeight="1" x14ac:dyDescent="0.2">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spans="1:26" ht="12.75" customHeight="1" x14ac:dyDescent="0.2">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spans="1:26" ht="12.75" customHeight="1" x14ac:dyDescent="0.2">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spans="1:26" ht="12.75" customHeight="1" x14ac:dyDescent="0.2">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spans="1:26" ht="12.75" customHeight="1" x14ac:dyDescent="0.2">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spans="1:26" ht="12.75" customHeight="1" x14ac:dyDescent="0.2">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spans="1:26" ht="12.75" customHeight="1" x14ac:dyDescent="0.2">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spans="1:26" ht="12.75" customHeight="1" x14ac:dyDescent="0.2">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spans="1:26" ht="12.75" customHeight="1" x14ac:dyDescent="0.2">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spans="1:26" ht="12.75" customHeight="1" x14ac:dyDescent="0.2">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spans="1:26" ht="12.75" customHeight="1" x14ac:dyDescent="0.2">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spans="1:26" ht="12.75" customHeight="1" x14ac:dyDescent="0.2">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spans="1:26" ht="12.75" customHeight="1" x14ac:dyDescent="0.2">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spans="1:26" ht="12.75" customHeight="1" x14ac:dyDescent="0.2">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spans="1:26" ht="12.75" customHeight="1" x14ac:dyDescent="0.2">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spans="1:26" ht="12.75" customHeight="1" x14ac:dyDescent="0.2">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spans="1:26" ht="12.75" customHeight="1" x14ac:dyDescent="0.2">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spans="1:26" ht="12.75" customHeight="1" x14ac:dyDescent="0.2">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spans="1:26" ht="12.75" customHeight="1" x14ac:dyDescent="0.2">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spans="1:26" ht="12.75" customHeight="1" x14ac:dyDescent="0.2">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spans="1:26" ht="12.75" customHeight="1" x14ac:dyDescent="0.2">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spans="1:26" ht="12.75" customHeight="1" x14ac:dyDescent="0.2">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spans="1:26" ht="12.75" customHeight="1" x14ac:dyDescent="0.2">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spans="1:26" ht="12.75" customHeight="1" x14ac:dyDescent="0.2">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spans="1:26" ht="12.75" customHeight="1" x14ac:dyDescent="0.2">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spans="1:26" ht="12.75" customHeight="1" x14ac:dyDescent="0.2">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spans="1:26" ht="12.75" customHeight="1" x14ac:dyDescent="0.2">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spans="1:26" ht="12.75" customHeight="1" x14ac:dyDescent="0.2">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spans="1:26" ht="12.75" customHeight="1" x14ac:dyDescent="0.2">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spans="1:26" ht="12.75" customHeight="1" x14ac:dyDescent="0.2">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spans="1:26" ht="12.75" customHeight="1" x14ac:dyDescent="0.2">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spans="1:26" ht="12.75" customHeight="1" x14ac:dyDescent="0.2">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spans="1:26" ht="12.75" customHeight="1" x14ac:dyDescent="0.2">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spans="1:26" ht="12.75" customHeight="1" x14ac:dyDescent="0.2">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spans="1:26" ht="12.75" customHeight="1" x14ac:dyDescent="0.2">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spans="1:26" ht="12.75" customHeight="1" x14ac:dyDescent="0.2">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spans="1:26" ht="12.75" customHeight="1" x14ac:dyDescent="0.2">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spans="1:26" ht="12.75" customHeight="1" x14ac:dyDescent="0.2">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spans="1:26" ht="12.75" customHeight="1" x14ac:dyDescent="0.2">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spans="1:26" ht="12.75" customHeight="1" x14ac:dyDescent="0.2">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spans="1:26" ht="12.75" customHeight="1" x14ac:dyDescent="0.2">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spans="1:26" ht="12.75" customHeight="1" x14ac:dyDescent="0.2">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spans="1:26" ht="12.75" customHeight="1" x14ac:dyDescent="0.2">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spans="1:26" ht="12.75" customHeight="1" x14ac:dyDescent="0.2">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spans="1:26" ht="12.75" customHeight="1" x14ac:dyDescent="0.2">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spans="1:26" ht="12.75" customHeight="1" x14ac:dyDescent="0.2">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spans="1:26" ht="12.75" customHeight="1" x14ac:dyDescent="0.2">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spans="1:26" ht="12.75" customHeight="1" x14ac:dyDescent="0.2">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spans="1:26" ht="12.75" customHeight="1" x14ac:dyDescent="0.2">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spans="1:26" ht="12.75" customHeight="1" x14ac:dyDescent="0.2">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spans="1:26" ht="12.75" customHeight="1" x14ac:dyDescent="0.2">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spans="1:26" ht="12.75" customHeight="1" x14ac:dyDescent="0.2">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spans="1:26" ht="12.75" customHeight="1" x14ac:dyDescent="0.2">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spans="1:26" ht="12.75" customHeight="1" x14ac:dyDescent="0.2">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spans="1:26" ht="12.75" customHeight="1" x14ac:dyDescent="0.2">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spans="1:26" ht="12.75" customHeight="1" x14ac:dyDescent="0.2">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spans="1:26" ht="12.75" customHeight="1" x14ac:dyDescent="0.2">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spans="1:26" ht="12.75" customHeight="1" x14ac:dyDescent="0.2">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spans="1:26" ht="12.75" customHeight="1" x14ac:dyDescent="0.2">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spans="1:26" ht="12.75" customHeight="1" x14ac:dyDescent="0.2">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spans="1:26" ht="12.75" customHeight="1" x14ac:dyDescent="0.2">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spans="1:26" ht="12.75" customHeight="1" x14ac:dyDescent="0.2">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spans="1:26" ht="12.75" customHeight="1" x14ac:dyDescent="0.2">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spans="1:26" ht="12.75" customHeight="1" x14ac:dyDescent="0.2">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spans="1:26" ht="12.75" customHeight="1" x14ac:dyDescent="0.2">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spans="1:26" ht="12.75" customHeight="1" x14ac:dyDescent="0.2">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spans="1:26" ht="12.75" customHeight="1" x14ac:dyDescent="0.2">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spans="1:26" ht="12.75" customHeight="1" x14ac:dyDescent="0.2">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spans="1:26" ht="12.75" customHeight="1" x14ac:dyDescent="0.2">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spans="1:26" ht="12.75" customHeight="1" x14ac:dyDescent="0.2">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spans="1:26" ht="12.75" customHeight="1" x14ac:dyDescent="0.2">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spans="1:26" ht="12.75" customHeight="1" x14ac:dyDescent="0.2">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spans="1:26" ht="12.75" customHeight="1" x14ac:dyDescent="0.2">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spans="1:26" ht="12.75" customHeight="1" x14ac:dyDescent="0.2">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spans="1:26" ht="12.75" customHeight="1" x14ac:dyDescent="0.2">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spans="1:26" ht="12.75" customHeight="1" x14ac:dyDescent="0.2">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spans="1:26" ht="12.75" customHeight="1" x14ac:dyDescent="0.2">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spans="1:26" ht="12.75" customHeight="1" x14ac:dyDescent="0.2">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spans="1:26" ht="12.75" customHeight="1" x14ac:dyDescent="0.2">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spans="1:26" ht="12.75" customHeight="1" x14ac:dyDescent="0.2">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spans="1:26" ht="12.75" customHeight="1" x14ac:dyDescent="0.2">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spans="1:26" ht="12.75" customHeight="1" x14ac:dyDescent="0.2">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spans="1:26" ht="12.75" customHeight="1" x14ac:dyDescent="0.2">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spans="1:26" ht="12.75" customHeight="1" x14ac:dyDescent="0.2">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spans="1:26" ht="12.75" customHeight="1" x14ac:dyDescent="0.2">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spans="1:26" ht="12.75" customHeight="1" x14ac:dyDescent="0.2">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spans="1:26" ht="12.75" customHeight="1" x14ac:dyDescent="0.2">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spans="1:26" ht="12.75" customHeight="1" x14ac:dyDescent="0.2">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spans="1:26" ht="12.75" customHeight="1" x14ac:dyDescent="0.2">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spans="1:26" ht="12.75" customHeight="1" x14ac:dyDescent="0.2">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spans="1:26" ht="12.75" customHeight="1" x14ac:dyDescent="0.2">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spans="1:26" ht="12.75" customHeight="1" x14ac:dyDescent="0.2">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spans="1:26" ht="12.75" customHeight="1" x14ac:dyDescent="0.2">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spans="1:26" ht="12.75" customHeight="1" x14ac:dyDescent="0.2">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spans="1:26" ht="12.75" customHeight="1" x14ac:dyDescent="0.2">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spans="1:26" ht="12.75" customHeight="1" x14ac:dyDescent="0.2">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spans="1:26" ht="12.75" customHeight="1" x14ac:dyDescent="0.2">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spans="1:26" ht="12.75" customHeight="1" x14ac:dyDescent="0.2">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spans="1:26" ht="12.75" customHeight="1" x14ac:dyDescent="0.2">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spans="1:26" ht="12.75" customHeight="1" x14ac:dyDescent="0.2">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spans="1:26" ht="12.75" customHeight="1" x14ac:dyDescent="0.2">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spans="1:26" ht="12.75" customHeight="1" x14ac:dyDescent="0.2">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spans="1:26" ht="12.75" customHeight="1" x14ac:dyDescent="0.2">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spans="1:26" ht="12.75" customHeight="1" x14ac:dyDescent="0.2">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spans="1:26" ht="12.75" customHeight="1" x14ac:dyDescent="0.2">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spans="1:26" ht="12.75" customHeight="1" x14ac:dyDescent="0.2">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spans="1:26" ht="12.75" customHeight="1" x14ac:dyDescent="0.2">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spans="1:26" ht="12.75" customHeight="1" x14ac:dyDescent="0.2">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spans="1:26" ht="12.75" customHeight="1" x14ac:dyDescent="0.2">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spans="1:26" ht="12.75" customHeight="1" x14ac:dyDescent="0.2">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spans="1:26" ht="12.75" customHeight="1" x14ac:dyDescent="0.2">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spans="1:26" ht="12.75" customHeight="1" x14ac:dyDescent="0.2">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spans="1:26" ht="12.75" customHeight="1" x14ac:dyDescent="0.2">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spans="1:26" ht="12.75" customHeight="1" x14ac:dyDescent="0.2">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spans="1:26" ht="12.75" customHeight="1" x14ac:dyDescent="0.2">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spans="1:26" ht="12.75" customHeight="1" x14ac:dyDescent="0.2">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spans="1:26" ht="12.75" customHeight="1" x14ac:dyDescent="0.2">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spans="1:26" ht="12.75" customHeight="1" x14ac:dyDescent="0.2">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spans="1:26" ht="12.75" customHeight="1" x14ac:dyDescent="0.2">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spans="1:26" ht="12.75" customHeight="1" x14ac:dyDescent="0.2">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spans="1:26" ht="12.75" customHeight="1" x14ac:dyDescent="0.2">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spans="1:26" ht="12.75" customHeight="1" x14ac:dyDescent="0.2">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spans="1:26" ht="12.75" customHeight="1" x14ac:dyDescent="0.2">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spans="1:26" ht="12.75" customHeight="1" x14ac:dyDescent="0.2">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spans="1:26" ht="12.75" customHeight="1" x14ac:dyDescent="0.2">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spans="1:26" ht="12.75" customHeight="1" x14ac:dyDescent="0.2">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spans="1:26" ht="12.75" customHeight="1" x14ac:dyDescent="0.2">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spans="1:26" ht="12.75" customHeight="1" x14ac:dyDescent="0.2">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spans="1:26" ht="12.75" customHeight="1" x14ac:dyDescent="0.2">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spans="1:26" ht="12.75" customHeight="1" x14ac:dyDescent="0.2">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spans="1:26" ht="12.75" customHeight="1" x14ac:dyDescent="0.2">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spans="1:26" ht="12.75" customHeight="1" x14ac:dyDescent="0.2">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spans="1:26" ht="12.75" customHeight="1" x14ac:dyDescent="0.2">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spans="1:26" ht="12.75" customHeight="1" x14ac:dyDescent="0.2">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spans="1:26" ht="12.75" customHeight="1" x14ac:dyDescent="0.2">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spans="1:26" ht="12.75" customHeight="1" x14ac:dyDescent="0.2">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spans="1:26" ht="12.75" customHeight="1" x14ac:dyDescent="0.2">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spans="1:26" ht="12.75" customHeight="1" x14ac:dyDescent="0.2">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spans="1:26" ht="12.75" customHeight="1" x14ac:dyDescent="0.2">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spans="1:26" ht="12.75" customHeight="1" x14ac:dyDescent="0.2">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spans="1:26" ht="12.75" customHeight="1" x14ac:dyDescent="0.2">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spans="1:26" ht="12.75" customHeight="1" x14ac:dyDescent="0.2">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spans="1:26" ht="12.75" customHeight="1" x14ac:dyDescent="0.2">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spans="1:26" ht="12.75" customHeight="1" x14ac:dyDescent="0.2">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spans="1:26" ht="12.75" customHeight="1" x14ac:dyDescent="0.2">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spans="1:26" ht="12.75" customHeight="1" x14ac:dyDescent="0.2">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spans="1:26" ht="12.75" customHeight="1" x14ac:dyDescent="0.2">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spans="1:26" ht="12.75" customHeight="1" x14ac:dyDescent="0.2">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spans="1:26" ht="12.75" customHeight="1" x14ac:dyDescent="0.2">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spans="1:26" ht="12.75" customHeight="1" x14ac:dyDescent="0.2">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spans="1:26" ht="12.75" customHeight="1" x14ac:dyDescent="0.2">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spans="1:26" ht="12.75" customHeight="1" x14ac:dyDescent="0.2">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spans="1:26" ht="12.75" customHeight="1" x14ac:dyDescent="0.2">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spans="1:26" ht="12.75" customHeight="1" x14ac:dyDescent="0.2">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spans="1:26" ht="12.75" customHeight="1" x14ac:dyDescent="0.2">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spans="1:26" ht="12.75" customHeight="1" x14ac:dyDescent="0.2">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spans="1:26" ht="12.75" customHeight="1" x14ac:dyDescent="0.2">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spans="1:26" ht="12.75" customHeight="1" x14ac:dyDescent="0.2">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spans="1:26" ht="12.75" customHeight="1" x14ac:dyDescent="0.2">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spans="1:26" ht="12.75" customHeight="1" x14ac:dyDescent="0.2">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spans="1:26" ht="12.75" customHeight="1" x14ac:dyDescent="0.2">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spans="1:26" ht="12.75" customHeight="1" x14ac:dyDescent="0.2">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spans="1:26" ht="12.75" customHeight="1" x14ac:dyDescent="0.2">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spans="1:26" ht="12.75" customHeight="1" x14ac:dyDescent="0.2">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spans="1:26" ht="12.75" customHeight="1" x14ac:dyDescent="0.2">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spans="1:26" ht="12.75" customHeight="1" x14ac:dyDescent="0.2">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spans="1:26" ht="12.75" customHeight="1" x14ac:dyDescent="0.2">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spans="1:26" ht="12.75" customHeight="1" x14ac:dyDescent="0.2">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spans="1:26" ht="12.75" customHeight="1" x14ac:dyDescent="0.2">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spans="1:26" ht="12.75" customHeight="1" x14ac:dyDescent="0.2">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spans="1:26" ht="12.75" customHeight="1" x14ac:dyDescent="0.2">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spans="1:26" ht="12.75" customHeight="1" x14ac:dyDescent="0.2">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spans="1:26" ht="12.75" customHeight="1" x14ac:dyDescent="0.2">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spans="1:26" ht="12.75" customHeight="1" x14ac:dyDescent="0.2">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spans="1:26" ht="12.75" customHeight="1" x14ac:dyDescent="0.2">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spans="1:26" ht="12.75" customHeight="1" x14ac:dyDescent="0.2">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spans="1:26" ht="12.75" customHeight="1" x14ac:dyDescent="0.2">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spans="1:26" ht="12.75" customHeight="1" x14ac:dyDescent="0.2">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spans="1:26" ht="12.75" customHeight="1" x14ac:dyDescent="0.2">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spans="1:26" ht="12.75" customHeight="1" x14ac:dyDescent="0.2">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spans="1:26" ht="12.75" customHeight="1" x14ac:dyDescent="0.2">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spans="1:26" ht="12.75" customHeight="1" x14ac:dyDescent="0.2">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spans="1:26" ht="12.75" customHeight="1" x14ac:dyDescent="0.2">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spans="1:26" ht="12.75" customHeight="1" x14ac:dyDescent="0.2">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spans="1:26" ht="12.75" customHeight="1" x14ac:dyDescent="0.2">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spans="1:26" ht="12.75" customHeight="1" x14ac:dyDescent="0.2">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spans="1:26" ht="12.75" customHeight="1" x14ac:dyDescent="0.2">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spans="1:26" ht="12.75" customHeight="1" x14ac:dyDescent="0.2">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spans="1:26" ht="12.75" customHeight="1" x14ac:dyDescent="0.2">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spans="1:26" ht="12.75" customHeight="1" x14ac:dyDescent="0.2">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spans="1:26" ht="12.75" customHeight="1" x14ac:dyDescent="0.2">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spans="1:26" ht="12.75" customHeight="1" x14ac:dyDescent="0.2">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spans="1:26" ht="12.75" customHeight="1" x14ac:dyDescent="0.2">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spans="1:26" ht="12.75" customHeight="1" x14ac:dyDescent="0.2">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spans="1:26" ht="12.75" customHeight="1" x14ac:dyDescent="0.2">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spans="1:26" ht="12.75" customHeight="1" x14ac:dyDescent="0.2">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spans="1:26" ht="12.75" customHeight="1" x14ac:dyDescent="0.2">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spans="1:26" ht="12.75" customHeight="1" x14ac:dyDescent="0.2">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spans="1:26" ht="12.75" customHeight="1" x14ac:dyDescent="0.2">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spans="1:26" ht="12.75" customHeight="1" x14ac:dyDescent="0.2">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spans="1:26" ht="12.75" customHeight="1" x14ac:dyDescent="0.2">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spans="1:26" ht="12.75" customHeight="1" x14ac:dyDescent="0.2">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spans="1:26" ht="12.75" customHeight="1" x14ac:dyDescent="0.2">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spans="1:26" ht="12.75" customHeight="1" x14ac:dyDescent="0.2">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spans="1:26" ht="12.75" customHeight="1" x14ac:dyDescent="0.2">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spans="1:26" ht="12.75" customHeight="1" x14ac:dyDescent="0.2">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spans="1:26" ht="12.75" customHeight="1" x14ac:dyDescent="0.2">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spans="1:26" ht="12.75" customHeight="1" x14ac:dyDescent="0.2">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spans="1:26" ht="12.75" customHeight="1" x14ac:dyDescent="0.2">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spans="1:26" ht="12.75" customHeight="1" x14ac:dyDescent="0.2">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spans="1:26" ht="12.75" customHeight="1" x14ac:dyDescent="0.2">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spans="1:26" ht="12.75" customHeight="1" x14ac:dyDescent="0.2">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spans="1:26" ht="12.75" customHeight="1" x14ac:dyDescent="0.2">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spans="1:26" ht="12.75" customHeight="1" x14ac:dyDescent="0.2">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spans="1:26" ht="12.75" customHeight="1" x14ac:dyDescent="0.2">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spans="1:26" ht="12.75" customHeight="1" x14ac:dyDescent="0.2">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spans="1:26" ht="12.75" customHeight="1" x14ac:dyDescent="0.2">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spans="1:26" ht="12.75" customHeight="1" x14ac:dyDescent="0.2">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spans="1:26" ht="12.75" customHeight="1" x14ac:dyDescent="0.2">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spans="1:26" ht="12.75" customHeight="1" x14ac:dyDescent="0.2">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spans="1:26" ht="12.75" customHeight="1" x14ac:dyDescent="0.2">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spans="1:26" ht="12.75" customHeight="1" x14ac:dyDescent="0.2">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spans="1:26" ht="12.75" customHeight="1" x14ac:dyDescent="0.2">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spans="1:26" ht="12.75" customHeight="1" x14ac:dyDescent="0.2">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spans="1:26" ht="12.75" customHeight="1" x14ac:dyDescent="0.2">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spans="1:26" ht="12.75" customHeight="1" x14ac:dyDescent="0.2">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spans="1:26" ht="12.75" customHeight="1" x14ac:dyDescent="0.2">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spans="1:26" ht="12.75" customHeight="1" x14ac:dyDescent="0.2">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spans="1:26" ht="12.75" customHeight="1" x14ac:dyDescent="0.2">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spans="1:26" ht="12.75" customHeight="1" x14ac:dyDescent="0.2">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spans="1:26" ht="12.75" customHeight="1" x14ac:dyDescent="0.2">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spans="1:26" ht="12.75" customHeight="1" x14ac:dyDescent="0.2">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spans="1:26" ht="12.75" customHeight="1" x14ac:dyDescent="0.2">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spans="1:26" ht="12.75" customHeight="1" x14ac:dyDescent="0.2">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spans="1:26" ht="12.75" customHeight="1" x14ac:dyDescent="0.2">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spans="1:26" ht="12.75" customHeight="1" x14ac:dyDescent="0.2">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spans="1:26" ht="12.75" customHeight="1" x14ac:dyDescent="0.2">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spans="1:26" ht="12.75" customHeight="1" x14ac:dyDescent="0.2">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spans="1:26" ht="12.75" customHeight="1" x14ac:dyDescent="0.2">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spans="1:26" ht="12.75" customHeight="1" x14ac:dyDescent="0.2">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spans="1:26" ht="12.75" customHeight="1" x14ac:dyDescent="0.2">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spans="1:26" ht="12.75" customHeight="1" x14ac:dyDescent="0.2">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spans="1:26" ht="12.75" customHeight="1" x14ac:dyDescent="0.2">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spans="1:26" ht="12.75" customHeight="1" x14ac:dyDescent="0.2">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spans="1:26" ht="12.75" customHeight="1" x14ac:dyDescent="0.2">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spans="1:26" ht="12.75" customHeight="1" x14ac:dyDescent="0.2">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spans="1:26" ht="12.75" customHeight="1" x14ac:dyDescent="0.2">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spans="1:26" ht="12.75" customHeight="1" x14ac:dyDescent="0.2">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spans="1:26" ht="12.75" customHeight="1" x14ac:dyDescent="0.2">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spans="1:26" ht="12.75" customHeight="1" x14ac:dyDescent="0.2">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spans="1:26" ht="12.75" customHeight="1" x14ac:dyDescent="0.2">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spans="1:26" ht="12.75" customHeight="1" x14ac:dyDescent="0.2">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spans="1:26" ht="12.75" customHeight="1" x14ac:dyDescent="0.2">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spans="1:26" ht="12.75" customHeight="1" x14ac:dyDescent="0.2">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spans="1:26" ht="12.75" customHeight="1" x14ac:dyDescent="0.2">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spans="1:26" ht="12.75" customHeight="1" x14ac:dyDescent="0.2">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spans="1:26" ht="12.75" customHeight="1" x14ac:dyDescent="0.2">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spans="1:26" ht="12.75" customHeight="1" x14ac:dyDescent="0.2">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spans="1:26" ht="12.75" customHeight="1" x14ac:dyDescent="0.2">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spans="1:26" ht="12.75" customHeight="1" x14ac:dyDescent="0.2">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spans="1:26" ht="12.75" customHeight="1" x14ac:dyDescent="0.2">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spans="1:26" ht="12.75" customHeight="1" x14ac:dyDescent="0.2">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spans="1:26" ht="12.75" customHeight="1" x14ac:dyDescent="0.2">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spans="1:26" ht="12.75" customHeight="1" x14ac:dyDescent="0.2">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spans="1:26" ht="12.75" customHeight="1" x14ac:dyDescent="0.2">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spans="1:26" ht="12.75" customHeight="1" x14ac:dyDescent="0.2">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spans="1:26" ht="12.75" customHeight="1" x14ac:dyDescent="0.2">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spans="1:26" ht="12.75" customHeight="1" x14ac:dyDescent="0.2">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spans="1:26" ht="12.75" customHeight="1" x14ac:dyDescent="0.2">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spans="1:26" ht="12.75" customHeight="1" x14ac:dyDescent="0.2">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spans="1:26" ht="12.75" customHeight="1" x14ac:dyDescent="0.2">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spans="1:26" ht="12.75" customHeight="1" x14ac:dyDescent="0.2">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spans="1:26" ht="12.75" customHeight="1" x14ac:dyDescent="0.2">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spans="1:26" ht="12.75" customHeight="1" x14ac:dyDescent="0.2">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spans="1:26" ht="12.75" customHeight="1" x14ac:dyDescent="0.2">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spans="1:26" ht="12.75" customHeight="1" x14ac:dyDescent="0.2">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spans="1:26" ht="12.75" customHeight="1" x14ac:dyDescent="0.2">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spans="1:26" ht="12.75" customHeight="1" x14ac:dyDescent="0.2">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spans="1:26" ht="12.75" customHeight="1" x14ac:dyDescent="0.2">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spans="1:26" ht="12.75" customHeight="1" x14ac:dyDescent="0.2">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spans="1:26" ht="12.75" customHeight="1" x14ac:dyDescent="0.2">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spans="1:26" ht="12.75" customHeight="1" x14ac:dyDescent="0.2">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spans="1:26" ht="12.75" customHeight="1" x14ac:dyDescent="0.2">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spans="1:26" ht="12.75" customHeight="1" x14ac:dyDescent="0.2">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spans="1:26" ht="12.75" customHeight="1" x14ac:dyDescent="0.2">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spans="1:26" ht="12.75" customHeight="1" x14ac:dyDescent="0.2">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spans="1:26" ht="12.75" customHeight="1" x14ac:dyDescent="0.2">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spans="1:26" ht="12.75" customHeight="1" x14ac:dyDescent="0.2">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spans="1:26" ht="12.75" customHeight="1" x14ac:dyDescent="0.2">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spans="1:26" ht="12.75" customHeight="1" x14ac:dyDescent="0.2">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spans="1:26" ht="12.75" customHeight="1" x14ac:dyDescent="0.2">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spans="1:26" ht="12.75" customHeight="1" x14ac:dyDescent="0.2">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spans="1:26" ht="12.75" customHeight="1" x14ac:dyDescent="0.2">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spans="1:26" ht="12.75" customHeight="1" x14ac:dyDescent="0.2">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spans="1:26" ht="12.75" customHeight="1" x14ac:dyDescent="0.2">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spans="1:26" ht="12.75" customHeight="1" x14ac:dyDescent="0.2">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spans="1:26" ht="12.75" customHeight="1" x14ac:dyDescent="0.2">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spans="1:26" ht="12.75" customHeight="1" x14ac:dyDescent="0.2">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spans="1:26" ht="12.75" customHeight="1" x14ac:dyDescent="0.2">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spans="1:26" ht="12.75" customHeight="1" x14ac:dyDescent="0.2">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spans="1:26" ht="12.75" customHeight="1" x14ac:dyDescent="0.2">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spans="1:26" ht="12.75" customHeight="1" x14ac:dyDescent="0.2">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spans="1:26" ht="12.75" customHeight="1" x14ac:dyDescent="0.2">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spans="1:26" ht="12.75" customHeight="1" x14ac:dyDescent="0.2">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spans="1:26" ht="12.75" customHeight="1" x14ac:dyDescent="0.2">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spans="1:26" ht="12.75" customHeight="1" x14ac:dyDescent="0.2">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spans="1:26" ht="12.75" customHeight="1" x14ac:dyDescent="0.2">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spans="1:26" ht="12.75" customHeight="1" x14ac:dyDescent="0.2">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spans="1:26" ht="12.75" customHeight="1" x14ac:dyDescent="0.2">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spans="1:26" ht="12.75" customHeight="1" x14ac:dyDescent="0.2">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spans="1:26" ht="12.75" customHeight="1" x14ac:dyDescent="0.2">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spans="1:26" ht="12.75" customHeight="1" x14ac:dyDescent="0.2">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spans="1:26" ht="12.75" customHeight="1" x14ac:dyDescent="0.2">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spans="1:26" ht="12.75" customHeight="1" x14ac:dyDescent="0.2">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spans="1:26" ht="12.75" customHeight="1" x14ac:dyDescent="0.2">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spans="1:26" ht="12.75" customHeight="1" x14ac:dyDescent="0.2">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spans="1:26" ht="12.75" customHeight="1" x14ac:dyDescent="0.2">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spans="1:26" ht="12.75" customHeight="1" x14ac:dyDescent="0.2">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spans="1:26" ht="12.75" customHeight="1" x14ac:dyDescent="0.2">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spans="1:26" ht="12.75" customHeight="1" x14ac:dyDescent="0.2">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spans="1:26" ht="12.75" customHeight="1" x14ac:dyDescent="0.2">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spans="1:26" ht="12.75" customHeight="1" x14ac:dyDescent="0.2">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spans="1:26" ht="12.75" customHeight="1" x14ac:dyDescent="0.2">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spans="1:26" ht="12.75" customHeight="1" x14ac:dyDescent="0.2">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spans="1:26" ht="12.75" customHeight="1" x14ac:dyDescent="0.2">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spans="1:26" ht="12.75" customHeight="1" x14ac:dyDescent="0.2">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spans="1:26" ht="12.75" customHeight="1" x14ac:dyDescent="0.2">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spans="1:26" ht="12.75" customHeight="1" x14ac:dyDescent="0.2">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spans="1:26" ht="12.75" customHeight="1" x14ac:dyDescent="0.2">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spans="1:26" ht="12.75" customHeight="1" x14ac:dyDescent="0.2">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spans="1:26" ht="12.75" customHeight="1" x14ac:dyDescent="0.2">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spans="1:26" ht="12.75" customHeight="1" x14ac:dyDescent="0.2">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spans="1:26" ht="12.75" customHeight="1" x14ac:dyDescent="0.2">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spans="1:26" ht="12.75" customHeight="1" x14ac:dyDescent="0.2">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spans="1:26" ht="12.75" customHeight="1" x14ac:dyDescent="0.2">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spans="1:26" ht="12.75" customHeight="1" x14ac:dyDescent="0.2">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spans="1:26" ht="12.75" customHeight="1" x14ac:dyDescent="0.2">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spans="1:26" ht="12.75" customHeight="1" x14ac:dyDescent="0.2">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spans="1:26" ht="12.75" customHeight="1" x14ac:dyDescent="0.2">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spans="1:26" ht="12.75" customHeight="1" x14ac:dyDescent="0.2">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spans="1:26" ht="12.75" customHeight="1" x14ac:dyDescent="0.2">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spans="1:26" ht="12.75" customHeight="1" x14ac:dyDescent="0.2">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spans="1:26" ht="12.75" customHeight="1" x14ac:dyDescent="0.2">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spans="1:26" ht="12.75" customHeight="1" x14ac:dyDescent="0.2">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spans="1:26" ht="12.75" customHeight="1" x14ac:dyDescent="0.2">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spans="1:26" ht="12.75" customHeight="1" x14ac:dyDescent="0.2">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spans="1:26" ht="12.75" customHeight="1" x14ac:dyDescent="0.2">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spans="1:26" ht="12.75" customHeight="1" x14ac:dyDescent="0.2">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spans="1:26" ht="12.75" customHeight="1" x14ac:dyDescent="0.2">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spans="1:26" ht="12.75" customHeight="1" x14ac:dyDescent="0.2">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spans="1:26" ht="12.75" customHeight="1" x14ac:dyDescent="0.2">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spans="1:26" ht="12.75" customHeight="1" x14ac:dyDescent="0.2">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spans="1:26" ht="12.75" customHeight="1" x14ac:dyDescent="0.2">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spans="1:26" ht="12.75" customHeight="1" x14ac:dyDescent="0.2">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spans="1:26" ht="12.75" customHeight="1" x14ac:dyDescent="0.2">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spans="1:26" ht="12.75" customHeight="1" x14ac:dyDescent="0.2">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spans="1:26" ht="12.75" customHeight="1" x14ac:dyDescent="0.2">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spans="1:26" ht="12.75" customHeight="1" x14ac:dyDescent="0.2">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spans="1:26" ht="12.75" customHeight="1" x14ac:dyDescent="0.2">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spans="1:26" ht="12.75" customHeight="1" x14ac:dyDescent="0.2">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spans="1:26" ht="12.75" customHeight="1" x14ac:dyDescent="0.2">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spans="1:26" ht="12.75" customHeight="1" x14ac:dyDescent="0.2">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spans="1:26" ht="12.75" customHeight="1" x14ac:dyDescent="0.2">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spans="1:26" ht="12.75" customHeight="1" x14ac:dyDescent="0.2">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spans="1:26" ht="12.75" customHeight="1" x14ac:dyDescent="0.2">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spans="1:26" ht="12.75" customHeight="1" x14ac:dyDescent="0.2">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spans="1:26" ht="12.75" customHeight="1" x14ac:dyDescent="0.2">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spans="1:26" ht="12.75" customHeight="1" x14ac:dyDescent="0.2">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spans="1:26" ht="12.75" customHeight="1" x14ac:dyDescent="0.2">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spans="1:26" ht="12.75" customHeight="1" x14ac:dyDescent="0.2">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spans="1:26" ht="12.75" customHeight="1" x14ac:dyDescent="0.2">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spans="1:26" ht="12.75" customHeight="1" x14ac:dyDescent="0.2">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spans="1:26" ht="12.75" customHeight="1" x14ac:dyDescent="0.2">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spans="1:26" ht="12.75" customHeight="1" x14ac:dyDescent="0.2">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spans="1:26" ht="12.75" customHeight="1" x14ac:dyDescent="0.2">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spans="1:26" ht="12.75" customHeight="1" x14ac:dyDescent="0.2">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spans="1:26" ht="12.75" customHeight="1" x14ac:dyDescent="0.2">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spans="1:26" ht="12.75" customHeight="1" x14ac:dyDescent="0.2">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spans="1:26" ht="12.75" customHeight="1" x14ac:dyDescent="0.2">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spans="1:26" ht="12.75" customHeight="1" x14ac:dyDescent="0.2">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spans="1:26" ht="12.75" customHeight="1" x14ac:dyDescent="0.2">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spans="1:26" ht="12.75" customHeight="1" x14ac:dyDescent="0.2">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spans="1:26" ht="12.75" customHeight="1" x14ac:dyDescent="0.2">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spans="1:26" ht="12.75" customHeight="1" x14ac:dyDescent="0.2">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spans="1:26" ht="12.75" customHeight="1" x14ac:dyDescent="0.2">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spans="1:26" ht="12.75" customHeight="1" x14ac:dyDescent="0.2">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spans="1:26" ht="12.75" customHeight="1" x14ac:dyDescent="0.2">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spans="1:26" ht="12.75" customHeight="1" x14ac:dyDescent="0.2">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spans="1:26" ht="12.75" customHeight="1" x14ac:dyDescent="0.2">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spans="1:26" ht="12.75" customHeight="1" x14ac:dyDescent="0.2">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spans="1:26" ht="12.75" customHeight="1" x14ac:dyDescent="0.2">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spans="1:26" ht="12.75" customHeight="1" x14ac:dyDescent="0.2">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spans="1:26" ht="12.75" customHeight="1" x14ac:dyDescent="0.2">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spans="1:26" ht="12.75" customHeight="1" x14ac:dyDescent="0.2">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spans="1:26" ht="12.75" customHeight="1" x14ac:dyDescent="0.2">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spans="1:26" ht="12.75" customHeight="1" x14ac:dyDescent="0.2">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spans="1:26" ht="12.75" customHeight="1" x14ac:dyDescent="0.2">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spans="1:26" ht="12.75" customHeight="1" x14ac:dyDescent="0.2">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spans="1:26" ht="12.75" customHeight="1" x14ac:dyDescent="0.2">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spans="1:26" ht="12.75" customHeight="1" x14ac:dyDescent="0.2">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spans="1:26" ht="12.75" customHeight="1" x14ac:dyDescent="0.2">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spans="1:26" ht="12.75" customHeight="1" x14ac:dyDescent="0.2">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spans="1:26" ht="12.75" customHeight="1" x14ac:dyDescent="0.2">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spans="1:26" ht="12.75" customHeight="1" x14ac:dyDescent="0.2">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spans="1:26" ht="12.75" customHeight="1" x14ac:dyDescent="0.2">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spans="1:26" ht="12.75" customHeight="1" x14ac:dyDescent="0.2">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spans="1:26" ht="12.75" customHeight="1" x14ac:dyDescent="0.2">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spans="1:26" ht="12.75" customHeight="1" x14ac:dyDescent="0.2">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spans="1:26" ht="12.75" customHeight="1" x14ac:dyDescent="0.2">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spans="1:26" ht="12.75" customHeight="1" x14ac:dyDescent="0.2">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spans="1:26" ht="12.75" customHeight="1" x14ac:dyDescent="0.2">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spans="1:26" ht="12.75" customHeight="1" x14ac:dyDescent="0.2">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spans="1:26" ht="12.75" customHeight="1" x14ac:dyDescent="0.2">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spans="1:26" ht="12.75" customHeight="1" x14ac:dyDescent="0.2">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spans="1:26" ht="12.75" customHeight="1" x14ac:dyDescent="0.2">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spans="1:26" ht="12.75" customHeight="1" x14ac:dyDescent="0.2">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spans="1:26" ht="12.75" customHeight="1" x14ac:dyDescent="0.2">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spans="1:26" ht="12.75" customHeight="1" x14ac:dyDescent="0.2">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spans="1:26" ht="12.75" customHeight="1" x14ac:dyDescent="0.2">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spans="1:26" ht="12.75" customHeight="1" x14ac:dyDescent="0.2">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spans="1:26" ht="12.75" customHeight="1" x14ac:dyDescent="0.2">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spans="1:26" ht="12.75" customHeight="1" x14ac:dyDescent="0.2">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spans="1:26" ht="12.75" customHeight="1" x14ac:dyDescent="0.2">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spans="1:26" ht="12.75" customHeight="1" x14ac:dyDescent="0.2">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spans="1:26" ht="12.75" customHeight="1" x14ac:dyDescent="0.2">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spans="1:26" ht="12.75" customHeight="1" x14ac:dyDescent="0.2">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spans="1:26" ht="12.75" customHeight="1" x14ac:dyDescent="0.2">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spans="1:26" ht="12.75" customHeight="1" x14ac:dyDescent="0.2">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spans="1:26" ht="12.75" customHeight="1" x14ac:dyDescent="0.2">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spans="1:26" ht="12.75" customHeight="1" x14ac:dyDescent="0.2">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spans="1:26" ht="12.75" customHeight="1" x14ac:dyDescent="0.2">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spans="1:26" ht="12.75" customHeight="1" x14ac:dyDescent="0.2">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spans="1:26" ht="12.75" customHeight="1" x14ac:dyDescent="0.2">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spans="1:26" ht="12.75" customHeight="1" x14ac:dyDescent="0.2">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spans="1:26" ht="12.75" customHeight="1" x14ac:dyDescent="0.2">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spans="1:26" ht="12.75" customHeight="1" x14ac:dyDescent="0.2">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spans="1:26" ht="12.75" customHeight="1" x14ac:dyDescent="0.2">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spans="1:26" ht="12.75" customHeight="1" x14ac:dyDescent="0.2">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spans="1:26" ht="12.75" customHeight="1" x14ac:dyDescent="0.2">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spans="1:26" ht="12.75" customHeight="1" x14ac:dyDescent="0.2">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spans="1:26" ht="12.75" customHeight="1" x14ac:dyDescent="0.2">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spans="1:26" ht="12.75" customHeight="1" x14ac:dyDescent="0.2">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spans="1:26" ht="12.75" customHeight="1" x14ac:dyDescent="0.2">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spans="1:26" ht="12.75" customHeight="1" x14ac:dyDescent="0.2">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spans="1:26" ht="12.75" customHeight="1" x14ac:dyDescent="0.2">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spans="1:26" ht="12.75" customHeight="1" x14ac:dyDescent="0.2">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spans="1:26" ht="12.75" customHeight="1" x14ac:dyDescent="0.2">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spans="1:26" ht="12.75" customHeight="1" x14ac:dyDescent="0.2">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spans="1:26" ht="12.75" customHeight="1" x14ac:dyDescent="0.2">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spans="1:26" ht="12.75" customHeight="1" x14ac:dyDescent="0.2">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spans="1:26" ht="12.75" customHeight="1" x14ac:dyDescent="0.2">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spans="1:26" ht="12.75" customHeight="1" x14ac:dyDescent="0.2">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spans="1:26" ht="12.75" customHeight="1" x14ac:dyDescent="0.2">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spans="1:26" ht="12.75" customHeight="1" x14ac:dyDescent="0.2">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spans="1:26" ht="12.75" customHeight="1" x14ac:dyDescent="0.2">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spans="1:26" ht="12.75" customHeight="1" x14ac:dyDescent="0.2">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spans="1:26" ht="12.75" customHeight="1" x14ac:dyDescent="0.2">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spans="1:26" ht="12.75" customHeight="1" x14ac:dyDescent="0.2">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spans="1:26" ht="12.75" customHeight="1" x14ac:dyDescent="0.2">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spans="1:26" ht="12.75" customHeight="1" x14ac:dyDescent="0.2">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spans="1:26" ht="12.75" customHeight="1" x14ac:dyDescent="0.2">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spans="1:26" ht="12.75" customHeight="1" x14ac:dyDescent="0.2">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spans="1:26" ht="12.75" customHeight="1" x14ac:dyDescent="0.2">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spans="1:26" ht="12.75" customHeight="1" x14ac:dyDescent="0.2">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spans="1:26" ht="12.75" customHeight="1" x14ac:dyDescent="0.2">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spans="1:26" ht="12.75" customHeight="1" x14ac:dyDescent="0.2">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spans="1:26" ht="12.75" customHeight="1" x14ac:dyDescent="0.2">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spans="1:26" ht="12.75" customHeight="1" x14ac:dyDescent="0.2">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spans="1:26" ht="12.75" customHeight="1" x14ac:dyDescent="0.2">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spans="1:26" ht="12.75" customHeight="1" x14ac:dyDescent="0.2">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spans="1:26" ht="12.75" customHeight="1" x14ac:dyDescent="0.2">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spans="1:26" ht="12.75" customHeight="1" x14ac:dyDescent="0.2">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spans="1:26" ht="12.75" customHeight="1" x14ac:dyDescent="0.2">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spans="1:26" ht="12.75" customHeight="1" x14ac:dyDescent="0.2">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spans="1:26" ht="12.75" customHeight="1" x14ac:dyDescent="0.2">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spans="1:26" ht="12.75" customHeight="1" x14ac:dyDescent="0.2">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spans="1:26" ht="12.75" customHeight="1" x14ac:dyDescent="0.2">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spans="1:26" ht="12.75" customHeight="1" x14ac:dyDescent="0.2">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spans="1:26" ht="12.75" customHeight="1" x14ac:dyDescent="0.2">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spans="1:26" ht="12.75" customHeight="1" x14ac:dyDescent="0.2">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spans="1:26" ht="12.75" customHeight="1" x14ac:dyDescent="0.2">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spans="1:26" ht="12.75" customHeight="1" x14ac:dyDescent="0.2">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spans="1:26" ht="12.75" customHeight="1" x14ac:dyDescent="0.2">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spans="1:26" ht="12.75" customHeight="1" x14ac:dyDescent="0.2">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spans="1:26" ht="12.75" customHeight="1" x14ac:dyDescent="0.2">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spans="1:26" ht="12.75" customHeight="1" x14ac:dyDescent="0.2">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spans="1:26" ht="12.75" customHeight="1" x14ac:dyDescent="0.2">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spans="1:26" ht="12.75" customHeight="1" x14ac:dyDescent="0.2">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spans="1:26" ht="12.75" customHeight="1" x14ac:dyDescent="0.2">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spans="1:26" ht="12.75" customHeight="1" x14ac:dyDescent="0.2">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spans="1:26" ht="12.75" customHeight="1" x14ac:dyDescent="0.2">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spans="1:26" ht="12.75" customHeight="1" x14ac:dyDescent="0.2">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spans="1:26" ht="12.75" customHeight="1" x14ac:dyDescent="0.2">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spans="1:26" ht="12.75" customHeight="1" x14ac:dyDescent="0.2">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spans="1:26" ht="12.75" customHeight="1" x14ac:dyDescent="0.2">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spans="1:26" ht="12.75" customHeight="1" x14ac:dyDescent="0.2">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spans="1:26" ht="12.75" customHeight="1" x14ac:dyDescent="0.2">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spans="1:26" ht="12.75" customHeight="1" x14ac:dyDescent="0.2">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spans="1:26" ht="12.75" customHeight="1" x14ac:dyDescent="0.2">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spans="1:26" ht="12.75" customHeight="1" x14ac:dyDescent="0.2">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spans="1:26" ht="12.75" customHeight="1" x14ac:dyDescent="0.2">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spans="1:26" ht="12.75" customHeight="1" x14ac:dyDescent="0.2">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spans="1:26" ht="12.75" customHeight="1" x14ac:dyDescent="0.2">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spans="1:26" ht="12.75" customHeight="1" x14ac:dyDescent="0.2">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spans="1:26" ht="12.75" customHeight="1" x14ac:dyDescent="0.2">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spans="1:26" ht="12.75" customHeight="1" x14ac:dyDescent="0.2">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spans="1:26" ht="12.75" customHeight="1" x14ac:dyDescent="0.2">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spans="1:26" ht="12.75" customHeight="1" x14ac:dyDescent="0.2">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spans="1:26" ht="12.75" customHeight="1" x14ac:dyDescent="0.2">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spans="1:26" ht="12.75" customHeight="1" x14ac:dyDescent="0.2">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spans="1:26" ht="12.75" customHeight="1" x14ac:dyDescent="0.2">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spans="1:26" ht="12.75" customHeight="1" x14ac:dyDescent="0.2">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spans="1:26" ht="12.75" customHeight="1" x14ac:dyDescent="0.2">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spans="1:26" ht="12.75" customHeight="1" x14ac:dyDescent="0.2">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spans="1:26" ht="12.75" customHeight="1" x14ac:dyDescent="0.2">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spans="1:26" ht="12.75" customHeight="1" x14ac:dyDescent="0.2">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spans="1:26" ht="12.75" customHeight="1" x14ac:dyDescent="0.2">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spans="1:26" ht="12.75" customHeight="1" x14ac:dyDescent="0.2">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spans="1:26" ht="12.75" customHeight="1" x14ac:dyDescent="0.2">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spans="1:26" ht="12.75" customHeight="1" x14ac:dyDescent="0.2">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chia</cp:lastModifiedBy>
  <cp:lastPrinted>2025-05-15T14:06:27Z</cp:lastPrinted>
  <dcterms:created xsi:type="dcterms:W3CDTF">2020-03-24T23:12:47Z</dcterms:created>
  <dcterms:modified xsi:type="dcterms:W3CDTF">2026-03-03T21:49:47Z</dcterms:modified>
</cp:coreProperties>
</file>