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Relacionamiento con la Ciudadanía\"/>
    </mc:Choice>
  </mc:AlternateContent>
  <xr:revisionPtr revIDLastSave="0" documentId="13_ncr:1_{48443709-53E3-4F5F-9904-C2800371BAD8}" xr6:coauthVersionLast="47" xr6:coauthVersionMax="47" xr10:uidLastSave="{00000000-0000-0000-0000-000000000000}"/>
  <bookViews>
    <workbookView xWindow="-120" yWindow="-120" windowWidth="29040" windowHeight="15720" tabRatio="882" activeTab="1" xr2:uid="{00000000-000D-0000-FFFF-FFFF00000000}"/>
  </bookViews>
  <sheets>
    <sheet name="Intructivo" sheetId="20" r:id="rId1"/>
    <sheet name="Mapa final" sheetId="1" r:id="rId2"/>
    <sheet name="Matriz Calor Inherente" sheetId="18" r:id="rId3"/>
    <sheet name="Matriz Calor Residual" sheetId="19" r:id="rId4"/>
    <sheet name="Tabla probabilidad" sheetId="12" r:id="rId5"/>
    <sheet name="Tabla Impacto" sheetId="13" r:id="rId6"/>
    <sheet name="Tabla Valoración controles" sheetId="15" r:id="rId7"/>
    <sheet name="Opciones Tratamiento" sheetId="16" state="hidden" r:id="rId8"/>
    <sheet name="Hoja1" sheetId="11" state="hidden" r:id="rId9"/>
  </sheets>
  <externalReferences>
    <externalReference r:id="rId10"/>
  </externalReferenc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 l="1"/>
  <c r="K21" i="1"/>
  <c r="K20" i="1"/>
  <c r="K19" i="1"/>
  <c r="K18" i="1"/>
  <c r="K17" i="1"/>
  <c r="L17" i="1" s="1"/>
  <c r="H17" i="1"/>
  <c r="K16" i="1"/>
  <c r="K15" i="1"/>
  <c r="K14" i="1"/>
  <c r="K13" i="1"/>
  <c r="L13" i="1" s="1"/>
  <c r="H13" i="1"/>
  <c r="AB14" i="1"/>
  <c r="AA14" i="1" s="1"/>
  <c r="T14" i="1"/>
  <c r="N13" i="1" l="1"/>
  <c r="M13" i="1"/>
  <c r="N17" i="1"/>
  <c r="M17" i="1"/>
  <c r="I17" i="1"/>
  <c r="I13" i="1"/>
  <c r="F221" i="13"/>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17" i="1" l="1"/>
  <c r="Q17" i="1"/>
  <c r="T16" i="1"/>
  <c r="T15" i="1"/>
  <c r="T13" i="1"/>
  <c r="Q13" i="1"/>
  <c r="X17" i="1" l="1"/>
  <c r="X13" i="1"/>
  <c r="Y17" i="1" l="1"/>
  <c r="Z17" i="1"/>
  <c r="Y13" i="1"/>
  <c r="Z13" i="1"/>
  <c r="X14" i="1" s="1"/>
  <c r="Z14" i="1" s="1"/>
  <c r="X15" i="1" s="1"/>
  <c r="Y15" i="1" s="1"/>
  <c r="Y14" i="1" l="1"/>
  <c r="Z15" i="1"/>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X16" i="1" l="1"/>
  <c r="Y16" i="1" l="1"/>
  <c r="Z16" i="1"/>
  <c r="J11" i="19" l="1"/>
  <c r="V11" i="19"/>
  <c r="AB21" i="19"/>
  <c r="P31" i="19"/>
  <c r="J31" i="19"/>
  <c r="AB41" i="19"/>
  <c r="AH41" i="19"/>
  <c r="P41" i="19"/>
  <c r="J21" i="19"/>
  <c r="AB31" i="19"/>
  <c r="AB51" i="19"/>
  <c r="P21" i="19"/>
  <c r="V41" i="19"/>
  <c r="V31" i="19"/>
  <c r="AH21" i="19"/>
  <c r="AB11" i="19"/>
  <c r="P51" i="19"/>
  <c r="V21" i="19"/>
  <c r="AH31" i="19"/>
  <c r="V51" i="19"/>
  <c r="J51" i="19"/>
  <c r="AH51" i="19"/>
  <c r="AH11" i="19"/>
  <c r="J41" i="19"/>
  <c r="P11"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AB15" i="1"/>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AA15" i="1"/>
  <c r="AB16" i="1"/>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AC14" i="1"/>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A16" i="1"/>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C15" i="1"/>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AC16" i="1"/>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l="1"/>
  <c r="AJ30" i="18"/>
  <c r="R22" i="18"/>
  <c r="AJ6" i="18"/>
  <c r="L6" i="18"/>
  <c r="R30" i="18"/>
  <c r="X22" i="18"/>
  <c r="AD38" i="18"/>
  <c r="AD22" i="18"/>
  <c r="L30" i="18"/>
  <c r="R38" i="18"/>
  <c r="AJ14" i="18"/>
  <c r="R14" i="18"/>
  <c r="L38" i="18"/>
  <c r="AD30" i="18"/>
  <c r="AJ38" i="18"/>
  <c r="AJ22" i="18"/>
  <c r="X30" i="18"/>
  <c r="L14" i="18"/>
  <c r="AD6" i="18"/>
  <c r="X38" i="18"/>
  <c r="L22" i="18"/>
  <c r="R6" i="18"/>
  <c r="X14" i="18"/>
  <c r="AD14" i="18"/>
  <c r="P14" i="18"/>
  <c r="V22" i="18"/>
  <c r="V14" i="18"/>
  <c r="AH22" i="18"/>
  <c r="AH14" i="18"/>
  <c r="AH38" i="18"/>
  <c r="J14" i="18"/>
  <c r="AB22" i="18"/>
  <c r="V30" i="18"/>
  <c r="AB14" i="18"/>
  <c r="J30" i="18"/>
  <c r="P38" i="18"/>
  <c r="AB6" i="18"/>
  <c r="P6" i="18"/>
  <c r="J38" i="18"/>
  <c r="AH6" i="18"/>
  <c r="V6" i="18"/>
  <c r="P30" i="18"/>
  <c r="AB38" i="18"/>
  <c r="P22" i="18"/>
  <c r="AB30" i="18"/>
  <c r="J6" i="18"/>
  <c r="AH30" i="18"/>
  <c r="J22" i="18"/>
  <c r="V38" i="18"/>
  <c r="T14" i="18"/>
  <c r="AL38" i="18"/>
  <c r="N14" i="18"/>
  <c r="Z14" i="18"/>
  <c r="T38" i="18"/>
  <c r="T22" i="18"/>
  <c r="AL14" i="18"/>
  <c r="N22" i="18"/>
  <c r="AF22" i="18"/>
  <c r="N6" i="18"/>
  <c r="AF6" i="18"/>
  <c r="AF38" i="18"/>
  <c r="N38" i="18"/>
  <c r="AL30" i="18"/>
  <c r="AL22" i="18"/>
  <c r="T6" i="18"/>
  <c r="AL6" i="18"/>
  <c r="AF30" i="18"/>
  <c r="Z22" i="18"/>
  <c r="T30" i="18"/>
  <c r="Z38" i="18"/>
  <c r="Z6" i="18"/>
  <c r="AF14" i="18"/>
  <c r="Z30" i="18"/>
  <c r="N30" i="18"/>
  <c r="J28" i="19" l="1"/>
  <c r="V28" i="19"/>
  <c r="P28" i="19"/>
  <c r="V38" i="19"/>
  <c r="AB38" i="19"/>
  <c r="P8" i="19"/>
  <c r="AB28" i="19"/>
  <c r="AH38" i="19"/>
  <c r="AB18" i="19"/>
  <c r="J18" i="19"/>
  <c r="AH8" i="19"/>
  <c r="V8" i="19"/>
  <c r="AH18" i="19"/>
  <c r="J38" i="19"/>
  <c r="P18" i="19"/>
  <c r="J48" i="19"/>
  <c r="AB8" i="19"/>
  <c r="AH28" i="19"/>
  <c r="P38" i="19"/>
  <c r="P48" i="19"/>
  <c r="J8" i="19"/>
  <c r="V48" i="19"/>
  <c r="AB48" i="19"/>
  <c r="AH48" i="19"/>
  <c r="V18" i="19"/>
  <c r="V47" i="19"/>
  <c r="AB7" i="19"/>
  <c r="AH17" i="19"/>
  <c r="J37" i="19"/>
  <c r="P17" i="19"/>
  <c r="P7" i="19"/>
  <c r="J47" i="19"/>
  <c r="V17" i="19"/>
  <c r="AH27" i="19"/>
  <c r="P47" i="19"/>
  <c r="V27" i="19"/>
  <c r="AB37" i="19"/>
  <c r="AH47" i="19"/>
  <c r="AB47" i="19"/>
  <c r="V7" i="19"/>
  <c r="AH7" i="19"/>
  <c r="J27" i="19"/>
  <c r="P37" i="19"/>
  <c r="AB27" i="19"/>
  <c r="AH37" i="19"/>
  <c r="J7" i="19"/>
  <c r="J17" i="19"/>
  <c r="P27" i="19"/>
  <c r="V37" i="19"/>
  <c r="AB17" i="19"/>
  <c r="P16" i="19"/>
  <c r="P6" i="19"/>
  <c r="AH6" i="19"/>
  <c r="V46" i="19"/>
  <c r="AH46" i="19"/>
  <c r="AB46" i="19"/>
  <c r="V36" i="19"/>
  <c r="J6" i="19"/>
  <c r="P46" i="19"/>
  <c r="AB26" i="19"/>
  <c r="AB16" i="19"/>
  <c r="AH26" i="19"/>
  <c r="J16" i="19"/>
  <c r="V16" i="19"/>
  <c r="V26" i="19"/>
  <c r="AH36" i="19"/>
  <c r="P26" i="19"/>
  <c r="AB36" i="19"/>
  <c r="AB6" i="19"/>
  <c r="P36" i="19"/>
  <c r="J36" i="19"/>
  <c r="AH16" i="19"/>
  <c r="J26" i="19"/>
  <c r="V6" i="19"/>
  <c r="J46" i="19"/>
  <c r="L16" i="18" l="1"/>
  <c r="R32" i="18"/>
  <c r="AD8" i="18"/>
  <c r="X8" i="18"/>
  <c r="X16" i="18"/>
  <c r="L24" i="18"/>
  <c r="AJ24" i="18"/>
  <c r="R24" i="18"/>
  <c r="AJ16" i="18"/>
  <c r="X40" i="18"/>
  <c r="AB17" i="1"/>
  <c r="AA17" i="1" s="1"/>
  <c r="AD40" i="18"/>
  <c r="X24" i="18"/>
  <c r="AD16" i="18"/>
  <c r="L8" i="18"/>
  <c r="R8" i="18"/>
  <c r="R40" i="18"/>
  <c r="AD32" i="18"/>
  <c r="R16" i="18"/>
  <c r="X32" i="18"/>
  <c r="AJ40" i="18"/>
  <c r="AJ32" i="18"/>
  <c r="L32" i="18"/>
  <c r="L40" i="18"/>
  <c r="AD24" i="18"/>
  <c r="AJ8" i="18"/>
  <c r="AF34" i="18"/>
  <c r="AL10" i="18"/>
  <c r="Z10" i="18"/>
  <c r="AL18" i="18"/>
  <c r="AL34" i="18"/>
  <c r="AF10" i="18"/>
  <c r="Z34" i="18"/>
  <c r="AF42" i="18"/>
  <c r="AL26" i="18"/>
  <c r="N18" i="18"/>
  <c r="N10" i="18"/>
  <c r="T10" i="18"/>
  <c r="AL42" i="18"/>
  <c r="Z42" i="18"/>
  <c r="N42" i="18"/>
  <c r="T26" i="18"/>
  <c r="AF18" i="18"/>
  <c r="N34" i="18"/>
  <c r="T34" i="18"/>
  <c r="T18" i="18"/>
  <c r="Z18" i="18"/>
  <c r="AF26" i="18"/>
  <c r="N26" i="18"/>
  <c r="Z26" i="18"/>
  <c r="T42" i="18"/>
  <c r="AB40" i="18"/>
  <c r="P32" i="18"/>
  <c r="P16" i="18"/>
  <c r="V8" i="18"/>
  <c r="AB32" i="18"/>
  <c r="AH40" i="18"/>
  <c r="AH32" i="18"/>
  <c r="V24" i="18"/>
  <c r="P40" i="18"/>
  <c r="AH24" i="18"/>
  <c r="AB8" i="18"/>
  <c r="AB13" i="1"/>
  <c r="AA13" i="1" s="1"/>
  <c r="J32" i="18"/>
  <c r="AB24" i="18"/>
  <c r="P24" i="18"/>
  <c r="V32" i="18"/>
  <c r="AH8" i="18"/>
  <c r="AH16" i="18"/>
  <c r="AB16" i="18"/>
  <c r="J40" i="18"/>
  <c r="J16" i="18"/>
  <c r="P8" i="18"/>
  <c r="J24" i="18"/>
  <c r="J8" i="18"/>
  <c r="V16" i="18"/>
  <c r="V40" i="18"/>
  <c r="P34" i="18"/>
  <c r="P10" i="18"/>
  <c r="AH42" i="18"/>
  <c r="J26" i="18"/>
  <c r="AB10" i="18"/>
  <c r="AB34" i="18"/>
  <c r="V10" i="18"/>
  <c r="AB18" i="18"/>
  <c r="V34" i="18"/>
  <c r="AB26" i="18"/>
  <c r="AH18" i="18"/>
  <c r="J18" i="18"/>
  <c r="AB42" i="18"/>
  <c r="AH10" i="18"/>
  <c r="P42" i="18"/>
  <c r="AH26" i="18"/>
  <c r="J34" i="18"/>
  <c r="V42" i="18"/>
  <c r="J42" i="18"/>
  <c r="AH34" i="18"/>
  <c r="P18" i="18"/>
  <c r="V26" i="18"/>
  <c r="J10" i="18"/>
  <c r="V18" i="18"/>
  <c r="P26" i="18"/>
  <c r="AB28" i="18"/>
  <c r="AH20" i="18"/>
  <c r="P36" i="18"/>
  <c r="V12" i="18"/>
  <c r="AB20" i="18"/>
  <c r="J12" i="18"/>
  <c r="AH12" i="18"/>
  <c r="P28" i="18"/>
  <c r="P44" i="18"/>
  <c r="AB44" i="18"/>
  <c r="V28" i="18"/>
  <c r="J28" i="18"/>
  <c r="AH36" i="18"/>
  <c r="J20" i="18"/>
  <c r="AB12" i="18"/>
  <c r="V44" i="18"/>
  <c r="AH44" i="18"/>
  <c r="P20" i="18"/>
  <c r="J36" i="18"/>
  <c r="J44" i="18"/>
  <c r="P12" i="18"/>
  <c r="V36" i="18"/>
  <c r="AH28" i="18"/>
  <c r="AB36" i="18"/>
  <c r="V20" i="18"/>
  <c r="AJ18" i="18"/>
  <c r="R18" i="18"/>
  <c r="AJ34" i="18"/>
  <c r="X26" i="18"/>
  <c r="R10" i="18"/>
  <c r="X10" i="18"/>
  <c r="X42" i="18"/>
  <c r="L42" i="18"/>
  <c r="AJ10" i="18"/>
  <c r="R26" i="18"/>
  <c r="R34" i="18"/>
  <c r="AJ26" i="18"/>
  <c r="AD18" i="18"/>
  <c r="AD34" i="18"/>
  <c r="L26" i="18"/>
  <c r="AD42" i="18"/>
  <c r="L34" i="18"/>
  <c r="X34" i="18"/>
  <c r="L10" i="18"/>
  <c r="AD10" i="18"/>
  <c r="X18" i="18"/>
  <c r="R42" i="18"/>
  <c r="L18" i="18"/>
  <c r="AJ42" i="18"/>
  <c r="AD26" i="18"/>
  <c r="AL24" i="18"/>
  <c r="AL8" i="18"/>
  <c r="Z32" i="18"/>
  <c r="N24" i="18"/>
  <c r="N40" i="18"/>
  <c r="N8" i="18"/>
  <c r="AF24" i="18"/>
  <c r="AF8" i="18"/>
  <c r="T32" i="18"/>
  <c r="AL40" i="18"/>
  <c r="Z24" i="18"/>
  <c r="Z8" i="18"/>
  <c r="N32" i="18"/>
  <c r="AF32" i="18"/>
  <c r="AL32" i="18"/>
  <c r="Z16" i="18"/>
  <c r="N16" i="18"/>
  <c r="T16" i="18"/>
  <c r="T8" i="18"/>
  <c r="T40" i="18"/>
  <c r="AL16" i="18"/>
  <c r="AF16" i="18"/>
  <c r="Z40" i="18"/>
  <c r="T24" i="18"/>
  <c r="AF40" i="18"/>
  <c r="AH19" i="19" l="1"/>
  <c r="AC13" i="1"/>
  <c r="J39" i="19"/>
  <c r="AB39" i="19"/>
  <c r="J19" i="19"/>
  <c r="AH39" i="19"/>
  <c r="V39" i="19"/>
  <c r="V9" i="19"/>
  <c r="AH9" i="19"/>
  <c r="J29" i="19"/>
  <c r="V49" i="19"/>
  <c r="P9" i="19"/>
  <c r="AB9" i="19"/>
  <c r="AB29" i="19"/>
  <c r="P49" i="19"/>
  <c r="J49" i="19"/>
  <c r="P19" i="19"/>
  <c r="P39" i="19"/>
  <c r="P29" i="19"/>
  <c r="AB49" i="19"/>
  <c r="AH29" i="19"/>
  <c r="AB19" i="19"/>
  <c r="J9" i="19"/>
  <c r="AH49" i="19"/>
  <c r="V29" i="19"/>
  <c r="V19" i="19"/>
  <c r="J40" i="19"/>
  <c r="AC17" i="1"/>
  <c r="V30" i="19"/>
  <c r="V50" i="19"/>
  <c r="AH40" i="19"/>
  <c r="AH50" i="19"/>
  <c r="P20" i="19"/>
  <c r="J50" i="19"/>
  <c r="V20" i="19"/>
  <c r="AB40" i="19"/>
  <c r="AB10" i="19"/>
  <c r="P40" i="19"/>
  <c r="J30" i="19"/>
  <c r="J20" i="19"/>
  <c r="J10" i="19"/>
  <c r="AH10" i="19"/>
  <c r="AB20" i="19"/>
  <c r="AH30" i="19"/>
  <c r="AH20" i="19"/>
  <c r="P50" i="19"/>
  <c r="V40" i="19"/>
  <c r="P10" i="19"/>
  <c r="AB30" i="19"/>
  <c r="AB50" i="19"/>
  <c r="P30" i="19"/>
  <c r="V10" i="19"/>
  <c r="V25" i="19"/>
  <c r="AH25" i="19"/>
  <c r="AB25" i="19"/>
  <c r="AH45" i="19"/>
  <c r="AH15" i="19"/>
  <c r="J45" i="19"/>
  <c r="V55" i="19"/>
  <c r="V45" i="19"/>
  <c r="AH55" i="19"/>
  <c r="P45" i="19"/>
  <c r="J25" i="19"/>
  <c r="V35" i="19"/>
  <c r="P25" i="19"/>
  <c r="P55" i="19"/>
  <c r="J15" i="19"/>
  <c r="AB15" i="19"/>
  <c r="V15" i="19"/>
  <c r="AB35" i="19"/>
  <c r="J55" i="19"/>
  <c r="P35" i="19"/>
  <c r="AB45" i="19"/>
  <c r="P15" i="19"/>
  <c r="J35" i="19"/>
  <c r="AB55" i="19"/>
  <c r="AH35"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Paola Guevara</author>
  </authors>
  <commentList>
    <comment ref="G13" authorId="0" shapeId="0" xr:uid="{F2AEAADE-13B3-4BAA-A95C-F4F0816D6C35}">
      <text>
        <r>
          <rPr>
            <b/>
            <sz val="9"/>
            <color indexed="81"/>
            <rFont val="Tahoma"/>
            <family val="2"/>
          </rPr>
          <t>Paola Guevara:</t>
        </r>
        <r>
          <rPr>
            <sz val="9"/>
            <color indexed="81"/>
            <rFont val="Tahoma"/>
            <family val="2"/>
          </rPr>
          <t xml:space="preserve">
Cuantas actividades se realizaran en el 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<sst xmlns="http://schemas.openxmlformats.org/spreadsheetml/2006/main" count="378" uniqueCount="250">
  <si>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</si>
  <si>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</si>
  <si>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</si>
  <si>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</si>
  <si>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</si>
  <si>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</si>
  <si>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</si>
  <si>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</si>
  <si>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</si>
  <si>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</si>
  <si>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</si>
  <si>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</si>
  <si>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</si>
  <si>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</si>
  <si>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</si>
  <si>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</si>
  <si>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</si>
  <si>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</si>
  <si>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</si>
  <si>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</si>
  <si>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</si>
  <si>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</si>
  <si>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</si>
  <si>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</si>
  <si>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</si>
  <si>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</si>
  <si>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</si>
  <si>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</si>
  <si>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</si>
  <si>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</si>
  <si>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</si>
  <si>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</si>
  <si>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</si>
  <si>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</si>
  <si>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</si>
  <si>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</si>
  <si>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</si>
  <si>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Seguimiento</t>
  </si>
  <si>
    <t>Fecha Seguimiento</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</si>
  <si>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</si>
  <si>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</si>
  <si>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</si>
  <si>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</si>
  <si>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</si>
  <si>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</si>
  <si>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</si>
  <si>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</si>
  <si>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</si>
  <si>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</si>
  <si>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</si>
  <si>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</si>
  <si>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</si>
  <si>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</si>
  <si>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</si>
  <si>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</si>
  <si>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</si>
  <si>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</si>
  <si>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</si>
  <si>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</si>
  <si>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</si>
  <si>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</si>
  <si>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</si>
  <si>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</si>
  <si>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</si>
  <si>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</si>
  <si>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</si>
  <si>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</si>
  <si>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</si>
  <si>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</si>
  <si>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</si>
  <si>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</si>
  <si>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</si>
  <si>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</si>
  <si>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</si>
  <si>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</si>
  <si>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</si>
  <si>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</si>
  <si>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</si>
  <si>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</si>
  <si>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</si>
  <si>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</si>
  <si>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</si>
  <si>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</si>
  <si>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</si>
  <si>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</si>
  <si>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</si>
  <si>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</si>
  <si>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</si>
  <si>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</si>
  <si>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</si>
  <si>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</si>
  <si>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</si>
  <si>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</si>
  <si>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</si>
  <si>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</si>
  <si>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</si>
  <si>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</si>
  <si>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</si>
  <si>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</si>
  <si>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</si>
  <si>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</si>
  <si>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</si>
  <si>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</si>
  <si>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</si>
  <si>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</si>
  <si>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</si>
  <si>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</si>
  <si>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</si>
  <si>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</si>
  <si>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</si>
  <si>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</si>
  <si>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</si>
  <si>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</si>
  <si>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</si>
  <si>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</si>
  <si>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</si>
  <si>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</si>
  <si>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</si>
  <si>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</si>
  <si>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</si>
  <si>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</si>
  <si>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</si>
  <si>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</si>
  <si>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</si>
  <si>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</si>
  <si>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</si>
  <si>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</si>
  <si>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</si>
  <si>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</si>
  <si>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</si>
  <si>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</si>
  <si>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</si>
  <si>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</si>
  <si>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</si>
  <si>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</si>
  <si>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</si>
  <si>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</si>
  <si>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</si>
  <si>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Identificación del riesgo</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</si>
  <si>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</si>
  <si>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</si>
  <si>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</si>
  <si>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</si>
  <si>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</si>
  <si>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</si>
  <si>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</si>
  <si>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</si>
  <si>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</si>
  <si>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</si>
  <si>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</si>
  <si>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</si>
  <si>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</si>
  <si>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</si>
  <si>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</si>
  <si>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</si>
  <si>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</si>
  <si>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</si>
  <si>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</si>
  <si>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</si>
  <si>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</si>
  <si>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</si>
  <si>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</si>
  <si>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</si>
  <si>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</si>
  <si>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</si>
  <si>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</si>
  <si>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</si>
  <si>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</si>
  <si>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</si>
  <si>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</si>
  <si>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</si>
  <si>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</si>
  <si>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</si>
  <si>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</si>
  <si>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</si>
  <si>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</si>
  <si>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</si>
  <si>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</si>
  <si>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</si>
  <si>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</si>
  <si>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</si>
  <si>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</si>
  <si>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</si>
  <si>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</si>
  <si>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</si>
  <si>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</si>
  <si>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</si>
  <si>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</si>
  <si>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</si>
  <si>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</si>
  <si>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</si>
  <si>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</si>
  <si>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</si>
  <si>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</si>
  <si>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</si>
  <si>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</si>
  <si>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</si>
  <si>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</si>
  <si>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</si>
  <si>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</si>
  <si>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</si>
  <si>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</si>
  <si>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</si>
  <si>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</si>
  <si>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</si>
  <si>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</si>
  <si>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</si>
  <si>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</si>
  <si>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</si>
  <si>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</si>
  <si>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</si>
  <si>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</si>
  <si>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</si>
  <si>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</si>
  <si>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</si>
  <si>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</si>
  <si>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</si>
  <si>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Estado del Plan de Acción</t>
  </si>
  <si>
    <t xml:space="preserve">Estado del Plan de Acción </t>
  </si>
  <si>
    <t>El riesgo afecta la imagen de la entidad internamente, de conocimiento general, nivel interno, de mesa directiva y/o de provedores</t>
  </si>
  <si>
    <t>El riesgo afecta la imagen de la entidad internamente, de conocimiento general, nivel interno, mesa directiva y/o de provedores</t>
  </si>
  <si>
    <t>Evaluar la percepción de los grupos de valor a traves de encuestas de percepeción con frecuencia anual, en el cual se involucren todas las areas que se relaciones con la ciudadanía. En caso de no cumplir con la meta de percepción, se debe generar una acción correctiva y de manera adicional, evaluar los resultados en el comité institucional de gestión y desempeño.</t>
  </si>
  <si>
    <t>Lider del proceso de relación estado ciudadano  + Equipo de Relacionamiento</t>
  </si>
  <si>
    <t>	Inicia con la identificación de los grupos de valor y sus necesidades y finaliza con la optimización del proceso.
	Aplica para los escenarios de relacionamiento institucional con la ciudadanía, los usuarios y grupos de valor.</t>
  </si>
  <si>
    <t>RELACIÓN CON LA CIUDADANÍA</t>
  </si>
  <si>
    <t>Fortalecer la interacción con los grupos de valor mediante la articulación y optimización de los procesos de la corporación  con base en la normatividad vigente.</t>
  </si>
  <si>
    <r>
      <t xml:space="preserve">VERSIÓN: </t>
    </r>
    <r>
      <rPr>
        <sz val="11"/>
        <color rgb="FF000000"/>
        <rFont val="Arial"/>
        <family val="2"/>
      </rPr>
      <t>05</t>
    </r>
  </si>
  <si>
    <t>I SEGUIMIENTO 2025
Corte  30 Abril 2025</t>
  </si>
  <si>
    <t>II SEGUIMIENTO 2025
Corte 31 Agosto 2025</t>
  </si>
  <si>
    <t>III SEGUIMIENTO 2025
Corte 31 Diciembre 2025</t>
  </si>
  <si>
    <t>Imagen negativa de la entidad ante sus grupos de valor.</t>
  </si>
  <si>
    <t>Investigaciones administrativas y disciplinarias</t>
  </si>
  <si>
    <t>Contestacion y/o respuestas fuera de los Términos Legales (Derechos de Petición, acciones de tutela, demandas y/o acciones)</t>
  </si>
  <si>
    <r>
      <t xml:space="preserve">FECHA:  </t>
    </r>
    <r>
      <rPr>
        <sz val="11"/>
        <color rgb="FF000000"/>
        <rFont val="Arial"/>
        <family val="2"/>
      </rPr>
      <t>07-05-2025</t>
    </r>
  </si>
  <si>
    <t>El Comité Institucional de Gestión y Desempeño aprueba el  Programa de Transparencia y Etica Publica. PTEP .</t>
  </si>
  <si>
    <t>El Jefe de Control Interno realiza  Monitoreo al Programa de Transparencia y Etica Publica. PTEP con frencuencia cuatrimestral en atención a la Ley 1474 de 2011.; publicando sus resultado en la página web.</t>
  </si>
  <si>
    <t>Aplicar el proceso de Relacionamiento con el Ciudadano que permita adicionalmente, realizar seguimiento en los tiempos establecidos.</t>
  </si>
  <si>
    <t>Lider del proceso de Relacionamiento con el ciudadano.</t>
  </si>
  <si>
    <t>Jefe Oficina Control Interno</t>
  </si>
  <si>
    <t xml:space="preserve">31/07/2025
31/12/2025
</t>
  </si>
  <si>
    <t xml:space="preserve">La oficina de control interno realiza seguimeintos cuatrimestrales al cumplimiento del programa de Transparencia y etica Publica PTEP </t>
  </si>
  <si>
    <t>Posibilidad de afectación por Investigaciones administrativas y disciplinarias, por la Contestacion y/o respuestas fuera de los Términos Legales (Derechos de Petición, acciones de tutela, demandas y/o acciones)</t>
  </si>
  <si>
    <t>Generar y enviar a cada responsable desde el area de Gestion Documental , el seguimiento mensual a las peticiones pendientes por dar tramite o cierre en el sistema de correspondencia.</t>
  </si>
  <si>
    <t>Gestion Documental y demas responsables de dar respuesta</t>
  </si>
  <si>
    <t>Falta de receptividad o insatisfacción de la comunidad de Chía y demas grupos de valor,  frente a los ejercicios de relacionamiento.</t>
  </si>
  <si>
    <t xml:space="preserve">Posibilidad: Imagen negativa de la entidad ante sus grupos de valor, debido a la falta de receptividad o insatisfacción de la comunidad de ChÍa y demas grupos de valor,  frente a la realización de los ejercicios de relacionamiento con la ciudadanía </t>
  </si>
  <si>
    <t>El Lider del Proceso de Relacionamiento realiza seguimiento cuatrimestral a las estratégias definidas por la corporación con relación a la participación ciudadana, PQRSDF, canales de atención, plan de transparencia y etica publica y atención al ciudadano, rendición de cuentas, aplicación de encuestas de percepeción, entre otros. En caso que el seguimiento no cuente con los resultados esperados estos se llevaran al Comité Institucional de Gestión y Desempeño.</t>
  </si>
  <si>
    <t>Definir la herramienta: encuesta que permita medir la percepeción de los grupos de valor.</t>
  </si>
  <si>
    <t>Disciplinario, Económico y Reputacional</t>
  </si>
  <si>
    <t>El Lider de PQRSDF,  realiza seguimeinto al consolidado de la corporación  para control de terminos a las PQRSDF, mensualmente y emite las alertas tempranas para su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</si>
</sst>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1" x14ac:knownFonts="1">
    <font>
      <sz val="11"/>
      <color theme="1"/>
      <name val="Calibri"/>
      <family val="2"/>
      <scheme val="minor"/>
    </font>
    <font>
      <sz val="11"/>
      <name val="Arial Narrow"/>
      <family val="2"/>
    </font>
    <font>
      <sz val="10"/>
      <color rgb="FF000000"/>
      <name val="Arial Narrow"/>
      <family val="2"/>
    </font>
    <font>
      <b/>
      <sz val="11"/>
      <color theme="1"/>
      <name val="Arial Narrow"/>
      <family val="2"/>
    </font>
    <font>
      <sz val="10"/>
      <color theme="1"/>
      <name val="Calibri"/>
      <family val="2"/>
      <scheme val="minor"/>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22"/>
      <color theme="1"/>
      <name val="Arial"/>
      <family val="2"/>
    </font>
    <font>
      <sz val="11"/>
      <color theme="1"/>
      <name val="Arial"/>
      <family val="2"/>
    </font>
    <font>
      <b/>
      <sz val="11"/>
      <color theme="1"/>
      <name val="Arial"/>
      <family val="2"/>
    </font>
    <font>
      <sz val="11"/>
      <name val="Arial"/>
      <family val="2"/>
    </font>
    <font>
      <sz val="10"/>
      <color theme="1"/>
      <name val="Arial"/>
      <family val="2"/>
    </font>
    <font>
      <b/>
      <sz val="11"/>
      <color theme="9" tint="-0.249977111117893"/>
      <name val="Arial"/>
      <family val="2"/>
    </font>
    <font>
      <sz val="8"/>
      <name val="Times New Roman"/>
      <family val="1"/>
    </font>
    <font>
      <b/>
      <sz val="8"/>
      <color rgb="FF000000"/>
      <name val="Arial"/>
      <family val="2"/>
    </font>
    <font>
      <b/>
      <sz val="8"/>
      <name val="Arial"/>
      <family val="2"/>
    </font>
    <font>
      <b/>
      <sz val="10"/>
      <color theme="1"/>
      <name val="Arial"/>
      <family val="2"/>
    </font>
    <font>
      <b/>
      <sz val="11"/>
      <name val="Arial"/>
      <family val="2"/>
    </font>
    <font>
      <sz val="9"/>
      <color indexed="81"/>
      <name val="Tahoma"/>
      <family val="2"/>
    </font>
    <font>
      <b/>
      <sz val="9"/>
      <color indexed="81"/>
      <name val="Tahoma"/>
      <family val="2"/>
    </font>
    <font>
      <sz val="12"/>
      <name val="Arial"/>
      <family val="2"/>
    </font>
    <font>
      <b/>
      <sz val="11"/>
      <color rgb="FF000000"/>
      <name val="Arial"/>
      <family val="2"/>
    </font>
    <font>
      <sz val="11"/>
      <color rgb="FF000000"/>
      <name val="Arial"/>
      <family val="2"/>
    </font>
  </fonts>
  <fills count="24">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bgColor theme="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s>
  <borders count="78">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5">
    <xf numFmtId="0" fontId="0" fillId="0" borderId="0"/>
    <xf numFmtId="9" fontId="12" fillId="0" borderId="0" applyFont="0" applyFill="0" applyBorder="0" applyAlignment="0" applyProtection="0"/>
    <xf numFmtId="0" fontId="44" fillId="0" borderId="0"/>
    <xf numFmtId="0" fontId="45" fillId="0" borderId="0"/>
    <xf numFmtId="0" fontId="4" fillId="0" borderId="0"/>
  </cellStyleXfs>
  <cellXfs count="433">
    <xf numFmtId="0" fontId="0" fillId="0" borderId="0" xfId="0"/>
    <xf numFmtId="0" fontId="4" fillId="0" borderId="0" xfId="0" applyFont="1"/>
    <xf numFmtId="0" fontId="2" fillId="0" borderId="1" xfId="0" applyFont="1" applyBorder="1" applyAlignment="1">
      <alignment horizontal="left" vertical="center" wrapText="1" indent="1" readingOrder="1"/>
    </xf>
    <xf numFmtId="0" fontId="6" fillId="0" borderId="0" xfId="0" applyFont="1" applyAlignment="1">
      <alignment horizontal="center" vertical="center" wrapText="1"/>
    </xf>
    <xf numFmtId="0" fontId="7" fillId="6" borderId="0" xfId="0" applyFont="1" applyFill="1" applyAlignment="1">
      <alignment horizontal="center" vertical="center" wrapText="1" readingOrder="1"/>
    </xf>
    <xf numFmtId="0" fontId="8" fillId="5" borderId="2" xfId="0" applyFont="1" applyFill="1" applyBorder="1" applyAlignment="1">
      <alignment horizontal="center" vertical="center" wrapText="1" readingOrder="1"/>
    </xf>
    <xf numFmtId="0" fontId="8" fillId="0" borderId="2" xfId="0" applyFont="1" applyBorder="1" applyAlignment="1">
      <alignment horizontal="justify" vertical="center" wrapText="1" readingOrder="1"/>
    </xf>
    <xf numFmtId="9" fontId="8" fillId="0" borderId="2" xfId="0" applyNumberFormat="1" applyFont="1" applyBorder="1" applyAlignment="1">
      <alignment horizontal="center" vertical="center" wrapText="1" readingOrder="1"/>
    </xf>
    <xf numFmtId="0" fontId="8" fillId="7" borderId="1" xfId="0" applyFont="1" applyFill="1" applyBorder="1" applyAlignment="1">
      <alignment horizontal="center" vertical="center" wrapText="1" readingOrder="1"/>
    </xf>
    <xf numFmtId="0" fontId="8" fillId="0" borderId="1" xfId="0" applyFont="1" applyBorder="1" applyAlignment="1">
      <alignment horizontal="justify" vertical="center" wrapText="1" readingOrder="1"/>
    </xf>
    <xf numFmtId="9" fontId="8" fillId="0" borderId="1" xfId="0" applyNumberFormat="1" applyFont="1" applyBorder="1" applyAlignment="1">
      <alignment horizontal="center" vertical="center" wrapText="1" readingOrder="1"/>
    </xf>
    <xf numFmtId="0" fontId="8" fillId="4" borderId="1" xfId="0" applyFont="1" applyFill="1" applyBorder="1" applyAlignment="1">
      <alignment horizontal="center" vertical="center" wrapText="1" readingOrder="1"/>
    </xf>
    <xf numFmtId="0" fontId="8" fillId="8" borderId="1" xfId="0" applyFont="1" applyFill="1" applyBorder="1" applyAlignment="1">
      <alignment horizontal="center" vertical="center" wrapText="1" readingOrder="1"/>
    </xf>
    <xf numFmtId="0" fontId="9" fillId="9" borderId="1" xfId="0" applyFont="1" applyFill="1" applyBorder="1" applyAlignment="1">
      <alignment horizontal="center" vertical="center" wrapText="1" readingOrder="1"/>
    </xf>
    <xf numFmtId="0" fontId="13" fillId="0" borderId="0" xfId="0" applyFont="1"/>
    <xf numFmtId="0" fontId="11" fillId="0" borderId="0" xfId="0" applyFont="1"/>
    <xf numFmtId="0" fontId="25" fillId="0" borderId="0" xfId="0" applyFont="1" applyAlignment="1">
      <alignment vertical="center"/>
    </xf>
    <xf numFmtId="0" fontId="26" fillId="0" borderId="0" xfId="0" applyFont="1"/>
    <xf numFmtId="0" fontId="24" fillId="0" borderId="0" xfId="0" applyFont="1"/>
    <xf numFmtId="0" fontId="0" fillId="0" borderId="0" xfId="0" pivotButton="1"/>
    <xf numFmtId="0" fontId="10" fillId="0" borderId="0" xfId="0" applyFont="1" applyAlignment="1">
      <alignment horizontal="justify" vertical="center" wrapText="1" readingOrder="1"/>
    </xf>
    <xf numFmtId="0" fontId="27" fillId="0" borderId="0" xfId="0" applyFont="1"/>
    <xf numFmtId="0" fontId="29" fillId="6" borderId="0" xfId="0" applyFont="1" applyFill="1" applyAlignment="1">
      <alignment horizontal="center" vertical="center" wrapText="1" readingOrder="1"/>
    </xf>
    <xf numFmtId="0" fontId="30" fillId="0" borderId="2" xfId="0" applyFont="1" applyBorder="1" applyAlignment="1">
      <alignment horizontal="justify" vertical="center" wrapText="1" readingOrder="1"/>
    </xf>
    <xf numFmtId="0" fontId="30" fillId="0" borderId="1" xfId="0" applyFont="1" applyBorder="1" applyAlignment="1">
      <alignment horizontal="justify" vertical="center" wrapText="1" readingOrder="1"/>
    </xf>
    <xf numFmtId="0" fontId="30" fillId="5" borderId="2" xfId="0" applyFont="1" applyFill="1" applyBorder="1" applyAlignment="1">
      <alignment horizontal="center" vertical="center" wrapText="1" readingOrder="1"/>
    </xf>
    <xf numFmtId="0" fontId="30" fillId="7" borderId="1" xfId="0" applyFont="1" applyFill="1" applyBorder="1" applyAlignment="1">
      <alignment horizontal="center" vertical="center" wrapText="1" readingOrder="1"/>
    </xf>
    <xf numFmtId="0" fontId="30" fillId="4" borderId="1" xfId="0" applyFont="1" applyFill="1" applyBorder="1" applyAlignment="1">
      <alignment horizontal="center" vertical="center" wrapText="1" readingOrder="1"/>
    </xf>
    <xf numFmtId="0" fontId="30" fillId="8" borderId="1" xfId="0" applyFont="1" applyFill="1" applyBorder="1" applyAlignment="1">
      <alignment horizontal="center" vertical="center" wrapText="1" readingOrder="1"/>
    </xf>
    <xf numFmtId="0" fontId="31" fillId="9" borderId="1" xfId="0" applyFont="1" applyFill="1" applyBorder="1" applyAlignment="1">
      <alignment horizontal="center" vertical="center" wrapText="1" readingOrder="1"/>
    </xf>
    <xf numFmtId="0" fontId="30" fillId="0" borderId="2"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17" fillId="11" borderId="3" xfId="0" applyFont="1" applyFill="1" applyBorder="1" applyAlignment="1" applyProtection="1">
      <alignment horizontal="center" vertical="center" wrapText="1" readingOrder="1"/>
      <protection hidden="1"/>
    </xf>
    <xf numFmtId="0" fontId="17" fillId="11" borderId="10" xfId="0" applyFont="1" applyFill="1" applyBorder="1" applyAlignment="1" applyProtection="1">
      <alignment horizontal="center" vertical="center" wrapText="1" readingOrder="1"/>
      <protection hidden="1"/>
    </xf>
    <xf numFmtId="0" fontId="17" fillId="11" borderId="4" xfId="0" applyFont="1" applyFill="1" applyBorder="1" applyAlignment="1" applyProtection="1">
      <alignment horizontal="center" vertical="center" wrapText="1" readingOrder="1"/>
      <protection hidden="1"/>
    </xf>
    <xf numFmtId="0" fontId="17" fillId="12" borderId="3" xfId="0" applyFont="1" applyFill="1" applyBorder="1" applyAlignment="1" applyProtection="1">
      <alignment horizontal="center" wrapText="1" readingOrder="1"/>
      <protection hidden="1"/>
    </xf>
    <xf numFmtId="0" fontId="17" fillId="12" borderId="10" xfId="0" applyFont="1" applyFill="1" applyBorder="1" applyAlignment="1" applyProtection="1">
      <alignment horizontal="center" wrapText="1" readingOrder="1"/>
      <protection hidden="1"/>
    </xf>
    <xf numFmtId="0" fontId="17" fillId="12" borderId="4" xfId="0" applyFont="1" applyFill="1" applyBorder="1" applyAlignment="1" applyProtection="1">
      <alignment horizontal="center" wrapText="1" readingOrder="1"/>
      <protection hidden="1"/>
    </xf>
    <xf numFmtId="0" fontId="17" fillId="11" borderId="5" xfId="0" applyFont="1" applyFill="1" applyBorder="1" applyAlignment="1" applyProtection="1">
      <alignment horizontal="center" vertical="center" wrapText="1" readingOrder="1"/>
      <protection hidden="1"/>
    </xf>
    <xf numFmtId="0" fontId="17" fillId="11" borderId="0" xfId="0" applyFont="1" applyFill="1" applyAlignment="1" applyProtection="1">
      <alignment horizontal="center" vertical="center" wrapText="1" readingOrder="1"/>
      <protection hidden="1"/>
    </xf>
    <xf numFmtId="0" fontId="17" fillId="11" borderId="6" xfId="0" applyFont="1" applyFill="1" applyBorder="1" applyAlignment="1" applyProtection="1">
      <alignment horizontal="center" vertical="center" wrapText="1" readingOrder="1"/>
      <protection hidden="1"/>
    </xf>
    <xf numFmtId="0" fontId="17" fillId="12" borderId="5" xfId="0" applyFont="1" applyFill="1" applyBorder="1" applyAlignment="1" applyProtection="1">
      <alignment horizontal="center" wrapText="1" readingOrder="1"/>
      <protection hidden="1"/>
    </xf>
    <xf numFmtId="0" fontId="17" fillId="12" borderId="0" xfId="0" applyFont="1" applyFill="1" applyAlignment="1" applyProtection="1">
      <alignment horizontal="center" wrapText="1" readingOrder="1"/>
      <protection hidden="1"/>
    </xf>
    <xf numFmtId="0" fontId="17" fillId="12" borderId="6" xfId="0" applyFont="1" applyFill="1" applyBorder="1" applyAlignment="1" applyProtection="1">
      <alignment horizontal="center" wrapText="1" readingOrder="1"/>
      <protection hidden="1"/>
    </xf>
    <xf numFmtId="0" fontId="17" fillId="11" borderId="7" xfId="0" applyFont="1" applyFill="1" applyBorder="1" applyAlignment="1" applyProtection="1">
      <alignment horizontal="center" vertical="center" wrapText="1" readingOrder="1"/>
      <protection hidden="1"/>
    </xf>
    <xf numFmtId="0" fontId="17" fillId="11" borderId="9" xfId="0" applyFont="1" applyFill="1" applyBorder="1" applyAlignment="1" applyProtection="1">
      <alignment horizontal="center" vertical="center" wrapText="1" readingOrder="1"/>
      <protection hidden="1"/>
    </xf>
    <xf numFmtId="0" fontId="17" fillId="11" borderId="8" xfId="0" applyFont="1" applyFill="1" applyBorder="1" applyAlignment="1" applyProtection="1">
      <alignment horizontal="center" vertical="center" wrapText="1" readingOrder="1"/>
      <protection hidden="1"/>
    </xf>
    <xf numFmtId="0" fontId="17" fillId="12" borderId="7" xfId="0" applyFont="1" applyFill="1" applyBorder="1" applyAlignment="1" applyProtection="1">
      <alignment horizontal="center" wrapText="1" readingOrder="1"/>
      <protection hidden="1"/>
    </xf>
    <xf numFmtId="0" fontId="17" fillId="12" borderId="9" xfId="0" applyFont="1" applyFill="1" applyBorder="1" applyAlignment="1" applyProtection="1">
      <alignment horizontal="center" wrapText="1" readingOrder="1"/>
      <protection hidden="1"/>
    </xf>
    <xf numFmtId="0" fontId="17" fillId="12" borderId="8" xfId="0" applyFont="1" applyFill="1" applyBorder="1" applyAlignment="1" applyProtection="1">
      <alignment horizontal="center" wrapText="1" readingOrder="1"/>
      <protection hidden="1"/>
    </xf>
    <xf numFmtId="0" fontId="17" fillId="13" borderId="3" xfId="0" applyFont="1" applyFill="1" applyBorder="1" applyAlignment="1" applyProtection="1">
      <alignment horizontal="center" wrapText="1" readingOrder="1"/>
      <protection hidden="1"/>
    </xf>
    <xf numFmtId="0" fontId="17" fillId="13" borderId="10" xfId="0" applyFont="1" applyFill="1" applyBorder="1" applyAlignment="1" applyProtection="1">
      <alignment horizontal="center" wrapText="1" readingOrder="1"/>
      <protection hidden="1"/>
    </xf>
    <xf numFmtId="0" fontId="17" fillId="13" borderId="4" xfId="0" applyFont="1" applyFill="1" applyBorder="1" applyAlignment="1" applyProtection="1">
      <alignment horizontal="center" wrapText="1" readingOrder="1"/>
      <protection hidden="1"/>
    </xf>
    <xf numFmtId="0" fontId="17" fillId="13" borderId="5" xfId="0" applyFont="1" applyFill="1" applyBorder="1" applyAlignment="1" applyProtection="1">
      <alignment horizontal="center" wrapText="1" readingOrder="1"/>
      <protection hidden="1"/>
    </xf>
    <xf numFmtId="0" fontId="17" fillId="13" borderId="0" xfId="0" applyFont="1" applyFill="1" applyAlignment="1" applyProtection="1">
      <alignment horizontal="center" wrapText="1" readingOrder="1"/>
      <protection hidden="1"/>
    </xf>
    <xf numFmtId="0" fontId="17" fillId="13" borderId="6" xfId="0" applyFont="1" applyFill="1" applyBorder="1" applyAlignment="1" applyProtection="1">
      <alignment horizontal="center" wrapText="1" readingOrder="1"/>
      <protection hidden="1"/>
    </xf>
    <xf numFmtId="0" fontId="17" fillId="13" borderId="7" xfId="0" applyFont="1" applyFill="1" applyBorder="1" applyAlignment="1" applyProtection="1">
      <alignment horizontal="center" wrapText="1" readingOrder="1"/>
      <protection hidden="1"/>
    </xf>
    <xf numFmtId="0" fontId="17" fillId="13" borderId="9" xfId="0" applyFont="1" applyFill="1" applyBorder="1" applyAlignment="1" applyProtection="1">
      <alignment horizontal="center" wrapText="1" readingOrder="1"/>
      <protection hidden="1"/>
    </xf>
    <xf numFmtId="0" fontId="17" fillId="13" borderId="8" xfId="0" applyFont="1" applyFill="1" applyBorder="1" applyAlignment="1" applyProtection="1">
      <alignment horizontal="center" wrapText="1" readingOrder="1"/>
      <protection hidden="1"/>
    </xf>
    <xf numFmtId="0" fontId="17" fillId="5" borderId="3" xfId="0" applyFont="1" applyFill="1" applyBorder="1" applyAlignment="1" applyProtection="1">
      <alignment horizontal="center" wrapText="1" readingOrder="1"/>
      <protection hidden="1"/>
    </xf>
    <xf numFmtId="0" fontId="17" fillId="5" borderId="10" xfId="0" applyFont="1" applyFill="1" applyBorder="1" applyAlignment="1" applyProtection="1">
      <alignment horizontal="center" wrapText="1" readingOrder="1"/>
      <protection hidden="1"/>
    </xf>
    <xf numFmtId="0" fontId="17" fillId="5" borderId="4" xfId="0" applyFont="1" applyFill="1" applyBorder="1" applyAlignment="1" applyProtection="1">
      <alignment horizontal="center" wrapText="1" readingOrder="1"/>
      <protection hidden="1"/>
    </xf>
    <xf numFmtId="0" fontId="17" fillId="5" borderId="5" xfId="0" applyFont="1" applyFill="1" applyBorder="1" applyAlignment="1" applyProtection="1">
      <alignment horizontal="center" wrapText="1" readingOrder="1"/>
      <protection hidden="1"/>
    </xf>
    <xf numFmtId="0" fontId="17" fillId="5" borderId="0" xfId="0" applyFont="1" applyFill="1" applyAlignment="1" applyProtection="1">
      <alignment horizontal="center" wrapText="1" readingOrder="1"/>
      <protection hidden="1"/>
    </xf>
    <xf numFmtId="0" fontId="17" fillId="5" borderId="6" xfId="0" applyFont="1" applyFill="1" applyBorder="1" applyAlignment="1" applyProtection="1">
      <alignment horizontal="center" wrapText="1" readingOrder="1"/>
      <protection hidden="1"/>
    </xf>
    <xf numFmtId="0" fontId="17" fillId="5" borderId="7" xfId="0" applyFont="1" applyFill="1" applyBorder="1" applyAlignment="1" applyProtection="1">
      <alignment horizontal="center" wrapText="1" readingOrder="1"/>
      <protection hidden="1"/>
    </xf>
    <xf numFmtId="0" fontId="17" fillId="5" borderId="9" xfId="0" applyFont="1" applyFill="1" applyBorder="1" applyAlignment="1" applyProtection="1">
      <alignment horizontal="center" wrapText="1" readingOrder="1"/>
      <protection hidden="1"/>
    </xf>
    <xf numFmtId="0" fontId="17" fillId="5" borderId="8" xfId="0" applyFont="1" applyFill="1" applyBorder="1" applyAlignment="1" applyProtection="1">
      <alignment horizontal="center" wrapText="1" readingOrder="1"/>
      <protection hidden="1"/>
    </xf>
    <xf numFmtId="0" fontId="21" fillId="13" borderId="10" xfId="0" applyFont="1" applyFill="1" applyBorder="1" applyAlignment="1" applyProtection="1">
      <alignment horizontal="center" wrapText="1" readingOrder="1"/>
      <protection hidden="1"/>
    </xf>
    <xf numFmtId="0" fontId="0" fillId="3" borderId="0" xfId="0" applyFill="1"/>
    <xf numFmtId="0" fontId="46" fillId="3" borderId="37" xfId="2" applyFont="1" applyFill="1" applyBorder="1"/>
    <xf numFmtId="0" fontId="46" fillId="3" borderId="38" xfId="2" applyFont="1" applyFill="1" applyBorder="1"/>
    <xf numFmtId="0" fontId="46" fillId="3" borderId="39" xfId="2" applyFont="1" applyFill="1" applyBorder="1"/>
    <xf numFmtId="0" fontId="14" fillId="3" borderId="0" xfId="0" applyFont="1" applyFill="1" applyAlignment="1">
      <alignment vertical="center"/>
    </xf>
    <xf numFmtId="0" fontId="4" fillId="3" borderId="0" xfId="0" applyFont="1" applyFill="1"/>
    <xf numFmtId="0" fontId="33" fillId="3" borderId="0" xfId="0" applyFont="1" applyFill="1"/>
    <xf numFmtId="0" fontId="34" fillId="3" borderId="20" xfId="0" applyFont="1" applyFill="1" applyBorder="1" applyAlignment="1">
      <alignment horizontal="center" vertical="center" wrapText="1" readingOrder="1"/>
    </xf>
    <xf numFmtId="0" fontId="35" fillId="3" borderId="20" xfId="0" applyFont="1" applyFill="1" applyBorder="1" applyAlignment="1">
      <alignment horizontal="justify" vertical="center" wrapText="1" readingOrder="1"/>
    </xf>
    <xf numFmtId="9" fontId="34" fillId="3" borderId="29" xfId="0" applyNumberFormat="1"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5" fillId="3" borderId="19" xfId="0" applyFont="1" applyFill="1" applyBorder="1" applyAlignment="1">
      <alignment horizontal="justify" vertical="center" wrapText="1" readingOrder="1"/>
    </xf>
    <xf numFmtId="9" fontId="34" fillId="3" borderId="24" xfId="0" applyNumberFormat="1" applyFont="1" applyFill="1" applyBorder="1" applyAlignment="1">
      <alignment horizontal="center" vertical="center" wrapText="1" readingOrder="1"/>
    </xf>
    <xf numFmtId="0" fontId="35" fillId="3" borderId="24"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0" fontId="35" fillId="3" borderId="26" xfId="0" applyFont="1" applyFill="1" applyBorder="1" applyAlignment="1">
      <alignment horizontal="justify" vertical="center" wrapText="1" readingOrder="1"/>
    </xf>
    <xf numFmtId="0" fontId="35" fillId="3" borderId="27" xfId="0" applyFont="1" applyFill="1" applyBorder="1" applyAlignment="1">
      <alignment horizontal="center" vertical="center" wrapText="1" readingOrder="1"/>
    </xf>
    <xf numFmtId="0" fontId="43" fillId="3" borderId="0" xfId="0" applyFont="1" applyFill="1"/>
    <xf numFmtId="0" fontId="34" fillId="15" borderId="31" xfId="0" applyFont="1" applyFill="1" applyBorder="1" applyAlignment="1">
      <alignment horizontal="center" vertical="center" wrapText="1" readingOrder="1"/>
    </xf>
    <xf numFmtId="0" fontId="34" fillId="15" borderId="32" xfId="0" applyFont="1" applyFill="1" applyBorder="1" applyAlignment="1">
      <alignment horizontal="center" vertical="center" wrapText="1" readingOrder="1"/>
    </xf>
    <xf numFmtId="0" fontId="11" fillId="3" borderId="0" xfId="0" applyFont="1" applyFill="1"/>
    <xf numFmtId="0" fontId="28" fillId="3" borderId="0" xfId="0" applyFont="1" applyFill="1" applyAlignment="1">
      <alignment horizontal="center" vertical="center" wrapText="1"/>
    </xf>
    <xf numFmtId="0" fontId="10" fillId="3" borderId="0" xfId="0" applyFont="1" applyFill="1" applyAlignment="1">
      <alignment horizontal="justify" vertical="center" wrapText="1" readingOrder="1"/>
    </xf>
    <xf numFmtId="0" fontId="3" fillId="3" borderId="0" xfId="0" applyFont="1" applyFill="1" applyAlignment="1">
      <alignment vertical="center"/>
    </xf>
    <xf numFmtId="0" fontId="13" fillId="3" borderId="0" xfId="0" applyFont="1" applyFill="1"/>
    <xf numFmtId="0" fontId="3" fillId="3" borderId="0" xfId="0" applyFont="1" applyFill="1" applyAlignment="1">
      <alignment horizontal="left" vertical="center"/>
    </xf>
    <xf numFmtId="0" fontId="46" fillId="3" borderId="5" xfId="2" applyFont="1" applyFill="1" applyBorder="1"/>
    <xf numFmtId="0" fontId="51" fillId="3" borderId="0" xfId="0" applyFont="1" applyFill="1" applyAlignment="1">
      <alignment horizontal="left" vertical="center" wrapText="1"/>
    </xf>
    <xf numFmtId="0" fontId="52" fillId="3" borderId="0" xfId="0" applyFont="1" applyFill="1" applyAlignment="1">
      <alignment horizontal="left" vertical="top" wrapText="1"/>
    </xf>
    <xf numFmtId="0" fontId="46" fillId="3" borderId="0" xfId="2" applyFont="1" applyFill="1"/>
    <xf numFmtId="0" fontId="46" fillId="3" borderId="6" xfId="2" applyFont="1" applyFill="1" applyBorder="1"/>
    <xf numFmtId="0" fontId="46" fillId="3" borderId="7" xfId="2" applyFont="1" applyFill="1" applyBorder="1"/>
    <xf numFmtId="0" fontId="46" fillId="3" borderId="9" xfId="2" applyFont="1" applyFill="1" applyBorder="1"/>
    <xf numFmtId="0" fontId="46" fillId="3" borderId="8" xfId="2" applyFont="1" applyFill="1" applyBorder="1"/>
    <xf numFmtId="0" fontId="50" fillId="3" borderId="0" xfId="2" applyFont="1" applyFill="1" applyAlignment="1">
      <alignment horizontal="left" vertical="center" wrapText="1"/>
    </xf>
    <xf numFmtId="0" fontId="46" fillId="3" borderId="0" xfId="2" applyFont="1" applyFill="1" applyAlignment="1">
      <alignment horizontal="left" vertical="center" wrapText="1"/>
    </xf>
    <xf numFmtId="0" fontId="46" fillId="3" borderId="0" xfId="2" quotePrefix="1" applyFont="1" applyFill="1" applyAlignment="1">
      <alignment horizontal="left" vertical="center" wrapText="1"/>
    </xf>
    <xf numFmtId="0" fontId="48" fillId="3" borderId="5" xfId="2" quotePrefix="1" applyFont="1" applyFill="1" applyBorder="1" applyAlignment="1">
      <alignment horizontal="left" vertical="top" wrapText="1"/>
    </xf>
    <xf numFmtId="0" fontId="49" fillId="3" borderId="0" xfId="2" quotePrefix="1" applyFont="1" applyFill="1" applyAlignment="1">
      <alignment horizontal="left" vertical="top" wrapText="1"/>
    </xf>
    <xf numFmtId="0" fontId="49" fillId="3" borderId="6" xfId="2" quotePrefix="1" applyFont="1" applyFill="1" applyBorder="1" applyAlignment="1">
      <alignment horizontal="left" vertical="top" wrapText="1"/>
    </xf>
    <xf numFmtId="0" fontId="56" fillId="3" borderId="0" xfId="0" applyFont="1" applyFill="1"/>
    <xf numFmtId="0" fontId="56" fillId="0" borderId="0" xfId="0" applyFont="1"/>
    <xf numFmtId="0" fontId="57" fillId="3" borderId="0" xfId="0" applyFont="1" applyFill="1" applyAlignment="1">
      <alignment horizontal="center" vertical="center"/>
    </xf>
    <xf numFmtId="0" fontId="57" fillId="2" borderId="0" xfId="0" applyFont="1" applyFill="1" applyAlignment="1">
      <alignment horizontal="center" vertical="center"/>
    </xf>
    <xf numFmtId="0" fontId="57" fillId="0" borderId="0" xfId="0" applyFont="1" applyAlignment="1">
      <alignment horizontal="left" vertical="center"/>
    </xf>
    <xf numFmtId="0" fontId="56" fillId="0" borderId="0" xfId="0" applyFont="1" applyAlignment="1">
      <alignment horizontal="center" vertical="center"/>
    </xf>
    <xf numFmtId="0" fontId="56" fillId="0" borderId="0" xfId="0" applyFont="1" applyAlignment="1">
      <alignment horizontal="center"/>
    </xf>
    <xf numFmtId="0" fontId="56" fillId="0" borderId="19" xfId="0" applyFont="1" applyBorder="1" applyAlignment="1">
      <alignment horizontal="center" vertical="center"/>
    </xf>
    <xf numFmtId="0" fontId="59" fillId="0" borderId="19" xfId="0" applyFont="1" applyBorder="1" applyAlignment="1" applyProtection="1">
      <alignment horizontal="justify" vertical="center" wrapText="1"/>
      <protection locked="0"/>
    </xf>
    <xf numFmtId="0" fontId="56"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textRotation="90"/>
      <protection locked="0"/>
    </xf>
    <xf numFmtId="9" fontId="56" fillId="0" borderId="19" xfId="0" applyNumberFormat="1" applyFont="1" applyBorder="1" applyAlignment="1" applyProtection="1">
      <alignment horizontal="center" vertical="center"/>
      <protection hidden="1"/>
    </xf>
    <xf numFmtId="164" fontId="56" fillId="0" borderId="19" xfId="1" applyNumberFormat="1" applyFont="1" applyBorder="1" applyAlignment="1">
      <alignment horizontal="center" vertical="center"/>
    </xf>
    <xf numFmtId="0" fontId="57" fillId="0" borderId="19" xfId="0" applyFont="1" applyBorder="1" applyAlignment="1" applyProtection="1">
      <alignment horizontal="center" vertical="center" textRotation="90" wrapText="1"/>
      <protection hidden="1"/>
    </xf>
    <xf numFmtId="0" fontId="57" fillId="0" borderId="19" xfId="0" applyFont="1" applyBorder="1" applyAlignment="1" applyProtection="1">
      <alignment horizontal="center" vertical="center" textRotation="90"/>
      <protection hidden="1"/>
    </xf>
    <xf numFmtId="0" fontId="56" fillId="0" borderId="19" xfId="0" applyFont="1" applyBorder="1" applyAlignment="1" applyProtection="1">
      <alignment horizontal="center" vertical="center" wrapText="1"/>
      <protection locked="0"/>
    </xf>
    <xf numFmtId="14" fontId="56" fillId="0" borderId="19" xfId="0" applyNumberFormat="1" applyFont="1" applyBorder="1" applyAlignment="1" applyProtection="1">
      <alignment horizontal="center" vertical="center"/>
      <protection locked="0"/>
    </xf>
    <xf numFmtId="0" fontId="56" fillId="0" borderId="19" xfId="0" applyFont="1" applyBorder="1" applyAlignment="1" applyProtection="1">
      <alignment horizontal="justify" vertical="center"/>
      <protection locked="0"/>
    </xf>
    <xf numFmtId="0" fontId="57" fillId="18" borderId="19" xfId="0" applyFont="1" applyFill="1" applyBorder="1" applyAlignment="1">
      <alignment horizontal="center" vertical="center" textRotation="90"/>
    </xf>
    <xf numFmtId="0" fontId="55" fillId="3" borderId="0" xfId="0" applyFont="1" applyFill="1" applyAlignment="1">
      <alignment vertical="center"/>
    </xf>
    <xf numFmtId="0" fontId="61" fillId="0" borderId="55" xfId="0" applyFont="1" applyBorder="1" applyAlignment="1">
      <alignment vertical="center"/>
    </xf>
    <xf numFmtId="0" fontId="62" fillId="0" borderId="55" xfId="0" applyFont="1" applyBorder="1" applyAlignment="1">
      <alignment horizontal="center" vertical="center" wrapText="1"/>
    </xf>
    <xf numFmtId="0" fontId="63" fillId="0" borderId="55" xfId="0" applyFont="1" applyBorder="1" applyAlignment="1">
      <alignment horizontal="center" vertical="center" wrapText="1"/>
    </xf>
    <xf numFmtId="0" fontId="56" fillId="3" borderId="55" xfId="0" applyFont="1" applyFill="1" applyBorder="1"/>
    <xf numFmtId="0" fontId="59" fillId="3" borderId="0" xfId="0" applyFont="1" applyFill="1"/>
    <xf numFmtId="0" fontId="59" fillId="0" borderId="0" xfId="0" applyFont="1"/>
    <xf numFmtId="0" fontId="55" fillId="19" borderId="0" xfId="0" applyFont="1" applyFill="1" applyAlignment="1">
      <alignment vertical="center"/>
    </xf>
    <xf numFmtId="0" fontId="0" fillId="19" borderId="0" xfId="0" applyFill="1"/>
    <xf numFmtId="0" fontId="0" fillId="0" borderId="67" xfId="0" applyBorder="1" applyAlignment="1">
      <alignment horizontal="center" vertical="center" wrapText="1"/>
    </xf>
    <xf numFmtId="0" fontId="0" fillId="3" borderId="67" xfId="0" applyFill="1" applyBorder="1" applyAlignment="1">
      <alignment horizontal="center" vertical="center"/>
    </xf>
    <xf numFmtId="0" fontId="0" fillId="3" borderId="67" xfId="0" applyFill="1" applyBorder="1" applyAlignment="1">
      <alignment horizontal="center" vertical="center" wrapText="1"/>
    </xf>
    <xf numFmtId="0" fontId="0" fillId="0" borderId="67" xfId="0" applyBorder="1" applyAlignment="1">
      <alignment horizontal="center" vertical="center"/>
    </xf>
    <xf numFmtId="165" fontId="0" fillId="0" borderId="67" xfId="0" applyNumberFormat="1" applyBorder="1" applyAlignment="1">
      <alignment horizontal="center" vertical="center"/>
    </xf>
    <xf numFmtId="165" fontId="0" fillId="3" borderId="67" xfId="0" applyNumberFormat="1" applyFill="1" applyBorder="1" applyAlignment="1">
      <alignment horizontal="center" vertical="center"/>
    </xf>
    <xf numFmtId="14" fontId="56" fillId="0" borderId="19" xfId="0" applyNumberFormat="1" applyFont="1" applyBorder="1" applyAlignment="1" applyProtection="1">
      <alignment horizontal="center" vertical="center" wrapText="1"/>
      <protection locked="0"/>
    </xf>
    <xf numFmtId="165" fontId="56" fillId="3" borderId="67" xfId="0" applyNumberFormat="1" applyFont="1" applyFill="1" applyBorder="1" applyAlignment="1">
      <alignment horizontal="center" vertical="center" wrapText="1"/>
    </xf>
    <xf numFmtId="0" fontId="0" fillId="0" borderId="65" xfId="0" applyBorder="1" applyAlignment="1">
      <alignment horizontal="center" vertical="center" wrapText="1"/>
    </xf>
    <xf numFmtId="14" fontId="56" fillId="3" borderId="67" xfId="0" applyNumberFormat="1" applyFont="1" applyFill="1" applyBorder="1" applyAlignment="1">
      <alignment horizontal="center" vertical="center" wrapText="1"/>
    </xf>
    <xf numFmtId="0" fontId="0" fillId="3" borderId="67" xfId="0" applyFill="1" applyBorder="1" applyAlignment="1">
      <alignment horizontal="left" vertical="center" wrapText="1"/>
    </xf>
    <xf numFmtId="14" fontId="68" fillId="3" borderId="67" xfId="0" applyNumberFormat="1" applyFont="1" applyFill="1" applyBorder="1" applyAlignment="1">
      <alignment horizontal="center" vertical="center" wrapText="1"/>
    </xf>
    <xf numFmtId="0" fontId="13" fillId="3" borderId="67" xfId="0" applyFont="1" applyFill="1" applyBorder="1" applyAlignment="1">
      <alignment horizontal="left" vertical="center" wrapText="1"/>
    </xf>
    <xf numFmtId="0" fontId="56" fillId="3" borderId="67" xfId="0" applyFont="1" applyFill="1" applyBorder="1" applyAlignment="1">
      <alignment horizontal="center" vertical="center" wrapText="1"/>
    </xf>
    <xf numFmtId="0" fontId="58" fillId="3" borderId="67" xfId="0" applyFont="1" applyFill="1" applyBorder="1" applyAlignment="1">
      <alignment horizontal="left" vertical="center" wrapText="1"/>
    </xf>
    <xf numFmtId="0" fontId="52" fillId="3" borderId="50" xfId="2" applyFont="1" applyFill="1" applyBorder="1" applyAlignment="1">
      <alignment horizontal="justify" vertical="center" wrapText="1"/>
    </xf>
    <xf numFmtId="0" fontId="52" fillId="3" borderId="51" xfId="2" applyFont="1" applyFill="1" applyBorder="1" applyAlignment="1">
      <alignment horizontal="justify" vertical="center" wrapText="1"/>
    </xf>
    <xf numFmtId="0" fontId="51" fillId="3" borderId="57" xfId="0" applyFont="1" applyFill="1" applyBorder="1" applyAlignment="1">
      <alignment horizontal="left" vertical="center" wrapText="1"/>
    </xf>
    <xf numFmtId="0" fontId="51" fillId="3" borderId="58" xfId="0" applyFont="1" applyFill="1" applyBorder="1" applyAlignment="1">
      <alignment horizontal="left" vertical="center" wrapText="1"/>
    </xf>
    <xf numFmtId="0" fontId="51" fillId="3" borderId="44" xfId="3" applyFont="1" applyFill="1" applyBorder="1" applyAlignment="1">
      <alignment horizontal="left" vertical="top" wrapText="1" readingOrder="1"/>
    </xf>
    <xf numFmtId="0" fontId="51" fillId="3" borderId="45" xfId="3" applyFont="1" applyFill="1" applyBorder="1" applyAlignment="1">
      <alignment horizontal="left" vertical="top" wrapText="1" readingOrder="1"/>
    </xf>
    <xf numFmtId="0" fontId="52" fillId="3" borderId="46" xfId="2" applyFont="1" applyFill="1" applyBorder="1" applyAlignment="1">
      <alignment horizontal="justify" vertical="center" wrapText="1"/>
    </xf>
    <xf numFmtId="0" fontId="52" fillId="3" borderId="47" xfId="2" applyFont="1" applyFill="1" applyBorder="1" applyAlignment="1">
      <alignment horizontal="justify" vertical="center" wrapText="1"/>
    </xf>
    <xf numFmtId="0" fontId="51" fillId="3" borderId="48" xfId="0" applyFont="1" applyFill="1" applyBorder="1" applyAlignment="1">
      <alignment horizontal="left" vertical="center" wrapText="1"/>
    </xf>
    <xf numFmtId="0" fontId="51" fillId="3" borderId="49" xfId="0" applyFont="1" applyFill="1" applyBorder="1" applyAlignment="1">
      <alignment horizontal="left" vertical="center" wrapText="1"/>
    </xf>
    <xf numFmtId="0" fontId="46" fillId="3" borderId="5" xfId="2" applyFont="1" applyFill="1" applyBorder="1" applyAlignment="1">
      <alignment horizontal="left" vertical="top" wrapText="1"/>
    </xf>
    <xf numFmtId="0" fontId="46" fillId="3" borderId="0" xfId="2" applyFont="1" applyFill="1" applyAlignment="1">
      <alignment horizontal="left" vertical="top" wrapText="1"/>
    </xf>
    <xf numFmtId="0" fontId="46" fillId="3" borderId="6" xfId="2" applyFont="1" applyFill="1" applyBorder="1" applyAlignment="1">
      <alignment horizontal="left" vertical="top" wrapText="1"/>
    </xf>
    <xf numFmtId="0" fontId="51" fillId="3" borderId="59" xfId="0" applyFont="1" applyFill="1" applyBorder="1" applyAlignment="1">
      <alignment horizontal="left" vertical="center" wrapText="1"/>
    </xf>
    <xf numFmtId="0" fontId="51" fillId="3" borderId="60" xfId="0" applyFont="1" applyFill="1" applyBorder="1" applyAlignment="1">
      <alignment horizontal="left" vertical="center" wrapText="1"/>
    </xf>
    <xf numFmtId="0" fontId="52" fillId="3" borderId="52" xfId="0" applyFont="1" applyFill="1" applyBorder="1" applyAlignment="1">
      <alignment horizontal="justify" vertical="center" wrapText="1"/>
    </xf>
    <xf numFmtId="0" fontId="52" fillId="3" borderId="53" xfId="0" applyFont="1" applyFill="1" applyBorder="1" applyAlignment="1">
      <alignment horizontal="justify" vertical="center" wrapText="1"/>
    </xf>
    <xf numFmtId="0" fontId="47" fillId="14" borderId="34" xfId="2" applyFont="1" applyFill="1" applyBorder="1" applyAlignment="1">
      <alignment horizontal="center" vertical="center" wrapText="1"/>
    </xf>
    <xf numFmtId="0" fontId="47" fillId="14" borderId="35" xfId="2" applyFont="1" applyFill="1" applyBorder="1" applyAlignment="1">
      <alignment horizontal="center" vertical="center" wrapText="1"/>
    </xf>
    <xf numFmtId="0" fontId="47" fillId="14" borderId="36" xfId="2" applyFont="1" applyFill="1" applyBorder="1" applyAlignment="1">
      <alignment horizontal="center" vertical="center" wrapText="1"/>
    </xf>
    <xf numFmtId="0" fontId="46" fillId="0" borderId="5" xfId="2" quotePrefix="1" applyFont="1" applyBorder="1" applyAlignment="1">
      <alignment horizontal="left" vertical="center" wrapText="1"/>
    </xf>
    <xf numFmtId="0" fontId="46" fillId="0" borderId="0" xfId="2" quotePrefix="1" applyFont="1" applyAlignment="1">
      <alignment horizontal="left" vertical="center" wrapText="1"/>
    </xf>
    <xf numFmtId="0" fontId="46" fillId="0" borderId="6" xfId="2" quotePrefix="1" applyFont="1" applyBorder="1" applyAlignment="1">
      <alignment horizontal="left" vertical="center" wrapText="1"/>
    </xf>
    <xf numFmtId="0" fontId="46" fillId="0" borderId="54" xfId="2" quotePrefix="1" applyFont="1" applyBorder="1" applyAlignment="1">
      <alignment horizontal="left" vertical="center" wrapText="1"/>
    </xf>
    <xf numFmtId="0" fontId="46" fillId="0" borderId="55" xfId="2" quotePrefix="1" applyFont="1" applyBorder="1" applyAlignment="1">
      <alignment horizontal="left" vertical="center" wrapText="1"/>
    </xf>
    <xf numFmtId="0" fontId="46" fillId="0" borderId="56" xfId="2" quotePrefix="1" applyFont="1" applyBorder="1" applyAlignment="1">
      <alignment horizontal="left" vertical="center" wrapText="1"/>
    </xf>
    <xf numFmtId="0" fontId="48" fillId="3" borderId="37" xfId="2" quotePrefix="1" applyFont="1" applyFill="1" applyBorder="1" applyAlignment="1">
      <alignment horizontal="left" vertical="top" wrapText="1"/>
    </xf>
    <xf numFmtId="0" fontId="49" fillId="3" borderId="38" xfId="2" quotePrefix="1" applyFont="1" applyFill="1" applyBorder="1" applyAlignment="1">
      <alignment horizontal="left" vertical="top" wrapText="1"/>
    </xf>
    <xf numFmtId="0" fontId="49" fillId="3" borderId="39" xfId="2" quotePrefix="1" applyFont="1" applyFill="1" applyBorder="1" applyAlignment="1">
      <alignment horizontal="left" vertical="top" wrapText="1"/>
    </xf>
    <xf numFmtId="0" fontId="46" fillId="0" borderId="5" xfId="2" quotePrefix="1" applyFont="1" applyBorder="1" applyAlignment="1">
      <alignment horizontal="left" vertical="top" wrapText="1"/>
    </xf>
    <xf numFmtId="0" fontId="46" fillId="0" borderId="0" xfId="2" quotePrefix="1" applyFont="1" applyAlignment="1">
      <alignment horizontal="left" vertical="top" wrapText="1"/>
    </xf>
    <xf numFmtId="0" fontId="46" fillId="0" borderId="6" xfId="2" quotePrefix="1" applyFont="1" applyBorder="1" applyAlignment="1">
      <alignment horizontal="left" vertical="top" wrapText="1"/>
    </xf>
    <xf numFmtId="0" fontId="51" fillId="14" borderId="40" xfId="3" applyFont="1" applyFill="1" applyBorder="1" applyAlignment="1">
      <alignment horizontal="center" vertical="center" wrapText="1"/>
    </xf>
    <xf numFmtId="0" fontId="51" fillId="14" borderId="41" xfId="3" applyFont="1" applyFill="1" applyBorder="1" applyAlignment="1">
      <alignment horizontal="center" vertical="center" wrapText="1"/>
    </xf>
    <xf numFmtId="0" fontId="51" fillId="14" borderId="42" xfId="2" applyFont="1" applyFill="1" applyBorder="1" applyAlignment="1">
      <alignment horizontal="center" vertical="center"/>
    </xf>
    <xf numFmtId="0" fontId="51" fillId="14" borderId="43" xfId="2" applyFont="1" applyFill="1" applyBorder="1" applyAlignment="1">
      <alignment horizontal="center" vertical="center"/>
    </xf>
    <xf numFmtId="0" fontId="1" fillId="3" borderId="54" xfId="2" quotePrefix="1" applyFont="1" applyFill="1" applyBorder="1" applyAlignment="1">
      <alignment horizontal="justify" vertical="center" wrapText="1"/>
    </xf>
    <xf numFmtId="0" fontId="1" fillId="3" borderId="55" xfId="2" quotePrefix="1" applyFont="1" applyFill="1" applyBorder="1" applyAlignment="1">
      <alignment horizontal="justify" vertical="center" wrapText="1"/>
    </xf>
    <xf numFmtId="0" fontId="1" fillId="3" borderId="56" xfId="2" quotePrefix="1" applyFont="1" applyFill="1" applyBorder="1" applyAlignment="1">
      <alignment horizontal="justify" vertical="center" wrapText="1"/>
    </xf>
    <xf numFmtId="0" fontId="57" fillId="5" borderId="19" xfId="0" applyFont="1" applyFill="1" applyBorder="1" applyAlignment="1">
      <alignment horizontal="center" vertical="center"/>
    </xf>
    <xf numFmtId="0" fontId="57" fillId="5" borderId="19" xfId="0" applyFont="1" applyFill="1" applyBorder="1" applyAlignment="1">
      <alignment horizontal="center" vertical="center" wrapText="1"/>
    </xf>
    <xf numFmtId="0" fontId="57" fillId="17" borderId="19" xfId="0" applyFont="1" applyFill="1" applyBorder="1" applyAlignment="1">
      <alignment horizontal="center" vertical="center" textRotation="90" wrapText="1"/>
    </xf>
    <xf numFmtId="0" fontId="56" fillId="0" borderId="61" xfId="0" applyFont="1" applyBorder="1" applyAlignment="1" applyProtection="1">
      <alignment horizontal="center" vertical="center" wrapText="1"/>
      <protection locked="0"/>
    </xf>
    <xf numFmtId="0" fontId="56" fillId="0" borderId="68" xfId="0" applyFont="1" applyBorder="1" applyAlignment="1" applyProtection="1">
      <alignment horizontal="center" vertical="center" wrapText="1"/>
      <protection locked="0"/>
    </xf>
    <xf numFmtId="0" fontId="65" fillId="21" borderId="62" xfId="4" applyFont="1" applyFill="1" applyBorder="1" applyAlignment="1">
      <alignment horizontal="center" wrapText="1"/>
    </xf>
    <xf numFmtId="0" fontId="65" fillId="21" borderId="62" xfId="4" applyFont="1" applyFill="1" applyBorder="1" applyAlignment="1">
      <alignment horizontal="center"/>
    </xf>
    <xf numFmtId="0" fontId="65" fillId="21" borderId="63" xfId="4" applyFont="1" applyFill="1" applyBorder="1" applyAlignment="1">
      <alignment horizontal="center"/>
    </xf>
    <xf numFmtId="0" fontId="65" fillId="20" borderId="62" xfId="4" applyFont="1" applyFill="1" applyBorder="1" applyAlignment="1">
      <alignment horizontal="center" wrapText="1"/>
    </xf>
    <xf numFmtId="0" fontId="65" fillId="20" borderId="62" xfId="4" applyFont="1" applyFill="1" applyBorder="1" applyAlignment="1">
      <alignment horizontal="center"/>
    </xf>
    <xf numFmtId="0" fontId="65" fillId="20" borderId="63" xfId="4" applyFont="1" applyFill="1" applyBorder="1" applyAlignment="1">
      <alignment horizontal="center"/>
    </xf>
    <xf numFmtId="0" fontId="57" fillId="22" borderId="64" xfId="4" applyFont="1" applyFill="1" applyBorder="1" applyAlignment="1">
      <alignment horizontal="center" vertical="center" wrapText="1"/>
    </xf>
    <xf numFmtId="0" fontId="58" fillId="20" borderId="65" xfId="4" applyFont="1" applyFill="1" applyBorder="1"/>
    <xf numFmtId="0" fontId="57" fillId="23" borderId="64" xfId="4" applyFont="1" applyFill="1" applyBorder="1" applyAlignment="1">
      <alignment horizontal="center" vertical="center" wrapText="1"/>
    </xf>
    <xf numFmtId="0" fontId="58" fillId="21" borderId="65" xfId="4" applyFont="1" applyFill="1" applyBorder="1"/>
    <xf numFmtId="0" fontId="58" fillId="20" borderId="66" xfId="4" applyFont="1" applyFill="1" applyBorder="1"/>
    <xf numFmtId="0" fontId="57" fillId="17" borderId="19" xfId="0" applyFont="1" applyFill="1" applyBorder="1" applyAlignment="1">
      <alignment horizontal="center" vertical="center"/>
    </xf>
    <xf numFmtId="0" fontId="56" fillId="0" borderId="19" xfId="0" applyFont="1" applyBorder="1" applyAlignment="1">
      <alignment horizontal="center" vertical="center"/>
    </xf>
    <xf numFmtId="0" fontId="56" fillId="0" borderId="19" xfId="0" applyFont="1" applyBorder="1" applyAlignment="1" applyProtection="1">
      <alignment horizontal="center" vertical="center" wrapText="1"/>
      <protection locked="0"/>
    </xf>
    <xf numFmtId="0" fontId="58" fillId="0" borderId="19" xfId="0" applyFont="1" applyBorder="1" applyAlignment="1" applyProtection="1">
      <alignment horizontal="center" vertical="center" wrapText="1"/>
      <protection locked="0"/>
    </xf>
    <xf numFmtId="0" fontId="56" fillId="0" borderId="19" xfId="0" applyFont="1" applyBorder="1" applyAlignment="1">
      <alignment horizontal="left" vertical="center" wrapText="1"/>
    </xf>
    <xf numFmtId="9" fontId="56" fillId="0" borderId="19" xfId="0" applyNumberFormat="1" applyFont="1" applyBorder="1" applyAlignment="1" applyProtection="1">
      <alignment horizontal="center" vertical="center" wrapText="1"/>
      <protection hidden="1"/>
    </xf>
    <xf numFmtId="9" fontId="56" fillId="0" borderId="19" xfId="0" applyNumberFormat="1" applyFont="1" applyBorder="1" applyAlignment="1" applyProtection="1">
      <alignment horizontal="center" vertical="center" wrapText="1"/>
      <protection locked="0"/>
    </xf>
    <xf numFmtId="0" fontId="57" fillId="0" borderId="19" xfId="0" applyFont="1" applyBorder="1" applyAlignment="1" applyProtection="1">
      <alignment horizontal="center" vertical="center" wrapText="1"/>
      <protection hidden="1"/>
    </xf>
    <xf numFmtId="0" fontId="57"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protection locked="0"/>
    </xf>
    <xf numFmtId="0" fontId="56" fillId="0" borderId="61" xfId="0" applyFont="1" applyBorder="1" applyAlignment="1">
      <alignment horizontal="center" vertical="center"/>
    </xf>
    <xf numFmtId="0" fontId="56" fillId="0" borderId="68" xfId="0" applyFont="1" applyBorder="1" applyAlignment="1">
      <alignment horizontal="center" vertical="center"/>
    </xf>
    <xf numFmtId="0" fontId="56" fillId="0" borderId="20" xfId="0" applyFont="1" applyBorder="1" applyAlignment="1">
      <alignment horizontal="center" vertical="center"/>
    </xf>
    <xf numFmtId="0" fontId="59" fillId="0" borderId="61" xfId="0" applyFont="1" applyBorder="1" applyAlignment="1" applyProtection="1">
      <alignment horizontal="center" vertical="center" wrapText="1"/>
      <protection locked="0"/>
    </xf>
    <xf numFmtId="0" fontId="59" fillId="0" borderId="68" xfId="0" applyFont="1" applyBorder="1" applyAlignment="1" applyProtection="1">
      <alignment horizontal="center" vertical="center" wrapText="1"/>
      <protection locked="0"/>
    </xf>
    <xf numFmtId="0" fontId="59" fillId="0" borderId="20" xfId="0" applyFont="1" applyBorder="1" applyAlignment="1" applyProtection="1">
      <alignment horizontal="center" vertical="center" wrapText="1"/>
      <protection locked="0"/>
    </xf>
    <xf numFmtId="0" fontId="56" fillId="0" borderId="61" xfId="0" applyFont="1" applyBorder="1" applyAlignment="1" applyProtection="1">
      <alignment horizontal="center" vertical="center"/>
      <protection hidden="1"/>
    </xf>
    <xf numFmtId="0" fontId="56" fillId="0" borderId="68" xfId="0" applyFont="1" applyBorder="1" applyAlignment="1" applyProtection="1">
      <alignment horizontal="center" vertical="center"/>
      <protection hidden="1"/>
    </xf>
    <xf numFmtId="0" fontId="56" fillId="0" borderId="20" xfId="0" applyFont="1" applyBorder="1" applyAlignment="1" applyProtection="1">
      <alignment horizontal="center" vertical="center"/>
      <protection hidden="1"/>
    </xf>
    <xf numFmtId="0" fontId="56" fillId="0" borderId="61" xfId="0" applyFont="1" applyBorder="1" applyAlignment="1" applyProtection="1">
      <alignment horizontal="center" vertical="center" textRotation="90"/>
      <protection locked="0"/>
    </xf>
    <xf numFmtId="0" fontId="56" fillId="0" borderId="68" xfId="0" applyFont="1" applyBorder="1" applyAlignment="1" applyProtection="1">
      <alignment horizontal="center" vertical="center" textRotation="90"/>
      <protection locked="0"/>
    </xf>
    <xf numFmtId="0" fontId="56" fillId="0" borderId="20" xfId="0" applyFont="1" applyBorder="1" applyAlignment="1" applyProtection="1">
      <alignment horizontal="center" vertical="center" textRotation="90"/>
      <protection locked="0"/>
    </xf>
    <xf numFmtId="9" fontId="56" fillId="0" borderId="61" xfId="0" applyNumberFormat="1" applyFont="1" applyBorder="1" applyAlignment="1" applyProtection="1">
      <alignment horizontal="center" vertical="center"/>
      <protection hidden="1"/>
    </xf>
    <xf numFmtId="9" fontId="56" fillId="0" borderId="68" xfId="0" applyNumberFormat="1" applyFont="1" applyBorder="1" applyAlignment="1" applyProtection="1">
      <alignment horizontal="center" vertical="center"/>
      <protection hidden="1"/>
    </xf>
    <xf numFmtId="9" fontId="56" fillId="0" borderId="20" xfId="0" applyNumberFormat="1" applyFont="1" applyBorder="1" applyAlignment="1" applyProtection="1">
      <alignment horizontal="center" vertical="center"/>
      <protection hidden="1"/>
    </xf>
    <xf numFmtId="0" fontId="58" fillId="0" borderId="61" xfId="0" applyFont="1" applyBorder="1" applyAlignment="1" applyProtection="1">
      <alignment horizontal="center" vertical="center" wrapText="1"/>
      <protection locked="0"/>
    </xf>
    <xf numFmtId="0" fontId="58" fillId="0" borderId="68" xfId="0" applyFont="1" applyBorder="1" applyAlignment="1" applyProtection="1">
      <alignment horizontal="center" vertical="center" wrapText="1"/>
      <protection locked="0"/>
    </xf>
    <xf numFmtId="0" fontId="58" fillId="0" borderId="20" xfId="0" applyFont="1" applyBorder="1" applyAlignment="1" applyProtection="1">
      <alignment horizontal="center" vertical="center" wrapText="1"/>
      <protection locked="0"/>
    </xf>
    <xf numFmtId="0" fontId="57" fillId="0" borderId="61" xfId="0" applyFont="1" applyBorder="1" applyAlignment="1" applyProtection="1">
      <alignment horizontal="center" vertical="center" wrapText="1"/>
      <protection hidden="1"/>
    </xf>
    <xf numFmtId="0" fontId="57" fillId="0" borderId="68" xfId="0" applyFont="1" applyBorder="1" applyAlignment="1" applyProtection="1">
      <alignment horizontal="center" vertical="center" wrapText="1"/>
      <protection hidden="1"/>
    </xf>
    <xf numFmtId="0" fontId="57" fillId="18" borderId="19" xfId="0" applyFont="1" applyFill="1" applyBorder="1" applyAlignment="1">
      <alignment horizontal="center" vertical="center" wrapText="1"/>
    </xf>
    <xf numFmtId="0" fontId="57" fillId="3" borderId="19" xfId="0" applyFont="1" applyFill="1" applyBorder="1" applyAlignment="1">
      <alignment horizontal="center" vertical="center" wrapText="1"/>
    </xf>
    <xf numFmtId="0" fontId="57" fillId="3" borderId="19" xfId="0" applyFont="1" applyFill="1" applyBorder="1" applyAlignment="1">
      <alignment horizontal="center" vertical="center"/>
    </xf>
    <xf numFmtId="0" fontId="57" fillId="18" borderId="19" xfId="0" applyFont="1" applyFill="1" applyBorder="1" applyAlignment="1">
      <alignment horizontal="center" vertical="center" textRotation="90" wrapText="1"/>
    </xf>
    <xf numFmtId="0" fontId="64" fillId="3" borderId="19" xfId="0" applyFont="1" applyFill="1" applyBorder="1" applyAlignment="1">
      <alignment horizontal="center" vertical="center" textRotation="90"/>
    </xf>
    <xf numFmtId="0" fontId="58" fillId="0" borderId="19" xfId="0" applyFont="1" applyBorder="1" applyAlignment="1" applyProtection="1">
      <alignment horizontal="center" vertical="center"/>
      <protection locked="0"/>
    </xf>
    <xf numFmtId="0" fontId="57" fillId="18" borderId="19" xfId="0" applyFont="1" applyFill="1" applyBorder="1" applyAlignment="1">
      <alignment horizontal="center" vertical="center"/>
    </xf>
    <xf numFmtId="0" fontId="59" fillId="3" borderId="0" xfId="0" applyFont="1" applyFill="1" applyAlignment="1">
      <alignment horizontal="left" vertical="center"/>
    </xf>
    <xf numFmtId="0" fontId="61" fillId="0" borderId="19" xfId="0" applyFont="1" applyBorder="1" applyAlignment="1">
      <alignment horizontal="center" vertical="center"/>
    </xf>
    <xf numFmtId="0" fontId="69" fillId="3" borderId="19" xfId="0" applyFont="1" applyFill="1" applyBorder="1" applyAlignment="1">
      <alignment horizontal="center" vertical="center" wrapText="1"/>
    </xf>
    <xf numFmtId="0" fontId="65" fillId="0" borderId="19" xfId="0" applyFont="1" applyBorder="1" applyAlignment="1">
      <alignment horizontal="center" vertical="center" wrapText="1"/>
    </xf>
    <xf numFmtId="0" fontId="69" fillId="0" borderId="19" xfId="0" applyFont="1" applyBorder="1" applyAlignment="1">
      <alignment horizontal="center" vertical="center" wrapText="1"/>
    </xf>
    <xf numFmtId="0" fontId="64" fillId="3" borderId="19" xfId="0" applyFont="1" applyFill="1" applyBorder="1" applyAlignment="1" applyProtection="1">
      <alignment horizontal="left" vertical="center"/>
      <protection locked="0"/>
    </xf>
    <xf numFmtId="0" fontId="64" fillId="16" borderId="19" xfId="0" applyFont="1" applyFill="1" applyBorder="1" applyAlignment="1">
      <alignment horizontal="left" vertical="center"/>
    </xf>
    <xf numFmtId="0" fontId="64" fillId="16" borderId="61" xfId="0" applyFont="1" applyFill="1" applyBorder="1" applyAlignment="1">
      <alignment horizontal="left" vertical="center"/>
    </xf>
    <xf numFmtId="0" fontId="59" fillId="3" borderId="19" xfId="0" applyFont="1" applyFill="1" applyBorder="1" applyAlignment="1" applyProtection="1">
      <alignment horizontal="left" vertical="center" wrapText="1"/>
      <protection locked="0"/>
    </xf>
    <xf numFmtId="0" fontId="59" fillId="3" borderId="19" xfId="0" applyFont="1" applyFill="1" applyBorder="1" applyAlignment="1" applyProtection="1">
      <alignment horizontal="left" vertical="center"/>
      <protection locked="0"/>
    </xf>
    <xf numFmtId="0" fontId="59" fillId="3" borderId="61" xfId="0" applyFont="1" applyFill="1" applyBorder="1" applyAlignment="1" applyProtection="1">
      <alignment horizontal="left" vertical="center" wrapText="1"/>
      <protection locked="0"/>
    </xf>
    <xf numFmtId="0" fontId="56" fillId="3" borderId="72" xfId="0" applyFont="1" applyFill="1" applyBorder="1" applyAlignment="1">
      <alignment horizontal="left" vertical="center" wrapText="1"/>
    </xf>
    <xf numFmtId="0" fontId="56" fillId="3" borderId="73" xfId="0" applyFont="1" applyFill="1" applyBorder="1" applyAlignment="1">
      <alignment horizontal="left" vertical="center" wrapText="1"/>
    </xf>
    <xf numFmtId="0" fontId="56" fillId="3" borderId="74" xfId="0" applyFont="1" applyFill="1" applyBorder="1" applyAlignment="1">
      <alignment horizontal="left" vertical="center" wrapText="1"/>
    </xf>
    <xf numFmtId="0" fontId="0" fillId="3" borderId="64" xfId="0" applyFill="1" applyBorder="1" applyAlignment="1">
      <alignment horizontal="center" vertical="center"/>
    </xf>
    <xf numFmtId="0" fontId="0" fillId="3" borderId="66" xfId="0" applyFill="1" applyBorder="1" applyAlignment="1">
      <alignment horizontal="center" vertical="center"/>
    </xf>
    <xf numFmtId="0" fontId="0" fillId="3" borderId="65" xfId="0" applyFill="1" applyBorder="1" applyAlignment="1">
      <alignment horizontal="center" vertical="center"/>
    </xf>
    <xf numFmtId="165" fontId="56" fillId="3" borderId="64" xfId="0" applyNumberFormat="1" applyFont="1" applyFill="1" applyBorder="1" applyAlignment="1">
      <alignment horizontal="center" vertical="center" wrapText="1"/>
    </xf>
    <xf numFmtId="165" fontId="56" fillId="3" borderId="66" xfId="0" applyNumberFormat="1" applyFont="1" applyFill="1" applyBorder="1" applyAlignment="1">
      <alignment horizontal="center" vertical="center" wrapText="1"/>
    </xf>
    <xf numFmtId="165" fontId="56" fillId="3" borderId="65" xfId="0" applyNumberFormat="1" applyFont="1" applyFill="1" applyBorder="1" applyAlignment="1">
      <alignment horizontal="center" vertical="center" wrapText="1"/>
    </xf>
    <xf numFmtId="14" fontId="56" fillId="0" borderId="69" xfId="0" applyNumberFormat="1" applyFont="1" applyBorder="1" applyAlignment="1" applyProtection="1">
      <alignment horizontal="center" vertical="center"/>
      <protection locked="0"/>
    </xf>
    <xf numFmtId="14" fontId="56" fillId="0" borderId="70" xfId="0" applyNumberFormat="1" applyFont="1" applyBorder="1" applyAlignment="1" applyProtection="1">
      <alignment horizontal="center" vertical="center"/>
      <protection locked="0"/>
    </xf>
    <xf numFmtId="14" fontId="56" fillId="0" borderId="71" xfId="0" applyNumberFormat="1" applyFont="1" applyBorder="1" applyAlignment="1" applyProtection="1">
      <alignment horizontal="center" vertical="center"/>
      <protection locked="0"/>
    </xf>
    <xf numFmtId="14" fontId="56" fillId="3" borderId="19" xfId="0" applyNumberFormat="1" applyFont="1" applyFill="1" applyBorder="1" applyAlignment="1" applyProtection="1">
      <alignment horizontal="center" vertical="center"/>
      <protection locked="0"/>
    </xf>
    <xf numFmtId="0" fontId="56" fillId="3" borderId="72" xfId="0" applyFont="1" applyFill="1" applyBorder="1" applyAlignment="1">
      <alignment horizontal="center" vertical="center" wrapText="1"/>
    </xf>
    <xf numFmtId="0" fontId="56" fillId="3" borderId="73" xfId="0" applyFont="1" applyFill="1" applyBorder="1" applyAlignment="1">
      <alignment horizontal="center" vertical="center" wrapText="1"/>
    </xf>
    <xf numFmtId="0" fontId="56" fillId="3" borderId="74" xfId="0" applyFont="1" applyFill="1" applyBorder="1" applyAlignment="1">
      <alignment horizontal="center" vertical="center" wrapText="1"/>
    </xf>
    <xf numFmtId="0" fontId="0" fillId="3" borderId="75" xfId="0" applyFill="1" applyBorder="1" applyAlignment="1">
      <alignment horizontal="center" vertical="center"/>
    </xf>
    <xf numFmtId="0" fontId="0" fillId="3" borderId="76" xfId="0" applyFill="1" applyBorder="1" applyAlignment="1">
      <alignment horizontal="center" vertical="center"/>
    </xf>
    <xf numFmtId="0" fontId="0" fillId="3" borderId="77" xfId="0" applyFill="1" applyBorder="1" applyAlignment="1">
      <alignment horizontal="center" vertical="center"/>
    </xf>
    <xf numFmtId="14" fontId="68" fillId="3" borderId="19" xfId="0" applyNumberFormat="1" applyFont="1" applyFill="1" applyBorder="1" applyAlignment="1">
      <alignment horizontal="center" vertical="center" wrapText="1"/>
    </xf>
    <xf numFmtId="164" fontId="56" fillId="0" borderId="61" xfId="1" applyNumberFormat="1" applyFont="1" applyBorder="1" applyAlignment="1">
      <alignment horizontal="center" vertical="center"/>
    </xf>
    <xf numFmtId="164" fontId="56" fillId="0" borderId="68" xfId="1" applyNumberFormat="1" applyFont="1" applyBorder="1" applyAlignment="1">
      <alignment horizontal="center" vertical="center"/>
    </xf>
    <xf numFmtId="164" fontId="56" fillId="0" borderId="20" xfId="1" applyNumberFormat="1" applyFont="1" applyBorder="1" applyAlignment="1">
      <alignment horizontal="center" vertical="center"/>
    </xf>
    <xf numFmtId="0" fontId="57" fillId="0" borderId="61" xfId="0" applyFont="1" applyBorder="1" applyAlignment="1" applyProtection="1">
      <alignment horizontal="center" vertical="center" textRotation="90" wrapText="1"/>
      <protection hidden="1"/>
    </xf>
    <xf numFmtId="0" fontId="57" fillId="0" borderId="68" xfId="0" applyFont="1" applyBorder="1" applyAlignment="1" applyProtection="1">
      <alignment horizontal="center" vertical="center" textRotation="90" wrapText="1"/>
      <protection hidden="1"/>
    </xf>
    <xf numFmtId="0" fontId="57" fillId="0" borderId="20" xfId="0" applyFont="1" applyBorder="1" applyAlignment="1" applyProtection="1">
      <alignment horizontal="center" vertical="center" textRotation="90" wrapText="1"/>
      <protection hidden="1"/>
    </xf>
    <xf numFmtId="0" fontId="57" fillId="0" borderId="61" xfId="0" applyFont="1" applyBorder="1" applyAlignment="1" applyProtection="1">
      <alignment horizontal="center" vertical="center" textRotation="90"/>
      <protection hidden="1"/>
    </xf>
    <xf numFmtId="0" fontId="57" fillId="0" borderId="68" xfId="0" applyFont="1" applyBorder="1" applyAlignment="1" applyProtection="1">
      <alignment horizontal="center" vertical="center" textRotation="90"/>
      <protection hidden="1"/>
    </xf>
    <xf numFmtId="0" fontId="57" fillId="0" borderId="20" xfId="0" applyFont="1" applyBorder="1" applyAlignment="1" applyProtection="1">
      <alignment horizontal="center" vertical="center" textRotation="90"/>
      <protection hidden="1"/>
    </xf>
    <xf numFmtId="0" fontId="16" fillId="10" borderId="0" xfId="0" applyFont="1" applyFill="1" applyAlignment="1">
      <alignment horizontal="center" vertical="center" textRotation="90" wrapText="1" readingOrder="1"/>
    </xf>
    <xf numFmtId="0" fontId="16" fillId="10" borderId="6" xfId="0" applyFont="1" applyFill="1" applyBorder="1" applyAlignment="1">
      <alignment horizontal="center" vertical="center" textRotation="90" wrapText="1" readingOrder="1"/>
    </xf>
    <xf numFmtId="0" fontId="19" fillId="12" borderId="11" xfId="0" applyFont="1" applyFill="1" applyBorder="1" applyAlignment="1">
      <alignment horizontal="center" vertical="center" wrapText="1" readingOrder="1"/>
    </xf>
    <xf numFmtId="0" fontId="19" fillId="12" borderId="12" xfId="0" applyFont="1" applyFill="1" applyBorder="1" applyAlignment="1">
      <alignment horizontal="center" vertical="center" wrapText="1" readingOrder="1"/>
    </xf>
    <xf numFmtId="0" fontId="19" fillId="12" borderId="13" xfId="0" applyFont="1" applyFill="1" applyBorder="1" applyAlignment="1">
      <alignment horizontal="center" vertical="center" wrapText="1" readingOrder="1"/>
    </xf>
    <xf numFmtId="0" fontId="19" fillId="12" borderId="14" xfId="0" applyFont="1" applyFill="1" applyBorder="1" applyAlignment="1">
      <alignment horizontal="center" vertical="center" wrapText="1" readingOrder="1"/>
    </xf>
    <xf numFmtId="0" fontId="19" fillId="12" borderId="0" xfId="0" applyFont="1" applyFill="1" applyAlignment="1">
      <alignment horizontal="center" vertical="center" wrapText="1" readingOrder="1"/>
    </xf>
    <xf numFmtId="0" fontId="19" fillId="12" borderId="15" xfId="0" applyFont="1" applyFill="1" applyBorder="1" applyAlignment="1">
      <alignment horizontal="center" vertical="center" wrapText="1" readingOrder="1"/>
    </xf>
    <xf numFmtId="0" fontId="19" fillId="12" borderId="16" xfId="0" applyFont="1" applyFill="1" applyBorder="1" applyAlignment="1">
      <alignment horizontal="center" vertical="center" wrapText="1" readingOrder="1"/>
    </xf>
    <xf numFmtId="0" fontId="19" fillId="12" borderId="17" xfId="0" applyFont="1" applyFill="1" applyBorder="1" applyAlignment="1">
      <alignment horizontal="center" vertical="center" wrapText="1" readingOrder="1"/>
    </xf>
    <xf numFmtId="0" fontId="19" fillId="12" borderId="18" xfId="0" applyFont="1" applyFill="1" applyBorder="1" applyAlignment="1">
      <alignment horizontal="center" vertical="center" wrapText="1" readingOrder="1"/>
    </xf>
    <xf numFmtId="0" fontId="19" fillId="11" borderId="11" xfId="0" applyFont="1" applyFill="1" applyBorder="1" applyAlignment="1">
      <alignment horizontal="center" vertical="center" wrapText="1" readingOrder="1"/>
    </xf>
    <xf numFmtId="0" fontId="19" fillId="11" borderId="12" xfId="0" applyFont="1" applyFill="1" applyBorder="1" applyAlignment="1">
      <alignment horizontal="center" vertical="center" wrapText="1" readingOrder="1"/>
    </xf>
    <xf numFmtId="0" fontId="19" fillId="11" borderId="13" xfId="0" applyFont="1" applyFill="1" applyBorder="1" applyAlignment="1">
      <alignment horizontal="center" vertical="center" wrapText="1" readingOrder="1"/>
    </xf>
    <xf numFmtId="0" fontId="19" fillId="11" borderId="14" xfId="0" applyFont="1" applyFill="1" applyBorder="1" applyAlignment="1">
      <alignment horizontal="center" vertical="center" wrapText="1" readingOrder="1"/>
    </xf>
    <xf numFmtId="0" fontId="19" fillId="11" borderId="0" xfId="0" applyFont="1" applyFill="1" applyAlignment="1">
      <alignment horizontal="center" vertical="center" wrapText="1" readingOrder="1"/>
    </xf>
    <xf numFmtId="0" fontId="19" fillId="11" borderId="15" xfId="0" applyFont="1" applyFill="1" applyBorder="1" applyAlignment="1">
      <alignment horizontal="center" vertical="center" wrapText="1" readingOrder="1"/>
    </xf>
    <xf numFmtId="0" fontId="19" fillId="11" borderId="16" xfId="0" applyFont="1" applyFill="1" applyBorder="1" applyAlignment="1">
      <alignment horizontal="center" vertical="center" wrapText="1" readingOrder="1"/>
    </xf>
    <xf numFmtId="0" fontId="19" fillId="11" borderId="17" xfId="0" applyFont="1" applyFill="1" applyBorder="1" applyAlignment="1">
      <alignment horizontal="center" vertical="center" wrapText="1" readingOrder="1"/>
    </xf>
    <xf numFmtId="0" fontId="19" fillId="11" borderId="18" xfId="0" applyFont="1" applyFill="1" applyBorder="1" applyAlignment="1">
      <alignment horizontal="center" vertical="center" wrapText="1" readingOrder="1"/>
    </xf>
    <xf numFmtId="0" fontId="19" fillId="13" borderId="11" xfId="0" applyFont="1" applyFill="1" applyBorder="1" applyAlignment="1">
      <alignment horizontal="center" vertical="center" wrapText="1" readingOrder="1"/>
    </xf>
    <xf numFmtId="0" fontId="19" fillId="13" borderId="12" xfId="0" applyFont="1" applyFill="1" applyBorder="1" applyAlignment="1">
      <alignment horizontal="center" vertical="center" wrapText="1" readingOrder="1"/>
    </xf>
    <xf numFmtId="0" fontId="19" fillId="13" borderId="13" xfId="0" applyFont="1" applyFill="1" applyBorder="1" applyAlignment="1">
      <alignment horizontal="center" vertical="center" wrapText="1" readingOrder="1"/>
    </xf>
    <xf numFmtId="0" fontId="19" fillId="13" borderId="14" xfId="0" applyFont="1" applyFill="1" applyBorder="1" applyAlignment="1">
      <alignment horizontal="center" vertical="center" wrapText="1" readingOrder="1"/>
    </xf>
    <xf numFmtId="0" fontId="19" fillId="13" borderId="0" xfId="0" applyFont="1" applyFill="1" applyAlignment="1">
      <alignment horizontal="center" vertical="center" wrapText="1" readingOrder="1"/>
    </xf>
    <xf numFmtId="0" fontId="19" fillId="13" borderId="15" xfId="0" applyFont="1" applyFill="1" applyBorder="1" applyAlignment="1">
      <alignment horizontal="center" vertical="center" wrapText="1" readingOrder="1"/>
    </xf>
    <xf numFmtId="0" fontId="19" fillId="13" borderId="16" xfId="0" applyFont="1" applyFill="1" applyBorder="1" applyAlignment="1">
      <alignment horizontal="center" vertical="center" wrapText="1" readingOrder="1"/>
    </xf>
    <xf numFmtId="0" fontId="19" fillId="13" borderId="17" xfId="0" applyFont="1" applyFill="1" applyBorder="1" applyAlignment="1">
      <alignment horizontal="center" vertical="center" wrapText="1" readingOrder="1"/>
    </xf>
    <xf numFmtId="0" fontId="19" fillId="13" borderId="18" xfId="0" applyFont="1" applyFill="1" applyBorder="1" applyAlignment="1">
      <alignment horizontal="center" vertical="center" wrapText="1" readingOrder="1"/>
    </xf>
    <xf numFmtId="0" fontId="19" fillId="5" borderId="11" xfId="0" applyFont="1" applyFill="1" applyBorder="1" applyAlignment="1">
      <alignment horizontal="center" vertical="center" wrapText="1" readingOrder="1"/>
    </xf>
    <xf numFmtId="0" fontId="19" fillId="5" borderId="12" xfId="0" applyFont="1" applyFill="1" applyBorder="1" applyAlignment="1">
      <alignment horizontal="center" vertical="center" wrapText="1" readingOrder="1"/>
    </xf>
    <xf numFmtId="0" fontId="19" fillId="5" borderId="13" xfId="0" applyFont="1" applyFill="1" applyBorder="1" applyAlignment="1">
      <alignment horizontal="center" vertical="center" wrapText="1" readingOrder="1"/>
    </xf>
    <xf numFmtId="0" fontId="19" fillId="5" borderId="14" xfId="0" applyFont="1" applyFill="1" applyBorder="1" applyAlignment="1">
      <alignment horizontal="center" vertical="center" wrapText="1" readingOrder="1"/>
    </xf>
    <xf numFmtId="0" fontId="19" fillId="5" borderId="0" xfId="0" applyFont="1" applyFill="1" applyAlignment="1">
      <alignment horizontal="center" vertical="center" wrapText="1" readingOrder="1"/>
    </xf>
    <xf numFmtId="0" fontId="19" fillId="5" borderId="15"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9" fillId="5" borderId="17" xfId="0" applyFont="1" applyFill="1" applyBorder="1" applyAlignment="1">
      <alignment horizontal="center" vertical="center" wrapText="1" readingOrder="1"/>
    </xf>
    <xf numFmtId="0" fontId="19" fillId="5" borderId="18" xfId="0" applyFont="1" applyFill="1" applyBorder="1" applyAlignment="1">
      <alignment horizontal="center" vertical="center" wrapText="1" readingOrder="1"/>
    </xf>
    <xf numFmtId="0" fontId="15" fillId="0" borderId="3" xfId="0" applyFont="1" applyBorder="1" applyAlignment="1">
      <alignment horizontal="center" vertical="center" wrapText="1"/>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18" fillId="11" borderId="0" xfId="0" applyFont="1" applyFill="1" applyAlignment="1" applyProtection="1">
      <alignment horizontal="center" vertical="center" wrapText="1" readingOrder="1"/>
      <protection hidden="1"/>
    </xf>
    <xf numFmtId="0" fontId="18" fillId="11" borderId="6" xfId="0" applyFont="1" applyFill="1" applyBorder="1" applyAlignment="1" applyProtection="1">
      <alignment horizontal="center" vertical="center" wrapText="1" readingOrder="1"/>
      <protection hidden="1"/>
    </xf>
    <xf numFmtId="0" fontId="18" fillId="11" borderId="3" xfId="0" applyFont="1" applyFill="1" applyBorder="1" applyAlignment="1" applyProtection="1">
      <alignment horizontal="center" vertical="center" wrapText="1" readingOrder="1"/>
      <protection hidden="1"/>
    </xf>
    <xf numFmtId="0" fontId="18" fillId="11" borderId="10" xfId="0" applyFont="1" applyFill="1" applyBorder="1" applyAlignment="1" applyProtection="1">
      <alignment horizontal="center" vertical="center" wrapText="1" readingOrder="1"/>
      <protection hidden="1"/>
    </xf>
    <xf numFmtId="0" fontId="18" fillId="11" borderId="5" xfId="0" applyFont="1" applyFill="1" applyBorder="1" applyAlignment="1" applyProtection="1">
      <alignment horizontal="center" vertical="center" wrapText="1" readingOrder="1"/>
      <protection hidden="1"/>
    </xf>
    <xf numFmtId="0" fontId="18" fillId="11" borderId="4" xfId="0" applyFont="1" applyFill="1" applyBorder="1" applyAlignment="1" applyProtection="1">
      <alignment horizontal="center" vertical="center" wrapText="1" readingOrder="1"/>
      <protection hidden="1"/>
    </xf>
    <xf numFmtId="0" fontId="16" fillId="10" borderId="0" xfId="0" applyFont="1" applyFill="1" applyAlignment="1">
      <alignment horizontal="center" vertical="center" wrapText="1" readingOrder="1"/>
    </xf>
    <xf numFmtId="0" fontId="15" fillId="0" borderId="10" xfId="0" applyFont="1" applyBorder="1" applyAlignment="1">
      <alignment horizontal="center" vertical="center" wrapText="1"/>
    </xf>
    <xf numFmtId="0" fontId="18" fillId="11" borderId="7" xfId="0" applyFont="1" applyFill="1" applyBorder="1" applyAlignment="1" applyProtection="1">
      <alignment horizontal="center" vertical="center" wrapText="1" readingOrder="1"/>
      <protection hidden="1"/>
    </xf>
    <xf numFmtId="0" fontId="18" fillId="11" borderId="9" xfId="0" applyFont="1" applyFill="1" applyBorder="1" applyAlignment="1" applyProtection="1">
      <alignment horizontal="center" vertical="center" wrapText="1" readingOrder="1"/>
      <protection hidden="1"/>
    </xf>
    <xf numFmtId="0" fontId="18" fillId="11" borderId="8" xfId="0" applyFont="1" applyFill="1" applyBorder="1" applyAlignment="1" applyProtection="1">
      <alignment horizontal="center" vertical="center" wrapText="1" readingOrder="1"/>
      <protection hidden="1"/>
    </xf>
    <xf numFmtId="0" fontId="18" fillId="12" borderId="5" xfId="0" applyFont="1" applyFill="1" applyBorder="1" applyAlignment="1" applyProtection="1">
      <alignment horizontal="center" wrapText="1" readingOrder="1"/>
      <protection hidden="1"/>
    </xf>
    <xf numFmtId="0" fontId="18" fillId="12" borderId="0" xfId="0" applyFont="1" applyFill="1" applyAlignment="1" applyProtection="1">
      <alignment horizontal="center" wrapText="1" readingOrder="1"/>
      <protection hidden="1"/>
    </xf>
    <xf numFmtId="0" fontId="18" fillId="12" borderId="6" xfId="0" applyFont="1" applyFill="1" applyBorder="1" applyAlignment="1" applyProtection="1">
      <alignment horizontal="center" wrapText="1" readingOrder="1"/>
      <protection hidden="1"/>
    </xf>
    <xf numFmtId="0" fontId="18" fillId="12" borderId="7" xfId="0" applyFont="1" applyFill="1" applyBorder="1" applyAlignment="1" applyProtection="1">
      <alignment horizontal="center" wrapText="1" readingOrder="1"/>
      <protection hidden="1"/>
    </xf>
    <xf numFmtId="0" fontId="18" fillId="12" borderId="9" xfId="0" applyFont="1" applyFill="1" applyBorder="1" applyAlignment="1" applyProtection="1">
      <alignment horizontal="center" wrapText="1" readingOrder="1"/>
      <protection hidden="1"/>
    </xf>
    <xf numFmtId="0" fontId="18" fillId="12" borderId="8" xfId="0" applyFont="1" applyFill="1" applyBorder="1" applyAlignment="1" applyProtection="1">
      <alignment horizontal="center" wrapText="1" readingOrder="1"/>
      <protection hidden="1"/>
    </xf>
    <xf numFmtId="0" fontId="18" fillId="12" borderId="3" xfId="0" applyFont="1" applyFill="1" applyBorder="1" applyAlignment="1" applyProtection="1">
      <alignment horizontal="center" wrapText="1" readingOrder="1"/>
      <protection hidden="1"/>
    </xf>
    <xf numFmtId="0" fontId="18" fillId="12" borderId="10" xfId="0" applyFont="1" applyFill="1" applyBorder="1" applyAlignment="1" applyProtection="1">
      <alignment horizontal="center" wrapText="1" readingOrder="1"/>
      <protection hidden="1"/>
    </xf>
    <xf numFmtId="0" fontId="18" fillId="12" borderId="4" xfId="0" applyFont="1" applyFill="1" applyBorder="1" applyAlignment="1" applyProtection="1">
      <alignment horizontal="center" wrapText="1" readingOrder="1"/>
      <protection hidden="1"/>
    </xf>
    <xf numFmtId="0" fontId="18" fillId="13" borderId="5" xfId="0" applyFont="1" applyFill="1" applyBorder="1" applyAlignment="1" applyProtection="1">
      <alignment horizontal="center" wrapText="1" readingOrder="1"/>
      <protection hidden="1"/>
    </xf>
    <xf numFmtId="0" fontId="18" fillId="13" borderId="0" xfId="0" applyFont="1" applyFill="1" applyAlignment="1" applyProtection="1">
      <alignment horizontal="center" wrapText="1" readingOrder="1"/>
      <protection hidden="1"/>
    </xf>
    <xf numFmtId="0" fontId="18" fillId="13" borderId="6" xfId="0" applyFont="1" applyFill="1" applyBorder="1" applyAlignment="1" applyProtection="1">
      <alignment horizontal="center" wrapText="1" readingOrder="1"/>
      <protection hidden="1"/>
    </xf>
    <xf numFmtId="0" fontId="18" fillId="13" borderId="7" xfId="0" applyFont="1" applyFill="1" applyBorder="1" applyAlignment="1" applyProtection="1">
      <alignment horizontal="center" wrapText="1" readingOrder="1"/>
      <protection hidden="1"/>
    </xf>
    <xf numFmtId="0" fontId="18" fillId="13" borderId="9" xfId="0" applyFont="1" applyFill="1" applyBorder="1" applyAlignment="1" applyProtection="1">
      <alignment horizontal="center" wrapText="1" readingOrder="1"/>
      <protection hidden="1"/>
    </xf>
    <xf numFmtId="0" fontId="18" fillId="13" borderId="8" xfId="0" applyFont="1" applyFill="1" applyBorder="1" applyAlignment="1" applyProtection="1">
      <alignment horizontal="center" wrapText="1" readingOrder="1"/>
      <protection hidden="1"/>
    </xf>
    <xf numFmtId="0" fontId="18" fillId="13" borderId="3" xfId="0" applyFont="1" applyFill="1" applyBorder="1" applyAlignment="1" applyProtection="1">
      <alignment horizontal="center" wrapText="1" readingOrder="1"/>
      <protection hidden="1"/>
    </xf>
    <xf numFmtId="0" fontId="18" fillId="13" borderId="10" xfId="0" applyFont="1" applyFill="1" applyBorder="1" applyAlignment="1" applyProtection="1">
      <alignment horizontal="center" wrapText="1" readingOrder="1"/>
      <protection hidden="1"/>
    </xf>
    <xf numFmtId="0" fontId="18" fillId="13" borderId="4" xfId="0" applyFont="1" applyFill="1" applyBorder="1" applyAlignment="1" applyProtection="1">
      <alignment horizontal="center" wrapText="1" readingOrder="1"/>
      <protection hidden="1"/>
    </xf>
    <xf numFmtId="0" fontId="18" fillId="5" borderId="0" xfId="0" applyFont="1" applyFill="1" applyAlignment="1" applyProtection="1">
      <alignment horizontal="center" wrapText="1" readingOrder="1"/>
      <protection hidden="1"/>
    </xf>
    <xf numFmtId="0" fontId="18" fillId="5" borderId="6" xfId="0" applyFont="1" applyFill="1" applyBorder="1" applyAlignment="1" applyProtection="1">
      <alignment horizontal="center" wrapText="1" readingOrder="1"/>
      <protection hidden="1"/>
    </xf>
    <xf numFmtId="0" fontId="18" fillId="5" borderId="5" xfId="0" applyFont="1" applyFill="1" applyBorder="1" applyAlignment="1" applyProtection="1">
      <alignment horizontal="center" wrapText="1" readingOrder="1"/>
      <protection hidden="1"/>
    </xf>
    <xf numFmtId="0" fontId="18" fillId="5" borderId="7" xfId="0" applyFont="1" applyFill="1" applyBorder="1" applyAlignment="1" applyProtection="1">
      <alignment horizontal="center" wrapText="1" readingOrder="1"/>
      <protection hidden="1"/>
    </xf>
    <xf numFmtId="0" fontId="18" fillId="5" borderId="9" xfId="0" applyFont="1" applyFill="1" applyBorder="1" applyAlignment="1" applyProtection="1">
      <alignment horizontal="center" wrapText="1" readingOrder="1"/>
      <protection hidden="1"/>
    </xf>
    <xf numFmtId="0" fontId="18" fillId="5" borderId="8" xfId="0" applyFont="1" applyFill="1" applyBorder="1" applyAlignment="1" applyProtection="1">
      <alignment horizontal="center" wrapText="1" readingOrder="1"/>
      <protection hidden="1"/>
    </xf>
    <xf numFmtId="0" fontId="18" fillId="5" borderId="3" xfId="0" applyFont="1" applyFill="1" applyBorder="1" applyAlignment="1" applyProtection="1">
      <alignment horizontal="center" wrapText="1" readingOrder="1"/>
      <protection hidden="1"/>
    </xf>
    <xf numFmtId="0" fontId="18" fillId="5" borderId="10" xfId="0" applyFont="1" applyFill="1" applyBorder="1" applyAlignment="1" applyProtection="1">
      <alignment horizontal="center" wrapText="1" readingOrder="1"/>
      <protection hidden="1"/>
    </xf>
    <xf numFmtId="0" fontId="18" fillId="5" borderId="4" xfId="0" applyFont="1" applyFill="1" applyBorder="1" applyAlignment="1" applyProtection="1">
      <alignment horizontal="center" wrapText="1" readingOrder="1"/>
      <protection hidden="1"/>
    </xf>
    <xf numFmtId="0" fontId="23" fillId="0" borderId="0" xfId="0" applyFont="1" applyAlignment="1">
      <alignment horizontal="center" vertical="center" wrapText="1"/>
    </xf>
    <xf numFmtId="0" fontId="39" fillId="11" borderId="11" xfId="0" applyFont="1" applyFill="1" applyBorder="1" applyAlignment="1">
      <alignment horizontal="center" vertical="center" wrapText="1" readingOrder="1"/>
    </xf>
    <xf numFmtId="0" fontId="39" fillId="11" borderId="12" xfId="0" applyFont="1" applyFill="1" applyBorder="1" applyAlignment="1">
      <alignment horizontal="center" vertical="center" wrapText="1" readingOrder="1"/>
    </xf>
    <xf numFmtId="0" fontId="39" fillId="11" borderId="13" xfId="0" applyFont="1" applyFill="1" applyBorder="1" applyAlignment="1">
      <alignment horizontal="center" vertical="center" wrapText="1" readingOrder="1"/>
    </xf>
    <xf numFmtId="0" fontId="39" fillId="11" borderId="14" xfId="0" applyFont="1" applyFill="1" applyBorder="1" applyAlignment="1">
      <alignment horizontal="center" vertical="center" wrapText="1" readingOrder="1"/>
    </xf>
    <xf numFmtId="0" fontId="39" fillId="11" borderId="0" xfId="0" applyFont="1" applyFill="1" applyAlignment="1">
      <alignment horizontal="center" vertical="center" wrapText="1" readingOrder="1"/>
    </xf>
    <xf numFmtId="0" fontId="39" fillId="11" borderId="15" xfId="0" applyFont="1" applyFill="1" applyBorder="1" applyAlignment="1">
      <alignment horizontal="center" vertical="center" wrapText="1" readingOrder="1"/>
    </xf>
    <xf numFmtId="0" fontId="39" fillId="11" borderId="16" xfId="0" applyFont="1" applyFill="1" applyBorder="1" applyAlignment="1">
      <alignment horizontal="center" vertical="center" wrapText="1" readingOrder="1"/>
    </xf>
    <xf numFmtId="0" fontId="39" fillId="11" borderId="17" xfId="0" applyFont="1" applyFill="1" applyBorder="1" applyAlignment="1">
      <alignment horizontal="center" vertical="center" wrapText="1" readingOrder="1"/>
    </xf>
    <xf numFmtId="0" fontId="39" fillId="11" borderId="18" xfId="0" applyFont="1" applyFill="1" applyBorder="1" applyAlignment="1">
      <alignment horizontal="center" vertical="center" wrapText="1" readingOrder="1"/>
    </xf>
    <xf numFmtId="0" fontId="40" fillId="0" borderId="3" xfId="0" applyFont="1" applyBorder="1" applyAlignment="1">
      <alignment horizontal="center" vertical="center" wrapText="1"/>
    </xf>
    <xf numFmtId="0" fontId="40" fillId="0" borderId="10" xfId="0" applyFont="1" applyBorder="1" applyAlignment="1">
      <alignment horizontal="center" vertical="center"/>
    </xf>
    <xf numFmtId="0" fontId="40" fillId="0" borderId="5" xfId="0" applyFont="1" applyBorder="1" applyAlignment="1">
      <alignment horizontal="center" vertical="center" wrapText="1"/>
    </xf>
    <xf numFmtId="0" fontId="40" fillId="0" borderId="0" xfId="0" applyFont="1" applyAlignment="1">
      <alignment horizontal="center" vertical="center"/>
    </xf>
    <xf numFmtId="0" fontId="40" fillId="0" borderId="5" xfId="0" applyFont="1" applyBorder="1" applyAlignment="1">
      <alignment horizontal="center" vertical="center"/>
    </xf>
    <xf numFmtId="0" fontId="40" fillId="0" borderId="7" xfId="0" applyFont="1" applyBorder="1" applyAlignment="1">
      <alignment horizontal="center" vertical="center"/>
    </xf>
    <xf numFmtId="0" fontId="40" fillId="0" borderId="9" xfId="0" applyFont="1" applyBorder="1" applyAlignment="1">
      <alignment horizontal="center" vertical="center"/>
    </xf>
    <xf numFmtId="0" fontId="39" fillId="12" borderId="11" xfId="0" applyFont="1" applyFill="1" applyBorder="1" applyAlignment="1">
      <alignment horizontal="center" vertical="center" wrapText="1" readingOrder="1"/>
    </xf>
    <xf numFmtId="0" fontId="39" fillId="12" borderId="12" xfId="0" applyFont="1" applyFill="1" applyBorder="1" applyAlignment="1">
      <alignment horizontal="center" vertical="center" wrapText="1" readingOrder="1"/>
    </xf>
    <xf numFmtId="0" fontId="39" fillId="12" borderId="13" xfId="0" applyFont="1" applyFill="1" applyBorder="1" applyAlignment="1">
      <alignment horizontal="center" vertical="center" wrapText="1" readingOrder="1"/>
    </xf>
    <xf numFmtId="0" fontId="39" fillId="12" borderId="14" xfId="0" applyFont="1" applyFill="1" applyBorder="1" applyAlignment="1">
      <alignment horizontal="center" vertical="center" wrapText="1" readingOrder="1"/>
    </xf>
    <xf numFmtId="0" fontId="39" fillId="12" borderId="0" xfId="0" applyFont="1" applyFill="1" applyAlignment="1">
      <alignment horizontal="center" vertical="center" wrapText="1" readingOrder="1"/>
    </xf>
    <xf numFmtId="0" fontId="39" fillId="12" borderId="15" xfId="0" applyFont="1" applyFill="1" applyBorder="1" applyAlignment="1">
      <alignment horizontal="center" vertical="center" wrapText="1" readingOrder="1"/>
    </xf>
    <xf numFmtId="0" fontId="39" fillId="12" borderId="16" xfId="0" applyFont="1" applyFill="1" applyBorder="1" applyAlignment="1">
      <alignment horizontal="center" vertical="center" wrapText="1" readingOrder="1"/>
    </xf>
    <xf numFmtId="0" fontId="39" fillId="12" borderId="17" xfId="0" applyFont="1" applyFill="1" applyBorder="1" applyAlignment="1">
      <alignment horizontal="center" vertical="center" wrapText="1" readingOrder="1"/>
    </xf>
    <xf numFmtId="0" fontId="39" fillId="12" borderId="18" xfId="0" applyFont="1" applyFill="1" applyBorder="1" applyAlignment="1">
      <alignment horizontal="center" vertical="center" wrapText="1" readingOrder="1"/>
    </xf>
    <xf numFmtId="0" fontId="38" fillId="0" borderId="0" xfId="0" applyFont="1" applyAlignment="1">
      <alignment horizontal="center" vertical="center" wrapText="1"/>
    </xf>
    <xf numFmtId="0" fontId="20" fillId="0" borderId="0" xfId="0" applyFont="1" applyAlignment="1">
      <alignment horizontal="center" vertical="center" wrapText="1"/>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0" fillId="0" borderId="8" xfId="0" applyFont="1" applyBorder="1" applyAlignment="1">
      <alignment horizontal="center" vertical="center"/>
    </xf>
    <xf numFmtId="0" fontId="39" fillId="5" borderId="11" xfId="0" applyFont="1" applyFill="1" applyBorder="1" applyAlignment="1">
      <alignment horizontal="center" vertical="center" wrapText="1" readingOrder="1"/>
    </xf>
    <xf numFmtId="0" fontId="39" fillId="5" borderId="12" xfId="0" applyFont="1" applyFill="1" applyBorder="1" applyAlignment="1">
      <alignment horizontal="center" vertical="center" wrapText="1" readingOrder="1"/>
    </xf>
    <xf numFmtId="0" fontId="39" fillId="5" borderId="13" xfId="0" applyFont="1" applyFill="1" applyBorder="1" applyAlignment="1">
      <alignment horizontal="center" vertical="center" wrapText="1" readingOrder="1"/>
    </xf>
    <xf numFmtId="0" fontId="39" fillId="5" borderId="14" xfId="0" applyFont="1" applyFill="1" applyBorder="1" applyAlignment="1">
      <alignment horizontal="center" vertical="center" wrapText="1" readingOrder="1"/>
    </xf>
    <xf numFmtId="0" fontId="39" fillId="5" borderId="0" xfId="0" applyFont="1" applyFill="1" applyAlignment="1">
      <alignment horizontal="center" vertical="center" wrapText="1" readingOrder="1"/>
    </xf>
    <xf numFmtId="0" fontId="39" fillId="5" borderId="15" xfId="0" applyFont="1" applyFill="1" applyBorder="1" applyAlignment="1">
      <alignment horizontal="center" vertical="center" wrapText="1" readingOrder="1"/>
    </xf>
    <xf numFmtId="0" fontId="39" fillId="5" borderId="16" xfId="0" applyFont="1" applyFill="1" applyBorder="1" applyAlignment="1">
      <alignment horizontal="center" vertical="center" wrapText="1" readingOrder="1"/>
    </xf>
    <xf numFmtId="0" fontId="39" fillId="5" borderId="17" xfId="0" applyFont="1" applyFill="1" applyBorder="1" applyAlignment="1">
      <alignment horizontal="center" vertical="center" wrapText="1" readingOrder="1"/>
    </xf>
    <xf numFmtId="0" fontId="39" fillId="5" borderId="18" xfId="0" applyFont="1" applyFill="1" applyBorder="1" applyAlignment="1">
      <alignment horizontal="center" vertical="center" wrapText="1" readingOrder="1"/>
    </xf>
    <xf numFmtId="0" fontId="39" fillId="13" borderId="11" xfId="0" applyFont="1" applyFill="1" applyBorder="1" applyAlignment="1">
      <alignment horizontal="center" vertical="center" wrapText="1" readingOrder="1"/>
    </xf>
    <xf numFmtId="0" fontId="39" fillId="13" borderId="12" xfId="0" applyFont="1" applyFill="1" applyBorder="1" applyAlignment="1">
      <alignment horizontal="center" vertical="center" wrapText="1" readingOrder="1"/>
    </xf>
    <xf numFmtId="0" fontId="39" fillId="13" borderId="13" xfId="0" applyFont="1" applyFill="1" applyBorder="1" applyAlignment="1">
      <alignment horizontal="center" vertical="center" wrapText="1" readingOrder="1"/>
    </xf>
    <xf numFmtId="0" fontId="39" fillId="13" borderId="14" xfId="0" applyFont="1" applyFill="1" applyBorder="1" applyAlignment="1">
      <alignment horizontal="center" vertical="center" wrapText="1" readingOrder="1"/>
    </xf>
    <xf numFmtId="0" fontId="39" fillId="13" borderId="0" xfId="0" applyFont="1" applyFill="1" applyAlignment="1">
      <alignment horizontal="center" vertical="center" wrapText="1" readingOrder="1"/>
    </xf>
    <xf numFmtId="0" fontId="39" fillId="13" borderId="15" xfId="0" applyFont="1" applyFill="1" applyBorder="1" applyAlignment="1">
      <alignment horizontal="center" vertical="center" wrapText="1" readingOrder="1"/>
    </xf>
    <xf numFmtId="0" fontId="39" fillId="13" borderId="16" xfId="0" applyFont="1" applyFill="1" applyBorder="1" applyAlignment="1">
      <alignment horizontal="center" vertical="center" wrapText="1" readingOrder="1"/>
    </xf>
    <xf numFmtId="0" fontId="39" fillId="13" borderId="17" xfId="0" applyFont="1" applyFill="1" applyBorder="1" applyAlignment="1">
      <alignment horizontal="center" vertical="center" wrapText="1" readingOrder="1"/>
    </xf>
    <xf numFmtId="0" fontId="39" fillId="13" borderId="18" xfId="0" applyFont="1" applyFill="1" applyBorder="1" applyAlignment="1">
      <alignment horizontal="center" vertical="center" wrapText="1" readingOrder="1"/>
    </xf>
    <xf numFmtId="0" fontId="40" fillId="0" borderId="10" xfId="0" applyFont="1" applyBorder="1" applyAlignment="1">
      <alignment horizontal="center" vertical="center" wrapText="1"/>
    </xf>
    <xf numFmtId="0" fontId="22" fillId="0" borderId="0" xfId="0" applyFont="1" applyAlignment="1">
      <alignment horizontal="center" vertical="center"/>
    </xf>
    <xf numFmtId="0" fontId="42" fillId="0" borderId="0" xfId="0" applyFont="1" applyAlignment="1">
      <alignment horizontal="center" vertical="center"/>
    </xf>
    <xf numFmtId="0" fontId="37" fillId="15" borderId="21" xfId="0" applyFont="1" applyFill="1" applyBorder="1" applyAlignment="1">
      <alignment horizontal="center" vertical="center" wrapText="1" readingOrder="1"/>
    </xf>
    <xf numFmtId="0" fontId="37" fillId="15" borderId="22" xfId="0" applyFont="1" applyFill="1" applyBorder="1" applyAlignment="1">
      <alignment horizontal="center" vertical="center" wrapText="1" readingOrder="1"/>
    </xf>
    <xf numFmtId="0" fontId="37" fillId="15" borderId="33" xfId="0" applyFont="1" applyFill="1" applyBorder="1" applyAlignment="1">
      <alignment horizontal="center" vertical="center" wrapText="1" readingOrder="1"/>
    </xf>
    <xf numFmtId="0" fontId="32" fillId="3" borderId="0" xfId="0" applyFont="1" applyFill="1" applyAlignment="1">
      <alignment horizontal="justify" vertical="center" wrapText="1"/>
    </xf>
    <xf numFmtId="0" fontId="34" fillId="15" borderId="30" xfId="0" applyFont="1" applyFill="1" applyBorder="1" applyAlignment="1">
      <alignment horizontal="center" vertical="center" wrapText="1" readingOrder="1"/>
    </xf>
    <xf numFmtId="0" fontId="34" fillId="15" borderId="31" xfId="0" applyFont="1" applyFill="1" applyBorder="1" applyAlignment="1">
      <alignment horizontal="center" vertical="center" wrapText="1" readingOrder="1"/>
    </xf>
    <xf numFmtId="0" fontId="34" fillId="3" borderId="28" xfId="0" applyFont="1" applyFill="1" applyBorder="1" applyAlignment="1">
      <alignment horizontal="center" vertical="center" wrapText="1" readingOrder="1"/>
    </xf>
    <xf numFmtId="0" fontId="34" fillId="3" borderId="23" xfId="0" applyFont="1" applyFill="1" applyBorder="1" applyAlignment="1">
      <alignment horizontal="center" vertical="center" wrapText="1" readingOrder="1"/>
    </xf>
    <xf numFmtId="0" fontId="34" fillId="3" borderId="20" xfId="0"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4" fillId="3" borderId="25"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28">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272142</xdr:colOff>
      <xdr:row>1</xdr:row>
      <xdr:rowOff>27215</xdr:rowOff>
    </xdr:from>
    <xdr:to>
      <xdr:col>2</xdr:col>
      <xdr:colOff>870491</xdr:colOff>
      <xdr:row>3</xdr:row>
      <xdr:rowOff>310009</xdr:rowOff>
    </xdr:to>
    <xdr:pic>
      <xdr:nvPicPr>
        <xdr:cNvPr id="3" name="Imagen 2">
          <a:extLst>
            <a:ext uri="{FF2B5EF4-FFF2-40B4-BE49-F238E27FC236}">
              <a16:creationId xmlns:a16="http://schemas.microsoft.com/office/drawing/2014/main" id="{39426843-E7FD-4F91-8966-6F1A644BC95B}"/>
            </a:ext>
          </a:extLst>
        </xdr:cNvPr>
        <xdr:cNvPicPr>
          <a:picLocks noChangeAspect="1"/>
        </xdr:cNvPicPr>
      </xdr:nvPicPr>
      <xdr:blipFill>
        <a:blip xmlns:r="http://schemas.openxmlformats.org/officeDocument/2006/relationships" r:embed="rId1"/>
        <a:stretch>
          <a:fillRect/>
        </a:stretch>
      </xdr:blipFill>
      <xdr:spPr>
        <a:xfrm>
          <a:off x="272142" y="231322"/>
          <a:ext cx="1809385" cy="6910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20y%20oportunidades\Riesgos%20Relacionamiento%20con%20la%20Ciudadan&#237;a\MATRIZ%20MAPA%20DE%20RIESGOS%20-%20RELACI&#211;NAMIENTO%20CON%20LA%20CIUDADAN&#205;A%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4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n="El riesgo afecta la imagen de la entidad internamente, de conocimiento general, nivel interno, mesa directiva y/o de provedores"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27" dataDxfId="26">
  <autoFilter ref="B209:C219" xr:uid="{00000000-0009-0000-0100-000001000000}"/>
  <tableColumns count="2">
    <tableColumn id="1" xr3:uid="{00000000-0010-0000-0000-000001000000}" name="Criterios" dataDxfId="25"/>
    <tableColumn id="2" xr3:uid="{00000000-0010-0000-0000-000002000000}" name="Subcriterios" dataDxfId="2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zoomScale="110" zoomScaleNormal="110" workbookViewId="0">
      <selection activeCell="B4" sqref="B4:H5"/>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169" t="s">
        <v>164</v>
      </c>
      <c r="C2" s="170"/>
      <c r="D2" s="170"/>
      <c r="E2" s="170"/>
      <c r="F2" s="170"/>
      <c r="G2" s="170"/>
      <c r="H2" s="171"/>
    </row>
    <row r="3" spans="2:8" x14ac:dyDescent="0.25">
      <c r="B3" s="70"/>
      <c r="C3" s="71"/>
      <c r="D3" s="71"/>
      <c r="E3" s="71"/>
      <c r="F3" s="71"/>
      <c r="G3" s="71"/>
      <c r="H3" s="72"/>
    </row>
    <row r="4" spans="2:8" ht="63" customHeight="1" x14ac:dyDescent="0.25">
      <c r="B4" s="172" t="s">
        <v>207</v>
      </c>
      <c r="C4" s="173"/>
      <c r="D4" s="173"/>
      <c r="E4" s="173"/>
      <c r="F4" s="173"/>
      <c r="G4" s="173"/>
      <c r="H4" s="174"/>
    </row>
    <row r="5" spans="2:8" ht="63" customHeight="1" x14ac:dyDescent="0.25">
      <c r="B5" s="175"/>
      <c r="C5" s="176"/>
      <c r="D5" s="176"/>
      <c r="E5" s="176"/>
      <c r="F5" s="176"/>
      <c r="G5" s="176"/>
      <c r="H5" s="177"/>
    </row>
    <row r="6" spans="2:8" ht="16.5" x14ac:dyDescent="0.25">
      <c r="B6" s="178" t="s">
        <v>162</v>
      </c>
      <c r="C6" s="179"/>
      <c r="D6" s="179"/>
      <c r="E6" s="179"/>
      <c r="F6" s="179"/>
      <c r="G6" s="179"/>
      <c r="H6" s="180"/>
    </row>
    <row r="7" spans="2:8" ht="95.25" customHeight="1" x14ac:dyDescent="0.25">
      <c r="B7" s="188" t="s">
        <v>167</v>
      </c>
      <c r="C7" s="189"/>
      <c r="D7" s="189"/>
      <c r="E7" s="189"/>
      <c r="F7" s="189"/>
      <c r="G7" s="189"/>
      <c r="H7" s="190"/>
    </row>
    <row r="8" spans="2:8" ht="16.5" x14ac:dyDescent="0.25">
      <c r="B8" s="106"/>
      <c r="C8" s="107"/>
      <c r="D8" s="107"/>
      <c r="E8" s="107"/>
      <c r="F8" s="107"/>
      <c r="G8" s="107"/>
      <c r="H8" s="108"/>
    </row>
    <row r="9" spans="2:8" ht="16.5" customHeight="1" x14ac:dyDescent="0.25">
      <c r="B9" s="181" t="s">
        <v>200</v>
      </c>
      <c r="C9" s="182"/>
      <c r="D9" s="182"/>
      <c r="E9" s="182"/>
      <c r="F9" s="182"/>
      <c r="G9" s="182"/>
      <c r="H9" s="183"/>
    </row>
    <row r="10" spans="2:8" ht="44.25" customHeight="1" x14ac:dyDescent="0.25">
      <c r="B10" s="181"/>
      <c r="C10" s="182"/>
      <c r="D10" s="182"/>
      <c r="E10" s="182"/>
      <c r="F10" s="182"/>
      <c r="G10" s="182"/>
      <c r="H10" s="183"/>
    </row>
    <row r="11" spans="2:8" ht="15.75" thickBot="1" x14ac:dyDescent="0.3">
      <c r="B11" s="95"/>
      <c r="C11" s="98"/>
      <c r="D11" s="103"/>
      <c r="E11" s="104"/>
      <c r="F11" s="104"/>
      <c r="G11" s="105"/>
      <c r="H11" s="99"/>
    </row>
    <row r="12" spans="2:8" ht="15.75" thickTop="1" x14ac:dyDescent="0.25">
      <c r="B12" s="95"/>
      <c r="C12" s="184" t="s">
        <v>163</v>
      </c>
      <c r="D12" s="185"/>
      <c r="E12" s="186" t="s">
        <v>201</v>
      </c>
      <c r="F12" s="187"/>
      <c r="G12" s="98"/>
      <c r="H12" s="99"/>
    </row>
    <row r="13" spans="2:8" ht="35.25" customHeight="1" x14ac:dyDescent="0.25">
      <c r="B13" s="95"/>
      <c r="C13" s="156" t="s">
        <v>194</v>
      </c>
      <c r="D13" s="157"/>
      <c r="E13" s="158" t="s">
        <v>199</v>
      </c>
      <c r="F13" s="159"/>
      <c r="G13" s="98"/>
      <c r="H13" s="99"/>
    </row>
    <row r="14" spans="2:8" ht="17.25" customHeight="1" x14ac:dyDescent="0.25">
      <c r="B14" s="95"/>
      <c r="C14" s="156" t="s">
        <v>195</v>
      </c>
      <c r="D14" s="157"/>
      <c r="E14" s="158" t="s">
        <v>197</v>
      </c>
      <c r="F14" s="159"/>
      <c r="G14" s="98"/>
      <c r="H14" s="99"/>
    </row>
    <row r="15" spans="2:8" ht="19.5" customHeight="1" x14ac:dyDescent="0.25">
      <c r="B15" s="95"/>
      <c r="C15" s="156" t="s">
        <v>196</v>
      </c>
      <c r="D15" s="157"/>
      <c r="E15" s="158" t="s">
        <v>198</v>
      </c>
      <c r="F15" s="159"/>
      <c r="G15" s="98"/>
      <c r="H15" s="99"/>
    </row>
    <row r="16" spans="2:8" ht="69.75" customHeight="1" x14ac:dyDescent="0.25">
      <c r="B16" s="95"/>
      <c r="C16" s="156" t="s">
        <v>165</v>
      </c>
      <c r="D16" s="157"/>
      <c r="E16" s="158" t="s">
        <v>166</v>
      </c>
      <c r="F16" s="159"/>
      <c r="G16" s="98"/>
      <c r="H16" s="99"/>
    </row>
    <row r="17" spans="2:8" ht="34.5" customHeight="1" x14ac:dyDescent="0.25">
      <c r="B17" s="95"/>
      <c r="C17" s="160" t="s">
        <v>2</v>
      </c>
      <c r="D17" s="161"/>
      <c r="E17" s="152" t="s">
        <v>208</v>
      </c>
      <c r="F17" s="153"/>
      <c r="G17" s="98"/>
      <c r="H17" s="99"/>
    </row>
    <row r="18" spans="2:8" ht="27.75" customHeight="1" x14ac:dyDescent="0.25">
      <c r="B18" s="95"/>
      <c r="C18" s="160" t="s">
        <v>3</v>
      </c>
      <c r="D18" s="161"/>
      <c r="E18" s="152" t="s">
        <v>209</v>
      </c>
      <c r="F18" s="153"/>
      <c r="G18" s="98"/>
      <c r="H18" s="99"/>
    </row>
    <row r="19" spans="2:8" ht="28.5" customHeight="1" x14ac:dyDescent="0.25">
      <c r="B19" s="95"/>
      <c r="C19" s="160" t="s">
        <v>42</v>
      </c>
      <c r="D19" s="161"/>
      <c r="E19" s="152" t="s">
        <v>210</v>
      </c>
      <c r="F19" s="153"/>
      <c r="G19" s="98"/>
      <c r="H19" s="99"/>
    </row>
    <row r="20" spans="2:8" ht="72.75" customHeight="1" x14ac:dyDescent="0.25">
      <c r="B20" s="95"/>
      <c r="C20" s="160" t="s">
        <v>1</v>
      </c>
      <c r="D20" s="161"/>
      <c r="E20" s="152" t="s">
        <v>211</v>
      </c>
      <c r="F20" s="153"/>
      <c r="G20" s="98"/>
      <c r="H20" s="99"/>
    </row>
    <row r="21" spans="2:8" ht="64.5" customHeight="1" x14ac:dyDescent="0.25">
      <c r="B21" s="95"/>
      <c r="C21" s="160" t="s">
        <v>50</v>
      </c>
      <c r="D21" s="161"/>
      <c r="E21" s="152" t="s">
        <v>169</v>
      </c>
      <c r="F21" s="153"/>
      <c r="G21" s="98"/>
      <c r="H21" s="99"/>
    </row>
    <row r="22" spans="2:8" ht="71.25" customHeight="1" x14ac:dyDescent="0.25">
      <c r="B22" s="95"/>
      <c r="C22" s="160" t="s">
        <v>168</v>
      </c>
      <c r="D22" s="161"/>
      <c r="E22" s="152" t="s">
        <v>170</v>
      </c>
      <c r="F22" s="153"/>
      <c r="G22" s="98"/>
      <c r="H22" s="99"/>
    </row>
    <row r="23" spans="2:8" ht="55.5" customHeight="1" x14ac:dyDescent="0.25">
      <c r="B23" s="95"/>
      <c r="C23" s="154" t="s">
        <v>171</v>
      </c>
      <c r="D23" s="155"/>
      <c r="E23" s="152" t="s">
        <v>172</v>
      </c>
      <c r="F23" s="153"/>
      <c r="G23" s="98"/>
      <c r="H23" s="99"/>
    </row>
    <row r="24" spans="2:8" ht="42" customHeight="1" x14ac:dyDescent="0.25">
      <c r="B24" s="95"/>
      <c r="C24" s="154" t="s">
        <v>48</v>
      </c>
      <c r="D24" s="155"/>
      <c r="E24" s="152" t="s">
        <v>173</v>
      </c>
      <c r="F24" s="153"/>
      <c r="G24" s="98"/>
      <c r="H24" s="99"/>
    </row>
    <row r="25" spans="2:8" ht="59.25" customHeight="1" x14ac:dyDescent="0.25">
      <c r="B25" s="95"/>
      <c r="C25" s="154" t="s">
        <v>161</v>
      </c>
      <c r="D25" s="155"/>
      <c r="E25" s="152" t="s">
        <v>174</v>
      </c>
      <c r="F25" s="153"/>
      <c r="G25" s="98"/>
      <c r="H25" s="99"/>
    </row>
    <row r="26" spans="2:8" ht="23.25" customHeight="1" x14ac:dyDescent="0.25">
      <c r="B26" s="95"/>
      <c r="C26" s="154" t="s">
        <v>12</v>
      </c>
      <c r="D26" s="155"/>
      <c r="E26" s="152" t="s">
        <v>175</v>
      </c>
      <c r="F26" s="153"/>
      <c r="G26" s="98"/>
      <c r="H26" s="99"/>
    </row>
    <row r="27" spans="2:8" ht="30.75" customHeight="1" x14ac:dyDescent="0.25">
      <c r="B27" s="95"/>
      <c r="C27" s="154" t="s">
        <v>179</v>
      </c>
      <c r="D27" s="155"/>
      <c r="E27" s="152" t="s">
        <v>176</v>
      </c>
      <c r="F27" s="153"/>
      <c r="G27" s="98"/>
      <c r="H27" s="99"/>
    </row>
    <row r="28" spans="2:8" ht="35.25" customHeight="1" x14ac:dyDescent="0.25">
      <c r="B28" s="95"/>
      <c r="C28" s="154" t="s">
        <v>180</v>
      </c>
      <c r="D28" s="155"/>
      <c r="E28" s="152" t="s">
        <v>177</v>
      </c>
      <c r="F28" s="153"/>
      <c r="G28" s="98"/>
      <c r="H28" s="99"/>
    </row>
    <row r="29" spans="2:8" ht="33" customHeight="1" x14ac:dyDescent="0.25">
      <c r="B29" s="95"/>
      <c r="C29" s="154" t="s">
        <v>180</v>
      </c>
      <c r="D29" s="155"/>
      <c r="E29" s="152" t="s">
        <v>177</v>
      </c>
      <c r="F29" s="153"/>
      <c r="G29" s="98"/>
      <c r="H29" s="99"/>
    </row>
    <row r="30" spans="2:8" ht="30" customHeight="1" x14ac:dyDescent="0.25">
      <c r="B30" s="95"/>
      <c r="C30" s="154" t="s">
        <v>181</v>
      </c>
      <c r="D30" s="155"/>
      <c r="E30" s="152" t="s">
        <v>178</v>
      </c>
      <c r="F30" s="153"/>
      <c r="G30" s="98"/>
      <c r="H30" s="99"/>
    </row>
    <row r="31" spans="2:8" ht="35.25" customHeight="1" x14ac:dyDescent="0.25">
      <c r="B31" s="95"/>
      <c r="C31" s="154" t="s">
        <v>182</v>
      </c>
      <c r="D31" s="155"/>
      <c r="E31" s="152" t="s">
        <v>183</v>
      </c>
      <c r="F31" s="153"/>
      <c r="G31" s="98"/>
      <c r="H31" s="99"/>
    </row>
    <row r="32" spans="2:8" ht="31.5" customHeight="1" x14ac:dyDescent="0.25">
      <c r="B32" s="95"/>
      <c r="C32" s="154" t="s">
        <v>184</v>
      </c>
      <c r="D32" s="155"/>
      <c r="E32" s="152" t="s">
        <v>185</v>
      </c>
      <c r="F32" s="153"/>
      <c r="G32" s="98"/>
      <c r="H32" s="99"/>
    </row>
    <row r="33" spans="2:8" ht="35.25" customHeight="1" x14ac:dyDescent="0.25">
      <c r="B33" s="95"/>
      <c r="C33" s="154" t="s">
        <v>186</v>
      </c>
      <c r="D33" s="155"/>
      <c r="E33" s="152" t="s">
        <v>187</v>
      </c>
      <c r="F33" s="153"/>
      <c r="G33" s="98"/>
      <c r="H33" s="99"/>
    </row>
    <row r="34" spans="2:8" ht="59.25" customHeight="1" x14ac:dyDescent="0.25">
      <c r="B34" s="95"/>
      <c r="C34" s="154" t="s">
        <v>188</v>
      </c>
      <c r="D34" s="155"/>
      <c r="E34" s="152" t="s">
        <v>189</v>
      </c>
      <c r="F34" s="153"/>
      <c r="G34" s="98"/>
      <c r="H34" s="99"/>
    </row>
    <row r="35" spans="2:8" ht="29.25" customHeight="1" x14ac:dyDescent="0.25">
      <c r="B35" s="95"/>
      <c r="C35" s="154" t="s">
        <v>29</v>
      </c>
      <c r="D35" s="155"/>
      <c r="E35" s="152" t="s">
        <v>190</v>
      </c>
      <c r="F35" s="153"/>
      <c r="G35" s="98"/>
      <c r="H35" s="99"/>
    </row>
    <row r="36" spans="2:8" ht="82.5" customHeight="1" x14ac:dyDescent="0.25">
      <c r="B36" s="95"/>
      <c r="C36" s="154" t="s">
        <v>192</v>
      </c>
      <c r="D36" s="155"/>
      <c r="E36" s="152" t="s">
        <v>191</v>
      </c>
      <c r="F36" s="153"/>
      <c r="G36" s="98"/>
      <c r="H36" s="99"/>
    </row>
    <row r="37" spans="2:8" ht="46.5" customHeight="1" x14ac:dyDescent="0.25">
      <c r="B37" s="95"/>
      <c r="C37" s="154" t="s">
        <v>39</v>
      </c>
      <c r="D37" s="155"/>
      <c r="E37" s="152" t="s">
        <v>193</v>
      </c>
      <c r="F37" s="153"/>
      <c r="G37" s="98"/>
      <c r="H37" s="99"/>
    </row>
    <row r="38" spans="2:8" ht="6.75" customHeight="1" thickBot="1" x14ac:dyDescent="0.3">
      <c r="B38" s="95"/>
      <c r="C38" s="165"/>
      <c r="D38" s="166"/>
      <c r="E38" s="167"/>
      <c r="F38" s="168"/>
      <c r="G38" s="98"/>
      <c r="H38" s="99"/>
    </row>
    <row r="39" spans="2:8" ht="15.75" thickTop="1" x14ac:dyDescent="0.25">
      <c r="B39" s="95"/>
      <c r="C39" s="96"/>
      <c r="D39" s="96"/>
      <c r="E39" s="97"/>
      <c r="F39" s="97"/>
      <c r="G39" s="98"/>
      <c r="H39" s="99"/>
    </row>
    <row r="40" spans="2:8" ht="21" customHeight="1" x14ac:dyDescent="0.25">
      <c r="B40" s="162" t="s">
        <v>202</v>
      </c>
      <c r="C40" s="163"/>
      <c r="D40" s="163"/>
      <c r="E40" s="163"/>
      <c r="F40" s="163"/>
      <c r="G40" s="163"/>
      <c r="H40" s="164"/>
    </row>
    <row r="41" spans="2:8" ht="20.25" customHeight="1" x14ac:dyDescent="0.25">
      <c r="B41" s="162" t="s">
        <v>203</v>
      </c>
      <c r="C41" s="163"/>
      <c r="D41" s="163"/>
      <c r="E41" s="163"/>
      <c r="F41" s="163"/>
      <c r="G41" s="163"/>
      <c r="H41" s="164"/>
    </row>
    <row r="42" spans="2:8" ht="20.25" customHeight="1" x14ac:dyDescent="0.25">
      <c r="B42" s="162" t="s">
        <v>204</v>
      </c>
      <c r="C42" s="163"/>
      <c r="D42" s="163"/>
      <c r="E42" s="163"/>
      <c r="F42" s="163"/>
      <c r="G42" s="163"/>
      <c r="H42" s="164"/>
    </row>
    <row r="43" spans="2:8" ht="20.25" customHeight="1" x14ac:dyDescent="0.25">
      <c r="B43" s="162" t="s">
        <v>205</v>
      </c>
      <c r="C43" s="163"/>
      <c r="D43" s="163"/>
      <c r="E43" s="163"/>
      <c r="F43" s="163"/>
      <c r="G43" s="163"/>
      <c r="H43" s="164"/>
    </row>
    <row r="44" spans="2:8" x14ac:dyDescent="0.25">
      <c r="B44" s="162" t="s">
        <v>206</v>
      </c>
      <c r="C44" s="163"/>
      <c r="D44" s="163"/>
      <c r="E44" s="163"/>
      <c r="F44" s="163"/>
      <c r="G44" s="163"/>
      <c r="H44" s="164"/>
    </row>
    <row r="45" spans="2:8" ht="15.75" thickBot="1" x14ac:dyDescent="0.3">
      <c r="B45" s="100"/>
      <c r="C45" s="101"/>
      <c r="D45" s="101"/>
      <c r="E45" s="101"/>
      <c r="F45" s="101"/>
      <c r="G45" s="101"/>
      <c r="H45" s="102"/>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Y25"/>
  <sheetViews>
    <sheetView showGridLines="0" tabSelected="1" topLeftCell="A14" zoomScaleNormal="100" workbookViewId="0">
      <selection activeCell="B17" sqref="B17:B22"/>
    </sheetView>
  </sheetViews>
  <sheetFormatPr baseColWidth="10" defaultColWidth="11.42578125" defaultRowHeight="15" x14ac:dyDescent="0.25"/>
  <cols>
    <col min="1" max="1" width="4" style="114" bestFit="1" customWidth="1" collapsed="1"/>
    <col min="2" max="2" width="14.140625" style="114" customWidth="1" collapsed="1"/>
    <col min="3" max="3" width="17.28515625" style="114" customWidth="1" collapsed="1"/>
    <col min="4" max="4" width="23.140625" style="114" customWidth="1" collapsed="1"/>
    <col min="5" max="5" width="32.42578125" style="110" customWidth="1" collapsed="1"/>
    <col min="6" max="6" width="19" style="115" customWidth="1" collapsed="1"/>
    <col min="7" max="7" width="17.85546875" style="110" customWidth="1" collapsed="1"/>
    <col min="8" max="8" width="22.28515625" style="110" customWidth="1" collapsed="1"/>
    <col min="9" max="9" width="10.140625" style="110" customWidth="1" collapsed="1"/>
    <col min="10" max="10" width="27.28515625" style="110" customWidth="1" collapsed="1"/>
    <col min="11" max="11" width="30.5703125" style="110" customWidth="1" collapsed="1"/>
    <col min="12" max="12" width="17.5703125" style="110" customWidth="1" collapsed="1"/>
    <col min="13" max="13" width="6.28515625" style="110" customWidth="1" collapsed="1"/>
    <col min="14" max="14" width="16" style="110" customWidth="1" collapsed="1"/>
    <col min="15" max="15" width="5.85546875" style="110" customWidth="1" collapsed="1"/>
    <col min="16" max="16" width="31" style="110" customWidth="1" collapsed="1"/>
    <col min="17" max="17" width="15.140625" style="110" customWidth="1" collapsed="1"/>
    <col min="18" max="18" width="6.85546875" style="110" customWidth="1" collapsed="1"/>
    <col min="19" max="19" width="5" style="110" customWidth="1" collapsed="1"/>
    <col min="20" max="20" width="5.5703125" style="110" customWidth="1" collapsed="1"/>
    <col min="21" max="21" width="7.140625" style="110" customWidth="1" collapsed="1"/>
    <col min="22" max="22" width="6.7109375" style="110" customWidth="1" collapsed="1"/>
    <col min="23" max="23" width="7.5703125" style="110" customWidth="1" collapsed="1"/>
    <col min="24" max="24" width="38.28515625" style="110"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7.28515625" style="110" customWidth="1" collapsed="1"/>
    <col min="31" max="31" width="23" style="110" customWidth="1" collapsed="1"/>
    <col min="32" max="32" width="18.85546875" style="110" customWidth="1" collapsed="1"/>
    <col min="33" max="33" width="19.42578125" style="110" customWidth="1" collapsed="1"/>
    <col min="34" max="34" width="20.85546875" customWidth="1"/>
    <col min="35" max="35" width="29.42578125" customWidth="1"/>
    <col min="36" max="36" width="21" customWidth="1"/>
    <col min="37" max="37" width="23.85546875" bestFit="1" customWidth="1"/>
    <col min="38" max="38" width="31.85546875" customWidth="1"/>
    <col min="39" max="39" width="21" customWidth="1"/>
    <col min="40" max="40" width="16.85546875" customWidth="1"/>
    <col min="41" max="41" width="38" customWidth="1"/>
    <col min="42" max="42" width="18.5703125" customWidth="1"/>
    <col min="43" max="74" width="11.42578125" style="110" collapsed="1"/>
    <col min="75" max="77" width="11.42578125" style="110"/>
    <col min="78" max="16384" width="11.42578125" style="110" collapsed="1"/>
  </cols>
  <sheetData>
    <row r="1" spans="1:74" ht="16.5" customHeight="1" x14ac:dyDescent="0.2">
      <c r="A1" s="245"/>
      <c r="B1" s="245"/>
      <c r="C1" s="245"/>
      <c r="D1" s="246" t="s">
        <v>213</v>
      </c>
      <c r="E1" s="246"/>
      <c r="F1" s="246"/>
      <c r="G1" s="246"/>
      <c r="H1" s="246"/>
      <c r="I1" s="246"/>
      <c r="J1" s="246"/>
      <c r="K1" s="246"/>
      <c r="L1" s="246"/>
      <c r="M1" s="246"/>
      <c r="N1" s="246"/>
      <c r="O1" s="128"/>
      <c r="P1" s="128"/>
      <c r="Q1" s="128"/>
      <c r="R1" s="128"/>
      <c r="S1" s="128"/>
      <c r="T1" s="128"/>
      <c r="U1" s="128"/>
      <c r="V1" s="128"/>
      <c r="W1" s="128"/>
      <c r="X1" s="128"/>
      <c r="Y1" s="128"/>
      <c r="Z1" s="128"/>
      <c r="AA1" s="128"/>
      <c r="AB1" s="128"/>
      <c r="AC1" s="128"/>
      <c r="AD1" s="128"/>
      <c r="AE1" s="128"/>
      <c r="AF1" s="128"/>
      <c r="AG1" s="128"/>
      <c r="AH1" s="135"/>
      <c r="AI1" s="135"/>
      <c r="AJ1" s="135"/>
      <c r="AK1" s="135"/>
      <c r="AL1" s="135"/>
      <c r="AM1" s="135"/>
      <c r="AN1" s="135"/>
      <c r="AO1" s="135"/>
      <c r="AP1" s="135"/>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row>
    <row r="2" spans="1:74" ht="16.5" customHeight="1" x14ac:dyDescent="0.2">
      <c r="A2" s="245"/>
      <c r="B2" s="245"/>
      <c r="C2" s="245"/>
      <c r="D2" s="246"/>
      <c r="E2" s="246"/>
      <c r="F2" s="246"/>
      <c r="G2" s="246"/>
      <c r="H2" s="246"/>
      <c r="I2" s="246"/>
      <c r="J2" s="246"/>
      <c r="K2" s="246"/>
      <c r="L2" s="246"/>
      <c r="M2" s="246"/>
      <c r="N2" s="246"/>
      <c r="O2" s="128"/>
      <c r="P2" s="128"/>
      <c r="Q2" s="128"/>
      <c r="R2" s="128"/>
      <c r="S2" s="128"/>
      <c r="T2" s="128"/>
      <c r="U2" s="128"/>
      <c r="V2" s="128"/>
      <c r="W2" s="128"/>
      <c r="X2" s="128"/>
      <c r="Y2" s="128"/>
      <c r="Z2" s="128"/>
      <c r="AA2" s="128"/>
      <c r="AB2" s="128"/>
      <c r="AC2" s="128"/>
      <c r="AD2" s="128"/>
      <c r="AE2" s="128"/>
      <c r="AF2" s="128"/>
      <c r="AG2" s="128"/>
      <c r="AH2" s="135"/>
      <c r="AI2" s="135"/>
      <c r="AJ2" s="135"/>
      <c r="AK2" s="135"/>
      <c r="AL2" s="135"/>
      <c r="AM2" s="135"/>
      <c r="AN2" s="135"/>
      <c r="AO2" s="135"/>
      <c r="AP2" s="135"/>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row>
    <row r="3" spans="1:74" ht="16.5" customHeight="1" x14ac:dyDescent="0.2">
      <c r="A3" s="245"/>
      <c r="B3" s="245"/>
      <c r="C3" s="245"/>
      <c r="D3" s="247" t="s">
        <v>214</v>
      </c>
      <c r="E3" s="247"/>
      <c r="F3" s="247"/>
      <c r="G3" s="247"/>
      <c r="H3" s="247"/>
      <c r="I3" s="247"/>
      <c r="J3" s="247"/>
      <c r="K3" s="247"/>
      <c r="L3" s="247"/>
      <c r="M3" s="247"/>
      <c r="N3" s="247"/>
      <c r="O3" s="128"/>
      <c r="P3" s="128"/>
      <c r="Q3" s="128"/>
      <c r="R3" s="128"/>
      <c r="S3" s="128"/>
      <c r="T3" s="128"/>
      <c r="U3" s="128"/>
      <c r="V3" s="128"/>
      <c r="W3" s="128"/>
      <c r="X3" s="128"/>
      <c r="Y3" s="128"/>
      <c r="Z3" s="128"/>
      <c r="AA3" s="128"/>
      <c r="AB3" s="128"/>
      <c r="AC3" s="128"/>
      <c r="AD3" s="128"/>
      <c r="AE3" s="128"/>
      <c r="AF3" s="128"/>
      <c r="AG3" s="128"/>
      <c r="AH3" s="135"/>
      <c r="AI3" s="135"/>
      <c r="AJ3" s="135"/>
      <c r="AK3" s="135"/>
      <c r="AL3" s="135"/>
      <c r="AM3" s="135"/>
      <c r="AN3" s="135"/>
      <c r="AO3" s="135"/>
      <c r="AP3" s="135"/>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row>
    <row r="4" spans="1:74" ht="27.75" x14ac:dyDescent="0.2">
      <c r="A4" s="245"/>
      <c r="B4" s="245"/>
      <c r="C4" s="245"/>
      <c r="D4" s="247" t="s">
        <v>216</v>
      </c>
      <c r="E4" s="247"/>
      <c r="F4" s="247"/>
      <c r="G4" s="247"/>
      <c r="H4" s="247"/>
      <c r="I4" s="247"/>
      <c r="J4" s="247"/>
      <c r="K4" s="247"/>
      <c r="L4" s="247"/>
      <c r="M4" s="247"/>
      <c r="N4" s="247"/>
      <c r="O4" s="128"/>
      <c r="P4" s="128"/>
      <c r="Q4" s="128"/>
      <c r="R4" s="128"/>
      <c r="S4" s="128"/>
      <c r="T4" s="128"/>
      <c r="U4" s="128"/>
      <c r="V4" s="128"/>
      <c r="W4" s="128"/>
      <c r="X4" s="128"/>
      <c r="Y4" s="128"/>
      <c r="Z4" s="128"/>
      <c r="AA4" s="128"/>
      <c r="AB4" s="128"/>
      <c r="AC4" s="128"/>
      <c r="AD4" s="128"/>
      <c r="AE4" s="128"/>
      <c r="AF4" s="128"/>
      <c r="AG4" s="128"/>
      <c r="AH4" s="135"/>
      <c r="AI4" s="135"/>
      <c r="AJ4" s="135"/>
      <c r="AK4" s="135"/>
      <c r="AL4" s="135"/>
      <c r="AM4" s="135"/>
      <c r="AN4" s="135"/>
      <c r="AO4" s="135"/>
      <c r="AP4" s="135"/>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row>
    <row r="5" spans="1:74" x14ac:dyDescent="0.25">
      <c r="A5" s="245"/>
      <c r="B5" s="245"/>
      <c r="C5" s="245"/>
      <c r="D5" s="248" t="s">
        <v>226</v>
      </c>
      <c r="E5" s="248"/>
      <c r="F5" s="248"/>
      <c r="G5" s="248" t="s">
        <v>233</v>
      </c>
      <c r="H5" s="248"/>
      <c r="I5" s="248"/>
      <c r="J5" s="247" t="s">
        <v>215</v>
      </c>
      <c r="K5" s="247"/>
      <c r="L5" s="247"/>
      <c r="M5" s="247"/>
      <c r="N5" s="247"/>
      <c r="O5" s="109"/>
      <c r="P5" s="109"/>
      <c r="Q5" s="109"/>
      <c r="R5" s="109"/>
      <c r="S5" s="109"/>
      <c r="T5" s="109"/>
      <c r="U5" s="109"/>
      <c r="V5" s="109"/>
      <c r="W5" s="109"/>
      <c r="X5" s="109"/>
      <c r="Y5" s="109"/>
      <c r="Z5" s="109"/>
      <c r="AA5" s="109"/>
      <c r="AB5" s="109"/>
      <c r="AC5" s="109"/>
      <c r="AD5" s="109"/>
      <c r="AE5" s="109"/>
      <c r="AF5" s="109"/>
      <c r="AG5" s="109"/>
      <c r="AH5" s="136"/>
      <c r="AI5" s="136"/>
      <c r="AJ5" s="136"/>
      <c r="AK5" s="136"/>
      <c r="AL5" s="136"/>
      <c r="AM5" s="136"/>
      <c r="AN5" s="136"/>
      <c r="AO5" s="136"/>
      <c r="AP5" s="136"/>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row>
    <row r="6" spans="1:74" x14ac:dyDescent="0.25">
      <c r="A6" s="129"/>
      <c r="B6" s="130"/>
      <c r="C6" s="130"/>
      <c r="D6" s="130"/>
      <c r="E6" s="130"/>
      <c r="F6" s="130"/>
      <c r="G6" s="130"/>
      <c r="H6" s="131"/>
      <c r="I6" s="132"/>
      <c r="J6" s="132"/>
      <c r="K6" s="132"/>
      <c r="L6" s="132"/>
      <c r="M6" s="109"/>
      <c r="N6" s="109"/>
      <c r="O6" s="109"/>
      <c r="P6" s="109"/>
      <c r="Q6" s="109"/>
      <c r="R6" s="109"/>
      <c r="S6" s="109"/>
      <c r="T6" s="109"/>
      <c r="U6" s="109"/>
      <c r="V6" s="109"/>
      <c r="W6" s="109"/>
      <c r="X6" s="109"/>
      <c r="Y6" s="109"/>
      <c r="Z6" s="109"/>
      <c r="AA6" s="109"/>
      <c r="AB6" s="109"/>
      <c r="AC6" s="109"/>
      <c r="AD6" s="109"/>
      <c r="AE6" s="109"/>
      <c r="AF6" s="109"/>
      <c r="AG6" s="109"/>
      <c r="AH6" s="136"/>
      <c r="AI6" s="136"/>
      <c r="AJ6" s="136"/>
      <c r="AK6" s="136"/>
      <c r="AL6" s="136"/>
      <c r="AM6" s="136"/>
      <c r="AN6" s="136"/>
      <c r="AO6" s="136"/>
      <c r="AP6" s="136"/>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row>
    <row r="7" spans="1:74" s="134" customFormat="1" ht="28.5" customHeight="1" x14ac:dyDescent="0.25">
      <c r="A7" s="250" t="s">
        <v>43</v>
      </c>
      <c r="B7" s="250"/>
      <c r="C7" s="249" t="s">
        <v>224</v>
      </c>
      <c r="D7" s="249"/>
      <c r="E7" s="249"/>
      <c r="F7" s="249"/>
      <c r="G7" s="249"/>
      <c r="H7" s="249"/>
      <c r="I7" s="249"/>
      <c r="J7" s="249"/>
      <c r="K7" s="249"/>
      <c r="L7" s="249"/>
      <c r="M7" s="249"/>
      <c r="N7" s="249"/>
      <c r="O7" s="244"/>
      <c r="P7" s="244"/>
      <c r="Q7" s="244"/>
      <c r="R7" s="133"/>
      <c r="S7" s="133"/>
      <c r="T7" s="133"/>
      <c r="U7" s="133"/>
      <c r="V7" s="133"/>
      <c r="W7" s="133"/>
      <c r="X7" s="133"/>
      <c r="Y7" s="133"/>
      <c r="Z7" s="133"/>
      <c r="AA7" s="133"/>
      <c r="AB7" s="133"/>
      <c r="AC7" s="133"/>
      <c r="AD7" s="133"/>
      <c r="AE7" s="133"/>
      <c r="AF7" s="133"/>
      <c r="AG7" s="133"/>
      <c r="AH7" s="136"/>
      <c r="AI7" s="136"/>
      <c r="AJ7" s="136"/>
      <c r="AK7" s="136"/>
      <c r="AL7" s="136"/>
      <c r="AM7" s="136"/>
      <c r="AN7" s="136"/>
      <c r="AO7" s="136"/>
      <c r="AP7" s="136"/>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c r="BP7" s="133"/>
      <c r="BQ7" s="133"/>
      <c r="BR7" s="133"/>
      <c r="BS7" s="133"/>
      <c r="BT7" s="133"/>
      <c r="BU7" s="133"/>
      <c r="BV7" s="133"/>
    </row>
    <row r="8" spans="1:74" s="134" customFormat="1" ht="32.25" customHeight="1" x14ac:dyDescent="0.25">
      <c r="A8" s="250" t="s">
        <v>130</v>
      </c>
      <c r="B8" s="250"/>
      <c r="C8" s="252" t="s">
        <v>225</v>
      </c>
      <c r="D8" s="253"/>
      <c r="E8" s="253"/>
      <c r="F8" s="253"/>
      <c r="G8" s="253"/>
      <c r="H8" s="253"/>
      <c r="I8" s="253"/>
      <c r="J8" s="253"/>
      <c r="K8" s="253"/>
      <c r="L8" s="253"/>
      <c r="M8" s="253"/>
      <c r="N8" s="253"/>
      <c r="O8" s="133"/>
      <c r="P8" s="133"/>
      <c r="Q8" s="133"/>
      <c r="R8" s="133"/>
      <c r="S8" s="133"/>
      <c r="T8" s="133"/>
      <c r="U8" s="133"/>
      <c r="V8" s="133"/>
      <c r="W8" s="133"/>
      <c r="X8" s="133"/>
      <c r="Y8" s="133"/>
      <c r="Z8" s="133"/>
      <c r="AA8" s="133"/>
      <c r="AB8" s="133"/>
      <c r="AC8" s="133"/>
      <c r="AD8" s="133"/>
      <c r="AE8" s="133"/>
      <c r="AF8" s="133"/>
      <c r="AG8" s="133"/>
      <c r="AH8" s="136"/>
      <c r="AI8" s="136"/>
      <c r="AJ8" s="136"/>
      <c r="AK8" s="136"/>
      <c r="AL8" s="136"/>
      <c r="AM8" s="136"/>
      <c r="AN8" s="136"/>
      <c r="AO8" s="136"/>
      <c r="AP8" s="136"/>
      <c r="AQ8" s="133"/>
      <c r="AR8" s="133"/>
      <c r="AS8" s="133"/>
      <c r="AT8" s="133"/>
      <c r="AU8" s="133"/>
      <c r="AV8" s="133"/>
      <c r="AW8" s="133"/>
      <c r="AX8" s="133"/>
      <c r="AY8" s="133"/>
      <c r="AZ8" s="133"/>
      <c r="BA8" s="133"/>
      <c r="BB8" s="133"/>
      <c r="BC8" s="133"/>
      <c r="BD8" s="133"/>
      <c r="BE8" s="133"/>
      <c r="BF8" s="133"/>
      <c r="BG8" s="133"/>
      <c r="BH8" s="133"/>
      <c r="BI8" s="133"/>
      <c r="BJ8" s="133"/>
      <c r="BK8" s="133"/>
      <c r="BL8" s="133"/>
      <c r="BM8" s="133"/>
      <c r="BN8" s="133"/>
      <c r="BO8" s="133"/>
      <c r="BP8" s="133"/>
      <c r="BQ8" s="133"/>
      <c r="BR8" s="133"/>
      <c r="BS8" s="133"/>
      <c r="BT8" s="133"/>
      <c r="BU8" s="133"/>
      <c r="BV8" s="133"/>
    </row>
    <row r="9" spans="1:74" s="134" customFormat="1" ht="38.25" customHeight="1" x14ac:dyDescent="0.25">
      <c r="A9" s="251" t="s">
        <v>44</v>
      </c>
      <c r="B9" s="251"/>
      <c r="C9" s="254" t="s">
        <v>223</v>
      </c>
      <c r="D9" s="254"/>
      <c r="E9" s="254"/>
      <c r="F9" s="254"/>
      <c r="G9" s="254"/>
      <c r="H9" s="254"/>
      <c r="I9" s="254"/>
      <c r="J9" s="254"/>
      <c r="K9" s="254"/>
      <c r="L9" s="254"/>
      <c r="M9" s="254"/>
      <c r="N9" s="254"/>
      <c r="O9" s="133"/>
      <c r="P9" s="133"/>
      <c r="Q9" s="133"/>
      <c r="R9" s="133"/>
      <c r="S9" s="133"/>
      <c r="T9" s="133"/>
      <c r="U9" s="133"/>
      <c r="V9" s="133"/>
      <c r="W9" s="133"/>
      <c r="X9" s="133"/>
      <c r="Y9" s="133"/>
      <c r="Z9" s="133"/>
      <c r="AA9" s="133"/>
      <c r="AB9" s="133"/>
      <c r="AC9" s="133"/>
      <c r="AD9" s="133"/>
      <c r="AE9" s="133"/>
      <c r="AF9" s="133"/>
      <c r="AG9" s="133"/>
      <c r="AH9" s="136"/>
      <c r="AI9" s="136"/>
      <c r="AJ9" s="136"/>
      <c r="AK9" s="136"/>
      <c r="AL9" s="136"/>
      <c r="AM9" s="136"/>
      <c r="AN9" s="136"/>
      <c r="AO9" s="136"/>
      <c r="AP9" s="136"/>
      <c r="AQ9" s="133"/>
      <c r="AR9" s="133"/>
      <c r="AS9" s="133"/>
      <c r="AT9" s="133"/>
      <c r="AU9" s="133"/>
      <c r="AV9" s="133"/>
      <c r="AW9" s="133"/>
      <c r="AX9" s="133"/>
      <c r="AY9" s="133"/>
      <c r="AZ9" s="133"/>
      <c r="BA9" s="133"/>
      <c r="BB9" s="133"/>
      <c r="BC9" s="133"/>
      <c r="BD9" s="133"/>
      <c r="BE9" s="133"/>
      <c r="BF9" s="133"/>
      <c r="BG9" s="133"/>
      <c r="BH9" s="133"/>
      <c r="BI9" s="133"/>
      <c r="BJ9" s="133"/>
      <c r="BK9" s="133"/>
      <c r="BL9" s="133"/>
      <c r="BM9" s="133"/>
      <c r="BN9" s="133"/>
      <c r="BO9" s="133"/>
      <c r="BP9" s="133"/>
      <c r="BQ9" s="133"/>
      <c r="BR9" s="133"/>
      <c r="BS9" s="133"/>
      <c r="BT9" s="133"/>
      <c r="BU9" s="133"/>
      <c r="BV9" s="133"/>
    </row>
    <row r="10" spans="1:74" ht="50.25" customHeight="1" x14ac:dyDescent="0.25">
      <c r="A10" s="239" t="s">
        <v>138</v>
      </c>
      <c r="B10" s="239"/>
      <c r="C10" s="239"/>
      <c r="D10" s="239"/>
      <c r="E10" s="239"/>
      <c r="F10" s="239"/>
      <c r="G10" s="239"/>
      <c r="H10" s="239" t="s">
        <v>139</v>
      </c>
      <c r="I10" s="239"/>
      <c r="J10" s="239"/>
      <c r="K10" s="239"/>
      <c r="L10" s="239"/>
      <c r="M10" s="239"/>
      <c r="N10" s="239"/>
      <c r="O10" s="243" t="s">
        <v>140</v>
      </c>
      <c r="P10" s="243"/>
      <c r="Q10" s="243"/>
      <c r="R10" s="243"/>
      <c r="S10" s="243"/>
      <c r="T10" s="243"/>
      <c r="U10" s="243"/>
      <c r="V10" s="243"/>
      <c r="W10" s="243"/>
      <c r="X10" s="207" t="s">
        <v>141</v>
      </c>
      <c r="Y10" s="207"/>
      <c r="Z10" s="207"/>
      <c r="AA10" s="207"/>
      <c r="AB10" s="207"/>
      <c r="AC10" s="207"/>
      <c r="AD10" s="207"/>
      <c r="AE10" s="191" t="s">
        <v>34</v>
      </c>
      <c r="AF10" s="191"/>
      <c r="AG10" s="191"/>
      <c r="AH10" s="199" t="s">
        <v>227</v>
      </c>
      <c r="AI10" s="200"/>
      <c r="AJ10" s="201"/>
      <c r="AK10" s="196" t="s">
        <v>228</v>
      </c>
      <c r="AL10" s="197"/>
      <c r="AM10" s="198"/>
      <c r="AN10" s="199" t="s">
        <v>229</v>
      </c>
      <c r="AO10" s="200"/>
      <c r="AP10" s="201"/>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row>
    <row r="11" spans="1:74" ht="16.5" customHeight="1" x14ac:dyDescent="0.2">
      <c r="A11" s="241" t="s">
        <v>0</v>
      </c>
      <c r="B11" s="239" t="s">
        <v>2</v>
      </c>
      <c r="C11" s="238" t="s">
        <v>3</v>
      </c>
      <c r="D11" s="238" t="s">
        <v>42</v>
      </c>
      <c r="E11" s="239" t="s">
        <v>1</v>
      </c>
      <c r="F11" s="238" t="s">
        <v>50</v>
      </c>
      <c r="G11" s="238" t="s">
        <v>134</v>
      </c>
      <c r="H11" s="238" t="s">
        <v>33</v>
      </c>
      <c r="I11" s="239" t="s">
        <v>5</v>
      </c>
      <c r="J11" s="238" t="s">
        <v>87</v>
      </c>
      <c r="K11" s="238" t="s">
        <v>92</v>
      </c>
      <c r="L11" s="238" t="s">
        <v>45</v>
      </c>
      <c r="M11" s="239" t="s">
        <v>5</v>
      </c>
      <c r="N11" s="238" t="s">
        <v>48</v>
      </c>
      <c r="O11" s="240" t="s">
        <v>11</v>
      </c>
      <c r="P11" s="237" t="s">
        <v>161</v>
      </c>
      <c r="Q11" s="237" t="s">
        <v>12</v>
      </c>
      <c r="R11" s="237" t="s">
        <v>8</v>
      </c>
      <c r="S11" s="237"/>
      <c r="T11" s="237"/>
      <c r="U11" s="237"/>
      <c r="V11" s="237"/>
      <c r="W11" s="237"/>
      <c r="X11" s="193" t="s">
        <v>137</v>
      </c>
      <c r="Y11" s="193" t="s">
        <v>46</v>
      </c>
      <c r="Z11" s="193" t="s">
        <v>5</v>
      </c>
      <c r="AA11" s="193" t="s">
        <v>47</v>
      </c>
      <c r="AB11" s="193" t="s">
        <v>5</v>
      </c>
      <c r="AC11" s="193" t="s">
        <v>49</v>
      </c>
      <c r="AD11" s="193" t="s">
        <v>29</v>
      </c>
      <c r="AE11" s="192" t="s">
        <v>34</v>
      </c>
      <c r="AF11" s="192" t="s">
        <v>35</v>
      </c>
      <c r="AG11" s="192" t="s">
        <v>36</v>
      </c>
      <c r="AH11" s="202" t="s">
        <v>38</v>
      </c>
      <c r="AI11" s="202" t="s">
        <v>37</v>
      </c>
      <c r="AJ11" s="202" t="s">
        <v>217</v>
      </c>
      <c r="AK11" s="204" t="s">
        <v>38</v>
      </c>
      <c r="AL11" s="204" t="s">
        <v>37</v>
      </c>
      <c r="AM11" s="204" t="s">
        <v>217</v>
      </c>
      <c r="AN11" s="202" t="s">
        <v>38</v>
      </c>
      <c r="AO11" s="202" t="s">
        <v>37</v>
      </c>
      <c r="AP11" s="202" t="s">
        <v>218</v>
      </c>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row>
    <row r="12" spans="1:74" s="112" customFormat="1" ht="63.75" customHeight="1" x14ac:dyDescent="0.25">
      <c r="A12" s="241"/>
      <c r="B12" s="239"/>
      <c r="C12" s="238"/>
      <c r="D12" s="238"/>
      <c r="E12" s="239"/>
      <c r="F12" s="238"/>
      <c r="G12" s="238"/>
      <c r="H12" s="238"/>
      <c r="I12" s="239"/>
      <c r="J12" s="238"/>
      <c r="K12" s="238"/>
      <c r="L12" s="239"/>
      <c r="M12" s="239"/>
      <c r="N12" s="238"/>
      <c r="O12" s="240"/>
      <c r="P12" s="237"/>
      <c r="Q12" s="237"/>
      <c r="R12" s="127" t="s">
        <v>13</v>
      </c>
      <c r="S12" s="127" t="s">
        <v>17</v>
      </c>
      <c r="T12" s="127" t="s">
        <v>28</v>
      </c>
      <c r="U12" s="127" t="s">
        <v>18</v>
      </c>
      <c r="V12" s="127" t="s">
        <v>21</v>
      </c>
      <c r="W12" s="127" t="s">
        <v>24</v>
      </c>
      <c r="X12" s="193"/>
      <c r="Y12" s="193"/>
      <c r="Z12" s="193"/>
      <c r="AA12" s="193"/>
      <c r="AB12" s="193"/>
      <c r="AC12" s="193"/>
      <c r="AD12" s="193"/>
      <c r="AE12" s="192"/>
      <c r="AF12" s="192"/>
      <c r="AG12" s="192"/>
      <c r="AH12" s="203"/>
      <c r="AI12" s="203"/>
      <c r="AJ12" s="203"/>
      <c r="AK12" s="205"/>
      <c r="AL12" s="205"/>
      <c r="AM12" s="205"/>
      <c r="AN12" s="206"/>
      <c r="AO12" s="206"/>
      <c r="AP12" s="206"/>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row>
    <row r="13" spans="1:74" ht="306.75" customHeight="1" x14ac:dyDescent="0.2">
      <c r="A13" s="208">
        <v>1</v>
      </c>
      <c r="B13" s="209" t="s">
        <v>131</v>
      </c>
      <c r="C13" s="209" t="s">
        <v>230</v>
      </c>
      <c r="D13" s="209" t="s">
        <v>244</v>
      </c>
      <c r="E13" s="210" t="s">
        <v>245</v>
      </c>
      <c r="F13" s="209" t="s">
        <v>128</v>
      </c>
      <c r="G13" s="242">
        <v>20</v>
      </c>
      <c r="H13" s="214" t="str">
        <f>IF(G13&lt;=0,"",IF(G13&lt;=2,"Muy Baja",IF(G13&lt;=24,"Baja",IF(G13&lt;=500,"Media",IF(G13&lt;=5000,"Alta","Muy Alta")))))</f>
        <v>Baja</v>
      </c>
      <c r="I13" s="212">
        <f>IF(H13="","",IF(H13="Muy Baja",0.2,IF(H13="Baja",0.4,IF(H13="Media",0.6,IF(H13="Alta",0.8,IF(H13="Muy Alta",1,))))))</f>
        <v>0.4</v>
      </c>
      <c r="J13" s="213" t="s">
        <v>154</v>
      </c>
      <c r="K13" s="212" t="str">
        <f>IF(NOT(ISERROR(MATCH(J13,#REF!,0))),#REF!&amp;"Por favor no seleccionar los criterios de impacto(Afectación Económica o presupuestal y Pérdida Reputacional)",J13)</f>
        <v xml:space="preserve">     El riesgo afecta la imagen de de la entidad con efecto publicitario sostenido a nivel de sector administrativo, nivel departamental o municipal</v>
      </c>
      <c r="L13" s="235" t="str">
        <f>IF(OR(K13='[1]Tabla Impacto'!$C$11,K13='[1]Tabla Impacto'!$D$11),"Leve",IF(OR(K13='[1]Tabla Impacto'!$C$12,K13='[1]Tabla Impacto'!$D$12),"Menor",IF(OR(K13='[1]Tabla Impacto'!$C$13,K13='[1]Tabla Impacto'!$D$13),"Moderado",IF(OR(K13='[1]Tabla Impacto'!$C$14,K13='[1]Tabla Impacto'!$D$14),"Mayor",IF(OR(K13='[1]Tabla Impacto'!$C$15,K13='[1]Tabla Impacto'!$D$15),"Catastrófico","")))))</f>
        <v>Mayor</v>
      </c>
      <c r="M13" s="212">
        <f>IF(L13="","",IF(L13="Leve",0.2,IF(L13="Menor",0.4,IF(L13="Moderado",0.6,IF(L13="Mayor",0.8,IF(L13="Catastrófico",1,))))))</f>
        <v>0.8</v>
      </c>
      <c r="N13" s="215"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Alto</v>
      </c>
      <c r="O13" s="116">
        <v>1</v>
      </c>
      <c r="P13" s="117" t="s">
        <v>246</v>
      </c>
      <c r="Q13" s="118" t="str">
        <f>IF(OR(R13="Preventivo",R13="Detectivo"),"Probabilidad",IF(R13="Correctivo","Impacto",""))</f>
        <v>Probabilidad</v>
      </c>
      <c r="R13" s="119" t="s">
        <v>14</v>
      </c>
      <c r="S13" s="119" t="s">
        <v>9</v>
      </c>
      <c r="T13" s="120" t="str">
        <f>IF(AND(R13="Preventivo",S13="Automático"),"50%",IF(AND(R13="Preventivo",S13="Manual"),"40%",IF(AND(R13="Detectivo",S13="Automático"),"40%",IF(AND(R13="Detectivo",S13="Manual"),"30%",IF(AND(R13="Correctivo",S13="Automático"),"35%",IF(AND(R13="Correctivo",S13="Manual"),"25%",""))))))</f>
        <v>40%</v>
      </c>
      <c r="U13" s="119" t="s">
        <v>19</v>
      </c>
      <c r="V13" s="119" t="s">
        <v>22</v>
      </c>
      <c r="W13" s="119" t="s">
        <v>119</v>
      </c>
      <c r="X13" s="121">
        <f>IFERROR(IF(Q13="Probabilidad",(I13-(+I13*T13)),IF(Q13="Impacto",I13,"")),"")</f>
        <v>0.24</v>
      </c>
      <c r="Y13" s="122" t="str">
        <f>IFERROR(IF(X13="","",IF(X13&lt;=0.2,"Muy Baja",IF(X13&lt;=0.4,"Baja",IF(X13&lt;=0.6,"Media",IF(X13&lt;=0.8,"Alta","Muy Alta"))))),"")</f>
        <v>Baja</v>
      </c>
      <c r="Z13" s="120">
        <f>+X13</f>
        <v>0.24</v>
      </c>
      <c r="AA13" s="122" t="str">
        <f>IFERROR(IF(AB13="","",IF(AB13&lt;=0.2,"Leve",IF(AB13&lt;=0.4,"Menor",IF(AB13&lt;=0.6,"Moderado",IF(AB13&lt;=0.8,"Mayor","Catastrófico"))))),"")</f>
        <v>Mayor</v>
      </c>
      <c r="AB13" s="120">
        <f>IFERROR(IF(Q13="Impacto",(M13-(+M13*T13)),IF(Q13="Probabilidad",M13,"")),"")</f>
        <v>0.8</v>
      </c>
      <c r="AC13" s="123"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Alto</v>
      </c>
      <c r="AD13" s="119" t="s">
        <v>135</v>
      </c>
      <c r="AE13" s="124" t="s">
        <v>236</v>
      </c>
      <c r="AF13" s="124" t="s">
        <v>237</v>
      </c>
      <c r="AG13" s="125">
        <v>45807</v>
      </c>
      <c r="AH13" s="146"/>
      <c r="AI13" s="147"/>
      <c r="AJ13" s="138"/>
      <c r="AK13" s="148"/>
      <c r="AL13" s="149"/>
      <c r="AM13" s="138"/>
      <c r="AN13" s="144"/>
      <c r="AO13" s="139"/>
      <c r="AP13" s="138"/>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row>
    <row r="14" spans="1:74" ht="174" customHeight="1" x14ac:dyDescent="0.2">
      <c r="A14" s="208"/>
      <c r="B14" s="209"/>
      <c r="C14" s="209"/>
      <c r="D14" s="209"/>
      <c r="E14" s="210"/>
      <c r="F14" s="209"/>
      <c r="G14" s="242"/>
      <c r="H14" s="214"/>
      <c r="I14" s="212"/>
      <c r="J14" s="213"/>
      <c r="K14" s="212">
        <f>IF(NOT(ISERROR(MATCH(J14,_xlfn.ANCHORARRAY(E23),0))),I25&amp;"Por favor no seleccionar los criterios de impacto",J14)</f>
        <v>0</v>
      </c>
      <c r="L14" s="236"/>
      <c r="M14" s="212"/>
      <c r="N14" s="215"/>
      <c r="O14" s="116">
        <v>2</v>
      </c>
      <c r="P14" s="117" t="s">
        <v>221</v>
      </c>
      <c r="Q14" s="118" t="s">
        <v>4</v>
      </c>
      <c r="R14" s="119" t="s">
        <v>14</v>
      </c>
      <c r="S14" s="119" t="s">
        <v>9</v>
      </c>
      <c r="T14" s="120" t="str">
        <f>IF(AND(R14="Preventivo",S14="Automático"),"50%",IF(AND(R14="Preventivo",S14="Manual"),"40%",IF(AND(R14="Detectivo",S14="Automático"),"40%",IF(AND(R14="Detectivo",S14="Manual"),"30%",IF(AND(R14="Correctivo",S14="Automático"),"35%",IF(AND(R14="Correctivo",S14="Manual"),"25%",""))))))</f>
        <v>40%</v>
      </c>
      <c r="U14" s="119" t="s">
        <v>19</v>
      </c>
      <c r="V14" s="119" t="s">
        <v>22</v>
      </c>
      <c r="W14" s="119" t="s">
        <v>119</v>
      </c>
      <c r="X14" s="121">
        <f>IFERROR(IF(AND(Q13="Probabilidad",Q14="Probabilidad"),(Z13-(+Z13*T14)),IF(Q14="Probabilidad",(I13-(+I13*T14)),IF(Q14="Impacto",Z13,""))),"")</f>
        <v>0.14399999999999999</v>
      </c>
      <c r="Y14" s="122" t="str">
        <f t="shared" ref="Y14:Y16" si="0">IFERROR(IF(X14="","",IF(X14&lt;=0.2,"Muy Baja",IF(X14&lt;=0.4,"Baja",IF(X14&lt;=0.6,"Media",IF(X14&lt;=0.8,"Alta","Muy Alta"))))),"")</f>
        <v>Muy Baja</v>
      </c>
      <c r="Z14" s="120">
        <f t="shared" ref="Z14:Z16" si="1">+X14</f>
        <v>0.14399999999999999</v>
      </c>
      <c r="AA14" s="122" t="str">
        <f>IFERROR(IF(AB14="","",IF(AB14&lt;=0.2,"Leve",IF(AB14&lt;=0.4,"Menor",IF(AB14&lt;=0.6,"Moderado",IF(AB14&lt;=0.8,"Mayor","Catastrófico"))))),"")</f>
        <v>Leve</v>
      </c>
      <c r="AB14" s="120">
        <f>IFERROR(IF(Q14="Impacto",(M14-(+M14*T14)),IF(Q14="Probabilidad",M14,"")),"")</f>
        <v>0</v>
      </c>
      <c r="AC14" s="123" t="str">
        <f t="shared" ref="AC14:AC15" si="2">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119"/>
      <c r="AE14" s="124" t="s">
        <v>247</v>
      </c>
      <c r="AF14" s="124" t="s">
        <v>222</v>
      </c>
      <c r="AG14" s="125">
        <v>45807</v>
      </c>
      <c r="AH14" s="146"/>
      <c r="AI14" s="150"/>
      <c r="AJ14" s="138"/>
      <c r="AK14" s="148"/>
      <c r="AL14" s="151"/>
      <c r="AM14" s="138"/>
      <c r="AN14" s="144"/>
      <c r="AO14" s="144"/>
      <c r="AP14" s="138"/>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row>
    <row r="15" spans="1:74" ht="74.25" customHeight="1" x14ac:dyDescent="0.2">
      <c r="A15" s="208"/>
      <c r="B15" s="209"/>
      <c r="C15" s="209"/>
      <c r="D15" s="209"/>
      <c r="E15" s="210"/>
      <c r="F15" s="209"/>
      <c r="G15" s="242"/>
      <c r="H15" s="214"/>
      <c r="I15" s="212"/>
      <c r="J15" s="213"/>
      <c r="K15" s="212">
        <f>IF(NOT(ISERROR(MATCH(J15,_xlfn.ANCHORARRAY(E24),0))),I26&amp;"Por favor no seleccionar los criterios de impacto",J15)</f>
        <v>0</v>
      </c>
      <c r="L15" s="236"/>
      <c r="M15" s="212"/>
      <c r="N15" s="215"/>
      <c r="O15" s="116">
        <v>3</v>
      </c>
      <c r="P15" s="126" t="s">
        <v>234</v>
      </c>
      <c r="Q15" s="118" t="s">
        <v>4</v>
      </c>
      <c r="R15" s="119" t="s">
        <v>14</v>
      </c>
      <c r="S15" s="119" t="s">
        <v>9</v>
      </c>
      <c r="T15" s="120" t="str">
        <f t="shared" ref="T15:T16" si="3">IF(AND(R15="Preventivo",S15="Automático"),"50%",IF(AND(R15="Preventivo",S15="Manual"),"40%",IF(AND(R15="Detectivo",S15="Automático"),"40%",IF(AND(R15="Detectivo",S15="Manual"),"30%",IF(AND(R15="Correctivo",S15="Automático"),"35%",IF(AND(R15="Correctivo",S15="Manual"),"25%",""))))))</f>
        <v>40%</v>
      </c>
      <c r="U15" s="119" t="s">
        <v>19</v>
      </c>
      <c r="V15" s="119" t="s">
        <v>22</v>
      </c>
      <c r="W15" s="119" t="s">
        <v>119</v>
      </c>
      <c r="X15" s="121">
        <f>IFERROR(IF(AND(Q14="Probabilidad",Q15="Probabilidad"),(Z14-(+Z14*T15)),IF(AND(Q14="Impacto",Q15="Probabilidad"),(Z13-(+Z13*T15)),IF(Q15="Impacto",Z14,""))),"")</f>
        <v>8.6399999999999991E-2</v>
      </c>
      <c r="Y15" s="122" t="str">
        <f t="shared" si="0"/>
        <v>Muy Baja</v>
      </c>
      <c r="Z15" s="120">
        <f t="shared" si="1"/>
        <v>8.6399999999999991E-2</v>
      </c>
      <c r="AA15" s="122" t="str">
        <f t="shared" ref="AA15:AA16" si="4">IFERROR(IF(AB15="","",IF(AB15&lt;=0.2,"Leve",IF(AB15&lt;=0.4,"Menor",IF(AB15&lt;=0.6,"Moderado",IF(AB15&lt;=0.8,"Mayor","Catastrófico"))))),"")</f>
        <v>Leve</v>
      </c>
      <c r="AB15" s="120">
        <f>IFERROR(IF(AND(Q14="Impacto",Q15="Impacto"),(AB14-(+AB14*T15)),IF(AND(Q14="Probabilidad",Q15="Impacto"),(AB13-(+AB13*T15)),IF(Q15="Probabilidad",AB14,""))),"")</f>
        <v>0</v>
      </c>
      <c r="AC15" s="123" t="str">
        <f t="shared" si="2"/>
        <v>Bajo</v>
      </c>
      <c r="AD15" s="119"/>
      <c r="AE15" s="194" t="s">
        <v>240</v>
      </c>
      <c r="AF15" s="194" t="s">
        <v>238</v>
      </c>
      <c r="AG15" s="125">
        <v>45681</v>
      </c>
      <c r="AH15" s="146"/>
      <c r="AI15" s="139"/>
      <c r="AJ15" s="138"/>
      <c r="AK15" s="148"/>
      <c r="AL15" s="139"/>
      <c r="AM15" s="138"/>
      <c r="AN15" s="144"/>
      <c r="AO15" s="142"/>
      <c r="AP15" s="138"/>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row>
    <row r="16" spans="1:74" ht="89.25" x14ac:dyDescent="0.2">
      <c r="A16" s="208"/>
      <c r="B16" s="209"/>
      <c r="C16" s="209"/>
      <c r="D16" s="209"/>
      <c r="E16" s="210"/>
      <c r="F16" s="209"/>
      <c r="G16" s="242"/>
      <c r="H16" s="214"/>
      <c r="I16" s="212"/>
      <c r="J16" s="213"/>
      <c r="K16" s="212">
        <f>IF(NOT(ISERROR(MATCH(J16,_xlfn.ANCHORARRAY(E25),0))),#REF!&amp;"Por favor no seleccionar los criterios de impacto",J16)</f>
        <v>0</v>
      </c>
      <c r="L16" s="236"/>
      <c r="M16" s="212"/>
      <c r="N16" s="215"/>
      <c r="O16" s="116">
        <v>4</v>
      </c>
      <c r="P16" s="117" t="s">
        <v>235</v>
      </c>
      <c r="Q16" s="118" t="s">
        <v>4</v>
      </c>
      <c r="R16" s="119" t="s">
        <v>14</v>
      </c>
      <c r="S16" s="119" t="s">
        <v>9</v>
      </c>
      <c r="T16" s="120" t="str">
        <f t="shared" si="3"/>
        <v>40%</v>
      </c>
      <c r="U16" s="119" t="s">
        <v>19</v>
      </c>
      <c r="V16" s="119" t="s">
        <v>22</v>
      </c>
      <c r="W16" s="119" t="s">
        <v>119</v>
      </c>
      <c r="X16" s="121">
        <f t="shared" ref="X16" si="5">IFERROR(IF(AND(Q15="Probabilidad",Q16="Probabilidad"),(Z15-(+Z15*T16)),IF(AND(Q15="Impacto",Q16="Probabilidad"),(Z14-(+Z14*T16)),IF(Q16="Impacto",Z15,""))),"")</f>
        <v>5.183999999999999E-2</v>
      </c>
      <c r="Y16" s="122" t="str">
        <f t="shared" si="0"/>
        <v>Muy Baja</v>
      </c>
      <c r="Z16" s="120">
        <f t="shared" si="1"/>
        <v>5.183999999999999E-2</v>
      </c>
      <c r="AA16" s="122" t="str">
        <f t="shared" si="4"/>
        <v>Leve</v>
      </c>
      <c r="AB16" s="120">
        <f t="shared" ref="AB16" si="6">IFERROR(IF(AND(Q15="Impacto",Q16="Impacto"),(AB15-(+AB15*T16)),IF(AND(Q15="Probabilidad",Q16="Impacto"),(AB14-(+AB14*T16)),IF(Q16="Probabilidad",AB15,""))),"")</f>
        <v>0</v>
      </c>
      <c r="AC16" s="123" t="str">
        <f>IFERROR(IF(OR(AND(Y16="Muy Baja",AA16="Leve"),AND(Y16="Muy Baja",AA16="Menor"),AND(Y16="Baja",AA16="Leve")),"Bajo",IF(OR(AND(Y16="Muy baja",AA16="Moderado"),AND(Y16="Baja",AA16="Menor"),AND(Y16="Baja",AA16="Moderado"),AND(Y16="Media",AA16="Leve"),AND(Y16="Media",AA16="Menor"),AND(Y16="Media",AA16="Moderado"),AND(Y16="Alta",AA16="Leve"),AND(Y16="Alta",AA16="Menor")),"Moderado",IF(OR(AND(Y16="Muy Baja",AA16="Mayor"),AND(Y16="Baja",AA16="Mayor"),AND(Y16="Media",AA16="Mayor"),AND(Y16="Alta",AA16="Moderado"),AND(Y16="Alta",AA16="Mayor"),AND(Y16="Muy Alta",AA16="Leve"),AND(Y16="Muy Alta",AA16="Menor"),AND(Y16="Muy Alta",AA16="Moderado"),AND(Y16="Muy Alta",AA16="Mayor")),"Alto",IF(OR(AND(Y16="Muy Baja",AA16="Catastrófico"),AND(Y16="Baja",AA16="Catastrófico"),AND(Y16="Media",AA16="Catastrófico"),AND(Y16="Alta",AA16="Catastrófico"),AND(Y16="Muy Alta",AA16="Catastrófico")),"Extremo","")))),"")</f>
        <v>Bajo</v>
      </c>
      <c r="AD16" s="119"/>
      <c r="AE16" s="195"/>
      <c r="AF16" s="195"/>
      <c r="AG16" s="143" t="s">
        <v>239</v>
      </c>
      <c r="AH16" s="146"/>
      <c r="AI16" s="139"/>
      <c r="AJ16" s="138"/>
      <c r="AK16" s="148"/>
      <c r="AL16" s="147"/>
      <c r="AM16" s="138"/>
      <c r="AN16" s="144"/>
      <c r="AO16" s="147"/>
      <c r="AP16" s="138"/>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row>
    <row r="17" spans="1:74" ht="99.75" customHeight="1" x14ac:dyDescent="0.2">
      <c r="A17" s="208">
        <v>2</v>
      </c>
      <c r="B17" s="209" t="s">
        <v>248</v>
      </c>
      <c r="C17" s="209" t="s">
        <v>231</v>
      </c>
      <c r="D17" s="209" t="s">
        <v>232</v>
      </c>
      <c r="E17" s="210" t="s">
        <v>241</v>
      </c>
      <c r="F17" s="209" t="s">
        <v>123</v>
      </c>
      <c r="G17" s="216">
        <v>365</v>
      </c>
      <c r="H17" s="214" t="str">
        <f>IF(G17&lt;=0,"",IF(G17&lt;=2,"Muy Baja",IF(G17&lt;=24,"Baja",IF(G17&lt;=500,"Media",IF(G17&lt;=5000,"Alta","Muy Alta")))))</f>
        <v>Media</v>
      </c>
      <c r="I17" s="212">
        <f>IF(H17="","",IF(H17="Muy Baja",0.2,IF(H17="Baja",0.4,IF(H17="Media",0.6,IF(H17="Alta",0.8,IF(H17="Muy Alta",1,))))))</f>
        <v>0.6</v>
      </c>
      <c r="J17" s="213" t="s">
        <v>153</v>
      </c>
      <c r="K17" s="212" t="str">
        <f>IF(NOT(ISERROR(MATCH(J17,#REF!,0))),#REF!&amp;"Por favor no seleccionar los criterios de impacto(Afectación Económica o presupuestal y Pérdida Reputacional)",J17)</f>
        <v xml:space="preserve">     El riesgo afecta la imagen de la entidad con algunos usuarios de relevancia frente al logro de los objetivos</v>
      </c>
      <c r="L17" s="214" t="str">
        <f>IF(OR(K17='[1]Tabla Impacto'!$C$11,K17='[1]Tabla Impacto'!$D$11),"Leve",IF(OR(K17='[1]Tabla Impacto'!$C$12,K17='[1]Tabla Impacto'!$D$12),"Menor",IF(OR(K17='[1]Tabla Impacto'!$C$13,K17='[1]Tabla Impacto'!$D$13),"Moderado",IF(OR(K17='[1]Tabla Impacto'!$C$14,K17='[1]Tabla Impacto'!$D$14),"Mayor",IF(OR(K17='[1]Tabla Impacto'!$C$15,K17='[1]Tabla Impacto'!$D$15),"Catastrófico","")))))</f>
        <v>Moderado</v>
      </c>
      <c r="M17" s="212">
        <f>IF(L17="","",IF(L17="Leve",0.2,IF(L17="Menor",0.4,IF(L17="Moderado",0.6,IF(L17="Mayor",0.8,IF(L17="Catastrófico",1,))))))</f>
        <v>0.6</v>
      </c>
      <c r="N17" s="215" t="str">
        <f>IF(OR(AND(H17="Muy Baja",L17="Leve"),AND(H17="Muy Baja",L17="Menor"),AND(H17="Baja",L17="Leve")),"Bajo",IF(OR(AND(H17="Muy baja",L17="Moderado"),AND(H17="Baja",L17="Menor"),AND(H17="Baja",L17="Moderado"),AND(H17="Media",L17="Leve"),AND(H17="Media",L17="Menor"),AND(H17="Media",L17="Moderado"),AND(H17="Alta",L17="Leve"),AND(H17="Alta",L17="Menor")),"Moderado",IF(OR(AND(H17="Muy Baja",L17="Mayor"),AND(H17="Baja",L17="Mayor"),AND(H17="Media",L17="Mayor"),AND(H17="Alta",L17="Moderado"),AND(H17="Alta",L17="Mayor"),AND(H17="Muy Alta",L17="Leve"),AND(H17="Muy Alta",L17="Menor"),AND(H17="Muy Alta",L17="Moderado"),AND(H17="Muy Alta",L17="Mayor")),"Alto",IF(OR(AND(H17="Muy Baja",L17="Catastrófico"),AND(H17="Baja",L17="Catastrófico"),AND(H17="Media",L17="Catastrófico"),AND(H17="Alta",L17="Catastrófico"),AND(H17="Muy Alta",L17="Catastrófico")),"Extremo",""))))</f>
        <v>Moderado</v>
      </c>
      <c r="O17" s="217">
        <v>1</v>
      </c>
      <c r="P17" s="220" t="s">
        <v>249</v>
      </c>
      <c r="Q17" s="223" t="str">
        <f>IF(OR(R17="Preventivo",R17="Detectivo"),"Probabilidad",IF(R17="Correctivo","Impacto",""))</f>
        <v>Probabilidad</v>
      </c>
      <c r="R17" s="226" t="s">
        <v>14</v>
      </c>
      <c r="S17" s="226" t="s">
        <v>9</v>
      </c>
      <c r="T17" s="229" t="str">
        <f>IF(AND(R17="Preventivo",S17="Automático"),"50%",IF(AND(R17="Preventivo",S17="Manual"),"40%",IF(AND(R17="Detectivo",S17="Automático"),"40%",IF(AND(R17="Detectivo",S17="Manual"),"30%",IF(AND(R17="Correctivo",S17="Automático"),"35%",IF(AND(R17="Correctivo",S17="Manual"),"25%",""))))))</f>
        <v>40%</v>
      </c>
      <c r="U17" s="226" t="s">
        <v>20</v>
      </c>
      <c r="V17" s="226" t="s">
        <v>22</v>
      </c>
      <c r="W17" s="226" t="s">
        <v>119</v>
      </c>
      <c r="X17" s="275">
        <f>IFERROR(IF(Q17="Probabilidad",(I17-(+I17*T17)),IF(Q17="Impacto",I17,"")),"")</f>
        <v>0.36</v>
      </c>
      <c r="Y17" s="278" t="str">
        <f>IFERROR(IF(X17="","",IF(X17&lt;=0.2,"Muy Baja",IF(X17&lt;=0.4,"Baja",IF(X17&lt;=0.6,"Media",IF(X17&lt;=0.8,"Alta","Muy Alta"))))),"")</f>
        <v>Baja</v>
      </c>
      <c r="Z17" s="229">
        <f>+X17</f>
        <v>0.36</v>
      </c>
      <c r="AA17" s="278" t="str">
        <f>IFERROR(IF(AB17="","",IF(AB17&lt;=0.2,"Leve",IF(AB17&lt;=0.4,"Menor",IF(AB17&lt;=0.6,"Moderado",IF(AB17&lt;=0.8,"Mayor","Catastrófico"))))),"")</f>
        <v>Moderado</v>
      </c>
      <c r="AB17" s="229">
        <f>IFERROR(IF(Q17="Impacto",(M17-(+M17*T17)),IF(Q17="Probabilidad",M17,"")),"")</f>
        <v>0.6</v>
      </c>
      <c r="AC17" s="281" t="str">
        <f>IFERROR(IF(OR(AND(Y17="Muy Baja",AA17="Leve"),AND(Y17="Muy Baja",AA17="Menor"),AND(Y17="Baja",AA17="Leve")),"Bajo",IF(OR(AND(Y17="Muy baja",AA17="Moderado"),AND(Y17="Baja",AA17="Menor"),AND(Y17="Baja",AA17="Moderado"),AND(Y17="Media",AA17="Leve"),AND(Y17="Media",AA17="Menor"),AND(Y17="Media",AA17="Moderado"),AND(Y17="Alta",AA17="Leve"),AND(Y17="Alta",AA17="Menor")),"Moderado",IF(OR(AND(Y17="Muy Baja",AA17="Mayor"),AND(Y17="Baja",AA17="Mayor"),AND(Y17="Media",AA17="Mayor"),AND(Y17="Alta",AA17="Moderado"),AND(Y17="Alta",AA17="Mayor"),AND(Y17="Muy Alta",AA17="Leve"),AND(Y17="Muy Alta",AA17="Menor"),AND(Y17="Muy Alta",AA17="Moderado"),AND(Y17="Muy Alta",AA17="Mayor")),"Alto",IF(OR(AND(Y17="Muy Baja",AA17="Catastrófico"),AND(Y17="Baja",AA17="Catastrófico"),AND(Y17="Media",AA17="Catastrófico"),AND(Y17="Alta",AA17="Catastrófico"),AND(Y17="Muy Alta",AA17="Catastrófico")),"Extremo","")))),"")</f>
        <v>Moderado</v>
      </c>
      <c r="AD17" s="226" t="s">
        <v>135</v>
      </c>
      <c r="AE17" s="232" t="s">
        <v>242</v>
      </c>
      <c r="AF17" s="232" t="s">
        <v>243</v>
      </c>
      <c r="AG17" s="264">
        <v>45658</v>
      </c>
      <c r="AH17" s="267"/>
      <c r="AI17" s="268"/>
      <c r="AJ17" s="271"/>
      <c r="AK17" s="274"/>
      <c r="AL17" s="255"/>
      <c r="AM17" s="258"/>
      <c r="AN17" s="261"/>
      <c r="AO17" s="255"/>
      <c r="AP17" s="258"/>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row>
    <row r="18" spans="1:74" ht="15" customHeight="1" x14ac:dyDescent="0.2">
      <c r="A18" s="208"/>
      <c r="B18" s="209"/>
      <c r="C18" s="209"/>
      <c r="D18" s="209"/>
      <c r="E18" s="210"/>
      <c r="F18" s="209"/>
      <c r="G18" s="216"/>
      <c r="H18" s="214"/>
      <c r="I18" s="212"/>
      <c r="J18" s="213"/>
      <c r="K18" s="212">
        <f>IF(NOT(ISERROR(MATCH(J18,_xlfn.ANCHORARRAY(#REF!),0))),#REF!&amp;"Por favor no seleccionar los criterios de impacto",J18)</f>
        <v>0</v>
      </c>
      <c r="L18" s="214"/>
      <c r="M18" s="212"/>
      <c r="N18" s="215"/>
      <c r="O18" s="218"/>
      <c r="P18" s="221"/>
      <c r="Q18" s="224"/>
      <c r="R18" s="227"/>
      <c r="S18" s="227"/>
      <c r="T18" s="230"/>
      <c r="U18" s="227"/>
      <c r="V18" s="227"/>
      <c r="W18" s="227"/>
      <c r="X18" s="276"/>
      <c r="Y18" s="279"/>
      <c r="Z18" s="230"/>
      <c r="AA18" s="279"/>
      <c r="AB18" s="230"/>
      <c r="AC18" s="282"/>
      <c r="AD18" s="227"/>
      <c r="AE18" s="233"/>
      <c r="AF18" s="233"/>
      <c r="AG18" s="265"/>
      <c r="AH18" s="267"/>
      <c r="AI18" s="269"/>
      <c r="AJ18" s="272"/>
      <c r="AK18" s="274"/>
      <c r="AL18" s="256"/>
      <c r="AM18" s="259"/>
      <c r="AN18" s="262"/>
      <c r="AO18" s="256"/>
      <c r="AP18" s="25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row>
    <row r="19" spans="1:74" ht="15" customHeight="1" x14ac:dyDescent="0.2">
      <c r="A19" s="208"/>
      <c r="B19" s="209"/>
      <c r="C19" s="209"/>
      <c r="D19" s="209"/>
      <c r="E19" s="210"/>
      <c r="F19" s="209"/>
      <c r="G19" s="216"/>
      <c r="H19" s="214"/>
      <c r="I19" s="212"/>
      <c r="J19" s="213"/>
      <c r="K19" s="212">
        <f>IF(NOT(ISERROR(MATCH(J19,_xlfn.ANCHORARRAY(#REF!),0))),#REF!&amp;"Por favor no seleccionar los criterios de impacto",J19)</f>
        <v>0</v>
      </c>
      <c r="L19" s="214"/>
      <c r="M19" s="212"/>
      <c r="N19" s="215"/>
      <c r="O19" s="218"/>
      <c r="P19" s="221"/>
      <c r="Q19" s="224"/>
      <c r="R19" s="227"/>
      <c r="S19" s="227"/>
      <c r="T19" s="230"/>
      <c r="U19" s="227"/>
      <c r="V19" s="227"/>
      <c r="W19" s="227"/>
      <c r="X19" s="276"/>
      <c r="Y19" s="279"/>
      <c r="Z19" s="230"/>
      <c r="AA19" s="279"/>
      <c r="AB19" s="230"/>
      <c r="AC19" s="282"/>
      <c r="AD19" s="227"/>
      <c r="AE19" s="233"/>
      <c r="AF19" s="233"/>
      <c r="AG19" s="265"/>
      <c r="AH19" s="267"/>
      <c r="AI19" s="269"/>
      <c r="AJ19" s="272"/>
      <c r="AK19" s="274"/>
      <c r="AL19" s="256"/>
      <c r="AM19" s="259"/>
      <c r="AN19" s="262"/>
      <c r="AO19" s="256"/>
      <c r="AP19" s="25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row>
    <row r="20" spans="1:74" ht="15" customHeight="1" x14ac:dyDescent="0.2">
      <c r="A20" s="208"/>
      <c r="B20" s="209"/>
      <c r="C20" s="209"/>
      <c r="D20" s="209"/>
      <c r="E20" s="210"/>
      <c r="F20" s="209"/>
      <c r="G20" s="216"/>
      <c r="H20" s="214"/>
      <c r="I20" s="212"/>
      <c r="J20" s="213"/>
      <c r="K20" s="212">
        <f>IF(NOT(ISERROR(MATCH(J20,_xlfn.ANCHORARRAY(#REF!),0))),#REF!&amp;"Por favor no seleccionar los criterios de impacto",J20)</f>
        <v>0</v>
      </c>
      <c r="L20" s="214"/>
      <c r="M20" s="212"/>
      <c r="N20" s="215"/>
      <c r="O20" s="218"/>
      <c r="P20" s="221"/>
      <c r="Q20" s="224"/>
      <c r="R20" s="227"/>
      <c r="S20" s="227"/>
      <c r="T20" s="230"/>
      <c r="U20" s="227"/>
      <c r="V20" s="227"/>
      <c r="W20" s="227"/>
      <c r="X20" s="276"/>
      <c r="Y20" s="279"/>
      <c r="Z20" s="230"/>
      <c r="AA20" s="279"/>
      <c r="AB20" s="230"/>
      <c r="AC20" s="282"/>
      <c r="AD20" s="227"/>
      <c r="AE20" s="233"/>
      <c r="AF20" s="233"/>
      <c r="AG20" s="265"/>
      <c r="AH20" s="267"/>
      <c r="AI20" s="269"/>
      <c r="AJ20" s="272"/>
      <c r="AK20" s="274"/>
      <c r="AL20" s="256"/>
      <c r="AM20" s="259"/>
      <c r="AN20" s="262"/>
      <c r="AO20" s="256"/>
      <c r="AP20" s="25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row>
    <row r="21" spans="1:74" ht="15" customHeight="1" x14ac:dyDescent="0.2">
      <c r="A21" s="208"/>
      <c r="B21" s="209"/>
      <c r="C21" s="209"/>
      <c r="D21" s="209"/>
      <c r="E21" s="210"/>
      <c r="F21" s="209"/>
      <c r="G21" s="216"/>
      <c r="H21" s="214"/>
      <c r="I21" s="212"/>
      <c r="J21" s="213"/>
      <c r="K21" s="212">
        <f>IF(NOT(ISERROR(MATCH(J21,_xlfn.ANCHORARRAY(#REF!),0))),#REF!&amp;"Por favor no seleccionar los criterios de impacto",J21)</f>
        <v>0</v>
      </c>
      <c r="L21" s="214"/>
      <c r="M21" s="212"/>
      <c r="N21" s="215"/>
      <c r="O21" s="218"/>
      <c r="P21" s="221"/>
      <c r="Q21" s="224"/>
      <c r="R21" s="227"/>
      <c r="S21" s="227"/>
      <c r="T21" s="230"/>
      <c r="U21" s="227"/>
      <c r="V21" s="227"/>
      <c r="W21" s="227"/>
      <c r="X21" s="276"/>
      <c r="Y21" s="279"/>
      <c r="Z21" s="230"/>
      <c r="AA21" s="279"/>
      <c r="AB21" s="230"/>
      <c r="AC21" s="282"/>
      <c r="AD21" s="227"/>
      <c r="AE21" s="233"/>
      <c r="AF21" s="233"/>
      <c r="AG21" s="265"/>
      <c r="AH21" s="267"/>
      <c r="AI21" s="269"/>
      <c r="AJ21" s="272"/>
      <c r="AK21" s="274"/>
      <c r="AL21" s="256"/>
      <c r="AM21" s="259"/>
      <c r="AN21" s="262"/>
      <c r="AO21" s="256"/>
      <c r="AP21" s="25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row>
    <row r="22" spans="1:74" ht="59.25" customHeight="1" x14ac:dyDescent="0.2">
      <c r="A22" s="208"/>
      <c r="B22" s="209"/>
      <c r="C22" s="209"/>
      <c r="D22" s="209"/>
      <c r="E22" s="210"/>
      <c r="F22" s="209"/>
      <c r="G22" s="216"/>
      <c r="H22" s="214"/>
      <c r="I22" s="212"/>
      <c r="J22" s="213"/>
      <c r="K22" s="212">
        <f>IF(NOT(ISERROR(MATCH(J22,_xlfn.ANCHORARRAY(#REF!),0))),#REF!&amp;"Por favor no seleccionar los criterios de impacto",J22)</f>
        <v>0</v>
      </c>
      <c r="L22" s="214"/>
      <c r="M22" s="212"/>
      <c r="N22" s="215"/>
      <c r="O22" s="219"/>
      <c r="P22" s="222"/>
      <c r="Q22" s="225"/>
      <c r="R22" s="228"/>
      <c r="S22" s="228"/>
      <c r="T22" s="231"/>
      <c r="U22" s="228"/>
      <c r="V22" s="228"/>
      <c r="W22" s="228"/>
      <c r="X22" s="277"/>
      <c r="Y22" s="280"/>
      <c r="Z22" s="231"/>
      <c r="AA22" s="280"/>
      <c r="AB22" s="231"/>
      <c r="AC22" s="283"/>
      <c r="AD22" s="228"/>
      <c r="AE22" s="234"/>
      <c r="AF22" s="234"/>
      <c r="AG22" s="266"/>
      <c r="AH22" s="267"/>
      <c r="AI22" s="270"/>
      <c r="AJ22" s="273"/>
      <c r="AK22" s="274"/>
      <c r="AL22" s="257"/>
      <c r="AM22" s="260"/>
      <c r="AN22" s="263"/>
      <c r="AO22" s="257"/>
      <c r="AP22" s="260"/>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row>
    <row r="23" spans="1:74" ht="49.5" customHeight="1" x14ac:dyDescent="0.25">
      <c r="A23" s="116"/>
      <c r="B23" s="211" t="s">
        <v>212</v>
      </c>
      <c r="C23" s="211"/>
      <c r="D23" s="211"/>
      <c r="E23" s="211"/>
      <c r="F23" s="211"/>
      <c r="G23" s="211"/>
      <c r="H23" s="211"/>
      <c r="I23" s="211"/>
      <c r="J23" s="211"/>
      <c r="K23" s="211"/>
      <c r="L23" s="211"/>
      <c r="M23" s="211"/>
      <c r="N23" s="211"/>
      <c r="O23" s="211"/>
      <c r="P23" s="211"/>
      <c r="Q23" s="211"/>
      <c r="R23" s="211"/>
      <c r="S23" s="211"/>
      <c r="T23" s="211"/>
      <c r="U23" s="211"/>
      <c r="V23" s="211"/>
      <c r="W23" s="211"/>
      <c r="X23" s="211"/>
      <c r="Y23" s="211"/>
      <c r="Z23" s="211"/>
      <c r="AA23" s="211"/>
      <c r="AB23" s="211"/>
      <c r="AC23" s="211"/>
      <c r="AD23" s="211"/>
      <c r="AE23" s="211"/>
      <c r="AF23" s="211"/>
      <c r="AG23" s="211"/>
      <c r="AH23" s="145"/>
      <c r="AI23" s="140"/>
      <c r="AJ23" s="141"/>
      <c r="AK23" s="145"/>
      <c r="AL23" s="140"/>
      <c r="AM23" s="141"/>
      <c r="AN23" s="137"/>
      <c r="AO23" s="136"/>
      <c r="AP23" s="138"/>
    </row>
    <row r="25" spans="1:74" x14ac:dyDescent="0.25">
      <c r="A25" s="110"/>
      <c r="B25" s="113" t="s">
        <v>142</v>
      </c>
      <c r="C25" s="110"/>
      <c r="D25" s="110"/>
      <c r="F25" s="110"/>
    </row>
  </sheetData>
  <dataConsolidate/>
  <mergeCells count="118">
    <mergeCell ref="AF17:AF22"/>
    <mergeCell ref="W17:W22"/>
    <mergeCell ref="X17:X22"/>
    <mergeCell ref="Y17:Y22"/>
    <mergeCell ref="Z17:Z22"/>
    <mergeCell ref="AA17:AA22"/>
    <mergeCell ref="AB17:AB22"/>
    <mergeCell ref="AC17:AC22"/>
    <mergeCell ref="AD17:AD22"/>
    <mergeCell ref="AL17:AL22"/>
    <mergeCell ref="AM17:AM22"/>
    <mergeCell ref="AN17:AN22"/>
    <mergeCell ref="AO17:AO22"/>
    <mergeCell ref="AP17:AP22"/>
    <mergeCell ref="AG17:AG22"/>
    <mergeCell ref="AH17:AH22"/>
    <mergeCell ref="AI17:AI22"/>
    <mergeCell ref="AJ17:AJ22"/>
    <mergeCell ref="AK17:AK22"/>
    <mergeCell ref="O10:W10"/>
    <mergeCell ref="O7:Q7"/>
    <mergeCell ref="A1:C5"/>
    <mergeCell ref="D1:N2"/>
    <mergeCell ref="D3:N3"/>
    <mergeCell ref="D4:N4"/>
    <mergeCell ref="D5:F5"/>
    <mergeCell ref="G5:I5"/>
    <mergeCell ref="J5:N5"/>
    <mergeCell ref="C7:N7"/>
    <mergeCell ref="A7:B7"/>
    <mergeCell ref="A8:B8"/>
    <mergeCell ref="A9:B9"/>
    <mergeCell ref="C8:N8"/>
    <mergeCell ref="C9:N9"/>
    <mergeCell ref="A10:G10"/>
    <mergeCell ref="A11:A12"/>
    <mergeCell ref="F11:F12"/>
    <mergeCell ref="E11:E12"/>
    <mergeCell ref="D11:D12"/>
    <mergeCell ref="C11:C12"/>
    <mergeCell ref="H10:N10"/>
    <mergeCell ref="B11:B12"/>
    <mergeCell ref="F13:F16"/>
    <mergeCell ref="G13:G16"/>
    <mergeCell ref="H13:H16"/>
    <mergeCell ref="I13:I16"/>
    <mergeCell ref="G11:G12"/>
    <mergeCell ref="H11:H12"/>
    <mergeCell ref="I11:I12"/>
    <mergeCell ref="A13:A16"/>
    <mergeCell ref="B13:B16"/>
    <mergeCell ref="C13:C16"/>
    <mergeCell ref="D13:D16"/>
    <mergeCell ref="E13:E16"/>
    <mergeCell ref="N11:N12"/>
    <mergeCell ref="J11:J12"/>
    <mergeCell ref="K11:K12"/>
    <mergeCell ref="J13:J16"/>
    <mergeCell ref="K13:K16"/>
    <mergeCell ref="L13:L16"/>
    <mergeCell ref="M13:M16"/>
    <mergeCell ref="N13:N16"/>
    <mergeCell ref="AC11:AC12"/>
    <mergeCell ref="AB11:AB12"/>
    <mergeCell ref="X11:X12"/>
    <mergeCell ref="AA11:AA12"/>
    <mergeCell ref="Y11:Y12"/>
    <mergeCell ref="Z11:Z12"/>
    <mergeCell ref="R11:W11"/>
    <mergeCell ref="Q11:Q12"/>
    <mergeCell ref="P11:P12"/>
    <mergeCell ref="L11:L12"/>
    <mergeCell ref="M11:M12"/>
    <mergeCell ref="O11:O12"/>
    <mergeCell ref="A17:A22"/>
    <mergeCell ref="B17:B22"/>
    <mergeCell ref="C17:C22"/>
    <mergeCell ref="D17:D22"/>
    <mergeCell ref="E17:E22"/>
    <mergeCell ref="B23:AG23"/>
    <mergeCell ref="I17:I22"/>
    <mergeCell ref="J17:J22"/>
    <mergeCell ref="K17:K22"/>
    <mergeCell ref="L17:L22"/>
    <mergeCell ref="M17:M22"/>
    <mergeCell ref="N17:N22"/>
    <mergeCell ref="F17:F22"/>
    <mergeCell ref="G17:G22"/>
    <mergeCell ref="H17:H22"/>
    <mergeCell ref="O17:O22"/>
    <mergeCell ref="P17:P22"/>
    <mergeCell ref="Q17:Q22"/>
    <mergeCell ref="R17:R22"/>
    <mergeCell ref="S17:S22"/>
    <mergeCell ref="T17:T22"/>
    <mergeCell ref="U17:U22"/>
    <mergeCell ref="V17:V22"/>
    <mergeCell ref="AE17:AE22"/>
    <mergeCell ref="AE10:AG10"/>
    <mergeCell ref="AE11:AE12"/>
    <mergeCell ref="AG11:AG12"/>
    <mergeCell ref="AF11:AF12"/>
    <mergeCell ref="AD11:AD12"/>
    <mergeCell ref="AE15:AE16"/>
    <mergeCell ref="AF15:AF16"/>
    <mergeCell ref="AK10:AM10"/>
    <mergeCell ref="AN10:AP10"/>
    <mergeCell ref="AH11:AH12"/>
    <mergeCell ref="AI11:AI12"/>
    <mergeCell ref="AJ11:AJ12"/>
    <mergeCell ref="AK11:AK12"/>
    <mergeCell ref="AL11:AL12"/>
    <mergeCell ref="AM11:AM12"/>
    <mergeCell ref="AN11:AN12"/>
    <mergeCell ref="AO11:AO12"/>
    <mergeCell ref="AP11:AP12"/>
    <mergeCell ref="AH10:AJ10"/>
    <mergeCell ref="X10:AD10"/>
  </mergeCells>
  <conditionalFormatting sqref="H13 Y13:Y17">
    <cfRule type="cellIs" dxfId="23" priority="28" operator="equal">
      <formula>"Muy Alta"</formula>
    </cfRule>
    <cfRule type="cellIs" dxfId="22" priority="29" operator="equal">
      <formula>"Alta"</formula>
    </cfRule>
    <cfRule type="cellIs" dxfId="21" priority="30" operator="equal">
      <formula>"Media"</formula>
    </cfRule>
    <cfRule type="cellIs" dxfId="20" priority="31" operator="equal">
      <formula>"Baja"</formula>
    </cfRule>
    <cfRule type="cellIs" dxfId="19" priority="32" operator="equal">
      <formula>"Muy Baja"</formula>
    </cfRule>
  </conditionalFormatting>
  <conditionalFormatting sqref="H17">
    <cfRule type="cellIs" dxfId="18" priority="19" operator="equal">
      <formula>"Muy Alta"</formula>
    </cfRule>
    <cfRule type="cellIs" dxfId="17" priority="20" operator="equal">
      <formula>"Alta"</formula>
    </cfRule>
    <cfRule type="cellIs" dxfId="16" priority="21" operator="equal">
      <formula>"Media"</formula>
    </cfRule>
    <cfRule type="cellIs" dxfId="15" priority="22" operator="equal">
      <formula>"Baja"</formula>
    </cfRule>
    <cfRule type="cellIs" dxfId="14" priority="23" operator="equal">
      <formula>"Muy Baja"</formula>
    </cfRule>
  </conditionalFormatting>
  <conditionalFormatting sqref="K13:K22">
    <cfRule type="containsText" dxfId="13" priority="14" operator="containsText" text="❌">
      <formula>NOT(ISERROR(SEARCH("❌",K13)))</formula>
    </cfRule>
  </conditionalFormatting>
  <conditionalFormatting sqref="L13 AA13:AA17 L17">
    <cfRule type="cellIs" dxfId="12" priority="9" operator="equal">
      <formula>"Catastrófico"</formula>
    </cfRule>
    <cfRule type="cellIs" dxfId="11" priority="10" operator="equal">
      <formula>"Mayor"</formula>
    </cfRule>
    <cfRule type="cellIs" dxfId="10" priority="11" operator="equal">
      <formula>"Moderado"</formula>
    </cfRule>
    <cfRule type="cellIs" dxfId="9" priority="12" operator="equal">
      <formula>"Menor"</formula>
    </cfRule>
    <cfRule type="cellIs" dxfId="8" priority="13" operator="equal">
      <formula>"Leve"</formula>
    </cfRule>
  </conditionalFormatting>
  <conditionalFormatting sqref="N13 AC13:AC17">
    <cfRule type="cellIs" dxfId="7" priority="5" operator="equal">
      <formula>"Extremo"</formula>
    </cfRule>
    <cfRule type="cellIs" dxfId="6" priority="6" operator="equal">
      <formula>"Alto"</formula>
    </cfRule>
    <cfRule type="cellIs" dxfId="5" priority="7" operator="equal">
      <formula>"Moderado"</formula>
    </cfRule>
    <cfRule type="cellIs" dxfId="4" priority="8" operator="equal">
      <formula>"Bajo"</formula>
    </cfRule>
  </conditionalFormatting>
  <conditionalFormatting sqref="N17">
    <cfRule type="cellIs" dxfId="3" priority="1" operator="equal">
      <formula>"Extremo"</formula>
    </cfRule>
    <cfRule type="cellIs" dxfId="2" priority="2" operator="equal">
      <formula>"Alto"</formula>
    </cfRule>
    <cfRule type="cellIs" dxfId="1" priority="3" operator="equal">
      <formula>"Moderado"</formula>
    </cfRule>
    <cfRule type="cellIs" dxfId="0" priority="4" operator="equal">
      <formula>"Bajo"</formula>
    </cfRule>
  </conditionalFormatting>
  <dataValidations count="1">
    <dataValidation allowBlank="1" showInputMessage="1" showErrorMessage="1" sqref="AK23 AI23 AK13:AL17 AI13:AI17 AN13:AO17" xr:uid="{B4EA2918-29C6-4C8B-98D1-CC59BEC144F6}"/>
  </dataValidations>
  <pageMargins left="0.70866141732283472" right="0.70866141732283472" top="0.74803149606299213" bottom="0.74803149606299213" header="0.31496062992125984" footer="0.31496062992125984"/>
  <pageSetup paperSize="41" scale="35" orientation="landscape" r:id="rId1"/>
  <drawing r:id="rId2"/>
  <legacyDrawing r:id="rId3"/>
  <extLst>
    <ext xmlns:x14="http://schemas.microsoft.com/office/spreadsheetml/2009/9/main" uri="{CCE6A557-97BC-4b89-ADB6-D9C93CAAB3DF}">
      <x14:dataValidations xmlns:xm="http://schemas.microsoft.com/office/excel/2006/main" count="12">
        <x14:dataValidation type="custom" allowBlank="1" showInputMessage="1" showErrorMessage="1" error="Recuerde que las acciones se generan bajo la medida de mitigar el riesgo" xr:uid="{130A2472-74E7-49CE-B9AF-4C1A485A9217}">
          <x14:formula1>
            <xm:f>IF(OR(AD13='Opciones Tratamiento'!$B$2,AD13='Opciones Tratamiento'!$B$3,AD13='Opciones Tratamiento'!$B$4),ISBLANK(AD13),ISTEXT(AD13))</xm:f>
          </x14:formula1>
          <xm:sqref>AH17 AH15 AG13:AG17</xm:sqref>
        </x14:dataValidation>
        <x14:dataValidation type="list" allowBlank="1" showInputMessage="1" showErrorMessage="1" xr:uid="{871F0955-F200-4BC4-A869-6F9A5AE886AC}">
          <x14:formula1>
            <xm:f>'Opciones Tratamiento'!$B$9:$B$10</xm:f>
          </x14:formula1>
          <xm:sqref>AP16:AP17 AP13:AP14 AJ13:AJ17 AM13:AM17</xm:sqref>
        </x14:dataValidation>
        <x14:dataValidation type="custom" allowBlank="1" showInputMessage="1" showErrorMessage="1" error="Recuerde que las acciones se generan bajo la medida de mitigar el riesgo" xr:uid="{3E27FEF7-AD88-488A-AE9C-C68D7986466E}">
          <x14:formula1>
            <xm:f>IF(OR(AD13='Opciones Tratamiento'!$B$2,AD13='Opciones Tratamiento'!$B$3,AD13='Opciones Tratamiento'!$B$4),ISBLANK(AD13),ISTEXT(AD13))</xm:f>
          </x14:formula1>
          <xm:sqref>AE13:AE14 AE17</xm:sqref>
        </x14:dataValidation>
        <x14:dataValidation type="custom" allowBlank="1" showInputMessage="1" showErrorMessage="1" error="Recuerde que las acciones se generan bajo la medida de mitigar el riesgo" xr:uid="{8B74877E-7369-4D7F-B78A-E4EB7BC8F451}">
          <x14:formula1>
            <xm:f>IF(OR(AD13='Opciones Tratamiento'!$B$2,AD13='Opciones Tratamiento'!$B$3,AD13='Opciones Tratamiento'!$B$4),ISBLANK(AD13),ISTEXT(AD13))</xm:f>
          </x14:formula1>
          <xm:sqref>AF13:AF14 AF17</xm:sqref>
        </x14:dataValidation>
        <x14:dataValidation type="custom" allowBlank="1" showInputMessage="1" showErrorMessage="1" error="Recuerde que las acciones se generan bajo la medida de mitigar el riesgo" xr:uid="{2CB03207-6F1F-4E93-A4C1-1A260DEE091C}">
          <x14:formula1>
            <xm:f>IF(OR(AD16='Opciones Tratamiento'!$B$2,AD16='Opciones Tratamiento'!$B$3,AD16='Opciones Tratamiento'!$B$4),ISBLANK(AD16),ISTEXT(AD16))</xm:f>
          </x14:formula1>
          <xm:sqref>AE15</xm:sqref>
        </x14:dataValidation>
        <x14:dataValidation type="custom" allowBlank="1" showInputMessage="1" showErrorMessage="1" error="Recuerde que las acciones se generan bajo la medida de mitigar el riesgo" xr:uid="{AA004261-43C2-40B9-8ACF-13B08C2D476A}">
          <x14:formula1>
            <xm:f>IF(OR(AD16='Opciones Tratamiento'!$B$2,AD16='Opciones Tratamiento'!$B$3,AD16='Opciones Tratamiento'!$B$4),ISBLANK(AD16),ISTEXT(AD16))</xm:f>
          </x14:formula1>
          <xm:sqref>AF15</xm:sqref>
        </x14:dataValidation>
        <x14:dataValidation type="list" allowBlank="1" showInputMessage="1" showErrorMessage="1" xr:uid="{CBBFDA43-46E0-4F4A-B998-60707A60335D}">
          <x14:formula1>
            <xm:f>'Tabla Valoración controles'!$D$4:$D$6</xm:f>
          </x14:formula1>
          <xm:sqref>R13:R17</xm:sqref>
        </x14:dataValidation>
        <x14:dataValidation type="list" allowBlank="1" showInputMessage="1" showErrorMessage="1" xr:uid="{56FE3227-EA79-43DD-B13D-FE630559F3AC}">
          <x14:formula1>
            <xm:f>'Tabla Valoración controles'!$D$7:$D$8</xm:f>
          </x14:formula1>
          <xm:sqref>S13:S17</xm:sqref>
        </x14:dataValidation>
        <x14:dataValidation type="list" allowBlank="1" showInputMessage="1" showErrorMessage="1" xr:uid="{A87AE4AD-6324-4A49-9FEB-96F84BA64923}">
          <x14:formula1>
            <xm:f>'Tabla Valoración controles'!$D$9:$D$10</xm:f>
          </x14:formula1>
          <xm:sqref>U13:U17</xm:sqref>
        </x14:dataValidation>
        <x14:dataValidation type="list" allowBlank="1" showInputMessage="1" showErrorMessage="1" xr:uid="{E7AD4DFF-2C43-4A12-8D3D-41BC41980495}">
          <x14:formula1>
            <xm:f>'Tabla Valoración controles'!$D$11:$D$12</xm:f>
          </x14:formula1>
          <xm:sqref>V13:V17</xm:sqref>
        </x14:dataValidation>
        <x14:dataValidation type="list" allowBlank="1" showInputMessage="1" showErrorMessage="1" xr:uid="{37C22902-55D7-4D46-8D1E-BFDA219D7A1B}">
          <x14:formula1>
            <xm:f>'Tabla Valoración controles'!$D$13:$D$14</xm:f>
          </x14:formula1>
          <xm:sqref>W13:W17</xm:sqref>
        </x14:dataValidation>
        <x14:dataValidation type="list" allowBlank="1" showInputMessage="1" showErrorMessage="1" xr:uid="{74D9C160-7F89-4761-BA01-FFCC3CA564EE}">
          <x14:formula1>
            <xm:f>'Opciones Tratamiento'!$B$2:$B$5</xm:f>
          </x14:formula1>
          <xm:sqref>AD13:AD17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U140"/>
  <sheetViews>
    <sheetView topLeftCell="A13" zoomScale="50" zoomScaleNormal="50" workbookViewId="0">
      <selection activeCell="AB32" sqref="AB32:AC33"/>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369" t="s">
        <v>159</v>
      </c>
      <c r="C2" s="369"/>
      <c r="D2" s="369"/>
      <c r="E2" s="369"/>
      <c r="F2" s="369"/>
      <c r="G2" s="369"/>
      <c r="H2" s="369"/>
      <c r="I2" s="369"/>
      <c r="J2" s="337" t="s">
        <v>2</v>
      </c>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369"/>
      <c r="C3" s="369"/>
      <c r="D3" s="369"/>
      <c r="E3" s="369"/>
      <c r="F3" s="369"/>
      <c r="G3" s="369"/>
      <c r="H3" s="369"/>
      <c r="I3" s="369"/>
      <c r="J3" s="337"/>
      <c r="K3" s="337"/>
      <c r="L3" s="337"/>
      <c r="M3" s="337"/>
      <c r="N3" s="337"/>
      <c r="O3" s="337"/>
      <c r="P3" s="337"/>
      <c r="Q3" s="337"/>
      <c r="R3" s="337"/>
      <c r="S3" s="337"/>
      <c r="T3" s="337"/>
      <c r="U3" s="337"/>
      <c r="V3" s="337"/>
      <c r="W3" s="337"/>
      <c r="X3" s="337"/>
      <c r="Y3" s="337"/>
      <c r="Z3" s="337"/>
      <c r="AA3" s="337"/>
      <c r="AB3" s="337"/>
      <c r="AC3" s="337"/>
      <c r="AD3" s="337"/>
      <c r="AE3" s="337"/>
      <c r="AF3" s="337"/>
      <c r="AG3" s="337"/>
      <c r="AH3" s="337"/>
      <c r="AI3" s="337"/>
      <c r="AJ3" s="337"/>
      <c r="AK3" s="337"/>
      <c r="AL3" s="337"/>
      <c r="AM3" s="337"/>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369"/>
      <c r="C4" s="369"/>
      <c r="D4" s="369"/>
      <c r="E4" s="369"/>
      <c r="F4" s="369"/>
      <c r="G4" s="369"/>
      <c r="H4" s="369"/>
      <c r="I4" s="369"/>
      <c r="J4" s="337"/>
      <c r="K4" s="337"/>
      <c r="L4" s="337"/>
      <c r="M4" s="337"/>
      <c r="N4" s="337"/>
      <c r="O4" s="337"/>
      <c r="P4" s="337"/>
      <c r="Q4" s="337"/>
      <c r="R4" s="337"/>
      <c r="S4" s="337"/>
      <c r="T4" s="337"/>
      <c r="U4" s="337"/>
      <c r="V4" s="337"/>
      <c r="W4" s="337"/>
      <c r="X4" s="337"/>
      <c r="Y4" s="337"/>
      <c r="Z4" s="337"/>
      <c r="AA4" s="337"/>
      <c r="AB4" s="337"/>
      <c r="AC4" s="337"/>
      <c r="AD4" s="337"/>
      <c r="AE4" s="337"/>
      <c r="AF4" s="337"/>
      <c r="AG4" s="337"/>
      <c r="AH4" s="337"/>
      <c r="AI4" s="337"/>
      <c r="AJ4" s="337"/>
      <c r="AK4" s="337"/>
      <c r="AL4" s="337"/>
      <c r="AM4" s="337"/>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284" t="s">
        <v>4</v>
      </c>
      <c r="C6" s="284"/>
      <c r="D6" s="285"/>
      <c r="E6" s="322" t="s">
        <v>116</v>
      </c>
      <c r="F6" s="323"/>
      <c r="G6" s="323"/>
      <c r="H6" s="323"/>
      <c r="I6" s="324"/>
      <c r="J6" s="333" t="e">
        <f>IF(AND('Mapa final'!#REF!="Muy Alta",'Mapa final'!#REF!="Leve"),CONCATENATE("R",'Mapa final'!#REF!),"")</f>
        <v>#REF!</v>
      </c>
      <c r="K6" s="334"/>
      <c r="L6" s="334" t="e">
        <f>IF(AND('Mapa final'!#REF!="Muy Alta",'Mapa final'!#REF!="Leve"),CONCATENATE("R",'Mapa final'!#REF!),"")</f>
        <v>#REF!</v>
      </c>
      <c r="M6" s="334"/>
      <c r="N6" s="334" t="e">
        <f>IF(AND('Mapa final'!#REF!="Muy Alta",'Mapa final'!#REF!="Leve"),CONCATENATE("R",'Mapa final'!#REF!),"")</f>
        <v>#REF!</v>
      </c>
      <c r="O6" s="336"/>
      <c r="P6" s="333" t="e">
        <f>IF(AND('Mapa final'!#REF!="Muy Alta",'Mapa final'!#REF!="Menor"),CONCATENATE("R",'Mapa final'!#REF!),"")</f>
        <v>#REF!</v>
      </c>
      <c r="Q6" s="334"/>
      <c r="R6" s="334" t="e">
        <f>IF(AND('Mapa final'!#REF!="Muy Alta",'Mapa final'!#REF!="Menor"),CONCATENATE("R",'Mapa final'!#REF!),"")</f>
        <v>#REF!</v>
      </c>
      <c r="S6" s="334"/>
      <c r="T6" s="334" t="e">
        <f>IF(AND('Mapa final'!#REF!="Muy Alta",'Mapa final'!#REF!="Menor"),CONCATENATE("R",'Mapa final'!#REF!),"")</f>
        <v>#REF!</v>
      </c>
      <c r="U6" s="336"/>
      <c r="V6" s="333" t="e">
        <f>IF(AND('Mapa final'!#REF!="Muy Alta",'Mapa final'!#REF!="Moderado"),CONCATENATE("R",'Mapa final'!#REF!),"")</f>
        <v>#REF!</v>
      </c>
      <c r="W6" s="334"/>
      <c r="X6" s="334" t="e">
        <f>IF(AND('Mapa final'!#REF!="Muy Alta",'Mapa final'!#REF!="Moderado"),CONCATENATE("R",'Mapa final'!#REF!),"")</f>
        <v>#REF!</v>
      </c>
      <c r="Y6" s="334"/>
      <c r="Z6" s="334" t="e">
        <f>IF(AND('Mapa final'!#REF!="Muy Alta",'Mapa final'!#REF!="Moderado"),CONCATENATE("R",'Mapa final'!#REF!),"")</f>
        <v>#REF!</v>
      </c>
      <c r="AA6" s="336"/>
      <c r="AB6" s="333" t="e">
        <f>IF(AND('Mapa final'!#REF!="Muy Alta",'Mapa final'!#REF!="Mayor"),CONCATENATE("R",'Mapa final'!#REF!),"")</f>
        <v>#REF!</v>
      </c>
      <c r="AC6" s="334"/>
      <c r="AD6" s="334" t="e">
        <f>IF(AND('Mapa final'!#REF!="Muy Alta",'Mapa final'!#REF!="Mayor"),CONCATENATE("R",'Mapa final'!#REF!),"")</f>
        <v>#REF!</v>
      </c>
      <c r="AE6" s="334"/>
      <c r="AF6" s="334" t="e">
        <f>IF(AND('Mapa final'!#REF!="Muy Alta",'Mapa final'!#REF!="Mayor"),CONCATENATE("R",'Mapa final'!#REF!),"")</f>
        <v>#REF!</v>
      </c>
      <c r="AG6" s="336"/>
      <c r="AH6" s="348" t="e">
        <f>IF(AND('Mapa final'!#REF!="Muy Alta",'Mapa final'!#REF!="Catastrófico"),CONCATENATE("R",'Mapa final'!#REF!),"")</f>
        <v>#REF!</v>
      </c>
      <c r="AI6" s="349"/>
      <c r="AJ6" s="349" t="e">
        <f>IF(AND('Mapa final'!#REF!="Muy Alta",'Mapa final'!#REF!="Catastrófico"),CONCATENATE("R",'Mapa final'!#REF!),"")</f>
        <v>#REF!</v>
      </c>
      <c r="AK6" s="349"/>
      <c r="AL6" s="349" t="e">
        <f>IF(AND('Mapa final'!#REF!="Muy Alta",'Mapa final'!#REF!="Catastrófico"),CONCATENATE("R",'Mapa final'!#REF!),"")</f>
        <v>#REF!</v>
      </c>
      <c r="AM6" s="350"/>
      <c r="AO6" s="286" t="s">
        <v>79</v>
      </c>
      <c r="AP6" s="287"/>
      <c r="AQ6" s="287"/>
      <c r="AR6" s="287"/>
      <c r="AS6" s="287"/>
      <c r="AT6" s="288"/>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284"/>
      <c r="C7" s="284"/>
      <c r="D7" s="285"/>
      <c r="E7" s="325"/>
      <c r="F7" s="326"/>
      <c r="G7" s="326"/>
      <c r="H7" s="326"/>
      <c r="I7" s="327"/>
      <c r="J7" s="335"/>
      <c r="K7" s="331"/>
      <c r="L7" s="331"/>
      <c r="M7" s="331"/>
      <c r="N7" s="331"/>
      <c r="O7" s="332"/>
      <c r="P7" s="335"/>
      <c r="Q7" s="331"/>
      <c r="R7" s="331"/>
      <c r="S7" s="331"/>
      <c r="T7" s="331"/>
      <c r="U7" s="332"/>
      <c r="V7" s="335"/>
      <c r="W7" s="331"/>
      <c r="X7" s="331"/>
      <c r="Y7" s="331"/>
      <c r="Z7" s="331"/>
      <c r="AA7" s="332"/>
      <c r="AB7" s="335"/>
      <c r="AC7" s="331"/>
      <c r="AD7" s="331"/>
      <c r="AE7" s="331"/>
      <c r="AF7" s="331"/>
      <c r="AG7" s="332"/>
      <c r="AH7" s="342"/>
      <c r="AI7" s="343"/>
      <c r="AJ7" s="343"/>
      <c r="AK7" s="343"/>
      <c r="AL7" s="343"/>
      <c r="AM7" s="344"/>
      <c r="AN7" s="69"/>
      <c r="AO7" s="289"/>
      <c r="AP7" s="290"/>
      <c r="AQ7" s="290"/>
      <c r="AR7" s="290"/>
      <c r="AS7" s="290"/>
      <c r="AT7" s="291"/>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284"/>
      <c r="C8" s="284"/>
      <c r="D8" s="285"/>
      <c r="E8" s="325"/>
      <c r="F8" s="326"/>
      <c r="G8" s="326"/>
      <c r="H8" s="326"/>
      <c r="I8" s="327"/>
      <c r="J8" s="335" t="str">
        <f>IF(AND('Mapa final'!$H$13="Muy Alta",'Mapa final'!$L$13="Leve"),CONCATENATE("R",'Mapa final'!$A$13),"")</f>
        <v/>
      </c>
      <c r="K8" s="331"/>
      <c r="L8" s="331" t="str">
        <f>IF(AND('Mapa final'!$H$17="Muy Alta",'Mapa final'!$L$17="Leve"),CONCATENATE("R",'Mapa final'!$A$17),"")</f>
        <v/>
      </c>
      <c r="M8" s="331"/>
      <c r="N8" s="331" t="e">
        <f>IF(AND('Mapa final'!#REF!="Muy Alta",'Mapa final'!#REF!="Leve"),CONCATENATE("R",'Mapa final'!#REF!),"")</f>
        <v>#REF!</v>
      </c>
      <c r="O8" s="332"/>
      <c r="P8" s="335" t="str">
        <f>IF(AND('Mapa final'!$H$13="Muy Alta",'Mapa final'!$L$13="Menor"),CONCATENATE("R",'Mapa final'!$A$13),"")</f>
        <v/>
      </c>
      <c r="Q8" s="331"/>
      <c r="R8" s="331" t="str">
        <f>IF(AND('Mapa final'!$H$17="Muy Alta",'Mapa final'!$L$17="Menor"),CONCATENATE("R",'Mapa final'!$A$17),"")</f>
        <v/>
      </c>
      <c r="S8" s="331"/>
      <c r="T8" s="331" t="e">
        <f>IF(AND('Mapa final'!#REF!="Muy Alta",'Mapa final'!#REF!="Menor"),CONCATENATE("R",'Mapa final'!#REF!),"")</f>
        <v>#REF!</v>
      </c>
      <c r="U8" s="332"/>
      <c r="V8" s="335" t="str">
        <f>IF(AND('Mapa final'!$H$13="Muy Alta",'Mapa final'!$L$13="Moderado"),CONCATENATE("R",'Mapa final'!$A$13),"")</f>
        <v/>
      </c>
      <c r="W8" s="331"/>
      <c r="X8" s="331" t="str">
        <f>IF(AND('Mapa final'!$H$17="Muy Alta",'Mapa final'!$L$17="Moderado"),CONCATENATE("R",'Mapa final'!$A$17),"")</f>
        <v/>
      </c>
      <c r="Y8" s="331"/>
      <c r="Z8" s="331" t="e">
        <f>IF(AND('Mapa final'!#REF!="Muy Alta",'Mapa final'!#REF!="Moderado"),CONCATENATE("R",'Mapa final'!#REF!),"")</f>
        <v>#REF!</v>
      </c>
      <c r="AA8" s="332"/>
      <c r="AB8" s="335" t="str">
        <f>IF(AND('Mapa final'!$H$13="Muy Alta",'Mapa final'!$L$13="Mayor"),CONCATENATE("R",'Mapa final'!$A$13),"")</f>
        <v/>
      </c>
      <c r="AC8" s="331"/>
      <c r="AD8" s="331" t="str">
        <f>IF(AND('Mapa final'!$H$17="Muy Alta",'Mapa final'!$L$17="Mayor"),CONCATENATE("R",'Mapa final'!$A$17),"")</f>
        <v/>
      </c>
      <c r="AE8" s="331"/>
      <c r="AF8" s="331" t="e">
        <f>IF(AND('Mapa final'!#REF!="Muy Alta",'Mapa final'!#REF!="Mayor"),CONCATENATE("R",'Mapa final'!#REF!),"")</f>
        <v>#REF!</v>
      </c>
      <c r="AG8" s="332"/>
      <c r="AH8" s="342" t="str">
        <f>IF(AND('Mapa final'!$H$13="Muy Alta",'Mapa final'!$L$13="Catastrófico"),CONCATENATE("R",'Mapa final'!$A$13),"")</f>
        <v/>
      </c>
      <c r="AI8" s="343"/>
      <c r="AJ8" s="343" t="str">
        <f>IF(AND('Mapa final'!$H$17="Muy Alta",'Mapa final'!$L$17="Catastrófico"),CONCATENATE("R",'Mapa final'!$A$17),"")</f>
        <v/>
      </c>
      <c r="AK8" s="343"/>
      <c r="AL8" s="343" t="e">
        <f>IF(AND('Mapa final'!#REF!="Muy Alta",'Mapa final'!#REF!="Catastrófico"),CONCATENATE("R",'Mapa final'!#REF!),"")</f>
        <v>#REF!</v>
      </c>
      <c r="AM8" s="344"/>
      <c r="AN8" s="69"/>
      <c r="AO8" s="289"/>
      <c r="AP8" s="290"/>
      <c r="AQ8" s="290"/>
      <c r="AR8" s="290"/>
      <c r="AS8" s="290"/>
      <c r="AT8" s="291"/>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284"/>
      <c r="C9" s="284"/>
      <c r="D9" s="285"/>
      <c r="E9" s="325"/>
      <c r="F9" s="326"/>
      <c r="G9" s="326"/>
      <c r="H9" s="326"/>
      <c r="I9" s="327"/>
      <c r="J9" s="335"/>
      <c r="K9" s="331"/>
      <c r="L9" s="331"/>
      <c r="M9" s="331"/>
      <c r="N9" s="331"/>
      <c r="O9" s="332"/>
      <c r="P9" s="335"/>
      <c r="Q9" s="331"/>
      <c r="R9" s="331"/>
      <c r="S9" s="331"/>
      <c r="T9" s="331"/>
      <c r="U9" s="332"/>
      <c r="V9" s="335"/>
      <c r="W9" s="331"/>
      <c r="X9" s="331"/>
      <c r="Y9" s="331"/>
      <c r="Z9" s="331"/>
      <c r="AA9" s="332"/>
      <c r="AB9" s="335"/>
      <c r="AC9" s="331"/>
      <c r="AD9" s="331"/>
      <c r="AE9" s="331"/>
      <c r="AF9" s="331"/>
      <c r="AG9" s="332"/>
      <c r="AH9" s="342"/>
      <c r="AI9" s="343"/>
      <c r="AJ9" s="343"/>
      <c r="AK9" s="343"/>
      <c r="AL9" s="343"/>
      <c r="AM9" s="344"/>
      <c r="AN9" s="69"/>
      <c r="AO9" s="289"/>
      <c r="AP9" s="290"/>
      <c r="AQ9" s="290"/>
      <c r="AR9" s="290"/>
      <c r="AS9" s="290"/>
      <c r="AT9" s="291"/>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284"/>
      <c r="C10" s="284"/>
      <c r="D10" s="285"/>
      <c r="E10" s="325"/>
      <c r="F10" s="326"/>
      <c r="G10" s="326"/>
      <c r="H10" s="326"/>
      <c r="I10" s="327"/>
      <c r="J10" s="335" t="e">
        <f>IF(AND('Mapa final'!#REF!="Muy Alta",'Mapa final'!#REF!="Leve"),CONCATENATE("R",'Mapa final'!#REF!),"")</f>
        <v>#REF!</v>
      </c>
      <c r="K10" s="331"/>
      <c r="L10" s="331" t="e">
        <f>IF(AND('Mapa final'!#REF!="Muy Alta",'Mapa final'!#REF!="Leve"),CONCATENATE("R",'Mapa final'!#REF!),"")</f>
        <v>#REF!</v>
      </c>
      <c r="M10" s="331"/>
      <c r="N10" s="331" t="e">
        <f>IF(AND('Mapa final'!#REF!="Muy Alta",'Mapa final'!#REF!="Leve"),CONCATENATE("R",'Mapa final'!#REF!),"")</f>
        <v>#REF!</v>
      </c>
      <c r="O10" s="332"/>
      <c r="P10" s="335" t="e">
        <f>IF(AND('Mapa final'!#REF!="Muy Alta",'Mapa final'!#REF!="Menor"),CONCATENATE("R",'Mapa final'!#REF!),"")</f>
        <v>#REF!</v>
      </c>
      <c r="Q10" s="331"/>
      <c r="R10" s="331" t="e">
        <f>IF(AND('Mapa final'!#REF!="Muy Alta",'Mapa final'!#REF!="Menor"),CONCATENATE("R",'Mapa final'!#REF!),"")</f>
        <v>#REF!</v>
      </c>
      <c r="S10" s="331"/>
      <c r="T10" s="331" t="e">
        <f>IF(AND('Mapa final'!#REF!="Muy Alta",'Mapa final'!#REF!="Menor"),CONCATENATE("R",'Mapa final'!#REF!),"")</f>
        <v>#REF!</v>
      </c>
      <c r="U10" s="332"/>
      <c r="V10" s="335" t="e">
        <f>IF(AND('Mapa final'!#REF!="Muy Alta",'Mapa final'!#REF!="Moderado"),CONCATENATE("R",'Mapa final'!#REF!),"")</f>
        <v>#REF!</v>
      </c>
      <c r="W10" s="331"/>
      <c r="X10" s="331" t="e">
        <f>IF(AND('Mapa final'!#REF!="Muy Alta",'Mapa final'!#REF!="Moderado"),CONCATENATE("R",'Mapa final'!#REF!),"")</f>
        <v>#REF!</v>
      </c>
      <c r="Y10" s="331"/>
      <c r="Z10" s="331" t="e">
        <f>IF(AND('Mapa final'!#REF!="Muy Alta",'Mapa final'!#REF!="Moderado"),CONCATENATE("R",'Mapa final'!#REF!),"")</f>
        <v>#REF!</v>
      </c>
      <c r="AA10" s="332"/>
      <c r="AB10" s="335" t="e">
        <f>IF(AND('Mapa final'!#REF!="Muy Alta",'Mapa final'!#REF!="Mayor"),CONCATENATE("R",'Mapa final'!#REF!),"")</f>
        <v>#REF!</v>
      </c>
      <c r="AC10" s="331"/>
      <c r="AD10" s="331" t="e">
        <f>IF(AND('Mapa final'!#REF!="Muy Alta",'Mapa final'!#REF!="Mayor"),CONCATENATE("R",'Mapa final'!#REF!),"")</f>
        <v>#REF!</v>
      </c>
      <c r="AE10" s="331"/>
      <c r="AF10" s="331" t="e">
        <f>IF(AND('Mapa final'!#REF!="Muy Alta",'Mapa final'!#REF!="Mayor"),CONCATENATE("R",'Mapa final'!#REF!),"")</f>
        <v>#REF!</v>
      </c>
      <c r="AG10" s="332"/>
      <c r="AH10" s="342" t="e">
        <f>IF(AND('Mapa final'!#REF!="Muy Alta",'Mapa final'!#REF!="Catastrófico"),CONCATENATE("R",'Mapa final'!#REF!),"")</f>
        <v>#REF!</v>
      </c>
      <c r="AI10" s="343"/>
      <c r="AJ10" s="343" t="e">
        <f>IF(AND('Mapa final'!#REF!="Muy Alta",'Mapa final'!#REF!="Catastrófico"),CONCATENATE("R",'Mapa final'!#REF!),"")</f>
        <v>#REF!</v>
      </c>
      <c r="AK10" s="343"/>
      <c r="AL10" s="343" t="e">
        <f>IF(AND('Mapa final'!#REF!="Muy Alta",'Mapa final'!#REF!="Catastrófico"),CONCATENATE("R",'Mapa final'!#REF!),"")</f>
        <v>#REF!</v>
      </c>
      <c r="AM10" s="344"/>
      <c r="AN10" s="69"/>
      <c r="AO10" s="289"/>
      <c r="AP10" s="290"/>
      <c r="AQ10" s="290"/>
      <c r="AR10" s="290"/>
      <c r="AS10" s="290"/>
      <c r="AT10" s="291"/>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284"/>
      <c r="C11" s="284"/>
      <c r="D11" s="285"/>
      <c r="E11" s="325"/>
      <c r="F11" s="326"/>
      <c r="G11" s="326"/>
      <c r="H11" s="326"/>
      <c r="I11" s="327"/>
      <c r="J11" s="335"/>
      <c r="K11" s="331"/>
      <c r="L11" s="331"/>
      <c r="M11" s="331"/>
      <c r="N11" s="331"/>
      <c r="O11" s="332"/>
      <c r="P11" s="335"/>
      <c r="Q11" s="331"/>
      <c r="R11" s="331"/>
      <c r="S11" s="331"/>
      <c r="T11" s="331"/>
      <c r="U11" s="332"/>
      <c r="V11" s="335"/>
      <c r="W11" s="331"/>
      <c r="X11" s="331"/>
      <c r="Y11" s="331"/>
      <c r="Z11" s="331"/>
      <c r="AA11" s="332"/>
      <c r="AB11" s="335"/>
      <c r="AC11" s="331"/>
      <c r="AD11" s="331"/>
      <c r="AE11" s="331"/>
      <c r="AF11" s="331"/>
      <c r="AG11" s="332"/>
      <c r="AH11" s="342"/>
      <c r="AI11" s="343"/>
      <c r="AJ11" s="343"/>
      <c r="AK11" s="343"/>
      <c r="AL11" s="343"/>
      <c r="AM11" s="344"/>
      <c r="AN11" s="69"/>
      <c r="AO11" s="289"/>
      <c r="AP11" s="290"/>
      <c r="AQ11" s="290"/>
      <c r="AR11" s="290"/>
      <c r="AS11" s="290"/>
      <c r="AT11" s="291"/>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284"/>
      <c r="C12" s="284"/>
      <c r="D12" s="285"/>
      <c r="E12" s="325"/>
      <c r="F12" s="326"/>
      <c r="G12" s="326"/>
      <c r="H12" s="326"/>
      <c r="I12" s="327"/>
      <c r="J12" s="335" t="e">
        <f>IF(AND('Mapa final'!#REF!="Muy Alta",'Mapa final'!#REF!="Leve"),CONCATENATE("R",'Mapa final'!#REF!),"")</f>
        <v>#REF!</v>
      </c>
      <c r="K12" s="331"/>
      <c r="L12" s="331" t="str">
        <f>IF(AND('Mapa final'!$H$23="Muy Alta",'Mapa final'!$L$23="Leve"),CONCATENATE("R",'Mapa final'!$A$23),"")</f>
        <v/>
      </c>
      <c r="M12" s="331"/>
      <c r="N12" s="331" t="e">
        <f>IF(AND('Mapa final'!#REF!="Muy Alta",'Mapa final'!#REF!="Leve"),CONCATENATE("R",'Mapa final'!#REF!),"")</f>
        <v>#REF!</v>
      </c>
      <c r="O12" s="332"/>
      <c r="P12" s="335" t="e">
        <f>IF(AND('Mapa final'!#REF!="Muy Alta",'Mapa final'!#REF!="Menor"),CONCATENATE("R",'Mapa final'!#REF!),"")</f>
        <v>#REF!</v>
      </c>
      <c r="Q12" s="331"/>
      <c r="R12" s="331" t="str">
        <f>IF(AND('Mapa final'!$H$23="Muy Alta",'Mapa final'!$L$23="Menor"),CONCATENATE("R",'Mapa final'!$A$23),"")</f>
        <v/>
      </c>
      <c r="S12" s="331"/>
      <c r="T12" s="331" t="e">
        <f>IF(AND('Mapa final'!#REF!="Muy Alta",'Mapa final'!#REF!="Menor"),CONCATENATE("R",'Mapa final'!#REF!),"")</f>
        <v>#REF!</v>
      </c>
      <c r="U12" s="332"/>
      <c r="V12" s="335" t="e">
        <f>IF(AND('Mapa final'!#REF!="Muy Alta",'Mapa final'!#REF!="Moderado"),CONCATENATE("R",'Mapa final'!#REF!),"")</f>
        <v>#REF!</v>
      </c>
      <c r="W12" s="331"/>
      <c r="X12" s="331" t="str">
        <f>IF(AND('Mapa final'!$H$23="Muy Alta",'Mapa final'!$L$23="Moderado"),CONCATENATE("R",'Mapa final'!$A$23),"")</f>
        <v/>
      </c>
      <c r="Y12" s="331"/>
      <c r="Z12" s="331" t="e">
        <f>IF(AND('Mapa final'!#REF!="Muy Alta",'Mapa final'!#REF!="Moderado"),CONCATENATE("R",'Mapa final'!#REF!),"")</f>
        <v>#REF!</v>
      </c>
      <c r="AA12" s="332"/>
      <c r="AB12" s="335" t="e">
        <f>IF(AND('Mapa final'!#REF!="Muy Alta",'Mapa final'!#REF!="Mayor"),CONCATENATE("R",'Mapa final'!#REF!),"")</f>
        <v>#REF!</v>
      </c>
      <c r="AC12" s="331"/>
      <c r="AD12" s="331" t="str">
        <f>IF(AND('Mapa final'!$H$23="Muy Alta",'Mapa final'!$L$23="Mayor"),CONCATENATE("R",'Mapa final'!$A$23),"")</f>
        <v/>
      </c>
      <c r="AE12" s="331"/>
      <c r="AF12" s="331" t="e">
        <f>IF(AND('Mapa final'!#REF!="Muy Alta",'Mapa final'!#REF!="Mayor"),CONCATENATE("R",'Mapa final'!#REF!),"")</f>
        <v>#REF!</v>
      </c>
      <c r="AG12" s="332"/>
      <c r="AH12" s="342" t="e">
        <f>IF(AND('Mapa final'!#REF!="Muy Alta",'Mapa final'!#REF!="Catastrófico"),CONCATENATE("R",'Mapa final'!#REF!),"")</f>
        <v>#REF!</v>
      </c>
      <c r="AI12" s="343"/>
      <c r="AJ12" s="343" t="str">
        <f>IF(AND('Mapa final'!$H$23="Muy Alta",'Mapa final'!$L$23="Catastrófico"),CONCATENATE("R",'Mapa final'!$A$23),"")</f>
        <v/>
      </c>
      <c r="AK12" s="343"/>
      <c r="AL12" s="343" t="e">
        <f>IF(AND('Mapa final'!#REF!="Muy Alta",'Mapa final'!#REF!="Catastrófico"),CONCATENATE("R",'Mapa final'!#REF!),"")</f>
        <v>#REF!</v>
      </c>
      <c r="AM12" s="344"/>
      <c r="AN12" s="69"/>
      <c r="AO12" s="289"/>
      <c r="AP12" s="290"/>
      <c r="AQ12" s="290"/>
      <c r="AR12" s="290"/>
      <c r="AS12" s="290"/>
      <c r="AT12" s="291"/>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284"/>
      <c r="C13" s="284"/>
      <c r="D13" s="285"/>
      <c r="E13" s="328"/>
      <c r="F13" s="329"/>
      <c r="G13" s="329"/>
      <c r="H13" s="329"/>
      <c r="I13" s="330"/>
      <c r="J13" s="335"/>
      <c r="K13" s="331"/>
      <c r="L13" s="331"/>
      <c r="M13" s="331"/>
      <c r="N13" s="331"/>
      <c r="O13" s="332"/>
      <c r="P13" s="335"/>
      <c r="Q13" s="331"/>
      <c r="R13" s="331"/>
      <c r="S13" s="331"/>
      <c r="T13" s="331"/>
      <c r="U13" s="332"/>
      <c r="V13" s="335"/>
      <c r="W13" s="331"/>
      <c r="X13" s="331"/>
      <c r="Y13" s="331"/>
      <c r="Z13" s="331"/>
      <c r="AA13" s="332"/>
      <c r="AB13" s="335"/>
      <c r="AC13" s="331"/>
      <c r="AD13" s="331"/>
      <c r="AE13" s="331"/>
      <c r="AF13" s="331"/>
      <c r="AG13" s="332"/>
      <c r="AH13" s="345"/>
      <c r="AI13" s="346"/>
      <c r="AJ13" s="346"/>
      <c r="AK13" s="346"/>
      <c r="AL13" s="346"/>
      <c r="AM13" s="347"/>
      <c r="AN13" s="69"/>
      <c r="AO13" s="292"/>
      <c r="AP13" s="293"/>
      <c r="AQ13" s="293"/>
      <c r="AR13" s="293"/>
      <c r="AS13" s="293"/>
      <c r="AT13" s="294"/>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284"/>
      <c r="C14" s="284"/>
      <c r="D14" s="285"/>
      <c r="E14" s="322" t="s">
        <v>115</v>
      </c>
      <c r="F14" s="323"/>
      <c r="G14" s="323"/>
      <c r="H14" s="323"/>
      <c r="I14" s="323"/>
      <c r="J14" s="357" t="e">
        <f>IF(AND('Mapa final'!#REF!="Alta",'Mapa final'!#REF!="Leve"),CONCATENATE("R",'Mapa final'!#REF!),"")</f>
        <v>#REF!</v>
      </c>
      <c r="K14" s="358"/>
      <c r="L14" s="358" t="e">
        <f>IF(AND('Mapa final'!#REF!="Alta",'Mapa final'!#REF!="Leve"),CONCATENATE("R",'Mapa final'!#REF!),"")</f>
        <v>#REF!</v>
      </c>
      <c r="M14" s="358"/>
      <c r="N14" s="358" t="e">
        <f>IF(AND('Mapa final'!#REF!="Alta",'Mapa final'!#REF!="Leve"),CONCATENATE("R",'Mapa final'!#REF!),"")</f>
        <v>#REF!</v>
      </c>
      <c r="O14" s="359"/>
      <c r="P14" s="357" t="e">
        <f>IF(AND('Mapa final'!#REF!="Alta",'Mapa final'!#REF!="Menor"),CONCATENATE("R",'Mapa final'!#REF!),"")</f>
        <v>#REF!</v>
      </c>
      <c r="Q14" s="358"/>
      <c r="R14" s="358" t="e">
        <f>IF(AND('Mapa final'!#REF!="Alta",'Mapa final'!#REF!="Menor"),CONCATENATE("R",'Mapa final'!#REF!),"")</f>
        <v>#REF!</v>
      </c>
      <c r="S14" s="358"/>
      <c r="T14" s="358" t="e">
        <f>IF(AND('Mapa final'!#REF!="Alta",'Mapa final'!#REF!="Menor"),CONCATENATE("R",'Mapa final'!#REF!),"")</f>
        <v>#REF!</v>
      </c>
      <c r="U14" s="359"/>
      <c r="V14" s="333" t="e">
        <f>IF(AND('Mapa final'!#REF!="Alta",'Mapa final'!#REF!="Moderado"),CONCATENATE("R",'Mapa final'!#REF!),"")</f>
        <v>#REF!</v>
      </c>
      <c r="W14" s="334"/>
      <c r="X14" s="334" t="e">
        <f>IF(AND('Mapa final'!#REF!="Alta",'Mapa final'!#REF!="Moderado"),CONCATENATE("R",'Mapa final'!#REF!),"")</f>
        <v>#REF!</v>
      </c>
      <c r="Y14" s="334"/>
      <c r="Z14" s="334" t="e">
        <f>IF(AND('Mapa final'!#REF!="Alta",'Mapa final'!#REF!="Moderado"),CONCATENATE("R",'Mapa final'!#REF!),"")</f>
        <v>#REF!</v>
      </c>
      <c r="AA14" s="336"/>
      <c r="AB14" s="333" t="e">
        <f>IF(AND('Mapa final'!#REF!="Alta",'Mapa final'!#REF!="Mayor"),CONCATENATE("R",'Mapa final'!#REF!),"")</f>
        <v>#REF!</v>
      </c>
      <c r="AC14" s="334"/>
      <c r="AD14" s="334" t="e">
        <f>IF(AND('Mapa final'!#REF!="Alta",'Mapa final'!#REF!="Mayor"),CONCATENATE("R",'Mapa final'!#REF!),"")</f>
        <v>#REF!</v>
      </c>
      <c r="AE14" s="334"/>
      <c r="AF14" s="334" t="e">
        <f>IF(AND('Mapa final'!#REF!="Alta",'Mapa final'!#REF!="Mayor"),CONCATENATE("R",'Mapa final'!#REF!),"")</f>
        <v>#REF!</v>
      </c>
      <c r="AG14" s="336"/>
      <c r="AH14" s="348" t="e">
        <f>IF(AND('Mapa final'!#REF!="Alta",'Mapa final'!#REF!="Catastrófico"),CONCATENATE("R",'Mapa final'!#REF!),"")</f>
        <v>#REF!</v>
      </c>
      <c r="AI14" s="349"/>
      <c r="AJ14" s="349" t="e">
        <f>IF(AND('Mapa final'!#REF!="Alta",'Mapa final'!#REF!="Catastrófico"),CONCATENATE("R",'Mapa final'!#REF!),"")</f>
        <v>#REF!</v>
      </c>
      <c r="AK14" s="349"/>
      <c r="AL14" s="349" t="e">
        <f>IF(AND('Mapa final'!#REF!="Alta",'Mapa final'!#REF!="Catastrófico"),CONCATENATE("R",'Mapa final'!#REF!),"")</f>
        <v>#REF!</v>
      </c>
      <c r="AM14" s="350"/>
      <c r="AN14" s="69"/>
      <c r="AO14" s="295" t="s">
        <v>80</v>
      </c>
      <c r="AP14" s="296"/>
      <c r="AQ14" s="296"/>
      <c r="AR14" s="296"/>
      <c r="AS14" s="296"/>
      <c r="AT14" s="297"/>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284"/>
      <c r="C15" s="284"/>
      <c r="D15" s="285"/>
      <c r="E15" s="325"/>
      <c r="F15" s="326"/>
      <c r="G15" s="326"/>
      <c r="H15" s="326"/>
      <c r="I15" s="326"/>
      <c r="J15" s="351"/>
      <c r="K15" s="352"/>
      <c r="L15" s="352"/>
      <c r="M15" s="352"/>
      <c r="N15" s="352"/>
      <c r="O15" s="353"/>
      <c r="P15" s="351"/>
      <c r="Q15" s="352"/>
      <c r="R15" s="352"/>
      <c r="S15" s="352"/>
      <c r="T15" s="352"/>
      <c r="U15" s="353"/>
      <c r="V15" s="335"/>
      <c r="W15" s="331"/>
      <c r="X15" s="331"/>
      <c r="Y15" s="331"/>
      <c r="Z15" s="331"/>
      <c r="AA15" s="332"/>
      <c r="AB15" s="335"/>
      <c r="AC15" s="331"/>
      <c r="AD15" s="331"/>
      <c r="AE15" s="331"/>
      <c r="AF15" s="331"/>
      <c r="AG15" s="332"/>
      <c r="AH15" s="342"/>
      <c r="AI15" s="343"/>
      <c r="AJ15" s="343"/>
      <c r="AK15" s="343"/>
      <c r="AL15" s="343"/>
      <c r="AM15" s="344"/>
      <c r="AN15" s="69"/>
      <c r="AO15" s="298"/>
      <c r="AP15" s="299"/>
      <c r="AQ15" s="299"/>
      <c r="AR15" s="299"/>
      <c r="AS15" s="299"/>
      <c r="AT15" s="300"/>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284"/>
      <c r="C16" s="284"/>
      <c r="D16" s="285"/>
      <c r="E16" s="325"/>
      <c r="F16" s="326"/>
      <c r="G16" s="326"/>
      <c r="H16" s="326"/>
      <c r="I16" s="326"/>
      <c r="J16" s="351" t="str">
        <f>IF(AND('Mapa final'!$H$13="Alta",'Mapa final'!$L$13="Leve"),CONCATENATE("R",'Mapa final'!$A$13),"")</f>
        <v/>
      </c>
      <c r="K16" s="352"/>
      <c r="L16" s="352" t="str">
        <f>IF(AND('Mapa final'!$H$17="Alta",'Mapa final'!$L$17="Leve"),CONCATENATE("R",'Mapa final'!$A$17),"")</f>
        <v/>
      </c>
      <c r="M16" s="352"/>
      <c r="N16" s="352" t="e">
        <f>IF(AND('Mapa final'!#REF!="Alta",'Mapa final'!#REF!="Leve"),CONCATENATE("R",'Mapa final'!#REF!),"")</f>
        <v>#REF!</v>
      </c>
      <c r="O16" s="353"/>
      <c r="P16" s="351" t="str">
        <f>IF(AND('Mapa final'!$H$13="Alta",'Mapa final'!$L$13="Menor"),CONCATENATE("R",'Mapa final'!$A$13),"")</f>
        <v/>
      </c>
      <c r="Q16" s="352"/>
      <c r="R16" s="352" t="str">
        <f>IF(AND('Mapa final'!$H$17="Alta",'Mapa final'!$L$17="Menor"),CONCATENATE("R",'Mapa final'!$A$17),"")</f>
        <v/>
      </c>
      <c r="S16" s="352"/>
      <c r="T16" s="352" t="e">
        <f>IF(AND('Mapa final'!#REF!="Alta",'Mapa final'!#REF!="Menor"),CONCATENATE("R",'Mapa final'!#REF!),"")</f>
        <v>#REF!</v>
      </c>
      <c r="U16" s="353"/>
      <c r="V16" s="335" t="str">
        <f>IF(AND('Mapa final'!$H$13="Alta",'Mapa final'!$L$13="Moderado"),CONCATENATE("R",'Mapa final'!$A$13),"")</f>
        <v/>
      </c>
      <c r="W16" s="331"/>
      <c r="X16" s="331" t="str">
        <f>IF(AND('Mapa final'!$H$17="Alta",'Mapa final'!$L$17="Moderado"),CONCATENATE("R",'Mapa final'!$A$17),"")</f>
        <v/>
      </c>
      <c r="Y16" s="331"/>
      <c r="Z16" s="331" t="e">
        <f>IF(AND('Mapa final'!#REF!="Alta",'Mapa final'!#REF!="Moderado"),CONCATENATE("R",'Mapa final'!#REF!),"")</f>
        <v>#REF!</v>
      </c>
      <c r="AA16" s="332"/>
      <c r="AB16" s="335" t="str">
        <f>IF(AND('Mapa final'!$H$13="Alta",'Mapa final'!$L$13="Mayor"),CONCATENATE("R",'Mapa final'!$A$13),"")</f>
        <v/>
      </c>
      <c r="AC16" s="331"/>
      <c r="AD16" s="331" t="str">
        <f>IF(AND('Mapa final'!$H$17="Alta",'Mapa final'!$L$17="Mayor"),CONCATENATE("R",'Mapa final'!$A$17),"")</f>
        <v/>
      </c>
      <c r="AE16" s="331"/>
      <c r="AF16" s="331" t="e">
        <f>IF(AND('Mapa final'!#REF!="Alta",'Mapa final'!#REF!="Mayor"),CONCATENATE("R",'Mapa final'!#REF!),"")</f>
        <v>#REF!</v>
      </c>
      <c r="AG16" s="332"/>
      <c r="AH16" s="342" t="str">
        <f>IF(AND('Mapa final'!$H$13="Alta",'Mapa final'!$L$13="Catastrófico"),CONCATENATE("R",'Mapa final'!$A$13),"")</f>
        <v/>
      </c>
      <c r="AI16" s="343"/>
      <c r="AJ16" s="343" t="str">
        <f>IF(AND('Mapa final'!$H$17="Alta",'Mapa final'!$L$17="Catastrófico"),CONCATENATE("R",'Mapa final'!$A$17),"")</f>
        <v/>
      </c>
      <c r="AK16" s="343"/>
      <c r="AL16" s="343" t="e">
        <f>IF(AND('Mapa final'!#REF!="Alta",'Mapa final'!#REF!="Catastrófico"),CONCATENATE("R",'Mapa final'!#REF!),"")</f>
        <v>#REF!</v>
      </c>
      <c r="AM16" s="344"/>
      <c r="AN16" s="69"/>
      <c r="AO16" s="298"/>
      <c r="AP16" s="299"/>
      <c r="AQ16" s="299"/>
      <c r="AR16" s="299"/>
      <c r="AS16" s="299"/>
      <c r="AT16" s="300"/>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284"/>
      <c r="C17" s="284"/>
      <c r="D17" s="285"/>
      <c r="E17" s="325"/>
      <c r="F17" s="326"/>
      <c r="G17" s="326"/>
      <c r="H17" s="326"/>
      <c r="I17" s="326"/>
      <c r="J17" s="351"/>
      <c r="K17" s="352"/>
      <c r="L17" s="352"/>
      <c r="M17" s="352"/>
      <c r="N17" s="352"/>
      <c r="O17" s="353"/>
      <c r="P17" s="351"/>
      <c r="Q17" s="352"/>
      <c r="R17" s="352"/>
      <c r="S17" s="352"/>
      <c r="T17" s="352"/>
      <c r="U17" s="353"/>
      <c r="V17" s="335"/>
      <c r="W17" s="331"/>
      <c r="X17" s="331"/>
      <c r="Y17" s="331"/>
      <c r="Z17" s="331"/>
      <c r="AA17" s="332"/>
      <c r="AB17" s="335"/>
      <c r="AC17" s="331"/>
      <c r="AD17" s="331"/>
      <c r="AE17" s="331"/>
      <c r="AF17" s="331"/>
      <c r="AG17" s="332"/>
      <c r="AH17" s="342"/>
      <c r="AI17" s="343"/>
      <c r="AJ17" s="343"/>
      <c r="AK17" s="343"/>
      <c r="AL17" s="343"/>
      <c r="AM17" s="344"/>
      <c r="AN17" s="69"/>
      <c r="AO17" s="298"/>
      <c r="AP17" s="299"/>
      <c r="AQ17" s="299"/>
      <c r="AR17" s="299"/>
      <c r="AS17" s="299"/>
      <c r="AT17" s="300"/>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284"/>
      <c r="C18" s="284"/>
      <c r="D18" s="285"/>
      <c r="E18" s="325"/>
      <c r="F18" s="326"/>
      <c r="G18" s="326"/>
      <c r="H18" s="326"/>
      <c r="I18" s="326"/>
      <c r="J18" s="351" t="e">
        <f>IF(AND('Mapa final'!#REF!="Alta",'Mapa final'!#REF!="Leve"),CONCATENATE("R",'Mapa final'!#REF!),"")</f>
        <v>#REF!</v>
      </c>
      <c r="K18" s="352"/>
      <c r="L18" s="352" t="e">
        <f>IF(AND('Mapa final'!#REF!="Alta",'Mapa final'!#REF!="Leve"),CONCATENATE("R",'Mapa final'!#REF!),"")</f>
        <v>#REF!</v>
      </c>
      <c r="M18" s="352"/>
      <c r="N18" s="352" t="e">
        <f>IF(AND('Mapa final'!#REF!="Alta",'Mapa final'!#REF!="Leve"),CONCATENATE("R",'Mapa final'!#REF!),"")</f>
        <v>#REF!</v>
      </c>
      <c r="O18" s="353"/>
      <c r="P18" s="351" t="e">
        <f>IF(AND('Mapa final'!#REF!="Alta",'Mapa final'!#REF!="Menor"),CONCATENATE("R",'Mapa final'!#REF!),"")</f>
        <v>#REF!</v>
      </c>
      <c r="Q18" s="352"/>
      <c r="R18" s="352" t="e">
        <f>IF(AND('Mapa final'!#REF!="Alta",'Mapa final'!#REF!="Menor"),CONCATENATE("R",'Mapa final'!#REF!),"")</f>
        <v>#REF!</v>
      </c>
      <c r="S18" s="352"/>
      <c r="T18" s="352" t="e">
        <f>IF(AND('Mapa final'!#REF!="Alta",'Mapa final'!#REF!="Menor"),CONCATENATE("R",'Mapa final'!#REF!),"")</f>
        <v>#REF!</v>
      </c>
      <c r="U18" s="353"/>
      <c r="V18" s="335" t="e">
        <f>IF(AND('Mapa final'!#REF!="Alta",'Mapa final'!#REF!="Moderado"),CONCATENATE("R",'Mapa final'!#REF!),"")</f>
        <v>#REF!</v>
      </c>
      <c r="W18" s="331"/>
      <c r="X18" s="331" t="e">
        <f>IF(AND('Mapa final'!#REF!="Alta",'Mapa final'!#REF!="Moderado"),CONCATENATE("R",'Mapa final'!#REF!),"")</f>
        <v>#REF!</v>
      </c>
      <c r="Y18" s="331"/>
      <c r="Z18" s="331" t="e">
        <f>IF(AND('Mapa final'!#REF!="Alta",'Mapa final'!#REF!="Moderado"),CONCATENATE("R",'Mapa final'!#REF!),"")</f>
        <v>#REF!</v>
      </c>
      <c r="AA18" s="332"/>
      <c r="AB18" s="335" t="e">
        <f>IF(AND('Mapa final'!#REF!="Alta",'Mapa final'!#REF!="Mayor"),CONCATENATE("R",'Mapa final'!#REF!),"")</f>
        <v>#REF!</v>
      </c>
      <c r="AC18" s="331"/>
      <c r="AD18" s="331" t="e">
        <f>IF(AND('Mapa final'!#REF!="Alta",'Mapa final'!#REF!="Mayor"),CONCATENATE("R",'Mapa final'!#REF!),"")</f>
        <v>#REF!</v>
      </c>
      <c r="AE18" s="331"/>
      <c r="AF18" s="331" t="e">
        <f>IF(AND('Mapa final'!#REF!="Alta",'Mapa final'!#REF!="Mayor"),CONCATENATE("R",'Mapa final'!#REF!),"")</f>
        <v>#REF!</v>
      </c>
      <c r="AG18" s="332"/>
      <c r="AH18" s="342" t="e">
        <f>IF(AND('Mapa final'!#REF!="Alta",'Mapa final'!#REF!="Catastrófico"),CONCATENATE("R",'Mapa final'!#REF!),"")</f>
        <v>#REF!</v>
      </c>
      <c r="AI18" s="343"/>
      <c r="AJ18" s="343" t="e">
        <f>IF(AND('Mapa final'!#REF!="Alta",'Mapa final'!#REF!="Catastrófico"),CONCATENATE("R",'Mapa final'!#REF!),"")</f>
        <v>#REF!</v>
      </c>
      <c r="AK18" s="343"/>
      <c r="AL18" s="343" t="e">
        <f>IF(AND('Mapa final'!#REF!="Alta",'Mapa final'!#REF!="Catastrófico"),CONCATENATE("R",'Mapa final'!#REF!),"")</f>
        <v>#REF!</v>
      </c>
      <c r="AM18" s="344"/>
      <c r="AN18" s="69"/>
      <c r="AO18" s="298"/>
      <c r="AP18" s="299"/>
      <c r="AQ18" s="299"/>
      <c r="AR18" s="299"/>
      <c r="AS18" s="299"/>
      <c r="AT18" s="300"/>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284"/>
      <c r="C19" s="284"/>
      <c r="D19" s="285"/>
      <c r="E19" s="325"/>
      <c r="F19" s="326"/>
      <c r="G19" s="326"/>
      <c r="H19" s="326"/>
      <c r="I19" s="326"/>
      <c r="J19" s="351"/>
      <c r="K19" s="352"/>
      <c r="L19" s="352"/>
      <c r="M19" s="352"/>
      <c r="N19" s="352"/>
      <c r="O19" s="353"/>
      <c r="P19" s="351"/>
      <c r="Q19" s="352"/>
      <c r="R19" s="352"/>
      <c r="S19" s="352"/>
      <c r="T19" s="352"/>
      <c r="U19" s="353"/>
      <c r="V19" s="335"/>
      <c r="W19" s="331"/>
      <c r="X19" s="331"/>
      <c r="Y19" s="331"/>
      <c r="Z19" s="331"/>
      <c r="AA19" s="332"/>
      <c r="AB19" s="335"/>
      <c r="AC19" s="331"/>
      <c r="AD19" s="331"/>
      <c r="AE19" s="331"/>
      <c r="AF19" s="331"/>
      <c r="AG19" s="332"/>
      <c r="AH19" s="342"/>
      <c r="AI19" s="343"/>
      <c r="AJ19" s="343"/>
      <c r="AK19" s="343"/>
      <c r="AL19" s="343"/>
      <c r="AM19" s="344"/>
      <c r="AN19" s="69"/>
      <c r="AO19" s="298"/>
      <c r="AP19" s="299"/>
      <c r="AQ19" s="299"/>
      <c r="AR19" s="299"/>
      <c r="AS19" s="299"/>
      <c r="AT19" s="300"/>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284"/>
      <c r="C20" s="284"/>
      <c r="D20" s="285"/>
      <c r="E20" s="325"/>
      <c r="F20" s="326"/>
      <c r="G20" s="326"/>
      <c r="H20" s="326"/>
      <c r="I20" s="326"/>
      <c r="J20" s="351" t="e">
        <f>IF(AND('Mapa final'!#REF!="Alta",'Mapa final'!#REF!="Leve"),CONCATENATE("R",'Mapa final'!#REF!),"")</f>
        <v>#REF!</v>
      </c>
      <c r="K20" s="352"/>
      <c r="L20" s="352" t="str">
        <f>IF(AND('Mapa final'!$H$23="Alta",'Mapa final'!$L$23="Leve"),CONCATENATE("R",'Mapa final'!$A$23),"")</f>
        <v/>
      </c>
      <c r="M20" s="352"/>
      <c r="N20" s="352" t="e">
        <f>IF(AND('Mapa final'!#REF!="Alta",'Mapa final'!#REF!="Leve"),CONCATENATE("R",'Mapa final'!#REF!),"")</f>
        <v>#REF!</v>
      </c>
      <c r="O20" s="353"/>
      <c r="P20" s="351" t="e">
        <f>IF(AND('Mapa final'!#REF!="Alta",'Mapa final'!#REF!="Menor"),CONCATENATE("R",'Mapa final'!#REF!),"")</f>
        <v>#REF!</v>
      </c>
      <c r="Q20" s="352"/>
      <c r="R20" s="352" t="str">
        <f>IF(AND('Mapa final'!$H$23="Alta",'Mapa final'!$L$23="Menor"),CONCATENATE("R",'Mapa final'!$A$23),"")</f>
        <v/>
      </c>
      <c r="S20" s="352"/>
      <c r="T20" s="352" t="e">
        <f>IF(AND('Mapa final'!#REF!="Alta",'Mapa final'!#REF!="Menor"),CONCATENATE("R",'Mapa final'!#REF!),"")</f>
        <v>#REF!</v>
      </c>
      <c r="U20" s="353"/>
      <c r="V20" s="335" t="e">
        <f>IF(AND('Mapa final'!#REF!="Alta",'Mapa final'!#REF!="Moderado"),CONCATENATE("R",'Mapa final'!#REF!),"")</f>
        <v>#REF!</v>
      </c>
      <c r="W20" s="331"/>
      <c r="X20" s="331" t="str">
        <f>IF(AND('Mapa final'!$H$23="Alta",'Mapa final'!$L$23="Moderado"),CONCATENATE("R",'Mapa final'!$A$23),"")</f>
        <v/>
      </c>
      <c r="Y20" s="331"/>
      <c r="Z20" s="331" t="e">
        <f>IF(AND('Mapa final'!#REF!="Alta",'Mapa final'!#REF!="Moderado"),CONCATENATE("R",'Mapa final'!#REF!),"")</f>
        <v>#REF!</v>
      </c>
      <c r="AA20" s="332"/>
      <c r="AB20" s="335" t="e">
        <f>IF(AND('Mapa final'!#REF!="Alta",'Mapa final'!#REF!="Mayor"),CONCATENATE("R",'Mapa final'!#REF!),"")</f>
        <v>#REF!</v>
      </c>
      <c r="AC20" s="331"/>
      <c r="AD20" s="331" t="str">
        <f>IF(AND('Mapa final'!$H$23="Alta",'Mapa final'!$L$23="Mayor"),CONCATENATE("R",'Mapa final'!$A$23),"")</f>
        <v/>
      </c>
      <c r="AE20" s="331"/>
      <c r="AF20" s="331" t="e">
        <f>IF(AND('Mapa final'!#REF!="Alta",'Mapa final'!#REF!="Mayor"),CONCATENATE("R",'Mapa final'!#REF!),"")</f>
        <v>#REF!</v>
      </c>
      <c r="AG20" s="332"/>
      <c r="AH20" s="342" t="e">
        <f>IF(AND('Mapa final'!#REF!="Alta",'Mapa final'!#REF!="Catastrófico"),CONCATENATE("R",'Mapa final'!#REF!),"")</f>
        <v>#REF!</v>
      </c>
      <c r="AI20" s="343"/>
      <c r="AJ20" s="343" t="str">
        <f>IF(AND('Mapa final'!$H$23="Alta",'Mapa final'!$L$23="Catastrófico"),CONCATENATE("R",'Mapa final'!$A$23),"")</f>
        <v/>
      </c>
      <c r="AK20" s="343"/>
      <c r="AL20" s="343" t="e">
        <f>IF(AND('Mapa final'!#REF!="Alta",'Mapa final'!#REF!="Catastrófico"),CONCATENATE("R",'Mapa final'!#REF!),"")</f>
        <v>#REF!</v>
      </c>
      <c r="AM20" s="344"/>
      <c r="AN20" s="69"/>
      <c r="AO20" s="298"/>
      <c r="AP20" s="299"/>
      <c r="AQ20" s="299"/>
      <c r="AR20" s="299"/>
      <c r="AS20" s="299"/>
      <c r="AT20" s="300"/>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284"/>
      <c r="C21" s="284"/>
      <c r="D21" s="285"/>
      <c r="E21" s="328"/>
      <c r="F21" s="329"/>
      <c r="G21" s="329"/>
      <c r="H21" s="329"/>
      <c r="I21" s="329"/>
      <c r="J21" s="354"/>
      <c r="K21" s="355"/>
      <c r="L21" s="355"/>
      <c r="M21" s="355"/>
      <c r="N21" s="355"/>
      <c r="O21" s="356"/>
      <c r="P21" s="354"/>
      <c r="Q21" s="355"/>
      <c r="R21" s="355"/>
      <c r="S21" s="355"/>
      <c r="T21" s="355"/>
      <c r="U21" s="356"/>
      <c r="V21" s="339"/>
      <c r="W21" s="340"/>
      <c r="X21" s="340"/>
      <c r="Y21" s="340"/>
      <c r="Z21" s="340"/>
      <c r="AA21" s="341"/>
      <c r="AB21" s="339"/>
      <c r="AC21" s="340"/>
      <c r="AD21" s="340"/>
      <c r="AE21" s="340"/>
      <c r="AF21" s="340"/>
      <c r="AG21" s="341"/>
      <c r="AH21" s="345"/>
      <c r="AI21" s="346"/>
      <c r="AJ21" s="346"/>
      <c r="AK21" s="346"/>
      <c r="AL21" s="346"/>
      <c r="AM21" s="347"/>
      <c r="AN21" s="69"/>
      <c r="AO21" s="301"/>
      <c r="AP21" s="302"/>
      <c r="AQ21" s="302"/>
      <c r="AR21" s="302"/>
      <c r="AS21" s="302"/>
      <c r="AT21" s="303"/>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284"/>
      <c r="C22" s="284"/>
      <c r="D22" s="285"/>
      <c r="E22" s="322" t="s">
        <v>117</v>
      </c>
      <c r="F22" s="323"/>
      <c r="G22" s="323"/>
      <c r="H22" s="323"/>
      <c r="I22" s="324"/>
      <c r="J22" s="357" t="e">
        <f>IF(AND('Mapa final'!#REF!="Media",'Mapa final'!#REF!="Leve"),CONCATENATE("R",'Mapa final'!#REF!),"")</f>
        <v>#REF!</v>
      </c>
      <c r="K22" s="358"/>
      <c r="L22" s="358" t="e">
        <f>IF(AND('Mapa final'!#REF!="Media",'Mapa final'!#REF!="Leve"),CONCATENATE("R",'Mapa final'!#REF!),"")</f>
        <v>#REF!</v>
      </c>
      <c r="M22" s="358"/>
      <c r="N22" s="358" t="e">
        <f>IF(AND('Mapa final'!#REF!="Media",'Mapa final'!#REF!="Leve"),CONCATENATE("R",'Mapa final'!#REF!),"")</f>
        <v>#REF!</v>
      </c>
      <c r="O22" s="359"/>
      <c r="P22" s="357" t="e">
        <f>IF(AND('Mapa final'!#REF!="Media",'Mapa final'!#REF!="Menor"),CONCATENATE("R",'Mapa final'!#REF!),"")</f>
        <v>#REF!</v>
      </c>
      <c r="Q22" s="358"/>
      <c r="R22" s="358" t="e">
        <f>IF(AND('Mapa final'!#REF!="Media",'Mapa final'!#REF!="Menor"),CONCATENATE("R",'Mapa final'!#REF!),"")</f>
        <v>#REF!</v>
      </c>
      <c r="S22" s="358"/>
      <c r="T22" s="358" t="e">
        <f>IF(AND('Mapa final'!#REF!="Media",'Mapa final'!#REF!="Menor"),CONCATENATE("R",'Mapa final'!#REF!),"")</f>
        <v>#REF!</v>
      </c>
      <c r="U22" s="359"/>
      <c r="V22" s="357" t="e">
        <f>IF(AND('Mapa final'!#REF!="Media",'Mapa final'!#REF!="Moderado"),CONCATENATE("R",'Mapa final'!#REF!),"")</f>
        <v>#REF!</v>
      </c>
      <c r="W22" s="358"/>
      <c r="X22" s="358" t="e">
        <f>IF(AND('Mapa final'!#REF!="Media",'Mapa final'!#REF!="Moderado"),CONCATENATE("R",'Mapa final'!#REF!),"")</f>
        <v>#REF!</v>
      </c>
      <c r="Y22" s="358"/>
      <c r="Z22" s="358" t="e">
        <f>IF(AND('Mapa final'!#REF!="Media",'Mapa final'!#REF!="Moderado"),CONCATENATE("R",'Mapa final'!#REF!),"")</f>
        <v>#REF!</v>
      </c>
      <c r="AA22" s="359"/>
      <c r="AB22" s="333" t="e">
        <f>IF(AND('Mapa final'!#REF!="Media",'Mapa final'!#REF!="Mayor"),CONCATENATE("R",'Mapa final'!#REF!),"")</f>
        <v>#REF!</v>
      </c>
      <c r="AC22" s="334"/>
      <c r="AD22" s="334" t="e">
        <f>IF(AND('Mapa final'!#REF!="Media",'Mapa final'!#REF!="Mayor"),CONCATENATE("R",'Mapa final'!#REF!),"")</f>
        <v>#REF!</v>
      </c>
      <c r="AE22" s="334"/>
      <c r="AF22" s="334" t="e">
        <f>IF(AND('Mapa final'!#REF!="Media",'Mapa final'!#REF!="Mayor"),CONCATENATE("R",'Mapa final'!#REF!),"")</f>
        <v>#REF!</v>
      </c>
      <c r="AG22" s="336"/>
      <c r="AH22" s="348" t="e">
        <f>IF(AND('Mapa final'!#REF!="Media",'Mapa final'!#REF!="Catastrófico"),CONCATENATE("R",'Mapa final'!#REF!),"")</f>
        <v>#REF!</v>
      </c>
      <c r="AI22" s="349"/>
      <c r="AJ22" s="349" t="e">
        <f>IF(AND('Mapa final'!#REF!="Media",'Mapa final'!#REF!="Catastrófico"),CONCATENATE("R",'Mapa final'!#REF!),"")</f>
        <v>#REF!</v>
      </c>
      <c r="AK22" s="349"/>
      <c r="AL22" s="349" t="e">
        <f>IF(AND('Mapa final'!#REF!="Media",'Mapa final'!#REF!="Catastrófico"),CONCATENATE("R",'Mapa final'!#REF!),"")</f>
        <v>#REF!</v>
      </c>
      <c r="AM22" s="350"/>
      <c r="AN22" s="69"/>
      <c r="AO22" s="304" t="s">
        <v>81</v>
      </c>
      <c r="AP22" s="305"/>
      <c r="AQ22" s="305"/>
      <c r="AR22" s="305"/>
      <c r="AS22" s="305"/>
      <c r="AT22" s="306"/>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284"/>
      <c r="C23" s="284"/>
      <c r="D23" s="285"/>
      <c r="E23" s="325"/>
      <c r="F23" s="326"/>
      <c r="G23" s="326"/>
      <c r="H23" s="326"/>
      <c r="I23" s="327"/>
      <c r="J23" s="351"/>
      <c r="K23" s="352"/>
      <c r="L23" s="352"/>
      <c r="M23" s="352"/>
      <c r="N23" s="352"/>
      <c r="O23" s="353"/>
      <c r="P23" s="351"/>
      <c r="Q23" s="352"/>
      <c r="R23" s="352"/>
      <c r="S23" s="352"/>
      <c r="T23" s="352"/>
      <c r="U23" s="353"/>
      <c r="V23" s="351"/>
      <c r="W23" s="352"/>
      <c r="X23" s="352"/>
      <c r="Y23" s="352"/>
      <c r="Z23" s="352"/>
      <c r="AA23" s="353"/>
      <c r="AB23" s="335"/>
      <c r="AC23" s="331"/>
      <c r="AD23" s="331"/>
      <c r="AE23" s="331"/>
      <c r="AF23" s="331"/>
      <c r="AG23" s="332"/>
      <c r="AH23" s="342"/>
      <c r="AI23" s="343"/>
      <c r="AJ23" s="343"/>
      <c r="AK23" s="343"/>
      <c r="AL23" s="343"/>
      <c r="AM23" s="344"/>
      <c r="AN23" s="69"/>
      <c r="AO23" s="307"/>
      <c r="AP23" s="308"/>
      <c r="AQ23" s="308"/>
      <c r="AR23" s="308"/>
      <c r="AS23" s="308"/>
      <c r="AT23" s="30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284"/>
      <c r="C24" s="284"/>
      <c r="D24" s="285"/>
      <c r="E24" s="325"/>
      <c r="F24" s="326"/>
      <c r="G24" s="326"/>
      <c r="H24" s="326"/>
      <c r="I24" s="327"/>
      <c r="J24" s="351" t="str">
        <f>IF(AND('Mapa final'!$H$13="Media",'Mapa final'!$L$13="Leve"),CONCATENATE("R",'Mapa final'!$A$13),"")</f>
        <v/>
      </c>
      <c r="K24" s="352"/>
      <c r="L24" s="352" t="str">
        <f>IF(AND('Mapa final'!$H$17="Media",'Mapa final'!$L$17="Leve"),CONCATENATE("R",'Mapa final'!$A$17),"")</f>
        <v/>
      </c>
      <c r="M24" s="352"/>
      <c r="N24" s="352" t="e">
        <f>IF(AND('Mapa final'!#REF!="Media",'Mapa final'!#REF!="Leve"),CONCATENATE("R",'Mapa final'!#REF!),"")</f>
        <v>#REF!</v>
      </c>
      <c r="O24" s="353"/>
      <c r="P24" s="351" t="str">
        <f>IF(AND('Mapa final'!$H$13="Media",'Mapa final'!$L$13="Menor"),CONCATENATE("R",'Mapa final'!$A$13),"")</f>
        <v/>
      </c>
      <c r="Q24" s="352"/>
      <c r="R24" s="352" t="str">
        <f>IF(AND('Mapa final'!$H$17="Media",'Mapa final'!$L$17="Menor"),CONCATENATE("R",'Mapa final'!$A$17),"")</f>
        <v/>
      </c>
      <c r="S24" s="352"/>
      <c r="T24" s="352" t="e">
        <f>IF(AND('Mapa final'!#REF!="Media",'Mapa final'!#REF!="Menor"),CONCATENATE("R",'Mapa final'!#REF!),"")</f>
        <v>#REF!</v>
      </c>
      <c r="U24" s="353"/>
      <c r="V24" s="351" t="str">
        <f>IF(AND('Mapa final'!$H$13="Media",'Mapa final'!$L$13="Moderado"),CONCATENATE("R",'Mapa final'!$A$13),"")</f>
        <v/>
      </c>
      <c r="W24" s="352"/>
      <c r="X24" s="352" t="str">
        <f>IF(AND('Mapa final'!$H$17="Media",'Mapa final'!$L$17="Moderado"),CONCATENATE("R",'Mapa final'!$A$17),"")</f>
        <v>R2</v>
      </c>
      <c r="Y24" s="352"/>
      <c r="Z24" s="352" t="e">
        <f>IF(AND('Mapa final'!#REF!="Media",'Mapa final'!#REF!="Moderado"),CONCATENATE("R",'Mapa final'!#REF!),"")</f>
        <v>#REF!</v>
      </c>
      <c r="AA24" s="353"/>
      <c r="AB24" s="335" t="str">
        <f>IF(AND('Mapa final'!$H$13="Media",'Mapa final'!$L$13="Mayor"),CONCATENATE("R",'Mapa final'!$A$13),"")</f>
        <v/>
      </c>
      <c r="AC24" s="331"/>
      <c r="AD24" s="331" t="str">
        <f>IF(AND('Mapa final'!$H$17="Media",'Mapa final'!$L$17="Mayor"),CONCATENATE("R",'Mapa final'!$A$17),"")</f>
        <v/>
      </c>
      <c r="AE24" s="331"/>
      <c r="AF24" s="331" t="e">
        <f>IF(AND('Mapa final'!#REF!="Media",'Mapa final'!#REF!="Mayor"),CONCATENATE("R",'Mapa final'!#REF!),"")</f>
        <v>#REF!</v>
      </c>
      <c r="AG24" s="332"/>
      <c r="AH24" s="342" t="str">
        <f>IF(AND('Mapa final'!$H$13="Media",'Mapa final'!$L$13="Catastrófico"),CONCATENATE("R",'Mapa final'!$A$13),"")</f>
        <v/>
      </c>
      <c r="AI24" s="343"/>
      <c r="AJ24" s="343" t="str">
        <f>IF(AND('Mapa final'!$H$17="Media",'Mapa final'!$L$17="Catastrófico"),CONCATENATE("R",'Mapa final'!$A$17),"")</f>
        <v/>
      </c>
      <c r="AK24" s="343"/>
      <c r="AL24" s="343" t="e">
        <f>IF(AND('Mapa final'!#REF!="Media",'Mapa final'!#REF!="Catastrófico"),CONCATENATE("R",'Mapa final'!#REF!),"")</f>
        <v>#REF!</v>
      </c>
      <c r="AM24" s="344"/>
      <c r="AN24" s="69"/>
      <c r="AO24" s="307"/>
      <c r="AP24" s="308"/>
      <c r="AQ24" s="308"/>
      <c r="AR24" s="308"/>
      <c r="AS24" s="308"/>
      <c r="AT24" s="30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284"/>
      <c r="C25" s="284"/>
      <c r="D25" s="285"/>
      <c r="E25" s="325"/>
      <c r="F25" s="326"/>
      <c r="G25" s="326"/>
      <c r="H25" s="326"/>
      <c r="I25" s="327"/>
      <c r="J25" s="351"/>
      <c r="K25" s="352"/>
      <c r="L25" s="352"/>
      <c r="M25" s="352"/>
      <c r="N25" s="352"/>
      <c r="O25" s="353"/>
      <c r="P25" s="351"/>
      <c r="Q25" s="352"/>
      <c r="R25" s="352"/>
      <c r="S25" s="352"/>
      <c r="T25" s="352"/>
      <c r="U25" s="353"/>
      <c r="V25" s="351"/>
      <c r="W25" s="352"/>
      <c r="X25" s="352"/>
      <c r="Y25" s="352"/>
      <c r="Z25" s="352"/>
      <c r="AA25" s="353"/>
      <c r="AB25" s="335"/>
      <c r="AC25" s="331"/>
      <c r="AD25" s="331"/>
      <c r="AE25" s="331"/>
      <c r="AF25" s="331"/>
      <c r="AG25" s="332"/>
      <c r="AH25" s="342"/>
      <c r="AI25" s="343"/>
      <c r="AJ25" s="343"/>
      <c r="AK25" s="343"/>
      <c r="AL25" s="343"/>
      <c r="AM25" s="344"/>
      <c r="AN25" s="69"/>
      <c r="AO25" s="307"/>
      <c r="AP25" s="308"/>
      <c r="AQ25" s="308"/>
      <c r="AR25" s="308"/>
      <c r="AS25" s="308"/>
      <c r="AT25" s="30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284"/>
      <c r="C26" s="284"/>
      <c r="D26" s="285"/>
      <c r="E26" s="325"/>
      <c r="F26" s="326"/>
      <c r="G26" s="326"/>
      <c r="H26" s="326"/>
      <c r="I26" s="327"/>
      <c r="J26" s="351" t="e">
        <f>IF(AND('Mapa final'!#REF!="Media",'Mapa final'!#REF!="Leve"),CONCATENATE("R",'Mapa final'!#REF!),"")</f>
        <v>#REF!</v>
      </c>
      <c r="K26" s="352"/>
      <c r="L26" s="352" t="e">
        <f>IF(AND('Mapa final'!#REF!="Media",'Mapa final'!#REF!="Leve"),CONCATENATE("R",'Mapa final'!#REF!),"")</f>
        <v>#REF!</v>
      </c>
      <c r="M26" s="352"/>
      <c r="N26" s="352" t="e">
        <f>IF(AND('Mapa final'!#REF!="Media",'Mapa final'!#REF!="Leve"),CONCATENATE("R",'Mapa final'!#REF!),"")</f>
        <v>#REF!</v>
      </c>
      <c r="O26" s="353"/>
      <c r="P26" s="351" t="e">
        <f>IF(AND('Mapa final'!#REF!="Media",'Mapa final'!#REF!="Menor"),CONCATENATE("R",'Mapa final'!#REF!),"")</f>
        <v>#REF!</v>
      </c>
      <c r="Q26" s="352"/>
      <c r="R26" s="352" t="e">
        <f>IF(AND('Mapa final'!#REF!="Media",'Mapa final'!#REF!="Menor"),CONCATENATE("R",'Mapa final'!#REF!),"")</f>
        <v>#REF!</v>
      </c>
      <c r="S26" s="352"/>
      <c r="T26" s="352" t="e">
        <f>IF(AND('Mapa final'!#REF!="Media",'Mapa final'!#REF!="Menor"),CONCATENATE("R",'Mapa final'!#REF!),"")</f>
        <v>#REF!</v>
      </c>
      <c r="U26" s="353"/>
      <c r="V26" s="351" t="e">
        <f>IF(AND('Mapa final'!#REF!="Media",'Mapa final'!#REF!="Moderado"),CONCATENATE("R",'Mapa final'!#REF!),"")</f>
        <v>#REF!</v>
      </c>
      <c r="W26" s="352"/>
      <c r="X26" s="352" t="e">
        <f>IF(AND('Mapa final'!#REF!="Media",'Mapa final'!#REF!="Moderado"),CONCATENATE("R",'Mapa final'!#REF!),"")</f>
        <v>#REF!</v>
      </c>
      <c r="Y26" s="352"/>
      <c r="Z26" s="352" t="e">
        <f>IF(AND('Mapa final'!#REF!="Media",'Mapa final'!#REF!="Moderado"),CONCATENATE("R",'Mapa final'!#REF!),"")</f>
        <v>#REF!</v>
      </c>
      <c r="AA26" s="353"/>
      <c r="AB26" s="335" t="e">
        <f>IF(AND('Mapa final'!#REF!="Media",'Mapa final'!#REF!="Mayor"),CONCATENATE("R",'Mapa final'!#REF!),"")</f>
        <v>#REF!</v>
      </c>
      <c r="AC26" s="331"/>
      <c r="AD26" s="331" t="e">
        <f>IF(AND('Mapa final'!#REF!="Media",'Mapa final'!#REF!="Mayor"),CONCATENATE("R",'Mapa final'!#REF!),"")</f>
        <v>#REF!</v>
      </c>
      <c r="AE26" s="331"/>
      <c r="AF26" s="331" t="e">
        <f>IF(AND('Mapa final'!#REF!="Media",'Mapa final'!#REF!="Mayor"),CONCATENATE("R",'Mapa final'!#REF!),"")</f>
        <v>#REF!</v>
      </c>
      <c r="AG26" s="332"/>
      <c r="AH26" s="342" t="e">
        <f>IF(AND('Mapa final'!#REF!="Media",'Mapa final'!#REF!="Catastrófico"),CONCATENATE("R",'Mapa final'!#REF!),"")</f>
        <v>#REF!</v>
      </c>
      <c r="AI26" s="343"/>
      <c r="AJ26" s="343" t="e">
        <f>IF(AND('Mapa final'!#REF!="Media",'Mapa final'!#REF!="Catastrófico"),CONCATENATE("R",'Mapa final'!#REF!),"")</f>
        <v>#REF!</v>
      </c>
      <c r="AK26" s="343"/>
      <c r="AL26" s="343" t="e">
        <f>IF(AND('Mapa final'!#REF!="Media",'Mapa final'!#REF!="Catastrófico"),CONCATENATE("R",'Mapa final'!#REF!),"")</f>
        <v>#REF!</v>
      </c>
      <c r="AM26" s="344"/>
      <c r="AN26" s="69"/>
      <c r="AO26" s="307"/>
      <c r="AP26" s="308"/>
      <c r="AQ26" s="308"/>
      <c r="AR26" s="308"/>
      <c r="AS26" s="308"/>
      <c r="AT26" s="30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284"/>
      <c r="C27" s="284"/>
      <c r="D27" s="285"/>
      <c r="E27" s="325"/>
      <c r="F27" s="326"/>
      <c r="G27" s="326"/>
      <c r="H27" s="326"/>
      <c r="I27" s="327"/>
      <c r="J27" s="351"/>
      <c r="K27" s="352"/>
      <c r="L27" s="352"/>
      <c r="M27" s="352"/>
      <c r="N27" s="352"/>
      <c r="O27" s="353"/>
      <c r="P27" s="351"/>
      <c r="Q27" s="352"/>
      <c r="R27" s="352"/>
      <c r="S27" s="352"/>
      <c r="T27" s="352"/>
      <c r="U27" s="353"/>
      <c r="V27" s="351"/>
      <c r="W27" s="352"/>
      <c r="X27" s="352"/>
      <c r="Y27" s="352"/>
      <c r="Z27" s="352"/>
      <c r="AA27" s="353"/>
      <c r="AB27" s="335"/>
      <c r="AC27" s="331"/>
      <c r="AD27" s="331"/>
      <c r="AE27" s="331"/>
      <c r="AF27" s="331"/>
      <c r="AG27" s="332"/>
      <c r="AH27" s="342"/>
      <c r="AI27" s="343"/>
      <c r="AJ27" s="343"/>
      <c r="AK27" s="343"/>
      <c r="AL27" s="343"/>
      <c r="AM27" s="344"/>
      <c r="AN27" s="69"/>
      <c r="AO27" s="307"/>
      <c r="AP27" s="308"/>
      <c r="AQ27" s="308"/>
      <c r="AR27" s="308"/>
      <c r="AS27" s="308"/>
      <c r="AT27" s="30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284"/>
      <c r="C28" s="284"/>
      <c r="D28" s="285"/>
      <c r="E28" s="325"/>
      <c r="F28" s="326"/>
      <c r="G28" s="326"/>
      <c r="H28" s="326"/>
      <c r="I28" s="327"/>
      <c r="J28" s="351" t="e">
        <f>IF(AND('Mapa final'!#REF!="Media",'Mapa final'!#REF!="Leve"),CONCATENATE("R",'Mapa final'!#REF!),"")</f>
        <v>#REF!</v>
      </c>
      <c r="K28" s="352"/>
      <c r="L28" s="352" t="str">
        <f>IF(AND('Mapa final'!$H$23="Media",'Mapa final'!$L$23="Leve"),CONCATENATE("R",'Mapa final'!$A$23),"")</f>
        <v/>
      </c>
      <c r="M28" s="352"/>
      <c r="N28" s="352" t="e">
        <f>IF(AND('Mapa final'!#REF!="Media",'Mapa final'!#REF!="Leve"),CONCATENATE("R",'Mapa final'!#REF!),"")</f>
        <v>#REF!</v>
      </c>
      <c r="O28" s="353"/>
      <c r="P28" s="351" t="e">
        <f>IF(AND('Mapa final'!#REF!="Media",'Mapa final'!#REF!="Menor"),CONCATENATE("R",'Mapa final'!#REF!),"")</f>
        <v>#REF!</v>
      </c>
      <c r="Q28" s="352"/>
      <c r="R28" s="352" t="str">
        <f>IF(AND('Mapa final'!$H$23="Media",'Mapa final'!$L$23="Menor"),CONCATENATE("R",'Mapa final'!$A$23),"")</f>
        <v/>
      </c>
      <c r="S28" s="352"/>
      <c r="T28" s="352" t="e">
        <f>IF(AND('Mapa final'!#REF!="Media",'Mapa final'!#REF!="Menor"),CONCATENATE("R",'Mapa final'!#REF!),"")</f>
        <v>#REF!</v>
      </c>
      <c r="U28" s="353"/>
      <c r="V28" s="351" t="e">
        <f>IF(AND('Mapa final'!#REF!="Media",'Mapa final'!#REF!="Moderado"),CONCATENATE("R",'Mapa final'!#REF!),"")</f>
        <v>#REF!</v>
      </c>
      <c r="W28" s="352"/>
      <c r="X28" s="352" t="str">
        <f>IF(AND('Mapa final'!$H$23="Media",'Mapa final'!$L$23="Moderado"),CONCATENATE("R",'Mapa final'!$A$23),"")</f>
        <v/>
      </c>
      <c r="Y28" s="352"/>
      <c r="Z28" s="352" t="e">
        <f>IF(AND('Mapa final'!#REF!="Media",'Mapa final'!#REF!="Moderado"),CONCATENATE("R",'Mapa final'!#REF!),"")</f>
        <v>#REF!</v>
      </c>
      <c r="AA28" s="353"/>
      <c r="AB28" s="335" t="e">
        <f>IF(AND('Mapa final'!#REF!="Media",'Mapa final'!#REF!="Mayor"),CONCATENATE("R",'Mapa final'!#REF!),"")</f>
        <v>#REF!</v>
      </c>
      <c r="AC28" s="331"/>
      <c r="AD28" s="331" t="str">
        <f>IF(AND('Mapa final'!$H$23="Media",'Mapa final'!$L$23="Mayor"),CONCATENATE("R",'Mapa final'!$A$23),"")</f>
        <v/>
      </c>
      <c r="AE28" s="331"/>
      <c r="AF28" s="331" t="e">
        <f>IF(AND('Mapa final'!#REF!="Media",'Mapa final'!#REF!="Mayor"),CONCATENATE("R",'Mapa final'!#REF!),"")</f>
        <v>#REF!</v>
      </c>
      <c r="AG28" s="332"/>
      <c r="AH28" s="342" t="e">
        <f>IF(AND('Mapa final'!#REF!="Media",'Mapa final'!#REF!="Catastrófico"),CONCATENATE("R",'Mapa final'!#REF!),"")</f>
        <v>#REF!</v>
      </c>
      <c r="AI28" s="343"/>
      <c r="AJ28" s="343" t="str">
        <f>IF(AND('Mapa final'!$H$23="Media",'Mapa final'!$L$23="Catastrófico"),CONCATENATE("R",'Mapa final'!$A$23),"")</f>
        <v/>
      </c>
      <c r="AK28" s="343"/>
      <c r="AL28" s="343" t="e">
        <f>IF(AND('Mapa final'!#REF!="Media",'Mapa final'!#REF!="Catastrófico"),CONCATENATE("R",'Mapa final'!#REF!),"")</f>
        <v>#REF!</v>
      </c>
      <c r="AM28" s="344"/>
      <c r="AN28" s="69"/>
      <c r="AO28" s="307"/>
      <c r="AP28" s="308"/>
      <c r="AQ28" s="308"/>
      <c r="AR28" s="308"/>
      <c r="AS28" s="308"/>
      <c r="AT28" s="30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284"/>
      <c r="C29" s="284"/>
      <c r="D29" s="285"/>
      <c r="E29" s="328"/>
      <c r="F29" s="329"/>
      <c r="G29" s="329"/>
      <c r="H29" s="329"/>
      <c r="I29" s="330"/>
      <c r="J29" s="351"/>
      <c r="K29" s="352"/>
      <c r="L29" s="352"/>
      <c r="M29" s="352"/>
      <c r="N29" s="352"/>
      <c r="O29" s="353"/>
      <c r="P29" s="354"/>
      <c r="Q29" s="355"/>
      <c r="R29" s="355"/>
      <c r="S29" s="355"/>
      <c r="T29" s="355"/>
      <c r="U29" s="356"/>
      <c r="V29" s="354"/>
      <c r="W29" s="355"/>
      <c r="X29" s="355"/>
      <c r="Y29" s="355"/>
      <c r="Z29" s="355"/>
      <c r="AA29" s="356"/>
      <c r="AB29" s="339"/>
      <c r="AC29" s="340"/>
      <c r="AD29" s="340"/>
      <c r="AE29" s="340"/>
      <c r="AF29" s="340"/>
      <c r="AG29" s="341"/>
      <c r="AH29" s="345"/>
      <c r="AI29" s="346"/>
      <c r="AJ29" s="346"/>
      <c r="AK29" s="346"/>
      <c r="AL29" s="346"/>
      <c r="AM29" s="347"/>
      <c r="AN29" s="69"/>
      <c r="AO29" s="310"/>
      <c r="AP29" s="311"/>
      <c r="AQ29" s="311"/>
      <c r="AR29" s="311"/>
      <c r="AS29" s="311"/>
      <c r="AT29" s="312"/>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284"/>
      <c r="C30" s="284"/>
      <c r="D30" s="285"/>
      <c r="E30" s="322" t="s">
        <v>114</v>
      </c>
      <c r="F30" s="323"/>
      <c r="G30" s="323"/>
      <c r="H30" s="323"/>
      <c r="I30" s="323"/>
      <c r="J30" s="366" t="e">
        <f>IF(AND('Mapa final'!#REF!="Baja",'Mapa final'!#REF!="Leve"),CONCATENATE("R",'Mapa final'!#REF!),"")</f>
        <v>#REF!</v>
      </c>
      <c r="K30" s="367"/>
      <c r="L30" s="367" t="e">
        <f>IF(AND('Mapa final'!#REF!="Baja",'Mapa final'!#REF!="Leve"),CONCATENATE("R",'Mapa final'!#REF!),"")</f>
        <v>#REF!</v>
      </c>
      <c r="M30" s="367"/>
      <c r="N30" s="367" t="e">
        <f>IF(AND('Mapa final'!#REF!="Baja",'Mapa final'!#REF!="Leve"),CONCATENATE("R",'Mapa final'!#REF!),"")</f>
        <v>#REF!</v>
      </c>
      <c r="O30" s="368"/>
      <c r="P30" s="358" t="e">
        <f>IF(AND('Mapa final'!#REF!="Baja",'Mapa final'!#REF!="Menor"),CONCATENATE("R",'Mapa final'!#REF!),"")</f>
        <v>#REF!</v>
      </c>
      <c r="Q30" s="358"/>
      <c r="R30" s="358" t="e">
        <f>IF(AND('Mapa final'!#REF!="Baja",'Mapa final'!#REF!="Menor"),CONCATENATE("R",'Mapa final'!#REF!),"")</f>
        <v>#REF!</v>
      </c>
      <c r="S30" s="358"/>
      <c r="T30" s="358" t="e">
        <f>IF(AND('Mapa final'!#REF!="Baja",'Mapa final'!#REF!="Menor"),CONCATENATE("R",'Mapa final'!#REF!),"")</f>
        <v>#REF!</v>
      </c>
      <c r="U30" s="359"/>
      <c r="V30" s="357" t="e">
        <f>IF(AND('Mapa final'!#REF!="Baja",'Mapa final'!#REF!="Moderado"),CONCATENATE("R",'Mapa final'!#REF!),"")</f>
        <v>#REF!</v>
      </c>
      <c r="W30" s="358"/>
      <c r="X30" s="358" t="e">
        <f>IF(AND('Mapa final'!#REF!="Baja",'Mapa final'!#REF!="Moderado"),CONCATENATE("R",'Mapa final'!#REF!),"")</f>
        <v>#REF!</v>
      </c>
      <c r="Y30" s="358"/>
      <c r="Z30" s="358" t="e">
        <f>IF(AND('Mapa final'!#REF!="Baja",'Mapa final'!#REF!="Moderado"),CONCATENATE("R",'Mapa final'!#REF!),"")</f>
        <v>#REF!</v>
      </c>
      <c r="AA30" s="359"/>
      <c r="AB30" s="333" t="e">
        <f>IF(AND('Mapa final'!#REF!="Baja",'Mapa final'!#REF!="Mayor"),CONCATENATE("R",'Mapa final'!#REF!),"")</f>
        <v>#REF!</v>
      </c>
      <c r="AC30" s="334"/>
      <c r="AD30" s="334" t="e">
        <f>IF(AND('Mapa final'!#REF!="Baja",'Mapa final'!#REF!="Mayor"),CONCATENATE("R",'Mapa final'!#REF!),"")</f>
        <v>#REF!</v>
      </c>
      <c r="AE30" s="334"/>
      <c r="AF30" s="334" t="e">
        <f>IF(AND('Mapa final'!#REF!="Baja",'Mapa final'!#REF!="Mayor"),CONCATENATE("R",'Mapa final'!#REF!),"")</f>
        <v>#REF!</v>
      </c>
      <c r="AG30" s="336"/>
      <c r="AH30" s="348" t="e">
        <f>IF(AND('Mapa final'!#REF!="Baja",'Mapa final'!#REF!="Catastrófico"),CONCATENATE("R",'Mapa final'!#REF!),"")</f>
        <v>#REF!</v>
      </c>
      <c r="AI30" s="349"/>
      <c r="AJ30" s="349" t="e">
        <f>IF(AND('Mapa final'!#REF!="Baja",'Mapa final'!#REF!="Catastrófico"),CONCATENATE("R",'Mapa final'!#REF!),"")</f>
        <v>#REF!</v>
      </c>
      <c r="AK30" s="349"/>
      <c r="AL30" s="349" t="e">
        <f>IF(AND('Mapa final'!#REF!="Baja",'Mapa final'!#REF!="Catastrófico"),CONCATENATE("R",'Mapa final'!#REF!),"")</f>
        <v>#REF!</v>
      </c>
      <c r="AM30" s="350"/>
      <c r="AN30" s="69"/>
      <c r="AO30" s="313" t="s">
        <v>82</v>
      </c>
      <c r="AP30" s="314"/>
      <c r="AQ30" s="314"/>
      <c r="AR30" s="314"/>
      <c r="AS30" s="314"/>
      <c r="AT30" s="315"/>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284"/>
      <c r="C31" s="284"/>
      <c r="D31" s="285"/>
      <c r="E31" s="325"/>
      <c r="F31" s="326"/>
      <c r="G31" s="326"/>
      <c r="H31" s="326"/>
      <c r="I31" s="326"/>
      <c r="J31" s="362"/>
      <c r="K31" s="360"/>
      <c r="L31" s="360"/>
      <c r="M31" s="360"/>
      <c r="N31" s="360"/>
      <c r="O31" s="361"/>
      <c r="P31" s="352"/>
      <c r="Q31" s="352"/>
      <c r="R31" s="352"/>
      <c r="S31" s="352"/>
      <c r="T31" s="352"/>
      <c r="U31" s="353"/>
      <c r="V31" s="351"/>
      <c r="W31" s="352"/>
      <c r="X31" s="352"/>
      <c r="Y31" s="352"/>
      <c r="Z31" s="352"/>
      <c r="AA31" s="353"/>
      <c r="AB31" s="335"/>
      <c r="AC31" s="331"/>
      <c r="AD31" s="331"/>
      <c r="AE31" s="331"/>
      <c r="AF31" s="331"/>
      <c r="AG31" s="332"/>
      <c r="AH31" s="342"/>
      <c r="AI31" s="343"/>
      <c r="AJ31" s="343"/>
      <c r="AK31" s="343"/>
      <c r="AL31" s="343"/>
      <c r="AM31" s="344"/>
      <c r="AN31" s="69"/>
      <c r="AO31" s="316"/>
      <c r="AP31" s="317"/>
      <c r="AQ31" s="317"/>
      <c r="AR31" s="317"/>
      <c r="AS31" s="317"/>
      <c r="AT31" s="318"/>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284"/>
      <c r="C32" s="284"/>
      <c r="D32" s="285"/>
      <c r="E32" s="325"/>
      <c r="F32" s="326"/>
      <c r="G32" s="326"/>
      <c r="H32" s="326"/>
      <c r="I32" s="326"/>
      <c r="J32" s="362" t="str">
        <f>IF(AND('Mapa final'!$H$13="Baja",'Mapa final'!$L$13="Leve"),CONCATENATE("R",'Mapa final'!$A$13),"")</f>
        <v/>
      </c>
      <c r="K32" s="360"/>
      <c r="L32" s="360" t="str">
        <f>IF(AND('Mapa final'!$H$17="Baja",'Mapa final'!$L$17="Leve"),CONCATENATE("R",'Mapa final'!$A$17),"")</f>
        <v/>
      </c>
      <c r="M32" s="360"/>
      <c r="N32" s="360" t="e">
        <f>IF(AND('Mapa final'!#REF!="Baja",'Mapa final'!#REF!="Leve"),CONCATENATE("R",'Mapa final'!#REF!),"")</f>
        <v>#REF!</v>
      </c>
      <c r="O32" s="361"/>
      <c r="P32" s="352" t="str">
        <f>IF(AND('Mapa final'!$H$13="Baja",'Mapa final'!$L$13="Menor"),CONCATENATE("R",'Mapa final'!$A$13),"")</f>
        <v/>
      </c>
      <c r="Q32" s="352"/>
      <c r="R32" s="352" t="str">
        <f>IF(AND('Mapa final'!$H$17="Baja",'Mapa final'!$L$17="Menor"),CONCATENATE("R",'Mapa final'!$A$17),"")</f>
        <v/>
      </c>
      <c r="S32" s="352"/>
      <c r="T32" s="352" t="e">
        <f>IF(AND('Mapa final'!#REF!="Baja",'Mapa final'!#REF!="Menor"),CONCATENATE("R",'Mapa final'!#REF!),"")</f>
        <v>#REF!</v>
      </c>
      <c r="U32" s="353"/>
      <c r="V32" s="351" t="str">
        <f>IF(AND('Mapa final'!$H$13="Baja",'Mapa final'!$L$13="Moderado"),CONCATENATE("R",'Mapa final'!$A$13),"")</f>
        <v/>
      </c>
      <c r="W32" s="352"/>
      <c r="X32" s="352" t="str">
        <f>IF(AND('Mapa final'!$H$17="Baja",'Mapa final'!$L$17="Moderado"),CONCATENATE("R",'Mapa final'!$A$17),"")</f>
        <v/>
      </c>
      <c r="Y32" s="352"/>
      <c r="Z32" s="352" t="e">
        <f>IF(AND('Mapa final'!#REF!="Baja",'Mapa final'!#REF!="Moderado"),CONCATENATE("R",'Mapa final'!#REF!),"")</f>
        <v>#REF!</v>
      </c>
      <c r="AA32" s="353"/>
      <c r="AB32" s="335" t="str">
        <f>IF(AND('Mapa final'!$H$13="Baja",'Mapa final'!$L$13="Mayor"),CONCATENATE("R",'Mapa final'!$A$13),"")</f>
        <v>R1</v>
      </c>
      <c r="AC32" s="331"/>
      <c r="AD32" s="331" t="str">
        <f>IF(AND('Mapa final'!$H$17="Baja",'Mapa final'!$L$17="Mayor"),CONCATENATE("R",'Mapa final'!$A$17),"")</f>
        <v/>
      </c>
      <c r="AE32" s="331"/>
      <c r="AF32" s="331" t="e">
        <f>IF(AND('Mapa final'!#REF!="Baja",'Mapa final'!#REF!="Mayor"),CONCATENATE("R",'Mapa final'!#REF!),"")</f>
        <v>#REF!</v>
      </c>
      <c r="AG32" s="332"/>
      <c r="AH32" s="342" t="str">
        <f>IF(AND('Mapa final'!$H$13="Baja",'Mapa final'!$L$13="Catastrófico"),CONCATENATE("R",'Mapa final'!$A$13),"")</f>
        <v/>
      </c>
      <c r="AI32" s="343"/>
      <c r="AJ32" s="343" t="str">
        <f>IF(AND('Mapa final'!$H$17="Baja",'Mapa final'!$L$17="Catastrófico"),CONCATENATE("R",'Mapa final'!$A$17),"")</f>
        <v/>
      </c>
      <c r="AK32" s="343"/>
      <c r="AL32" s="343" t="e">
        <f>IF(AND('Mapa final'!#REF!="Baja",'Mapa final'!#REF!="Catastrófico"),CONCATENATE("R",'Mapa final'!#REF!),"")</f>
        <v>#REF!</v>
      </c>
      <c r="AM32" s="344"/>
      <c r="AN32" s="69"/>
      <c r="AO32" s="316"/>
      <c r="AP32" s="317"/>
      <c r="AQ32" s="317"/>
      <c r="AR32" s="317"/>
      <c r="AS32" s="317"/>
      <c r="AT32" s="318"/>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284"/>
      <c r="C33" s="284"/>
      <c r="D33" s="285"/>
      <c r="E33" s="325"/>
      <c r="F33" s="326"/>
      <c r="G33" s="326"/>
      <c r="H33" s="326"/>
      <c r="I33" s="326"/>
      <c r="J33" s="362"/>
      <c r="K33" s="360"/>
      <c r="L33" s="360"/>
      <c r="M33" s="360"/>
      <c r="N33" s="360"/>
      <c r="O33" s="361"/>
      <c r="P33" s="352"/>
      <c r="Q33" s="352"/>
      <c r="R33" s="352"/>
      <c r="S33" s="352"/>
      <c r="T33" s="352"/>
      <c r="U33" s="353"/>
      <c r="V33" s="351"/>
      <c r="W33" s="352"/>
      <c r="X33" s="352"/>
      <c r="Y33" s="352"/>
      <c r="Z33" s="352"/>
      <c r="AA33" s="353"/>
      <c r="AB33" s="335"/>
      <c r="AC33" s="331"/>
      <c r="AD33" s="331"/>
      <c r="AE33" s="331"/>
      <c r="AF33" s="331"/>
      <c r="AG33" s="332"/>
      <c r="AH33" s="342"/>
      <c r="AI33" s="343"/>
      <c r="AJ33" s="343"/>
      <c r="AK33" s="343"/>
      <c r="AL33" s="343"/>
      <c r="AM33" s="344"/>
      <c r="AN33" s="69"/>
      <c r="AO33" s="316"/>
      <c r="AP33" s="317"/>
      <c r="AQ33" s="317"/>
      <c r="AR33" s="317"/>
      <c r="AS33" s="317"/>
      <c r="AT33" s="318"/>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284"/>
      <c r="C34" s="284"/>
      <c r="D34" s="285"/>
      <c r="E34" s="325"/>
      <c r="F34" s="326"/>
      <c r="G34" s="326"/>
      <c r="H34" s="326"/>
      <c r="I34" s="326"/>
      <c r="J34" s="362" t="e">
        <f>IF(AND('Mapa final'!#REF!="Baja",'Mapa final'!#REF!="Leve"),CONCATENATE("R",'Mapa final'!#REF!),"")</f>
        <v>#REF!</v>
      </c>
      <c r="K34" s="360"/>
      <c r="L34" s="360" t="e">
        <f>IF(AND('Mapa final'!#REF!="Baja",'Mapa final'!#REF!="Leve"),CONCATENATE("R",'Mapa final'!#REF!),"")</f>
        <v>#REF!</v>
      </c>
      <c r="M34" s="360"/>
      <c r="N34" s="360" t="e">
        <f>IF(AND('Mapa final'!#REF!="Baja",'Mapa final'!#REF!="Leve"),CONCATENATE("R",'Mapa final'!#REF!),"")</f>
        <v>#REF!</v>
      </c>
      <c r="O34" s="361"/>
      <c r="P34" s="352" t="e">
        <f>IF(AND('Mapa final'!#REF!="Baja",'Mapa final'!#REF!="Menor"),CONCATENATE("R",'Mapa final'!#REF!),"")</f>
        <v>#REF!</v>
      </c>
      <c r="Q34" s="352"/>
      <c r="R34" s="352" t="e">
        <f>IF(AND('Mapa final'!#REF!="Baja",'Mapa final'!#REF!="Menor"),CONCATENATE("R",'Mapa final'!#REF!),"")</f>
        <v>#REF!</v>
      </c>
      <c r="S34" s="352"/>
      <c r="T34" s="352" t="e">
        <f>IF(AND('Mapa final'!#REF!="Baja",'Mapa final'!#REF!="Menor"),CONCATENATE("R",'Mapa final'!#REF!),"")</f>
        <v>#REF!</v>
      </c>
      <c r="U34" s="353"/>
      <c r="V34" s="351" t="e">
        <f>IF(AND('Mapa final'!#REF!="Baja",'Mapa final'!#REF!="Moderado"),CONCATENATE("R",'Mapa final'!#REF!),"")</f>
        <v>#REF!</v>
      </c>
      <c r="W34" s="352"/>
      <c r="X34" s="352" t="e">
        <f>IF(AND('Mapa final'!#REF!="Baja",'Mapa final'!#REF!="Moderado"),CONCATENATE("R",'Mapa final'!#REF!),"")</f>
        <v>#REF!</v>
      </c>
      <c r="Y34" s="352"/>
      <c r="Z34" s="352" t="e">
        <f>IF(AND('Mapa final'!#REF!="Baja",'Mapa final'!#REF!="Moderado"),CONCATENATE("R",'Mapa final'!#REF!),"")</f>
        <v>#REF!</v>
      </c>
      <c r="AA34" s="353"/>
      <c r="AB34" s="335" t="e">
        <f>IF(AND('Mapa final'!#REF!="Baja",'Mapa final'!#REF!="Mayor"),CONCATENATE("R",'Mapa final'!#REF!),"")</f>
        <v>#REF!</v>
      </c>
      <c r="AC34" s="331"/>
      <c r="AD34" s="331" t="e">
        <f>IF(AND('Mapa final'!#REF!="Baja",'Mapa final'!#REF!="Mayor"),CONCATENATE("R",'Mapa final'!#REF!),"")</f>
        <v>#REF!</v>
      </c>
      <c r="AE34" s="331"/>
      <c r="AF34" s="331" t="e">
        <f>IF(AND('Mapa final'!#REF!="Baja",'Mapa final'!#REF!="Mayor"),CONCATENATE("R",'Mapa final'!#REF!),"")</f>
        <v>#REF!</v>
      </c>
      <c r="AG34" s="332"/>
      <c r="AH34" s="342" t="e">
        <f>IF(AND('Mapa final'!#REF!="Baja",'Mapa final'!#REF!="Catastrófico"),CONCATENATE("R",'Mapa final'!#REF!),"")</f>
        <v>#REF!</v>
      </c>
      <c r="AI34" s="343"/>
      <c r="AJ34" s="343" t="e">
        <f>IF(AND('Mapa final'!#REF!="Baja",'Mapa final'!#REF!="Catastrófico"),CONCATENATE("R",'Mapa final'!#REF!),"")</f>
        <v>#REF!</v>
      </c>
      <c r="AK34" s="343"/>
      <c r="AL34" s="343" t="e">
        <f>IF(AND('Mapa final'!#REF!="Baja",'Mapa final'!#REF!="Catastrófico"),CONCATENATE("R",'Mapa final'!#REF!),"")</f>
        <v>#REF!</v>
      </c>
      <c r="AM34" s="344"/>
      <c r="AN34" s="69"/>
      <c r="AO34" s="316"/>
      <c r="AP34" s="317"/>
      <c r="AQ34" s="317"/>
      <c r="AR34" s="317"/>
      <c r="AS34" s="317"/>
      <c r="AT34" s="318"/>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284"/>
      <c r="C35" s="284"/>
      <c r="D35" s="285"/>
      <c r="E35" s="325"/>
      <c r="F35" s="326"/>
      <c r="G35" s="326"/>
      <c r="H35" s="326"/>
      <c r="I35" s="326"/>
      <c r="J35" s="362"/>
      <c r="K35" s="360"/>
      <c r="L35" s="360"/>
      <c r="M35" s="360"/>
      <c r="N35" s="360"/>
      <c r="O35" s="361"/>
      <c r="P35" s="352"/>
      <c r="Q35" s="352"/>
      <c r="R35" s="352"/>
      <c r="S35" s="352"/>
      <c r="T35" s="352"/>
      <c r="U35" s="353"/>
      <c r="V35" s="351"/>
      <c r="W35" s="352"/>
      <c r="X35" s="352"/>
      <c r="Y35" s="352"/>
      <c r="Z35" s="352"/>
      <c r="AA35" s="353"/>
      <c r="AB35" s="335"/>
      <c r="AC35" s="331"/>
      <c r="AD35" s="331"/>
      <c r="AE35" s="331"/>
      <c r="AF35" s="331"/>
      <c r="AG35" s="332"/>
      <c r="AH35" s="342"/>
      <c r="AI35" s="343"/>
      <c r="AJ35" s="343"/>
      <c r="AK35" s="343"/>
      <c r="AL35" s="343"/>
      <c r="AM35" s="344"/>
      <c r="AN35" s="69"/>
      <c r="AO35" s="316"/>
      <c r="AP35" s="317"/>
      <c r="AQ35" s="317"/>
      <c r="AR35" s="317"/>
      <c r="AS35" s="317"/>
      <c r="AT35" s="318"/>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284"/>
      <c r="C36" s="284"/>
      <c r="D36" s="285"/>
      <c r="E36" s="325"/>
      <c r="F36" s="326"/>
      <c r="G36" s="326"/>
      <c r="H36" s="326"/>
      <c r="I36" s="326"/>
      <c r="J36" s="362" t="e">
        <f>IF(AND('Mapa final'!#REF!="Baja",'Mapa final'!#REF!="Leve"),CONCATENATE("R",'Mapa final'!#REF!),"")</f>
        <v>#REF!</v>
      </c>
      <c r="K36" s="360"/>
      <c r="L36" s="360" t="str">
        <f>IF(AND('Mapa final'!$H$23="Baja",'Mapa final'!$L$23="Leve"),CONCATENATE("R",'Mapa final'!$A$23),"")</f>
        <v/>
      </c>
      <c r="M36" s="360"/>
      <c r="N36" s="360" t="e">
        <f>IF(AND('Mapa final'!#REF!="Baja",'Mapa final'!#REF!="Leve"),CONCATENATE("R",'Mapa final'!#REF!),"")</f>
        <v>#REF!</v>
      </c>
      <c r="O36" s="361"/>
      <c r="P36" s="352" t="e">
        <f>IF(AND('Mapa final'!#REF!="Baja",'Mapa final'!#REF!="Menor"),CONCATENATE("R",'Mapa final'!#REF!),"")</f>
        <v>#REF!</v>
      </c>
      <c r="Q36" s="352"/>
      <c r="R36" s="352" t="str">
        <f>IF(AND('Mapa final'!$H$23="Baja",'Mapa final'!$L$23="Menor"),CONCATENATE("R",'Mapa final'!$A$23),"")</f>
        <v/>
      </c>
      <c r="S36" s="352"/>
      <c r="T36" s="352" t="e">
        <f>IF(AND('Mapa final'!#REF!="Baja",'Mapa final'!#REF!="Menor"),CONCATENATE("R",'Mapa final'!#REF!),"")</f>
        <v>#REF!</v>
      </c>
      <c r="U36" s="353"/>
      <c r="V36" s="351" t="e">
        <f>IF(AND('Mapa final'!#REF!="Baja",'Mapa final'!#REF!="Moderado"),CONCATENATE("R",'Mapa final'!#REF!),"")</f>
        <v>#REF!</v>
      </c>
      <c r="W36" s="352"/>
      <c r="X36" s="352" t="str">
        <f>IF(AND('Mapa final'!$H$23="Baja",'Mapa final'!$L$23="Moderado"),CONCATENATE("R",'Mapa final'!$A$23),"")</f>
        <v/>
      </c>
      <c r="Y36" s="352"/>
      <c r="Z36" s="352" t="e">
        <f>IF(AND('Mapa final'!#REF!="Baja",'Mapa final'!#REF!="Moderado"),CONCATENATE("R",'Mapa final'!#REF!),"")</f>
        <v>#REF!</v>
      </c>
      <c r="AA36" s="353"/>
      <c r="AB36" s="335" t="e">
        <f>IF(AND('Mapa final'!#REF!="Baja",'Mapa final'!#REF!="Mayor"),CONCATENATE("R",'Mapa final'!#REF!),"")</f>
        <v>#REF!</v>
      </c>
      <c r="AC36" s="331"/>
      <c r="AD36" s="331" t="str">
        <f>IF(AND('Mapa final'!$H$23="Baja",'Mapa final'!$L$23="Mayor"),CONCATENATE("R",'Mapa final'!$A$23),"")</f>
        <v/>
      </c>
      <c r="AE36" s="331"/>
      <c r="AF36" s="331" t="e">
        <f>IF(AND('Mapa final'!#REF!="Baja",'Mapa final'!#REF!="Mayor"),CONCATENATE("R",'Mapa final'!#REF!),"")</f>
        <v>#REF!</v>
      </c>
      <c r="AG36" s="332"/>
      <c r="AH36" s="342" t="e">
        <f>IF(AND('Mapa final'!#REF!="Baja",'Mapa final'!#REF!="Catastrófico"),CONCATENATE("R",'Mapa final'!#REF!),"")</f>
        <v>#REF!</v>
      </c>
      <c r="AI36" s="343"/>
      <c r="AJ36" s="343" t="str">
        <f>IF(AND('Mapa final'!$H$23="Baja",'Mapa final'!$L$23="Catastrófico"),CONCATENATE("R",'Mapa final'!$A$23),"")</f>
        <v/>
      </c>
      <c r="AK36" s="343"/>
      <c r="AL36" s="343" t="e">
        <f>IF(AND('Mapa final'!#REF!="Baja",'Mapa final'!#REF!="Catastrófico"),CONCATENATE("R",'Mapa final'!#REF!),"")</f>
        <v>#REF!</v>
      </c>
      <c r="AM36" s="344"/>
      <c r="AN36" s="69"/>
      <c r="AO36" s="316"/>
      <c r="AP36" s="317"/>
      <c r="AQ36" s="317"/>
      <c r="AR36" s="317"/>
      <c r="AS36" s="317"/>
      <c r="AT36" s="318"/>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284"/>
      <c r="C37" s="284"/>
      <c r="D37" s="285"/>
      <c r="E37" s="328"/>
      <c r="F37" s="329"/>
      <c r="G37" s="329"/>
      <c r="H37" s="329"/>
      <c r="I37" s="329"/>
      <c r="J37" s="363"/>
      <c r="K37" s="364"/>
      <c r="L37" s="364"/>
      <c r="M37" s="364"/>
      <c r="N37" s="364"/>
      <c r="O37" s="365"/>
      <c r="P37" s="355"/>
      <c r="Q37" s="355"/>
      <c r="R37" s="355"/>
      <c r="S37" s="355"/>
      <c r="T37" s="355"/>
      <c r="U37" s="356"/>
      <c r="V37" s="354"/>
      <c r="W37" s="355"/>
      <c r="X37" s="355"/>
      <c r="Y37" s="355"/>
      <c r="Z37" s="355"/>
      <c r="AA37" s="356"/>
      <c r="AB37" s="339"/>
      <c r="AC37" s="340"/>
      <c r="AD37" s="340"/>
      <c r="AE37" s="340"/>
      <c r="AF37" s="340"/>
      <c r="AG37" s="341"/>
      <c r="AH37" s="345"/>
      <c r="AI37" s="346"/>
      <c r="AJ37" s="346"/>
      <c r="AK37" s="346"/>
      <c r="AL37" s="346"/>
      <c r="AM37" s="347"/>
      <c r="AN37" s="69"/>
      <c r="AO37" s="319"/>
      <c r="AP37" s="320"/>
      <c r="AQ37" s="320"/>
      <c r="AR37" s="320"/>
      <c r="AS37" s="320"/>
      <c r="AT37" s="321"/>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284"/>
      <c r="C38" s="284"/>
      <c r="D38" s="285"/>
      <c r="E38" s="322" t="s">
        <v>113</v>
      </c>
      <c r="F38" s="323"/>
      <c r="G38" s="323"/>
      <c r="H38" s="323"/>
      <c r="I38" s="324"/>
      <c r="J38" s="366" t="e">
        <f>IF(AND('Mapa final'!#REF!="Muy Baja",'Mapa final'!#REF!="Leve"),CONCATENATE("R",'Mapa final'!#REF!),"")</f>
        <v>#REF!</v>
      </c>
      <c r="K38" s="367"/>
      <c r="L38" s="367" t="e">
        <f>IF(AND('Mapa final'!#REF!="Muy Baja",'Mapa final'!#REF!="Leve"),CONCATENATE("R",'Mapa final'!#REF!),"")</f>
        <v>#REF!</v>
      </c>
      <c r="M38" s="367"/>
      <c r="N38" s="367" t="e">
        <f>IF(AND('Mapa final'!#REF!="Muy Baja",'Mapa final'!#REF!="Leve"),CONCATENATE("R",'Mapa final'!#REF!),"")</f>
        <v>#REF!</v>
      </c>
      <c r="O38" s="368"/>
      <c r="P38" s="366" t="e">
        <f>IF(AND('Mapa final'!#REF!="Muy Baja",'Mapa final'!#REF!="Menor"),CONCATENATE("R",'Mapa final'!#REF!),"")</f>
        <v>#REF!</v>
      </c>
      <c r="Q38" s="367"/>
      <c r="R38" s="367" t="e">
        <f>IF(AND('Mapa final'!#REF!="Muy Baja",'Mapa final'!#REF!="Menor"),CONCATENATE("R",'Mapa final'!#REF!),"")</f>
        <v>#REF!</v>
      </c>
      <c r="S38" s="367"/>
      <c r="T38" s="367" t="e">
        <f>IF(AND('Mapa final'!#REF!="Muy Baja",'Mapa final'!#REF!="Menor"),CONCATENATE("R",'Mapa final'!#REF!),"")</f>
        <v>#REF!</v>
      </c>
      <c r="U38" s="368"/>
      <c r="V38" s="357" t="e">
        <f>IF(AND('Mapa final'!#REF!="Muy Baja",'Mapa final'!#REF!="Moderado"),CONCATENATE("R",'Mapa final'!#REF!),"")</f>
        <v>#REF!</v>
      </c>
      <c r="W38" s="358"/>
      <c r="X38" s="358" t="e">
        <f>IF(AND('Mapa final'!#REF!="Muy Baja",'Mapa final'!#REF!="Moderado"),CONCATENATE("R",'Mapa final'!#REF!),"")</f>
        <v>#REF!</v>
      </c>
      <c r="Y38" s="358"/>
      <c r="Z38" s="358" t="e">
        <f>IF(AND('Mapa final'!#REF!="Muy Baja",'Mapa final'!#REF!="Moderado"),CONCATENATE("R",'Mapa final'!#REF!),"")</f>
        <v>#REF!</v>
      </c>
      <c r="AA38" s="359"/>
      <c r="AB38" s="333" t="e">
        <f>IF(AND('Mapa final'!#REF!="Muy Baja",'Mapa final'!#REF!="Mayor"),CONCATENATE("R",'Mapa final'!#REF!),"")</f>
        <v>#REF!</v>
      </c>
      <c r="AC38" s="334"/>
      <c r="AD38" s="334" t="e">
        <f>IF(AND('Mapa final'!#REF!="Muy Baja",'Mapa final'!#REF!="Mayor"),CONCATENATE("R",'Mapa final'!#REF!),"")</f>
        <v>#REF!</v>
      </c>
      <c r="AE38" s="334"/>
      <c r="AF38" s="334" t="e">
        <f>IF(AND('Mapa final'!#REF!="Muy Baja",'Mapa final'!#REF!="Mayor"),CONCATENATE("R",'Mapa final'!#REF!),"")</f>
        <v>#REF!</v>
      </c>
      <c r="AG38" s="336"/>
      <c r="AH38" s="348" t="e">
        <f>IF(AND('Mapa final'!#REF!="Muy Baja",'Mapa final'!#REF!="Catastrófico"),CONCATENATE("R",'Mapa final'!#REF!),"")</f>
        <v>#REF!</v>
      </c>
      <c r="AI38" s="349"/>
      <c r="AJ38" s="349" t="e">
        <f>IF(AND('Mapa final'!#REF!="Muy Baja",'Mapa final'!#REF!="Catastrófico"),CONCATENATE("R",'Mapa final'!#REF!),"")</f>
        <v>#REF!</v>
      </c>
      <c r="AK38" s="349"/>
      <c r="AL38" s="349" t="e">
        <f>IF(AND('Mapa final'!#REF!="Muy Baja",'Mapa final'!#REF!="Catastrófico"),CONCATENATE("R",'Mapa final'!#REF!),"")</f>
        <v>#REF!</v>
      </c>
      <c r="AM38" s="350"/>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284"/>
      <c r="C39" s="284"/>
      <c r="D39" s="285"/>
      <c r="E39" s="325"/>
      <c r="F39" s="326"/>
      <c r="G39" s="326"/>
      <c r="H39" s="326"/>
      <c r="I39" s="327"/>
      <c r="J39" s="362"/>
      <c r="K39" s="360"/>
      <c r="L39" s="360"/>
      <c r="M39" s="360"/>
      <c r="N39" s="360"/>
      <c r="O39" s="361"/>
      <c r="P39" s="362"/>
      <c r="Q39" s="360"/>
      <c r="R39" s="360"/>
      <c r="S39" s="360"/>
      <c r="T39" s="360"/>
      <c r="U39" s="361"/>
      <c r="V39" s="351"/>
      <c r="W39" s="352"/>
      <c r="X39" s="352"/>
      <c r="Y39" s="352"/>
      <c r="Z39" s="352"/>
      <c r="AA39" s="353"/>
      <c r="AB39" s="335"/>
      <c r="AC39" s="331"/>
      <c r="AD39" s="331"/>
      <c r="AE39" s="331"/>
      <c r="AF39" s="331"/>
      <c r="AG39" s="332"/>
      <c r="AH39" s="342"/>
      <c r="AI39" s="343"/>
      <c r="AJ39" s="343"/>
      <c r="AK39" s="343"/>
      <c r="AL39" s="343"/>
      <c r="AM39" s="344"/>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284"/>
      <c r="C40" s="284"/>
      <c r="D40" s="285"/>
      <c r="E40" s="325"/>
      <c r="F40" s="326"/>
      <c r="G40" s="326"/>
      <c r="H40" s="326"/>
      <c r="I40" s="327"/>
      <c r="J40" s="362" t="str">
        <f>IF(AND('Mapa final'!$H$13="Muy Baja",'Mapa final'!$L$13="Leve"),CONCATENATE("R",'Mapa final'!$A$13),"")</f>
        <v/>
      </c>
      <c r="K40" s="360"/>
      <c r="L40" s="360" t="str">
        <f>IF(AND('Mapa final'!$H$17="Muy Baja",'Mapa final'!$L$17="Leve"),CONCATENATE("R",'Mapa final'!$A$17),"")</f>
        <v/>
      </c>
      <c r="M40" s="360"/>
      <c r="N40" s="360" t="e">
        <f>IF(AND('Mapa final'!#REF!="Muy Baja",'Mapa final'!#REF!="Leve"),CONCATENATE("R",'Mapa final'!#REF!),"")</f>
        <v>#REF!</v>
      </c>
      <c r="O40" s="361"/>
      <c r="P40" s="362" t="str">
        <f>IF(AND('Mapa final'!$H$13="Muy Baja",'Mapa final'!$L$13="Menor"),CONCATENATE("R",'Mapa final'!$A$13),"")</f>
        <v/>
      </c>
      <c r="Q40" s="360"/>
      <c r="R40" s="360" t="str">
        <f>IF(AND('Mapa final'!$H$17="Muy Baja",'Mapa final'!$L$17="Menor"),CONCATENATE("R",'Mapa final'!$A$17),"")</f>
        <v/>
      </c>
      <c r="S40" s="360"/>
      <c r="T40" s="360" t="e">
        <f>IF(AND('Mapa final'!#REF!="Muy Baja",'Mapa final'!#REF!="Menor"),CONCATENATE("R",'Mapa final'!#REF!),"")</f>
        <v>#REF!</v>
      </c>
      <c r="U40" s="361"/>
      <c r="V40" s="351" t="str">
        <f>IF(AND('Mapa final'!$H$13="Muy Baja",'Mapa final'!$L$13="Moderado"),CONCATENATE("R",'Mapa final'!$A$13),"")</f>
        <v/>
      </c>
      <c r="W40" s="352"/>
      <c r="X40" s="352" t="str">
        <f>IF(AND('Mapa final'!$H$17="Muy Baja",'Mapa final'!$L$17="Moderado"),CONCATENATE("R",'Mapa final'!$A$17),"")</f>
        <v/>
      </c>
      <c r="Y40" s="352"/>
      <c r="Z40" s="352" t="e">
        <f>IF(AND('Mapa final'!#REF!="Muy Baja",'Mapa final'!#REF!="Moderado"),CONCATENATE("R",'Mapa final'!#REF!),"")</f>
        <v>#REF!</v>
      </c>
      <c r="AA40" s="353"/>
      <c r="AB40" s="335" t="str">
        <f>IF(AND('Mapa final'!$H$13="Muy Baja",'Mapa final'!$L$13="Mayor"),CONCATENATE("R",'Mapa final'!$A$13),"")</f>
        <v/>
      </c>
      <c r="AC40" s="331"/>
      <c r="AD40" s="331" t="str">
        <f>IF(AND('Mapa final'!$H$17="Muy Baja",'Mapa final'!$L$17="Mayor"),CONCATENATE("R",'Mapa final'!$A$17),"")</f>
        <v/>
      </c>
      <c r="AE40" s="331"/>
      <c r="AF40" s="331" t="e">
        <f>IF(AND('Mapa final'!#REF!="Muy Baja",'Mapa final'!#REF!="Mayor"),CONCATENATE("R",'Mapa final'!#REF!),"")</f>
        <v>#REF!</v>
      </c>
      <c r="AG40" s="332"/>
      <c r="AH40" s="342" t="str">
        <f>IF(AND('Mapa final'!$H$13="Muy Baja",'Mapa final'!$L$13="Catastrófico"),CONCATENATE("R",'Mapa final'!$A$13),"")</f>
        <v/>
      </c>
      <c r="AI40" s="343"/>
      <c r="AJ40" s="343" t="str">
        <f>IF(AND('Mapa final'!$H$17="Muy Baja",'Mapa final'!$L$17="Catastrófico"),CONCATENATE("R",'Mapa final'!$A$17),"")</f>
        <v/>
      </c>
      <c r="AK40" s="343"/>
      <c r="AL40" s="343" t="e">
        <f>IF(AND('Mapa final'!#REF!="Muy Baja",'Mapa final'!#REF!="Catastrófico"),CONCATENATE("R",'Mapa final'!#REF!),"")</f>
        <v>#REF!</v>
      </c>
      <c r="AM40" s="344"/>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284"/>
      <c r="C41" s="284"/>
      <c r="D41" s="285"/>
      <c r="E41" s="325"/>
      <c r="F41" s="326"/>
      <c r="G41" s="326"/>
      <c r="H41" s="326"/>
      <c r="I41" s="327"/>
      <c r="J41" s="362"/>
      <c r="K41" s="360"/>
      <c r="L41" s="360"/>
      <c r="M41" s="360"/>
      <c r="N41" s="360"/>
      <c r="O41" s="361"/>
      <c r="P41" s="362"/>
      <c r="Q41" s="360"/>
      <c r="R41" s="360"/>
      <c r="S41" s="360"/>
      <c r="T41" s="360"/>
      <c r="U41" s="361"/>
      <c r="V41" s="351"/>
      <c r="W41" s="352"/>
      <c r="X41" s="352"/>
      <c r="Y41" s="352"/>
      <c r="Z41" s="352"/>
      <c r="AA41" s="353"/>
      <c r="AB41" s="335"/>
      <c r="AC41" s="331"/>
      <c r="AD41" s="331"/>
      <c r="AE41" s="331"/>
      <c r="AF41" s="331"/>
      <c r="AG41" s="332"/>
      <c r="AH41" s="342"/>
      <c r="AI41" s="343"/>
      <c r="AJ41" s="343"/>
      <c r="AK41" s="343"/>
      <c r="AL41" s="343"/>
      <c r="AM41" s="344"/>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284"/>
      <c r="C42" s="284"/>
      <c r="D42" s="285"/>
      <c r="E42" s="325"/>
      <c r="F42" s="326"/>
      <c r="G42" s="326"/>
      <c r="H42" s="326"/>
      <c r="I42" s="327"/>
      <c r="J42" s="362" t="e">
        <f>IF(AND('Mapa final'!#REF!="Muy Baja",'Mapa final'!#REF!="Leve"),CONCATENATE("R",'Mapa final'!#REF!),"")</f>
        <v>#REF!</v>
      </c>
      <c r="K42" s="360"/>
      <c r="L42" s="360" t="e">
        <f>IF(AND('Mapa final'!#REF!="Muy Baja",'Mapa final'!#REF!="Leve"),CONCATENATE("R",'Mapa final'!#REF!),"")</f>
        <v>#REF!</v>
      </c>
      <c r="M42" s="360"/>
      <c r="N42" s="360" t="e">
        <f>IF(AND('Mapa final'!#REF!="Muy Baja",'Mapa final'!#REF!="Leve"),CONCATENATE("R",'Mapa final'!#REF!),"")</f>
        <v>#REF!</v>
      </c>
      <c r="O42" s="361"/>
      <c r="P42" s="362" t="e">
        <f>IF(AND('Mapa final'!#REF!="Muy Baja",'Mapa final'!#REF!="Menor"),CONCATENATE("R",'Mapa final'!#REF!),"")</f>
        <v>#REF!</v>
      </c>
      <c r="Q42" s="360"/>
      <c r="R42" s="360" t="e">
        <f>IF(AND('Mapa final'!#REF!="Muy Baja",'Mapa final'!#REF!="Menor"),CONCATENATE("R",'Mapa final'!#REF!),"")</f>
        <v>#REF!</v>
      </c>
      <c r="S42" s="360"/>
      <c r="T42" s="360" t="e">
        <f>IF(AND('Mapa final'!#REF!="Muy Baja",'Mapa final'!#REF!="Menor"),CONCATENATE("R",'Mapa final'!#REF!),"")</f>
        <v>#REF!</v>
      </c>
      <c r="U42" s="361"/>
      <c r="V42" s="351" t="e">
        <f>IF(AND('Mapa final'!#REF!="Muy Baja",'Mapa final'!#REF!="Moderado"),CONCATENATE("R",'Mapa final'!#REF!),"")</f>
        <v>#REF!</v>
      </c>
      <c r="W42" s="352"/>
      <c r="X42" s="352" t="e">
        <f>IF(AND('Mapa final'!#REF!="Muy Baja",'Mapa final'!#REF!="Moderado"),CONCATENATE("R",'Mapa final'!#REF!),"")</f>
        <v>#REF!</v>
      </c>
      <c r="Y42" s="352"/>
      <c r="Z42" s="352" t="e">
        <f>IF(AND('Mapa final'!#REF!="Muy Baja",'Mapa final'!#REF!="Moderado"),CONCATENATE("R",'Mapa final'!#REF!),"")</f>
        <v>#REF!</v>
      </c>
      <c r="AA42" s="353"/>
      <c r="AB42" s="335" t="e">
        <f>IF(AND('Mapa final'!#REF!="Muy Baja",'Mapa final'!#REF!="Mayor"),CONCATENATE("R",'Mapa final'!#REF!),"")</f>
        <v>#REF!</v>
      </c>
      <c r="AC42" s="331"/>
      <c r="AD42" s="331" t="e">
        <f>IF(AND('Mapa final'!#REF!="Muy Baja",'Mapa final'!#REF!="Mayor"),CONCATENATE("R",'Mapa final'!#REF!),"")</f>
        <v>#REF!</v>
      </c>
      <c r="AE42" s="331"/>
      <c r="AF42" s="331" t="e">
        <f>IF(AND('Mapa final'!#REF!="Muy Baja",'Mapa final'!#REF!="Mayor"),CONCATENATE("R",'Mapa final'!#REF!),"")</f>
        <v>#REF!</v>
      </c>
      <c r="AG42" s="332"/>
      <c r="AH42" s="342" t="e">
        <f>IF(AND('Mapa final'!#REF!="Muy Baja",'Mapa final'!#REF!="Catastrófico"),CONCATENATE("R",'Mapa final'!#REF!),"")</f>
        <v>#REF!</v>
      </c>
      <c r="AI42" s="343"/>
      <c r="AJ42" s="343" t="e">
        <f>IF(AND('Mapa final'!#REF!="Muy Baja",'Mapa final'!#REF!="Catastrófico"),CONCATENATE("R",'Mapa final'!#REF!),"")</f>
        <v>#REF!</v>
      </c>
      <c r="AK42" s="343"/>
      <c r="AL42" s="343" t="e">
        <f>IF(AND('Mapa final'!#REF!="Muy Baja",'Mapa final'!#REF!="Catastrófico"),CONCATENATE("R",'Mapa final'!#REF!),"")</f>
        <v>#REF!</v>
      </c>
      <c r="AM42" s="344"/>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284"/>
      <c r="C43" s="284"/>
      <c r="D43" s="285"/>
      <c r="E43" s="325"/>
      <c r="F43" s="326"/>
      <c r="G43" s="326"/>
      <c r="H43" s="326"/>
      <c r="I43" s="327"/>
      <c r="J43" s="362"/>
      <c r="K43" s="360"/>
      <c r="L43" s="360"/>
      <c r="M43" s="360"/>
      <c r="N43" s="360"/>
      <c r="O43" s="361"/>
      <c r="P43" s="362"/>
      <c r="Q43" s="360"/>
      <c r="R43" s="360"/>
      <c r="S43" s="360"/>
      <c r="T43" s="360"/>
      <c r="U43" s="361"/>
      <c r="V43" s="351"/>
      <c r="W43" s="352"/>
      <c r="X43" s="352"/>
      <c r="Y43" s="352"/>
      <c r="Z43" s="352"/>
      <c r="AA43" s="353"/>
      <c r="AB43" s="335"/>
      <c r="AC43" s="331"/>
      <c r="AD43" s="331"/>
      <c r="AE43" s="331"/>
      <c r="AF43" s="331"/>
      <c r="AG43" s="332"/>
      <c r="AH43" s="342"/>
      <c r="AI43" s="343"/>
      <c r="AJ43" s="343"/>
      <c r="AK43" s="343"/>
      <c r="AL43" s="343"/>
      <c r="AM43" s="344"/>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284"/>
      <c r="C44" s="284"/>
      <c r="D44" s="285"/>
      <c r="E44" s="325"/>
      <c r="F44" s="326"/>
      <c r="G44" s="326"/>
      <c r="H44" s="326"/>
      <c r="I44" s="327"/>
      <c r="J44" s="362" t="e">
        <f>IF(AND('Mapa final'!#REF!="Muy Baja",'Mapa final'!#REF!="Leve"),CONCATENATE("R",'Mapa final'!#REF!),"")</f>
        <v>#REF!</v>
      </c>
      <c r="K44" s="360"/>
      <c r="L44" s="360" t="str">
        <f>IF(AND('Mapa final'!$H$23="Muy Baja",'Mapa final'!$L$23="Leve"),CONCATENATE("R",'Mapa final'!$A$23),"")</f>
        <v/>
      </c>
      <c r="M44" s="360"/>
      <c r="N44" s="360" t="e">
        <f>IF(AND('Mapa final'!#REF!="Muy Baja",'Mapa final'!#REF!="Leve"),CONCATENATE("R",'Mapa final'!#REF!),"")</f>
        <v>#REF!</v>
      </c>
      <c r="O44" s="361"/>
      <c r="P44" s="362" t="e">
        <f>IF(AND('Mapa final'!#REF!="Muy Baja",'Mapa final'!#REF!="Menor"),CONCATENATE("R",'Mapa final'!#REF!),"")</f>
        <v>#REF!</v>
      </c>
      <c r="Q44" s="360"/>
      <c r="R44" s="360" t="str">
        <f>IF(AND('Mapa final'!$H$23="Muy Baja",'Mapa final'!$L$23="Menor"),CONCATENATE("R",'Mapa final'!$A$23),"")</f>
        <v/>
      </c>
      <c r="S44" s="360"/>
      <c r="T44" s="360" t="e">
        <f>IF(AND('Mapa final'!#REF!="Muy Baja",'Mapa final'!#REF!="Menor"),CONCATENATE("R",'Mapa final'!#REF!),"")</f>
        <v>#REF!</v>
      </c>
      <c r="U44" s="361"/>
      <c r="V44" s="351" t="e">
        <f>IF(AND('Mapa final'!#REF!="Muy Baja",'Mapa final'!#REF!="Moderado"),CONCATENATE("R",'Mapa final'!#REF!),"")</f>
        <v>#REF!</v>
      </c>
      <c r="W44" s="352"/>
      <c r="X44" s="352" t="str">
        <f>IF(AND('Mapa final'!$H$23="Muy Baja",'Mapa final'!$L$23="Moderado"),CONCATENATE("R",'Mapa final'!$A$23),"")</f>
        <v/>
      </c>
      <c r="Y44" s="352"/>
      <c r="Z44" s="352" t="e">
        <f>IF(AND('Mapa final'!#REF!="Muy Baja",'Mapa final'!#REF!="Moderado"),CONCATENATE("R",'Mapa final'!#REF!),"")</f>
        <v>#REF!</v>
      </c>
      <c r="AA44" s="353"/>
      <c r="AB44" s="335" t="e">
        <f>IF(AND('Mapa final'!#REF!="Muy Baja",'Mapa final'!#REF!="Mayor"),CONCATENATE("R",'Mapa final'!#REF!),"")</f>
        <v>#REF!</v>
      </c>
      <c r="AC44" s="331"/>
      <c r="AD44" s="331" t="str">
        <f>IF(AND('Mapa final'!$H$23="Muy Baja",'Mapa final'!$L$23="Mayor"),CONCATENATE("R",'Mapa final'!$A$23),"")</f>
        <v/>
      </c>
      <c r="AE44" s="331"/>
      <c r="AF44" s="331" t="e">
        <f>IF(AND('Mapa final'!#REF!="Muy Baja",'Mapa final'!#REF!="Mayor"),CONCATENATE("R",'Mapa final'!#REF!),"")</f>
        <v>#REF!</v>
      </c>
      <c r="AG44" s="332"/>
      <c r="AH44" s="342" t="e">
        <f>IF(AND('Mapa final'!#REF!="Muy Baja",'Mapa final'!#REF!="Catastrófico"),CONCATENATE("R",'Mapa final'!#REF!),"")</f>
        <v>#REF!</v>
      </c>
      <c r="AI44" s="343"/>
      <c r="AJ44" s="343" t="str">
        <f>IF(AND('Mapa final'!$H$23="Muy Baja",'Mapa final'!$L$23="Catastrófico"),CONCATENATE("R",'Mapa final'!$A$23),"")</f>
        <v/>
      </c>
      <c r="AK44" s="343"/>
      <c r="AL44" s="343" t="e">
        <f>IF(AND('Mapa final'!#REF!="Muy Baja",'Mapa final'!#REF!="Catastrófico"),CONCATENATE("R",'Mapa final'!#REF!),"")</f>
        <v>#REF!</v>
      </c>
      <c r="AM44" s="344"/>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284"/>
      <c r="C45" s="284"/>
      <c r="D45" s="285"/>
      <c r="E45" s="328"/>
      <c r="F45" s="329"/>
      <c r="G45" s="329"/>
      <c r="H45" s="329"/>
      <c r="I45" s="330"/>
      <c r="J45" s="363"/>
      <c r="K45" s="364"/>
      <c r="L45" s="364"/>
      <c r="M45" s="364"/>
      <c r="N45" s="364"/>
      <c r="O45" s="365"/>
      <c r="P45" s="363"/>
      <c r="Q45" s="364"/>
      <c r="R45" s="364"/>
      <c r="S45" s="364"/>
      <c r="T45" s="364"/>
      <c r="U45" s="365"/>
      <c r="V45" s="354"/>
      <c r="W45" s="355"/>
      <c r="X45" s="355"/>
      <c r="Y45" s="355"/>
      <c r="Z45" s="355"/>
      <c r="AA45" s="356"/>
      <c r="AB45" s="339"/>
      <c r="AC45" s="340"/>
      <c r="AD45" s="340"/>
      <c r="AE45" s="340"/>
      <c r="AF45" s="340"/>
      <c r="AG45" s="341"/>
      <c r="AH45" s="345"/>
      <c r="AI45" s="346"/>
      <c r="AJ45" s="346"/>
      <c r="AK45" s="346"/>
      <c r="AL45" s="346"/>
      <c r="AM45" s="347"/>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322" t="s">
        <v>112</v>
      </c>
      <c r="K46" s="323"/>
      <c r="L46" s="323"/>
      <c r="M46" s="323"/>
      <c r="N46" s="323"/>
      <c r="O46" s="324"/>
      <c r="P46" s="322" t="s">
        <v>111</v>
      </c>
      <c r="Q46" s="323"/>
      <c r="R46" s="323"/>
      <c r="S46" s="323"/>
      <c r="T46" s="323"/>
      <c r="U46" s="324"/>
      <c r="V46" s="322" t="s">
        <v>110</v>
      </c>
      <c r="W46" s="323"/>
      <c r="X46" s="323"/>
      <c r="Y46" s="323"/>
      <c r="Z46" s="323"/>
      <c r="AA46" s="324"/>
      <c r="AB46" s="322" t="s">
        <v>109</v>
      </c>
      <c r="AC46" s="338"/>
      <c r="AD46" s="323"/>
      <c r="AE46" s="323"/>
      <c r="AF46" s="323"/>
      <c r="AG46" s="324"/>
      <c r="AH46" s="322" t="s">
        <v>108</v>
      </c>
      <c r="AI46" s="323"/>
      <c r="AJ46" s="323"/>
      <c r="AK46" s="323"/>
      <c r="AL46" s="323"/>
      <c r="AM46" s="324"/>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325"/>
      <c r="K47" s="326"/>
      <c r="L47" s="326"/>
      <c r="M47" s="326"/>
      <c r="N47" s="326"/>
      <c r="O47" s="327"/>
      <c r="P47" s="325"/>
      <c r="Q47" s="326"/>
      <c r="R47" s="326"/>
      <c r="S47" s="326"/>
      <c r="T47" s="326"/>
      <c r="U47" s="327"/>
      <c r="V47" s="325"/>
      <c r="W47" s="326"/>
      <c r="X47" s="326"/>
      <c r="Y47" s="326"/>
      <c r="Z47" s="326"/>
      <c r="AA47" s="327"/>
      <c r="AB47" s="325"/>
      <c r="AC47" s="326"/>
      <c r="AD47" s="326"/>
      <c r="AE47" s="326"/>
      <c r="AF47" s="326"/>
      <c r="AG47" s="327"/>
      <c r="AH47" s="325"/>
      <c r="AI47" s="326"/>
      <c r="AJ47" s="326"/>
      <c r="AK47" s="326"/>
      <c r="AL47" s="326"/>
      <c r="AM47" s="327"/>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325"/>
      <c r="K48" s="326"/>
      <c r="L48" s="326"/>
      <c r="M48" s="326"/>
      <c r="N48" s="326"/>
      <c r="O48" s="327"/>
      <c r="P48" s="325"/>
      <c r="Q48" s="326"/>
      <c r="R48" s="326"/>
      <c r="S48" s="326"/>
      <c r="T48" s="326"/>
      <c r="U48" s="327"/>
      <c r="V48" s="325"/>
      <c r="W48" s="326"/>
      <c r="X48" s="326"/>
      <c r="Y48" s="326"/>
      <c r="Z48" s="326"/>
      <c r="AA48" s="327"/>
      <c r="AB48" s="325"/>
      <c r="AC48" s="326"/>
      <c r="AD48" s="326"/>
      <c r="AE48" s="326"/>
      <c r="AF48" s="326"/>
      <c r="AG48" s="327"/>
      <c r="AH48" s="325"/>
      <c r="AI48" s="326"/>
      <c r="AJ48" s="326"/>
      <c r="AK48" s="326"/>
      <c r="AL48" s="326"/>
      <c r="AM48" s="327"/>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325"/>
      <c r="K49" s="326"/>
      <c r="L49" s="326"/>
      <c r="M49" s="326"/>
      <c r="N49" s="326"/>
      <c r="O49" s="327"/>
      <c r="P49" s="325"/>
      <c r="Q49" s="326"/>
      <c r="R49" s="326"/>
      <c r="S49" s="326"/>
      <c r="T49" s="326"/>
      <c r="U49" s="327"/>
      <c r="V49" s="325"/>
      <c r="W49" s="326"/>
      <c r="X49" s="326"/>
      <c r="Y49" s="326"/>
      <c r="Z49" s="326"/>
      <c r="AA49" s="327"/>
      <c r="AB49" s="325"/>
      <c r="AC49" s="326"/>
      <c r="AD49" s="326"/>
      <c r="AE49" s="326"/>
      <c r="AF49" s="326"/>
      <c r="AG49" s="327"/>
      <c r="AH49" s="325"/>
      <c r="AI49" s="326"/>
      <c r="AJ49" s="326"/>
      <c r="AK49" s="326"/>
      <c r="AL49" s="326"/>
      <c r="AM49" s="327"/>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325"/>
      <c r="K50" s="326"/>
      <c r="L50" s="326"/>
      <c r="M50" s="326"/>
      <c r="N50" s="326"/>
      <c r="O50" s="327"/>
      <c r="P50" s="325"/>
      <c r="Q50" s="326"/>
      <c r="R50" s="326"/>
      <c r="S50" s="326"/>
      <c r="T50" s="326"/>
      <c r="U50" s="327"/>
      <c r="V50" s="325"/>
      <c r="W50" s="326"/>
      <c r="X50" s="326"/>
      <c r="Y50" s="326"/>
      <c r="Z50" s="326"/>
      <c r="AA50" s="327"/>
      <c r="AB50" s="325"/>
      <c r="AC50" s="326"/>
      <c r="AD50" s="326"/>
      <c r="AE50" s="326"/>
      <c r="AF50" s="326"/>
      <c r="AG50" s="327"/>
      <c r="AH50" s="325"/>
      <c r="AI50" s="326"/>
      <c r="AJ50" s="326"/>
      <c r="AK50" s="326"/>
      <c r="AL50" s="326"/>
      <c r="AM50" s="327"/>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328"/>
      <c r="K51" s="329"/>
      <c r="L51" s="329"/>
      <c r="M51" s="329"/>
      <c r="N51" s="329"/>
      <c r="O51" s="330"/>
      <c r="P51" s="328"/>
      <c r="Q51" s="329"/>
      <c r="R51" s="329"/>
      <c r="S51" s="329"/>
      <c r="T51" s="329"/>
      <c r="U51" s="330"/>
      <c r="V51" s="328"/>
      <c r="W51" s="329"/>
      <c r="X51" s="329"/>
      <c r="Y51" s="329"/>
      <c r="Z51" s="329"/>
      <c r="AA51" s="330"/>
      <c r="AB51" s="328"/>
      <c r="AC51" s="329"/>
      <c r="AD51" s="329"/>
      <c r="AE51" s="329"/>
      <c r="AF51" s="329"/>
      <c r="AG51" s="330"/>
      <c r="AH51" s="328"/>
      <c r="AI51" s="329"/>
      <c r="AJ51" s="329"/>
      <c r="AK51" s="329"/>
      <c r="AL51" s="329"/>
      <c r="AM51" s="330"/>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248"/>
  <sheetViews>
    <sheetView zoomScale="50" zoomScaleNormal="50" workbookViewId="0">
      <selection activeCell="A2" sqref="A2"/>
    </sheetView>
  </sheetViews>
  <sheetFormatPr baseColWidth="10" defaultRowHeight="15" x14ac:dyDescent="0.25"/>
  <cols>
    <col min="2" max="18" width="5.7109375" customWidth="1" collapsed="1"/>
    <col min="19" max="19" width="8.42578125" customWidth="1" collapsed="1"/>
    <col min="20" max="23" width="5.7109375" customWidth="1" collapsed="1"/>
    <col min="24" max="24" width="8.5703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5703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395" t="s">
        <v>158</v>
      </c>
      <c r="C2" s="396"/>
      <c r="D2" s="396"/>
      <c r="E2" s="396"/>
      <c r="F2" s="396"/>
      <c r="G2" s="396"/>
      <c r="H2" s="396"/>
      <c r="I2" s="396"/>
      <c r="J2" s="337" t="s">
        <v>2</v>
      </c>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396"/>
      <c r="C3" s="396"/>
      <c r="D3" s="396"/>
      <c r="E3" s="396"/>
      <c r="F3" s="396"/>
      <c r="G3" s="396"/>
      <c r="H3" s="396"/>
      <c r="I3" s="396"/>
      <c r="J3" s="337"/>
      <c r="K3" s="337"/>
      <c r="L3" s="337"/>
      <c r="M3" s="337"/>
      <c r="N3" s="337"/>
      <c r="O3" s="337"/>
      <c r="P3" s="337"/>
      <c r="Q3" s="337"/>
      <c r="R3" s="337"/>
      <c r="S3" s="337"/>
      <c r="T3" s="337"/>
      <c r="U3" s="337"/>
      <c r="V3" s="337"/>
      <c r="W3" s="337"/>
      <c r="X3" s="337"/>
      <c r="Y3" s="337"/>
      <c r="Z3" s="337"/>
      <c r="AA3" s="337"/>
      <c r="AB3" s="337"/>
      <c r="AC3" s="337"/>
      <c r="AD3" s="337"/>
      <c r="AE3" s="337"/>
      <c r="AF3" s="337"/>
      <c r="AG3" s="337"/>
      <c r="AH3" s="337"/>
      <c r="AI3" s="337"/>
      <c r="AJ3" s="337"/>
      <c r="AK3" s="337"/>
      <c r="AL3" s="337"/>
      <c r="AM3" s="337"/>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396"/>
      <c r="C4" s="396"/>
      <c r="D4" s="396"/>
      <c r="E4" s="396"/>
      <c r="F4" s="396"/>
      <c r="G4" s="396"/>
      <c r="H4" s="396"/>
      <c r="I4" s="396"/>
      <c r="J4" s="337"/>
      <c r="K4" s="337"/>
      <c r="L4" s="337"/>
      <c r="M4" s="337"/>
      <c r="N4" s="337"/>
      <c r="O4" s="337"/>
      <c r="P4" s="337"/>
      <c r="Q4" s="337"/>
      <c r="R4" s="337"/>
      <c r="S4" s="337"/>
      <c r="T4" s="337"/>
      <c r="U4" s="337"/>
      <c r="V4" s="337"/>
      <c r="W4" s="337"/>
      <c r="X4" s="337"/>
      <c r="Y4" s="337"/>
      <c r="Z4" s="337"/>
      <c r="AA4" s="337"/>
      <c r="AB4" s="337"/>
      <c r="AC4" s="337"/>
      <c r="AD4" s="337"/>
      <c r="AE4" s="337"/>
      <c r="AF4" s="337"/>
      <c r="AG4" s="337"/>
      <c r="AH4" s="337"/>
      <c r="AI4" s="337"/>
      <c r="AJ4" s="337"/>
      <c r="AK4" s="337"/>
      <c r="AL4" s="337"/>
      <c r="AM4" s="337"/>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284" t="s">
        <v>4</v>
      </c>
      <c r="C6" s="284"/>
      <c r="D6" s="285"/>
      <c r="E6" s="379" t="s">
        <v>116</v>
      </c>
      <c r="F6" s="380"/>
      <c r="G6" s="380"/>
      <c r="H6" s="380"/>
      <c r="I6" s="397"/>
      <c r="J6" s="32" t="e">
        <f>IF(AND('Mapa final'!#REF!="Muy Alta",'Mapa final'!#REF!="Leve"),CONCATENATE("R1C",'Mapa final'!#REF!),"")</f>
        <v>#REF!</v>
      </c>
      <c r="K6" s="33" t="e">
        <f>IF(AND('Mapa final'!#REF!="Muy Alta",'Mapa final'!#REF!="Leve"),CONCATENATE("R1C",'Mapa final'!#REF!),"")</f>
        <v>#REF!</v>
      </c>
      <c r="L6" s="33" t="e">
        <f>IF(AND('Mapa final'!#REF!="Muy Alta",'Mapa final'!#REF!="Leve"),CONCATENATE("R1C",'Mapa final'!#REF!),"")</f>
        <v>#REF!</v>
      </c>
      <c r="M6" s="33" t="e">
        <f>IF(AND('Mapa final'!#REF!="Muy Alta",'Mapa final'!#REF!="Leve"),CONCATENATE("R1C",'Mapa final'!#REF!),"")</f>
        <v>#REF!</v>
      </c>
      <c r="N6" s="33" t="e">
        <f>IF(AND('Mapa final'!#REF!="Muy Alta",'Mapa final'!#REF!="Leve"),CONCATENATE("R1C",'Mapa final'!#REF!),"")</f>
        <v>#REF!</v>
      </c>
      <c r="O6" s="34" t="e">
        <f>IF(AND('Mapa final'!#REF!="Muy Alta",'Mapa final'!#REF!="Leve"),CONCATENATE("R1C",'Mapa final'!#REF!),"")</f>
        <v>#REF!</v>
      </c>
      <c r="P6" s="32" t="e">
        <f>IF(AND('Mapa final'!#REF!="Muy Alta",'Mapa final'!#REF!="Menor"),CONCATENATE("R1C",'Mapa final'!#REF!),"")</f>
        <v>#REF!</v>
      </c>
      <c r="Q6" s="33" t="e">
        <f>IF(AND('Mapa final'!#REF!="Muy Alta",'Mapa final'!#REF!="Menor"),CONCATENATE("R1C",'Mapa final'!#REF!),"")</f>
        <v>#REF!</v>
      </c>
      <c r="R6" s="33" t="e">
        <f>IF(AND('Mapa final'!#REF!="Muy Alta",'Mapa final'!#REF!="Menor"),CONCATENATE("R1C",'Mapa final'!#REF!),"")</f>
        <v>#REF!</v>
      </c>
      <c r="S6" s="33" t="e">
        <f>IF(AND('Mapa final'!#REF!="Muy Alta",'Mapa final'!#REF!="Menor"),CONCATENATE("R1C",'Mapa final'!#REF!),"")</f>
        <v>#REF!</v>
      </c>
      <c r="T6" s="33" t="e">
        <f>IF(AND('Mapa final'!#REF!="Muy Alta",'Mapa final'!#REF!="Menor"),CONCATENATE("R1C",'Mapa final'!#REF!),"")</f>
        <v>#REF!</v>
      </c>
      <c r="U6" s="34" t="e">
        <f>IF(AND('Mapa final'!#REF!="Muy Alta",'Mapa final'!#REF!="Menor"),CONCATENATE("R1C",'Mapa final'!#REF!),"")</f>
        <v>#REF!</v>
      </c>
      <c r="V6" s="32" t="e">
        <f>IF(AND('Mapa final'!#REF!="Muy Alta",'Mapa final'!#REF!="Moderado"),CONCATENATE("R1C",'Mapa final'!#REF!),"")</f>
        <v>#REF!</v>
      </c>
      <c r="W6" s="33" t="e">
        <f>IF(AND('Mapa final'!#REF!="Muy Alta",'Mapa final'!#REF!="Moderado"),CONCATENATE("R1C",'Mapa final'!#REF!),"")</f>
        <v>#REF!</v>
      </c>
      <c r="X6" s="33" t="e">
        <f>IF(AND('Mapa final'!#REF!="Muy Alta",'Mapa final'!#REF!="Moderado"),CONCATENATE("R1C",'Mapa final'!#REF!),"")</f>
        <v>#REF!</v>
      </c>
      <c r="Y6" s="33" t="e">
        <f>IF(AND('Mapa final'!#REF!="Muy Alta",'Mapa final'!#REF!="Moderado"),CONCATENATE("R1C",'Mapa final'!#REF!),"")</f>
        <v>#REF!</v>
      </c>
      <c r="Z6" s="33" t="e">
        <f>IF(AND('Mapa final'!#REF!="Muy Alta",'Mapa final'!#REF!="Moderado"),CONCATENATE("R1C",'Mapa final'!#REF!),"")</f>
        <v>#REF!</v>
      </c>
      <c r="AA6" s="34" t="e">
        <f>IF(AND('Mapa final'!#REF!="Muy Alta",'Mapa final'!#REF!="Moderado"),CONCATENATE("R1C",'Mapa final'!#REF!),"")</f>
        <v>#REF!</v>
      </c>
      <c r="AB6" s="32" t="e">
        <f>IF(AND('Mapa final'!#REF!="Muy Alta",'Mapa final'!#REF!="Mayor"),CONCATENATE("R1C",'Mapa final'!#REF!),"")</f>
        <v>#REF!</v>
      </c>
      <c r="AC6" s="33" t="e">
        <f>IF(AND('Mapa final'!#REF!="Muy Alta",'Mapa final'!#REF!="Mayor"),CONCATENATE("R1C",'Mapa final'!#REF!),"")</f>
        <v>#REF!</v>
      </c>
      <c r="AD6" s="33" t="e">
        <f>IF(AND('Mapa final'!#REF!="Muy Alta",'Mapa final'!#REF!="Mayor"),CONCATENATE("R1C",'Mapa final'!#REF!),"")</f>
        <v>#REF!</v>
      </c>
      <c r="AE6" s="33" t="e">
        <f>IF(AND('Mapa final'!#REF!="Muy Alta",'Mapa final'!#REF!="Mayor"),CONCATENATE("R1C",'Mapa final'!#REF!),"")</f>
        <v>#REF!</v>
      </c>
      <c r="AF6" s="33" t="e">
        <f>IF(AND('Mapa final'!#REF!="Muy Alta",'Mapa final'!#REF!="Mayor"),CONCATENATE("R1C",'Mapa final'!#REF!),"")</f>
        <v>#REF!</v>
      </c>
      <c r="AG6" s="34" t="e">
        <f>IF(AND('Mapa final'!#REF!="Muy Alta",'Mapa final'!#REF!="Mayor"),CONCATENATE("R1C",'Mapa final'!#REF!),"")</f>
        <v>#REF!</v>
      </c>
      <c r="AH6" s="35" t="e">
        <f>IF(AND('Mapa final'!#REF!="Muy Alta",'Mapa final'!#REF!="Catastrófico"),CONCATENATE("R1C",'Mapa final'!#REF!),"")</f>
        <v>#REF!</v>
      </c>
      <c r="AI6" s="36" t="e">
        <f>IF(AND('Mapa final'!#REF!="Muy Alta",'Mapa final'!#REF!="Catastrófico"),CONCATENATE("R1C",'Mapa final'!#REF!),"")</f>
        <v>#REF!</v>
      </c>
      <c r="AJ6" s="36" t="e">
        <f>IF(AND('Mapa final'!#REF!="Muy Alta",'Mapa final'!#REF!="Catastrófico"),CONCATENATE("R1C",'Mapa final'!#REF!),"")</f>
        <v>#REF!</v>
      </c>
      <c r="AK6" s="36" t="e">
        <f>IF(AND('Mapa final'!#REF!="Muy Alta",'Mapa final'!#REF!="Catastrófico"),CONCATENATE("R1C",'Mapa final'!#REF!),"")</f>
        <v>#REF!</v>
      </c>
      <c r="AL6" s="36" t="e">
        <f>IF(AND('Mapa final'!#REF!="Muy Alta",'Mapa final'!#REF!="Catastrófico"),CONCATENATE("R1C",'Mapa final'!#REF!),"")</f>
        <v>#REF!</v>
      </c>
      <c r="AM6" s="37" t="e">
        <f>IF(AND('Mapa final'!#REF!="Muy Alta",'Mapa final'!#REF!="Catastrófico"),CONCATENATE("R1C",'Mapa final'!#REF!),"")</f>
        <v>#REF!</v>
      </c>
      <c r="AN6" s="69"/>
      <c r="AO6" s="386" t="s">
        <v>79</v>
      </c>
      <c r="AP6" s="387"/>
      <c r="AQ6" s="387"/>
      <c r="AR6" s="387"/>
      <c r="AS6" s="387"/>
      <c r="AT6" s="388"/>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284"/>
      <c r="C7" s="284"/>
      <c r="D7" s="285"/>
      <c r="E7" s="383"/>
      <c r="F7" s="382"/>
      <c r="G7" s="382"/>
      <c r="H7" s="382"/>
      <c r="I7" s="398"/>
      <c r="J7" s="38" t="e">
        <f>IF(AND('Mapa final'!#REF!="Muy Alta",'Mapa final'!#REF!="Leve"),CONCATENATE("R2C",'Mapa final'!#REF!),"")</f>
        <v>#REF!</v>
      </c>
      <c r="K7" s="39" t="e">
        <f>IF(AND('Mapa final'!#REF!="Muy Alta",'Mapa final'!#REF!="Leve"),CONCATENATE("R2C",'Mapa final'!#REF!),"")</f>
        <v>#REF!</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e">
        <f>IF(AND('Mapa final'!#REF!="Muy Alta",'Mapa final'!#REF!="Menor"),CONCATENATE("R2C",'Mapa final'!#REF!),"")</f>
        <v>#REF!</v>
      </c>
      <c r="Q7" s="39" t="e">
        <f>IF(AND('Mapa final'!#REF!="Muy Alta",'Mapa final'!#REF!="Menor"),CONCATENATE("R2C",'Mapa final'!#REF!),"")</f>
        <v>#REF!</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e">
        <f>IF(AND('Mapa final'!#REF!="Muy Alta",'Mapa final'!#REF!="Moderado"),CONCATENATE("R2C",'Mapa final'!#REF!),"")</f>
        <v>#REF!</v>
      </c>
      <c r="W7" s="39" t="e">
        <f>IF(AND('Mapa final'!#REF!="Muy Alta",'Mapa final'!#REF!="Moderado"),CONCATENATE("R2C",'Mapa final'!#REF!),"")</f>
        <v>#REF!</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e">
        <f>IF(AND('Mapa final'!#REF!="Muy Alta",'Mapa final'!#REF!="Mayor"),CONCATENATE("R2C",'Mapa final'!#REF!),"")</f>
        <v>#REF!</v>
      </c>
      <c r="AC7" s="39" t="e">
        <f>IF(AND('Mapa final'!#REF!="Muy Alta",'Mapa final'!#REF!="Mayor"),CONCATENATE("R2C",'Mapa final'!#REF!),"")</f>
        <v>#REF!</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e">
        <f>IF(AND('Mapa final'!#REF!="Muy Alta",'Mapa final'!#REF!="Catastrófico"),CONCATENATE("R2C",'Mapa final'!#REF!),"")</f>
        <v>#REF!</v>
      </c>
      <c r="AI7" s="42" t="e">
        <f>IF(AND('Mapa final'!#REF!="Muy Alta",'Mapa final'!#REF!="Catastrófico"),CONCATENATE("R2C",'Mapa final'!#REF!),"")</f>
        <v>#REF!</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389"/>
      <c r="AP7" s="390"/>
      <c r="AQ7" s="390"/>
      <c r="AR7" s="390"/>
      <c r="AS7" s="390"/>
      <c r="AT7" s="391"/>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284"/>
      <c r="C8" s="284"/>
      <c r="D8" s="285"/>
      <c r="E8" s="383"/>
      <c r="F8" s="382"/>
      <c r="G8" s="382"/>
      <c r="H8" s="382"/>
      <c r="I8" s="398"/>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389"/>
      <c r="AP8" s="390"/>
      <c r="AQ8" s="390"/>
      <c r="AR8" s="390"/>
      <c r="AS8" s="390"/>
      <c r="AT8" s="391"/>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284"/>
      <c r="C9" s="284"/>
      <c r="D9" s="285"/>
      <c r="E9" s="383"/>
      <c r="F9" s="382"/>
      <c r="G9" s="382"/>
      <c r="H9" s="382"/>
      <c r="I9" s="398"/>
      <c r="J9" s="38" t="str">
        <f>IF(AND('Mapa final'!$Y$13="Muy Alta",'Mapa final'!$AA$13="Leve"),CONCATENATE("R4C",'Mapa final'!$O$13),"")</f>
        <v/>
      </c>
      <c r="K9" s="39" t="str">
        <f>IF(AND('Mapa final'!$Y$14="Muy Alta",'Mapa final'!$AA$14="Leve"),CONCATENATE("R4C",'Mapa final'!$O$14),"")</f>
        <v/>
      </c>
      <c r="L9" s="39" t="str">
        <f>IF(AND('Mapa final'!$Y$15="Muy Alta",'Mapa final'!$AA$15="Leve"),CONCATENATE("R4C",'Mapa final'!$O$15),"")</f>
        <v/>
      </c>
      <c r="M9" s="39" t="str">
        <f>IF(AND('Mapa final'!$Y$16="Muy Alta",'Mapa final'!$AA$16="Leve"),CONCATENATE("R4C",'Mapa final'!$O$16),"")</f>
        <v/>
      </c>
      <c r="N9" s="39" t="e">
        <f>IF(AND('Mapa final'!#REF!="Muy Alta",'Mapa final'!#REF!="Leve"),CONCATENATE("R4C",'Mapa final'!#REF!),"")</f>
        <v>#REF!</v>
      </c>
      <c r="O9" s="40" t="e">
        <f>IF(AND('Mapa final'!#REF!="Muy Alta",'Mapa final'!#REF!="Leve"),CONCATENATE("R4C",'Mapa final'!#REF!),"")</f>
        <v>#REF!</v>
      </c>
      <c r="P9" s="38" t="str">
        <f>IF(AND('Mapa final'!$Y$13="Muy Alta",'Mapa final'!$AA$13="Menor"),CONCATENATE("R4C",'Mapa final'!$O$13),"")</f>
        <v/>
      </c>
      <c r="Q9" s="39" t="str">
        <f>IF(AND('Mapa final'!$Y$14="Muy Alta",'Mapa final'!$AA$14="Menor"),CONCATENATE("R4C",'Mapa final'!$O$14),"")</f>
        <v/>
      </c>
      <c r="R9" s="39" t="str">
        <f>IF(AND('Mapa final'!$Y$15="Muy Alta",'Mapa final'!$AA$15="Menor"),CONCATENATE("R4C",'Mapa final'!$O$15),"")</f>
        <v/>
      </c>
      <c r="S9" s="39" t="str">
        <f>IF(AND('Mapa final'!$Y$16="Muy Alta",'Mapa final'!$AA$16="Menor"),CONCATENATE("R4C",'Mapa final'!$O$16),"")</f>
        <v/>
      </c>
      <c r="T9" s="39" t="e">
        <f>IF(AND('Mapa final'!#REF!="Muy Alta",'Mapa final'!#REF!="Menor"),CONCATENATE("R4C",'Mapa final'!#REF!),"")</f>
        <v>#REF!</v>
      </c>
      <c r="U9" s="40" t="e">
        <f>IF(AND('Mapa final'!#REF!="Muy Alta",'Mapa final'!#REF!="Menor"),CONCATENATE("R4C",'Mapa final'!#REF!),"")</f>
        <v>#REF!</v>
      </c>
      <c r="V9" s="38" t="str">
        <f>IF(AND('Mapa final'!$Y$13="Muy Alta",'Mapa final'!$AA$13="Moderado"),CONCATENATE("R4C",'Mapa final'!$O$13),"")</f>
        <v/>
      </c>
      <c r="W9" s="39" t="str">
        <f>IF(AND('Mapa final'!$Y$14="Muy Alta",'Mapa final'!$AA$14="Moderado"),CONCATENATE("R4C",'Mapa final'!$O$14),"")</f>
        <v/>
      </c>
      <c r="X9" s="39" t="str">
        <f>IF(AND('Mapa final'!$Y$15="Muy Alta",'Mapa final'!$AA$15="Moderado"),CONCATENATE("R4C",'Mapa final'!$O$15),"")</f>
        <v/>
      </c>
      <c r="Y9" s="39" t="str">
        <f>IF(AND('Mapa final'!$Y$16="Muy Alta",'Mapa final'!$AA$16="Moderado"),CONCATENATE("R4C",'Mapa final'!$O$16),"")</f>
        <v/>
      </c>
      <c r="Z9" s="39" t="e">
        <f>IF(AND('Mapa final'!#REF!="Muy Alta",'Mapa final'!#REF!="Moderado"),CONCATENATE("R4C",'Mapa final'!#REF!),"")</f>
        <v>#REF!</v>
      </c>
      <c r="AA9" s="40" t="e">
        <f>IF(AND('Mapa final'!#REF!="Muy Alta",'Mapa final'!#REF!="Moderado"),CONCATENATE("R4C",'Mapa final'!#REF!),"")</f>
        <v>#REF!</v>
      </c>
      <c r="AB9" s="38" t="str">
        <f>IF(AND('Mapa final'!$Y$13="Muy Alta",'Mapa final'!$AA$13="Mayor"),CONCATENATE("R4C",'Mapa final'!$O$13),"")</f>
        <v/>
      </c>
      <c r="AC9" s="39" t="str">
        <f>IF(AND('Mapa final'!$Y$14="Muy Alta",'Mapa final'!$AA$14="Mayor"),CONCATENATE("R4C",'Mapa final'!$O$14),"")</f>
        <v/>
      </c>
      <c r="AD9" s="39" t="str">
        <f>IF(AND('Mapa final'!$Y$15="Muy Alta",'Mapa final'!$AA$15="Mayor"),CONCATENATE("R4C",'Mapa final'!$O$15),"")</f>
        <v/>
      </c>
      <c r="AE9" s="39" t="str">
        <f>IF(AND('Mapa final'!$Y$16="Muy Alta",'Mapa final'!$AA$16="Mayor"),CONCATENATE("R4C",'Mapa final'!$O$16),"")</f>
        <v/>
      </c>
      <c r="AF9" s="39" t="e">
        <f>IF(AND('Mapa final'!#REF!="Muy Alta",'Mapa final'!#REF!="Mayor"),CONCATENATE("R4C",'Mapa final'!#REF!),"")</f>
        <v>#REF!</v>
      </c>
      <c r="AG9" s="40" t="e">
        <f>IF(AND('Mapa final'!#REF!="Muy Alta",'Mapa final'!#REF!="Mayor"),CONCATENATE("R4C",'Mapa final'!#REF!),"")</f>
        <v>#REF!</v>
      </c>
      <c r="AH9" s="41" t="str">
        <f>IF(AND('Mapa final'!$Y$13="Muy Alta",'Mapa final'!$AA$13="Catastrófico"),CONCATENATE("R4C",'Mapa final'!$O$13),"")</f>
        <v/>
      </c>
      <c r="AI9" s="42" t="str">
        <f>IF(AND('Mapa final'!$Y$14="Muy Alta",'Mapa final'!$AA$14="Catastrófico"),CONCATENATE("R4C",'Mapa final'!$O$14),"")</f>
        <v/>
      </c>
      <c r="AJ9" s="42" t="str">
        <f>IF(AND('Mapa final'!$Y$15="Muy Alta",'Mapa final'!$AA$15="Catastrófico"),CONCATENATE("R4C",'Mapa final'!$O$15),"")</f>
        <v/>
      </c>
      <c r="AK9" s="42" t="str">
        <f>IF(AND('Mapa final'!$Y$16="Muy Alta",'Mapa final'!$AA$16="Catastrófico"),CONCATENATE("R4C",'Mapa final'!$O$16),"")</f>
        <v/>
      </c>
      <c r="AL9" s="42" t="e">
        <f>IF(AND('Mapa final'!#REF!="Muy Alta",'Mapa final'!#REF!="Catastrófico"),CONCATENATE("R4C",'Mapa final'!#REF!),"")</f>
        <v>#REF!</v>
      </c>
      <c r="AM9" s="43" t="e">
        <f>IF(AND('Mapa final'!#REF!="Muy Alta",'Mapa final'!#REF!="Catastrófico"),CONCATENATE("R4C",'Mapa final'!#REF!),"")</f>
        <v>#REF!</v>
      </c>
      <c r="AN9" s="69"/>
      <c r="AO9" s="389"/>
      <c r="AP9" s="390"/>
      <c r="AQ9" s="390"/>
      <c r="AR9" s="390"/>
      <c r="AS9" s="390"/>
      <c r="AT9" s="391"/>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284"/>
      <c r="C10" s="284"/>
      <c r="D10" s="285"/>
      <c r="E10" s="383"/>
      <c r="F10" s="382"/>
      <c r="G10" s="382"/>
      <c r="H10" s="382"/>
      <c r="I10" s="398"/>
      <c r="J10" s="38" t="str">
        <f>IF(AND('Mapa final'!$Y$17="Muy Alta",'Mapa final'!$AA$17="Leve"),CONCATENATE("R5C",'Mapa final'!$O$17),"")</f>
        <v/>
      </c>
      <c r="K10" s="39" t="str">
        <f>IF(AND('Mapa final'!$Y$18="Muy Alta",'Mapa final'!$AA$18="Leve"),CONCATENATE("R5C",'Mapa final'!$O$18),"")</f>
        <v/>
      </c>
      <c r="L10" s="39" t="str">
        <f>IF(AND('Mapa final'!$Y$19="Muy Alta",'Mapa final'!$AA$19="Leve"),CONCATENATE("R5C",'Mapa final'!$O$19),"")</f>
        <v/>
      </c>
      <c r="M10" s="39" t="str">
        <f>IF(AND('Mapa final'!$Y$20="Muy Alta",'Mapa final'!$AA$20="Leve"),CONCATENATE("R5C",'Mapa final'!$O$20),"")</f>
        <v/>
      </c>
      <c r="N10" s="39" t="str">
        <f>IF(AND('Mapa final'!$Y$21="Muy Alta",'Mapa final'!$AA$21="Leve"),CONCATENATE("R5C",'Mapa final'!$O$21),"")</f>
        <v/>
      </c>
      <c r="O10" s="40" t="str">
        <f>IF(AND('Mapa final'!$Y$22="Muy Alta",'Mapa final'!$AA$22="Leve"),CONCATENATE("R5C",'Mapa final'!$O$22),"")</f>
        <v/>
      </c>
      <c r="P10" s="38" t="str">
        <f>IF(AND('Mapa final'!$Y$17="Muy Alta",'Mapa final'!$AA$17="Menor"),CONCATENATE("R5C",'Mapa final'!$O$17),"")</f>
        <v/>
      </c>
      <c r="Q10" s="39" t="str">
        <f>IF(AND('Mapa final'!$Y$18="Muy Alta",'Mapa final'!$AA$18="Menor"),CONCATENATE("R5C",'Mapa final'!$O$18),"")</f>
        <v/>
      </c>
      <c r="R10" s="39" t="str">
        <f>IF(AND('Mapa final'!$Y$19="Muy Alta",'Mapa final'!$AA$19="Menor"),CONCATENATE("R5C",'Mapa final'!$O$19),"")</f>
        <v/>
      </c>
      <c r="S10" s="39" t="str">
        <f>IF(AND('Mapa final'!$Y$20="Muy Alta",'Mapa final'!$AA$20="Menor"),CONCATENATE("R5C",'Mapa final'!$O$20),"")</f>
        <v/>
      </c>
      <c r="T10" s="39" t="str">
        <f>IF(AND('Mapa final'!$Y$21="Muy Alta",'Mapa final'!$AA$21="Menor"),CONCATENATE("R5C",'Mapa final'!$O$21),"")</f>
        <v/>
      </c>
      <c r="U10" s="40" t="str">
        <f>IF(AND('Mapa final'!$Y$22="Muy Alta",'Mapa final'!$AA$22="Menor"),CONCATENATE("R5C",'Mapa final'!$O$22),"")</f>
        <v/>
      </c>
      <c r="V10" s="38" t="str">
        <f>IF(AND('Mapa final'!$Y$17="Muy Alta",'Mapa final'!$AA$17="Moderado"),CONCATENATE("R5C",'Mapa final'!$O$17),"")</f>
        <v/>
      </c>
      <c r="W10" s="39" t="str">
        <f>IF(AND('Mapa final'!$Y$18="Muy Alta",'Mapa final'!$AA$18="Moderado"),CONCATENATE("R5C",'Mapa final'!$O$18),"")</f>
        <v/>
      </c>
      <c r="X10" s="39" t="str">
        <f>IF(AND('Mapa final'!$Y$19="Muy Alta",'Mapa final'!$AA$19="Moderado"),CONCATENATE("R5C",'Mapa final'!$O$19),"")</f>
        <v/>
      </c>
      <c r="Y10" s="39" t="str">
        <f>IF(AND('Mapa final'!$Y$20="Muy Alta",'Mapa final'!$AA$20="Moderado"),CONCATENATE("R5C",'Mapa final'!$O$20),"")</f>
        <v/>
      </c>
      <c r="Z10" s="39" t="str">
        <f>IF(AND('Mapa final'!$Y$21="Muy Alta",'Mapa final'!$AA$21="Moderado"),CONCATENATE("R5C",'Mapa final'!$O$21),"")</f>
        <v/>
      </c>
      <c r="AA10" s="40" t="str">
        <f>IF(AND('Mapa final'!$Y$22="Muy Alta",'Mapa final'!$AA$22="Moderado"),CONCATENATE("R5C",'Mapa final'!$O$22),"")</f>
        <v/>
      </c>
      <c r="AB10" s="38" t="str">
        <f>IF(AND('Mapa final'!$Y$17="Muy Alta",'Mapa final'!$AA$17="Mayor"),CONCATENATE("R5C",'Mapa final'!$O$17),"")</f>
        <v/>
      </c>
      <c r="AC10" s="39" t="str">
        <f>IF(AND('Mapa final'!$Y$18="Muy Alta",'Mapa final'!$AA$18="Mayor"),CONCATENATE("R5C",'Mapa final'!$O$18),"")</f>
        <v/>
      </c>
      <c r="AD10" s="39" t="str">
        <f>IF(AND('Mapa final'!$Y$19="Muy Alta",'Mapa final'!$AA$19="Mayor"),CONCATENATE("R5C",'Mapa final'!$O$19),"")</f>
        <v/>
      </c>
      <c r="AE10" s="39" t="str">
        <f>IF(AND('Mapa final'!$Y$20="Muy Alta",'Mapa final'!$AA$20="Mayor"),CONCATENATE("R5C",'Mapa final'!$O$20),"")</f>
        <v/>
      </c>
      <c r="AF10" s="39" t="str">
        <f>IF(AND('Mapa final'!$Y$21="Muy Alta",'Mapa final'!$AA$21="Mayor"),CONCATENATE("R5C",'Mapa final'!$O$21),"")</f>
        <v/>
      </c>
      <c r="AG10" s="40" t="str">
        <f>IF(AND('Mapa final'!$Y$22="Muy Alta",'Mapa final'!$AA$22="Mayor"),CONCATENATE("R5C",'Mapa final'!$O$22),"")</f>
        <v/>
      </c>
      <c r="AH10" s="41" t="str">
        <f>IF(AND('Mapa final'!$Y$17="Muy Alta",'Mapa final'!$AA$17="Catastrófico"),CONCATENATE("R5C",'Mapa final'!$O$17),"")</f>
        <v/>
      </c>
      <c r="AI10" s="42" t="str">
        <f>IF(AND('Mapa final'!$Y$18="Muy Alta",'Mapa final'!$AA$18="Catastrófico"),CONCATENATE("R5C",'Mapa final'!$O$18),"")</f>
        <v/>
      </c>
      <c r="AJ10" s="42" t="str">
        <f>IF(AND('Mapa final'!$Y$19="Muy Alta",'Mapa final'!$AA$19="Catastrófico"),CONCATENATE("R5C",'Mapa final'!$O$19),"")</f>
        <v/>
      </c>
      <c r="AK10" s="42" t="str">
        <f>IF(AND('Mapa final'!$Y$20="Muy Alta",'Mapa final'!$AA$20="Catastrófico"),CONCATENATE("R5C",'Mapa final'!$O$20),"")</f>
        <v/>
      </c>
      <c r="AL10" s="42" t="str">
        <f>IF(AND('Mapa final'!$Y$21="Muy Alta",'Mapa final'!$AA$21="Catastrófico"),CONCATENATE("R5C",'Mapa final'!$O$21),"")</f>
        <v/>
      </c>
      <c r="AM10" s="43" t="str">
        <f>IF(AND('Mapa final'!$Y$22="Muy Alta",'Mapa final'!$AA$22="Catastrófico"),CONCATENATE("R5C",'Mapa final'!$O$22),"")</f>
        <v/>
      </c>
      <c r="AN10" s="69"/>
      <c r="AO10" s="389"/>
      <c r="AP10" s="390"/>
      <c r="AQ10" s="390"/>
      <c r="AR10" s="390"/>
      <c r="AS10" s="390"/>
      <c r="AT10" s="391"/>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284"/>
      <c r="C11" s="284"/>
      <c r="D11" s="285"/>
      <c r="E11" s="383"/>
      <c r="F11" s="382"/>
      <c r="G11" s="382"/>
      <c r="H11" s="382"/>
      <c r="I11" s="398"/>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389"/>
      <c r="AP11" s="390"/>
      <c r="AQ11" s="390"/>
      <c r="AR11" s="390"/>
      <c r="AS11" s="390"/>
      <c r="AT11" s="391"/>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284"/>
      <c r="C12" s="284"/>
      <c r="D12" s="285"/>
      <c r="E12" s="383"/>
      <c r="F12" s="382"/>
      <c r="G12" s="382"/>
      <c r="H12" s="382"/>
      <c r="I12" s="398"/>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389"/>
      <c r="AP12" s="390"/>
      <c r="AQ12" s="390"/>
      <c r="AR12" s="390"/>
      <c r="AS12" s="390"/>
      <c r="AT12" s="391"/>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284"/>
      <c r="C13" s="284"/>
      <c r="D13" s="285"/>
      <c r="E13" s="383"/>
      <c r="F13" s="382"/>
      <c r="G13" s="382"/>
      <c r="H13" s="382"/>
      <c r="I13" s="398"/>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389"/>
      <c r="AP13" s="390"/>
      <c r="AQ13" s="390"/>
      <c r="AR13" s="390"/>
      <c r="AS13" s="390"/>
      <c r="AT13" s="391"/>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284"/>
      <c r="C14" s="284"/>
      <c r="D14" s="285"/>
      <c r="E14" s="383"/>
      <c r="F14" s="382"/>
      <c r="G14" s="382"/>
      <c r="H14" s="382"/>
      <c r="I14" s="398"/>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389"/>
      <c r="AP14" s="390"/>
      <c r="AQ14" s="390"/>
      <c r="AR14" s="390"/>
      <c r="AS14" s="390"/>
      <c r="AT14" s="391"/>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284"/>
      <c r="C15" s="284"/>
      <c r="D15" s="285"/>
      <c r="E15" s="384"/>
      <c r="F15" s="385"/>
      <c r="G15" s="385"/>
      <c r="H15" s="385"/>
      <c r="I15" s="399"/>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392"/>
      <c r="AP15" s="393"/>
      <c r="AQ15" s="393"/>
      <c r="AR15" s="393"/>
      <c r="AS15" s="393"/>
      <c r="AT15" s="394"/>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284"/>
      <c r="C16" s="284"/>
      <c r="D16" s="285"/>
      <c r="E16" s="379" t="s">
        <v>115</v>
      </c>
      <c r="F16" s="380"/>
      <c r="G16" s="380"/>
      <c r="H16" s="380"/>
      <c r="I16" s="380"/>
      <c r="J16" s="50" t="e">
        <f>IF(AND('Mapa final'!#REF!="Alta",'Mapa final'!#REF!="Leve"),CONCATENATE("R1C",'Mapa final'!#REF!),"")</f>
        <v>#REF!</v>
      </c>
      <c r="K16" s="51" t="e">
        <f>IF(AND('Mapa final'!#REF!="Alta",'Mapa final'!#REF!="Leve"),CONCATENATE("R1C",'Mapa final'!#REF!),"")</f>
        <v>#REF!</v>
      </c>
      <c r="L16" s="51" t="e">
        <f>IF(AND('Mapa final'!#REF!="Alta",'Mapa final'!#REF!="Leve"),CONCATENATE("R1C",'Mapa final'!#REF!),"")</f>
        <v>#REF!</v>
      </c>
      <c r="M16" s="51" t="e">
        <f>IF(AND('Mapa final'!#REF!="Alta",'Mapa final'!#REF!="Leve"),CONCATENATE("R1C",'Mapa final'!#REF!),"")</f>
        <v>#REF!</v>
      </c>
      <c r="N16" s="51" t="e">
        <f>IF(AND('Mapa final'!#REF!="Alta",'Mapa final'!#REF!="Leve"),CONCATENATE("R1C",'Mapa final'!#REF!),"")</f>
        <v>#REF!</v>
      </c>
      <c r="O16" s="52" t="e">
        <f>IF(AND('Mapa final'!#REF!="Alta",'Mapa final'!#REF!="Leve"),CONCATENATE("R1C",'Mapa final'!#REF!),"")</f>
        <v>#REF!</v>
      </c>
      <c r="P16" s="50" t="e">
        <f>IF(AND('Mapa final'!#REF!="Alta",'Mapa final'!#REF!="Menor"),CONCATENATE("R1C",'Mapa final'!#REF!),"")</f>
        <v>#REF!</v>
      </c>
      <c r="Q16" s="51" t="e">
        <f>IF(AND('Mapa final'!#REF!="Alta",'Mapa final'!#REF!="Menor"),CONCATENATE("R1C",'Mapa final'!#REF!),"")</f>
        <v>#REF!</v>
      </c>
      <c r="R16" s="51" t="e">
        <f>IF(AND('Mapa final'!#REF!="Alta",'Mapa final'!#REF!="Menor"),CONCATENATE("R1C",'Mapa final'!#REF!),"")</f>
        <v>#REF!</v>
      </c>
      <c r="S16" s="51" t="e">
        <f>IF(AND('Mapa final'!#REF!="Alta",'Mapa final'!#REF!="Menor"),CONCATENATE("R1C",'Mapa final'!#REF!),"")</f>
        <v>#REF!</v>
      </c>
      <c r="T16" s="51" t="e">
        <f>IF(AND('Mapa final'!#REF!="Alta",'Mapa final'!#REF!="Menor"),CONCATENATE("R1C",'Mapa final'!#REF!),"")</f>
        <v>#REF!</v>
      </c>
      <c r="U16" s="52" t="e">
        <f>IF(AND('Mapa final'!#REF!="Alta",'Mapa final'!#REF!="Menor"),CONCATENATE("R1C",'Mapa final'!#REF!),"")</f>
        <v>#REF!</v>
      </c>
      <c r="V16" s="32" t="e">
        <f>IF(AND('Mapa final'!#REF!="Alta",'Mapa final'!#REF!="Moderado"),CONCATENATE("R1C",'Mapa final'!#REF!),"")</f>
        <v>#REF!</v>
      </c>
      <c r="W16" s="33" t="e">
        <f>IF(AND('Mapa final'!#REF!="Alta",'Mapa final'!#REF!="Moderado"),CONCATENATE("R1C",'Mapa final'!#REF!),"")</f>
        <v>#REF!</v>
      </c>
      <c r="X16" s="33" t="e">
        <f>IF(AND('Mapa final'!#REF!="Alta",'Mapa final'!#REF!="Moderado"),CONCATENATE("R1C",'Mapa final'!#REF!),"")</f>
        <v>#REF!</v>
      </c>
      <c r="Y16" s="33" t="e">
        <f>IF(AND('Mapa final'!#REF!="Alta",'Mapa final'!#REF!="Moderado"),CONCATENATE("R1C",'Mapa final'!#REF!),"")</f>
        <v>#REF!</v>
      </c>
      <c r="Z16" s="33" t="e">
        <f>IF(AND('Mapa final'!#REF!="Alta",'Mapa final'!#REF!="Moderado"),CONCATENATE("R1C",'Mapa final'!#REF!),"")</f>
        <v>#REF!</v>
      </c>
      <c r="AA16" s="34" t="e">
        <f>IF(AND('Mapa final'!#REF!="Alta",'Mapa final'!#REF!="Moderado"),CONCATENATE("R1C",'Mapa final'!#REF!),"")</f>
        <v>#REF!</v>
      </c>
      <c r="AB16" s="32" t="e">
        <f>IF(AND('Mapa final'!#REF!="Alta",'Mapa final'!#REF!="Mayor"),CONCATENATE("R1C",'Mapa final'!#REF!),"")</f>
        <v>#REF!</v>
      </c>
      <c r="AC16" s="33" t="e">
        <f>IF(AND('Mapa final'!#REF!="Alta",'Mapa final'!#REF!="Mayor"),CONCATENATE("R1C",'Mapa final'!#REF!),"")</f>
        <v>#REF!</v>
      </c>
      <c r="AD16" s="33" t="e">
        <f>IF(AND('Mapa final'!#REF!="Alta",'Mapa final'!#REF!="Mayor"),CONCATENATE("R1C",'Mapa final'!#REF!),"")</f>
        <v>#REF!</v>
      </c>
      <c r="AE16" s="33" t="e">
        <f>IF(AND('Mapa final'!#REF!="Alta",'Mapa final'!#REF!="Mayor"),CONCATENATE("R1C",'Mapa final'!#REF!),"")</f>
        <v>#REF!</v>
      </c>
      <c r="AF16" s="33" t="e">
        <f>IF(AND('Mapa final'!#REF!="Alta",'Mapa final'!#REF!="Mayor"),CONCATENATE("R1C",'Mapa final'!#REF!),"")</f>
        <v>#REF!</v>
      </c>
      <c r="AG16" s="34" t="e">
        <f>IF(AND('Mapa final'!#REF!="Alta",'Mapa final'!#REF!="Mayor"),CONCATENATE("R1C",'Mapa final'!#REF!),"")</f>
        <v>#REF!</v>
      </c>
      <c r="AH16" s="35" t="e">
        <f>IF(AND('Mapa final'!#REF!="Alta",'Mapa final'!#REF!="Catastrófico"),CONCATENATE("R1C",'Mapa final'!#REF!),"")</f>
        <v>#REF!</v>
      </c>
      <c r="AI16" s="36" t="e">
        <f>IF(AND('Mapa final'!#REF!="Alta",'Mapa final'!#REF!="Catastrófico"),CONCATENATE("R1C",'Mapa final'!#REF!),"")</f>
        <v>#REF!</v>
      </c>
      <c r="AJ16" s="36" t="e">
        <f>IF(AND('Mapa final'!#REF!="Alta",'Mapa final'!#REF!="Catastrófico"),CONCATENATE("R1C",'Mapa final'!#REF!),"")</f>
        <v>#REF!</v>
      </c>
      <c r="AK16" s="36" t="e">
        <f>IF(AND('Mapa final'!#REF!="Alta",'Mapa final'!#REF!="Catastrófico"),CONCATENATE("R1C",'Mapa final'!#REF!),"")</f>
        <v>#REF!</v>
      </c>
      <c r="AL16" s="36" t="e">
        <f>IF(AND('Mapa final'!#REF!="Alta",'Mapa final'!#REF!="Catastrófico"),CONCATENATE("R1C",'Mapa final'!#REF!),"")</f>
        <v>#REF!</v>
      </c>
      <c r="AM16" s="37" t="e">
        <f>IF(AND('Mapa final'!#REF!="Alta",'Mapa final'!#REF!="Catastrófico"),CONCATENATE("R1C",'Mapa final'!#REF!),"")</f>
        <v>#REF!</v>
      </c>
      <c r="AN16" s="69"/>
      <c r="AO16" s="370" t="s">
        <v>80</v>
      </c>
      <c r="AP16" s="371"/>
      <c r="AQ16" s="371"/>
      <c r="AR16" s="371"/>
      <c r="AS16" s="371"/>
      <c r="AT16" s="372"/>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284"/>
      <c r="C17" s="284"/>
      <c r="D17" s="285"/>
      <c r="E17" s="381"/>
      <c r="F17" s="382"/>
      <c r="G17" s="382"/>
      <c r="H17" s="382"/>
      <c r="I17" s="382"/>
      <c r="J17" s="53" t="e">
        <f>IF(AND('Mapa final'!#REF!="Alta",'Mapa final'!#REF!="Leve"),CONCATENATE("R2C",'Mapa final'!#REF!),"")</f>
        <v>#REF!</v>
      </c>
      <c r="K17" s="54" t="e">
        <f>IF(AND('Mapa final'!#REF!="Alta",'Mapa final'!#REF!="Leve"),CONCATENATE("R2C",'Mapa final'!#REF!),"")</f>
        <v>#REF!</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e">
        <f>IF(AND('Mapa final'!#REF!="Alta",'Mapa final'!#REF!="Menor"),CONCATENATE("R2C",'Mapa final'!#REF!),"")</f>
        <v>#REF!</v>
      </c>
      <c r="Q17" s="54" t="e">
        <f>IF(AND('Mapa final'!#REF!="Alta",'Mapa final'!#REF!="Menor"),CONCATENATE("R2C",'Mapa final'!#REF!),"")</f>
        <v>#REF!</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e">
        <f>IF(AND('Mapa final'!#REF!="Alta",'Mapa final'!#REF!="Moderado"),CONCATENATE("R2C",'Mapa final'!#REF!),"")</f>
        <v>#REF!</v>
      </c>
      <c r="W17" s="39" t="e">
        <f>IF(AND('Mapa final'!#REF!="Alta",'Mapa final'!#REF!="Moderado"),CONCATENATE("R2C",'Mapa final'!#REF!),"")</f>
        <v>#REF!</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e">
        <f>IF(AND('Mapa final'!#REF!="Alta",'Mapa final'!#REF!="Mayor"),CONCATENATE("R2C",'Mapa final'!#REF!),"")</f>
        <v>#REF!</v>
      </c>
      <c r="AC17" s="39" t="e">
        <f>IF(AND('Mapa final'!#REF!="Alta",'Mapa final'!#REF!="Mayor"),CONCATENATE("R2C",'Mapa final'!#REF!),"")</f>
        <v>#REF!</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e">
        <f>IF(AND('Mapa final'!#REF!="Alta",'Mapa final'!#REF!="Catastrófico"),CONCATENATE("R2C",'Mapa final'!#REF!),"")</f>
        <v>#REF!</v>
      </c>
      <c r="AI17" s="42" t="e">
        <f>IF(AND('Mapa final'!#REF!="Alta",'Mapa final'!#REF!="Catastrófico"),CONCATENATE("R2C",'Mapa final'!#REF!),"")</f>
        <v>#REF!</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373"/>
      <c r="AP17" s="374"/>
      <c r="AQ17" s="374"/>
      <c r="AR17" s="374"/>
      <c r="AS17" s="374"/>
      <c r="AT17" s="375"/>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284"/>
      <c r="C18" s="284"/>
      <c r="D18" s="285"/>
      <c r="E18" s="383"/>
      <c r="F18" s="382"/>
      <c r="G18" s="382"/>
      <c r="H18" s="382"/>
      <c r="I18" s="382"/>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373"/>
      <c r="AP18" s="374"/>
      <c r="AQ18" s="374"/>
      <c r="AR18" s="374"/>
      <c r="AS18" s="374"/>
      <c r="AT18" s="375"/>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284"/>
      <c r="C19" s="284"/>
      <c r="D19" s="285"/>
      <c r="E19" s="383"/>
      <c r="F19" s="382"/>
      <c r="G19" s="382"/>
      <c r="H19" s="382"/>
      <c r="I19" s="382"/>
      <c r="J19" s="53" t="str">
        <f>IF(AND('Mapa final'!$Y$13="Alta",'Mapa final'!$AA$13="Leve"),CONCATENATE("R4C",'Mapa final'!$O$13),"")</f>
        <v/>
      </c>
      <c r="K19" s="54" t="str">
        <f>IF(AND('Mapa final'!$Y$14="Alta",'Mapa final'!$AA$14="Leve"),CONCATENATE("R4C",'Mapa final'!$O$14),"")</f>
        <v/>
      </c>
      <c r="L19" s="54" t="str">
        <f>IF(AND('Mapa final'!$Y$15="Alta",'Mapa final'!$AA$15="Leve"),CONCATENATE("R4C",'Mapa final'!$O$15),"")</f>
        <v/>
      </c>
      <c r="M19" s="54" t="str">
        <f>IF(AND('Mapa final'!$Y$16="Alta",'Mapa final'!$AA$16="Leve"),CONCATENATE("R4C",'Mapa final'!$O$16),"")</f>
        <v/>
      </c>
      <c r="N19" s="54" t="e">
        <f>IF(AND('Mapa final'!#REF!="Alta",'Mapa final'!#REF!="Leve"),CONCATENATE("R4C",'Mapa final'!#REF!),"")</f>
        <v>#REF!</v>
      </c>
      <c r="O19" s="55" t="e">
        <f>IF(AND('Mapa final'!#REF!="Alta",'Mapa final'!#REF!="Leve"),CONCATENATE("R4C",'Mapa final'!#REF!),"")</f>
        <v>#REF!</v>
      </c>
      <c r="P19" s="53" t="str">
        <f>IF(AND('Mapa final'!$Y$13="Alta",'Mapa final'!$AA$13="Menor"),CONCATENATE("R4C",'Mapa final'!$O$13),"")</f>
        <v/>
      </c>
      <c r="Q19" s="54" t="str">
        <f>IF(AND('Mapa final'!$Y$14="Alta",'Mapa final'!$AA$14="Menor"),CONCATENATE("R4C",'Mapa final'!$O$14),"")</f>
        <v/>
      </c>
      <c r="R19" s="54" t="str">
        <f>IF(AND('Mapa final'!$Y$15="Alta",'Mapa final'!$AA$15="Menor"),CONCATENATE("R4C",'Mapa final'!$O$15),"")</f>
        <v/>
      </c>
      <c r="S19" s="54" t="str">
        <f>IF(AND('Mapa final'!$Y$16="Alta",'Mapa final'!$AA$16="Menor"),CONCATENATE("R4C",'Mapa final'!$O$16),"")</f>
        <v/>
      </c>
      <c r="T19" s="54" t="e">
        <f>IF(AND('Mapa final'!#REF!="Alta",'Mapa final'!#REF!="Menor"),CONCATENATE("R4C",'Mapa final'!#REF!),"")</f>
        <v>#REF!</v>
      </c>
      <c r="U19" s="55" t="e">
        <f>IF(AND('Mapa final'!#REF!="Alta",'Mapa final'!#REF!="Menor"),CONCATENATE("R4C",'Mapa final'!#REF!),"")</f>
        <v>#REF!</v>
      </c>
      <c r="V19" s="38" t="str">
        <f>IF(AND('Mapa final'!$Y$13="Alta",'Mapa final'!$AA$13="Moderado"),CONCATENATE("R4C",'Mapa final'!$O$13),"")</f>
        <v/>
      </c>
      <c r="W19" s="39" t="str">
        <f>IF(AND('Mapa final'!$Y$14="Alta",'Mapa final'!$AA$14="Moderado"),CONCATENATE("R4C",'Mapa final'!$O$14),"")</f>
        <v/>
      </c>
      <c r="X19" s="39" t="str">
        <f>IF(AND('Mapa final'!$Y$15="Alta",'Mapa final'!$AA$15="Moderado"),CONCATENATE("R4C",'Mapa final'!$O$15),"")</f>
        <v/>
      </c>
      <c r="Y19" s="39" t="str">
        <f>IF(AND('Mapa final'!$Y$16="Alta",'Mapa final'!$AA$16="Moderado"),CONCATENATE("R4C",'Mapa final'!$O$16),"")</f>
        <v/>
      </c>
      <c r="Z19" s="39" t="e">
        <f>IF(AND('Mapa final'!#REF!="Alta",'Mapa final'!#REF!="Moderado"),CONCATENATE("R4C",'Mapa final'!#REF!),"")</f>
        <v>#REF!</v>
      </c>
      <c r="AA19" s="40" t="e">
        <f>IF(AND('Mapa final'!#REF!="Alta",'Mapa final'!#REF!="Moderado"),CONCATENATE("R4C",'Mapa final'!#REF!),"")</f>
        <v>#REF!</v>
      </c>
      <c r="AB19" s="38" t="str">
        <f>IF(AND('Mapa final'!$Y$13="Alta",'Mapa final'!$AA$13="Mayor"),CONCATENATE("R4C",'Mapa final'!$O$13),"")</f>
        <v/>
      </c>
      <c r="AC19" s="39" t="str">
        <f>IF(AND('Mapa final'!$Y$14="Alta",'Mapa final'!$AA$14="Mayor"),CONCATENATE("R4C",'Mapa final'!$O$14),"")</f>
        <v/>
      </c>
      <c r="AD19" s="39" t="str">
        <f>IF(AND('Mapa final'!$Y$15="Alta",'Mapa final'!$AA$15="Mayor"),CONCATENATE("R4C",'Mapa final'!$O$15),"")</f>
        <v/>
      </c>
      <c r="AE19" s="39" t="str">
        <f>IF(AND('Mapa final'!$Y$16="Alta",'Mapa final'!$AA$16="Mayor"),CONCATENATE("R4C",'Mapa final'!$O$16),"")</f>
        <v/>
      </c>
      <c r="AF19" s="39" t="e">
        <f>IF(AND('Mapa final'!#REF!="Alta",'Mapa final'!#REF!="Mayor"),CONCATENATE("R4C",'Mapa final'!#REF!),"")</f>
        <v>#REF!</v>
      </c>
      <c r="AG19" s="40" t="e">
        <f>IF(AND('Mapa final'!#REF!="Alta",'Mapa final'!#REF!="Mayor"),CONCATENATE("R4C",'Mapa final'!#REF!),"")</f>
        <v>#REF!</v>
      </c>
      <c r="AH19" s="41" t="str">
        <f>IF(AND('Mapa final'!$Y$13="Alta",'Mapa final'!$AA$13="Catastrófico"),CONCATENATE("R4C",'Mapa final'!$O$13),"")</f>
        <v/>
      </c>
      <c r="AI19" s="42" t="str">
        <f>IF(AND('Mapa final'!$Y$14="Alta",'Mapa final'!$AA$14="Catastrófico"),CONCATENATE("R4C",'Mapa final'!$O$14),"")</f>
        <v/>
      </c>
      <c r="AJ19" s="42" t="str">
        <f>IF(AND('Mapa final'!$Y$15="Alta",'Mapa final'!$AA$15="Catastrófico"),CONCATENATE("R4C",'Mapa final'!$O$15),"")</f>
        <v/>
      </c>
      <c r="AK19" s="42" t="str">
        <f>IF(AND('Mapa final'!$Y$16="Alta",'Mapa final'!$AA$16="Catastrófico"),CONCATENATE("R4C",'Mapa final'!$O$16),"")</f>
        <v/>
      </c>
      <c r="AL19" s="42" t="e">
        <f>IF(AND('Mapa final'!#REF!="Alta",'Mapa final'!#REF!="Catastrófico"),CONCATENATE("R4C",'Mapa final'!#REF!),"")</f>
        <v>#REF!</v>
      </c>
      <c r="AM19" s="43" t="e">
        <f>IF(AND('Mapa final'!#REF!="Alta",'Mapa final'!#REF!="Catastrófico"),CONCATENATE("R4C",'Mapa final'!#REF!),"")</f>
        <v>#REF!</v>
      </c>
      <c r="AN19" s="69"/>
      <c r="AO19" s="373"/>
      <c r="AP19" s="374"/>
      <c r="AQ19" s="374"/>
      <c r="AR19" s="374"/>
      <c r="AS19" s="374"/>
      <c r="AT19" s="375"/>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284"/>
      <c r="C20" s="284"/>
      <c r="D20" s="285"/>
      <c r="E20" s="383"/>
      <c r="F20" s="382"/>
      <c r="G20" s="382"/>
      <c r="H20" s="382"/>
      <c r="I20" s="382"/>
      <c r="J20" s="53" t="str">
        <f>IF(AND('Mapa final'!$Y$17="Alta",'Mapa final'!$AA$17="Leve"),CONCATENATE("R5C",'Mapa final'!$O$17),"")</f>
        <v/>
      </c>
      <c r="K20" s="54" t="str">
        <f>IF(AND('Mapa final'!$Y$18="Alta",'Mapa final'!$AA$18="Leve"),CONCATENATE("R5C",'Mapa final'!$O$18),"")</f>
        <v/>
      </c>
      <c r="L20" s="54" t="str">
        <f>IF(AND('Mapa final'!$Y$19="Alta",'Mapa final'!$AA$19="Leve"),CONCATENATE("R5C",'Mapa final'!$O$19),"")</f>
        <v/>
      </c>
      <c r="M20" s="54" t="str">
        <f>IF(AND('Mapa final'!$Y$20="Alta",'Mapa final'!$AA$20="Leve"),CONCATENATE("R5C",'Mapa final'!$O$20),"")</f>
        <v/>
      </c>
      <c r="N20" s="54" t="str">
        <f>IF(AND('Mapa final'!$Y$21="Alta",'Mapa final'!$AA$21="Leve"),CONCATENATE("R5C",'Mapa final'!$O$21),"")</f>
        <v/>
      </c>
      <c r="O20" s="55" t="str">
        <f>IF(AND('Mapa final'!$Y$22="Alta",'Mapa final'!$AA$22="Leve"),CONCATENATE("R5C",'Mapa final'!$O$22),"")</f>
        <v/>
      </c>
      <c r="P20" s="53" t="str">
        <f>IF(AND('Mapa final'!$Y$17="Alta",'Mapa final'!$AA$17="Menor"),CONCATENATE("R5C",'Mapa final'!$O$17),"")</f>
        <v/>
      </c>
      <c r="Q20" s="54" t="str">
        <f>IF(AND('Mapa final'!$Y$18="Alta",'Mapa final'!$AA$18="Menor"),CONCATENATE("R5C",'Mapa final'!$O$18),"")</f>
        <v/>
      </c>
      <c r="R20" s="54" t="str">
        <f>IF(AND('Mapa final'!$Y$19="Alta",'Mapa final'!$AA$19="Menor"),CONCATENATE("R5C",'Mapa final'!$O$19),"")</f>
        <v/>
      </c>
      <c r="S20" s="54" t="str">
        <f>IF(AND('Mapa final'!$Y$20="Alta",'Mapa final'!$AA$20="Menor"),CONCATENATE("R5C",'Mapa final'!$O$20),"")</f>
        <v/>
      </c>
      <c r="T20" s="54" t="str">
        <f>IF(AND('Mapa final'!$Y$21="Alta",'Mapa final'!$AA$21="Menor"),CONCATENATE("R5C",'Mapa final'!$O$21),"")</f>
        <v/>
      </c>
      <c r="U20" s="55" t="str">
        <f>IF(AND('Mapa final'!$Y$22="Alta",'Mapa final'!$AA$22="Menor"),CONCATENATE("R5C",'Mapa final'!$O$22),"")</f>
        <v/>
      </c>
      <c r="V20" s="38" t="str">
        <f>IF(AND('Mapa final'!$Y$17="Alta",'Mapa final'!$AA$17="Moderado"),CONCATENATE("R5C",'Mapa final'!$O$17),"")</f>
        <v/>
      </c>
      <c r="W20" s="39" t="str">
        <f>IF(AND('Mapa final'!$Y$18="Alta",'Mapa final'!$AA$18="Moderado"),CONCATENATE("R5C",'Mapa final'!$O$18),"")</f>
        <v/>
      </c>
      <c r="X20" s="39" t="str">
        <f>IF(AND('Mapa final'!$Y$19="Alta",'Mapa final'!$AA$19="Moderado"),CONCATENATE("R5C",'Mapa final'!$O$19),"")</f>
        <v/>
      </c>
      <c r="Y20" s="39" t="str">
        <f>IF(AND('Mapa final'!$Y$20="Alta",'Mapa final'!$AA$20="Moderado"),CONCATENATE("R5C",'Mapa final'!$O$20),"")</f>
        <v/>
      </c>
      <c r="Z20" s="39" t="str">
        <f>IF(AND('Mapa final'!$Y$21="Alta",'Mapa final'!$AA$21="Moderado"),CONCATENATE("R5C",'Mapa final'!$O$21),"")</f>
        <v/>
      </c>
      <c r="AA20" s="40" t="str">
        <f>IF(AND('Mapa final'!$Y$22="Alta",'Mapa final'!$AA$22="Moderado"),CONCATENATE("R5C",'Mapa final'!$O$22),"")</f>
        <v/>
      </c>
      <c r="AB20" s="38" t="str">
        <f>IF(AND('Mapa final'!$Y$17="Alta",'Mapa final'!$AA$17="Mayor"),CONCATENATE("R5C",'Mapa final'!$O$17),"")</f>
        <v/>
      </c>
      <c r="AC20" s="39" t="str">
        <f>IF(AND('Mapa final'!$Y$18="Alta",'Mapa final'!$AA$18="Mayor"),CONCATENATE("R5C",'Mapa final'!$O$18),"")</f>
        <v/>
      </c>
      <c r="AD20" s="39" t="str">
        <f>IF(AND('Mapa final'!$Y$19="Alta",'Mapa final'!$AA$19="Mayor"),CONCATENATE("R5C",'Mapa final'!$O$19),"")</f>
        <v/>
      </c>
      <c r="AE20" s="39" t="str">
        <f>IF(AND('Mapa final'!$Y$20="Alta",'Mapa final'!$AA$20="Mayor"),CONCATENATE("R5C",'Mapa final'!$O$20),"")</f>
        <v/>
      </c>
      <c r="AF20" s="39" t="str">
        <f>IF(AND('Mapa final'!$Y$21="Alta",'Mapa final'!$AA$21="Mayor"),CONCATENATE("R5C",'Mapa final'!$O$21),"")</f>
        <v/>
      </c>
      <c r="AG20" s="40" t="str">
        <f>IF(AND('Mapa final'!$Y$22="Alta",'Mapa final'!$AA$22="Mayor"),CONCATENATE("R5C",'Mapa final'!$O$22),"")</f>
        <v/>
      </c>
      <c r="AH20" s="41" t="str">
        <f>IF(AND('Mapa final'!$Y$17="Alta",'Mapa final'!$AA$17="Catastrófico"),CONCATENATE("R5C",'Mapa final'!$O$17),"")</f>
        <v/>
      </c>
      <c r="AI20" s="42" t="str">
        <f>IF(AND('Mapa final'!$Y$18="Alta",'Mapa final'!$AA$18="Catastrófico"),CONCATENATE("R5C",'Mapa final'!$O$18),"")</f>
        <v/>
      </c>
      <c r="AJ20" s="42" t="str">
        <f>IF(AND('Mapa final'!$Y$19="Alta",'Mapa final'!$AA$19="Catastrófico"),CONCATENATE("R5C",'Mapa final'!$O$19),"")</f>
        <v/>
      </c>
      <c r="AK20" s="42" t="str">
        <f>IF(AND('Mapa final'!$Y$20="Alta",'Mapa final'!$AA$20="Catastrófico"),CONCATENATE("R5C",'Mapa final'!$O$20),"")</f>
        <v/>
      </c>
      <c r="AL20" s="42" t="str">
        <f>IF(AND('Mapa final'!$Y$21="Alta",'Mapa final'!$AA$21="Catastrófico"),CONCATENATE("R5C",'Mapa final'!$O$21),"")</f>
        <v/>
      </c>
      <c r="AM20" s="43" t="str">
        <f>IF(AND('Mapa final'!$Y$22="Alta",'Mapa final'!$AA$22="Catastrófico"),CONCATENATE("R5C",'Mapa final'!$O$22),"")</f>
        <v/>
      </c>
      <c r="AN20" s="69"/>
      <c r="AO20" s="373"/>
      <c r="AP20" s="374"/>
      <c r="AQ20" s="374"/>
      <c r="AR20" s="374"/>
      <c r="AS20" s="374"/>
      <c r="AT20" s="375"/>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284"/>
      <c r="C21" s="284"/>
      <c r="D21" s="285"/>
      <c r="E21" s="383"/>
      <c r="F21" s="382"/>
      <c r="G21" s="382"/>
      <c r="H21" s="382"/>
      <c r="I21" s="382"/>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373"/>
      <c r="AP21" s="374"/>
      <c r="AQ21" s="374"/>
      <c r="AR21" s="374"/>
      <c r="AS21" s="374"/>
      <c r="AT21" s="375"/>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284"/>
      <c r="C22" s="284"/>
      <c r="D22" s="285"/>
      <c r="E22" s="383"/>
      <c r="F22" s="382"/>
      <c r="G22" s="382"/>
      <c r="H22" s="382"/>
      <c r="I22" s="382"/>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373"/>
      <c r="AP22" s="374"/>
      <c r="AQ22" s="374"/>
      <c r="AR22" s="374"/>
      <c r="AS22" s="374"/>
      <c r="AT22" s="375"/>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284"/>
      <c r="C23" s="284"/>
      <c r="D23" s="285"/>
      <c r="E23" s="383"/>
      <c r="F23" s="382"/>
      <c r="G23" s="382"/>
      <c r="H23" s="382"/>
      <c r="I23" s="382"/>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373"/>
      <c r="AP23" s="374"/>
      <c r="AQ23" s="374"/>
      <c r="AR23" s="374"/>
      <c r="AS23" s="374"/>
      <c r="AT23" s="375"/>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284"/>
      <c r="C24" s="284"/>
      <c r="D24" s="285"/>
      <c r="E24" s="383"/>
      <c r="F24" s="382"/>
      <c r="G24" s="382"/>
      <c r="H24" s="382"/>
      <c r="I24" s="382"/>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373"/>
      <c r="AP24" s="374"/>
      <c r="AQ24" s="374"/>
      <c r="AR24" s="374"/>
      <c r="AS24" s="374"/>
      <c r="AT24" s="375"/>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284"/>
      <c r="C25" s="284"/>
      <c r="D25" s="285"/>
      <c r="E25" s="384"/>
      <c r="F25" s="385"/>
      <c r="G25" s="385"/>
      <c r="H25" s="385"/>
      <c r="I25" s="385"/>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376"/>
      <c r="AP25" s="377"/>
      <c r="AQ25" s="377"/>
      <c r="AR25" s="377"/>
      <c r="AS25" s="377"/>
      <c r="AT25" s="378"/>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284"/>
      <c r="C26" s="284"/>
      <c r="D26" s="285"/>
      <c r="E26" s="379" t="s">
        <v>117</v>
      </c>
      <c r="F26" s="380"/>
      <c r="G26" s="380"/>
      <c r="H26" s="380"/>
      <c r="I26" s="397"/>
      <c r="J26" s="50" t="e">
        <f>IF(AND('Mapa final'!#REF!="Media",'Mapa final'!#REF!="Leve"),CONCATENATE("R1C",'Mapa final'!#REF!),"")</f>
        <v>#REF!</v>
      </c>
      <c r="K26" s="51" t="e">
        <f>IF(AND('Mapa final'!#REF!="Media",'Mapa final'!#REF!="Leve"),CONCATENATE("R1C",'Mapa final'!#REF!),"")</f>
        <v>#REF!</v>
      </c>
      <c r="L26" s="51" t="e">
        <f>IF(AND('Mapa final'!#REF!="Media",'Mapa final'!#REF!="Leve"),CONCATENATE("R1C",'Mapa final'!#REF!),"")</f>
        <v>#REF!</v>
      </c>
      <c r="M26" s="51" t="e">
        <f>IF(AND('Mapa final'!#REF!="Media",'Mapa final'!#REF!="Leve"),CONCATENATE("R1C",'Mapa final'!#REF!),"")</f>
        <v>#REF!</v>
      </c>
      <c r="N26" s="51" t="e">
        <f>IF(AND('Mapa final'!#REF!="Media",'Mapa final'!#REF!="Leve"),CONCATENATE("R1C",'Mapa final'!#REF!),"")</f>
        <v>#REF!</v>
      </c>
      <c r="O26" s="52" t="e">
        <f>IF(AND('Mapa final'!#REF!="Media",'Mapa final'!#REF!="Leve"),CONCATENATE("R1C",'Mapa final'!#REF!),"")</f>
        <v>#REF!</v>
      </c>
      <c r="P26" s="50" t="e">
        <f>IF(AND('Mapa final'!#REF!="Media",'Mapa final'!#REF!="Menor"),CONCATENATE("R1C",'Mapa final'!#REF!),"")</f>
        <v>#REF!</v>
      </c>
      <c r="Q26" s="51" t="e">
        <f>IF(AND('Mapa final'!#REF!="Media",'Mapa final'!#REF!="Menor"),CONCATENATE("R1C",'Mapa final'!#REF!),"")</f>
        <v>#REF!</v>
      </c>
      <c r="R26" s="51" t="e">
        <f>IF(AND('Mapa final'!#REF!="Media",'Mapa final'!#REF!="Menor"),CONCATENATE("R1C",'Mapa final'!#REF!),"")</f>
        <v>#REF!</v>
      </c>
      <c r="S26" s="51" t="e">
        <f>IF(AND('Mapa final'!#REF!="Media",'Mapa final'!#REF!="Menor"),CONCATENATE("R1C",'Mapa final'!#REF!),"")</f>
        <v>#REF!</v>
      </c>
      <c r="T26" s="51" t="e">
        <f>IF(AND('Mapa final'!#REF!="Media",'Mapa final'!#REF!="Menor"),CONCATENATE("R1C",'Mapa final'!#REF!),"")</f>
        <v>#REF!</v>
      </c>
      <c r="U26" s="52" t="e">
        <f>IF(AND('Mapa final'!#REF!="Media",'Mapa final'!#REF!="Menor"),CONCATENATE("R1C",'Mapa final'!#REF!),"")</f>
        <v>#REF!</v>
      </c>
      <c r="V26" s="50" t="e">
        <f>IF(AND('Mapa final'!#REF!="Media",'Mapa final'!#REF!="Moderado"),CONCATENATE("R1C",'Mapa final'!#REF!),"")</f>
        <v>#REF!</v>
      </c>
      <c r="W26" s="51" t="e">
        <f>IF(AND('Mapa final'!#REF!="Media",'Mapa final'!#REF!="Moderado"),CONCATENATE("R1C",'Mapa final'!#REF!),"")</f>
        <v>#REF!</v>
      </c>
      <c r="X26" s="51" t="e">
        <f>IF(AND('Mapa final'!#REF!="Media",'Mapa final'!#REF!="Moderado"),CONCATENATE("R1C",'Mapa final'!#REF!),"")</f>
        <v>#REF!</v>
      </c>
      <c r="Y26" s="51" t="e">
        <f>IF(AND('Mapa final'!#REF!="Media",'Mapa final'!#REF!="Moderado"),CONCATENATE("R1C",'Mapa final'!#REF!),"")</f>
        <v>#REF!</v>
      </c>
      <c r="Z26" s="51" t="e">
        <f>IF(AND('Mapa final'!#REF!="Media",'Mapa final'!#REF!="Moderado"),CONCATENATE("R1C",'Mapa final'!#REF!),"")</f>
        <v>#REF!</v>
      </c>
      <c r="AA26" s="52" t="e">
        <f>IF(AND('Mapa final'!#REF!="Media",'Mapa final'!#REF!="Moderado"),CONCATENATE("R1C",'Mapa final'!#REF!),"")</f>
        <v>#REF!</v>
      </c>
      <c r="AB26" s="32" t="e">
        <f>IF(AND('Mapa final'!#REF!="Media",'Mapa final'!#REF!="Mayor"),CONCATENATE("R1C",'Mapa final'!#REF!),"")</f>
        <v>#REF!</v>
      </c>
      <c r="AC26" s="33" t="e">
        <f>IF(AND('Mapa final'!#REF!="Media",'Mapa final'!#REF!="Mayor"),CONCATENATE("R1C",'Mapa final'!#REF!),"")</f>
        <v>#REF!</v>
      </c>
      <c r="AD26" s="33" t="e">
        <f>IF(AND('Mapa final'!#REF!="Media",'Mapa final'!#REF!="Mayor"),CONCATENATE("R1C",'Mapa final'!#REF!),"")</f>
        <v>#REF!</v>
      </c>
      <c r="AE26" s="33" t="e">
        <f>IF(AND('Mapa final'!#REF!="Media",'Mapa final'!#REF!="Mayor"),CONCATENATE("R1C",'Mapa final'!#REF!),"")</f>
        <v>#REF!</v>
      </c>
      <c r="AF26" s="33" t="e">
        <f>IF(AND('Mapa final'!#REF!="Media",'Mapa final'!#REF!="Mayor"),CONCATENATE("R1C",'Mapa final'!#REF!),"")</f>
        <v>#REF!</v>
      </c>
      <c r="AG26" s="34" t="e">
        <f>IF(AND('Mapa final'!#REF!="Media",'Mapa final'!#REF!="Mayor"),CONCATENATE("R1C",'Mapa final'!#REF!),"")</f>
        <v>#REF!</v>
      </c>
      <c r="AH26" s="35" t="e">
        <f>IF(AND('Mapa final'!#REF!="Media",'Mapa final'!#REF!="Catastrófico"),CONCATENATE("R1C",'Mapa final'!#REF!),"")</f>
        <v>#REF!</v>
      </c>
      <c r="AI26" s="36" t="e">
        <f>IF(AND('Mapa final'!#REF!="Media",'Mapa final'!#REF!="Catastrófico"),CONCATENATE("R1C",'Mapa final'!#REF!),"")</f>
        <v>#REF!</v>
      </c>
      <c r="AJ26" s="36" t="e">
        <f>IF(AND('Mapa final'!#REF!="Media",'Mapa final'!#REF!="Catastrófico"),CONCATENATE("R1C",'Mapa final'!#REF!),"")</f>
        <v>#REF!</v>
      </c>
      <c r="AK26" s="36" t="e">
        <f>IF(AND('Mapa final'!#REF!="Media",'Mapa final'!#REF!="Catastrófico"),CONCATENATE("R1C",'Mapa final'!#REF!),"")</f>
        <v>#REF!</v>
      </c>
      <c r="AL26" s="36" t="e">
        <f>IF(AND('Mapa final'!#REF!="Media",'Mapa final'!#REF!="Catastrófico"),CONCATENATE("R1C",'Mapa final'!#REF!),"")</f>
        <v>#REF!</v>
      </c>
      <c r="AM26" s="37" t="e">
        <f>IF(AND('Mapa final'!#REF!="Media",'Mapa final'!#REF!="Catastrófico"),CONCATENATE("R1C",'Mapa final'!#REF!),"")</f>
        <v>#REF!</v>
      </c>
      <c r="AN26" s="69"/>
      <c r="AO26" s="409" t="s">
        <v>81</v>
      </c>
      <c r="AP26" s="410"/>
      <c r="AQ26" s="410"/>
      <c r="AR26" s="410"/>
      <c r="AS26" s="410"/>
      <c r="AT26" s="411"/>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284"/>
      <c r="C27" s="284"/>
      <c r="D27" s="285"/>
      <c r="E27" s="381"/>
      <c r="F27" s="382"/>
      <c r="G27" s="382"/>
      <c r="H27" s="382"/>
      <c r="I27" s="398"/>
      <c r="J27" s="53" t="e">
        <f>IF(AND('Mapa final'!#REF!="Media",'Mapa final'!#REF!="Leve"),CONCATENATE("R2C",'Mapa final'!#REF!),"")</f>
        <v>#REF!</v>
      </c>
      <c r="K27" s="54" t="e">
        <f>IF(AND('Mapa final'!#REF!="Media",'Mapa final'!#REF!="Leve"),CONCATENATE("R2C",'Mapa final'!#REF!),"")</f>
        <v>#REF!</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e">
        <f>IF(AND('Mapa final'!#REF!="Media",'Mapa final'!#REF!="Menor"),CONCATENATE("R2C",'Mapa final'!#REF!),"")</f>
        <v>#REF!</v>
      </c>
      <c r="Q27" s="54" t="e">
        <f>IF(AND('Mapa final'!#REF!="Media",'Mapa final'!#REF!="Menor"),CONCATENATE("R2C",'Mapa final'!#REF!),"")</f>
        <v>#REF!</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e">
        <f>IF(AND('Mapa final'!#REF!="Media",'Mapa final'!#REF!="Moderado"),CONCATENATE("R2C",'Mapa final'!#REF!),"")</f>
        <v>#REF!</v>
      </c>
      <c r="W27" s="54" t="e">
        <f>IF(AND('Mapa final'!#REF!="Media",'Mapa final'!#REF!="Moderado"),CONCATENATE("R2C",'Mapa final'!#REF!),"")</f>
        <v>#REF!</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e">
        <f>IF(AND('Mapa final'!#REF!="Media",'Mapa final'!#REF!="Mayor"),CONCATENATE("R2C",'Mapa final'!#REF!),"")</f>
        <v>#REF!</v>
      </c>
      <c r="AC27" s="39" t="e">
        <f>IF(AND('Mapa final'!#REF!="Media",'Mapa final'!#REF!="Mayor"),CONCATENATE("R2C",'Mapa final'!#REF!),"")</f>
        <v>#REF!</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e">
        <f>IF(AND('Mapa final'!#REF!="Media",'Mapa final'!#REF!="Catastrófico"),CONCATENATE("R2C",'Mapa final'!#REF!),"")</f>
        <v>#REF!</v>
      </c>
      <c r="AI27" s="42" t="e">
        <f>IF(AND('Mapa final'!#REF!="Media",'Mapa final'!#REF!="Catastrófico"),CONCATENATE("R2C",'Mapa final'!#REF!),"")</f>
        <v>#REF!</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412"/>
      <c r="AP27" s="413"/>
      <c r="AQ27" s="413"/>
      <c r="AR27" s="413"/>
      <c r="AS27" s="413"/>
      <c r="AT27" s="414"/>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284"/>
      <c r="C28" s="284"/>
      <c r="D28" s="285"/>
      <c r="E28" s="383"/>
      <c r="F28" s="382"/>
      <c r="G28" s="382"/>
      <c r="H28" s="382"/>
      <c r="I28" s="398"/>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412"/>
      <c r="AP28" s="413"/>
      <c r="AQ28" s="413"/>
      <c r="AR28" s="413"/>
      <c r="AS28" s="413"/>
      <c r="AT28" s="414"/>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284"/>
      <c r="C29" s="284"/>
      <c r="D29" s="285"/>
      <c r="E29" s="383"/>
      <c r="F29" s="382"/>
      <c r="G29" s="382"/>
      <c r="H29" s="382"/>
      <c r="I29" s="398"/>
      <c r="J29" s="53" t="str">
        <f>IF(AND('Mapa final'!$Y$13="Media",'Mapa final'!$AA$13="Leve"),CONCATENATE("R4C",'Mapa final'!$O$13),"")</f>
        <v/>
      </c>
      <c r="K29" s="54" t="str">
        <f>IF(AND('Mapa final'!$Y$14="Media",'Mapa final'!$AA$14="Leve"),CONCATENATE("R4C",'Mapa final'!$O$14),"")</f>
        <v/>
      </c>
      <c r="L29" s="54" t="str">
        <f>IF(AND('Mapa final'!$Y$15="Media",'Mapa final'!$AA$15="Leve"),CONCATENATE("R4C",'Mapa final'!$O$15),"")</f>
        <v/>
      </c>
      <c r="M29" s="54" t="str">
        <f>IF(AND('Mapa final'!$Y$16="Media",'Mapa final'!$AA$16="Leve"),CONCATENATE("R4C",'Mapa final'!$O$16),"")</f>
        <v/>
      </c>
      <c r="N29" s="54" t="e">
        <f>IF(AND('Mapa final'!#REF!="Media",'Mapa final'!#REF!="Leve"),CONCATENATE("R4C",'Mapa final'!#REF!),"")</f>
        <v>#REF!</v>
      </c>
      <c r="O29" s="55" t="e">
        <f>IF(AND('Mapa final'!#REF!="Media",'Mapa final'!#REF!="Leve"),CONCATENATE("R4C",'Mapa final'!#REF!),"")</f>
        <v>#REF!</v>
      </c>
      <c r="P29" s="53" t="str">
        <f>IF(AND('Mapa final'!$Y$13="Media",'Mapa final'!$AA$13="Menor"),CONCATENATE("R4C",'Mapa final'!$O$13),"")</f>
        <v/>
      </c>
      <c r="Q29" s="54" t="str">
        <f>IF(AND('Mapa final'!$Y$14="Media",'Mapa final'!$AA$14="Menor"),CONCATENATE("R4C",'Mapa final'!$O$14),"")</f>
        <v/>
      </c>
      <c r="R29" s="54" t="str">
        <f>IF(AND('Mapa final'!$Y$15="Media",'Mapa final'!$AA$15="Menor"),CONCATENATE("R4C",'Mapa final'!$O$15),"")</f>
        <v/>
      </c>
      <c r="S29" s="54" t="str">
        <f>IF(AND('Mapa final'!$Y$16="Media",'Mapa final'!$AA$16="Menor"),CONCATENATE("R4C",'Mapa final'!$O$16),"")</f>
        <v/>
      </c>
      <c r="T29" s="54" t="e">
        <f>IF(AND('Mapa final'!#REF!="Media",'Mapa final'!#REF!="Menor"),CONCATENATE("R4C",'Mapa final'!#REF!),"")</f>
        <v>#REF!</v>
      </c>
      <c r="U29" s="55" t="e">
        <f>IF(AND('Mapa final'!#REF!="Media",'Mapa final'!#REF!="Menor"),CONCATENATE("R4C",'Mapa final'!#REF!),"")</f>
        <v>#REF!</v>
      </c>
      <c r="V29" s="53" t="str">
        <f>IF(AND('Mapa final'!$Y$13="Media",'Mapa final'!$AA$13="Moderado"),CONCATENATE("R4C",'Mapa final'!$O$13),"")</f>
        <v/>
      </c>
      <c r="W29" s="54" t="str">
        <f>IF(AND('Mapa final'!$Y$14="Media",'Mapa final'!$AA$14="Moderado"),CONCATENATE("R4C",'Mapa final'!$O$14),"")</f>
        <v/>
      </c>
      <c r="X29" s="54" t="str">
        <f>IF(AND('Mapa final'!$Y$15="Media",'Mapa final'!$AA$15="Moderado"),CONCATENATE("R4C",'Mapa final'!$O$15),"")</f>
        <v/>
      </c>
      <c r="Y29" s="54" t="str">
        <f>IF(AND('Mapa final'!$Y$16="Media",'Mapa final'!$AA$16="Moderado"),CONCATENATE("R4C",'Mapa final'!$O$16),"")</f>
        <v/>
      </c>
      <c r="Z29" s="54" t="e">
        <f>IF(AND('Mapa final'!#REF!="Media",'Mapa final'!#REF!="Moderado"),CONCATENATE("R4C",'Mapa final'!#REF!),"")</f>
        <v>#REF!</v>
      </c>
      <c r="AA29" s="55" t="e">
        <f>IF(AND('Mapa final'!#REF!="Media",'Mapa final'!#REF!="Moderado"),CONCATENATE("R4C",'Mapa final'!#REF!),"")</f>
        <v>#REF!</v>
      </c>
      <c r="AB29" s="38" t="str">
        <f>IF(AND('Mapa final'!$Y$13="Media",'Mapa final'!$AA$13="Mayor"),CONCATENATE("R4C",'Mapa final'!$O$13),"")</f>
        <v/>
      </c>
      <c r="AC29" s="39" t="str">
        <f>IF(AND('Mapa final'!$Y$14="Media",'Mapa final'!$AA$14="Mayor"),CONCATENATE("R4C",'Mapa final'!$O$14),"")</f>
        <v/>
      </c>
      <c r="AD29" s="39" t="str">
        <f>IF(AND('Mapa final'!$Y$15="Media",'Mapa final'!$AA$15="Mayor"),CONCATENATE("R4C",'Mapa final'!$O$15),"")</f>
        <v/>
      </c>
      <c r="AE29" s="39" t="str">
        <f>IF(AND('Mapa final'!$Y$16="Media",'Mapa final'!$AA$16="Mayor"),CONCATENATE("R4C",'Mapa final'!$O$16),"")</f>
        <v/>
      </c>
      <c r="AF29" s="39" t="e">
        <f>IF(AND('Mapa final'!#REF!="Media",'Mapa final'!#REF!="Mayor"),CONCATENATE("R4C",'Mapa final'!#REF!),"")</f>
        <v>#REF!</v>
      </c>
      <c r="AG29" s="40" t="e">
        <f>IF(AND('Mapa final'!#REF!="Media",'Mapa final'!#REF!="Mayor"),CONCATENATE("R4C",'Mapa final'!#REF!),"")</f>
        <v>#REF!</v>
      </c>
      <c r="AH29" s="41" t="str">
        <f>IF(AND('Mapa final'!$Y$13="Media",'Mapa final'!$AA$13="Catastrófico"),CONCATENATE("R4C",'Mapa final'!$O$13),"")</f>
        <v/>
      </c>
      <c r="AI29" s="42" t="str">
        <f>IF(AND('Mapa final'!$Y$14="Media",'Mapa final'!$AA$14="Catastrófico"),CONCATENATE("R4C",'Mapa final'!$O$14),"")</f>
        <v/>
      </c>
      <c r="AJ29" s="42" t="str">
        <f>IF(AND('Mapa final'!$Y$15="Media",'Mapa final'!$AA$15="Catastrófico"),CONCATENATE("R4C",'Mapa final'!$O$15),"")</f>
        <v/>
      </c>
      <c r="AK29" s="42" t="str">
        <f>IF(AND('Mapa final'!$Y$16="Media",'Mapa final'!$AA$16="Catastrófico"),CONCATENATE("R4C",'Mapa final'!$O$16),"")</f>
        <v/>
      </c>
      <c r="AL29" s="42" t="e">
        <f>IF(AND('Mapa final'!#REF!="Media",'Mapa final'!#REF!="Catastrófico"),CONCATENATE("R4C",'Mapa final'!#REF!),"")</f>
        <v>#REF!</v>
      </c>
      <c r="AM29" s="43" t="e">
        <f>IF(AND('Mapa final'!#REF!="Media",'Mapa final'!#REF!="Catastrófico"),CONCATENATE("R4C",'Mapa final'!#REF!),"")</f>
        <v>#REF!</v>
      </c>
      <c r="AN29" s="69"/>
      <c r="AO29" s="412"/>
      <c r="AP29" s="413"/>
      <c r="AQ29" s="413"/>
      <c r="AR29" s="413"/>
      <c r="AS29" s="413"/>
      <c r="AT29" s="414"/>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284"/>
      <c r="C30" s="284"/>
      <c r="D30" s="285"/>
      <c r="E30" s="383"/>
      <c r="F30" s="382"/>
      <c r="G30" s="382"/>
      <c r="H30" s="382"/>
      <c r="I30" s="398"/>
      <c r="J30" s="53" t="str">
        <f>IF(AND('Mapa final'!$Y$17="Media",'Mapa final'!$AA$17="Leve"),CONCATENATE("R5C",'Mapa final'!$O$17),"")</f>
        <v/>
      </c>
      <c r="K30" s="54" t="str">
        <f>IF(AND('Mapa final'!$Y$18="Media",'Mapa final'!$AA$18="Leve"),CONCATENATE("R5C",'Mapa final'!$O$18),"")</f>
        <v/>
      </c>
      <c r="L30" s="54" t="str">
        <f>IF(AND('Mapa final'!$Y$19="Media",'Mapa final'!$AA$19="Leve"),CONCATENATE("R5C",'Mapa final'!$O$19),"")</f>
        <v/>
      </c>
      <c r="M30" s="54" t="str">
        <f>IF(AND('Mapa final'!$Y$20="Media",'Mapa final'!$AA$20="Leve"),CONCATENATE("R5C",'Mapa final'!$O$20),"")</f>
        <v/>
      </c>
      <c r="N30" s="54" t="str">
        <f>IF(AND('Mapa final'!$Y$21="Media",'Mapa final'!$AA$21="Leve"),CONCATENATE("R5C",'Mapa final'!$O$21),"")</f>
        <v/>
      </c>
      <c r="O30" s="55" t="str">
        <f>IF(AND('Mapa final'!$Y$22="Media",'Mapa final'!$AA$22="Leve"),CONCATENATE("R5C",'Mapa final'!$O$22),"")</f>
        <v/>
      </c>
      <c r="P30" s="53" t="str">
        <f>IF(AND('Mapa final'!$Y$17="Media",'Mapa final'!$AA$17="Menor"),CONCATENATE("R5C",'Mapa final'!$O$17),"")</f>
        <v/>
      </c>
      <c r="Q30" s="54" t="str">
        <f>IF(AND('Mapa final'!$Y$18="Media",'Mapa final'!$AA$18="Menor"),CONCATENATE("R5C",'Mapa final'!$O$18),"")</f>
        <v/>
      </c>
      <c r="R30" s="54" t="str">
        <f>IF(AND('Mapa final'!$Y$19="Media",'Mapa final'!$AA$19="Menor"),CONCATENATE("R5C",'Mapa final'!$O$19),"")</f>
        <v/>
      </c>
      <c r="S30" s="54" t="str">
        <f>IF(AND('Mapa final'!$Y$20="Media",'Mapa final'!$AA$20="Menor"),CONCATENATE("R5C",'Mapa final'!$O$20),"")</f>
        <v/>
      </c>
      <c r="T30" s="54" t="str">
        <f>IF(AND('Mapa final'!$Y$21="Media",'Mapa final'!$AA$21="Menor"),CONCATENATE("R5C",'Mapa final'!$O$21),"")</f>
        <v/>
      </c>
      <c r="U30" s="55" t="str">
        <f>IF(AND('Mapa final'!$Y$22="Media",'Mapa final'!$AA$22="Menor"),CONCATENATE("R5C",'Mapa final'!$O$22),"")</f>
        <v/>
      </c>
      <c r="V30" s="53" t="str">
        <f>IF(AND('Mapa final'!$Y$17="Media",'Mapa final'!$AA$17="Moderado"),CONCATENATE("R5C",'Mapa final'!$O$17),"")</f>
        <v/>
      </c>
      <c r="W30" s="54" t="str">
        <f>IF(AND('Mapa final'!$Y$18="Media",'Mapa final'!$AA$18="Moderado"),CONCATENATE("R5C",'Mapa final'!$O$18),"")</f>
        <v/>
      </c>
      <c r="X30" s="54" t="str">
        <f>IF(AND('Mapa final'!$Y$19="Media",'Mapa final'!$AA$19="Moderado"),CONCATENATE("R5C",'Mapa final'!$O$19),"")</f>
        <v/>
      </c>
      <c r="Y30" s="54" t="str">
        <f>IF(AND('Mapa final'!$Y$20="Media",'Mapa final'!$AA$20="Moderado"),CONCATENATE("R5C",'Mapa final'!$O$20),"")</f>
        <v/>
      </c>
      <c r="Z30" s="54" t="str">
        <f>IF(AND('Mapa final'!$Y$21="Media",'Mapa final'!$AA$21="Moderado"),CONCATENATE("R5C",'Mapa final'!$O$21),"")</f>
        <v/>
      </c>
      <c r="AA30" s="55" t="str">
        <f>IF(AND('Mapa final'!$Y$22="Media",'Mapa final'!$AA$22="Moderado"),CONCATENATE("R5C",'Mapa final'!$O$22),"")</f>
        <v/>
      </c>
      <c r="AB30" s="38" t="str">
        <f>IF(AND('Mapa final'!$Y$17="Media",'Mapa final'!$AA$17="Mayor"),CONCATENATE("R5C",'Mapa final'!$O$17),"")</f>
        <v/>
      </c>
      <c r="AC30" s="39" t="str">
        <f>IF(AND('Mapa final'!$Y$18="Media",'Mapa final'!$AA$18="Mayor"),CONCATENATE("R5C",'Mapa final'!$O$18),"")</f>
        <v/>
      </c>
      <c r="AD30" s="39" t="str">
        <f>IF(AND('Mapa final'!$Y$19="Media",'Mapa final'!$AA$19="Mayor"),CONCATENATE("R5C",'Mapa final'!$O$19),"")</f>
        <v/>
      </c>
      <c r="AE30" s="39" t="str">
        <f>IF(AND('Mapa final'!$Y$20="Media",'Mapa final'!$AA$20="Mayor"),CONCATENATE("R5C",'Mapa final'!$O$20),"")</f>
        <v/>
      </c>
      <c r="AF30" s="39" t="str">
        <f>IF(AND('Mapa final'!$Y$21="Media",'Mapa final'!$AA$21="Mayor"),CONCATENATE("R5C",'Mapa final'!$O$21),"")</f>
        <v/>
      </c>
      <c r="AG30" s="40" t="str">
        <f>IF(AND('Mapa final'!$Y$22="Media",'Mapa final'!$AA$22="Mayor"),CONCATENATE("R5C",'Mapa final'!$O$22),"")</f>
        <v/>
      </c>
      <c r="AH30" s="41" t="str">
        <f>IF(AND('Mapa final'!$Y$17="Media",'Mapa final'!$AA$17="Catastrófico"),CONCATENATE("R5C",'Mapa final'!$O$17),"")</f>
        <v/>
      </c>
      <c r="AI30" s="42" t="str">
        <f>IF(AND('Mapa final'!$Y$18="Media",'Mapa final'!$AA$18="Catastrófico"),CONCATENATE("R5C",'Mapa final'!$O$18),"")</f>
        <v/>
      </c>
      <c r="AJ30" s="42" t="str">
        <f>IF(AND('Mapa final'!$Y$19="Media",'Mapa final'!$AA$19="Catastrófico"),CONCATENATE("R5C",'Mapa final'!$O$19),"")</f>
        <v/>
      </c>
      <c r="AK30" s="42" t="str">
        <f>IF(AND('Mapa final'!$Y$20="Media",'Mapa final'!$AA$20="Catastrófico"),CONCATENATE("R5C",'Mapa final'!$O$20),"")</f>
        <v/>
      </c>
      <c r="AL30" s="42" t="str">
        <f>IF(AND('Mapa final'!$Y$21="Media",'Mapa final'!$AA$21="Catastrófico"),CONCATENATE("R5C",'Mapa final'!$O$21),"")</f>
        <v/>
      </c>
      <c r="AM30" s="43" t="str">
        <f>IF(AND('Mapa final'!$Y$22="Media",'Mapa final'!$AA$22="Catastrófico"),CONCATENATE("R5C",'Mapa final'!$O$22),"")</f>
        <v/>
      </c>
      <c r="AN30" s="69"/>
      <c r="AO30" s="412"/>
      <c r="AP30" s="413"/>
      <c r="AQ30" s="413"/>
      <c r="AR30" s="413"/>
      <c r="AS30" s="413"/>
      <c r="AT30" s="414"/>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284"/>
      <c r="C31" s="284"/>
      <c r="D31" s="285"/>
      <c r="E31" s="383"/>
      <c r="F31" s="382"/>
      <c r="G31" s="382"/>
      <c r="H31" s="382"/>
      <c r="I31" s="398"/>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412"/>
      <c r="AP31" s="413"/>
      <c r="AQ31" s="413"/>
      <c r="AR31" s="413"/>
      <c r="AS31" s="413"/>
      <c r="AT31" s="414"/>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284"/>
      <c r="C32" s="284"/>
      <c r="D32" s="285"/>
      <c r="E32" s="383"/>
      <c r="F32" s="382"/>
      <c r="G32" s="382"/>
      <c r="H32" s="382"/>
      <c r="I32" s="398"/>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412"/>
      <c r="AP32" s="413"/>
      <c r="AQ32" s="413"/>
      <c r="AR32" s="413"/>
      <c r="AS32" s="413"/>
      <c r="AT32" s="414"/>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284"/>
      <c r="C33" s="284"/>
      <c r="D33" s="285"/>
      <c r="E33" s="383"/>
      <c r="F33" s="382"/>
      <c r="G33" s="382"/>
      <c r="H33" s="382"/>
      <c r="I33" s="398"/>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412"/>
      <c r="AP33" s="413"/>
      <c r="AQ33" s="413"/>
      <c r="AR33" s="413"/>
      <c r="AS33" s="413"/>
      <c r="AT33" s="414"/>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284"/>
      <c r="C34" s="284"/>
      <c r="D34" s="285"/>
      <c r="E34" s="383"/>
      <c r="F34" s="382"/>
      <c r="G34" s="382"/>
      <c r="H34" s="382"/>
      <c r="I34" s="398"/>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412"/>
      <c r="AP34" s="413"/>
      <c r="AQ34" s="413"/>
      <c r="AR34" s="413"/>
      <c r="AS34" s="413"/>
      <c r="AT34" s="414"/>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284"/>
      <c r="C35" s="284"/>
      <c r="D35" s="285"/>
      <c r="E35" s="384"/>
      <c r="F35" s="385"/>
      <c r="G35" s="385"/>
      <c r="H35" s="385"/>
      <c r="I35" s="399"/>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415"/>
      <c r="AP35" s="416"/>
      <c r="AQ35" s="416"/>
      <c r="AR35" s="416"/>
      <c r="AS35" s="416"/>
      <c r="AT35" s="417"/>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284"/>
      <c r="C36" s="284"/>
      <c r="D36" s="285"/>
      <c r="E36" s="379" t="s">
        <v>114</v>
      </c>
      <c r="F36" s="380"/>
      <c r="G36" s="380"/>
      <c r="H36" s="380"/>
      <c r="I36" s="380"/>
      <c r="J36" s="59" t="e">
        <f>IF(AND('Mapa final'!#REF!="Baja",'Mapa final'!#REF!="Leve"),CONCATENATE("R1C",'Mapa final'!#REF!),"")</f>
        <v>#REF!</v>
      </c>
      <c r="K36" s="60" t="e">
        <f>IF(AND('Mapa final'!#REF!="Baja",'Mapa final'!#REF!="Leve"),CONCATENATE("R1C",'Mapa final'!#REF!),"")</f>
        <v>#REF!</v>
      </c>
      <c r="L36" s="60" t="e">
        <f>IF(AND('Mapa final'!#REF!="Baja",'Mapa final'!#REF!="Leve"),CONCATENATE("R1C",'Mapa final'!#REF!),"")</f>
        <v>#REF!</v>
      </c>
      <c r="M36" s="60" t="e">
        <f>IF(AND('Mapa final'!#REF!="Baja",'Mapa final'!#REF!="Leve"),CONCATENATE("R1C",'Mapa final'!#REF!),"")</f>
        <v>#REF!</v>
      </c>
      <c r="N36" s="60" t="e">
        <f>IF(AND('Mapa final'!#REF!="Baja",'Mapa final'!#REF!="Leve"),CONCATENATE("R1C",'Mapa final'!#REF!),"")</f>
        <v>#REF!</v>
      </c>
      <c r="O36" s="61" t="e">
        <f>IF(AND('Mapa final'!#REF!="Baja",'Mapa final'!#REF!="Leve"),CONCATENATE("R1C",'Mapa final'!#REF!),"")</f>
        <v>#REF!</v>
      </c>
      <c r="P36" s="50" t="e">
        <f>IF(AND('Mapa final'!#REF!="Baja",'Mapa final'!#REF!="Menor"),CONCATENATE("R1C",'Mapa final'!#REF!),"")</f>
        <v>#REF!</v>
      </c>
      <c r="Q36" s="51" t="e">
        <f>IF(AND('Mapa final'!#REF!="Baja",'Mapa final'!#REF!="Menor"),CONCATENATE("R1C",'Mapa final'!#REF!),"")</f>
        <v>#REF!</v>
      </c>
      <c r="R36" s="51" t="e">
        <f>IF(AND('Mapa final'!#REF!="Baja",'Mapa final'!#REF!="Menor"),CONCATENATE("R1C",'Mapa final'!#REF!),"")</f>
        <v>#REF!</v>
      </c>
      <c r="S36" s="51" t="e">
        <f>IF(AND('Mapa final'!#REF!="Baja",'Mapa final'!#REF!="Menor"),CONCATENATE("R1C",'Mapa final'!#REF!),"")</f>
        <v>#REF!</v>
      </c>
      <c r="T36" s="51" t="e">
        <f>IF(AND('Mapa final'!#REF!="Baja",'Mapa final'!#REF!="Menor"),CONCATENATE("R1C",'Mapa final'!#REF!),"")</f>
        <v>#REF!</v>
      </c>
      <c r="U36" s="52" t="e">
        <f>IF(AND('Mapa final'!#REF!="Baja",'Mapa final'!#REF!="Menor"),CONCATENATE("R1C",'Mapa final'!#REF!),"")</f>
        <v>#REF!</v>
      </c>
      <c r="V36" s="50" t="e">
        <f>IF(AND('Mapa final'!#REF!="Baja",'Mapa final'!#REF!="Moderado"),CONCATENATE("R1C",'Mapa final'!#REF!),"")</f>
        <v>#REF!</v>
      </c>
      <c r="W36" s="51" t="e">
        <f>IF(AND('Mapa final'!#REF!="Baja",'Mapa final'!#REF!="Moderado"),CONCATENATE("R1C",'Mapa final'!#REF!),"")</f>
        <v>#REF!</v>
      </c>
      <c r="X36" s="51" t="e">
        <f>IF(AND('Mapa final'!#REF!="Baja",'Mapa final'!#REF!="Moderado"),CONCATENATE("R1C",'Mapa final'!#REF!),"")</f>
        <v>#REF!</v>
      </c>
      <c r="Y36" s="51" t="e">
        <f>IF(AND('Mapa final'!#REF!="Baja",'Mapa final'!#REF!="Moderado"),CONCATENATE("R1C",'Mapa final'!#REF!),"")</f>
        <v>#REF!</v>
      </c>
      <c r="Z36" s="51" t="e">
        <f>IF(AND('Mapa final'!#REF!="Baja",'Mapa final'!#REF!="Moderado"),CONCATENATE("R1C",'Mapa final'!#REF!),"")</f>
        <v>#REF!</v>
      </c>
      <c r="AA36" s="52" t="e">
        <f>IF(AND('Mapa final'!#REF!="Baja",'Mapa final'!#REF!="Moderado"),CONCATENATE("R1C",'Mapa final'!#REF!),"")</f>
        <v>#REF!</v>
      </c>
      <c r="AB36" s="32" t="e">
        <f>IF(AND('Mapa final'!#REF!="Baja",'Mapa final'!#REF!="Mayor"),CONCATENATE("R1C",'Mapa final'!#REF!),"")</f>
        <v>#REF!</v>
      </c>
      <c r="AC36" s="33" t="e">
        <f>IF(AND('Mapa final'!#REF!="Baja",'Mapa final'!#REF!="Mayor"),CONCATENATE("R1C",'Mapa final'!#REF!),"")</f>
        <v>#REF!</v>
      </c>
      <c r="AD36" s="33" t="e">
        <f>IF(AND('Mapa final'!#REF!="Baja",'Mapa final'!#REF!="Mayor"),CONCATENATE("R1C",'Mapa final'!#REF!),"")</f>
        <v>#REF!</v>
      </c>
      <c r="AE36" s="33" t="e">
        <f>IF(AND('Mapa final'!#REF!="Baja",'Mapa final'!#REF!="Mayor"),CONCATENATE("R1C",'Mapa final'!#REF!),"")</f>
        <v>#REF!</v>
      </c>
      <c r="AF36" s="33" t="e">
        <f>IF(AND('Mapa final'!#REF!="Baja",'Mapa final'!#REF!="Mayor"),CONCATENATE("R1C",'Mapa final'!#REF!),"")</f>
        <v>#REF!</v>
      </c>
      <c r="AG36" s="34" t="e">
        <f>IF(AND('Mapa final'!#REF!="Baja",'Mapa final'!#REF!="Mayor"),CONCATENATE("R1C",'Mapa final'!#REF!),"")</f>
        <v>#REF!</v>
      </c>
      <c r="AH36" s="35" t="e">
        <f>IF(AND('Mapa final'!#REF!="Baja",'Mapa final'!#REF!="Catastrófico"),CONCATENATE("R1C",'Mapa final'!#REF!),"")</f>
        <v>#REF!</v>
      </c>
      <c r="AI36" s="36" t="e">
        <f>IF(AND('Mapa final'!#REF!="Baja",'Mapa final'!#REF!="Catastrófico"),CONCATENATE("R1C",'Mapa final'!#REF!),"")</f>
        <v>#REF!</v>
      </c>
      <c r="AJ36" s="36" t="e">
        <f>IF(AND('Mapa final'!#REF!="Baja",'Mapa final'!#REF!="Catastrófico"),CONCATENATE("R1C",'Mapa final'!#REF!),"")</f>
        <v>#REF!</v>
      </c>
      <c r="AK36" s="36" t="e">
        <f>IF(AND('Mapa final'!#REF!="Baja",'Mapa final'!#REF!="Catastrófico"),CONCATENATE("R1C",'Mapa final'!#REF!),"")</f>
        <v>#REF!</v>
      </c>
      <c r="AL36" s="36" t="e">
        <f>IF(AND('Mapa final'!#REF!="Baja",'Mapa final'!#REF!="Catastrófico"),CONCATENATE("R1C",'Mapa final'!#REF!),"")</f>
        <v>#REF!</v>
      </c>
      <c r="AM36" s="37" t="e">
        <f>IF(AND('Mapa final'!#REF!="Baja",'Mapa final'!#REF!="Catastrófico"),CONCATENATE("R1C",'Mapa final'!#REF!),"")</f>
        <v>#REF!</v>
      </c>
      <c r="AN36" s="69"/>
      <c r="AO36" s="400" t="s">
        <v>82</v>
      </c>
      <c r="AP36" s="401"/>
      <c r="AQ36" s="401"/>
      <c r="AR36" s="401"/>
      <c r="AS36" s="401"/>
      <c r="AT36" s="402"/>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284"/>
      <c r="C37" s="284"/>
      <c r="D37" s="285"/>
      <c r="E37" s="381"/>
      <c r="F37" s="382"/>
      <c r="G37" s="382"/>
      <c r="H37" s="382"/>
      <c r="I37" s="382"/>
      <c r="J37" s="62" t="e">
        <f>IF(AND('Mapa final'!#REF!="Baja",'Mapa final'!#REF!="Leve"),CONCATENATE("R2C",'Mapa final'!#REF!),"")</f>
        <v>#REF!</v>
      </c>
      <c r="K37" s="63" t="e">
        <f>IF(AND('Mapa final'!#REF!="Baja",'Mapa final'!#REF!="Leve"),CONCATENATE("R2C",'Mapa final'!#REF!),"")</f>
        <v>#REF!</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e">
        <f>IF(AND('Mapa final'!#REF!="Baja",'Mapa final'!#REF!="Menor"),CONCATENATE("R2C",'Mapa final'!#REF!),"")</f>
        <v>#REF!</v>
      </c>
      <c r="Q37" s="54" t="e">
        <f>IF(AND('Mapa final'!#REF!="Baja",'Mapa final'!#REF!="Menor"),CONCATENATE("R2C",'Mapa final'!#REF!),"")</f>
        <v>#REF!</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e">
        <f>IF(AND('Mapa final'!#REF!="Baja",'Mapa final'!#REF!="Moderado"),CONCATENATE("R2C",'Mapa final'!#REF!),"")</f>
        <v>#REF!</v>
      </c>
      <c r="W37" s="54" t="e">
        <f>IF(AND('Mapa final'!#REF!="Baja",'Mapa final'!#REF!="Moderado"),CONCATENATE("R2C",'Mapa final'!#REF!),"")</f>
        <v>#REF!</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e">
        <f>IF(AND('Mapa final'!#REF!="Baja",'Mapa final'!#REF!="Mayor"),CONCATENATE("R2C",'Mapa final'!#REF!),"")</f>
        <v>#REF!</v>
      </c>
      <c r="AC37" s="39" t="e">
        <f>IF(AND('Mapa final'!#REF!="Baja",'Mapa final'!#REF!="Mayor"),CONCATENATE("R2C",'Mapa final'!#REF!),"")</f>
        <v>#REF!</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e">
        <f>IF(AND('Mapa final'!#REF!="Baja",'Mapa final'!#REF!="Catastrófico"),CONCATENATE("R2C",'Mapa final'!#REF!),"")</f>
        <v>#REF!</v>
      </c>
      <c r="AI37" s="42" t="e">
        <f>IF(AND('Mapa final'!#REF!="Baja",'Mapa final'!#REF!="Catastrófico"),CONCATENATE("R2C",'Mapa final'!#REF!),"")</f>
        <v>#REF!</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403"/>
      <c r="AP37" s="404"/>
      <c r="AQ37" s="404"/>
      <c r="AR37" s="404"/>
      <c r="AS37" s="404"/>
      <c r="AT37" s="405"/>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284"/>
      <c r="C38" s="284"/>
      <c r="D38" s="285"/>
      <c r="E38" s="383"/>
      <c r="F38" s="382"/>
      <c r="G38" s="382"/>
      <c r="H38" s="382"/>
      <c r="I38" s="382"/>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403"/>
      <c r="AP38" s="404"/>
      <c r="AQ38" s="404"/>
      <c r="AR38" s="404"/>
      <c r="AS38" s="404"/>
      <c r="AT38" s="405"/>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284"/>
      <c r="C39" s="284"/>
      <c r="D39" s="285"/>
      <c r="E39" s="383"/>
      <c r="F39" s="382"/>
      <c r="G39" s="382"/>
      <c r="H39" s="382"/>
      <c r="I39" s="382"/>
      <c r="J39" s="62" t="str">
        <f>IF(AND('Mapa final'!$Y$13="Baja",'Mapa final'!$AA$13="Leve"),CONCATENATE("R4C",'Mapa final'!$O$13),"")</f>
        <v/>
      </c>
      <c r="K39" s="63" t="str">
        <f>IF(AND('Mapa final'!$Y$14="Baja",'Mapa final'!$AA$14="Leve"),CONCATENATE("R4C",'Mapa final'!$O$14),"")</f>
        <v/>
      </c>
      <c r="L39" s="63" t="str">
        <f>IF(AND('Mapa final'!$Y$15="Baja",'Mapa final'!$AA$15="Leve"),CONCATENATE("R4C",'Mapa final'!$O$15),"")</f>
        <v/>
      </c>
      <c r="M39" s="63" t="str">
        <f>IF(AND('Mapa final'!$Y$16="Baja",'Mapa final'!$AA$16="Leve"),CONCATENATE("R4C",'Mapa final'!$O$16),"")</f>
        <v/>
      </c>
      <c r="N39" s="63" t="e">
        <f>IF(AND('Mapa final'!#REF!="Baja",'Mapa final'!#REF!="Leve"),CONCATENATE("R4C",'Mapa final'!#REF!),"")</f>
        <v>#REF!</v>
      </c>
      <c r="O39" s="64" t="e">
        <f>IF(AND('Mapa final'!#REF!="Baja",'Mapa final'!#REF!="Leve"),CONCATENATE("R4C",'Mapa final'!#REF!),"")</f>
        <v>#REF!</v>
      </c>
      <c r="P39" s="53" t="str">
        <f>IF(AND('Mapa final'!$Y$13="Baja",'Mapa final'!$AA$13="Menor"),CONCATENATE("R4C",'Mapa final'!$O$13),"")</f>
        <v/>
      </c>
      <c r="Q39" s="54" t="str">
        <f>IF(AND('Mapa final'!$Y$14="Baja",'Mapa final'!$AA$14="Menor"),CONCATENATE("R4C",'Mapa final'!$O$14),"")</f>
        <v/>
      </c>
      <c r="R39" s="54" t="str">
        <f>IF(AND('Mapa final'!$Y$15="Baja",'Mapa final'!$AA$15="Menor"),CONCATENATE("R4C",'Mapa final'!$O$15),"")</f>
        <v/>
      </c>
      <c r="S39" s="54" t="str">
        <f>IF(AND('Mapa final'!$Y$16="Baja",'Mapa final'!$AA$16="Menor"),CONCATENATE("R4C",'Mapa final'!$O$16),"")</f>
        <v/>
      </c>
      <c r="T39" s="54" t="e">
        <f>IF(AND('Mapa final'!#REF!="Baja",'Mapa final'!#REF!="Menor"),CONCATENATE("R4C",'Mapa final'!#REF!),"")</f>
        <v>#REF!</v>
      </c>
      <c r="U39" s="55" t="e">
        <f>IF(AND('Mapa final'!#REF!="Baja",'Mapa final'!#REF!="Menor"),CONCATENATE("R4C",'Mapa final'!#REF!),"")</f>
        <v>#REF!</v>
      </c>
      <c r="V39" s="53" t="str">
        <f>IF(AND('Mapa final'!$Y$13="Baja",'Mapa final'!$AA$13="Moderado"),CONCATENATE("R4C",'Mapa final'!$O$13),"")</f>
        <v/>
      </c>
      <c r="W39" s="54" t="str">
        <f>IF(AND('Mapa final'!$Y$14="Baja",'Mapa final'!$AA$14="Moderado"),CONCATENATE("R4C",'Mapa final'!$O$14),"")</f>
        <v/>
      </c>
      <c r="X39" s="54" t="str">
        <f>IF(AND('Mapa final'!$Y$15="Baja",'Mapa final'!$AA$15="Moderado"),CONCATENATE("R4C",'Mapa final'!$O$15),"")</f>
        <v/>
      </c>
      <c r="Y39" s="54" t="str">
        <f>IF(AND('Mapa final'!$Y$16="Baja",'Mapa final'!$AA$16="Moderado"),CONCATENATE("R4C",'Mapa final'!$O$16),"")</f>
        <v/>
      </c>
      <c r="Z39" s="54" t="e">
        <f>IF(AND('Mapa final'!#REF!="Baja",'Mapa final'!#REF!="Moderado"),CONCATENATE("R4C",'Mapa final'!#REF!),"")</f>
        <v>#REF!</v>
      </c>
      <c r="AA39" s="55" t="e">
        <f>IF(AND('Mapa final'!#REF!="Baja",'Mapa final'!#REF!="Moderado"),CONCATENATE("R4C",'Mapa final'!#REF!),"")</f>
        <v>#REF!</v>
      </c>
      <c r="AB39" s="38" t="str">
        <f>IF(AND('Mapa final'!$Y$13="Baja",'Mapa final'!$AA$13="Mayor"),CONCATENATE("R4C",'Mapa final'!$O$13),"")</f>
        <v>R4C1</v>
      </c>
      <c r="AC39" s="39" t="str">
        <f>IF(AND('Mapa final'!$Y$14="Baja",'Mapa final'!$AA$14="Mayor"),CONCATENATE("R4C",'Mapa final'!$O$14),"")</f>
        <v/>
      </c>
      <c r="AD39" s="39" t="str">
        <f>IF(AND('Mapa final'!$Y$15="Baja",'Mapa final'!$AA$15="Mayor"),CONCATENATE("R4C",'Mapa final'!$O$15),"")</f>
        <v/>
      </c>
      <c r="AE39" s="39" t="str">
        <f>IF(AND('Mapa final'!$Y$16="Baja",'Mapa final'!$AA$16="Mayor"),CONCATENATE("R4C",'Mapa final'!$O$16),"")</f>
        <v/>
      </c>
      <c r="AF39" s="39" t="e">
        <f>IF(AND('Mapa final'!#REF!="Baja",'Mapa final'!#REF!="Mayor"),CONCATENATE("R4C",'Mapa final'!#REF!),"")</f>
        <v>#REF!</v>
      </c>
      <c r="AG39" s="40" t="e">
        <f>IF(AND('Mapa final'!#REF!="Baja",'Mapa final'!#REF!="Mayor"),CONCATENATE("R4C",'Mapa final'!#REF!),"")</f>
        <v>#REF!</v>
      </c>
      <c r="AH39" s="41" t="str">
        <f>IF(AND('Mapa final'!$Y$13="Baja",'Mapa final'!$AA$13="Catastrófico"),CONCATENATE("R4C",'Mapa final'!$O$13),"")</f>
        <v/>
      </c>
      <c r="AI39" s="42" t="str">
        <f>IF(AND('Mapa final'!$Y$14="Baja",'Mapa final'!$AA$14="Catastrófico"),CONCATENATE("R4C",'Mapa final'!$O$14),"")</f>
        <v/>
      </c>
      <c r="AJ39" s="42" t="str">
        <f>IF(AND('Mapa final'!$Y$15="Baja",'Mapa final'!$AA$15="Catastrófico"),CONCATENATE("R4C",'Mapa final'!$O$15),"")</f>
        <v/>
      </c>
      <c r="AK39" s="42" t="str">
        <f>IF(AND('Mapa final'!$Y$16="Baja",'Mapa final'!$AA$16="Catastrófico"),CONCATENATE("R4C",'Mapa final'!$O$16),"")</f>
        <v/>
      </c>
      <c r="AL39" s="42" t="e">
        <f>IF(AND('Mapa final'!#REF!="Baja",'Mapa final'!#REF!="Catastrófico"),CONCATENATE("R4C",'Mapa final'!#REF!),"")</f>
        <v>#REF!</v>
      </c>
      <c r="AM39" s="43" t="e">
        <f>IF(AND('Mapa final'!#REF!="Baja",'Mapa final'!#REF!="Catastrófico"),CONCATENATE("R4C",'Mapa final'!#REF!),"")</f>
        <v>#REF!</v>
      </c>
      <c r="AN39" s="69"/>
      <c r="AO39" s="403"/>
      <c r="AP39" s="404"/>
      <c r="AQ39" s="404"/>
      <c r="AR39" s="404"/>
      <c r="AS39" s="404"/>
      <c r="AT39" s="405"/>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284"/>
      <c r="C40" s="284"/>
      <c r="D40" s="285"/>
      <c r="E40" s="383"/>
      <c r="F40" s="382"/>
      <c r="G40" s="382"/>
      <c r="H40" s="382"/>
      <c r="I40" s="382"/>
      <c r="J40" s="62" t="str">
        <f>IF(AND('Mapa final'!$Y$17="Baja",'Mapa final'!$AA$17="Leve"),CONCATENATE("R5C",'Mapa final'!$O$17),"")</f>
        <v/>
      </c>
      <c r="K40" s="63" t="str">
        <f>IF(AND('Mapa final'!$Y$18="Baja",'Mapa final'!$AA$18="Leve"),CONCATENATE("R5C",'Mapa final'!$O$18),"")</f>
        <v/>
      </c>
      <c r="L40" s="63" t="str">
        <f>IF(AND('Mapa final'!$Y$19="Baja",'Mapa final'!$AA$19="Leve"),CONCATENATE("R5C",'Mapa final'!$O$19),"")</f>
        <v/>
      </c>
      <c r="M40" s="63" t="str">
        <f>IF(AND('Mapa final'!$Y$20="Baja",'Mapa final'!$AA$20="Leve"),CONCATENATE("R5C",'Mapa final'!$O$20),"")</f>
        <v/>
      </c>
      <c r="N40" s="63" t="str">
        <f>IF(AND('Mapa final'!$Y$21="Baja",'Mapa final'!$AA$21="Leve"),CONCATENATE("R5C",'Mapa final'!$O$21),"")</f>
        <v/>
      </c>
      <c r="O40" s="64" t="str">
        <f>IF(AND('Mapa final'!$Y$22="Baja",'Mapa final'!$AA$22="Leve"),CONCATENATE("R5C",'Mapa final'!$O$22),"")</f>
        <v/>
      </c>
      <c r="P40" s="53" t="str">
        <f>IF(AND('Mapa final'!$Y$17="Baja",'Mapa final'!$AA$17="Menor"),CONCATENATE("R5C",'Mapa final'!$O$17),"")</f>
        <v/>
      </c>
      <c r="Q40" s="54" t="str">
        <f>IF(AND('Mapa final'!$Y$18="Baja",'Mapa final'!$AA$18="Menor"),CONCATENATE("R5C",'Mapa final'!$O$18),"")</f>
        <v/>
      </c>
      <c r="R40" s="54" t="str">
        <f>IF(AND('Mapa final'!$Y$19="Baja",'Mapa final'!$AA$19="Menor"),CONCATENATE("R5C",'Mapa final'!$O$19),"")</f>
        <v/>
      </c>
      <c r="S40" s="54" t="str">
        <f>IF(AND('Mapa final'!$Y$20="Baja",'Mapa final'!$AA$20="Menor"),CONCATENATE("R5C",'Mapa final'!$O$20),"")</f>
        <v/>
      </c>
      <c r="T40" s="54" t="str">
        <f>IF(AND('Mapa final'!$Y$21="Baja",'Mapa final'!$AA$21="Menor"),CONCATENATE("R5C",'Mapa final'!$O$21),"")</f>
        <v/>
      </c>
      <c r="U40" s="55" t="str">
        <f>IF(AND('Mapa final'!$Y$22="Baja",'Mapa final'!$AA$22="Menor"),CONCATENATE("R5C",'Mapa final'!$O$22),"")</f>
        <v/>
      </c>
      <c r="V40" s="53" t="str">
        <f>IF(AND('Mapa final'!$Y$17="Baja",'Mapa final'!$AA$17="Moderado"),CONCATENATE("R5C",'Mapa final'!$O$17),"")</f>
        <v>R5C1</v>
      </c>
      <c r="W40" s="54" t="str">
        <f>IF(AND('Mapa final'!$Y$18="Baja",'Mapa final'!$AA$18="Moderado"),CONCATENATE("R5C",'Mapa final'!$O$18),"")</f>
        <v/>
      </c>
      <c r="X40" s="54" t="str">
        <f>IF(AND('Mapa final'!$Y$19="Baja",'Mapa final'!$AA$19="Moderado"),CONCATENATE("R5C",'Mapa final'!$O$19),"")</f>
        <v/>
      </c>
      <c r="Y40" s="54" t="str">
        <f>IF(AND('Mapa final'!$Y$20="Baja",'Mapa final'!$AA$20="Moderado"),CONCATENATE("R5C",'Mapa final'!$O$20),"")</f>
        <v/>
      </c>
      <c r="Z40" s="54" t="str">
        <f>IF(AND('Mapa final'!$Y$21="Baja",'Mapa final'!$AA$21="Moderado"),CONCATENATE("R5C",'Mapa final'!$O$21),"")</f>
        <v/>
      </c>
      <c r="AA40" s="55" t="str">
        <f>IF(AND('Mapa final'!$Y$22="Baja",'Mapa final'!$AA$22="Moderado"),CONCATENATE("R5C",'Mapa final'!$O$22),"")</f>
        <v/>
      </c>
      <c r="AB40" s="38" t="str">
        <f>IF(AND('Mapa final'!$Y$17="Baja",'Mapa final'!$AA$17="Mayor"),CONCATENATE("R5C",'Mapa final'!$O$17),"")</f>
        <v/>
      </c>
      <c r="AC40" s="39" t="str">
        <f>IF(AND('Mapa final'!$Y$18="Baja",'Mapa final'!$AA$18="Mayor"),CONCATENATE("R5C",'Mapa final'!$O$18),"")</f>
        <v/>
      </c>
      <c r="AD40" s="39" t="str">
        <f>IF(AND('Mapa final'!$Y$19="Baja",'Mapa final'!$AA$19="Mayor"),CONCATENATE("R5C",'Mapa final'!$O$19),"")</f>
        <v/>
      </c>
      <c r="AE40" s="39" t="str">
        <f>IF(AND('Mapa final'!$Y$20="Baja",'Mapa final'!$AA$20="Mayor"),CONCATENATE("R5C",'Mapa final'!$O$20),"")</f>
        <v/>
      </c>
      <c r="AF40" s="39" t="str">
        <f>IF(AND('Mapa final'!$Y$21="Baja",'Mapa final'!$AA$21="Mayor"),CONCATENATE("R5C",'Mapa final'!$O$21),"")</f>
        <v/>
      </c>
      <c r="AG40" s="40" t="str">
        <f>IF(AND('Mapa final'!$Y$22="Baja",'Mapa final'!$AA$22="Mayor"),CONCATENATE("R5C",'Mapa final'!$O$22),"")</f>
        <v/>
      </c>
      <c r="AH40" s="41" t="str">
        <f>IF(AND('Mapa final'!$Y$17="Baja",'Mapa final'!$AA$17="Catastrófico"),CONCATENATE("R5C",'Mapa final'!$O$17),"")</f>
        <v/>
      </c>
      <c r="AI40" s="42" t="str">
        <f>IF(AND('Mapa final'!$Y$18="Baja",'Mapa final'!$AA$18="Catastrófico"),CONCATENATE("R5C",'Mapa final'!$O$18),"")</f>
        <v/>
      </c>
      <c r="AJ40" s="42" t="str">
        <f>IF(AND('Mapa final'!$Y$19="Baja",'Mapa final'!$AA$19="Catastrófico"),CONCATENATE("R5C",'Mapa final'!$O$19),"")</f>
        <v/>
      </c>
      <c r="AK40" s="42" t="str">
        <f>IF(AND('Mapa final'!$Y$20="Baja",'Mapa final'!$AA$20="Catastrófico"),CONCATENATE("R5C",'Mapa final'!$O$20),"")</f>
        <v/>
      </c>
      <c r="AL40" s="42" t="str">
        <f>IF(AND('Mapa final'!$Y$21="Baja",'Mapa final'!$AA$21="Catastrófico"),CONCATENATE("R5C",'Mapa final'!$O$21),"")</f>
        <v/>
      </c>
      <c r="AM40" s="43" t="str">
        <f>IF(AND('Mapa final'!$Y$22="Baja",'Mapa final'!$AA$22="Catastrófico"),CONCATENATE("R5C",'Mapa final'!$O$22),"")</f>
        <v/>
      </c>
      <c r="AN40" s="69"/>
      <c r="AO40" s="403"/>
      <c r="AP40" s="404"/>
      <c r="AQ40" s="404"/>
      <c r="AR40" s="404"/>
      <c r="AS40" s="404"/>
      <c r="AT40" s="405"/>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284"/>
      <c r="C41" s="284"/>
      <c r="D41" s="285"/>
      <c r="E41" s="383"/>
      <c r="F41" s="382"/>
      <c r="G41" s="382"/>
      <c r="H41" s="382"/>
      <c r="I41" s="382"/>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403"/>
      <c r="AP41" s="404"/>
      <c r="AQ41" s="404"/>
      <c r="AR41" s="404"/>
      <c r="AS41" s="404"/>
      <c r="AT41" s="405"/>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284"/>
      <c r="C42" s="284"/>
      <c r="D42" s="285"/>
      <c r="E42" s="383"/>
      <c r="F42" s="382"/>
      <c r="G42" s="382"/>
      <c r="H42" s="382"/>
      <c r="I42" s="382"/>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403"/>
      <c r="AP42" s="404"/>
      <c r="AQ42" s="404"/>
      <c r="AR42" s="404"/>
      <c r="AS42" s="404"/>
      <c r="AT42" s="405"/>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284"/>
      <c r="C43" s="284"/>
      <c r="D43" s="285"/>
      <c r="E43" s="383"/>
      <c r="F43" s="382"/>
      <c r="G43" s="382"/>
      <c r="H43" s="382"/>
      <c r="I43" s="382"/>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403"/>
      <c r="AP43" s="404"/>
      <c r="AQ43" s="404"/>
      <c r="AR43" s="404"/>
      <c r="AS43" s="404"/>
      <c r="AT43" s="405"/>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284"/>
      <c r="C44" s="284"/>
      <c r="D44" s="285"/>
      <c r="E44" s="383"/>
      <c r="F44" s="382"/>
      <c r="G44" s="382"/>
      <c r="H44" s="382"/>
      <c r="I44" s="382"/>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403"/>
      <c r="AP44" s="404"/>
      <c r="AQ44" s="404"/>
      <c r="AR44" s="404"/>
      <c r="AS44" s="404"/>
      <c r="AT44" s="405"/>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284"/>
      <c r="C45" s="284"/>
      <c r="D45" s="285"/>
      <c r="E45" s="384"/>
      <c r="F45" s="385"/>
      <c r="G45" s="385"/>
      <c r="H45" s="385"/>
      <c r="I45" s="385"/>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406"/>
      <c r="AP45" s="407"/>
      <c r="AQ45" s="407"/>
      <c r="AR45" s="407"/>
      <c r="AS45" s="407"/>
      <c r="AT45" s="408"/>
    </row>
    <row r="46" spans="1:80" ht="46.5" customHeight="1" x14ac:dyDescent="0.35">
      <c r="A46" s="69"/>
      <c r="B46" s="284"/>
      <c r="C46" s="284"/>
      <c r="D46" s="285"/>
      <c r="E46" s="379" t="s">
        <v>113</v>
      </c>
      <c r="F46" s="380"/>
      <c r="G46" s="380"/>
      <c r="H46" s="380"/>
      <c r="I46" s="397"/>
      <c r="J46" s="59" t="e">
        <f>IF(AND('Mapa final'!#REF!="Muy Baja",'Mapa final'!#REF!="Leve"),CONCATENATE("R1C",'Mapa final'!#REF!),"")</f>
        <v>#REF!</v>
      </c>
      <c r="K46" s="60" t="e">
        <f>IF(AND('Mapa final'!#REF!="Muy Baja",'Mapa final'!#REF!="Leve"),CONCATENATE("R1C",'Mapa final'!#REF!),"")</f>
        <v>#REF!</v>
      </c>
      <c r="L46" s="60" t="e">
        <f>IF(AND('Mapa final'!#REF!="Muy Baja",'Mapa final'!#REF!="Leve"),CONCATENATE("R1C",'Mapa final'!#REF!),"")</f>
        <v>#REF!</v>
      </c>
      <c r="M46" s="60" t="e">
        <f>IF(AND('Mapa final'!#REF!="Muy Baja",'Mapa final'!#REF!="Leve"),CONCATENATE("R1C",'Mapa final'!#REF!),"")</f>
        <v>#REF!</v>
      </c>
      <c r="N46" s="60" t="e">
        <f>IF(AND('Mapa final'!#REF!="Muy Baja",'Mapa final'!#REF!="Leve"),CONCATENATE("R1C",'Mapa final'!#REF!),"")</f>
        <v>#REF!</v>
      </c>
      <c r="O46" s="61" t="e">
        <f>IF(AND('Mapa final'!#REF!="Muy Baja",'Mapa final'!#REF!="Leve"),CONCATENATE("R1C",'Mapa final'!#REF!),"")</f>
        <v>#REF!</v>
      </c>
      <c r="P46" s="59" t="e">
        <f>IF(AND('Mapa final'!#REF!="Muy Baja",'Mapa final'!#REF!="Menor"),CONCATENATE("R1C",'Mapa final'!#REF!),"")</f>
        <v>#REF!</v>
      </c>
      <c r="Q46" s="60" t="e">
        <f>IF(AND('Mapa final'!#REF!="Muy Baja",'Mapa final'!#REF!="Menor"),CONCATENATE("R1C",'Mapa final'!#REF!),"")</f>
        <v>#REF!</v>
      </c>
      <c r="R46" s="60" t="e">
        <f>IF(AND('Mapa final'!#REF!="Muy Baja",'Mapa final'!#REF!="Menor"),CONCATENATE("R1C",'Mapa final'!#REF!),"")</f>
        <v>#REF!</v>
      </c>
      <c r="S46" s="60" t="e">
        <f>IF(AND('Mapa final'!#REF!="Muy Baja",'Mapa final'!#REF!="Menor"),CONCATENATE("R1C",'Mapa final'!#REF!),"")</f>
        <v>#REF!</v>
      </c>
      <c r="T46" s="60" t="e">
        <f>IF(AND('Mapa final'!#REF!="Muy Baja",'Mapa final'!#REF!="Menor"),CONCATENATE("R1C",'Mapa final'!#REF!),"")</f>
        <v>#REF!</v>
      </c>
      <c r="U46" s="61" t="e">
        <f>IF(AND('Mapa final'!#REF!="Muy Baja",'Mapa final'!#REF!="Menor"),CONCATENATE("R1C",'Mapa final'!#REF!),"")</f>
        <v>#REF!</v>
      </c>
      <c r="V46" s="50" t="e">
        <f>IF(AND('Mapa final'!#REF!="Muy Baja",'Mapa final'!#REF!="Moderado"),CONCATENATE("R1C",'Mapa final'!#REF!),"")</f>
        <v>#REF!</v>
      </c>
      <c r="W46" s="68" t="e">
        <f>IF(AND('Mapa final'!#REF!="Muy Baja",'Mapa final'!#REF!="Moderado"),CONCATENATE("R1C",'Mapa final'!#REF!),"")</f>
        <v>#REF!</v>
      </c>
      <c r="X46" s="51" t="e">
        <f>IF(AND('Mapa final'!#REF!="Muy Baja",'Mapa final'!#REF!="Moderado"),CONCATENATE("R1C",'Mapa final'!#REF!),"")</f>
        <v>#REF!</v>
      </c>
      <c r="Y46" s="51" t="e">
        <f>IF(AND('Mapa final'!#REF!="Muy Baja",'Mapa final'!#REF!="Moderado"),CONCATENATE("R1C",'Mapa final'!#REF!),"")</f>
        <v>#REF!</v>
      </c>
      <c r="Z46" s="51" t="e">
        <f>IF(AND('Mapa final'!#REF!="Muy Baja",'Mapa final'!#REF!="Moderado"),CONCATENATE("R1C",'Mapa final'!#REF!),"")</f>
        <v>#REF!</v>
      </c>
      <c r="AA46" s="52" t="e">
        <f>IF(AND('Mapa final'!#REF!="Muy Baja",'Mapa final'!#REF!="Moderado"),CONCATENATE("R1C",'Mapa final'!#REF!),"")</f>
        <v>#REF!</v>
      </c>
      <c r="AB46" s="32" t="e">
        <f>IF(AND('Mapa final'!#REF!="Muy Baja",'Mapa final'!#REF!="Mayor"),CONCATENATE("R1C",'Mapa final'!#REF!),"")</f>
        <v>#REF!</v>
      </c>
      <c r="AC46" s="33" t="e">
        <f>IF(AND('Mapa final'!#REF!="Muy Baja",'Mapa final'!#REF!="Mayor"),CONCATENATE("R1C",'Mapa final'!#REF!),"")</f>
        <v>#REF!</v>
      </c>
      <c r="AD46" s="33" t="e">
        <f>IF(AND('Mapa final'!#REF!="Muy Baja",'Mapa final'!#REF!="Mayor"),CONCATENATE("R1C",'Mapa final'!#REF!),"")</f>
        <v>#REF!</v>
      </c>
      <c r="AE46" s="33" t="e">
        <f>IF(AND('Mapa final'!#REF!="Muy Baja",'Mapa final'!#REF!="Mayor"),CONCATENATE("R1C",'Mapa final'!#REF!),"")</f>
        <v>#REF!</v>
      </c>
      <c r="AF46" s="33" t="e">
        <f>IF(AND('Mapa final'!#REF!="Muy Baja",'Mapa final'!#REF!="Mayor"),CONCATENATE("R1C",'Mapa final'!#REF!),"")</f>
        <v>#REF!</v>
      </c>
      <c r="AG46" s="34" t="e">
        <f>IF(AND('Mapa final'!#REF!="Muy Baja",'Mapa final'!#REF!="Mayor"),CONCATENATE("R1C",'Mapa final'!#REF!),"")</f>
        <v>#REF!</v>
      </c>
      <c r="AH46" s="35" t="e">
        <f>IF(AND('Mapa final'!#REF!="Muy Baja",'Mapa final'!#REF!="Catastrófico"),CONCATENATE("R1C",'Mapa final'!#REF!),"")</f>
        <v>#REF!</v>
      </c>
      <c r="AI46" s="36" t="e">
        <f>IF(AND('Mapa final'!#REF!="Muy Baja",'Mapa final'!#REF!="Catastrófico"),CONCATENATE("R1C",'Mapa final'!#REF!),"")</f>
        <v>#REF!</v>
      </c>
      <c r="AJ46" s="36" t="e">
        <f>IF(AND('Mapa final'!#REF!="Muy Baja",'Mapa final'!#REF!="Catastrófico"),CONCATENATE("R1C",'Mapa final'!#REF!),"")</f>
        <v>#REF!</v>
      </c>
      <c r="AK46" s="36" t="e">
        <f>IF(AND('Mapa final'!#REF!="Muy Baja",'Mapa final'!#REF!="Catastrófico"),CONCATENATE("R1C",'Mapa final'!#REF!),"")</f>
        <v>#REF!</v>
      </c>
      <c r="AL46" s="36" t="e">
        <f>IF(AND('Mapa final'!#REF!="Muy Baja",'Mapa final'!#REF!="Catastrófico"),CONCATENATE("R1C",'Mapa final'!#REF!),"")</f>
        <v>#REF!</v>
      </c>
      <c r="AM46" s="37" t="e">
        <f>IF(AND('Mapa final'!#REF!="Muy Baja",'Mapa final'!#REF!="Catastrófico"),CONCATENATE("R1C",'Mapa final'!#REF!),"")</f>
        <v>#REF!</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284"/>
      <c r="C47" s="284"/>
      <c r="D47" s="285"/>
      <c r="E47" s="381"/>
      <c r="F47" s="382"/>
      <c r="G47" s="382"/>
      <c r="H47" s="382"/>
      <c r="I47" s="398"/>
      <c r="J47" s="62" t="e">
        <f>IF(AND('Mapa final'!#REF!="Muy Baja",'Mapa final'!#REF!="Leve"),CONCATENATE("R2C",'Mapa final'!#REF!),"")</f>
        <v>#REF!</v>
      </c>
      <c r="K47" s="63" t="e">
        <f>IF(AND('Mapa final'!#REF!="Muy Baja",'Mapa final'!#REF!="Leve"),CONCATENATE("R2C",'Mapa final'!#REF!),"")</f>
        <v>#REF!</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e">
        <f>IF(AND('Mapa final'!#REF!="Muy Baja",'Mapa final'!#REF!="Menor"),CONCATENATE("R2C",'Mapa final'!#REF!),"")</f>
        <v>#REF!</v>
      </c>
      <c r="Q47" s="63" t="e">
        <f>IF(AND('Mapa final'!#REF!="Muy Baja",'Mapa final'!#REF!="Menor"),CONCATENATE("R2C",'Mapa final'!#REF!),"")</f>
        <v>#REF!</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e">
        <f>IF(AND('Mapa final'!#REF!="Muy Baja",'Mapa final'!#REF!="Moderado"),CONCATENATE("R2C",'Mapa final'!#REF!),"")</f>
        <v>#REF!</v>
      </c>
      <c r="W47" s="54" t="e">
        <f>IF(AND('Mapa final'!#REF!="Muy Baja",'Mapa final'!#REF!="Moderado"),CONCATENATE("R2C",'Mapa final'!#REF!),"")</f>
        <v>#REF!</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e">
        <f>IF(AND('Mapa final'!#REF!="Muy Baja",'Mapa final'!#REF!="Mayor"),CONCATENATE("R2C",'Mapa final'!#REF!),"")</f>
        <v>#REF!</v>
      </c>
      <c r="AC47" s="39" t="e">
        <f>IF(AND('Mapa final'!#REF!="Muy Baja",'Mapa final'!#REF!="Mayor"),CONCATENATE("R2C",'Mapa final'!#REF!),"")</f>
        <v>#REF!</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e">
        <f>IF(AND('Mapa final'!#REF!="Muy Baja",'Mapa final'!#REF!="Catastrófico"),CONCATENATE("R2C",'Mapa final'!#REF!),"")</f>
        <v>#REF!</v>
      </c>
      <c r="AI47" s="42" t="e">
        <f>IF(AND('Mapa final'!#REF!="Muy Baja",'Mapa final'!#REF!="Catastrófico"),CONCATENATE("R2C",'Mapa final'!#REF!),"")</f>
        <v>#REF!</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284"/>
      <c r="C48" s="284"/>
      <c r="D48" s="285"/>
      <c r="E48" s="381"/>
      <c r="F48" s="382"/>
      <c r="G48" s="382"/>
      <c r="H48" s="382"/>
      <c r="I48" s="398"/>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284"/>
      <c r="C49" s="284"/>
      <c r="D49" s="285"/>
      <c r="E49" s="383"/>
      <c r="F49" s="382"/>
      <c r="G49" s="382"/>
      <c r="H49" s="382"/>
      <c r="I49" s="398"/>
      <c r="J49" s="62" t="str">
        <f>IF(AND('Mapa final'!$Y$13="Muy Baja",'Mapa final'!$AA$13="Leve"),CONCATENATE("R4C",'Mapa final'!$O$13),"")</f>
        <v/>
      </c>
      <c r="K49" s="63" t="str">
        <f>IF(AND('Mapa final'!$Y$14="Muy Baja",'Mapa final'!$AA$14="Leve"),CONCATENATE("R4C",'Mapa final'!$O$14),"")</f>
        <v>R4C2</v>
      </c>
      <c r="L49" s="63" t="str">
        <f>IF(AND('Mapa final'!$Y$15="Muy Baja",'Mapa final'!$AA$15="Leve"),CONCATENATE("R4C",'Mapa final'!$O$15),"")</f>
        <v>R4C3</v>
      </c>
      <c r="M49" s="63" t="str">
        <f>IF(AND('Mapa final'!$Y$16="Muy Baja",'Mapa final'!$AA$16="Leve"),CONCATENATE("R4C",'Mapa final'!$O$16),"")</f>
        <v>R4C4</v>
      </c>
      <c r="N49" s="63" t="e">
        <f>IF(AND('Mapa final'!#REF!="Muy Baja",'Mapa final'!#REF!="Leve"),CONCATENATE("R4C",'Mapa final'!#REF!),"")</f>
        <v>#REF!</v>
      </c>
      <c r="O49" s="64" t="e">
        <f>IF(AND('Mapa final'!#REF!="Muy Baja",'Mapa final'!#REF!="Leve"),CONCATENATE("R4C",'Mapa final'!#REF!),"")</f>
        <v>#REF!</v>
      </c>
      <c r="P49" s="62" t="str">
        <f>IF(AND('Mapa final'!$Y$13="Muy Baja",'Mapa final'!$AA$13="Menor"),CONCATENATE("R4C",'Mapa final'!$O$13),"")</f>
        <v/>
      </c>
      <c r="Q49" s="63" t="str">
        <f>IF(AND('Mapa final'!$Y$14="Muy Baja",'Mapa final'!$AA$14="Menor"),CONCATENATE("R4C",'Mapa final'!$O$14),"")</f>
        <v/>
      </c>
      <c r="R49" s="63" t="str">
        <f>IF(AND('Mapa final'!$Y$15="Muy Baja",'Mapa final'!$AA$15="Menor"),CONCATENATE("R4C",'Mapa final'!$O$15),"")</f>
        <v/>
      </c>
      <c r="S49" s="63" t="str">
        <f>IF(AND('Mapa final'!$Y$16="Muy Baja",'Mapa final'!$AA$16="Menor"),CONCATENATE("R4C",'Mapa final'!$O$16),"")</f>
        <v/>
      </c>
      <c r="T49" s="63" t="e">
        <f>IF(AND('Mapa final'!#REF!="Muy Baja",'Mapa final'!#REF!="Menor"),CONCATENATE("R4C",'Mapa final'!#REF!),"")</f>
        <v>#REF!</v>
      </c>
      <c r="U49" s="64" t="e">
        <f>IF(AND('Mapa final'!#REF!="Muy Baja",'Mapa final'!#REF!="Menor"),CONCATENATE("R4C",'Mapa final'!#REF!),"")</f>
        <v>#REF!</v>
      </c>
      <c r="V49" s="53" t="str">
        <f>IF(AND('Mapa final'!$Y$13="Muy Baja",'Mapa final'!$AA$13="Moderado"),CONCATENATE("R4C",'Mapa final'!$O$13),"")</f>
        <v/>
      </c>
      <c r="W49" s="54" t="str">
        <f>IF(AND('Mapa final'!$Y$14="Muy Baja",'Mapa final'!$AA$14="Moderado"),CONCATENATE("R4C",'Mapa final'!$O$14),"")</f>
        <v/>
      </c>
      <c r="X49" s="54" t="str">
        <f>IF(AND('Mapa final'!$Y$15="Muy Baja",'Mapa final'!$AA$15="Moderado"),CONCATENATE("R4C",'Mapa final'!$O$15),"")</f>
        <v/>
      </c>
      <c r="Y49" s="54" t="str">
        <f>IF(AND('Mapa final'!$Y$16="Muy Baja",'Mapa final'!$AA$16="Moderado"),CONCATENATE("R4C",'Mapa final'!$O$16),"")</f>
        <v/>
      </c>
      <c r="Z49" s="54" t="e">
        <f>IF(AND('Mapa final'!#REF!="Muy Baja",'Mapa final'!#REF!="Moderado"),CONCATENATE("R4C",'Mapa final'!#REF!),"")</f>
        <v>#REF!</v>
      </c>
      <c r="AA49" s="55" t="e">
        <f>IF(AND('Mapa final'!#REF!="Muy Baja",'Mapa final'!#REF!="Moderado"),CONCATENATE("R4C",'Mapa final'!#REF!),"")</f>
        <v>#REF!</v>
      </c>
      <c r="AB49" s="38" t="str">
        <f>IF(AND('Mapa final'!$Y$13="Muy Baja",'Mapa final'!$AA$13="Mayor"),CONCATENATE("R4C",'Mapa final'!$O$13),"")</f>
        <v/>
      </c>
      <c r="AC49" s="39" t="str">
        <f>IF(AND('Mapa final'!$Y$14="Muy Baja",'Mapa final'!$AA$14="Mayor"),CONCATENATE("R4C",'Mapa final'!$O$14),"")</f>
        <v/>
      </c>
      <c r="AD49" s="39" t="str">
        <f>IF(AND('Mapa final'!$Y$15="Muy Baja",'Mapa final'!$AA$15="Mayor"),CONCATENATE("R4C",'Mapa final'!$O$15),"")</f>
        <v/>
      </c>
      <c r="AE49" s="39" t="str">
        <f>IF(AND('Mapa final'!$Y$16="Muy Baja",'Mapa final'!$AA$16="Mayor"),CONCATENATE("R4C",'Mapa final'!$O$16),"")</f>
        <v/>
      </c>
      <c r="AF49" s="39" t="e">
        <f>IF(AND('Mapa final'!#REF!="Muy Baja",'Mapa final'!#REF!="Mayor"),CONCATENATE("R4C",'Mapa final'!#REF!),"")</f>
        <v>#REF!</v>
      </c>
      <c r="AG49" s="40" t="e">
        <f>IF(AND('Mapa final'!#REF!="Muy Baja",'Mapa final'!#REF!="Mayor"),CONCATENATE("R4C",'Mapa final'!#REF!),"")</f>
        <v>#REF!</v>
      </c>
      <c r="AH49" s="41" t="str">
        <f>IF(AND('Mapa final'!$Y$13="Muy Baja",'Mapa final'!$AA$13="Catastrófico"),CONCATENATE("R4C",'Mapa final'!$O$13),"")</f>
        <v/>
      </c>
      <c r="AI49" s="42" t="str">
        <f>IF(AND('Mapa final'!$Y$14="Muy Baja",'Mapa final'!$AA$14="Catastrófico"),CONCATENATE("R4C",'Mapa final'!$O$14),"")</f>
        <v/>
      </c>
      <c r="AJ49" s="42" t="str">
        <f>IF(AND('Mapa final'!$Y$15="Muy Baja",'Mapa final'!$AA$15="Catastrófico"),CONCATENATE("R4C",'Mapa final'!$O$15),"")</f>
        <v/>
      </c>
      <c r="AK49" s="42" t="str">
        <f>IF(AND('Mapa final'!$Y$16="Muy Baja",'Mapa final'!$AA$16="Catastrófico"),CONCATENATE("R4C",'Mapa final'!$O$16),"")</f>
        <v/>
      </c>
      <c r="AL49" s="42" t="e">
        <f>IF(AND('Mapa final'!#REF!="Muy Baja",'Mapa final'!#REF!="Catastrófico"),CONCATENATE("R4C",'Mapa final'!#REF!),"")</f>
        <v>#REF!</v>
      </c>
      <c r="AM49" s="43" t="e">
        <f>IF(AND('Mapa final'!#REF!="Muy Baja",'Mapa final'!#REF!="Catastrófico"),CONCATENATE("R4C",'Mapa final'!#REF!),"")</f>
        <v>#REF!</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284"/>
      <c r="C50" s="284"/>
      <c r="D50" s="285"/>
      <c r="E50" s="383"/>
      <c r="F50" s="382"/>
      <c r="G50" s="382"/>
      <c r="H50" s="382"/>
      <c r="I50" s="398"/>
      <c r="J50" s="62" t="str">
        <f>IF(AND('Mapa final'!$Y$17="Muy Baja",'Mapa final'!$AA$17="Leve"),CONCATENATE("R5C",'Mapa final'!$O$17),"")</f>
        <v/>
      </c>
      <c r="K50" s="63" t="str">
        <f>IF(AND('Mapa final'!$Y$18="Muy Baja",'Mapa final'!$AA$18="Leve"),CONCATENATE("R5C",'Mapa final'!$O$18),"")</f>
        <v/>
      </c>
      <c r="L50" s="63" t="str">
        <f>IF(AND('Mapa final'!$Y$19="Muy Baja",'Mapa final'!$AA$19="Leve"),CONCATENATE("R5C",'Mapa final'!$O$19),"")</f>
        <v/>
      </c>
      <c r="M50" s="63" t="str">
        <f>IF(AND('Mapa final'!$Y$20="Muy Baja",'Mapa final'!$AA$20="Leve"),CONCATENATE("R5C",'Mapa final'!$O$20),"")</f>
        <v/>
      </c>
      <c r="N50" s="63" t="str">
        <f>IF(AND('Mapa final'!$Y$21="Muy Baja",'Mapa final'!$AA$21="Leve"),CONCATENATE("R5C",'Mapa final'!$O$21),"")</f>
        <v/>
      </c>
      <c r="O50" s="64" t="str">
        <f>IF(AND('Mapa final'!$Y$22="Muy Baja",'Mapa final'!$AA$22="Leve"),CONCATENATE("R5C",'Mapa final'!$O$22),"")</f>
        <v/>
      </c>
      <c r="P50" s="62" t="str">
        <f>IF(AND('Mapa final'!$Y$17="Muy Baja",'Mapa final'!$AA$17="Menor"),CONCATENATE("R5C",'Mapa final'!$O$17),"")</f>
        <v/>
      </c>
      <c r="Q50" s="63" t="str">
        <f>IF(AND('Mapa final'!$Y$18="Muy Baja",'Mapa final'!$AA$18="Menor"),CONCATENATE("R5C",'Mapa final'!$O$18),"")</f>
        <v/>
      </c>
      <c r="R50" s="63" t="str">
        <f>IF(AND('Mapa final'!$Y$19="Muy Baja",'Mapa final'!$AA$19="Menor"),CONCATENATE("R5C",'Mapa final'!$O$19),"")</f>
        <v/>
      </c>
      <c r="S50" s="63" t="str">
        <f>IF(AND('Mapa final'!$Y$20="Muy Baja",'Mapa final'!$AA$20="Menor"),CONCATENATE("R5C",'Mapa final'!$O$20),"")</f>
        <v/>
      </c>
      <c r="T50" s="63" t="str">
        <f>IF(AND('Mapa final'!$Y$21="Muy Baja",'Mapa final'!$AA$21="Menor"),CONCATENATE("R5C",'Mapa final'!$O$21),"")</f>
        <v/>
      </c>
      <c r="U50" s="64" t="str">
        <f>IF(AND('Mapa final'!$Y$22="Muy Baja",'Mapa final'!$AA$22="Menor"),CONCATENATE("R5C",'Mapa final'!$O$22),"")</f>
        <v/>
      </c>
      <c r="V50" s="53" t="str">
        <f>IF(AND('Mapa final'!$Y$17="Muy Baja",'Mapa final'!$AA$17="Moderado"),CONCATENATE("R5C",'Mapa final'!$O$17),"")</f>
        <v/>
      </c>
      <c r="W50" s="54" t="str">
        <f>IF(AND('Mapa final'!$Y$18="Muy Baja",'Mapa final'!$AA$18="Moderado"),CONCATENATE("R5C",'Mapa final'!$O$18),"")</f>
        <v/>
      </c>
      <c r="X50" s="54" t="str">
        <f>IF(AND('Mapa final'!$Y$19="Muy Baja",'Mapa final'!$AA$19="Moderado"),CONCATENATE("R5C",'Mapa final'!$O$19),"")</f>
        <v/>
      </c>
      <c r="Y50" s="54" t="str">
        <f>IF(AND('Mapa final'!$Y$20="Muy Baja",'Mapa final'!$AA$20="Moderado"),CONCATENATE("R5C",'Mapa final'!$O$20),"")</f>
        <v/>
      </c>
      <c r="Z50" s="54" t="str">
        <f>IF(AND('Mapa final'!$Y$21="Muy Baja",'Mapa final'!$AA$21="Moderado"),CONCATENATE("R5C",'Mapa final'!$O$21),"")</f>
        <v/>
      </c>
      <c r="AA50" s="55" t="str">
        <f>IF(AND('Mapa final'!$Y$22="Muy Baja",'Mapa final'!$AA$22="Moderado"),CONCATENATE("R5C",'Mapa final'!$O$22),"")</f>
        <v/>
      </c>
      <c r="AB50" s="38" t="str">
        <f>IF(AND('Mapa final'!$Y$17="Muy Baja",'Mapa final'!$AA$17="Mayor"),CONCATENATE("R5C",'Mapa final'!$O$17),"")</f>
        <v/>
      </c>
      <c r="AC50" s="39" t="str">
        <f>IF(AND('Mapa final'!$Y$18="Muy Baja",'Mapa final'!$AA$18="Mayor"),CONCATENATE("R5C",'Mapa final'!$O$18),"")</f>
        <v/>
      </c>
      <c r="AD50" s="39" t="str">
        <f>IF(AND('Mapa final'!$Y$19="Muy Baja",'Mapa final'!$AA$19="Mayor"),CONCATENATE("R5C",'Mapa final'!$O$19),"")</f>
        <v/>
      </c>
      <c r="AE50" s="39" t="str">
        <f>IF(AND('Mapa final'!$Y$20="Muy Baja",'Mapa final'!$AA$20="Mayor"),CONCATENATE("R5C",'Mapa final'!$O$20),"")</f>
        <v/>
      </c>
      <c r="AF50" s="39" t="str">
        <f>IF(AND('Mapa final'!$Y$21="Muy Baja",'Mapa final'!$AA$21="Mayor"),CONCATENATE("R5C",'Mapa final'!$O$21),"")</f>
        <v/>
      </c>
      <c r="AG50" s="40" t="str">
        <f>IF(AND('Mapa final'!$Y$22="Muy Baja",'Mapa final'!$AA$22="Mayor"),CONCATENATE("R5C",'Mapa final'!$O$22),"")</f>
        <v/>
      </c>
      <c r="AH50" s="41" t="str">
        <f>IF(AND('Mapa final'!$Y$17="Muy Baja",'Mapa final'!$AA$17="Catastrófico"),CONCATENATE("R5C",'Mapa final'!$O$17),"")</f>
        <v/>
      </c>
      <c r="AI50" s="42" t="str">
        <f>IF(AND('Mapa final'!$Y$18="Muy Baja",'Mapa final'!$AA$18="Catastrófico"),CONCATENATE("R5C",'Mapa final'!$O$18),"")</f>
        <v/>
      </c>
      <c r="AJ50" s="42" t="str">
        <f>IF(AND('Mapa final'!$Y$19="Muy Baja",'Mapa final'!$AA$19="Catastrófico"),CONCATENATE("R5C",'Mapa final'!$O$19),"")</f>
        <v/>
      </c>
      <c r="AK50" s="42" t="str">
        <f>IF(AND('Mapa final'!$Y$20="Muy Baja",'Mapa final'!$AA$20="Catastrófico"),CONCATENATE("R5C",'Mapa final'!$O$20),"")</f>
        <v/>
      </c>
      <c r="AL50" s="42" t="str">
        <f>IF(AND('Mapa final'!$Y$21="Muy Baja",'Mapa final'!$AA$21="Catastrófico"),CONCATENATE("R5C",'Mapa final'!$O$21),"")</f>
        <v/>
      </c>
      <c r="AM50" s="43" t="str">
        <f>IF(AND('Mapa final'!$Y$22="Muy Baja",'Mapa final'!$AA$22="Catastrófico"),CONCATENATE("R5C",'Mapa final'!$O$22),"")</f>
        <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284"/>
      <c r="C51" s="284"/>
      <c r="D51" s="285"/>
      <c r="E51" s="383"/>
      <c r="F51" s="382"/>
      <c r="G51" s="382"/>
      <c r="H51" s="382"/>
      <c r="I51" s="398"/>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284"/>
      <c r="C52" s="284"/>
      <c r="D52" s="285"/>
      <c r="E52" s="383"/>
      <c r="F52" s="382"/>
      <c r="G52" s="382"/>
      <c r="H52" s="382"/>
      <c r="I52" s="398"/>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284"/>
      <c r="C53" s="284"/>
      <c r="D53" s="285"/>
      <c r="E53" s="383"/>
      <c r="F53" s="382"/>
      <c r="G53" s="382"/>
      <c r="H53" s="382"/>
      <c r="I53" s="398"/>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284"/>
      <c r="C54" s="284"/>
      <c r="D54" s="285"/>
      <c r="E54" s="383"/>
      <c r="F54" s="382"/>
      <c r="G54" s="382"/>
      <c r="H54" s="382"/>
      <c r="I54" s="398"/>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284"/>
      <c r="C55" s="284"/>
      <c r="D55" s="285"/>
      <c r="E55" s="384"/>
      <c r="F55" s="385"/>
      <c r="G55" s="385"/>
      <c r="H55" s="385"/>
      <c r="I55" s="399"/>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379" t="s">
        <v>112</v>
      </c>
      <c r="K56" s="380"/>
      <c r="L56" s="380"/>
      <c r="M56" s="380"/>
      <c r="N56" s="380"/>
      <c r="O56" s="397"/>
      <c r="P56" s="379" t="s">
        <v>111</v>
      </c>
      <c r="Q56" s="380"/>
      <c r="R56" s="380"/>
      <c r="S56" s="380"/>
      <c r="T56" s="380"/>
      <c r="U56" s="397"/>
      <c r="V56" s="379" t="s">
        <v>110</v>
      </c>
      <c r="W56" s="380"/>
      <c r="X56" s="380"/>
      <c r="Y56" s="380"/>
      <c r="Z56" s="380"/>
      <c r="AA56" s="397"/>
      <c r="AB56" s="379" t="s">
        <v>109</v>
      </c>
      <c r="AC56" s="418"/>
      <c r="AD56" s="380"/>
      <c r="AE56" s="380"/>
      <c r="AF56" s="380"/>
      <c r="AG56" s="397"/>
      <c r="AH56" s="379" t="s">
        <v>108</v>
      </c>
      <c r="AI56" s="380"/>
      <c r="AJ56" s="380"/>
      <c r="AK56" s="380"/>
      <c r="AL56" s="380"/>
      <c r="AM56" s="397"/>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383"/>
      <c r="K57" s="382"/>
      <c r="L57" s="382"/>
      <c r="M57" s="382"/>
      <c r="N57" s="382"/>
      <c r="O57" s="398"/>
      <c r="P57" s="383"/>
      <c r="Q57" s="382"/>
      <c r="R57" s="382"/>
      <c r="S57" s="382"/>
      <c r="T57" s="382"/>
      <c r="U57" s="398"/>
      <c r="V57" s="383"/>
      <c r="W57" s="382"/>
      <c r="X57" s="382"/>
      <c r="Y57" s="382"/>
      <c r="Z57" s="382"/>
      <c r="AA57" s="398"/>
      <c r="AB57" s="383"/>
      <c r="AC57" s="382"/>
      <c r="AD57" s="382"/>
      <c r="AE57" s="382"/>
      <c r="AF57" s="382"/>
      <c r="AG57" s="398"/>
      <c r="AH57" s="383"/>
      <c r="AI57" s="382"/>
      <c r="AJ57" s="382"/>
      <c r="AK57" s="382"/>
      <c r="AL57" s="382"/>
      <c r="AM57" s="398"/>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383"/>
      <c r="K58" s="382"/>
      <c r="L58" s="382"/>
      <c r="M58" s="382"/>
      <c r="N58" s="382"/>
      <c r="O58" s="398"/>
      <c r="P58" s="383"/>
      <c r="Q58" s="382"/>
      <c r="R58" s="382"/>
      <c r="S58" s="382"/>
      <c r="T58" s="382"/>
      <c r="U58" s="398"/>
      <c r="V58" s="383"/>
      <c r="W58" s="382"/>
      <c r="X58" s="382"/>
      <c r="Y58" s="382"/>
      <c r="Z58" s="382"/>
      <c r="AA58" s="398"/>
      <c r="AB58" s="383"/>
      <c r="AC58" s="382"/>
      <c r="AD58" s="382"/>
      <c r="AE58" s="382"/>
      <c r="AF58" s="382"/>
      <c r="AG58" s="398"/>
      <c r="AH58" s="383"/>
      <c r="AI58" s="382"/>
      <c r="AJ58" s="382"/>
      <c r="AK58" s="382"/>
      <c r="AL58" s="382"/>
      <c r="AM58" s="398"/>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383"/>
      <c r="K59" s="382"/>
      <c r="L59" s="382"/>
      <c r="M59" s="382"/>
      <c r="N59" s="382"/>
      <c r="O59" s="398"/>
      <c r="P59" s="383"/>
      <c r="Q59" s="382"/>
      <c r="R59" s="382"/>
      <c r="S59" s="382"/>
      <c r="T59" s="382"/>
      <c r="U59" s="398"/>
      <c r="V59" s="383"/>
      <c r="W59" s="382"/>
      <c r="X59" s="382"/>
      <c r="Y59" s="382"/>
      <c r="Z59" s="382"/>
      <c r="AA59" s="398"/>
      <c r="AB59" s="383"/>
      <c r="AC59" s="382"/>
      <c r="AD59" s="382"/>
      <c r="AE59" s="382"/>
      <c r="AF59" s="382"/>
      <c r="AG59" s="398"/>
      <c r="AH59" s="383"/>
      <c r="AI59" s="382"/>
      <c r="AJ59" s="382"/>
      <c r="AK59" s="382"/>
      <c r="AL59" s="382"/>
      <c r="AM59" s="398"/>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383"/>
      <c r="K60" s="382"/>
      <c r="L60" s="382"/>
      <c r="M60" s="382"/>
      <c r="N60" s="382"/>
      <c r="O60" s="398"/>
      <c r="P60" s="383"/>
      <c r="Q60" s="382"/>
      <c r="R60" s="382"/>
      <c r="S60" s="382"/>
      <c r="T60" s="382"/>
      <c r="U60" s="398"/>
      <c r="V60" s="383"/>
      <c r="W60" s="382"/>
      <c r="X60" s="382"/>
      <c r="Y60" s="382"/>
      <c r="Z60" s="382"/>
      <c r="AA60" s="398"/>
      <c r="AB60" s="383"/>
      <c r="AC60" s="382"/>
      <c r="AD60" s="382"/>
      <c r="AE60" s="382"/>
      <c r="AF60" s="382"/>
      <c r="AG60" s="398"/>
      <c r="AH60" s="383"/>
      <c r="AI60" s="382"/>
      <c r="AJ60" s="382"/>
      <c r="AK60" s="382"/>
      <c r="AL60" s="382"/>
      <c r="AM60" s="398"/>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384"/>
      <c r="K61" s="385"/>
      <c r="L61" s="385"/>
      <c r="M61" s="385"/>
      <c r="N61" s="385"/>
      <c r="O61" s="399"/>
      <c r="P61" s="384"/>
      <c r="Q61" s="385"/>
      <c r="R61" s="385"/>
      <c r="S61" s="385"/>
      <c r="T61" s="385"/>
      <c r="U61" s="399"/>
      <c r="V61" s="384"/>
      <c r="W61" s="385"/>
      <c r="X61" s="385"/>
      <c r="Y61" s="385"/>
      <c r="Z61" s="385"/>
      <c r="AA61" s="399"/>
      <c r="AB61" s="384"/>
      <c r="AC61" s="385"/>
      <c r="AD61" s="385"/>
      <c r="AE61" s="385"/>
      <c r="AF61" s="385"/>
      <c r="AG61" s="399"/>
      <c r="AH61" s="384"/>
      <c r="AI61" s="385"/>
      <c r="AJ61" s="385"/>
      <c r="AK61" s="385"/>
      <c r="AL61" s="385"/>
      <c r="AM61" s="39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K55"/>
  <sheetViews>
    <sheetView zoomScale="90" zoomScaleNormal="90" workbookViewId="0">
      <selection activeCell="D6" sqref="D6"/>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419" t="s">
        <v>55</v>
      </c>
      <c r="C1" s="419"/>
      <c r="D1" s="419"/>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52</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51</v>
      </c>
      <c r="C4" s="6" t="s">
        <v>102</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53</v>
      </c>
      <c r="C5" s="9" t="s">
        <v>103</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107</v>
      </c>
      <c r="C6" s="9" t="s">
        <v>104</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105</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54</v>
      </c>
      <c r="C8" s="9" t="s">
        <v>106</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topLeftCell="E202" zoomScale="60" zoomScaleNormal="60" workbookViewId="0">
      <selection activeCell="E219" sqref="E219"/>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420" t="s">
        <v>63</v>
      </c>
      <c r="C1" s="420"/>
      <c r="D1" s="420"/>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60" x14ac:dyDescent="0.25">
      <c r="A3" s="69"/>
      <c r="B3" s="90"/>
      <c r="C3" s="22" t="s">
        <v>56</v>
      </c>
      <c r="D3" s="22" t="s">
        <v>57</v>
      </c>
      <c r="E3" s="69"/>
      <c r="F3" s="69"/>
      <c r="G3" s="69"/>
      <c r="H3" s="69"/>
      <c r="I3" s="69"/>
      <c r="J3" s="69"/>
      <c r="K3" s="69"/>
      <c r="L3" s="69"/>
      <c r="M3" s="69"/>
      <c r="N3" s="69"/>
      <c r="O3" s="69"/>
      <c r="P3" s="69"/>
      <c r="Q3" s="69"/>
      <c r="R3" s="69"/>
      <c r="S3" s="69"/>
      <c r="T3" s="69"/>
      <c r="U3" s="69"/>
    </row>
    <row r="4" spans="1:21" ht="33.75" x14ac:dyDescent="0.25">
      <c r="A4" s="89" t="s">
        <v>83</v>
      </c>
      <c r="B4" s="25" t="s">
        <v>101</v>
      </c>
      <c r="C4" s="30" t="s">
        <v>156</v>
      </c>
      <c r="D4" s="23" t="s">
        <v>97</v>
      </c>
      <c r="E4" s="69"/>
      <c r="F4" s="69"/>
      <c r="G4" s="69"/>
      <c r="H4" s="69"/>
      <c r="I4" s="69"/>
      <c r="J4" s="69"/>
      <c r="K4" s="69"/>
      <c r="L4" s="69"/>
      <c r="M4" s="69"/>
      <c r="N4" s="69"/>
      <c r="O4" s="69"/>
      <c r="P4" s="69"/>
      <c r="Q4" s="69"/>
      <c r="R4" s="69"/>
      <c r="S4" s="69"/>
      <c r="T4" s="69"/>
      <c r="U4" s="69"/>
    </row>
    <row r="5" spans="1:21" ht="101.25" x14ac:dyDescent="0.25">
      <c r="A5" s="89" t="s">
        <v>84</v>
      </c>
      <c r="B5" s="26" t="s">
        <v>59</v>
      </c>
      <c r="C5" s="31" t="s">
        <v>93</v>
      </c>
      <c r="D5" s="24" t="s">
        <v>219</v>
      </c>
      <c r="E5" s="69"/>
      <c r="F5" s="69"/>
      <c r="G5" s="69"/>
      <c r="H5" s="69"/>
      <c r="I5" s="69"/>
      <c r="J5" s="69"/>
      <c r="K5" s="69"/>
      <c r="L5" s="69"/>
      <c r="M5" s="69"/>
      <c r="N5" s="69"/>
      <c r="O5" s="69"/>
      <c r="P5" s="69"/>
      <c r="Q5" s="69"/>
      <c r="R5" s="69"/>
      <c r="S5" s="69"/>
      <c r="T5" s="69"/>
      <c r="U5" s="69"/>
    </row>
    <row r="6" spans="1:21" ht="67.5" x14ac:dyDescent="0.25">
      <c r="A6" s="89" t="s">
        <v>81</v>
      </c>
      <c r="B6" s="27" t="s">
        <v>60</v>
      </c>
      <c r="C6" s="31" t="s">
        <v>94</v>
      </c>
      <c r="D6" s="24" t="s">
        <v>100</v>
      </c>
      <c r="E6" s="69"/>
      <c r="F6" s="69"/>
      <c r="G6" s="69"/>
      <c r="H6" s="69"/>
      <c r="I6" s="69"/>
      <c r="J6" s="69"/>
      <c r="K6" s="69"/>
      <c r="L6" s="69"/>
      <c r="M6" s="69"/>
      <c r="N6" s="69"/>
      <c r="O6" s="69"/>
      <c r="P6" s="69"/>
      <c r="Q6" s="69"/>
      <c r="R6" s="69"/>
      <c r="S6" s="69"/>
      <c r="T6" s="69"/>
      <c r="U6" s="69"/>
    </row>
    <row r="7" spans="1:21" ht="101.25" x14ac:dyDescent="0.25">
      <c r="A7" s="89" t="s">
        <v>7</v>
      </c>
      <c r="B7" s="28" t="s">
        <v>61</v>
      </c>
      <c r="C7" s="31" t="s">
        <v>95</v>
      </c>
      <c r="D7" s="24" t="s">
        <v>99</v>
      </c>
      <c r="E7" s="69"/>
      <c r="F7" s="69"/>
      <c r="G7" s="69"/>
      <c r="H7" s="69"/>
      <c r="I7" s="69"/>
      <c r="J7" s="69"/>
      <c r="K7" s="69"/>
      <c r="L7" s="69"/>
      <c r="M7" s="69"/>
      <c r="N7" s="69"/>
      <c r="O7" s="69"/>
      <c r="P7" s="69"/>
      <c r="Q7" s="69"/>
      <c r="R7" s="69"/>
      <c r="S7" s="69"/>
      <c r="T7" s="69"/>
      <c r="U7" s="69"/>
    </row>
    <row r="8" spans="1:21" ht="67.5" x14ac:dyDescent="0.25">
      <c r="A8" s="89" t="s">
        <v>85</v>
      </c>
      <c r="B8" s="29" t="s">
        <v>62</v>
      </c>
      <c r="C8" s="31" t="s">
        <v>96</v>
      </c>
      <c r="D8" s="24" t="s">
        <v>118</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91</v>
      </c>
      <c r="C11" s="89" t="s">
        <v>144</v>
      </c>
      <c r="D11" s="89" t="s">
        <v>151</v>
      </c>
      <c r="E11" s="69"/>
      <c r="F11" s="69"/>
      <c r="G11" s="69"/>
      <c r="H11" s="69"/>
      <c r="I11" s="69"/>
      <c r="J11" s="69"/>
      <c r="K11" s="69"/>
      <c r="L11" s="69"/>
      <c r="M11" s="69"/>
      <c r="N11" s="69"/>
      <c r="O11" s="69"/>
      <c r="P11" s="69"/>
      <c r="Q11" s="69"/>
      <c r="R11" s="69"/>
      <c r="S11" s="69"/>
      <c r="T11" s="69"/>
      <c r="U11" s="69"/>
    </row>
    <row r="12" spans="1:21" x14ac:dyDescent="0.25">
      <c r="A12" s="89"/>
      <c r="B12" s="89" t="s">
        <v>89</v>
      </c>
      <c r="C12" s="89" t="s">
        <v>148</v>
      </c>
      <c r="D12" s="89" t="s">
        <v>152</v>
      </c>
      <c r="E12" s="69"/>
      <c r="F12" s="69"/>
      <c r="G12" s="69"/>
      <c r="H12" s="69"/>
      <c r="I12" s="69"/>
      <c r="J12" s="69"/>
      <c r="K12" s="69"/>
      <c r="L12" s="69"/>
      <c r="M12" s="69"/>
      <c r="N12" s="69"/>
      <c r="O12" s="69"/>
      <c r="P12" s="69"/>
      <c r="Q12" s="69"/>
      <c r="R12" s="69"/>
      <c r="S12" s="69"/>
      <c r="T12" s="69"/>
      <c r="U12" s="69"/>
    </row>
    <row r="13" spans="1:21" x14ac:dyDescent="0.25">
      <c r="A13" s="89"/>
      <c r="B13" s="89"/>
      <c r="C13" s="89" t="s">
        <v>147</v>
      </c>
      <c r="D13" s="89" t="s">
        <v>153</v>
      </c>
      <c r="E13" s="69"/>
      <c r="F13" s="69"/>
      <c r="G13" s="69"/>
      <c r="H13" s="69"/>
      <c r="I13" s="69"/>
      <c r="J13" s="69"/>
      <c r="K13" s="69"/>
      <c r="L13" s="69"/>
      <c r="M13" s="69"/>
      <c r="N13" s="69"/>
      <c r="O13" s="69"/>
      <c r="P13" s="69"/>
      <c r="Q13" s="69"/>
      <c r="R13" s="69"/>
      <c r="S13" s="69"/>
      <c r="T13" s="69"/>
      <c r="U13" s="69"/>
    </row>
    <row r="14" spans="1:21" x14ac:dyDescent="0.25">
      <c r="A14" s="89"/>
      <c r="B14" s="89"/>
      <c r="C14" s="89" t="s">
        <v>149</v>
      </c>
      <c r="D14" s="89" t="s">
        <v>154</v>
      </c>
      <c r="E14" s="69"/>
      <c r="F14" s="69"/>
      <c r="G14" s="69"/>
      <c r="H14" s="69"/>
      <c r="I14" s="69"/>
      <c r="J14" s="69"/>
      <c r="K14" s="69"/>
      <c r="L14" s="69"/>
      <c r="M14" s="69"/>
      <c r="N14" s="69"/>
      <c r="O14" s="69"/>
      <c r="P14" s="69"/>
      <c r="Q14" s="69"/>
      <c r="R14" s="69"/>
      <c r="S14" s="69"/>
      <c r="T14" s="69"/>
      <c r="U14" s="69"/>
    </row>
    <row r="15" spans="1:21" x14ac:dyDescent="0.25">
      <c r="A15" s="89"/>
      <c r="B15" s="89"/>
      <c r="C15" s="89" t="s">
        <v>150</v>
      </c>
      <c r="D15" s="89" t="s">
        <v>155</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88</v>
      </c>
      <c r="C209" s="16" t="s">
        <v>143</v>
      </c>
      <c r="D209" s="19" t="s">
        <v>88</v>
      </c>
      <c r="E209" s="19" t="s">
        <v>143</v>
      </c>
    </row>
    <row r="210" spans="1:8" ht="21" x14ac:dyDescent="0.35">
      <c r="A210" s="69"/>
      <c r="B210" s="17" t="s">
        <v>90</v>
      </c>
      <c r="C210" s="17" t="s">
        <v>58</v>
      </c>
      <c r="D210" t="s">
        <v>90</v>
      </c>
      <c r="F210" t="str">
        <f>IF(NOT(ISBLANK(D210)),D210,IF(NOT(ISBLANK(E210)),"     "&amp;E210,FALSE))</f>
        <v>Afectación Económica o presupuestal</v>
      </c>
      <c r="G210" t="s">
        <v>90</v>
      </c>
      <c r="H210" t="str">
        <f>IF(NOT(ISERROR(MATCH(G210,_xlfn.ANCHORARRAY(B221),0))),F223&amp;"Por favor no seleccionar los criterios de impacto",G210)</f>
        <v>❌Por favor no seleccionar los criterios de impacto</v>
      </c>
    </row>
    <row r="211" spans="1:8" ht="21" x14ac:dyDescent="0.35">
      <c r="A211" s="69"/>
      <c r="B211" s="17" t="s">
        <v>90</v>
      </c>
      <c r="C211" s="17" t="s">
        <v>93</v>
      </c>
      <c r="E211" t="s">
        <v>58</v>
      </c>
      <c r="F211" t="str">
        <f t="shared" ref="F211:F221" si="0">IF(NOT(ISBLANK(D211)),D211,IF(NOT(ISBLANK(E211)),"     "&amp;E211,FALSE))</f>
        <v xml:space="preserve">     Afectación menor a 10 SMLMV .</v>
      </c>
    </row>
    <row r="212" spans="1:8" ht="21" x14ac:dyDescent="0.35">
      <c r="A212" s="69"/>
      <c r="B212" s="17" t="s">
        <v>90</v>
      </c>
      <c r="C212" s="17" t="s">
        <v>94</v>
      </c>
      <c r="E212" t="s">
        <v>93</v>
      </c>
      <c r="F212" t="str">
        <f t="shared" si="0"/>
        <v xml:space="preserve">     Entre 10 y 50 SMLMV </v>
      </c>
    </row>
    <row r="213" spans="1:8" ht="21" x14ac:dyDescent="0.35">
      <c r="A213" s="69"/>
      <c r="B213" s="17" t="s">
        <v>90</v>
      </c>
      <c r="C213" s="17" t="s">
        <v>95</v>
      </c>
      <c r="E213" t="s">
        <v>94</v>
      </c>
      <c r="F213" t="str">
        <f t="shared" si="0"/>
        <v xml:space="preserve">     Entre 50 y 100 SMLMV </v>
      </c>
    </row>
    <row r="214" spans="1:8" ht="21" x14ac:dyDescent="0.35">
      <c r="A214" s="69"/>
      <c r="B214" s="17" t="s">
        <v>90</v>
      </c>
      <c r="C214" s="17" t="s">
        <v>96</v>
      </c>
      <c r="E214" t="s">
        <v>95</v>
      </c>
      <c r="F214" t="str">
        <f t="shared" si="0"/>
        <v xml:space="preserve">     Entre 100 y 500 SMLMV </v>
      </c>
    </row>
    <row r="215" spans="1:8" ht="21" x14ac:dyDescent="0.35">
      <c r="A215" s="69"/>
      <c r="B215" s="17" t="s">
        <v>57</v>
      </c>
      <c r="C215" s="17" t="s">
        <v>97</v>
      </c>
      <c r="E215" t="s">
        <v>96</v>
      </c>
      <c r="F215" t="str">
        <f t="shared" si="0"/>
        <v xml:space="preserve">     Mayor a 500 SMLMV </v>
      </c>
    </row>
    <row r="216" spans="1:8" ht="21" x14ac:dyDescent="0.35">
      <c r="A216" s="69"/>
      <c r="B216" s="17" t="s">
        <v>57</v>
      </c>
      <c r="C216" s="17" t="s">
        <v>98</v>
      </c>
      <c r="D216" t="s">
        <v>57</v>
      </c>
      <c r="F216" t="str">
        <f t="shared" si="0"/>
        <v>Pérdida Reputacional</v>
      </c>
    </row>
    <row r="217" spans="1:8" ht="21" x14ac:dyDescent="0.35">
      <c r="A217" s="69"/>
      <c r="B217" s="17" t="s">
        <v>57</v>
      </c>
      <c r="C217" s="17" t="s">
        <v>100</v>
      </c>
      <c r="E217" t="s">
        <v>97</v>
      </c>
      <c r="F217" t="str">
        <f t="shared" si="0"/>
        <v xml:space="preserve">     El riesgo afecta la imagen de alguna área de la organización</v>
      </c>
    </row>
    <row r="218" spans="1:8" ht="21" x14ac:dyDescent="0.35">
      <c r="A218" s="69"/>
      <c r="B218" s="17" t="s">
        <v>57</v>
      </c>
      <c r="C218" s="17" t="s">
        <v>99</v>
      </c>
      <c r="E218" t="s">
        <v>220</v>
      </c>
      <c r="F218" t="str">
        <f t="shared" si="0"/>
        <v xml:space="preserve">     El riesgo afecta la imagen de la entidad internamente, de conocimiento general, nivel interno, mesa directiva y/o de provedores</v>
      </c>
    </row>
    <row r="219" spans="1:8" ht="21" x14ac:dyDescent="0.35">
      <c r="A219" s="69"/>
      <c r="B219" s="17" t="s">
        <v>57</v>
      </c>
      <c r="C219" s="17" t="s">
        <v>118</v>
      </c>
      <c r="E219" t="s">
        <v>100</v>
      </c>
      <c r="F219" t="str">
        <f t="shared" si="0"/>
        <v xml:space="preserve">     El riesgo afecta la imagen de la entidad con algunos usuarios de relevancia frente al logro de los objetivos</v>
      </c>
    </row>
    <row r="220" spans="1:8" x14ac:dyDescent="0.25">
      <c r="A220" s="69"/>
      <c r="B220" s="18"/>
      <c r="C220" s="18"/>
      <c r="E220" t="s">
        <v>99</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118</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145</v>
      </c>
    </row>
    <row r="224" spans="1:8" x14ac:dyDescent="0.25">
      <c r="B224" s="14"/>
      <c r="C224" s="14"/>
      <c r="F224" s="21" t="s">
        <v>146</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B1:F16"/>
  <sheetViews>
    <sheetView workbookViewId="0">
      <selection activeCell="B1" sqref="B1:F1"/>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421" t="s">
        <v>78</v>
      </c>
      <c r="C1" s="422"/>
      <c r="D1" s="422"/>
      <c r="E1" s="422"/>
      <c r="F1" s="423"/>
    </row>
    <row r="2" spans="2:6" ht="16.5" thickBot="1" x14ac:dyDescent="0.3">
      <c r="B2" s="75"/>
      <c r="C2" s="75"/>
      <c r="D2" s="75"/>
      <c r="E2" s="75"/>
      <c r="F2" s="75"/>
    </row>
    <row r="3" spans="2:6" ht="16.5" thickBot="1" x14ac:dyDescent="0.25">
      <c r="B3" s="425" t="s">
        <v>64</v>
      </c>
      <c r="C3" s="426"/>
      <c r="D3" s="426"/>
      <c r="E3" s="87" t="s">
        <v>65</v>
      </c>
      <c r="F3" s="88" t="s">
        <v>66</v>
      </c>
    </row>
    <row r="4" spans="2:6" ht="31.5" x14ac:dyDescent="0.2">
      <c r="B4" s="427" t="s">
        <v>67</v>
      </c>
      <c r="C4" s="429" t="s">
        <v>13</v>
      </c>
      <c r="D4" s="76" t="s">
        <v>14</v>
      </c>
      <c r="E4" s="77" t="s">
        <v>68</v>
      </c>
      <c r="F4" s="78">
        <v>0.25</v>
      </c>
    </row>
    <row r="5" spans="2:6" ht="47.25" x14ac:dyDescent="0.2">
      <c r="B5" s="428"/>
      <c r="C5" s="430"/>
      <c r="D5" s="79" t="s">
        <v>15</v>
      </c>
      <c r="E5" s="80" t="s">
        <v>69</v>
      </c>
      <c r="F5" s="81">
        <v>0.15</v>
      </c>
    </row>
    <row r="6" spans="2:6" ht="47.25" x14ac:dyDescent="0.2">
      <c r="B6" s="428"/>
      <c r="C6" s="430"/>
      <c r="D6" s="79" t="s">
        <v>16</v>
      </c>
      <c r="E6" s="80" t="s">
        <v>70</v>
      </c>
      <c r="F6" s="81">
        <v>0.1</v>
      </c>
    </row>
    <row r="7" spans="2:6" ht="63" x14ac:dyDescent="0.2">
      <c r="B7" s="428"/>
      <c r="C7" s="430" t="s">
        <v>17</v>
      </c>
      <c r="D7" s="79" t="s">
        <v>10</v>
      </c>
      <c r="E7" s="80" t="s">
        <v>71</v>
      </c>
      <c r="F7" s="81">
        <v>0.25</v>
      </c>
    </row>
    <row r="8" spans="2:6" ht="31.5" x14ac:dyDescent="0.2">
      <c r="B8" s="428"/>
      <c r="C8" s="430"/>
      <c r="D8" s="79" t="s">
        <v>9</v>
      </c>
      <c r="E8" s="80" t="s">
        <v>72</v>
      </c>
      <c r="F8" s="81">
        <v>0.15</v>
      </c>
    </row>
    <row r="9" spans="2:6" ht="47.25" x14ac:dyDescent="0.2">
      <c r="B9" s="428" t="s">
        <v>160</v>
      </c>
      <c r="C9" s="430" t="s">
        <v>18</v>
      </c>
      <c r="D9" s="79" t="s">
        <v>19</v>
      </c>
      <c r="E9" s="80" t="s">
        <v>73</v>
      </c>
      <c r="F9" s="82" t="s">
        <v>74</v>
      </c>
    </row>
    <row r="10" spans="2:6" ht="63" x14ac:dyDescent="0.2">
      <c r="B10" s="428"/>
      <c r="C10" s="430"/>
      <c r="D10" s="79" t="s">
        <v>20</v>
      </c>
      <c r="E10" s="80" t="s">
        <v>75</v>
      </c>
      <c r="F10" s="82" t="s">
        <v>74</v>
      </c>
    </row>
    <row r="11" spans="2:6" ht="47.25" x14ac:dyDescent="0.2">
      <c r="B11" s="428"/>
      <c r="C11" s="430" t="s">
        <v>21</v>
      </c>
      <c r="D11" s="79" t="s">
        <v>22</v>
      </c>
      <c r="E11" s="80" t="s">
        <v>76</v>
      </c>
      <c r="F11" s="82" t="s">
        <v>74</v>
      </c>
    </row>
    <row r="12" spans="2:6" ht="47.25" x14ac:dyDescent="0.2">
      <c r="B12" s="428"/>
      <c r="C12" s="430"/>
      <c r="D12" s="79" t="s">
        <v>23</v>
      </c>
      <c r="E12" s="80" t="s">
        <v>77</v>
      </c>
      <c r="F12" s="82" t="s">
        <v>74</v>
      </c>
    </row>
    <row r="13" spans="2:6" ht="31.5" x14ac:dyDescent="0.2">
      <c r="B13" s="428"/>
      <c r="C13" s="430" t="s">
        <v>24</v>
      </c>
      <c r="D13" s="79" t="s">
        <v>119</v>
      </c>
      <c r="E13" s="80" t="s">
        <v>122</v>
      </c>
      <c r="F13" s="82" t="s">
        <v>74</v>
      </c>
    </row>
    <row r="14" spans="2:6" ht="32.25" thickBot="1" x14ac:dyDescent="0.25">
      <c r="B14" s="431"/>
      <c r="C14" s="432"/>
      <c r="D14" s="83" t="s">
        <v>120</v>
      </c>
      <c r="E14" s="84" t="s">
        <v>121</v>
      </c>
      <c r="F14" s="85" t="s">
        <v>74</v>
      </c>
    </row>
    <row r="15" spans="2:6" ht="49.5" customHeight="1" x14ac:dyDescent="0.2">
      <c r="B15" s="424" t="s">
        <v>157</v>
      </c>
      <c r="C15" s="424"/>
      <c r="D15" s="424"/>
      <c r="E15" s="424"/>
      <c r="F15" s="424"/>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9"/>
  <sheetViews>
    <sheetView topLeftCell="A4" workbookViewId="0">
      <selection activeCell="B13" sqref="B13:B19"/>
    </sheetView>
  </sheetViews>
  <sheetFormatPr baseColWidth="10" defaultRowHeight="15" x14ac:dyDescent="0.25"/>
  <sheetData>
    <row r="2" spans="2:5" x14ac:dyDescent="0.25">
      <c r="B2" t="s">
        <v>31</v>
      </c>
      <c r="E2" t="s">
        <v>132</v>
      </c>
    </row>
    <row r="3" spans="2:5" x14ac:dyDescent="0.25">
      <c r="B3" t="s">
        <v>32</v>
      </c>
      <c r="E3" t="s">
        <v>131</v>
      </c>
    </row>
    <row r="4" spans="2:5" x14ac:dyDescent="0.25">
      <c r="B4" t="s">
        <v>136</v>
      </c>
      <c r="E4" t="s">
        <v>133</v>
      </c>
    </row>
    <row r="5" spans="2:5" x14ac:dyDescent="0.25">
      <c r="B5" t="s">
        <v>135</v>
      </c>
    </row>
    <row r="8" spans="2:5" x14ac:dyDescent="0.25">
      <c r="B8" t="s">
        <v>86</v>
      </c>
    </row>
    <row r="9" spans="2:5" x14ac:dyDescent="0.25">
      <c r="B9" t="s">
        <v>40</v>
      </c>
    </row>
    <row r="10" spans="2:5" x14ac:dyDescent="0.25">
      <c r="B10" t="s">
        <v>41</v>
      </c>
    </row>
    <row r="13" spans="2:5" x14ac:dyDescent="0.25">
      <c r="B13" t="s">
        <v>129</v>
      </c>
    </row>
    <row r="14" spans="2:5" x14ac:dyDescent="0.25">
      <c r="B14" t="s">
        <v>123</v>
      </c>
    </row>
    <row r="15" spans="2:5" x14ac:dyDescent="0.25">
      <c r="B15" t="s">
        <v>126</v>
      </c>
    </row>
    <row r="16" spans="2:5" x14ac:dyDescent="0.25">
      <c r="B16" t="s">
        <v>124</v>
      </c>
    </row>
    <row r="17" spans="2:2" x14ac:dyDescent="0.25">
      <c r="B17" t="s">
        <v>125</v>
      </c>
    </row>
    <row r="18" spans="2:2" x14ac:dyDescent="0.25">
      <c r="B18" t="s">
        <v>127</v>
      </c>
    </row>
    <row r="19" spans="2:2" x14ac:dyDescent="0.25">
      <c r="B19" t="s">
        <v>128</v>
      </c>
    </row>
  </sheetData>
  <sortState xmlns:xlrd2="http://schemas.microsoft.com/office/spreadsheetml/2017/richdata2" ref="B2:B5">
    <sortCondition ref="B2:B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40</v>
      </c>
    </row>
    <row r="21" spans="1:1" x14ac:dyDescent="0.2">
      <c r="A21"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2025-09-09T14:36:52Z</cp:lastPrinted>
  <dcterms:created xsi:type="dcterms:W3CDTF">2020-03-24T23:12:47Z</dcterms:created>
  <dcterms:modified xsi:type="dcterms:W3CDTF">2026-02-26T19:38:28Z</dcterms:modified>
</cp:coreProperties>
</file>