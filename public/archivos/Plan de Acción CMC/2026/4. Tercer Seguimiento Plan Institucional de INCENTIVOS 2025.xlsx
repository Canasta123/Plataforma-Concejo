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30.30.30.51\compartida\SGC CONCEJO CHIA 2025\12. Seguimiento Planes Institucionales 2025\Tercer seguimiento 2025\4. TALENTO HUMANO SEG #3\"/>
    </mc:Choice>
  </mc:AlternateContent>
  <xr:revisionPtr revIDLastSave="0" documentId="13_ncr:1_{93F3B93A-7999-4FA5-AC23-529A141BF940}" xr6:coauthVersionLast="47" xr6:coauthVersionMax="47" xr10:uidLastSave="{00000000-0000-0000-0000-000000000000}"/>
  <bookViews>
    <workbookView xWindow="-120" yWindow="-120" windowWidth="20730" windowHeight="11310" xr2:uid="{52F5AEC6-40BC-4E78-BB70-377646B341C2}"/>
  </bookViews>
  <sheets>
    <sheet name="Plan de Incentivos 2025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" i="3" l="1"/>
</calcChain>
</file>

<file path=xl/sharedStrings.xml><?xml version="1.0" encoding="utf-8"?>
<sst xmlns="http://schemas.openxmlformats.org/spreadsheetml/2006/main" count="275" uniqueCount="151">
  <si>
    <t>SISTEMA DE GESTIÓN DE CALIDAD</t>
  </si>
  <si>
    <t>DIRECCIONAMIENTO ESTRATÉGICO</t>
  </si>
  <si>
    <t>VERSIÓN: 02</t>
  </si>
  <si>
    <t>PROGRAMA</t>
  </si>
  <si>
    <t>PROYECTO</t>
  </si>
  <si>
    <t>ACTIVIDAD</t>
  </si>
  <si>
    <t>INDICADOR</t>
  </si>
  <si>
    <t>RESPONSABLES</t>
  </si>
  <si>
    <t>PLAZO</t>
  </si>
  <si>
    <t xml:space="preserve">I CUATRIMESTRE </t>
  </si>
  <si>
    <t xml:space="preserve">II CUATRIMESTRE </t>
  </si>
  <si>
    <t xml:space="preserve">III  CUATRIMESTRE </t>
  </si>
  <si>
    <t>AVANCE</t>
  </si>
  <si>
    <t>CUMPLIMIENTO PROCESO I CUATRIM</t>
  </si>
  <si>
    <t>OBSERVACIONES</t>
  </si>
  <si>
    <t>Enero</t>
  </si>
  <si>
    <t>Febrero</t>
  </si>
  <si>
    <t>Abril</t>
  </si>
  <si>
    <t>Marzo</t>
  </si>
  <si>
    <t>Mayo</t>
  </si>
  <si>
    <t>Octubre</t>
  </si>
  <si>
    <t>AREA DE TALENTO HUMANO PLAN INSTITUCIONAL DE INCENTIVOS</t>
  </si>
  <si>
    <t>AREA DE CALIDAD DE VIDA LABORAL</t>
  </si>
  <si>
    <t>1 Documento elaborado.</t>
  </si>
  <si>
    <r>
      <t xml:space="preserve">TALENTO HUMANO   </t>
    </r>
    <r>
      <rPr>
        <sz val="9"/>
        <color rgb="FF000000"/>
        <rFont val="Arial"/>
        <family val="2"/>
      </rPr>
      <t>NELCY DIAZ VASQUEZ</t>
    </r>
  </si>
  <si>
    <t>Reconocimiento por cumpleaños: día compensatorio, remisión de tarjeta individual de cumpleaños.</t>
  </si>
  <si>
    <t>Reconocimiento  y compensatorio concedido a cada funcionario de acuerdo a la fecha de cumpleaños de cada uno.</t>
  </si>
  <si>
    <t>12 meses</t>
  </si>
  <si>
    <t>Conmemoración día del periodista.</t>
  </si>
  <si>
    <t>1 Conmemoracion celebrada para los funcionarios del Concejo.</t>
  </si>
  <si>
    <t>Conmemoración día del Contador.</t>
  </si>
  <si>
    <t>Conmemoración Día de la Mujer</t>
  </si>
  <si>
    <t>1 Conmmemoracion celebrada para las funcionarias del Concejo.</t>
  </si>
  <si>
    <t>Conmemoración día del Hombre.</t>
  </si>
  <si>
    <t>Conmemoración Día del Bibliotecario</t>
  </si>
  <si>
    <t>Descanso compensado correspondiente a semena santa</t>
  </si>
  <si>
    <t>Descanso tomado por los funcionarios del Concejo Municipal.</t>
  </si>
  <si>
    <t>Conmemoracion Día de la Secretaria</t>
  </si>
  <si>
    <t>1 Conmemoracion celebrada para los funcionarios correspondientes del Concejo.</t>
  </si>
  <si>
    <t>1 Jornada Familiar realizada para los funcionarios del Concejo Municipal.</t>
  </si>
  <si>
    <t>Conmemoracion Dia de la Madre.</t>
  </si>
  <si>
    <t>1 Conmemoracion celebrada para las funcionarias del Concejo que son madres.</t>
  </si>
  <si>
    <t>Conmemoración Día de la Ingeniero</t>
  </si>
  <si>
    <t xml:space="preserve">1 Conmemoracion celebrada para los funcionarios con este perfil. </t>
  </si>
  <si>
    <t>Conmemoración día del Abogado</t>
  </si>
  <si>
    <t>Junio</t>
  </si>
  <si>
    <t>Conmemoración día del Padre</t>
  </si>
  <si>
    <t>Conmemoración día del servidor público - Decreto 2865 de 2013</t>
  </si>
  <si>
    <t>Segunda Jornada Familiar - ley 1857 del 26 de julio 2017</t>
  </si>
  <si>
    <t>1 Segunda jornada Familiar realizada para los funcionarios del Concejo Municipal.</t>
  </si>
  <si>
    <t>Agosto</t>
  </si>
  <si>
    <t>Conmemoración Día de Halloween - Día Dulce</t>
  </si>
  <si>
    <t>Conmemoración Navidad</t>
  </si>
  <si>
    <t>Diciembre</t>
  </si>
  <si>
    <t>FERIA DE SERVICIOS</t>
  </si>
  <si>
    <t>Feria de Vivienda</t>
  </si>
  <si>
    <t>1 Feria de Vivienda realizada para los funcionarios del Concejo.</t>
  </si>
  <si>
    <t>Feria de emprendimiento funcionarios</t>
  </si>
  <si>
    <t>1 Feria de emprendimiento realizada para los funcionarios del Concejo Municipal.</t>
  </si>
  <si>
    <t>TALLERES Y CAMPAÑAS DE DIFUCION</t>
  </si>
  <si>
    <t>Dibulgacion de fechas especiales.</t>
  </si>
  <si>
    <t>(Numero de dibulgaciones  / numero de fechas especiales) *100</t>
  </si>
  <si>
    <t>Divulgación Código de Integridad -Conflicto de intereses</t>
  </si>
  <si>
    <t>1 Codigo de integridad - Conflicto de intereses dibulgado.</t>
  </si>
  <si>
    <t xml:space="preserve">Taller de liderazgo </t>
  </si>
  <si>
    <t>1 Taller de liderazgo desarrollado con los funcionarios del concejo municipal.</t>
  </si>
  <si>
    <t>Taller de Trabajo en equipo</t>
  </si>
  <si>
    <t>1 Taller de trabajo en equipo desarrollado con los funcionarios del concejo municipal.</t>
  </si>
  <si>
    <t>Taller de comunicación asertiva.</t>
  </si>
  <si>
    <t>1 Taller de comunicación asertiva desarrollado con los funcionarios del concejo municipal.</t>
  </si>
  <si>
    <t>octubre</t>
  </si>
  <si>
    <t>ACTIVIDADES DEPORTIVAS</t>
  </si>
  <si>
    <t>Voleibol</t>
  </si>
  <si>
    <t>Bolirana</t>
  </si>
  <si>
    <t>Futbol</t>
  </si>
  <si>
    <t>Septiembre</t>
  </si>
  <si>
    <t>CLIMA ORGANIZACIONAL</t>
  </si>
  <si>
    <t>Aplicación Cuestionario clima organizacional</t>
  </si>
  <si>
    <t>Socialización de resultados</t>
  </si>
  <si>
    <t>JORNADA DE SALUD</t>
  </si>
  <si>
    <t xml:space="preserve">Día de la salud, alianza con secretaria de salud Chía, con la participación de los funcionarios </t>
  </si>
  <si>
    <t>Jornada Saludable Mascotas</t>
  </si>
  <si>
    <t>Clases de aeróbicos- Rumba</t>
  </si>
  <si>
    <t>PLANES INCENTIVOS</t>
  </si>
  <si>
    <t>Mejores servidores de carrera administrativa y libre nombramiento y remoción</t>
  </si>
  <si>
    <t>Otorgar un día compensatorio a los funcionarios que cumplan 5 años de servicio en la corporación, 2 días a quienes cumplan 10 años y 3 días a quienes cumplan 15 años laborando para el Concejo Municipal de Chía,</t>
  </si>
  <si>
    <t>Otorgar permiso remunerado para asistir a la ceremonia por Graduación Académica (hijos, cónyuge, funcionario)</t>
  </si>
  <si>
    <t>Fecha de graduación</t>
  </si>
  <si>
    <t>Difundir información relacionada al Código de Integridad, como se indica en el Modelo Integrado de Planeación y Gestión – MIPG, enmarcado en la ruta del crecimiento, los deberes y las responsabilidades de los servidores públicos, para fortalecer e interiorizar los valores y medir la percepción de la implementación del Código de Integridad, se realizará mediante correos electrónicos u otras estrategias.</t>
  </si>
  <si>
    <t>La corporación Concejo Municipal de Chía a través de la Dirección Administrativa y financiera y el área de Talento Humano gestionará con la Caja de Compensación la consecución de detalles para los funcionarios.</t>
  </si>
  <si>
    <t>Otorgar medio día de compensatorio (al mes) a los funcionarios que utilizan  frecuentemente la bicicleta para el desplazamiento desde sus hogares al sitio de trabajo.</t>
  </si>
  <si>
    <t>Feria presencial que permita acceder a bienes y servicios de la Caja de compensación. Ofreciendo descuentos especiales para los afiliados.</t>
  </si>
  <si>
    <t>Se elabora el plan incentivos institucionales ,  aprobado  por el comité institucional de evaluación y desempeño y publicado en la pagina web</t>
  </si>
  <si>
    <t>se  da  el dia compensatorio funcionarios  que lo solicitan ,  se  genera tarjeta de cumpleaños, se realiza celebración al final  de mes  a todos funcionarios y contratistas, que  cumplieron en ese mes</t>
  </si>
  <si>
    <t xml:space="preserve">Se genera  tarjeta de felicitación </t>
  </si>
  <si>
    <t>Se realizo evento para la celebracíon  dia  de la mujer</t>
  </si>
  <si>
    <t xml:space="preserve">Se realizo evento para la celebracíon  dia  de la hombre </t>
  </si>
  <si>
    <t>se realiza tarjeta de felicitaciones</t>
  </si>
  <si>
    <t>se genera tarjeta de felicitación</t>
  </si>
  <si>
    <t xml:space="preserve"> Se concede  descanso compensado en semana santa según resolución  resolición 034 de 20 marzo 2025  y resolución 039 de 2025 10 de abril 2025</t>
  </si>
  <si>
    <t xml:space="preserve">Se concede dia de la familia  según resolución resolución  resolición 034 de 20 marzo 2025    </t>
  </si>
  <si>
    <t>se generan  tarjetas felicitaciones</t>
  </si>
  <si>
    <t>Se realiza charla comunicación asertiva dirigido a los funcionarios y contratista el día 12/03/2025  y taller  comunicación  resolución de confictos  el dia 04/04/2025 dirigido  por la Dra Carolina Martinez Psicologa</t>
  </si>
  <si>
    <t xml:space="preserve">Se realiza taller trabajo en equipo a dirigido a los funcionarios y contratista el día 12/02/2025 </t>
  </si>
  <si>
    <t>Se realiza taller Liderazgo dirigido a los jefes de area  el día 21 /04/2025</t>
  </si>
  <si>
    <t>Se realizó aerobicos y rumbo terapias 04/03/2025 y 21/03/2025</t>
  </si>
  <si>
    <t>Se genero Resolución  esta en verificación y aprobación por parte area juridica y dirección administrativa</t>
  </si>
  <si>
    <t>33.33.%</t>
  </si>
  <si>
    <t>Se realiza sensibilización valores del codigo de integridad en el taller de inducción y reinduccion realizado el 28/02/2025 , pendiente actualización codigo de intregridad incluyendo  Coflicto de intereses pendiente revisión, aprobación y soicialización</t>
  </si>
  <si>
    <t>MATRIZ DE SEGUIMIENTO A PLANES INSTITUCIONALES</t>
  </si>
  <si>
    <t>FECHA:  23-04-2025</t>
  </si>
  <si>
    <t>PAGINA 1 DE 1</t>
  </si>
  <si>
    <t>se genera tarjeta de felicitacion, la cual se publica en el grupo de whatsapp</t>
  </si>
  <si>
    <t xml:space="preserve">Se realiza celebracion al final del mes a todos los funcionarios y contratistas, que cumplieron en este mes  </t>
  </si>
  <si>
    <t>1 Elaboracion Documento del Plan de Incentivos</t>
  </si>
  <si>
    <t xml:space="preserve"> </t>
  </si>
  <si>
    <t xml:space="preserve">se realizo evento el dia 9 de mayo, en compañía de los funcionarios  de la corporacion.      </t>
  </si>
  <si>
    <t xml:space="preserve">Se genera espacio en donde se celebra el dia del padre, se entrega obsequio </t>
  </si>
  <si>
    <t>En alianza con la caja de compensacion Compensar se entrega obsequio por el dia del servidor publico</t>
  </si>
  <si>
    <t xml:space="preserve">Se realiza sensibilización valores del codigo de integridad en el taller de inducción y reinduccion realizado el 28/02/2025 , pendiente actualización codigo de intregridad incluyendo  Conflicto de intereses pendiente revisión y aprobación </t>
  </si>
  <si>
    <t xml:space="preserve">se generan tarjetas de felicitaciones </t>
  </si>
  <si>
    <t>se realiza taller fortaleciendo a funcionarios  y contratistas de trabajo en equipo en nuestra corporacion por medio de actividad juego de roles.  El  dia  14 de agosto  2025</t>
  </si>
  <si>
    <t xml:space="preserve">Se realiza feria de servicios  y emprendimientos  el dia 11 de julio de 2025  </t>
  </si>
  <si>
    <t>se programa para el mes de 23 mayo 2025  por cruces de actividades</t>
  </si>
  <si>
    <t>Se genera encuesta "calidad  de vida " a funcionarios  y contratistas  en alianza con la caja  de compensacion familiar compensar durante los dias  9 de abril y 2 de mayo</t>
  </si>
  <si>
    <t xml:space="preserve">Se realiza la socializacion de resultados  de la bateria de riesgos aplicada en el  mes de diciembre del  año 2024, el  dia 18 de julio  a las areas de secretaria general y juridica y el dia 8 de agosto al area A y F. </t>
  </si>
  <si>
    <t xml:space="preserve">Se da, día compensatorio a funcionario graduado  Eslendy Gualtero de la Corporacion, el  dia 15 de agosto 2025 </t>
  </si>
  <si>
    <t>se gestiono ante la caja compensación compensar  detalle  para dia del genero y unos  pasadia  para  funcionarios  de la corporacion los cuales  fueron  de mutuo acuerdo  quienes iban a ir</t>
  </si>
  <si>
    <t>Se realiza divulgacion de invitacion a  actividades de la caja como Marketing mix, charlas.</t>
  </si>
  <si>
    <t>se realizo  con la caja de compensación un plan de trabajo  para la vigencia 2025 y  con la socialización del portafolio compensar el dia 20/02/2025</t>
  </si>
  <si>
    <t xml:space="preserve">Durante la feria de servicios programada para el mes de julio , la caja de compensacion familiar fue uno de los  entes privados, generando espacios  para que los  funcionarios dieran respuestas a sus dudas </t>
  </si>
  <si>
    <t>Actividad cumplida al 100% en el primer cuatrimestre</t>
  </si>
  <si>
    <t>pendiente por programar con el v.b. de la mesa dierectiva</t>
  </si>
  <si>
    <t>actividad programada para el tercer cuatrimestre</t>
  </si>
  <si>
    <t>se realizo feria del servicio el 11 de julio dirigido a funcionarios y contratistas</t>
  </si>
  <si>
    <t>Se realizo fortalecimiento de liderazgo Se realizo 3 juliode 2025  para funcionarios y contratistas dirigida por los profesional de Bienestar</t>
  </si>
  <si>
    <t>Se desarrolla la actividad recreodeportiva el 23 de mayo  establecidad con anterioridad, llevando a cabo el torneo con total cumplimiento</t>
  </si>
  <si>
    <t xml:space="preserve">Se desarrolla la actividad recreodeportiva en la fecha 35 de julio, llevando a cabo el torneo con total cumplimiento. </t>
  </si>
  <si>
    <t>Actidad se realizo con anticipación el dia 16 de mayo 2026</t>
  </si>
  <si>
    <t>Se realizó aerobicos y rumbo terapias 27/08/2025</t>
  </si>
  <si>
    <t>Se realizo actividad el 30 de octubre donde participaron funcionarios  con sus  hijos, tambien se les dio medio dia  a los funcioanrios con hijos menores de 15 años el  dia 31 de octubre.</t>
  </si>
  <si>
    <r>
      <t xml:space="preserve">Se realiza sensibilización  del codigo de integridad  durante las diferentes actividades realizadas  por el  area de bienestar, se hace envio de pdf en cual incluye principios y valores, se genero acto administrativo RESOLUCIÓN No. 072 DE 2025
(01 de Agosto)
"POR MEDIO DE LA CUAL SE ADOPTA EL CÓDIGO DE INTEGRIDAD DEL SERVIDOR
PÚBLICO Y EL BUEN GOBIERNO DEL CONCEJO MUNICIPAL DE CHÍA, SE DEROGA LA
RESOLUCIÓN No. 045 DE 2022 Y SE DICTAN OTRAS DISPOSICIONES"  </t>
    </r>
    <r>
      <rPr>
        <sz val="8"/>
        <rFont val="Arial"/>
        <family val="2"/>
      </rPr>
      <t>SOCIALIZADO EL 17 SEPTIEMBRE 2025 Y FIRMA DE ACTA DE COMPROMISO DE INTEGRIDAD Y BUEN GOBIERNO</t>
    </r>
  </si>
  <si>
    <t>Se participo en torneo interadministrativo en el mes de octubre</t>
  </si>
  <si>
    <t xml:space="preserve">Se realizo semana de la salud  desde el 29 sep al 3 octubre con diferentes actividades </t>
  </si>
  <si>
    <t xml:space="preserve">Se dio reconocimiento a los  funcionarios y contratistas el 26 de septiemble </t>
  </si>
  <si>
    <t>Se realiza sensibilización  del codigo de integridad  durante las diferentes actividades realizadas  por el  area de bienestar, se hace envio de pdf en cual incluye principios y valores, se genero acto administrativo RESOLUCIÓN No. 072 DE 2025
(01 de Agosto)
"POR MEDIO DE LA CUAL SE ADOPTA EL CÓDIGO DE INTEGRIDAD DEL SERVIDOR
PÚBLICO Y EL BUEN GOBIERNO DEL CONCEJO MUNICIPAL DE CHÍA, SE DEROGA LA
RESOLUCIÓN No. 045 DE 2022 Y SE DICTAN OTRAS DISPOSICIONES"  SOCIALIZADO EL 17 SEPTIEMBRE 2025 Y FIRMA DE ACTA DE COMPROMISO DE INTEGRIDAD Y BUEN GOBIERNO</t>
  </si>
  <si>
    <t>se genero acto administrativo Resolución 089 de 2025, del 03 de octubre, “Por medio de la cual se reglamenta el incentivo por el uso de la bicicleta o patineta eléctrica como medio de transporte hacia el lugar de trabajo para los funcionarios públicos del Concejo Municipal de Chía, y se dictan otras disposiciones”.</t>
  </si>
  <si>
    <t>Actividad cumplida al 100% en el tercer cuatrimestre</t>
  </si>
  <si>
    <t>Actividad cumplida al 100% en el segundo cuatrimestre</t>
  </si>
  <si>
    <t>Actividad cumplida al 100% en el  segundo cuatrimestre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</si>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</sst>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color theme="1"/>
      <name val="Bookman Old Style"/>
      <family val="1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sz val="9"/>
      <color rgb="FF00000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1">
    <xf numFmtId="0" fontId="0" fillId="0" borderId="0" xfId="0"/>
    <xf numFmtId="0" fontId="3" fillId="0" borderId="0" xfId="0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8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justify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8" fillId="0" borderId="17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justify" vertical="center" wrapText="1"/>
    </xf>
    <xf numFmtId="0" fontId="0" fillId="0" borderId="17" xfId="0" applyBorder="1" applyAlignment="1">
      <alignment horizontal="left" vertical="center"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horizontal="left" vertical="center" wrapText="1"/>
    </xf>
    <xf numFmtId="10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2" borderId="4" xfId="0" applyFont="1" applyFill="1" applyBorder="1" applyAlignment="1">
      <alignment horizontal="justify" vertical="center" wrapText="1"/>
    </xf>
    <xf numFmtId="0" fontId="11" fillId="2" borderId="4" xfId="0" applyFont="1" applyFill="1" applyBorder="1" applyAlignment="1">
      <alignment horizontal="justify" vertical="center"/>
    </xf>
    <xf numFmtId="0" fontId="8" fillId="2" borderId="4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10" fontId="6" fillId="0" borderId="0" xfId="0" applyNumberFormat="1" applyFont="1" applyAlignment="1">
      <alignment horizontal="center" vertical="center"/>
    </xf>
    <xf numFmtId="0" fontId="8" fillId="0" borderId="17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10" fontId="13" fillId="0" borderId="9" xfId="0" applyNumberFormat="1" applyFont="1" applyBorder="1" applyAlignment="1">
      <alignment horizontal="center" vertical="center" wrapText="1"/>
    </xf>
    <xf numFmtId="10" fontId="1" fillId="0" borderId="18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0" fontId="12" fillId="0" borderId="19" xfId="0" applyNumberFormat="1" applyFont="1" applyBorder="1" applyAlignment="1">
      <alignment horizontal="left" vertical="center" wrapText="1"/>
    </xf>
    <xf numFmtId="10" fontId="12" fillId="0" borderId="1" xfId="0" applyNumberFormat="1" applyFont="1" applyBorder="1" applyAlignment="1">
      <alignment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10" fontId="12" fillId="0" borderId="9" xfId="0" applyNumberFormat="1" applyFont="1" applyBorder="1" applyAlignment="1">
      <alignment horizontal="left" vertical="center" wrapText="1"/>
    </xf>
    <xf numFmtId="10" fontId="12" fillId="0" borderId="21" xfId="0" applyNumberFormat="1" applyFont="1" applyBorder="1" applyAlignment="1">
      <alignment horizontal="left" vertical="center" wrapText="1"/>
    </xf>
    <xf numFmtId="10" fontId="12" fillId="0" borderId="1" xfId="0" applyNumberFormat="1" applyFont="1" applyBorder="1" applyAlignment="1">
      <alignment horizontal="left" vertical="center" wrapText="1"/>
    </xf>
    <xf numFmtId="0" fontId="4" fillId="0" borderId="0" xfId="1" applyFont="1" applyAlignment="1">
      <alignment vertical="center"/>
    </xf>
    <xf numFmtId="10" fontId="15" fillId="0" borderId="21" xfId="0" applyNumberFormat="1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10" fontId="17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10" fontId="1" fillId="4" borderId="10" xfId="0" applyNumberFormat="1" applyFont="1" applyFill="1" applyBorder="1" applyAlignment="1">
      <alignment horizontal="center" vertical="center" wrapText="1"/>
    </xf>
    <xf numFmtId="10" fontId="1" fillId="4" borderId="1" xfId="0" applyNumberFormat="1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left" vertical="center" wrapText="1"/>
    </xf>
    <xf numFmtId="10" fontId="1" fillId="4" borderId="18" xfId="0" applyNumberFormat="1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left" vertical="center" wrapText="1"/>
    </xf>
    <xf numFmtId="10" fontId="1" fillId="5" borderId="18" xfId="0" applyNumberFormat="1" applyFont="1" applyFill="1" applyBorder="1" applyAlignment="1">
      <alignment horizontal="center" vertical="center" wrapText="1"/>
    </xf>
    <xf numFmtId="10" fontId="1" fillId="5" borderId="1" xfId="0" applyNumberFormat="1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justify" vertical="center"/>
    </xf>
    <xf numFmtId="0" fontId="1" fillId="2" borderId="10" xfId="0" applyFont="1" applyFill="1" applyBorder="1" applyAlignment="1">
      <alignment horizontal="left" vertical="center" wrapText="1"/>
    </xf>
    <xf numFmtId="10" fontId="1" fillId="2" borderId="18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10" fontId="1" fillId="6" borderId="10" xfId="0" applyNumberFormat="1" applyFont="1" applyFill="1" applyBorder="1" applyAlignment="1">
      <alignment horizontal="center" vertical="center" wrapText="1"/>
    </xf>
    <xf numFmtId="10" fontId="1" fillId="6" borderId="1" xfId="0" applyNumberFormat="1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left" vertical="center" wrapText="1"/>
    </xf>
    <xf numFmtId="10" fontId="1" fillId="6" borderId="18" xfId="0" applyNumberFormat="1" applyFont="1" applyFill="1" applyBorder="1" applyAlignment="1">
      <alignment horizontal="center" vertical="center" wrapText="1"/>
    </xf>
    <xf numFmtId="10" fontId="12" fillId="4" borderId="18" xfId="0" applyNumberFormat="1" applyFont="1" applyFill="1" applyBorder="1" applyAlignment="1">
      <alignment horizontal="center" vertical="center" wrapText="1"/>
    </xf>
    <xf numFmtId="10" fontId="14" fillId="0" borderId="0" xfId="0" applyNumberFormat="1" applyFont="1" applyAlignment="1">
      <alignment vertical="center"/>
    </xf>
    <xf numFmtId="10" fontId="12" fillId="0" borderId="19" xfId="0" applyNumberFormat="1" applyFont="1" applyBorder="1" applyAlignment="1">
      <alignment horizontal="center" vertical="center" wrapText="1"/>
    </xf>
    <xf numFmtId="10" fontId="12" fillId="2" borderId="19" xfId="0" applyNumberFormat="1" applyFont="1" applyFill="1" applyBorder="1" applyAlignment="1">
      <alignment horizontal="center" vertical="center" wrapText="1"/>
    </xf>
    <xf numFmtId="10" fontId="12" fillId="2" borderId="1" xfId="0" applyNumberFormat="1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left" vertical="center" wrapText="1"/>
    </xf>
    <xf numFmtId="10" fontId="12" fillId="2" borderId="9" xfId="0" applyNumberFormat="1" applyFont="1" applyFill="1" applyBorder="1" applyAlignment="1">
      <alignment horizontal="center" vertical="center" wrapText="1"/>
    </xf>
    <xf numFmtId="10" fontId="12" fillId="2" borderId="21" xfId="0" applyNumberFormat="1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left" vertical="center" wrapText="1"/>
    </xf>
    <xf numFmtId="10" fontId="13" fillId="2" borderId="9" xfId="0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/>
    </xf>
    <xf numFmtId="0" fontId="15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9" fontId="6" fillId="0" borderId="1" xfId="0" applyNumberFormat="1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89B20D33-0E0A-41AA-9985-15AFBF513673}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28925</xdr:colOff>
      <xdr:row>0</xdr:row>
      <xdr:rowOff>87173</xdr:rowOff>
    </xdr:from>
    <xdr:to>
      <xdr:col>0</xdr:col>
      <xdr:colOff>1468438</xdr:colOff>
      <xdr:row>3</xdr:row>
      <xdr:rowOff>130029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74A544-8649-45F2-8E96-173C85367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25" y="87173"/>
          <a:ext cx="1439513" cy="608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6800-FE5C-49DC-AFF4-C2D7CF747602}">
  <dimension ref="A1:P49"/>
  <sheetViews>
    <sheetView tabSelected="1" zoomScale="96" zoomScaleNormal="96" workbookViewId="0">
      <selection activeCell="C9" sqref="C9"/>
    </sheetView>
  </sheetViews>
  <sheetFormatPr baseColWidth="10" defaultColWidth="23.140625" defaultRowHeight="12.75" x14ac:dyDescent="0.25"/>
  <cols>
    <col min="1" max="1" width="22.5703125" style="1" customWidth="1"/>
    <col min="2" max="2" width="22.7109375" style="1" customWidth="1"/>
    <col min="3" max="3" width="25.7109375" style="1" customWidth="1"/>
    <col min="4" max="4" width="23.140625" style="1" customWidth="1"/>
    <col min="5" max="5" width="21.7109375" style="1" customWidth="1"/>
    <col min="6" max="6" width="14.28515625" style="1" customWidth="1"/>
    <col min="7" max="7" width="14.42578125" style="2" hidden="1" customWidth="1"/>
    <col min="8" max="8" width="0.28515625" style="2" hidden="1" customWidth="1"/>
    <col min="9" max="9" width="30.7109375" style="1" hidden="1" customWidth="1"/>
    <col min="10" max="10" width="12" style="1" customWidth="1"/>
    <col min="11" max="11" width="23.140625" style="1"/>
    <col min="12" max="12" width="26" style="1" customWidth="1"/>
    <col min="13" max="13" width="11.28515625" style="1" customWidth="1"/>
    <col min="14" max="16384" width="23.140625" style="1"/>
  </cols>
  <sheetData>
    <row r="1" spans="1:16" ht="15" x14ac:dyDescent="0.25">
      <c r="A1" s="76"/>
      <c r="B1" s="79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6" ht="15" x14ac:dyDescent="0.25">
      <c r="A2" s="76"/>
      <c r="B2" s="78" t="s">
        <v>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16" ht="15" x14ac:dyDescent="0.25">
      <c r="A3" s="76"/>
      <c r="B3" s="79" t="s">
        <v>109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</row>
    <row r="4" spans="1:16" x14ac:dyDescent="0.25">
      <c r="A4" s="76"/>
      <c r="B4" s="77" t="s">
        <v>2</v>
      </c>
      <c r="C4" s="77"/>
      <c r="D4" s="77"/>
      <c r="E4" s="77"/>
      <c r="F4" s="80" t="s">
        <v>110</v>
      </c>
      <c r="G4" s="81"/>
      <c r="H4" s="81"/>
      <c r="I4" s="81"/>
      <c r="J4" s="81"/>
      <c r="K4" s="82" t="s">
        <v>111</v>
      </c>
      <c r="L4" s="82"/>
      <c r="M4" s="82"/>
      <c r="N4" s="82"/>
      <c r="O4" s="82"/>
    </row>
    <row r="5" spans="1:16" ht="13.5" thickBot="1" x14ac:dyDescent="0.3">
      <c r="A5" s="83"/>
      <c r="B5" s="84"/>
      <c r="C5" s="84"/>
      <c r="D5" s="84"/>
      <c r="E5" s="84"/>
      <c r="F5" s="84"/>
      <c r="G5" s="84"/>
      <c r="H5" s="84"/>
      <c r="I5" s="84"/>
      <c r="K5" s="44"/>
      <c r="L5" s="44"/>
      <c r="M5" s="44"/>
      <c r="N5" s="44"/>
      <c r="O5" s="44"/>
    </row>
    <row r="6" spans="1:16" ht="17.25" customHeight="1" x14ac:dyDescent="0.25">
      <c r="A6" s="85" t="s">
        <v>3</v>
      </c>
      <c r="B6" s="85" t="s">
        <v>4</v>
      </c>
      <c r="C6" s="85" t="s">
        <v>5</v>
      </c>
      <c r="D6" s="85" t="s">
        <v>6</v>
      </c>
      <c r="E6" s="85" t="s">
        <v>7</v>
      </c>
      <c r="F6" s="88" t="s">
        <v>8</v>
      </c>
      <c r="G6" s="47"/>
      <c r="H6" s="89" t="s">
        <v>9</v>
      </c>
      <c r="I6" s="89"/>
      <c r="J6" s="48"/>
      <c r="K6" s="89" t="s">
        <v>10</v>
      </c>
      <c r="L6" s="89"/>
      <c r="M6" s="48"/>
      <c r="N6" s="89" t="s">
        <v>11</v>
      </c>
      <c r="O6" s="106"/>
      <c r="P6" s="109" t="s">
        <v>150</v>
      </c>
    </row>
    <row r="7" spans="1:16" ht="39.950000000000003" customHeight="1" thickBot="1" x14ac:dyDescent="0.3">
      <c r="A7" s="86"/>
      <c r="B7" s="86"/>
      <c r="C7" s="87"/>
      <c r="D7" s="87"/>
      <c r="E7" s="87"/>
      <c r="F7" s="87"/>
      <c r="G7" s="45" t="s">
        <v>12</v>
      </c>
      <c r="H7" s="45" t="s">
        <v>13</v>
      </c>
      <c r="I7" s="46" t="s">
        <v>14</v>
      </c>
      <c r="J7" s="45" t="s">
        <v>12</v>
      </c>
      <c r="K7" s="45" t="s">
        <v>13</v>
      </c>
      <c r="L7" s="46" t="s">
        <v>14</v>
      </c>
      <c r="M7" s="45" t="s">
        <v>12</v>
      </c>
      <c r="N7" s="45" t="s">
        <v>13</v>
      </c>
      <c r="O7" s="107" t="s">
        <v>14</v>
      </c>
      <c r="P7" s="108"/>
    </row>
    <row r="8" spans="1:16" ht="36.75" customHeight="1" x14ac:dyDescent="0.25">
      <c r="A8" s="93" t="s">
        <v>21</v>
      </c>
      <c r="B8" s="96" t="s">
        <v>22</v>
      </c>
      <c r="C8" s="10" t="s">
        <v>114</v>
      </c>
      <c r="D8" s="10" t="s">
        <v>23</v>
      </c>
      <c r="E8" s="11" t="s">
        <v>24</v>
      </c>
      <c r="F8" s="11" t="s">
        <v>15</v>
      </c>
      <c r="G8" s="49">
        <v>1</v>
      </c>
      <c r="H8" s="50">
        <v>1</v>
      </c>
      <c r="I8" s="53" t="s">
        <v>92</v>
      </c>
      <c r="J8" s="75">
        <v>0</v>
      </c>
      <c r="K8" s="61">
        <v>0</v>
      </c>
      <c r="L8" s="74" t="s">
        <v>131</v>
      </c>
      <c r="M8" s="34">
        <v>1</v>
      </c>
      <c r="N8" s="36">
        <v>1</v>
      </c>
      <c r="O8" s="102" t="s">
        <v>131</v>
      </c>
      <c r="P8" s="105">
        <v>1</v>
      </c>
    </row>
    <row r="9" spans="1:16" ht="77.25" customHeight="1" x14ac:dyDescent="0.25">
      <c r="A9" s="94"/>
      <c r="B9" s="97"/>
      <c r="C9" s="3" t="s">
        <v>25</v>
      </c>
      <c r="D9" s="3" t="s">
        <v>26</v>
      </c>
      <c r="E9" s="11" t="s">
        <v>24</v>
      </c>
      <c r="F9" s="4" t="s">
        <v>27</v>
      </c>
      <c r="G9" s="62">
        <v>0.33</v>
      </c>
      <c r="H9" s="63">
        <v>0.33329999999999999</v>
      </c>
      <c r="I9" s="64" t="s">
        <v>93</v>
      </c>
      <c r="J9" s="69">
        <v>0.66659999999999997</v>
      </c>
      <c r="K9" s="70">
        <v>0.66659999999999997</v>
      </c>
      <c r="L9" s="71" t="s">
        <v>113</v>
      </c>
      <c r="M9" s="68">
        <v>1</v>
      </c>
      <c r="N9" s="40">
        <v>1</v>
      </c>
      <c r="O9" s="102" t="s">
        <v>147</v>
      </c>
      <c r="P9" s="105">
        <v>1</v>
      </c>
    </row>
    <row r="10" spans="1:16" ht="45.75" customHeight="1" x14ac:dyDescent="0.25">
      <c r="A10" s="94"/>
      <c r="B10" s="97"/>
      <c r="C10" s="3" t="s">
        <v>28</v>
      </c>
      <c r="D10" s="3" t="s">
        <v>29</v>
      </c>
      <c r="E10" s="11" t="s">
        <v>24</v>
      </c>
      <c r="F10" s="4" t="s">
        <v>16</v>
      </c>
      <c r="G10" s="52">
        <v>1</v>
      </c>
      <c r="H10" s="50">
        <v>1</v>
      </c>
      <c r="I10" s="51" t="s">
        <v>94</v>
      </c>
      <c r="J10" s="69">
        <v>0</v>
      </c>
      <c r="K10" s="70">
        <v>0</v>
      </c>
      <c r="L10" s="71" t="s">
        <v>131</v>
      </c>
      <c r="M10" s="68">
        <v>0</v>
      </c>
      <c r="N10" s="40">
        <v>0</v>
      </c>
      <c r="O10" s="103" t="s">
        <v>131</v>
      </c>
      <c r="P10" s="105">
        <v>1</v>
      </c>
    </row>
    <row r="11" spans="1:16" ht="44.25" customHeight="1" x14ac:dyDescent="0.25">
      <c r="A11" s="94"/>
      <c r="B11" s="97"/>
      <c r="C11" s="3" t="s">
        <v>30</v>
      </c>
      <c r="D11" s="3" t="s">
        <v>29</v>
      </c>
      <c r="E11" s="11" t="s">
        <v>24</v>
      </c>
      <c r="F11" s="4" t="s">
        <v>18</v>
      </c>
      <c r="G11" s="52">
        <v>1</v>
      </c>
      <c r="H11" s="50">
        <v>1</v>
      </c>
      <c r="I11" s="51" t="s">
        <v>94</v>
      </c>
      <c r="J11" s="69">
        <v>0</v>
      </c>
      <c r="K11" s="70">
        <v>0</v>
      </c>
      <c r="L11" s="71" t="s">
        <v>131</v>
      </c>
      <c r="M11" s="68">
        <v>0</v>
      </c>
      <c r="N11" s="40">
        <v>0</v>
      </c>
      <c r="O11" s="103" t="s">
        <v>131</v>
      </c>
      <c r="P11" s="105">
        <v>1</v>
      </c>
    </row>
    <row r="12" spans="1:16" ht="44.25" customHeight="1" x14ac:dyDescent="0.25">
      <c r="A12" s="94"/>
      <c r="B12" s="97"/>
      <c r="C12" s="12" t="s">
        <v>31</v>
      </c>
      <c r="D12" s="3" t="s">
        <v>32</v>
      </c>
      <c r="E12" s="11" t="s">
        <v>24</v>
      </c>
      <c r="F12" s="4" t="s">
        <v>18</v>
      </c>
      <c r="G12" s="52">
        <v>1</v>
      </c>
      <c r="H12" s="50">
        <v>1</v>
      </c>
      <c r="I12" s="51" t="s">
        <v>95</v>
      </c>
      <c r="J12" s="69">
        <v>0</v>
      </c>
      <c r="K12" s="70">
        <v>0</v>
      </c>
      <c r="L12" s="71" t="s">
        <v>131</v>
      </c>
      <c r="M12" s="68">
        <v>0</v>
      </c>
      <c r="N12" s="40">
        <v>0</v>
      </c>
      <c r="O12" s="103" t="s">
        <v>131</v>
      </c>
      <c r="P12" s="105">
        <v>1</v>
      </c>
    </row>
    <row r="13" spans="1:16" ht="45" customHeight="1" x14ac:dyDescent="0.25">
      <c r="A13" s="94"/>
      <c r="B13" s="97"/>
      <c r="C13" s="12" t="s">
        <v>33</v>
      </c>
      <c r="D13" s="3" t="s">
        <v>29</v>
      </c>
      <c r="E13" s="11" t="s">
        <v>24</v>
      </c>
      <c r="F13" s="4" t="s">
        <v>18</v>
      </c>
      <c r="G13" s="52">
        <v>1</v>
      </c>
      <c r="H13" s="50">
        <v>1</v>
      </c>
      <c r="I13" s="51" t="s">
        <v>96</v>
      </c>
      <c r="J13" s="69">
        <v>0</v>
      </c>
      <c r="K13" s="70">
        <v>0</v>
      </c>
      <c r="L13" s="71" t="s">
        <v>131</v>
      </c>
      <c r="M13" s="68">
        <v>0</v>
      </c>
      <c r="N13" s="40">
        <v>0</v>
      </c>
      <c r="O13" s="103" t="s">
        <v>131</v>
      </c>
      <c r="P13" s="105">
        <v>1</v>
      </c>
    </row>
    <row r="14" spans="1:16" ht="42.75" customHeight="1" x14ac:dyDescent="0.25">
      <c r="A14" s="94"/>
      <c r="B14" s="97"/>
      <c r="C14" s="12" t="s">
        <v>34</v>
      </c>
      <c r="D14" s="3" t="s">
        <v>29</v>
      </c>
      <c r="E14" s="11" t="s">
        <v>24</v>
      </c>
      <c r="F14" s="4" t="s">
        <v>17</v>
      </c>
      <c r="G14" s="52">
        <v>1</v>
      </c>
      <c r="H14" s="50">
        <v>1</v>
      </c>
      <c r="I14" s="51" t="s">
        <v>97</v>
      </c>
      <c r="J14" s="69">
        <v>0</v>
      </c>
      <c r="K14" s="70">
        <v>0</v>
      </c>
      <c r="L14" s="71" t="s">
        <v>131</v>
      </c>
      <c r="M14" s="68">
        <v>0</v>
      </c>
      <c r="N14" s="40">
        <v>0</v>
      </c>
      <c r="O14" s="103" t="s">
        <v>131</v>
      </c>
      <c r="P14" s="105">
        <v>1</v>
      </c>
    </row>
    <row r="15" spans="1:16" ht="49.5" customHeight="1" x14ac:dyDescent="0.25">
      <c r="A15" s="94"/>
      <c r="B15" s="97"/>
      <c r="C15" s="12" t="s">
        <v>35</v>
      </c>
      <c r="D15" s="3" t="s">
        <v>36</v>
      </c>
      <c r="E15" s="11" t="s">
        <v>24</v>
      </c>
      <c r="F15" s="4" t="s">
        <v>17</v>
      </c>
      <c r="G15" s="52">
        <v>1</v>
      </c>
      <c r="H15" s="50">
        <v>1</v>
      </c>
      <c r="I15" s="51" t="s">
        <v>99</v>
      </c>
      <c r="J15" s="69">
        <v>0</v>
      </c>
      <c r="K15" s="70">
        <v>0</v>
      </c>
      <c r="L15" s="71" t="s">
        <v>131</v>
      </c>
      <c r="M15" s="68">
        <v>0</v>
      </c>
      <c r="N15" s="40">
        <v>0</v>
      </c>
      <c r="O15" s="103" t="s">
        <v>131</v>
      </c>
      <c r="P15" s="105">
        <v>1</v>
      </c>
    </row>
    <row r="16" spans="1:16" ht="62.25" customHeight="1" x14ac:dyDescent="0.25">
      <c r="A16" s="94"/>
      <c r="B16" s="97"/>
      <c r="C16" s="12" t="s">
        <v>37</v>
      </c>
      <c r="D16" s="3" t="s">
        <v>38</v>
      </c>
      <c r="E16" s="11" t="s">
        <v>24</v>
      </c>
      <c r="F16" s="4" t="s">
        <v>17</v>
      </c>
      <c r="G16" s="52">
        <v>1</v>
      </c>
      <c r="H16" s="50">
        <v>1</v>
      </c>
      <c r="I16" s="51" t="s">
        <v>98</v>
      </c>
      <c r="J16" s="69">
        <v>0</v>
      </c>
      <c r="K16" s="70">
        <v>0</v>
      </c>
      <c r="L16" s="71" t="s">
        <v>131</v>
      </c>
      <c r="M16" s="68">
        <v>0</v>
      </c>
      <c r="N16" s="40">
        <v>0</v>
      </c>
      <c r="O16" s="103" t="s">
        <v>131</v>
      </c>
      <c r="P16" s="105">
        <v>1</v>
      </c>
    </row>
    <row r="17" spans="1:16" ht="51" customHeight="1" x14ac:dyDescent="0.25">
      <c r="A17" s="94"/>
      <c r="B17" s="97"/>
      <c r="C17" s="12" t="s">
        <v>115</v>
      </c>
      <c r="D17" s="3" t="s">
        <v>39</v>
      </c>
      <c r="E17" s="11" t="s">
        <v>24</v>
      </c>
      <c r="F17" s="4" t="s">
        <v>19</v>
      </c>
      <c r="G17" s="52">
        <v>1</v>
      </c>
      <c r="H17" s="50">
        <v>1</v>
      </c>
      <c r="I17" s="51" t="s">
        <v>100</v>
      </c>
      <c r="J17" s="69">
        <v>0</v>
      </c>
      <c r="K17" s="70">
        <v>0</v>
      </c>
      <c r="L17" s="71" t="s">
        <v>131</v>
      </c>
      <c r="M17" s="68">
        <v>0</v>
      </c>
      <c r="N17" s="40">
        <v>0</v>
      </c>
      <c r="O17" s="103" t="s">
        <v>131</v>
      </c>
      <c r="P17" s="105">
        <v>1</v>
      </c>
    </row>
    <row r="18" spans="1:16" ht="51" customHeight="1" x14ac:dyDescent="0.25">
      <c r="A18" s="94"/>
      <c r="B18" s="97"/>
      <c r="C18" s="12" t="s">
        <v>40</v>
      </c>
      <c r="D18" s="3" t="s">
        <v>41</v>
      </c>
      <c r="E18" s="11" t="s">
        <v>24</v>
      </c>
      <c r="F18" s="4" t="s">
        <v>19</v>
      </c>
      <c r="G18" s="60"/>
      <c r="H18" s="61"/>
      <c r="I18" s="59"/>
      <c r="J18" s="69">
        <v>1</v>
      </c>
      <c r="K18" s="70">
        <v>1</v>
      </c>
      <c r="L18" s="59" t="s">
        <v>116</v>
      </c>
      <c r="M18" s="68">
        <v>0</v>
      </c>
      <c r="N18" s="40">
        <v>0</v>
      </c>
      <c r="O18" s="103" t="s">
        <v>131</v>
      </c>
      <c r="P18" s="105">
        <v>1</v>
      </c>
    </row>
    <row r="19" spans="1:16" ht="51" customHeight="1" x14ac:dyDescent="0.25">
      <c r="A19" s="94"/>
      <c r="B19" s="97"/>
      <c r="C19" s="12" t="s">
        <v>42</v>
      </c>
      <c r="D19" s="3" t="s">
        <v>43</v>
      </c>
      <c r="E19" s="11" t="s">
        <v>24</v>
      </c>
      <c r="F19" s="4" t="s">
        <v>19</v>
      </c>
      <c r="G19" s="37"/>
      <c r="H19" s="36"/>
      <c r="J19" s="69">
        <v>1</v>
      </c>
      <c r="K19" s="70">
        <v>1</v>
      </c>
      <c r="L19" s="71" t="s">
        <v>112</v>
      </c>
      <c r="M19" s="68">
        <v>0</v>
      </c>
      <c r="N19" s="40">
        <v>0</v>
      </c>
      <c r="O19" s="103" t="s">
        <v>148</v>
      </c>
      <c r="P19" s="105">
        <v>1</v>
      </c>
    </row>
    <row r="20" spans="1:16" ht="51" customHeight="1" x14ac:dyDescent="0.25">
      <c r="A20" s="94"/>
      <c r="B20" s="97"/>
      <c r="C20" s="12" t="s">
        <v>44</v>
      </c>
      <c r="D20" s="7" t="s">
        <v>43</v>
      </c>
      <c r="E20" s="11" t="s">
        <v>24</v>
      </c>
      <c r="F20" s="11" t="s">
        <v>45</v>
      </c>
      <c r="G20" s="35"/>
      <c r="H20" s="36"/>
      <c r="I20" s="37"/>
      <c r="J20" s="69">
        <v>1</v>
      </c>
      <c r="K20" s="70">
        <v>1</v>
      </c>
      <c r="L20" s="71" t="s">
        <v>112</v>
      </c>
      <c r="M20" s="68">
        <v>0</v>
      </c>
      <c r="N20" s="40">
        <v>0</v>
      </c>
      <c r="O20" s="103" t="s">
        <v>148</v>
      </c>
      <c r="P20" s="105">
        <v>1</v>
      </c>
    </row>
    <row r="21" spans="1:16" ht="51" customHeight="1" x14ac:dyDescent="0.25">
      <c r="A21" s="94"/>
      <c r="B21" s="97"/>
      <c r="C21" s="12" t="s">
        <v>46</v>
      </c>
      <c r="D21" s="7" t="s">
        <v>43</v>
      </c>
      <c r="E21" s="11" t="s">
        <v>24</v>
      </c>
      <c r="F21" s="11" t="s">
        <v>45</v>
      </c>
      <c r="G21" s="35"/>
      <c r="H21" s="36"/>
      <c r="I21" s="37"/>
      <c r="J21" s="69">
        <v>1</v>
      </c>
      <c r="K21" s="70">
        <v>1</v>
      </c>
      <c r="L21" s="71" t="s">
        <v>117</v>
      </c>
      <c r="M21" s="68">
        <v>0</v>
      </c>
      <c r="N21" s="40">
        <v>0</v>
      </c>
      <c r="O21" s="103" t="s">
        <v>148</v>
      </c>
      <c r="P21" s="105">
        <v>1</v>
      </c>
    </row>
    <row r="22" spans="1:16" ht="51" customHeight="1" x14ac:dyDescent="0.25">
      <c r="A22" s="94"/>
      <c r="B22" s="97"/>
      <c r="C22" s="12" t="s">
        <v>47</v>
      </c>
      <c r="D22" s="3" t="s">
        <v>29</v>
      </c>
      <c r="E22" s="11" t="s">
        <v>24</v>
      </c>
      <c r="F22" s="13" t="s">
        <v>45</v>
      </c>
      <c r="G22" s="35"/>
      <c r="H22" s="36"/>
      <c r="I22" s="37"/>
      <c r="J22" s="69">
        <v>1</v>
      </c>
      <c r="K22" s="70">
        <v>1</v>
      </c>
      <c r="L22" s="71" t="s">
        <v>118</v>
      </c>
      <c r="M22" s="68">
        <v>0</v>
      </c>
      <c r="N22" s="40">
        <v>0</v>
      </c>
      <c r="O22" s="103" t="s">
        <v>149</v>
      </c>
      <c r="P22" s="105">
        <v>1</v>
      </c>
    </row>
    <row r="23" spans="1:16" ht="51" customHeight="1" x14ac:dyDescent="0.25">
      <c r="A23" s="94"/>
      <c r="B23" s="97"/>
      <c r="C23" s="12" t="s">
        <v>48</v>
      </c>
      <c r="D23" s="3" t="s">
        <v>49</v>
      </c>
      <c r="E23" s="11" t="s">
        <v>24</v>
      </c>
      <c r="F23" s="13" t="s">
        <v>50</v>
      </c>
      <c r="G23" s="35"/>
      <c r="H23" s="36"/>
      <c r="I23" s="37"/>
      <c r="J23" s="69">
        <v>0</v>
      </c>
      <c r="K23" s="70">
        <v>0</v>
      </c>
      <c r="L23" s="71" t="s">
        <v>132</v>
      </c>
      <c r="M23" s="68">
        <v>1</v>
      </c>
      <c r="N23" s="40">
        <v>1</v>
      </c>
      <c r="O23" s="103" t="s">
        <v>147</v>
      </c>
      <c r="P23" s="105">
        <v>1</v>
      </c>
    </row>
    <row r="24" spans="1:16" ht="89.25" customHeight="1" x14ac:dyDescent="0.25">
      <c r="A24" s="94"/>
      <c r="B24" s="97"/>
      <c r="C24" s="12" t="s">
        <v>51</v>
      </c>
      <c r="D24" s="3" t="s">
        <v>29</v>
      </c>
      <c r="E24" s="11" t="s">
        <v>24</v>
      </c>
      <c r="F24" s="13" t="s">
        <v>20</v>
      </c>
      <c r="G24" s="35"/>
      <c r="H24" s="36"/>
      <c r="I24" s="37"/>
      <c r="J24" s="69">
        <v>1</v>
      </c>
      <c r="K24" s="70">
        <v>1</v>
      </c>
      <c r="L24" s="71" t="s">
        <v>140</v>
      </c>
      <c r="M24" s="68">
        <v>1</v>
      </c>
      <c r="N24" s="40">
        <v>1</v>
      </c>
      <c r="O24" s="103" t="s">
        <v>147</v>
      </c>
      <c r="P24" s="105">
        <v>1</v>
      </c>
    </row>
    <row r="25" spans="1:16" ht="51" customHeight="1" thickBot="1" x14ac:dyDescent="0.3">
      <c r="A25" s="94"/>
      <c r="B25" s="98"/>
      <c r="C25" s="12" t="s">
        <v>52</v>
      </c>
      <c r="D25" s="7" t="s">
        <v>29</v>
      </c>
      <c r="E25" s="11" t="s">
        <v>24</v>
      </c>
      <c r="F25" s="13" t="s">
        <v>53</v>
      </c>
      <c r="G25" s="35"/>
      <c r="H25" s="36"/>
      <c r="I25" s="37"/>
      <c r="J25" s="69">
        <v>0</v>
      </c>
      <c r="K25" s="70">
        <v>0</v>
      </c>
      <c r="L25" s="71" t="s">
        <v>133</v>
      </c>
      <c r="M25" s="38">
        <v>1</v>
      </c>
      <c r="N25" s="39">
        <v>1</v>
      </c>
      <c r="O25" s="103" t="s">
        <v>147</v>
      </c>
      <c r="P25" s="105">
        <v>1</v>
      </c>
    </row>
    <row r="26" spans="1:16" ht="51" customHeight="1" x14ac:dyDescent="0.25">
      <c r="A26" s="94"/>
      <c r="B26" s="99" t="s">
        <v>54</v>
      </c>
      <c r="C26" s="14" t="s">
        <v>55</v>
      </c>
      <c r="D26" s="6" t="s">
        <v>56</v>
      </c>
      <c r="E26" s="11" t="s">
        <v>24</v>
      </c>
      <c r="F26" s="13" t="s">
        <v>19</v>
      </c>
      <c r="G26" s="35"/>
      <c r="H26" s="36"/>
      <c r="I26" s="37"/>
      <c r="J26" s="69">
        <v>1</v>
      </c>
      <c r="K26" s="70">
        <v>1</v>
      </c>
      <c r="L26" s="71" t="s">
        <v>134</v>
      </c>
      <c r="M26" s="38">
        <v>1</v>
      </c>
      <c r="N26" s="39">
        <v>1</v>
      </c>
      <c r="O26" s="103" t="s">
        <v>149</v>
      </c>
      <c r="P26" s="105">
        <v>1</v>
      </c>
    </row>
    <row r="27" spans="1:16" ht="65.25" customHeight="1" thickBot="1" x14ac:dyDescent="0.3">
      <c r="A27" s="94"/>
      <c r="B27" s="100"/>
      <c r="C27" s="6" t="s">
        <v>57</v>
      </c>
      <c r="D27" s="6" t="s">
        <v>58</v>
      </c>
      <c r="E27" s="11" t="s">
        <v>24</v>
      </c>
      <c r="F27" s="13" t="s">
        <v>45</v>
      </c>
      <c r="G27" s="35"/>
      <c r="H27" s="36"/>
      <c r="I27" s="37"/>
      <c r="J27" s="69">
        <v>1</v>
      </c>
      <c r="K27" s="70">
        <v>1</v>
      </c>
      <c r="L27" s="71" t="s">
        <v>122</v>
      </c>
      <c r="M27" s="38">
        <v>0</v>
      </c>
      <c r="N27" s="39">
        <v>0</v>
      </c>
      <c r="O27" s="103" t="s">
        <v>149</v>
      </c>
      <c r="P27" s="105">
        <v>1</v>
      </c>
    </row>
    <row r="28" spans="1:16" ht="49.5" customHeight="1" x14ac:dyDescent="0.25">
      <c r="A28" s="94"/>
      <c r="B28" s="90" t="s">
        <v>59</v>
      </c>
      <c r="C28" s="6" t="s">
        <v>60</v>
      </c>
      <c r="D28" s="15" t="s">
        <v>61</v>
      </c>
      <c r="E28" s="11" t="s">
        <v>24</v>
      </c>
      <c r="F28" s="13" t="s">
        <v>27</v>
      </c>
      <c r="G28" s="65">
        <v>0.33</v>
      </c>
      <c r="H28" s="63">
        <v>0.33</v>
      </c>
      <c r="I28" s="64" t="s">
        <v>101</v>
      </c>
      <c r="J28" s="69">
        <v>1</v>
      </c>
      <c r="K28" s="70">
        <v>1</v>
      </c>
      <c r="L28" s="71" t="s">
        <v>120</v>
      </c>
      <c r="M28" s="38">
        <v>1</v>
      </c>
      <c r="N28" s="40">
        <v>1</v>
      </c>
      <c r="O28" s="103" t="s">
        <v>147</v>
      </c>
      <c r="P28" s="105">
        <v>1</v>
      </c>
    </row>
    <row r="29" spans="1:16" ht="287.25" customHeight="1" x14ac:dyDescent="0.25">
      <c r="A29" s="94"/>
      <c r="B29" s="91"/>
      <c r="C29" s="6" t="s">
        <v>62</v>
      </c>
      <c r="D29" s="15" t="s">
        <v>63</v>
      </c>
      <c r="E29" s="11" t="s">
        <v>24</v>
      </c>
      <c r="F29" s="13" t="s">
        <v>19</v>
      </c>
      <c r="G29" s="65">
        <v>0.33329999999999999</v>
      </c>
      <c r="H29" s="63">
        <v>0.33329999999999999</v>
      </c>
      <c r="I29" s="64" t="s">
        <v>119</v>
      </c>
      <c r="J29" s="69">
        <v>1</v>
      </c>
      <c r="K29" s="70">
        <v>1</v>
      </c>
      <c r="L29" s="71" t="s">
        <v>141</v>
      </c>
      <c r="M29" s="38">
        <v>0</v>
      </c>
      <c r="N29" s="40">
        <v>0</v>
      </c>
      <c r="O29" s="103" t="s">
        <v>149</v>
      </c>
      <c r="P29" s="105">
        <v>1</v>
      </c>
    </row>
    <row r="30" spans="1:16" ht="88.5" customHeight="1" x14ac:dyDescent="0.25">
      <c r="A30" s="94"/>
      <c r="B30" s="101"/>
      <c r="C30" s="33" t="s">
        <v>64</v>
      </c>
      <c r="D30" s="15" t="s">
        <v>65</v>
      </c>
      <c r="E30" s="11" t="s">
        <v>24</v>
      </c>
      <c r="F30" s="13" t="s">
        <v>17</v>
      </c>
      <c r="G30" s="52">
        <v>1</v>
      </c>
      <c r="H30" s="50">
        <v>1</v>
      </c>
      <c r="I30" s="51" t="s">
        <v>104</v>
      </c>
      <c r="J30" s="69">
        <v>1</v>
      </c>
      <c r="K30" s="70">
        <v>1</v>
      </c>
      <c r="L30" s="71" t="s">
        <v>135</v>
      </c>
      <c r="M30" s="38">
        <v>0</v>
      </c>
      <c r="N30" s="40">
        <v>0</v>
      </c>
      <c r="O30" s="103" t="s">
        <v>149</v>
      </c>
      <c r="P30" s="105">
        <v>1</v>
      </c>
    </row>
    <row r="31" spans="1:16" ht="115.5" customHeight="1" x14ac:dyDescent="0.25">
      <c r="A31" s="94"/>
      <c r="B31" s="101"/>
      <c r="C31" s="12" t="s">
        <v>66</v>
      </c>
      <c r="D31" s="15" t="s">
        <v>67</v>
      </c>
      <c r="E31" s="11" t="s">
        <v>24</v>
      </c>
      <c r="F31" s="13" t="s">
        <v>45</v>
      </c>
      <c r="G31" s="52">
        <v>0.5</v>
      </c>
      <c r="H31" s="50">
        <v>0.5</v>
      </c>
      <c r="I31" s="51" t="s">
        <v>103</v>
      </c>
      <c r="J31" s="69">
        <v>1</v>
      </c>
      <c r="K31" s="70">
        <v>1</v>
      </c>
      <c r="L31" s="71" t="s">
        <v>121</v>
      </c>
      <c r="M31" s="38">
        <v>0</v>
      </c>
      <c r="N31" s="40">
        <v>0</v>
      </c>
      <c r="O31" s="103" t="s">
        <v>149</v>
      </c>
      <c r="P31" s="105">
        <v>1</v>
      </c>
    </row>
    <row r="32" spans="1:16" ht="96" customHeight="1" thickBot="1" x14ac:dyDescent="0.3">
      <c r="A32" s="94"/>
      <c r="B32" s="92"/>
      <c r="C32" s="32" t="s">
        <v>68</v>
      </c>
      <c r="D32" s="15" t="s">
        <v>69</v>
      </c>
      <c r="E32" s="11" t="s">
        <v>24</v>
      </c>
      <c r="F32" s="13" t="s">
        <v>70</v>
      </c>
      <c r="G32" s="66">
        <v>1</v>
      </c>
      <c r="H32" s="50">
        <v>1</v>
      </c>
      <c r="I32" s="51" t="s">
        <v>102</v>
      </c>
      <c r="J32" s="69">
        <v>0</v>
      </c>
      <c r="K32" s="70">
        <v>0</v>
      </c>
      <c r="L32" s="71" t="s">
        <v>131</v>
      </c>
      <c r="M32" s="38">
        <v>0</v>
      </c>
      <c r="N32" s="40">
        <v>0</v>
      </c>
      <c r="O32" s="103" t="s">
        <v>131</v>
      </c>
      <c r="P32" s="105">
        <v>1</v>
      </c>
    </row>
    <row r="33" spans="1:16" ht="107.25" customHeight="1" x14ac:dyDescent="0.25">
      <c r="A33" s="94"/>
      <c r="B33" s="90" t="s">
        <v>71</v>
      </c>
      <c r="C33" s="16" t="s">
        <v>72</v>
      </c>
      <c r="D33" s="15"/>
      <c r="E33" s="11" t="s">
        <v>24</v>
      </c>
      <c r="F33" s="13" t="s">
        <v>18</v>
      </c>
      <c r="G33" s="52">
        <v>0</v>
      </c>
      <c r="H33" s="50">
        <v>0</v>
      </c>
      <c r="I33" s="51" t="s">
        <v>123</v>
      </c>
      <c r="J33" s="69">
        <v>1</v>
      </c>
      <c r="K33" s="70">
        <v>1</v>
      </c>
      <c r="L33" s="71" t="s">
        <v>136</v>
      </c>
      <c r="M33" s="38">
        <v>0</v>
      </c>
      <c r="N33" s="40">
        <v>0</v>
      </c>
      <c r="O33" s="103" t="s">
        <v>149</v>
      </c>
      <c r="P33" s="105">
        <v>1</v>
      </c>
    </row>
    <row r="34" spans="1:16" ht="82.5" customHeight="1" x14ac:dyDescent="0.25">
      <c r="A34" s="94"/>
      <c r="B34" s="91"/>
      <c r="C34" s="16" t="s">
        <v>73</v>
      </c>
      <c r="D34" s="15"/>
      <c r="E34" s="11" t="s">
        <v>24</v>
      </c>
      <c r="F34" s="13" t="s">
        <v>45</v>
      </c>
      <c r="G34" s="35"/>
      <c r="H34" s="36"/>
      <c r="I34" s="37"/>
      <c r="J34" s="69">
        <v>1</v>
      </c>
      <c r="K34" s="70">
        <v>1</v>
      </c>
      <c r="L34" s="71" t="s">
        <v>137</v>
      </c>
      <c r="M34" s="38">
        <v>0</v>
      </c>
      <c r="N34" s="40">
        <v>0</v>
      </c>
      <c r="O34" s="103" t="s">
        <v>149</v>
      </c>
      <c r="P34" s="105">
        <v>1</v>
      </c>
    </row>
    <row r="35" spans="1:16" ht="34.5" customHeight="1" thickBot="1" x14ac:dyDescent="0.3">
      <c r="A35" s="94"/>
      <c r="B35" s="92"/>
      <c r="C35" s="16" t="s">
        <v>74</v>
      </c>
      <c r="D35" s="15"/>
      <c r="E35" s="11" t="s">
        <v>24</v>
      </c>
      <c r="F35" s="13" t="s">
        <v>75</v>
      </c>
      <c r="G35" s="35"/>
      <c r="H35" s="36"/>
      <c r="I35" s="37"/>
      <c r="J35" s="69">
        <v>1</v>
      </c>
      <c r="K35" s="70">
        <v>1</v>
      </c>
      <c r="L35" s="71" t="s">
        <v>142</v>
      </c>
      <c r="M35" s="38">
        <v>1</v>
      </c>
      <c r="N35" s="40">
        <v>1</v>
      </c>
      <c r="O35" s="103" t="s">
        <v>147</v>
      </c>
      <c r="P35" s="105">
        <v>1</v>
      </c>
    </row>
    <row r="36" spans="1:16" ht="79.5" customHeight="1" x14ac:dyDescent="0.25">
      <c r="A36" s="94"/>
      <c r="B36" s="90" t="s">
        <v>76</v>
      </c>
      <c r="C36" s="6" t="s">
        <v>77</v>
      </c>
      <c r="D36" s="15"/>
      <c r="E36" s="11" t="s">
        <v>24</v>
      </c>
      <c r="F36" s="13" t="s">
        <v>19</v>
      </c>
      <c r="G36" s="35"/>
      <c r="H36" s="36"/>
      <c r="I36" s="37"/>
      <c r="J36" s="69">
        <v>1</v>
      </c>
      <c r="K36" s="70">
        <v>1</v>
      </c>
      <c r="L36" s="71" t="s">
        <v>124</v>
      </c>
      <c r="M36" s="38">
        <v>0</v>
      </c>
      <c r="N36" s="40">
        <v>0</v>
      </c>
      <c r="O36" s="103" t="s">
        <v>149</v>
      </c>
      <c r="P36" s="105">
        <v>1</v>
      </c>
    </row>
    <row r="37" spans="1:16" ht="96.75" customHeight="1" thickBot="1" x14ac:dyDescent="0.3">
      <c r="A37" s="94"/>
      <c r="B37" s="92"/>
      <c r="C37" s="6" t="s">
        <v>78</v>
      </c>
      <c r="D37" s="15"/>
      <c r="E37" s="11" t="s">
        <v>24</v>
      </c>
      <c r="F37" s="13" t="s">
        <v>45</v>
      </c>
      <c r="G37" s="35"/>
      <c r="H37" s="36"/>
      <c r="I37" s="37"/>
      <c r="J37" s="69">
        <v>1</v>
      </c>
      <c r="K37" s="70">
        <v>1</v>
      </c>
      <c r="L37" s="71" t="s">
        <v>125</v>
      </c>
      <c r="M37" s="38">
        <v>0</v>
      </c>
      <c r="N37" s="40">
        <v>0</v>
      </c>
      <c r="O37" s="103" t="s">
        <v>149</v>
      </c>
      <c r="P37" s="105">
        <v>1</v>
      </c>
    </row>
    <row r="38" spans="1:16" ht="51" customHeight="1" x14ac:dyDescent="0.25">
      <c r="A38" s="94"/>
      <c r="B38" s="90" t="s">
        <v>79</v>
      </c>
      <c r="C38" s="6" t="s">
        <v>80</v>
      </c>
      <c r="D38" s="15"/>
      <c r="E38" s="11" t="s">
        <v>24</v>
      </c>
      <c r="F38" s="13" t="s">
        <v>75</v>
      </c>
      <c r="G38" s="35"/>
      <c r="H38" s="36"/>
      <c r="I38" s="37"/>
      <c r="J38" s="69">
        <v>1</v>
      </c>
      <c r="K38" s="70">
        <v>1</v>
      </c>
      <c r="L38" s="71" t="s">
        <v>143</v>
      </c>
      <c r="M38" s="38">
        <v>1</v>
      </c>
      <c r="N38" s="40">
        <v>1</v>
      </c>
      <c r="O38" s="103" t="s">
        <v>147</v>
      </c>
      <c r="P38" s="105">
        <v>1</v>
      </c>
    </row>
    <row r="39" spans="1:16" ht="41.25" customHeight="1" x14ac:dyDescent="0.25">
      <c r="A39" s="94"/>
      <c r="B39" s="91"/>
      <c r="C39" s="6" t="s">
        <v>81</v>
      </c>
      <c r="D39" s="15"/>
      <c r="E39" s="11" t="s">
        <v>24</v>
      </c>
      <c r="F39" s="13" t="s">
        <v>75</v>
      </c>
      <c r="G39" s="35"/>
      <c r="H39" s="36"/>
      <c r="I39" s="37"/>
      <c r="J39" s="69">
        <v>1</v>
      </c>
      <c r="K39" s="70">
        <v>1</v>
      </c>
      <c r="L39" s="71" t="s">
        <v>138</v>
      </c>
      <c r="M39" s="38">
        <v>0</v>
      </c>
      <c r="N39" s="40">
        <v>0</v>
      </c>
      <c r="O39" s="103" t="s">
        <v>149</v>
      </c>
      <c r="P39" s="105">
        <v>1</v>
      </c>
    </row>
    <row r="40" spans="1:16" ht="33" customHeight="1" thickBot="1" x14ac:dyDescent="0.3">
      <c r="A40" s="94"/>
      <c r="B40" s="92"/>
      <c r="C40" s="6" t="s">
        <v>82</v>
      </c>
      <c r="D40" s="15"/>
      <c r="E40" s="11" t="s">
        <v>24</v>
      </c>
      <c r="F40" s="13" t="s">
        <v>16</v>
      </c>
      <c r="G40" s="52">
        <v>1</v>
      </c>
      <c r="H40" s="50">
        <v>1</v>
      </c>
      <c r="I40" s="51" t="s">
        <v>105</v>
      </c>
      <c r="J40" s="69">
        <v>1</v>
      </c>
      <c r="K40" s="70">
        <v>1</v>
      </c>
      <c r="L40" s="71" t="s">
        <v>139</v>
      </c>
      <c r="M40" s="38">
        <v>0</v>
      </c>
      <c r="N40" s="40">
        <v>0</v>
      </c>
      <c r="O40" s="103" t="s">
        <v>149</v>
      </c>
      <c r="P40" s="105">
        <v>1</v>
      </c>
    </row>
    <row r="41" spans="1:16" ht="44.25" customHeight="1" thickBot="1" x14ac:dyDescent="0.3">
      <c r="A41" s="94"/>
      <c r="B41" s="17" t="s">
        <v>83</v>
      </c>
      <c r="C41" s="18" t="s">
        <v>84</v>
      </c>
      <c r="D41" s="12"/>
      <c r="E41" s="19" t="s">
        <v>24</v>
      </c>
      <c r="F41" s="13" t="s">
        <v>75</v>
      </c>
      <c r="G41" s="35"/>
      <c r="H41" s="36"/>
      <c r="I41" s="37"/>
      <c r="J41" s="69">
        <v>1</v>
      </c>
      <c r="K41" s="70">
        <v>1</v>
      </c>
      <c r="L41" s="71" t="s">
        <v>144</v>
      </c>
      <c r="M41" s="38">
        <v>0</v>
      </c>
      <c r="N41" s="40">
        <v>0</v>
      </c>
      <c r="O41" s="103" t="s">
        <v>147</v>
      </c>
      <c r="P41" s="105">
        <v>1</v>
      </c>
    </row>
    <row r="42" spans="1:16" ht="118.5" customHeight="1" x14ac:dyDescent="0.25">
      <c r="A42" s="94"/>
      <c r="B42" s="20"/>
      <c r="C42" s="26" t="s">
        <v>85</v>
      </c>
      <c r="D42" s="21"/>
      <c r="E42" s="19" t="s">
        <v>24</v>
      </c>
      <c r="F42" s="4"/>
      <c r="G42" s="35"/>
      <c r="H42" s="36"/>
      <c r="I42" s="37"/>
      <c r="J42" s="72">
        <v>0</v>
      </c>
      <c r="K42" s="73">
        <v>0</v>
      </c>
      <c r="L42" s="74" t="s">
        <v>133</v>
      </c>
      <c r="M42" s="38">
        <v>1</v>
      </c>
      <c r="N42" s="43">
        <v>1</v>
      </c>
      <c r="O42" s="103" t="s">
        <v>147</v>
      </c>
      <c r="P42" s="105">
        <v>1</v>
      </c>
    </row>
    <row r="43" spans="1:16" ht="81" customHeight="1" x14ac:dyDescent="0.25">
      <c r="A43" s="94"/>
      <c r="B43" s="8"/>
      <c r="C43" s="27" t="s">
        <v>86</v>
      </c>
      <c r="D43" s="22"/>
      <c r="E43" s="19" t="s">
        <v>24</v>
      </c>
      <c r="F43" s="4" t="s">
        <v>87</v>
      </c>
      <c r="G43" s="35"/>
      <c r="H43" s="36"/>
      <c r="I43" s="37"/>
      <c r="J43" s="72">
        <v>1</v>
      </c>
      <c r="K43" s="72">
        <v>1</v>
      </c>
      <c r="L43" s="74" t="s">
        <v>126</v>
      </c>
      <c r="M43" s="38">
        <v>1</v>
      </c>
      <c r="N43" s="43">
        <v>1</v>
      </c>
      <c r="O43" s="103" t="s">
        <v>147</v>
      </c>
      <c r="P43" s="105">
        <v>1</v>
      </c>
    </row>
    <row r="44" spans="1:16" ht="210" customHeight="1" x14ac:dyDescent="0.25">
      <c r="A44" s="94"/>
      <c r="B44" s="8"/>
      <c r="C44" s="28" t="s">
        <v>88</v>
      </c>
      <c r="D44" s="23"/>
      <c r="E44" s="19" t="s">
        <v>24</v>
      </c>
      <c r="F44" s="4"/>
      <c r="G44" s="65">
        <v>0.33329999999999999</v>
      </c>
      <c r="H44" s="63">
        <v>0.33329999999999999</v>
      </c>
      <c r="I44" s="64" t="s">
        <v>108</v>
      </c>
      <c r="J44" s="72">
        <v>1</v>
      </c>
      <c r="K44" s="72">
        <v>1</v>
      </c>
      <c r="L44" s="71" t="s">
        <v>145</v>
      </c>
      <c r="M44" s="38">
        <v>0</v>
      </c>
      <c r="N44" s="43">
        <v>0</v>
      </c>
      <c r="O44" s="103" t="s">
        <v>149</v>
      </c>
      <c r="P44" s="105">
        <v>1</v>
      </c>
    </row>
    <row r="45" spans="1:16" ht="118.5" customHeight="1" x14ac:dyDescent="0.25">
      <c r="A45" s="94"/>
      <c r="B45" s="8"/>
      <c r="C45" s="29" t="s">
        <v>89</v>
      </c>
      <c r="D45" s="23"/>
      <c r="E45" s="19" t="s">
        <v>24</v>
      </c>
      <c r="F45" s="4"/>
      <c r="G45" s="65">
        <v>0.33329999999999999</v>
      </c>
      <c r="H45" s="63">
        <v>0.33329999999999999</v>
      </c>
      <c r="I45" s="64" t="s">
        <v>127</v>
      </c>
      <c r="J45" s="72">
        <v>0.33329999999999999</v>
      </c>
      <c r="K45" s="72">
        <v>1</v>
      </c>
      <c r="L45" s="74" t="s">
        <v>128</v>
      </c>
      <c r="M45" s="41">
        <v>1</v>
      </c>
      <c r="N45" s="42">
        <v>1</v>
      </c>
      <c r="O45" s="104" t="s">
        <v>147</v>
      </c>
      <c r="P45" s="105">
        <v>1</v>
      </c>
    </row>
    <row r="46" spans="1:16" ht="123.75" customHeight="1" x14ac:dyDescent="0.25">
      <c r="A46" s="94"/>
      <c r="B46" s="8"/>
      <c r="C46" s="57" t="s">
        <v>90</v>
      </c>
      <c r="D46" s="23"/>
      <c r="E46" s="19" t="s">
        <v>24</v>
      </c>
      <c r="F46" s="4"/>
      <c r="G46" s="54">
        <v>0</v>
      </c>
      <c r="H46" s="55">
        <v>0</v>
      </c>
      <c r="I46" s="56" t="s">
        <v>106</v>
      </c>
      <c r="J46" s="72">
        <v>1</v>
      </c>
      <c r="K46" s="72">
        <v>1</v>
      </c>
      <c r="L46" s="59" t="s">
        <v>146</v>
      </c>
      <c r="M46" s="41">
        <v>1</v>
      </c>
      <c r="N46" s="41">
        <v>1</v>
      </c>
      <c r="O46" s="104" t="s">
        <v>147</v>
      </c>
      <c r="P46" s="105">
        <v>1</v>
      </c>
    </row>
    <row r="47" spans="1:16" ht="100.5" customHeight="1" thickBot="1" x14ac:dyDescent="0.3">
      <c r="A47" s="95"/>
      <c r="B47" s="9"/>
      <c r="C47" s="58" t="s">
        <v>91</v>
      </c>
      <c r="D47" s="5"/>
      <c r="E47" s="19" t="s">
        <v>24</v>
      </c>
      <c r="F47" s="4"/>
      <c r="G47" s="65" t="s">
        <v>107</v>
      </c>
      <c r="H47" s="63">
        <v>0.33329999999999999</v>
      </c>
      <c r="I47" s="64" t="s">
        <v>129</v>
      </c>
      <c r="J47" s="72">
        <v>1</v>
      </c>
      <c r="K47" s="72">
        <v>1</v>
      </c>
      <c r="L47" s="74" t="s">
        <v>130</v>
      </c>
      <c r="M47" s="41">
        <v>0</v>
      </c>
      <c r="N47" s="41">
        <v>0</v>
      </c>
      <c r="O47" s="104" t="s">
        <v>149</v>
      </c>
      <c r="P47" s="105">
        <v>1</v>
      </c>
    </row>
    <row r="48" spans="1:16" x14ac:dyDescent="0.25">
      <c r="G48" s="31"/>
      <c r="H48" s="31"/>
      <c r="I48" s="25"/>
      <c r="J48" s="67">
        <f>SUM(J8:J47)</f>
        <v>25.9999</v>
      </c>
      <c r="K48" s="30"/>
      <c r="L48" s="30"/>
      <c r="M48" s="30"/>
      <c r="N48" s="30"/>
      <c r="O48" s="30"/>
      <c r="P48" s="110">
        <v>1</v>
      </c>
    </row>
    <row r="49" spans="7:15" x14ac:dyDescent="0.25">
      <c r="G49" s="24"/>
      <c r="H49" s="24"/>
      <c r="I49" s="25"/>
      <c r="J49" s="30"/>
      <c r="K49" s="30"/>
      <c r="L49" s="30"/>
      <c r="M49" s="30"/>
      <c r="N49" s="30"/>
      <c r="O49" s="30"/>
    </row>
  </sheetData>
  <mergeCells count="24">
    <mergeCell ref="B38:B40"/>
    <mergeCell ref="K6:L6"/>
    <mergeCell ref="N6:O6"/>
    <mergeCell ref="A8:A47"/>
    <mergeCell ref="B8:B25"/>
    <mergeCell ref="B26:B27"/>
    <mergeCell ref="B28:B32"/>
    <mergeCell ref="B33:B35"/>
    <mergeCell ref="B36:B37"/>
    <mergeCell ref="A5:I5"/>
    <mergeCell ref="A6:A7"/>
    <mergeCell ref="B6:B7"/>
    <mergeCell ref="C6:C7"/>
    <mergeCell ref="D6:D7"/>
    <mergeCell ref="E6:E7"/>
    <mergeCell ref="F6:F7"/>
    <mergeCell ref="H6:I6"/>
    <mergeCell ref="A1:A4"/>
    <mergeCell ref="B4:E4"/>
    <mergeCell ref="B2:O2"/>
    <mergeCell ref="B1:O1"/>
    <mergeCell ref="B3:O3"/>
    <mergeCell ref="F4:J4"/>
    <mergeCell ref="K4:O4"/>
  </mergeCells>
  <phoneticPr fontId="18" type="noConversion"/>
  <pageMargins left="0.7" right="0.7" top="0.75" bottom="0.75" header="0.3" footer="0.3"/>
  <pageSetup paperSize="5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Incentivos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Adriana Diaz Ossa</dc:creator>
  <cp:lastModifiedBy>YOLANDA</cp:lastModifiedBy>
  <cp:lastPrinted>2025-12-31T18:32:15Z</cp:lastPrinted>
  <dcterms:created xsi:type="dcterms:W3CDTF">2025-03-03T15:11:04Z</dcterms:created>
  <dcterms:modified xsi:type="dcterms:W3CDTF">2025-12-31T18:57:49Z</dcterms:modified>
</cp:coreProperties>
</file>