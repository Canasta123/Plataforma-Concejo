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Matrices de seguimiento\4. GESTIÓN DOCUMENTAL\"/>
    </mc:Choice>
  </mc:AlternateContent>
  <xr:revisionPtr revIDLastSave="0" documentId="13_ncr:1_{8D3CFAEF-1D3E-4E89-A825-6D7CD0E8A820}" xr6:coauthVersionLast="47" xr6:coauthVersionMax="47" xr10:uidLastSave="{00000000-0000-0000-0000-000000000000}"/>
  <bookViews>
    <workbookView xWindow="8475" yWindow="30" windowWidth="12015" windowHeight="11040" firstSheet="5" activeTab="6" xr2:uid="{848E1131-FBCF-4D19-B608-63D34361D827}"/>
  </bookViews>
  <sheets>
    <sheet name="CRONOGRAMA PINAR DETALLADO" sheetId="1" r:id="rId1"/>
    <sheet name="PGD" sheetId="6" r:id="rId2"/>
    <sheet name="SIST. G.D" sheetId="7" r:id="rId3"/>
    <sheet name="P. CONSERVACIÓN" sheetId="8" r:id="rId4"/>
    <sheet name="P.CONTINGENCIA" sheetId="9" r:id="rId5"/>
    <sheet name="INFRA TECNOLOGICA" sheetId="10" r:id="rId6"/>
    <sheet name="INFRA FISICA" sheetId="11" r:id="rId7"/>
    <sheet name="Hoja1" sheetId="12" r:id="rId8"/>
    <sheet name="CRONOGRAMA PINAR GENERAL " sheetId="3" state="hidden" r:id="rId9"/>
    <sheet name="CRONOGRAMA PINAR GENERAL PREN" sheetId="5" state="hidden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1" l="1"/>
  <c r="N17" i="8"/>
  <c r="M20" i="6"/>
  <c r="M19" i="6"/>
  <c r="K10" i="11"/>
  <c r="X5" i="11"/>
  <c r="X6" i="11"/>
  <c r="X7" i="11"/>
  <c r="X8" i="11"/>
  <c r="X4" i="11"/>
  <c r="X9" i="11" s="1"/>
  <c r="Z11" i="10"/>
  <c r="Z6" i="10"/>
  <c r="Z7" i="10"/>
  <c r="Z8" i="10"/>
  <c r="Z9" i="10"/>
  <c r="Z10" i="10"/>
  <c r="Z5" i="10"/>
  <c r="M12" i="10"/>
  <c r="M11" i="10"/>
  <c r="N12" i="9"/>
  <c r="N11" i="9"/>
  <c r="AA6" i="9"/>
  <c r="AA7" i="9"/>
  <c r="AA8" i="9"/>
  <c r="AA5" i="9"/>
  <c r="AA6" i="8"/>
  <c r="AA7" i="8"/>
  <c r="AA8" i="8"/>
  <c r="AA9" i="8"/>
  <c r="AA10" i="8"/>
  <c r="AA11" i="8"/>
  <c r="AA12" i="8"/>
  <c r="AA13" i="8"/>
  <c r="AA14" i="8"/>
  <c r="AA15" i="8"/>
  <c r="AA5" i="8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6" i="7"/>
  <c r="Y30" i="7" s="1"/>
  <c r="L31" i="7"/>
  <c r="T9" i="11"/>
  <c r="O9" i="11"/>
  <c r="J9" i="11"/>
  <c r="H9" i="11"/>
  <c r="V11" i="10"/>
  <c r="Q11" i="10"/>
  <c r="L11" i="10"/>
  <c r="J11" i="10"/>
  <c r="S12" i="9"/>
  <c r="S11" i="9"/>
  <c r="W11" i="9"/>
  <c r="R11" i="9"/>
  <c r="M11" i="9"/>
  <c r="K11" i="9"/>
  <c r="N16" i="8"/>
  <c r="W16" i="8"/>
  <c r="R16" i="8"/>
  <c r="M16" i="8"/>
  <c r="K16" i="8"/>
  <c r="P30" i="7"/>
  <c r="L30" i="7"/>
  <c r="K30" i="7"/>
  <c r="I30" i="7"/>
  <c r="J19" i="6"/>
  <c r="Q19" i="6"/>
  <c r="V19" i="6"/>
  <c r="L19" i="6"/>
  <c r="Z17" i="6"/>
  <c r="Z18" i="6"/>
  <c r="Z16" i="6"/>
  <c r="Z5" i="6"/>
  <c r="Z6" i="6"/>
  <c r="Z7" i="6"/>
  <c r="Z8" i="6"/>
  <c r="Z9" i="6"/>
  <c r="AA16" i="8" l="1"/>
  <c r="X19" i="6"/>
  <c r="Z19" i="6"/>
</calcChain>
</file>

<file path=xl/sharedStrings.xml><?xml version="1.0" encoding="utf-8"?>
<sst xmlns="http://schemas.openxmlformats.org/spreadsheetml/2006/main" count="1571" uniqueCount="269">
  <si>
    <t>PLAN / PROGRAMA O PROYECTO ASOCIADO</t>
  </si>
  <si>
    <t>Corto plazo 1 año</t>
  </si>
  <si>
    <t>Largo plazo 4 en adelante</t>
  </si>
  <si>
    <t>ACTIVIDADES</t>
  </si>
  <si>
    <t>ACTUALIZACIÓN E IMPLEMENTACIÓN DEL PLAN DE CONSERVACION DOCUMENTAL DEL CONCEJO MUNICIPAL DE CHIA</t>
  </si>
  <si>
    <t>Actualizar las Tablas de Retención Documental de la entidad.</t>
  </si>
  <si>
    <t>Mapas de Procesos.</t>
  </si>
  <si>
    <t xml:space="preserve"> Elaboración de Inventario Único Documental  Archivo Central y de Gestion </t>
  </si>
  <si>
    <t>Actualizacion de procedimientos de Gestion Documental</t>
  </si>
  <si>
    <t xml:space="preserve">Elaborar Tablas de Valoracion Documental </t>
  </si>
  <si>
    <t xml:space="preserve">Aprobación, evaluación y convalidación, implementación, publicación e inscripción en el Registro único de Series Documentales – RUSD de las Tablas de Retención Documental – TRD  Gestión Documental - </t>
  </si>
  <si>
    <t>Aprobación, evaluación y convalidación, implementación, publicación e inscripción en el Registro único de Series Documentales – RUSD de las Tablas de Retención Documental – TRD  Gestión Documental -</t>
  </si>
  <si>
    <t xml:space="preserve">PLAN DE CONTINGENCIA ARCHIVISITCO </t>
  </si>
  <si>
    <t>socializacion PGD</t>
  </si>
  <si>
    <t xml:space="preserve">socializacion </t>
  </si>
  <si>
    <t xml:space="preserve">elaboración Tablas de Control de Acceso </t>
  </si>
  <si>
    <t xml:space="preserve"> Construcción del Banco Terminológico Actualizado</t>
  </si>
  <si>
    <t xml:space="preserve">Programa de normalización de formas y formularios electrónicos </t>
  </si>
  <si>
    <t>Programa de documentos vitales o esenciales</t>
  </si>
  <si>
    <t>Programa de Gestión de documentos electrónicos</t>
  </si>
  <si>
    <t>Programa de archivos descentralizados</t>
  </si>
  <si>
    <t>Programa de Reprografía</t>
  </si>
  <si>
    <t>Programa de documentos especiales</t>
  </si>
  <si>
    <t>Programa institucional de capacitación</t>
  </si>
  <si>
    <t>Programa auditoría y control</t>
  </si>
  <si>
    <t>Planeacion presupuestal,administrativa y tecnica  para proyecto de Digitalizacion Documental</t>
  </si>
  <si>
    <t>x</t>
  </si>
  <si>
    <t xml:space="preserve">Planeacion presupuestal,administrativa y tecnica  para Elaborar Tablas de Valoracion Documental </t>
  </si>
  <si>
    <t>Planeacion presupuestal,administrativa y tecnica  para Elaborar Tablas de control de acceso</t>
  </si>
  <si>
    <t xml:space="preserve">Aprobación, socializacion y   publicación Tablas de Control de Acceso </t>
  </si>
  <si>
    <t>Planeacion presupuestal,administrativa y tecnica  para Elaborar Inventario de Activos de Informacion</t>
  </si>
  <si>
    <t xml:space="preserve">Elaboracion de inventarios Avtivos de Informacion </t>
  </si>
  <si>
    <t>Planeacion presupuestal,administrativa y tecnica  para la elaboracion del  Sistema de Gestión de Documentos Electrónicos de Archivos- SGDEA</t>
  </si>
  <si>
    <t>Detección de necesidades de infraestructura tecnológica de almacenamiento, redes software y equipos de cómputo para la gestión de documentos de archivo electrónico en matriz.</t>
  </si>
  <si>
    <t xml:space="preserve">Adquisición e implementación de infraestructura tecnológica para gestión de documentos de archivo electrónico.
</t>
  </si>
  <si>
    <t xml:space="preserve">Detección de necesidades de infraestructura fisica de almacenamiento, para la gestión de documentos de archivos fisicos central y dependencias </t>
  </si>
  <si>
    <t>PRODUCTOS / RESULTADOS</t>
  </si>
  <si>
    <t>Aprobación, socializacion y   publicación Inventario Activos de Informacion</t>
  </si>
  <si>
    <t>Proyeccion de presupuesto para atender necesidades de adecuacion del Archivo Central.</t>
  </si>
  <si>
    <t xml:space="preserve">Parametrizacion, actualizacion y soporte  del software de correspodencia </t>
  </si>
  <si>
    <t xml:space="preserve">Adquisicion de software para el sistema de gestion documental </t>
  </si>
  <si>
    <t>Actualización del PGD</t>
  </si>
  <si>
    <t>Publicación del PGD</t>
  </si>
  <si>
    <t xml:space="preserve">Planeación e implementación de actividades propuestas </t>
  </si>
  <si>
    <t>PGD actualizado</t>
  </si>
  <si>
    <t xml:space="preserve">Herramienta de seguimiento </t>
  </si>
  <si>
    <t>Seguimiento semestral</t>
  </si>
  <si>
    <t>Actualización de Instrumentos Archivisticos</t>
  </si>
  <si>
    <t>Procedimientos y formatos actualizados en el sistema de Gestion de Calidad</t>
  </si>
  <si>
    <t>Actualización de manual de ventanilla unica</t>
  </si>
  <si>
    <t>Sistema de correspondencia y comunicaciones oficiales (software)</t>
  </si>
  <si>
    <t xml:space="preserve">
Actualización el Plan de Conservación Documental del Concejo Municipal de Chia</t>
  </si>
  <si>
    <t>Aprobación y publicación el Plan de Conservación Documental del concejo municipal de chia</t>
  </si>
  <si>
    <t xml:space="preserve"> Plan de Conservación Documental del Concejo Municipal de Chia actualizado</t>
  </si>
  <si>
    <t xml:space="preserve">Programa de capacitación y sensibilización sobre conservación documental </t>
  </si>
  <si>
    <t>Diseño de herramientas de seguimiento</t>
  </si>
  <si>
    <t>Actualización  Plan de contingencia Archivisitico  del  Concejo Municipal de Chia.</t>
  </si>
  <si>
    <t xml:space="preserve"> Plan de contingencia Archivisitico  del  Concejo Municipal de Chia. actualizado</t>
  </si>
  <si>
    <t>Diseño de herramientas de segumiento</t>
  </si>
  <si>
    <t>Diagnostico de la gestión documental del  Concejo Municipal de Chia.</t>
  </si>
  <si>
    <t xml:space="preserve">implementacion de actividades propuestas </t>
  </si>
  <si>
    <t xml:space="preserve">implemetación de actividades propuestas </t>
  </si>
  <si>
    <t>Diseño de herramienta de seguimiento</t>
  </si>
  <si>
    <t>Planeación presupuestal,administrativa y técnica  para Actualizar las Tablas de Retención Documental de la entidad.</t>
  </si>
  <si>
    <t>Mediano plazo 2-3 años</t>
  </si>
  <si>
    <t>2028-2030</t>
  </si>
  <si>
    <t>2026 - 2027</t>
  </si>
  <si>
    <t>   ACTUALIZACIÓN E IMPLEMENTACIÓN DEL SISTEMA DE GESTIÓN DOCUMENTAL DEL CONCEJO MUNICIPAL DE CHIA</t>
  </si>
  <si>
    <t>FORTALECIMIENTO DE INFRAESTRUCTURA TÉCNOLOGICA DE LA CORPORACIÓN</t>
  </si>
  <si>
    <t>FORTALECIMIENTO DE LA INFRAESTRUCTURA FISICA DEL ARCHIVO CENTRAL DE LA CORPORACIÓN</t>
  </si>
  <si>
    <t>Socialización  Plan de contingencia Archivisitico  del  Concejo Municipal de Chia.</t>
  </si>
  <si>
    <t>Aprobación y Publicación del  Plan de contingencia Archivisitico  del  Concejo Municipal de Chia.</t>
  </si>
  <si>
    <t xml:space="preserve">RESPONSABLES </t>
  </si>
  <si>
    <t xml:space="preserve">Direccion Administrativa y Financeira, Gestion Documental, Sistemagestion de calidad </t>
  </si>
  <si>
    <t xml:space="preserve">Direccion Administrativa y Financiera /Gestión Documental </t>
  </si>
  <si>
    <t>Gestión Documental / todas las dependencias de la corporacion</t>
  </si>
  <si>
    <t>Gestión Documental / Talento Humano</t>
  </si>
  <si>
    <t>todas las dependencias</t>
  </si>
  <si>
    <t>Comité MIPG,  Dirección Administrativa y Financiera /Gestión Documental/Prensa y comunicaciones.</t>
  </si>
  <si>
    <t xml:space="preserve">Dirección Administrativa y Financiera /Gestión Documental </t>
  </si>
  <si>
    <t>Mesa Directiva,Direccion Administrativa y Financiera,  Gestion Documental</t>
  </si>
  <si>
    <t xml:space="preserve">Técnico Gestión Documental </t>
  </si>
  <si>
    <t>Comité MIPG,  Direccion Administrativa y Financiera /Gestión Documental.</t>
  </si>
  <si>
    <t>ACTUALIZACIÓN E IMPLEMENTACIÓN DEL PROGRAMA DE GESTIÓN DOCUMENTAL</t>
  </si>
  <si>
    <t>Gestión Documental / Prensa y comunicaciones.</t>
  </si>
  <si>
    <t>Dirección Administrativa y Financiera /Gestión Documental</t>
  </si>
  <si>
    <t>Mesa Directiva,Direccion Administrativa y Financiera,  Gestion Documental.</t>
  </si>
  <si>
    <t>Dirección Administrativa y Financiera /Gestión Documental / Asesor/ contratista</t>
  </si>
  <si>
    <t>Actualización del PINAR</t>
  </si>
  <si>
    <t xml:space="preserve">Direccion Administrativa y Financiera, Gestion Documental, Sistema gestión de calidad </t>
  </si>
  <si>
    <t>contratista o proovedor del software</t>
  </si>
  <si>
    <t xml:space="preserve">Soporte o evidencia de  aprobación y publicación </t>
  </si>
  <si>
    <t xml:space="preserve">Soporte o evidencia de socialización </t>
  </si>
  <si>
    <t>Inspecciones y mantenimiento a areas de archivo de gestión y central</t>
  </si>
  <si>
    <t>Saneamiento ambiental</t>
  </si>
  <si>
    <t xml:space="preserve">Adquisición de software para digitalización de documentos </t>
  </si>
  <si>
    <t>Elaboración y actualización  del Diagnostico de la gestión documental del  Concejo Municipal de Chia.</t>
  </si>
  <si>
    <t xml:space="preserve">Soporte o evidencia de publicación </t>
  </si>
  <si>
    <t>Soporte o evidencia de seguimiento</t>
  </si>
  <si>
    <t xml:space="preserve">Cuadros de clasificacion documental </t>
  </si>
  <si>
    <t xml:space="preserve">Capacitaciones sobre correspondencia / normatividad, derechos de peticion tramites. Comunicaciones oficiales </t>
  </si>
  <si>
    <t xml:space="preserve">Por definir </t>
  </si>
  <si>
    <t xml:space="preserve">Soporte de herramienta de seguimiento </t>
  </si>
  <si>
    <t>Matriz o diagnostico de identificacion de necesidades</t>
  </si>
  <si>
    <t>Soporte de planeacion de presupuesto</t>
  </si>
  <si>
    <t>Adquisicion de  mobiliario para archivos de gestion y central</t>
  </si>
  <si>
    <t>Equipos de medicion y seguimiento condiciones  ambientales y emergencias</t>
  </si>
  <si>
    <t>Monitoreo de controles ambientales</t>
  </si>
  <si>
    <t xml:space="preserve">Almacenamiento y realmacenamiento de unidades documentales </t>
  </si>
  <si>
    <t xml:space="preserve">Prevención de emergencias y atención de desatres en temas de gestón documetnal </t>
  </si>
  <si>
    <t xml:space="preserve">Planeación e implementación de actividades propuestas en el PGD </t>
  </si>
  <si>
    <t>Actualizacion del Sistema de correspondencia y comunicaciones oficiales (software)</t>
  </si>
  <si>
    <t>X</t>
  </si>
  <si>
    <t>INDICADOR</t>
  </si>
  <si>
    <t>RESPONSABLE/S</t>
  </si>
  <si>
    <t xml:space="preserve">Direccion Administrativa y Financiera Técnico Gestión Documental </t>
  </si>
  <si>
    <t># de actividades realizadas / # actividades estipuiladas en el Cronograma</t>
  </si>
  <si>
    <t>Actualizacion de procedimientos de Gestion Documental en el sistema de Gestion de Calidad</t>
  </si>
  <si>
    <t># de procedimientos actualizados / # de procedimientos existentes.</t>
  </si>
  <si>
    <t xml:space="preserve">Direccion Administrativa y Financiera Técnico Gestión Documental / proveedor </t>
  </si>
  <si>
    <t>Sistema de correspondencia funcionando, capacitaciones y parametrizacion del mismo</t>
  </si>
  <si>
    <t>Plan de Conservacion Actualizado</t>
  </si>
  <si>
    <t>Plan de contingencia Archivisitico  del  Concejo Municipal de Chia actualizado</t>
  </si>
  <si>
    <t>Matriz de diagnostico de necesidades de infraestructura tecnológica de almacenamiento, redes software y equipos de cómputo para la gestión de documentos de archivo electrónico en matriz. del  Concejo Municipal de Chia.</t>
  </si>
  <si>
    <t>FORTALECIMIENTO DE INFRAESTRUCTURA TÉCNOLOGICA Y fISICA  DE LA CORPORACIÓN</t>
  </si>
  <si>
    <t>AVANCE</t>
  </si>
  <si>
    <t>CUMPLIMIENTO PROCESO I CUATRIM</t>
  </si>
  <si>
    <t>OBSERVACIONES</t>
  </si>
  <si>
    <t>CUMPLIMIENTO PROCESO II CUATRIM</t>
  </si>
  <si>
    <t>CUMPLIMIENTO PROCESO III CUATRIM</t>
  </si>
  <si>
    <t xml:space="preserve">EVIDENCIA </t>
  </si>
  <si>
    <t>1° CUATRIMESTRE</t>
  </si>
  <si>
    <t>EVIDENCIA</t>
  </si>
  <si>
    <t>2° CUATRIMESTRE</t>
  </si>
  <si>
    <t>3° CUATRIMSTRE</t>
  </si>
  <si>
    <t>% AVANCE</t>
  </si>
  <si>
    <t>N/A</t>
  </si>
  <si>
    <t xml:space="preserve">% EJECUTADO DE CADA ACTIVIDAD TOTAL </t>
  </si>
  <si>
    <t xml:space="preserve">PROPUESTO </t>
  </si>
  <si>
    <t xml:space="preserve">PESO  ANUAL  PARA CADA ACTIVIDAD TOTAL </t>
  </si>
  <si>
    <t>ACTIVIDAD</t>
  </si>
  <si>
    <t>Elaboracion del formato matriz de diagnostico de acuerdo al AGN</t>
  </si>
  <si>
    <t xml:space="preserve">Aplicación de diagnostico </t>
  </si>
  <si>
    <t xml:space="preserve">VALOR ASIGNADO A LA ACTIVIDAD X CUATRIMESTRE </t>
  </si>
  <si>
    <t>Legalización y socilaización en el sistema de calidad de la corporación</t>
  </si>
  <si>
    <t xml:space="preserve">VALOR ASIGNADO A LA ACTIVIDAD X CUATRIMESTRE  </t>
  </si>
  <si>
    <t>Identificacion de bosquejo de atividades a actualizar según normatividad vigente</t>
  </si>
  <si>
    <t>Borrador de PGD actulizado,</t>
  </si>
  <si>
    <t>Proyeccion de resolucion de aprobacion de PGD</t>
  </si>
  <si>
    <t>Aprobacion de PGD en comité MIPG</t>
  </si>
  <si>
    <t>Solicitud de publicacion de PGD en pagina web para el area de prensa</t>
  </si>
  <si>
    <t xml:space="preserve">Socializacion y evidencia de publicacion del PGD </t>
  </si>
  <si>
    <t xml:space="preserve">Aplicación de la herramienta de socializacion de PGD </t>
  </si>
  <si>
    <t xml:space="preserve">Diseño de herramienta de socialización </t>
  </si>
  <si>
    <t xml:space="preserve">Evaluacion de la herramienta de socialización </t>
  </si>
  <si>
    <t>Elaboracion de herramienta de seguimiento</t>
  </si>
  <si>
    <t xml:space="preserve">Seguimiento e implementacion de la herramienta de segumiento para cada cuatrimestre </t>
  </si>
  <si>
    <t>Borrador de plan actualizado</t>
  </si>
  <si>
    <t xml:space="preserve">Implementacion de actividades del plan para la vigencia </t>
  </si>
  <si>
    <t>SEGUIMETO 1° CUATRIMESTRE</t>
  </si>
  <si>
    <t>SEGUIMETO 2° CUATRIMESTRE</t>
  </si>
  <si>
    <t>SEGUIMETO 3° CUATRIMESTRE</t>
  </si>
  <si>
    <t>ACTIVIDADES 2025</t>
  </si>
  <si>
    <t xml:space="preserve">AVANCE X CUATRIMESTRE </t>
  </si>
  <si>
    <t xml:space="preserve">Generar alertas o manifestaciones de la necesidad de actualziacion de TRD </t>
  </si>
  <si>
    <t>Evidencia de asignacion de presupuesto</t>
  </si>
  <si>
    <t xml:space="preserve">Parametrizacion, actualizacion y soporte  del software de correspondencia </t>
  </si>
  <si>
    <t xml:space="preserve">incio de Inventario Archivo de gestion </t>
  </si>
  <si>
    <t xml:space="preserve">Avance de inventario de gestion y Archivo central </t>
  </si>
  <si>
    <t xml:space="preserve">Incio de Inventario de Archivo Central </t>
  </si>
  <si>
    <t>Actualizacion del PINAR</t>
  </si>
  <si>
    <t xml:space="preserve">Aprobacion del Pinar y publicacion </t>
  </si>
  <si>
    <t xml:space="preserve">Seguimiento de actividades PINAR </t>
  </si>
  <si>
    <t>Aprobacion del Y  publicacion  del PGD</t>
  </si>
  <si>
    <t>Seguimiento de actividades PGD</t>
  </si>
  <si>
    <t xml:space="preserve">Actualizacion del PGD </t>
  </si>
  <si>
    <t xml:space="preserve">Elaborar borrador de caracterizaciones del proceso </t>
  </si>
  <si>
    <t xml:space="preserve">Socializar cacterizaciones actualizadas </t>
  </si>
  <si>
    <t>Actualizar y aprobar caracterizaciones del proceso</t>
  </si>
  <si>
    <t xml:space="preserve">Actualizar, aprobar y socializar el 80 % de formatos   del proceso  </t>
  </si>
  <si>
    <t xml:space="preserve">Actualizar, aprobar y socializar el 20% de formatos   del proceso  </t>
  </si>
  <si>
    <t>Elaborar borrador de manual de ventanilla unica</t>
  </si>
  <si>
    <t xml:space="preserve">Publiocar y socializar manual de ventanilla unica </t>
  </si>
  <si>
    <t xml:space="preserve">Brindar capacitacion de Archivo </t>
  </si>
  <si>
    <t xml:space="preserve">Coordianr capacitaciond e corrycom </t>
  </si>
  <si>
    <t xml:space="preserve">Coordinar capacitacion de correspinencia </t>
  </si>
  <si>
    <t xml:space="preserve">Elaborar estudios previos y de necesidad para la contratacion del proovedor soporte de CORRYCOM </t>
  </si>
  <si>
    <t xml:space="preserve">Contratacion de soporte para corrycom , e inicio de jecucion del mismo </t>
  </si>
  <si>
    <t xml:space="preserve">Terminar parametrizacion del sistema, los soprotes adecuados </t>
  </si>
  <si>
    <t xml:space="preserve">Proyectar presupuesto para la parte financiera frente a la actualizacion de TRD </t>
  </si>
  <si>
    <t xml:space="preserve">% DE AVANCE CUATRIMESTRE </t>
  </si>
  <si>
    <t xml:space="preserve">Plan de conservacion actualizado </t>
  </si>
  <si>
    <t>Aprobción de Plan de Conservación Actualizado</t>
  </si>
  <si>
    <t xml:space="preserve">Elaboración resolución de aprobación Plan de Conservación Documental </t>
  </si>
  <si>
    <t xml:space="preserve">Borrador plan de concervación actualizado </t>
  </si>
  <si>
    <t>Soporte o evidencia de publicación en pagina web</t>
  </si>
  <si>
    <t xml:space="preserve">Solicitud de publicacion de plan de Conservación en pagina web a prensa </t>
  </si>
  <si>
    <t xml:space="preserve">Seguimiento de pubicación plan de conservación </t>
  </si>
  <si>
    <t xml:space="preserve">Diseño de herramienta de socializacion de Plan de Conservacion Documental </t>
  </si>
  <si>
    <t xml:space="preserve">Ejecución de actividades de socialización de Plan de Conservacion Documental </t>
  </si>
  <si>
    <t xml:space="preserve">Diseño de esquema de seguimiento al Plan de Conservación Documental </t>
  </si>
  <si>
    <t xml:space="preserve">seguimiento al Plan de Conservación Documental </t>
  </si>
  <si>
    <t xml:space="preserve">Borrador de capacitación y sensibilización sobre conservación documental </t>
  </si>
  <si>
    <t xml:space="preserve">Aplicación de actividades de sensibilización </t>
  </si>
  <si>
    <t xml:space="preserve">Diseño del cronograma de visitas y formato de inspeccion de archivos de gestión </t>
  </si>
  <si>
    <t xml:space="preserve">Desarrollo de 9 visitas de inspeccion según cronograma </t>
  </si>
  <si>
    <t xml:space="preserve">Desarrollo de 8 visitas de inspeccion según cronograma </t>
  </si>
  <si>
    <t xml:space="preserve">Aplicación de seguimiento </t>
  </si>
  <si>
    <t xml:space="preserve"> Plan de contingencia Archivistico  del  Concejo Municipal de Chia. actualizado</t>
  </si>
  <si>
    <t xml:space="preserve">Borrador del  Plan de Contingencia Archivistico </t>
  </si>
  <si>
    <t xml:space="preserve">Actualizacion de Plan de Contingencia Archivistico </t>
  </si>
  <si>
    <t xml:space="preserve">Aprobación de  Plan de Contingencia Archivistico </t>
  </si>
  <si>
    <t>Proyeccion de acto administrativo para aprobacion de  Plan de contingencia Archivisitico  del  Concejo Municipal de Chia.</t>
  </si>
  <si>
    <t>Solcitud de publicación de  Plan de contingencia Archivisitico  del  Concejo Municipal de Chia.</t>
  </si>
  <si>
    <t>Soporte de publicación de  Plan de contingencia Archivisitico  del  Concejo Municipal de Chia.</t>
  </si>
  <si>
    <t>Diseño de herramienta de socialización  Plan de contingencia Archivisitico  del  Concejo Municipal de Chia.</t>
  </si>
  <si>
    <t xml:space="preserve">Ejecución de actividades propuestas </t>
  </si>
  <si>
    <t xml:space="preserve">seguimiento a actividades de socialización </t>
  </si>
  <si>
    <t>Ejecucion de actividades prioritarias</t>
  </si>
  <si>
    <t xml:space="preserve">Escaneo de acuerdos para evitar su perdida, refoliacion y cambio de carpetas en inventario documental </t>
  </si>
  <si>
    <t>Elaboración de matriz de necesidades de infraestructura tecnologica</t>
  </si>
  <si>
    <t>Socialización con Direccion Administrativa y Financiera para inciar a proyeccion de presupuesto</t>
  </si>
  <si>
    <t xml:space="preserve">Proyeccion de presupuesto para adquisicion de tecnologia para archivos en la siguiente vigencia. </t>
  </si>
  <si>
    <t xml:space="preserve">Seguimiento a elaboración de matriz con necesidades de archivos de gestion y central </t>
  </si>
  <si>
    <t>Seguimento a evidencias</t>
  </si>
  <si>
    <t xml:space="preserve">Se deja calara la información en reunion de emplame de vigencia 2024.
Se deja evidencia en el PINAR 2025 necesidad para mediano plazo 2026-207 por temas presupuestales y contratación </t>
  </si>
  <si>
    <t>Acta de empalme vigencvia 2023 y PINAR 2025</t>
  </si>
  <si>
    <t>A corte de 30 de abril de 2025 se tienen inventariadas 175 y 2487carpetas del srchivo central para un avance de 65%
en cuanto a archivos de gestion no se han iniciado los inventarios lo cual se tiene programado para iniciar en el segundo semestre de 2025.</t>
  </si>
  <si>
    <t>\\192.168.40.150\ges documental\114 DIR ADMIN\GES DOC\1. GESTION DOCUMENTAL\0. 11416 INSTRUMENTOS ARCHIVISTICOS\11416164 Inven Doc (FUID)\FUID 2024 ARCHIVO CENTRAL CONSOLIDADO</t>
  </si>
  <si>
    <t>Se tiene actualizado para la vigencia 2025</t>
  </si>
  <si>
    <t xml:space="preserve">\\192.168.40.150\compartida\SGC CONCEJO CHIA 2025\5. Procesos  SGC\9. GESTION DOCUMENTAL\Planes y Programas\2025 </t>
  </si>
  <si>
    <t xml:space="preserve">https://concejomunicipalchia.gov.co/views/publicacion-detalle.php?iddoc=1080#gsc.tab=0 </t>
  </si>
  <si>
    <t xml:space="preserve">Se realizo la aprobacion del PINAR ne comité MIPG de enero 2025. se enuentra pubblicado en pagina web de la entidad. </t>
  </si>
  <si>
    <t xml:space="preserve">Actualizar, aprobar y socializar el 40% de formatos del proceso </t>
  </si>
  <si>
    <t xml:space="preserve">Se han actualizado 12 formatos para el proceso de gestion documental y ventanilla unica </t>
  </si>
  <si>
    <t>\\192.168.40.150\compartida\SGC CONCEJO CHIA 2025\5. Procesos  SGC\9. GESTION DOCUMENTAL\3. Formatos</t>
  </si>
  <si>
    <t xml:space="preserve">Elaborar resolucion de aprobacion de manual de ventanilla unica </t>
  </si>
  <si>
    <t>Se proyecto politica y resolucion de aprobacion de politica cero papel</t>
  </si>
  <si>
    <t xml:space="preserve">Se enuentra en correos de juridica listo para revisión y posterior aprobación </t>
  </si>
  <si>
    <t xml:space="preserve">Se elaboro el borrador de manual de ventanilla unica revisado por el DAF y calidad </t>
  </si>
  <si>
    <t xml:space="preserve">Manual de ventanilla Unica </t>
  </si>
  <si>
    <t xml:space="preserve">Se proyecto la resolucion de aprobacion </t>
  </si>
  <si>
    <t>se encuentra en email de juridica para revisión mes de mayo 02</t>
  </si>
  <si>
    <t xml:space="preserve">Listado  de asistencia </t>
  </si>
  <si>
    <t xml:space="preserve">Se enviaron via emial los estudios técnicos para la contratacion de soporte CORRYCOM de ASPIN LTDA </t>
  </si>
  <si>
    <t xml:space="preserve">Emials  a juridica  con estudio técnico y estudios previos  firmados , SECIP II se puede consultar el proceso. </t>
  </si>
  <si>
    <t xml:space="preserve">Se elaboro esta matriz de seguimiento para cada una de las actividades </t>
  </si>
  <si>
    <t xml:space="preserve">Se realiza el respectivo seguiiento en la matriz actual </t>
  </si>
  <si>
    <t>Se incia estructura de diagnostico unificado según lo reglamentado por el AGN</t>
  </si>
  <si>
    <t xml:space="preserve">Excel de avance </t>
  </si>
  <si>
    <t>Excel matriz de seguimiento planes</t>
  </si>
  <si>
    <t xml:space="preserve">Excel de seguimiento planes </t>
  </si>
  <si>
    <t xml:space="preserve">TOTAL: </t>
  </si>
  <si>
    <t>TOTAl</t>
  </si>
  <si>
    <t>Cronogramas y formato</t>
  </si>
  <si>
    <t>excel</t>
  </si>
  <si>
    <t>este excel se diseño para el seguimiento</t>
  </si>
  <si>
    <t xml:space="preserve">este excel </t>
  </si>
  <si>
    <t>se aplica el seguimientro para el 1° cuatrimestre</t>
  </si>
  <si>
    <t>listado de tareas prioritarias</t>
  </si>
  <si>
    <t>Se analiza la priorizacion de tareas para el archivo central</t>
  </si>
  <si>
    <t>Se borrador de matriz  de necesidades de infraestructura tecnologica para vigencia 2025</t>
  </si>
  <si>
    <t>Se realiza el seguimiento a la matriz</t>
  </si>
  <si>
    <t xml:space="preserve">email de requerimientos </t>
  </si>
  <si>
    <t>TOTAL</t>
  </si>
  <si>
    <t>Se brindo capacitacion de archivo para funcionarios y contratistas nuevos el 10/04/2025</t>
  </si>
  <si>
    <t>Se elaboro el borrador Cronogramas y formato</t>
  </si>
  <si>
    <t xml:space="preserve">Se realiza informe  listado de sugerencias para las condiciones necesarias poara el almacenamiento de archivo central  </t>
  </si>
  <si>
    <t>Mesa Directiva, Direccion Administrativa y Financiera,                 Gestion Documental.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</si>
</sst>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</cellStyleXfs>
  <cellXfs count="710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2" fillId="0" borderId="0" xfId="0" applyFont="1" applyAlignment="1">
      <alignment wrapText="1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/>
    <xf numFmtId="0" fontId="3" fillId="0" borderId="6" xfId="0" applyFont="1" applyBorder="1"/>
    <xf numFmtId="0" fontId="3" fillId="0" borderId="8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left" wrapText="1"/>
    </xf>
    <xf numFmtId="0" fontId="3" fillId="0" borderId="7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/>
    </xf>
    <xf numFmtId="0" fontId="4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4" xfId="0" applyBorder="1"/>
    <xf numFmtId="0" fontId="0" fillId="3" borderId="10" xfId="0" applyFill="1" applyBorder="1"/>
    <xf numFmtId="0" fontId="0" fillId="3" borderId="27" xfId="0" applyFill="1" applyBorder="1"/>
    <xf numFmtId="0" fontId="0" fillId="6" borderId="20" xfId="0" applyFill="1" applyBorder="1"/>
    <xf numFmtId="0" fontId="0" fillId="6" borderId="10" xfId="0" applyFill="1" applyBorder="1"/>
    <xf numFmtId="0" fontId="0" fillId="5" borderId="20" xfId="0" applyFill="1" applyBorder="1"/>
    <xf numFmtId="0" fontId="0" fillId="5" borderId="10" xfId="0" applyFill="1" applyBorder="1"/>
    <xf numFmtId="0" fontId="0" fillId="5" borderId="28" xfId="0" applyFill="1" applyBorder="1"/>
    <xf numFmtId="0" fontId="1" fillId="4" borderId="31" xfId="0" applyFont="1" applyFill="1" applyBorder="1" applyAlignment="1">
      <alignment horizontal="center" vertical="center"/>
    </xf>
    <xf numFmtId="9" fontId="4" fillId="9" borderId="34" xfId="0" applyNumberFormat="1" applyFont="1" applyFill="1" applyBorder="1" applyAlignment="1">
      <alignment horizontal="center" vertical="center" wrapText="1"/>
    </xf>
    <xf numFmtId="9" fontId="4" fillId="9" borderId="33" xfId="0" applyNumberFormat="1" applyFont="1" applyFill="1" applyBorder="1" applyAlignment="1">
      <alignment horizontal="center" vertical="center" wrapText="1"/>
    </xf>
    <xf numFmtId="0" fontId="4" fillId="9" borderId="33" xfId="0" applyFont="1" applyFill="1" applyBorder="1" applyAlignment="1">
      <alignment horizontal="center" vertical="center" wrapText="1"/>
    </xf>
    <xf numFmtId="9" fontId="4" fillId="9" borderId="35" xfId="0" applyNumberFormat="1" applyFont="1" applyFill="1" applyBorder="1" applyAlignment="1">
      <alignment horizontal="center" vertical="center" wrapText="1"/>
    </xf>
    <xf numFmtId="0" fontId="0" fillId="3" borderId="20" xfId="0" applyFill="1" applyBorder="1"/>
    <xf numFmtId="0" fontId="4" fillId="3" borderId="2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6" borderId="1" xfId="0" applyFill="1" applyBorder="1" applyAlignment="1">
      <alignment horizontal="center" vertical="center" wrapText="1"/>
    </xf>
    <xf numFmtId="164" fontId="0" fillId="6" borderId="24" xfId="0" applyNumberFormat="1" applyFill="1" applyBorder="1" applyAlignment="1">
      <alignment horizontal="center" vertical="center"/>
    </xf>
    <xf numFmtId="0" fontId="0" fillId="6" borderId="22" xfId="0" applyFill="1" applyBorder="1"/>
    <xf numFmtId="164" fontId="0" fillId="5" borderId="24" xfId="0" applyNumberFormat="1" applyFill="1" applyBorder="1" applyAlignment="1">
      <alignment horizontal="center" vertical="center"/>
    </xf>
    <xf numFmtId="0" fontId="0" fillId="5" borderId="22" xfId="0" applyFill="1" applyBorder="1"/>
    <xf numFmtId="0" fontId="0" fillId="6" borderId="34" xfId="0" applyFill="1" applyBorder="1" applyAlignment="1">
      <alignment wrapText="1"/>
    </xf>
    <xf numFmtId="0" fontId="3" fillId="0" borderId="7" xfId="0" applyFont="1" applyBorder="1" applyAlignment="1">
      <alignment horizontal="left" wrapText="1"/>
    </xf>
    <xf numFmtId="9" fontId="4" fillId="9" borderId="8" xfId="0" applyNumberFormat="1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164" fontId="1" fillId="6" borderId="37" xfId="0" applyNumberFormat="1" applyFont="1" applyFill="1" applyBorder="1" applyAlignment="1">
      <alignment horizontal="center" vertical="center"/>
    </xf>
    <xf numFmtId="0" fontId="0" fillId="6" borderId="31" xfId="0" applyFill="1" applyBorder="1"/>
    <xf numFmtId="0" fontId="0" fillId="5" borderId="31" xfId="0" applyFill="1" applyBorder="1"/>
    <xf numFmtId="0" fontId="0" fillId="5" borderId="29" xfId="0" applyFill="1" applyBorder="1"/>
    <xf numFmtId="9" fontId="4" fillId="9" borderId="1" xfId="0" applyNumberFormat="1" applyFont="1" applyFill="1" applyBorder="1" applyAlignment="1">
      <alignment horizontal="center" vertical="center" wrapText="1"/>
    </xf>
    <xf numFmtId="0" fontId="0" fillId="3" borderId="23" xfId="0" applyFill="1" applyBorder="1"/>
    <xf numFmtId="0" fontId="0" fillId="6" borderId="33" xfId="0" applyFill="1" applyBorder="1" applyAlignment="1">
      <alignment wrapText="1"/>
    </xf>
    <xf numFmtId="0" fontId="0" fillId="5" borderId="33" xfId="0" applyFill="1" applyBorder="1" applyAlignment="1">
      <alignment wrapText="1"/>
    </xf>
    <xf numFmtId="9" fontId="0" fillId="5" borderId="10" xfId="1" applyFont="1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horizontal="center"/>
    </xf>
    <xf numFmtId="0" fontId="0" fillId="3" borderId="33" xfId="0" applyFill="1" applyBorder="1"/>
    <xf numFmtId="164" fontId="1" fillId="3" borderId="33" xfId="0" applyNumberFormat="1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0" fillId="6" borderId="40" xfId="0" applyFill="1" applyBorder="1"/>
    <xf numFmtId="0" fontId="0" fillId="6" borderId="36" xfId="0" applyFill="1" applyBorder="1"/>
    <xf numFmtId="0" fontId="0" fillId="6" borderId="18" xfId="0" applyFill="1" applyBorder="1"/>
    <xf numFmtId="0" fontId="0" fillId="6" borderId="15" xfId="0" applyFill="1" applyBorder="1"/>
    <xf numFmtId="0" fontId="1" fillId="5" borderId="37" xfId="0" applyFont="1" applyFill="1" applyBorder="1" applyAlignment="1">
      <alignment horizontal="center" vertical="center" wrapText="1"/>
    </xf>
    <xf numFmtId="9" fontId="0" fillId="5" borderId="17" xfId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4" xfId="0" applyFill="1" applyBorder="1" applyAlignment="1">
      <alignment wrapText="1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3" borderId="28" xfId="0" applyFill="1" applyBorder="1"/>
    <xf numFmtId="0" fontId="0" fillId="6" borderId="35" xfId="0" applyFill="1" applyBorder="1" applyAlignment="1">
      <alignment wrapText="1"/>
    </xf>
    <xf numFmtId="164" fontId="0" fillId="6" borderId="42" xfId="0" applyNumberFormat="1" applyFill="1" applyBorder="1" applyAlignment="1">
      <alignment horizontal="center"/>
    </xf>
    <xf numFmtId="0" fontId="0" fillId="6" borderId="28" xfId="0" applyFill="1" applyBorder="1"/>
    <xf numFmtId="0" fontId="0" fillId="6" borderId="41" xfId="0" applyFill="1" applyBorder="1"/>
    <xf numFmtId="0" fontId="0" fillId="5" borderId="35" xfId="0" applyFill="1" applyBorder="1" applyAlignment="1">
      <alignment wrapText="1"/>
    </xf>
    <xf numFmtId="0" fontId="4" fillId="9" borderId="32" xfId="0" applyFont="1" applyFill="1" applyBorder="1" applyAlignment="1">
      <alignment horizontal="center" vertical="center" wrapText="1"/>
    </xf>
    <xf numFmtId="0" fontId="0" fillId="3" borderId="32" xfId="0" applyFill="1" applyBorder="1"/>
    <xf numFmtId="164" fontId="1" fillId="3" borderId="35" xfId="1" applyNumberFormat="1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9" fontId="0" fillId="5" borderId="37" xfId="1" applyFont="1" applyFill="1" applyBorder="1" applyAlignment="1">
      <alignment horizontal="center" vertical="center"/>
    </xf>
    <xf numFmtId="164" fontId="0" fillId="5" borderId="19" xfId="0" applyNumberFormat="1" applyFill="1" applyBorder="1" applyAlignment="1">
      <alignment horizontal="center"/>
    </xf>
    <xf numFmtId="9" fontId="0" fillId="0" borderId="0" xfId="1" applyFont="1"/>
    <xf numFmtId="0" fontId="4" fillId="0" borderId="30" xfId="0" applyFont="1" applyBorder="1" applyAlignment="1">
      <alignment horizontal="center" vertical="center" wrapText="1"/>
    </xf>
    <xf numFmtId="164" fontId="1" fillId="3" borderId="35" xfId="0" applyNumberFormat="1" applyFont="1" applyFill="1" applyBorder="1" applyAlignment="1">
      <alignment horizontal="center"/>
    </xf>
    <xf numFmtId="0" fontId="4" fillId="0" borderId="45" xfId="0" applyFont="1" applyBorder="1" applyAlignment="1">
      <alignment horizontal="center" vertical="center" wrapText="1"/>
    </xf>
    <xf numFmtId="9" fontId="9" fillId="0" borderId="46" xfId="0" applyNumberFormat="1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9" fontId="6" fillId="8" borderId="3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9" fontId="4" fillId="9" borderId="22" xfId="0" applyNumberFormat="1" applyFont="1" applyFill="1" applyBorder="1" applyAlignment="1">
      <alignment horizontal="center" vertical="center" wrapText="1"/>
    </xf>
    <xf numFmtId="0" fontId="0" fillId="6" borderId="22" xfId="0" applyFill="1" applyBorder="1" applyAlignment="1">
      <alignment wrapText="1"/>
    </xf>
    <xf numFmtId="164" fontId="0" fillId="6" borderId="22" xfId="0" applyNumberFormat="1" applyFill="1" applyBorder="1" applyAlignment="1">
      <alignment horizontal="center"/>
    </xf>
    <xf numFmtId="9" fontId="0" fillId="5" borderId="44" xfId="1" applyFont="1" applyFill="1" applyBorder="1" applyAlignment="1">
      <alignment horizontal="center"/>
    </xf>
    <xf numFmtId="0" fontId="1" fillId="7" borderId="2" xfId="0" applyFont="1" applyFill="1" applyBorder="1"/>
    <xf numFmtId="0" fontId="1" fillId="7" borderId="9" xfId="0" applyFont="1" applyFill="1" applyBorder="1" applyAlignment="1">
      <alignment horizontal="center" vertical="center"/>
    </xf>
    <xf numFmtId="9" fontId="0" fillId="7" borderId="47" xfId="1" applyFont="1" applyFill="1" applyBorder="1" applyAlignment="1">
      <alignment horizontal="center" vertical="center"/>
    </xf>
    <xf numFmtId="9" fontId="0" fillId="7" borderId="48" xfId="1" applyFont="1" applyFill="1" applyBorder="1" applyAlignment="1">
      <alignment horizontal="center" vertical="center"/>
    </xf>
    <xf numFmtId="9" fontId="0" fillId="7" borderId="2" xfId="1" applyFont="1" applyFill="1" applyBorder="1" applyAlignment="1">
      <alignment horizontal="center" vertical="center"/>
    </xf>
    <xf numFmtId="9" fontId="0" fillId="7" borderId="49" xfId="1" applyFont="1" applyFill="1" applyBorder="1" applyAlignment="1">
      <alignment horizontal="center" vertical="center"/>
    </xf>
    <xf numFmtId="9" fontId="0" fillId="7" borderId="4" xfId="1" applyFont="1" applyFill="1" applyBorder="1" applyAlignment="1">
      <alignment horizontal="center" vertical="center"/>
    </xf>
    <xf numFmtId="0" fontId="0" fillId="0" borderId="11" xfId="0" applyBorder="1"/>
    <xf numFmtId="0" fontId="0" fillId="0" borderId="29" xfId="0" applyBorder="1"/>
    <xf numFmtId="0" fontId="0" fillId="0" borderId="9" xfId="0" applyBorder="1"/>
    <xf numFmtId="0" fontId="0" fillId="0" borderId="5" xfId="0" applyBorder="1"/>
    <xf numFmtId="0" fontId="1" fillId="5" borderId="39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23" xfId="0" applyFill="1" applyBorder="1"/>
    <xf numFmtId="0" fontId="0" fillId="5" borderId="25" xfId="0" applyFill="1" applyBorder="1"/>
    <xf numFmtId="0" fontId="0" fillId="5" borderId="43" xfId="0" applyFill="1" applyBorder="1"/>
    <xf numFmtId="0" fontId="0" fillId="5" borderId="27" xfId="0" applyFill="1" applyBorder="1"/>
    <xf numFmtId="0" fontId="0" fillId="5" borderId="26" xfId="0" applyFill="1" applyBorder="1" applyAlignment="1">
      <alignment wrapText="1"/>
    </xf>
    <xf numFmtId="0" fontId="0" fillId="5" borderId="45" xfId="0" applyFill="1" applyBorder="1" applyAlignment="1">
      <alignment wrapText="1"/>
    </xf>
    <xf numFmtId="0" fontId="4" fillId="3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9" fontId="0" fillId="0" borderId="10" xfId="0" applyNumberFormat="1" applyBorder="1"/>
    <xf numFmtId="9" fontId="0" fillId="0" borderId="0" xfId="0" applyNumberFormat="1"/>
    <xf numFmtId="0" fontId="3" fillId="0" borderId="1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9" fontId="6" fillId="0" borderId="20" xfId="0" applyNumberFormat="1" applyFont="1" applyBorder="1" applyAlignment="1">
      <alignment horizontal="center" vertical="center"/>
    </xf>
    <xf numFmtId="9" fontId="15" fillId="0" borderId="20" xfId="0" applyNumberFormat="1" applyFont="1" applyBorder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9" fontId="15" fillId="0" borderId="10" xfId="0" applyNumberFormat="1" applyFont="1" applyBorder="1" applyAlignment="1">
      <alignment vertical="center"/>
    </xf>
    <xf numFmtId="9" fontId="15" fillId="0" borderId="20" xfId="0" applyNumberFormat="1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wrapText="1"/>
    </xf>
    <xf numFmtId="9" fontId="15" fillId="0" borderId="10" xfId="0" applyNumberFormat="1" applyFont="1" applyBorder="1" applyAlignment="1">
      <alignment horizontal="center" vertical="center"/>
    </xf>
    <xf numFmtId="9" fontId="0" fillId="3" borderId="22" xfId="0" applyNumberFormat="1" applyFill="1" applyBorder="1"/>
    <xf numFmtId="0" fontId="6" fillId="0" borderId="10" xfId="0" applyFont="1" applyBorder="1" applyAlignment="1">
      <alignment wrapText="1"/>
    </xf>
    <xf numFmtId="0" fontId="8" fillId="0" borderId="10" xfId="0" applyFont="1" applyBorder="1" applyAlignment="1">
      <alignment horizontal="center" vertical="center"/>
    </xf>
    <xf numFmtId="9" fontId="0" fillId="3" borderId="22" xfId="0" applyNumberFormat="1" applyFill="1" applyBorder="1" applyAlignment="1">
      <alignment horizontal="center"/>
    </xf>
    <xf numFmtId="9" fontId="0" fillId="3" borderId="22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2" fillId="0" borderId="15" xfId="0" applyFont="1" applyBorder="1" applyAlignment="1">
      <alignment horizontal="center" vertical="top"/>
    </xf>
    <xf numFmtId="9" fontId="6" fillId="0" borderId="20" xfId="0" applyNumberFormat="1" applyFont="1" applyBorder="1" applyAlignment="1">
      <alignment horizontal="center" vertical="center" wrapText="1"/>
    </xf>
    <xf numFmtId="9" fontId="8" fillId="0" borderId="20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9" fontId="8" fillId="0" borderId="1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4" fillId="0" borderId="6" xfId="0" applyFont="1" applyBorder="1" applyAlignment="1">
      <alignment horizontal="center" vertical="top" wrapText="1"/>
    </xf>
    <xf numFmtId="9" fontId="15" fillId="0" borderId="0" xfId="0" applyNumberFormat="1" applyFont="1"/>
    <xf numFmtId="0" fontId="4" fillId="3" borderId="11" xfId="0" applyFont="1" applyFill="1" applyBorder="1" applyAlignment="1">
      <alignment horizontal="center" vertical="center" wrapText="1"/>
    </xf>
    <xf numFmtId="0" fontId="1" fillId="7" borderId="7" xfId="0" applyFont="1" applyFill="1" applyBorder="1"/>
    <xf numFmtId="0" fontId="4" fillId="3" borderId="54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 wrapText="1"/>
    </xf>
    <xf numFmtId="9" fontId="0" fillId="0" borderId="20" xfId="0" applyNumberFormat="1" applyBorder="1"/>
    <xf numFmtId="0" fontId="0" fillId="0" borderId="20" xfId="0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9" borderId="10" xfId="0" applyFill="1" applyBorder="1"/>
    <xf numFmtId="0" fontId="4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vertical="top"/>
    </xf>
    <xf numFmtId="0" fontId="3" fillId="9" borderId="2" xfId="0" applyFont="1" applyFill="1" applyBorder="1" applyAlignment="1">
      <alignment vertical="top"/>
    </xf>
    <xf numFmtId="0" fontId="3" fillId="9" borderId="13" xfId="0" applyFont="1" applyFill="1" applyBorder="1" applyAlignment="1">
      <alignment horizontal="center" vertical="top" wrapText="1"/>
    </xf>
    <xf numFmtId="0" fontId="3" fillId="9" borderId="14" xfId="0" applyFont="1" applyFill="1" applyBorder="1" applyAlignment="1">
      <alignment horizontal="center" vertical="top" wrapText="1"/>
    </xf>
    <xf numFmtId="0" fontId="2" fillId="9" borderId="13" xfId="0" applyFont="1" applyFill="1" applyBorder="1" applyAlignment="1">
      <alignment horizontal="center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vertical="top"/>
    </xf>
    <xf numFmtId="0" fontId="4" fillId="9" borderId="8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vertical="top"/>
    </xf>
    <xf numFmtId="0" fontId="3" fillId="9" borderId="0" xfId="0" applyFont="1" applyFill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 wrapText="1"/>
    </xf>
    <xf numFmtId="0" fontId="2" fillId="9" borderId="14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vertical="top"/>
    </xf>
    <xf numFmtId="0" fontId="3" fillId="10" borderId="2" xfId="0" applyFont="1" applyFill="1" applyBorder="1" applyAlignment="1">
      <alignment vertical="top"/>
    </xf>
    <xf numFmtId="0" fontId="3" fillId="10" borderId="14" xfId="0" applyFont="1" applyFill="1" applyBorder="1" applyAlignment="1">
      <alignment horizontal="center" vertical="top" wrapText="1"/>
    </xf>
    <xf numFmtId="0" fontId="2" fillId="10" borderId="14" xfId="0" applyFont="1" applyFill="1" applyBorder="1" applyAlignment="1">
      <alignment horizontal="center" vertical="top" wrapText="1"/>
    </xf>
    <xf numFmtId="0" fontId="3" fillId="10" borderId="11" xfId="0" applyFont="1" applyFill="1" applyBorder="1" applyAlignment="1">
      <alignment horizontal="center" vertical="top" wrapText="1"/>
    </xf>
    <xf numFmtId="0" fontId="3" fillId="10" borderId="13" xfId="0" applyFont="1" applyFill="1" applyBorder="1" applyAlignment="1">
      <alignment horizontal="center" vertical="top" wrapText="1"/>
    </xf>
    <xf numFmtId="0" fontId="2" fillId="10" borderId="14" xfId="0" applyFont="1" applyFill="1" applyBorder="1" applyAlignment="1">
      <alignment horizontal="center" vertical="top"/>
    </xf>
    <xf numFmtId="0" fontId="3" fillId="10" borderId="3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  <xf numFmtId="0" fontId="3" fillId="5" borderId="14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vertical="top"/>
    </xf>
    <xf numFmtId="0" fontId="3" fillId="5" borderId="6" xfId="0" applyFont="1" applyFill="1" applyBorder="1" applyAlignment="1">
      <alignment vertical="top"/>
    </xf>
    <xf numFmtId="0" fontId="3" fillId="5" borderId="13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0" fontId="3" fillId="5" borderId="0" xfId="0" applyFont="1" applyFill="1" applyAlignment="1">
      <alignment horizontal="center" vertical="top" wrapText="1"/>
    </xf>
    <xf numFmtId="0" fontId="3" fillId="5" borderId="1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/>
    <xf numFmtId="0" fontId="3" fillId="7" borderId="2" xfId="0" applyFont="1" applyFill="1" applyBorder="1"/>
    <xf numFmtId="0" fontId="3" fillId="7" borderId="13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wrapText="1"/>
    </xf>
    <xf numFmtId="0" fontId="3" fillId="7" borderId="3" xfId="0" applyFont="1" applyFill="1" applyBorder="1"/>
    <xf numFmtId="0" fontId="3" fillId="7" borderId="6" xfId="0" applyFont="1" applyFill="1" applyBorder="1"/>
    <xf numFmtId="0" fontId="0" fillId="7" borderId="13" xfId="0" applyFill="1" applyBorder="1" applyAlignment="1">
      <alignment horizontal="center"/>
    </xf>
    <xf numFmtId="0" fontId="3" fillId="7" borderId="3" xfId="0" applyFont="1" applyFill="1" applyBorder="1" applyAlignment="1">
      <alignment horizontal="left" wrapText="1"/>
    </xf>
    <xf numFmtId="0" fontId="4" fillId="7" borderId="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3" fillId="0" borderId="14" xfId="0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" fillId="7" borderId="1" xfId="0" applyFont="1" applyFill="1" applyBorder="1"/>
    <xf numFmtId="0" fontId="1" fillId="7" borderId="7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/>
    </xf>
    <xf numFmtId="9" fontId="6" fillId="0" borderId="19" xfId="0" applyNumberFormat="1" applyFont="1" applyBorder="1" applyAlignment="1">
      <alignment horizontal="center"/>
    </xf>
    <xf numFmtId="0" fontId="13" fillId="0" borderId="5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30" xfId="0" applyBorder="1"/>
    <xf numFmtId="0" fontId="0" fillId="0" borderId="6" xfId="0" applyBorder="1"/>
    <xf numFmtId="9" fontId="0" fillId="0" borderId="3" xfId="0" applyNumberFormat="1" applyBorder="1"/>
    <xf numFmtId="9" fontId="6" fillId="0" borderId="12" xfId="0" applyNumberFormat="1" applyFont="1" applyBorder="1" applyAlignment="1">
      <alignment horizontal="center" vertical="center" wrapText="1"/>
    </xf>
    <xf numFmtId="9" fontId="6" fillId="0" borderId="45" xfId="0" applyNumberFormat="1" applyFont="1" applyBorder="1" applyAlignment="1">
      <alignment horizontal="center" vertical="center" wrapText="1"/>
    </xf>
    <xf numFmtId="9" fontId="0" fillId="0" borderId="56" xfId="0" applyNumberFormat="1" applyBorder="1" applyAlignment="1">
      <alignment horizontal="center" vertical="center"/>
    </xf>
    <xf numFmtId="9" fontId="0" fillId="0" borderId="56" xfId="0" applyNumberForma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/>
    <xf numFmtId="0" fontId="3" fillId="11" borderId="2" xfId="0" applyFont="1" applyFill="1" applyBorder="1"/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left" wrapText="1"/>
    </xf>
    <xf numFmtId="0" fontId="3" fillId="11" borderId="8" xfId="0" applyFont="1" applyFill="1" applyBorder="1"/>
    <xf numFmtId="0" fontId="3" fillId="11" borderId="3" xfId="0" applyFont="1" applyFill="1" applyBorder="1" applyAlignment="1">
      <alignment horizontal="left" wrapText="1"/>
    </xf>
    <xf numFmtId="0" fontId="3" fillId="11" borderId="3" xfId="0" applyFont="1" applyFill="1" applyBorder="1"/>
    <xf numFmtId="0" fontId="3" fillId="11" borderId="6" xfId="0" applyFont="1" applyFill="1" applyBorder="1"/>
    <xf numFmtId="0" fontId="0" fillId="11" borderId="13" xfId="0" applyFill="1" applyBorder="1"/>
    <xf numFmtId="9" fontId="0" fillId="3" borderId="10" xfId="0" applyNumberFormat="1" applyFill="1" applyBorder="1" applyAlignment="1">
      <alignment horizontal="center" vertical="center"/>
    </xf>
    <xf numFmtId="9" fontId="0" fillId="3" borderId="28" xfId="0" applyNumberForma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9" fontId="0" fillId="6" borderId="10" xfId="0" applyNumberFormat="1" applyFill="1" applyBorder="1" applyAlignment="1">
      <alignment horizontal="center"/>
    </xf>
    <xf numFmtId="0" fontId="0" fillId="6" borderId="27" xfId="0" applyFill="1" applyBorder="1"/>
    <xf numFmtId="0" fontId="0" fillId="6" borderId="26" xfId="0" applyFill="1" applyBorder="1" applyAlignment="1">
      <alignment horizontal="center" vertical="center" wrapText="1"/>
    </xf>
    <xf numFmtId="9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6" xfId="0" applyFill="1" applyBorder="1" applyAlignment="1">
      <alignment wrapText="1"/>
    </xf>
    <xf numFmtId="0" fontId="3" fillId="6" borderId="26" xfId="0" applyFont="1" applyFill="1" applyBorder="1" applyAlignment="1">
      <alignment horizontal="center" vertical="center" wrapText="1"/>
    </xf>
    <xf numFmtId="0" fontId="0" fillId="6" borderId="51" xfId="0" applyFill="1" applyBorder="1" applyAlignment="1">
      <alignment horizontal="center" vertical="center" wrapText="1"/>
    </xf>
    <xf numFmtId="9" fontId="0" fillId="6" borderId="52" xfId="0" applyNumberFormat="1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9" fontId="0" fillId="5" borderId="10" xfId="0" applyNumberFormat="1" applyFill="1" applyBorder="1" applyAlignment="1">
      <alignment horizontal="center" vertical="center"/>
    </xf>
    <xf numFmtId="0" fontId="0" fillId="5" borderId="26" xfId="0" applyFill="1" applyBorder="1" applyAlignment="1">
      <alignment horizontal="left" vertical="center" wrapText="1"/>
    </xf>
    <xf numFmtId="9" fontId="0" fillId="5" borderId="10" xfId="0" applyNumberFormat="1" applyFill="1" applyBorder="1" applyAlignment="1">
      <alignment horizontal="center"/>
    </xf>
    <xf numFmtId="0" fontId="0" fillId="5" borderId="26" xfId="0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0" fillId="5" borderId="51" xfId="0" applyFill="1" applyBorder="1" applyAlignment="1">
      <alignment horizontal="center" vertical="center" wrapText="1"/>
    </xf>
    <xf numFmtId="9" fontId="0" fillId="5" borderId="52" xfId="0" applyNumberFormat="1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0" fontId="0" fillId="6" borderId="55" xfId="0" applyFill="1" applyBorder="1" applyAlignment="1">
      <alignment horizontal="center" wrapText="1"/>
    </xf>
    <xf numFmtId="9" fontId="0" fillId="6" borderId="20" xfId="0" applyNumberFormat="1" applyFill="1" applyBorder="1" applyAlignment="1">
      <alignment horizontal="center"/>
    </xf>
    <xf numFmtId="0" fontId="0" fillId="6" borderId="25" xfId="0" applyFill="1" applyBorder="1"/>
    <xf numFmtId="0" fontId="0" fillId="5" borderId="55" xfId="0" applyFill="1" applyBorder="1" applyAlignment="1">
      <alignment wrapText="1"/>
    </xf>
    <xf numFmtId="9" fontId="0" fillId="5" borderId="20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0" fillId="3" borderId="20" xfId="0" applyFill="1" applyBorder="1" applyAlignment="1">
      <alignment vertical="center" wrapText="1"/>
    </xf>
    <xf numFmtId="0" fontId="0" fillId="3" borderId="27" xfId="0" applyFill="1" applyBorder="1" applyAlignment="1">
      <alignment horizontal="center" vertical="center" wrapText="1"/>
    </xf>
    <xf numFmtId="0" fontId="11" fillId="3" borderId="10" xfId="2" applyFill="1" applyBorder="1" applyAlignment="1">
      <alignment horizontal="center" vertical="center" wrapText="1"/>
    </xf>
    <xf numFmtId="0" fontId="0" fillId="3" borderId="27" xfId="0" applyFill="1" applyBorder="1" applyAlignment="1">
      <alignment wrapText="1"/>
    </xf>
    <xf numFmtId="0" fontId="0" fillId="6" borderId="27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11" fillId="6" borderId="10" xfId="2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53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0" fontId="0" fillId="3" borderId="23" xfId="0" applyFill="1" applyBorder="1" applyAlignment="1">
      <alignment wrapText="1"/>
    </xf>
    <xf numFmtId="0" fontId="1" fillId="12" borderId="37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0" fillId="13" borderId="31" xfId="0" applyFill="1" applyBorder="1"/>
    <xf numFmtId="0" fontId="0" fillId="13" borderId="22" xfId="0" applyFill="1" applyBorder="1"/>
    <xf numFmtId="0" fontId="0" fillId="13" borderId="20" xfId="0" applyFill="1" applyBorder="1"/>
    <xf numFmtId="0" fontId="0" fillId="13" borderId="28" xfId="0" applyFill="1" applyBorder="1"/>
    <xf numFmtId="0" fontId="0" fillId="13" borderId="10" xfId="0" applyFill="1" applyBorder="1"/>
    <xf numFmtId="0" fontId="0" fillId="3" borderId="22" xfId="0" applyFill="1" applyBorder="1" applyAlignment="1">
      <alignment wrapText="1"/>
    </xf>
    <xf numFmtId="9" fontId="0" fillId="9" borderId="33" xfId="0" applyNumberFormat="1" applyFill="1" applyBorder="1" applyAlignment="1">
      <alignment horizontal="center" vertical="center"/>
    </xf>
    <xf numFmtId="9" fontId="0" fillId="9" borderId="35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6" borderId="7" xfId="0" applyFill="1" applyBorder="1" applyAlignment="1">
      <alignment wrapText="1"/>
    </xf>
    <xf numFmtId="164" fontId="0" fillId="6" borderId="37" xfId="0" applyNumberFormat="1" applyFill="1" applyBorder="1" applyAlignment="1">
      <alignment horizontal="center"/>
    </xf>
    <xf numFmtId="0" fontId="0" fillId="5" borderId="7" xfId="0" applyFill="1" applyBorder="1" applyAlignment="1">
      <alignment wrapText="1"/>
    </xf>
    <xf numFmtId="164" fontId="0" fillId="5" borderId="37" xfId="0" applyNumberFormat="1" applyFill="1" applyBorder="1" applyAlignment="1">
      <alignment horizontal="center"/>
    </xf>
    <xf numFmtId="9" fontId="0" fillId="7" borderId="9" xfId="1" applyFon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/>
    </xf>
    <xf numFmtId="1" fontId="0" fillId="5" borderId="10" xfId="1" applyNumberFormat="1" applyFont="1" applyFill="1" applyBorder="1" applyAlignment="1">
      <alignment horizontal="center"/>
    </xf>
    <xf numFmtId="9" fontId="0" fillId="7" borderId="10" xfId="1" applyFont="1" applyFill="1" applyBorder="1" applyAlignment="1">
      <alignment horizontal="center" vertical="center"/>
    </xf>
    <xf numFmtId="9" fontId="3" fillId="3" borderId="11" xfId="0" applyNumberFormat="1" applyFont="1" applyFill="1" applyBorder="1" applyAlignment="1">
      <alignment horizontal="center" vertical="center" wrapText="1"/>
    </xf>
    <xf numFmtId="9" fontId="3" fillId="3" borderId="13" xfId="0" applyNumberFormat="1" applyFont="1" applyFill="1" applyBorder="1" applyAlignment="1">
      <alignment horizontal="center" vertical="center" wrapText="1"/>
    </xf>
    <xf numFmtId="9" fontId="3" fillId="3" borderId="61" xfId="0" applyNumberFormat="1" applyFont="1" applyFill="1" applyBorder="1" applyAlignment="1">
      <alignment horizontal="center" vertical="center" wrapText="1"/>
    </xf>
    <xf numFmtId="9" fontId="3" fillId="3" borderId="62" xfId="0" applyNumberFormat="1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9" fontId="3" fillId="3" borderId="60" xfId="0" applyNumberFormat="1" applyFont="1" applyFill="1" applyBorder="1" applyAlignment="1">
      <alignment horizontal="center" vertical="center" wrapText="1"/>
    </xf>
    <xf numFmtId="9" fontId="3" fillId="3" borderId="36" xfId="0" applyNumberFormat="1" applyFont="1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 vertical="center"/>
    </xf>
    <xf numFmtId="9" fontId="0" fillId="12" borderId="7" xfId="0" applyNumberForma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9" fontId="0" fillId="12" borderId="34" xfId="0" applyNumberFormat="1" applyFill="1" applyBorder="1" applyAlignment="1">
      <alignment horizontal="center" vertical="center"/>
    </xf>
    <xf numFmtId="9" fontId="0" fillId="12" borderId="35" xfId="0" applyNumberFormat="1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9" fontId="0" fillId="12" borderId="33" xfId="0" applyNumberForma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49" xfId="0" applyFill="1" applyBorder="1"/>
    <xf numFmtId="0" fontId="0" fillId="3" borderId="48" xfId="0" applyFill="1" applyBorder="1"/>
    <xf numFmtId="0" fontId="0" fillId="3" borderId="2" xfId="0" applyFill="1" applyBorder="1" applyAlignment="1">
      <alignment wrapText="1"/>
    </xf>
    <xf numFmtId="0" fontId="0" fillId="3" borderId="63" xfId="0" applyFill="1" applyBorder="1"/>
    <xf numFmtId="0" fontId="0" fillId="3" borderId="16" xfId="0" applyFill="1" applyBorder="1"/>
    <xf numFmtId="0" fontId="0" fillId="3" borderId="47" xfId="0" applyFill="1" applyBorder="1"/>
    <xf numFmtId="0" fontId="0" fillId="3" borderId="24" xfId="0" applyFill="1" applyBorder="1" applyAlignment="1">
      <alignment wrapText="1"/>
    </xf>
    <xf numFmtId="0" fontId="1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/>
    <xf numFmtId="0" fontId="0" fillId="3" borderId="34" xfId="0" applyFill="1" applyBorder="1"/>
    <xf numFmtId="0" fontId="0" fillId="3" borderId="35" xfId="0" applyFill="1" applyBorder="1"/>
    <xf numFmtId="0" fontId="6" fillId="7" borderId="2" xfId="0" applyFont="1" applyFill="1" applyBorder="1" applyAlignment="1">
      <alignment horizontal="center" wrapText="1"/>
    </xf>
    <xf numFmtId="9" fontId="6" fillId="7" borderId="19" xfId="0" applyNumberFormat="1" applyFont="1" applyFill="1" applyBorder="1" applyAlignment="1">
      <alignment horizontal="center"/>
    </xf>
    <xf numFmtId="0" fontId="0" fillId="9" borderId="60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9" fontId="0" fillId="7" borderId="10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0" fillId="7" borderId="20" xfId="0" applyNumberFormat="1" applyFill="1" applyBorder="1" applyAlignment="1">
      <alignment horizontal="center" vertical="center"/>
    </xf>
    <xf numFmtId="9" fontId="0" fillId="9" borderId="22" xfId="0" applyNumberFormat="1" applyFill="1" applyBorder="1" applyAlignment="1">
      <alignment horizontal="center" vertical="center"/>
    </xf>
    <xf numFmtId="9" fontId="0" fillId="6" borderId="22" xfId="0" applyNumberFormat="1" applyFill="1" applyBorder="1"/>
    <xf numFmtId="0" fontId="0" fillId="5" borderId="22" xfId="0" applyFill="1" applyBorder="1" applyAlignment="1">
      <alignment wrapText="1"/>
    </xf>
    <xf numFmtId="9" fontId="0" fillId="5" borderId="22" xfId="0" applyNumberFormat="1" applyFill="1" applyBorder="1"/>
    <xf numFmtId="9" fontId="0" fillId="7" borderId="23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left" wrapText="1"/>
    </xf>
    <xf numFmtId="164" fontId="0" fillId="6" borderId="22" xfId="0" applyNumberFormat="1" applyFill="1" applyBorder="1"/>
    <xf numFmtId="10" fontId="0" fillId="5" borderId="22" xfId="0" applyNumberFormat="1" applyFill="1" applyBorder="1"/>
    <xf numFmtId="164" fontId="0" fillId="5" borderId="22" xfId="0" applyNumberFormat="1" applyFill="1" applyBorder="1"/>
    <xf numFmtId="0" fontId="0" fillId="9" borderId="20" xfId="0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2" fillId="0" borderId="41" xfId="0" applyFont="1" applyBorder="1" applyAlignment="1">
      <alignment horizontal="center" vertical="top"/>
    </xf>
    <xf numFmtId="0" fontId="0" fillId="9" borderId="28" xfId="0" applyFill="1" applyBorder="1" applyAlignment="1">
      <alignment horizontal="center" vertical="center"/>
    </xf>
    <xf numFmtId="9" fontId="0" fillId="7" borderId="28" xfId="0" applyNumberFormat="1" applyFill="1" applyBorder="1" applyAlignment="1">
      <alignment horizontal="center" vertical="center"/>
    </xf>
    <xf numFmtId="9" fontId="8" fillId="0" borderId="20" xfId="0" applyNumberFormat="1" applyFont="1" applyBorder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top" wrapText="1"/>
    </xf>
    <xf numFmtId="0" fontId="3" fillId="3" borderId="22" xfId="0" applyFont="1" applyFill="1" applyBorder="1" applyAlignment="1">
      <alignment horizontal="center" vertical="center" wrapText="1"/>
    </xf>
    <xf numFmtId="9" fontId="0" fillId="9" borderId="1" xfId="0" applyNumberFormat="1" applyFill="1" applyBorder="1" applyAlignment="1">
      <alignment horizontal="center" vertical="center"/>
    </xf>
    <xf numFmtId="9" fontId="0" fillId="9" borderId="3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wrapText="1"/>
    </xf>
    <xf numFmtId="0" fontId="0" fillId="3" borderId="21" xfId="0" applyFill="1" applyBorder="1"/>
    <xf numFmtId="0" fontId="0" fillId="3" borderId="57" xfId="0" applyFill="1" applyBorder="1"/>
    <xf numFmtId="0" fontId="0" fillId="6" borderId="21" xfId="0" applyFill="1" applyBorder="1" applyAlignment="1">
      <alignment wrapText="1"/>
    </xf>
    <xf numFmtId="0" fontId="0" fillId="6" borderId="23" xfId="0" applyFill="1" applyBorder="1"/>
    <xf numFmtId="0" fontId="0" fillId="6" borderId="23" xfId="0" applyFill="1" applyBorder="1" applyAlignment="1">
      <alignment wrapText="1"/>
    </xf>
    <xf numFmtId="0" fontId="0" fillId="5" borderId="21" xfId="0" applyFill="1" applyBorder="1" applyAlignment="1">
      <alignment wrapText="1"/>
    </xf>
    <xf numFmtId="0" fontId="0" fillId="5" borderId="21" xfId="0" applyFill="1" applyBorder="1"/>
    <xf numFmtId="0" fontId="0" fillId="5" borderId="57" xfId="0" applyFill="1" applyBorder="1"/>
    <xf numFmtId="0" fontId="0" fillId="5" borderId="58" xfId="0" applyFill="1" applyBorder="1"/>
    <xf numFmtId="0" fontId="0" fillId="5" borderId="44" xfId="0" applyFill="1" applyBorder="1"/>
    <xf numFmtId="0" fontId="0" fillId="5" borderId="56" xfId="0" applyFill="1" applyBorder="1"/>
    <xf numFmtId="0" fontId="0" fillId="7" borderId="1" xfId="0" applyFill="1" applyBorder="1"/>
    <xf numFmtId="0" fontId="0" fillId="7" borderId="3" xfId="0" applyFill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9" fontId="0" fillId="9" borderId="2" xfId="0" applyNumberFormat="1" applyFill="1" applyBorder="1" applyAlignment="1">
      <alignment horizontal="center" vertical="top"/>
    </xf>
    <xf numFmtId="0" fontId="0" fillId="9" borderId="49" xfId="0" applyFill="1" applyBorder="1" applyAlignment="1">
      <alignment horizontal="center" vertical="center"/>
    </xf>
    <xf numFmtId="9" fontId="0" fillId="9" borderId="2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vertical="top" wrapText="1"/>
    </xf>
    <xf numFmtId="0" fontId="0" fillId="3" borderId="22" xfId="0" applyFill="1" applyBorder="1" applyAlignment="1">
      <alignment vertical="top"/>
    </xf>
    <xf numFmtId="0" fontId="0" fillId="3" borderId="55" xfId="0" applyFill="1" applyBorder="1"/>
    <xf numFmtId="0" fontId="3" fillId="3" borderId="21" xfId="0" applyFont="1" applyFill="1" applyBorder="1" applyAlignment="1">
      <alignment horizontal="center" vertical="center" wrapText="1"/>
    </xf>
    <xf numFmtId="0" fontId="0" fillId="6" borderId="21" xfId="0" applyFill="1" applyBorder="1" applyAlignment="1">
      <alignment vertical="top" wrapText="1"/>
    </xf>
    <xf numFmtId="9" fontId="0" fillId="6" borderId="22" xfId="0" applyNumberFormat="1" applyFill="1" applyBorder="1" applyAlignment="1">
      <alignment vertical="top"/>
    </xf>
    <xf numFmtId="0" fontId="0" fillId="6" borderId="22" xfId="0" applyFill="1" applyBorder="1" applyAlignment="1">
      <alignment vertical="top"/>
    </xf>
    <xf numFmtId="0" fontId="0" fillId="6" borderId="23" xfId="0" applyFill="1" applyBorder="1" applyAlignment="1">
      <alignment vertical="top"/>
    </xf>
    <xf numFmtId="0" fontId="0" fillId="6" borderId="55" xfId="0" applyFill="1" applyBorder="1"/>
    <xf numFmtId="0" fontId="0" fillId="5" borderId="21" xfId="0" applyFill="1" applyBorder="1" applyAlignment="1">
      <alignment vertical="top" wrapText="1"/>
    </xf>
    <xf numFmtId="9" fontId="0" fillId="5" borderId="22" xfId="0" applyNumberFormat="1" applyFill="1" applyBorder="1" applyAlignment="1">
      <alignment vertical="top"/>
    </xf>
    <xf numFmtId="0" fontId="0" fillId="5" borderId="22" xfId="0" applyFill="1" applyBorder="1" applyAlignment="1">
      <alignment vertical="top"/>
    </xf>
    <xf numFmtId="0" fontId="0" fillId="5" borderId="23" xfId="0" applyFill="1" applyBorder="1" applyAlignment="1">
      <alignment vertical="top"/>
    </xf>
    <xf numFmtId="0" fontId="0" fillId="5" borderId="55" xfId="0" applyFill="1" applyBorder="1"/>
    <xf numFmtId="9" fontId="0" fillId="7" borderId="1" xfId="0" applyNumberFormat="1" applyFill="1" applyBorder="1"/>
    <xf numFmtId="0" fontId="0" fillId="3" borderId="23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6" borderId="57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0" fillId="3" borderId="23" xfId="0" applyFill="1" applyBorder="1" applyAlignment="1">
      <alignment vertical="top" wrapText="1"/>
    </xf>
    <xf numFmtId="9" fontId="0" fillId="3" borderId="22" xfId="0" applyNumberFormat="1" applyFill="1" applyBorder="1" applyAlignment="1">
      <alignment horizontal="center" vertical="top"/>
    </xf>
    <xf numFmtId="0" fontId="0" fillId="3" borderId="55" xfId="0" applyFill="1" applyBorder="1" applyAlignment="1">
      <alignment horizontal="center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9" fontId="16" fillId="0" borderId="2" xfId="0" applyNumberFormat="1" applyFont="1" applyBorder="1" applyAlignment="1">
      <alignment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3" xfId="0" applyFill="1" applyBorder="1" applyAlignment="1">
      <alignment vertical="center" wrapText="1"/>
    </xf>
    <xf numFmtId="0" fontId="0" fillId="6" borderId="21" xfId="0" applyFill="1" applyBorder="1" applyAlignment="1">
      <alignment horizontal="center" vertical="center" wrapText="1"/>
    </xf>
    <xf numFmtId="9" fontId="0" fillId="6" borderId="22" xfId="0" applyNumberFormat="1" applyFill="1" applyBorder="1" applyAlignment="1">
      <alignment horizontal="center" vertical="center"/>
    </xf>
    <xf numFmtId="0" fontId="0" fillId="6" borderId="5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 wrapText="1"/>
    </xf>
    <xf numFmtId="9" fontId="0" fillId="5" borderId="22" xfId="0" applyNumberFormat="1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9" borderId="7" xfId="0" applyNumberForma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9" fontId="0" fillId="12" borderId="20" xfId="0" applyNumberFormat="1" applyFill="1" applyBorder="1" applyAlignment="1">
      <alignment horizontal="center" vertical="center"/>
    </xf>
    <xf numFmtId="0" fontId="0" fillId="12" borderId="10" xfId="0" applyFill="1" applyBorder="1"/>
    <xf numFmtId="9" fontId="0" fillId="12" borderId="10" xfId="0" applyNumberFormat="1" applyFill="1" applyBorder="1" applyAlignment="1">
      <alignment horizontal="center" vertical="center"/>
    </xf>
    <xf numFmtId="164" fontId="0" fillId="12" borderId="20" xfId="0" applyNumberFormat="1" applyFill="1" applyBorder="1" applyAlignment="1">
      <alignment horizontal="center" vertical="center"/>
    </xf>
    <xf numFmtId="9" fontId="0" fillId="12" borderId="28" xfId="0" applyNumberForma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9" fontId="0" fillId="13" borderId="10" xfId="0" applyNumberFormat="1" applyFill="1" applyBorder="1"/>
    <xf numFmtId="0" fontId="0" fillId="13" borderId="52" xfId="0" applyFill="1" applyBorder="1" applyAlignment="1">
      <alignment horizontal="center" vertical="center"/>
    </xf>
    <xf numFmtId="9" fontId="0" fillId="12" borderId="22" xfId="0" applyNumberFormat="1" applyFill="1" applyBorder="1"/>
    <xf numFmtId="0" fontId="0" fillId="12" borderId="20" xfId="0" applyFill="1" applyBorder="1"/>
    <xf numFmtId="0" fontId="0" fillId="12" borderId="28" xfId="0" applyFill="1" applyBorder="1"/>
    <xf numFmtId="9" fontId="0" fillId="13" borderId="22" xfId="0" applyNumberFormat="1" applyFill="1" applyBorder="1"/>
    <xf numFmtId="10" fontId="0" fillId="13" borderId="22" xfId="0" applyNumberFormat="1" applyFill="1" applyBorder="1"/>
    <xf numFmtId="0" fontId="1" fillId="14" borderId="38" xfId="0" applyFont="1" applyFill="1" applyBorder="1" applyAlignment="1">
      <alignment horizontal="center" vertical="center"/>
    </xf>
    <xf numFmtId="0" fontId="0" fillId="14" borderId="22" xfId="0" applyFill="1" applyBorder="1"/>
    <xf numFmtId="0" fontId="0" fillId="14" borderId="20" xfId="0" applyFill="1" applyBorder="1"/>
    <xf numFmtId="0" fontId="0" fillId="14" borderId="10" xfId="0" applyFill="1" applyBorder="1"/>
    <xf numFmtId="0" fontId="0" fillId="14" borderId="28" xfId="0" applyFill="1" applyBorder="1"/>
    <xf numFmtId="0" fontId="1" fillId="14" borderId="21" xfId="0" applyFont="1" applyFill="1" applyBorder="1" applyAlignment="1">
      <alignment horizontal="center" vertical="center"/>
    </xf>
    <xf numFmtId="0" fontId="0" fillId="14" borderId="52" xfId="0" applyFill="1" applyBorder="1" applyAlignment="1">
      <alignment horizontal="center" vertical="center"/>
    </xf>
    <xf numFmtId="0" fontId="0" fillId="14" borderId="31" xfId="0" applyFill="1" applyBorder="1"/>
    <xf numFmtId="0" fontId="1" fillId="12" borderId="28" xfId="0" applyFont="1" applyFill="1" applyBorder="1" applyAlignment="1">
      <alignment horizontal="center" vertical="center"/>
    </xf>
    <xf numFmtId="0" fontId="1" fillId="13" borderId="28" xfId="0" applyFont="1" applyFill="1" applyBorder="1" applyAlignment="1">
      <alignment horizontal="center" vertical="center"/>
    </xf>
    <xf numFmtId="0" fontId="1" fillId="14" borderId="28" xfId="0" applyFont="1" applyFill="1" applyBorder="1" applyAlignment="1">
      <alignment horizontal="center" vertical="center"/>
    </xf>
    <xf numFmtId="9" fontId="0" fillId="12" borderId="22" xfId="0" applyNumberFormat="1" applyFill="1" applyBorder="1" applyAlignment="1">
      <alignment vertical="top"/>
    </xf>
    <xf numFmtId="0" fontId="0" fillId="12" borderId="55" xfId="0" applyFill="1" applyBorder="1"/>
    <xf numFmtId="9" fontId="0" fillId="12" borderId="22" xfId="0" applyNumberFormat="1" applyFill="1" applyBorder="1" applyAlignment="1">
      <alignment horizontal="center" vertical="center" wrapText="1"/>
    </xf>
    <xf numFmtId="0" fontId="0" fillId="13" borderId="22" xfId="0" applyFill="1" applyBorder="1" applyAlignment="1">
      <alignment vertical="top"/>
    </xf>
    <xf numFmtId="0" fontId="0" fillId="13" borderId="55" xfId="0" applyFill="1" applyBorder="1"/>
    <xf numFmtId="0" fontId="0" fillId="14" borderId="22" xfId="0" applyFill="1" applyBorder="1" applyAlignment="1">
      <alignment vertical="top"/>
    </xf>
    <xf numFmtId="0" fontId="0" fillId="14" borderId="55" xfId="0" applyFill="1" applyBorder="1"/>
    <xf numFmtId="0" fontId="0" fillId="13" borderId="55" xfId="0" applyFill="1" applyBorder="1" applyAlignment="1">
      <alignment horizontal="center" vertical="center"/>
    </xf>
    <xf numFmtId="0" fontId="0" fillId="14" borderId="55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9" fontId="1" fillId="12" borderId="22" xfId="0" applyNumberFormat="1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top" wrapText="1"/>
    </xf>
    <xf numFmtId="0" fontId="4" fillId="5" borderId="12" xfId="0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9" borderId="7" xfId="0" applyFont="1" applyFill="1" applyBorder="1" applyAlignment="1">
      <alignment horizontal="left" vertical="center" wrapText="1"/>
    </xf>
    <xf numFmtId="0" fontId="3" fillId="9" borderId="8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10" borderId="7" xfId="0" applyFont="1" applyFill="1" applyBorder="1" applyAlignment="1">
      <alignment horizontal="left" vertical="top" wrapText="1"/>
    </xf>
    <xf numFmtId="0" fontId="3" fillId="10" borderId="8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14" borderId="10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9" fontId="6" fillId="7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55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/>
    </xf>
    <xf numFmtId="0" fontId="3" fillId="3" borderId="26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top" wrapText="1"/>
    </xf>
    <xf numFmtId="0" fontId="3" fillId="3" borderId="55" xfId="0" applyFont="1" applyFill="1" applyBorder="1" applyAlignment="1">
      <alignment horizontal="left" vertical="center" wrapText="1"/>
    </xf>
    <xf numFmtId="0" fontId="3" fillId="3" borderId="51" xfId="0" applyFont="1" applyFill="1" applyBorder="1" applyAlignment="1">
      <alignment horizontal="left" vertical="center" wrapText="1"/>
    </xf>
  </cellXfs>
  <cellStyles count="4">
    <cellStyle name="Hipervínculo" xfId="2" builtinId="8"/>
    <cellStyle name="Normal" xfId="0" builtinId="0"/>
    <cellStyle name="Normal 2" xfId="3" xr:uid="{01E5B03E-9100-48E2-8CC0-8752D935A69B}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cejomunicipalchia.gov.co/views/publicacion-detalle.php?iddoc=1080" TargetMode="External"/><Relationship Id="rId2" Type="http://schemas.openxmlformats.org/officeDocument/2006/relationships/hyperlink" Target="../../../5.%20Procesos%20%20SGC/9.%20GESTION%20DOCUMENTAL/Planes%20y%20Programas/2025" TargetMode="External"/><Relationship Id="rId1" Type="http://schemas.openxmlformats.org/officeDocument/2006/relationships/hyperlink" Target="file:///\\192.168.40.150\ges%20documental\114%20DIR%20ADMIN\GES%20DOC\1.%20GESTION%20DOCUMENTAL\0.%2011416%20INSTRUMENTOS%20ARCHIVISTICOS\11416164%20Inven%20Doc%20(FUID)\FUID%202024%20ARCHIVO%20CENTRAL%20CONSOLIDADO" TargetMode="External"/><Relationship Id="rId4" Type="http://schemas.openxmlformats.org/officeDocument/2006/relationships/hyperlink" Target="../../../5.%20Procesos%20%20SGC/9.%20GESTION%20DOCUMENTAL/3.%20Forma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7BAA-4E9E-40BB-8B58-5A32AF05660D}">
  <dimension ref="C2:U82"/>
  <sheetViews>
    <sheetView topLeftCell="A73" zoomScale="80" zoomScaleNormal="80" workbookViewId="0">
      <selection activeCell="E79" sqref="E79"/>
    </sheetView>
  </sheetViews>
  <sheetFormatPr baseColWidth="10" defaultRowHeight="15" x14ac:dyDescent="0.25"/>
  <cols>
    <col min="3" max="3" width="29.42578125" customWidth="1"/>
    <col min="4" max="4" width="27.85546875" style="1" customWidth="1"/>
    <col min="5" max="5" width="37" style="1" customWidth="1"/>
    <col min="6" max="6" width="16.42578125" customWidth="1"/>
    <col min="7" max="7" width="15.85546875" customWidth="1"/>
    <col min="8" max="8" width="17.7109375" customWidth="1"/>
    <col min="9" max="9" width="24.28515625" customWidth="1"/>
    <col min="10" max="10" width="11.42578125" customWidth="1"/>
    <col min="11" max="11" width="35.42578125" customWidth="1"/>
    <col min="12" max="12" width="21.42578125" customWidth="1"/>
    <col min="13" max="14" width="14" customWidth="1"/>
    <col min="15" max="15" width="36.7109375" customWidth="1"/>
    <col min="16" max="16" width="18.42578125" customWidth="1"/>
    <col min="19" max="19" width="36.140625" customWidth="1"/>
    <col min="20" max="20" width="17.5703125" customWidth="1"/>
    <col min="21" max="21" width="18" customWidth="1"/>
  </cols>
  <sheetData>
    <row r="2" spans="3:21" ht="15.75" thickBot="1" x14ac:dyDescent="0.3">
      <c r="C2" s="605"/>
      <c r="D2" s="605"/>
      <c r="E2" s="605"/>
      <c r="F2" s="605"/>
      <c r="G2" s="605"/>
      <c r="H2" s="605"/>
    </row>
    <row r="3" spans="3:21" ht="53.25" customHeight="1" thickBot="1" x14ac:dyDescent="0.3">
      <c r="C3" s="606" t="s">
        <v>0</v>
      </c>
      <c r="D3" s="606" t="s">
        <v>3</v>
      </c>
      <c r="E3" s="606" t="s">
        <v>36</v>
      </c>
      <c r="F3" s="236" t="s">
        <v>1</v>
      </c>
      <c r="G3" s="236" t="s">
        <v>64</v>
      </c>
      <c r="H3" s="237" t="s">
        <v>2</v>
      </c>
      <c r="I3" s="609" t="s">
        <v>72</v>
      </c>
      <c r="J3" s="620" t="s">
        <v>131</v>
      </c>
      <c r="K3" s="621"/>
      <c r="L3" s="621"/>
      <c r="M3" s="621"/>
      <c r="N3" s="622"/>
      <c r="O3" s="620" t="s">
        <v>133</v>
      </c>
      <c r="P3" s="621"/>
      <c r="Q3" s="622"/>
      <c r="R3" s="623" t="s">
        <v>134</v>
      </c>
      <c r="S3" s="623"/>
      <c r="T3" s="623"/>
      <c r="U3" s="623"/>
    </row>
    <row r="4" spans="3:21" ht="34.5" customHeight="1" thickBot="1" x14ac:dyDescent="0.3">
      <c r="C4" s="608"/>
      <c r="D4" s="608"/>
      <c r="E4" s="608"/>
      <c r="F4" s="239">
        <v>2025</v>
      </c>
      <c r="G4" s="239" t="s">
        <v>66</v>
      </c>
      <c r="H4" s="240" t="s">
        <v>65</v>
      </c>
      <c r="I4" s="610"/>
      <c r="J4" s="72" t="s">
        <v>125</v>
      </c>
      <c r="K4" s="72" t="s">
        <v>126</v>
      </c>
      <c r="L4" s="72" t="s">
        <v>127</v>
      </c>
      <c r="M4" s="72" t="s">
        <v>125</v>
      </c>
      <c r="N4" s="72" t="s">
        <v>130</v>
      </c>
      <c r="O4" s="72" t="s">
        <v>128</v>
      </c>
      <c r="P4" s="72" t="s">
        <v>127</v>
      </c>
      <c r="Q4" s="72" t="s">
        <v>132</v>
      </c>
      <c r="R4" s="72" t="s">
        <v>125</v>
      </c>
      <c r="S4" s="72" t="s">
        <v>129</v>
      </c>
      <c r="T4" s="72" t="s">
        <v>127</v>
      </c>
      <c r="U4" s="72" t="s">
        <v>132</v>
      </c>
    </row>
    <row r="5" spans="3:21" ht="63" customHeight="1" thickBot="1" x14ac:dyDescent="0.3">
      <c r="C5" s="606" t="s">
        <v>83</v>
      </c>
      <c r="D5" s="241" t="s">
        <v>96</v>
      </c>
      <c r="E5" s="242" t="s">
        <v>59</v>
      </c>
      <c r="F5" s="236" t="s">
        <v>26</v>
      </c>
      <c r="G5" s="236" t="s">
        <v>26</v>
      </c>
      <c r="H5" s="237" t="s">
        <v>26</v>
      </c>
      <c r="I5" s="243" t="s">
        <v>81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</row>
    <row r="6" spans="3:21" ht="35.25" customHeight="1" thickBot="1" x14ac:dyDescent="0.3">
      <c r="C6" s="607"/>
      <c r="D6" s="241" t="s">
        <v>41</v>
      </c>
      <c r="E6" s="241" t="s">
        <v>44</v>
      </c>
      <c r="F6" s="236" t="s">
        <v>26</v>
      </c>
      <c r="G6" s="244" t="s">
        <v>26</v>
      </c>
      <c r="H6" s="245" t="s">
        <v>26</v>
      </c>
      <c r="I6" s="246" t="s">
        <v>81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</row>
    <row r="7" spans="3:21" ht="47.25" customHeight="1" thickBot="1" x14ac:dyDescent="0.3">
      <c r="C7" s="607"/>
      <c r="D7" s="241" t="s">
        <v>42</v>
      </c>
      <c r="E7" s="247" t="s">
        <v>97</v>
      </c>
      <c r="F7" s="238" t="s">
        <v>26</v>
      </c>
      <c r="G7" s="248" t="s">
        <v>26</v>
      </c>
      <c r="H7" s="249" t="s">
        <v>26</v>
      </c>
      <c r="I7" s="250" t="s">
        <v>84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</row>
    <row r="8" spans="3:21" ht="38.25" customHeight="1" thickBot="1" x14ac:dyDescent="0.3">
      <c r="C8" s="607"/>
      <c r="D8" s="241" t="s">
        <v>13</v>
      </c>
      <c r="E8" s="241" t="s">
        <v>92</v>
      </c>
      <c r="F8" s="236" t="s">
        <v>26</v>
      </c>
      <c r="G8" s="244" t="s">
        <v>26</v>
      </c>
      <c r="H8" s="245" t="s">
        <v>26</v>
      </c>
      <c r="I8" s="243" t="s">
        <v>81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</row>
    <row r="9" spans="3:21" ht="39.75" customHeight="1" thickBot="1" x14ac:dyDescent="0.3">
      <c r="C9" s="607"/>
      <c r="D9" s="241" t="s">
        <v>62</v>
      </c>
      <c r="E9" s="241" t="s">
        <v>45</v>
      </c>
      <c r="F9" s="236" t="s">
        <v>26</v>
      </c>
      <c r="G9" s="244" t="s">
        <v>26</v>
      </c>
      <c r="H9" s="245" t="s">
        <v>26</v>
      </c>
      <c r="I9" s="243" t="s">
        <v>81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</row>
    <row r="10" spans="3:21" ht="40.5" customHeight="1" x14ac:dyDescent="0.25">
      <c r="C10" s="607"/>
      <c r="D10" s="630" t="s">
        <v>43</v>
      </c>
      <c r="E10" s="251" t="s">
        <v>17</v>
      </c>
      <c r="F10" s="88"/>
      <c r="G10" s="88" t="s">
        <v>26</v>
      </c>
      <c r="H10" s="184" t="s">
        <v>26</v>
      </c>
      <c r="I10" s="611" t="s">
        <v>85</v>
      </c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</row>
    <row r="11" spans="3:21" ht="38.25" customHeight="1" x14ac:dyDescent="0.25">
      <c r="C11" s="607"/>
      <c r="D11" s="631"/>
      <c r="E11" s="252" t="s">
        <v>18</v>
      </c>
      <c r="F11" s="253"/>
      <c r="G11" s="239" t="s">
        <v>26</v>
      </c>
      <c r="H11" s="240" t="s">
        <v>26</v>
      </c>
      <c r="I11" s="612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3:21" ht="38.25" customHeight="1" x14ac:dyDescent="0.25">
      <c r="C12" s="607"/>
      <c r="D12" s="631"/>
      <c r="E12" s="252" t="s">
        <v>19</v>
      </c>
      <c r="F12" s="253"/>
      <c r="G12" s="239" t="s">
        <v>26</v>
      </c>
      <c r="H12" s="240" t="s">
        <v>26</v>
      </c>
      <c r="I12" s="612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</row>
    <row r="13" spans="3:21" ht="28.5" customHeight="1" x14ac:dyDescent="0.25">
      <c r="C13" s="607"/>
      <c r="D13" s="631"/>
      <c r="E13" s="252" t="s">
        <v>20</v>
      </c>
      <c r="F13" s="239"/>
      <c r="G13" s="239" t="s">
        <v>26</v>
      </c>
      <c r="H13" s="240" t="s">
        <v>26</v>
      </c>
      <c r="I13" s="612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</row>
    <row r="14" spans="3:21" ht="28.5" customHeight="1" x14ac:dyDescent="0.25">
      <c r="C14" s="607"/>
      <c r="D14" s="631"/>
      <c r="E14" s="252" t="s">
        <v>21</v>
      </c>
      <c r="F14" s="253"/>
      <c r="G14" s="239" t="s">
        <v>26</v>
      </c>
      <c r="H14" s="240" t="s">
        <v>26</v>
      </c>
      <c r="I14" s="612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</row>
    <row r="15" spans="3:21" ht="28.5" customHeight="1" x14ac:dyDescent="0.25">
      <c r="C15" s="607"/>
      <c r="D15" s="631"/>
      <c r="E15" s="252" t="s">
        <v>22</v>
      </c>
      <c r="F15" s="253"/>
      <c r="G15" s="239" t="s">
        <v>26</v>
      </c>
      <c r="H15" s="240" t="s">
        <v>26</v>
      </c>
      <c r="I15" s="612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</row>
    <row r="16" spans="3:21" ht="28.5" customHeight="1" x14ac:dyDescent="0.25">
      <c r="C16" s="607"/>
      <c r="D16" s="631"/>
      <c r="E16" s="252" t="s">
        <v>23</v>
      </c>
      <c r="F16" s="239" t="s">
        <v>26</v>
      </c>
      <c r="G16" s="239" t="s">
        <v>26</v>
      </c>
      <c r="H16" s="240" t="s">
        <v>26</v>
      </c>
      <c r="I16" s="612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</row>
    <row r="17" spans="3:21" ht="29.25" customHeight="1" thickBot="1" x14ac:dyDescent="0.3">
      <c r="C17" s="607"/>
      <c r="D17" s="632"/>
      <c r="E17" s="254" t="s">
        <v>24</v>
      </c>
      <c r="F17" s="238" t="s">
        <v>26</v>
      </c>
      <c r="G17" s="238" t="s">
        <v>26</v>
      </c>
      <c r="H17" s="255" t="s">
        <v>26</v>
      </c>
      <c r="I17" s="613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3:21" ht="41.25" customHeight="1" thickBot="1" x14ac:dyDescent="0.3">
      <c r="C18" s="608"/>
      <c r="D18" s="247" t="s">
        <v>46</v>
      </c>
      <c r="E18" s="247" t="s">
        <v>98</v>
      </c>
      <c r="F18" s="238" t="s">
        <v>26</v>
      </c>
      <c r="G18" s="238" t="s">
        <v>26</v>
      </c>
      <c r="H18" s="255" t="s">
        <v>26</v>
      </c>
      <c r="I18" s="243" t="s">
        <v>81</v>
      </c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</row>
    <row r="19" spans="3:21" ht="41.25" customHeight="1" thickBot="1" x14ac:dyDescent="0.3">
      <c r="C19" s="616" t="s">
        <v>0</v>
      </c>
      <c r="D19" s="616" t="s">
        <v>3</v>
      </c>
      <c r="E19" s="616" t="s">
        <v>36</v>
      </c>
      <c r="F19" s="256" t="s">
        <v>1</v>
      </c>
      <c r="G19" s="256" t="s">
        <v>64</v>
      </c>
      <c r="H19" s="257" t="s">
        <v>2</v>
      </c>
      <c r="I19" s="646" t="s">
        <v>72</v>
      </c>
      <c r="J19" s="258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</row>
    <row r="20" spans="3:21" ht="48" customHeight="1" thickBot="1" x14ac:dyDescent="0.3">
      <c r="C20" s="617"/>
      <c r="D20" s="617"/>
      <c r="E20" s="617"/>
      <c r="F20" s="186">
        <v>2025</v>
      </c>
      <c r="G20" s="186" t="s">
        <v>66</v>
      </c>
      <c r="H20" s="259" t="s">
        <v>65</v>
      </c>
      <c r="I20" s="647"/>
      <c r="J20" s="258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</row>
    <row r="21" spans="3:21" ht="55.5" customHeight="1" thickBot="1" x14ac:dyDescent="0.3">
      <c r="C21" s="616" t="s">
        <v>67</v>
      </c>
      <c r="D21" s="624" t="s">
        <v>47</v>
      </c>
      <c r="E21" s="260" t="s">
        <v>63</v>
      </c>
      <c r="F21" s="261" t="s">
        <v>26</v>
      </c>
      <c r="G21" s="262"/>
      <c r="H21" s="263"/>
      <c r="I21" s="264" t="s">
        <v>86</v>
      </c>
      <c r="J21" s="258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</row>
    <row r="22" spans="3:21" ht="51.75" customHeight="1" thickBot="1" x14ac:dyDescent="0.3">
      <c r="C22" s="640"/>
      <c r="D22" s="625"/>
      <c r="E22" s="260" t="s">
        <v>5</v>
      </c>
      <c r="F22" s="262"/>
      <c r="G22" s="261" t="s">
        <v>26</v>
      </c>
      <c r="H22" s="263"/>
      <c r="I22" s="265" t="s">
        <v>87</v>
      </c>
      <c r="J22" s="258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</row>
    <row r="23" spans="3:21" ht="76.5" customHeight="1" thickBot="1" x14ac:dyDescent="0.3">
      <c r="C23" s="640"/>
      <c r="D23" s="625"/>
      <c r="E23" s="260" t="s">
        <v>10</v>
      </c>
      <c r="F23" s="262"/>
      <c r="G23" s="261" t="s">
        <v>26</v>
      </c>
      <c r="H23" s="263"/>
      <c r="I23" s="266" t="s">
        <v>78</v>
      </c>
      <c r="J23" s="258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3:21" ht="54" customHeight="1" thickBot="1" x14ac:dyDescent="0.3">
      <c r="C24" s="640"/>
      <c r="D24" s="625"/>
      <c r="E24" s="267" t="s">
        <v>99</v>
      </c>
      <c r="F24" s="268"/>
      <c r="G24" s="269" t="s">
        <v>26</v>
      </c>
      <c r="H24" s="270"/>
      <c r="I24" s="271" t="s">
        <v>79</v>
      </c>
      <c r="J24" s="258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</row>
    <row r="25" spans="3:21" ht="49.5" customHeight="1" thickBot="1" x14ac:dyDescent="0.3">
      <c r="C25" s="640"/>
      <c r="D25" s="625"/>
      <c r="E25" s="260" t="s">
        <v>16</v>
      </c>
      <c r="F25" s="262"/>
      <c r="G25" s="261" t="s">
        <v>26</v>
      </c>
      <c r="H25" s="263"/>
      <c r="I25" s="265" t="s">
        <v>79</v>
      </c>
      <c r="J25" s="258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</row>
    <row r="26" spans="3:21" ht="62.25" customHeight="1" thickBot="1" x14ac:dyDescent="0.3">
      <c r="C26" s="640"/>
      <c r="D26" s="625"/>
      <c r="E26" s="260" t="s">
        <v>27</v>
      </c>
      <c r="F26" s="262"/>
      <c r="G26" s="261" t="s">
        <v>26</v>
      </c>
      <c r="H26" s="263"/>
      <c r="I26" s="265" t="s">
        <v>80</v>
      </c>
      <c r="J26" s="258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</row>
    <row r="27" spans="3:21" ht="52.5" customHeight="1" thickBot="1" x14ac:dyDescent="0.3">
      <c r="C27" s="640"/>
      <c r="D27" s="625"/>
      <c r="E27" s="260" t="s">
        <v>9</v>
      </c>
      <c r="F27" s="262"/>
      <c r="G27" s="261" t="s">
        <v>26</v>
      </c>
      <c r="H27" s="272"/>
      <c r="I27" s="265" t="s">
        <v>79</v>
      </c>
      <c r="J27" s="258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</row>
    <row r="28" spans="3:21" ht="100.5" thickBot="1" x14ac:dyDescent="0.3">
      <c r="C28" s="640"/>
      <c r="D28" s="625"/>
      <c r="E28" s="260" t="s">
        <v>11</v>
      </c>
      <c r="F28" s="262"/>
      <c r="G28" s="261" t="s">
        <v>26</v>
      </c>
      <c r="H28" s="263"/>
      <c r="I28" s="273" t="s">
        <v>78</v>
      </c>
      <c r="J28" s="258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</row>
    <row r="29" spans="3:21" ht="56.25" customHeight="1" thickBot="1" x14ac:dyDescent="0.3">
      <c r="C29" s="640"/>
      <c r="D29" s="625"/>
      <c r="E29" s="260" t="s">
        <v>28</v>
      </c>
      <c r="F29" s="262"/>
      <c r="G29" s="274" t="s">
        <v>26</v>
      </c>
      <c r="H29" s="272"/>
      <c r="I29" s="265" t="s">
        <v>80</v>
      </c>
      <c r="J29" s="258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</row>
    <row r="30" spans="3:21" ht="41.25" customHeight="1" thickBot="1" x14ac:dyDescent="0.3">
      <c r="C30" s="640"/>
      <c r="D30" s="625"/>
      <c r="E30" s="260" t="s">
        <v>15</v>
      </c>
      <c r="F30" s="262"/>
      <c r="G30" s="261" t="s">
        <v>26</v>
      </c>
      <c r="H30" s="263"/>
      <c r="I30" s="265" t="s">
        <v>79</v>
      </c>
      <c r="J30" s="258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</row>
    <row r="31" spans="3:21" ht="54.75" customHeight="1" thickBot="1" x14ac:dyDescent="0.3">
      <c r="C31" s="640"/>
      <c r="D31" s="625"/>
      <c r="E31" s="260" t="s">
        <v>29</v>
      </c>
      <c r="F31" s="262"/>
      <c r="G31" s="261" t="s">
        <v>26</v>
      </c>
      <c r="H31" s="263"/>
      <c r="I31" s="273" t="s">
        <v>78</v>
      </c>
      <c r="J31" s="258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</row>
    <row r="32" spans="3:21" ht="71.25" customHeight="1" thickBot="1" x14ac:dyDescent="0.3">
      <c r="C32" s="640"/>
      <c r="D32" s="625"/>
      <c r="E32" s="260" t="s">
        <v>30</v>
      </c>
      <c r="F32" s="262"/>
      <c r="G32" s="261" t="s">
        <v>26</v>
      </c>
      <c r="H32" s="263"/>
      <c r="I32" s="265" t="s">
        <v>79</v>
      </c>
      <c r="J32" s="258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</row>
    <row r="33" spans="3:21" ht="28.5" customHeight="1" thickBot="1" x14ac:dyDescent="0.3">
      <c r="C33" s="640"/>
      <c r="D33" s="625"/>
      <c r="E33" s="260" t="s">
        <v>31</v>
      </c>
      <c r="F33" s="262"/>
      <c r="G33" s="261" t="s">
        <v>26</v>
      </c>
      <c r="H33" s="263"/>
      <c r="I33" s="265" t="s">
        <v>79</v>
      </c>
      <c r="J33" s="258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</row>
    <row r="34" spans="3:21" ht="31.5" customHeight="1" thickBot="1" x14ac:dyDescent="0.3">
      <c r="C34" s="640"/>
      <c r="D34" s="625"/>
      <c r="E34" s="260" t="s">
        <v>37</v>
      </c>
      <c r="F34" s="262"/>
      <c r="G34" s="261" t="s">
        <v>26</v>
      </c>
      <c r="H34" s="263"/>
      <c r="I34" s="273" t="s">
        <v>82</v>
      </c>
      <c r="J34" s="258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</row>
    <row r="35" spans="3:21" ht="54" customHeight="1" thickBot="1" x14ac:dyDescent="0.3">
      <c r="C35" s="640"/>
      <c r="D35" s="625"/>
      <c r="E35" s="260" t="s">
        <v>7</v>
      </c>
      <c r="F35" s="261" t="s">
        <v>26</v>
      </c>
      <c r="G35" s="261" t="s">
        <v>26</v>
      </c>
      <c r="H35" s="272" t="s">
        <v>26</v>
      </c>
      <c r="I35" s="265" t="s">
        <v>75</v>
      </c>
      <c r="J35" s="258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</row>
    <row r="36" spans="3:21" ht="53.25" customHeight="1" thickBot="1" x14ac:dyDescent="0.3">
      <c r="C36" s="640"/>
      <c r="D36" s="625"/>
      <c r="E36" s="260" t="s">
        <v>88</v>
      </c>
      <c r="F36" s="261" t="s">
        <v>26</v>
      </c>
      <c r="G36" s="261" t="s">
        <v>26</v>
      </c>
      <c r="H36" s="272" t="s">
        <v>26</v>
      </c>
      <c r="I36" s="265" t="s">
        <v>79</v>
      </c>
      <c r="J36" s="258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</row>
    <row r="37" spans="3:21" ht="43.5" customHeight="1" thickBot="1" x14ac:dyDescent="0.3">
      <c r="C37" s="640"/>
      <c r="D37" s="625"/>
      <c r="E37" s="260" t="s">
        <v>41</v>
      </c>
      <c r="F37" s="261" t="s">
        <v>26</v>
      </c>
      <c r="G37" s="261" t="s">
        <v>26</v>
      </c>
      <c r="H37" s="272" t="s">
        <v>26</v>
      </c>
      <c r="I37" s="265" t="s">
        <v>79</v>
      </c>
      <c r="J37" s="258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</row>
    <row r="38" spans="3:21" ht="55.5" customHeight="1" thickBot="1" x14ac:dyDescent="0.3">
      <c r="C38" s="640"/>
      <c r="D38" s="625"/>
      <c r="E38" s="260" t="s">
        <v>32</v>
      </c>
      <c r="F38" s="262"/>
      <c r="G38" s="261" t="s">
        <v>26</v>
      </c>
      <c r="H38" s="263"/>
      <c r="I38" s="265" t="s">
        <v>80</v>
      </c>
      <c r="J38" s="258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</row>
    <row r="39" spans="3:21" ht="42.75" customHeight="1" thickBot="1" x14ac:dyDescent="0.3">
      <c r="C39" s="640"/>
      <c r="D39" s="626"/>
      <c r="E39" s="260" t="s">
        <v>25</v>
      </c>
      <c r="F39" s="262"/>
      <c r="G39" s="261" t="s">
        <v>26</v>
      </c>
      <c r="H39" s="263"/>
      <c r="I39" s="265" t="s">
        <v>80</v>
      </c>
      <c r="J39" s="258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</row>
    <row r="40" spans="3:21" ht="63.75" customHeight="1" thickBot="1" x14ac:dyDescent="0.3">
      <c r="C40" s="640"/>
      <c r="D40" s="624" t="s">
        <v>8</v>
      </c>
      <c r="E40" s="260" t="s">
        <v>6</v>
      </c>
      <c r="F40" s="261" t="s">
        <v>26</v>
      </c>
      <c r="G40" s="261" t="s">
        <v>26</v>
      </c>
      <c r="H40" s="272" t="s">
        <v>26</v>
      </c>
      <c r="I40" s="265" t="s">
        <v>89</v>
      </c>
      <c r="J40" s="258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</row>
    <row r="41" spans="3:21" ht="69" customHeight="1" thickBot="1" x14ac:dyDescent="0.3">
      <c r="C41" s="640"/>
      <c r="D41" s="626"/>
      <c r="E41" s="260" t="s">
        <v>48</v>
      </c>
      <c r="F41" s="261" t="s">
        <v>26</v>
      </c>
      <c r="G41" s="261" t="s">
        <v>26</v>
      </c>
      <c r="H41" s="272" t="s">
        <v>26</v>
      </c>
      <c r="I41" s="265" t="s">
        <v>73</v>
      </c>
      <c r="J41" s="258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</row>
    <row r="42" spans="3:21" ht="42.75" customHeight="1" thickBot="1" x14ac:dyDescent="0.3">
      <c r="C42" s="640"/>
      <c r="D42" s="624" t="s">
        <v>50</v>
      </c>
      <c r="E42" s="260" t="s">
        <v>49</v>
      </c>
      <c r="F42" s="261" t="s">
        <v>26</v>
      </c>
      <c r="G42" s="261" t="s">
        <v>26</v>
      </c>
      <c r="H42" s="272" t="s">
        <v>26</v>
      </c>
      <c r="I42" s="265" t="s">
        <v>73</v>
      </c>
      <c r="J42" s="258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</row>
    <row r="43" spans="3:21" ht="57.75" thickBot="1" x14ac:dyDescent="0.3">
      <c r="C43" s="640"/>
      <c r="D43" s="625"/>
      <c r="E43" s="260" t="s">
        <v>100</v>
      </c>
      <c r="F43" s="261" t="s">
        <v>26</v>
      </c>
      <c r="G43" s="261" t="s">
        <v>26</v>
      </c>
      <c r="H43" s="272" t="s">
        <v>26</v>
      </c>
      <c r="I43" s="265" t="s">
        <v>76</v>
      </c>
      <c r="J43" s="258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</row>
    <row r="44" spans="3:21" ht="43.5" thickBot="1" x14ac:dyDescent="0.3">
      <c r="C44" s="617"/>
      <c r="D44" s="626"/>
      <c r="E44" s="260" t="s">
        <v>39</v>
      </c>
      <c r="F44" s="261" t="s">
        <v>26</v>
      </c>
      <c r="G44" s="261" t="s">
        <v>26</v>
      </c>
      <c r="H44" s="272" t="s">
        <v>26</v>
      </c>
      <c r="I44" s="265" t="s">
        <v>90</v>
      </c>
      <c r="J44" s="258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</row>
    <row r="45" spans="3:21" ht="38.25" customHeight="1" thickBot="1" x14ac:dyDescent="0.3">
      <c r="C45" s="641" t="s">
        <v>0</v>
      </c>
      <c r="D45" s="641" t="s">
        <v>3</v>
      </c>
      <c r="E45" s="641" t="s">
        <v>36</v>
      </c>
      <c r="F45" s="275" t="s">
        <v>1</v>
      </c>
      <c r="G45" s="275" t="s">
        <v>64</v>
      </c>
      <c r="H45" s="276" t="s">
        <v>2</v>
      </c>
      <c r="I45" s="649" t="s">
        <v>72</v>
      </c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</row>
    <row r="46" spans="3:21" ht="74.25" customHeight="1" thickBot="1" x14ac:dyDescent="0.3">
      <c r="C46" s="648"/>
      <c r="D46" s="648"/>
      <c r="E46" s="648"/>
      <c r="F46" s="277">
        <v>2025</v>
      </c>
      <c r="G46" s="277" t="s">
        <v>66</v>
      </c>
      <c r="H46" s="278" t="s">
        <v>65</v>
      </c>
      <c r="I46" s="650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</row>
    <row r="47" spans="3:21" ht="86.25" thickBot="1" x14ac:dyDescent="0.3">
      <c r="C47" s="641" t="s">
        <v>4</v>
      </c>
      <c r="D47" s="279" t="s">
        <v>51</v>
      </c>
      <c r="E47" s="279" t="s">
        <v>53</v>
      </c>
      <c r="F47" s="280" t="s">
        <v>26</v>
      </c>
      <c r="G47" s="281"/>
      <c r="H47" s="282"/>
      <c r="I47" s="283" t="s">
        <v>74</v>
      </c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</row>
    <row r="48" spans="3:21" ht="72" thickBot="1" x14ac:dyDescent="0.3">
      <c r="C48" s="642"/>
      <c r="D48" s="279" t="s">
        <v>52</v>
      </c>
      <c r="E48" s="279" t="s">
        <v>91</v>
      </c>
      <c r="F48" s="280" t="s">
        <v>26</v>
      </c>
      <c r="G48" s="281"/>
      <c r="H48" s="282"/>
      <c r="I48" s="284" t="s">
        <v>78</v>
      </c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</row>
    <row r="49" spans="3:21" ht="28.5" customHeight="1" thickBot="1" x14ac:dyDescent="0.3">
      <c r="C49" s="642"/>
      <c r="D49" s="279" t="s">
        <v>14</v>
      </c>
      <c r="E49" s="279" t="s">
        <v>92</v>
      </c>
      <c r="F49" s="280" t="s">
        <v>26</v>
      </c>
      <c r="G49" s="281"/>
      <c r="H49" s="282"/>
      <c r="I49" s="285" t="s">
        <v>81</v>
      </c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</row>
    <row r="50" spans="3:21" ht="29.25" thickBot="1" x14ac:dyDescent="0.3">
      <c r="C50" s="642"/>
      <c r="D50" s="279" t="s">
        <v>55</v>
      </c>
      <c r="E50" s="279" t="s">
        <v>45</v>
      </c>
      <c r="F50" s="280" t="s">
        <v>26</v>
      </c>
      <c r="G50" s="281"/>
      <c r="H50" s="282"/>
      <c r="I50" s="285" t="s">
        <v>81</v>
      </c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</row>
    <row r="51" spans="3:21" ht="29.25" customHeight="1" thickBot="1" x14ac:dyDescent="0.3">
      <c r="C51" s="642"/>
      <c r="D51" s="627" t="s">
        <v>43</v>
      </c>
      <c r="E51" s="279" t="s">
        <v>54</v>
      </c>
      <c r="F51" s="280" t="s">
        <v>26</v>
      </c>
      <c r="G51" s="281"/>
      <c r="H51" s="282"/>
      <c r="I51" s="283" t="s">
        <v>76</v>
      </c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 spans="3:21" ht="29.25" thickBot="1" x14ac:dyDescent="0.3">
      <c r="C52" s="642"/>
      <c r="D52" s="628"/>
      <c r="E52" s="279" t="s">
        <v>93</v>
      </c>
      <c r="F52" s="280" t="s">
        <v>26</v>
      </c>
      <c r="G52" s="281"/>
      <c r="H52" s="282"/>
      <c r="I52" s="285" t="s">
        <v>81</v>
      </c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</row>
    <row r="53" spans="3:21" ht="27" customHeight="1" thickBot="1" x14ac:dyDescent="0.3">
      <c r="C53" s="642"/>
      <c r="D53" s="628"/>
      <c r="E53" s="279" t="s">
        <v>94</v>
      </c>
      <c r="F53" s="281"/>
      <c r="G53" s="280" t="s">
        <v>26</v>
      </c>
      <c r="H53" s="282"/>
      <c r="I53" s="286" t="s">
        <v>81</v>
      </c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</row>
    <row r="54" spans="3:21" ht="27.75" customHeight="1" thickBot="1" x14ac:dyDescent="0.3">
      <c r="C54" s="642"/>
      <c r="D54" s="628"/>
      <c r="E54" s="279" t="s">
        <v>107</v>
      </c>
      <c r="F54" s="281"/>
      <c r="G54" s="280" t="s">
        <v>26</v>
      </c>
      <c r="H54" s="282"/>
      <c r="I54" s="286" t="s">
        <v>81</v>
      </c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</row>
    <row r="55" spans="3:21" ht="29.25" thickBot="1" x14ac:dyDescent="0.3">
      <c r="C55" s="642"/>
      <c r="D55" s="628"/>
      <c r="E55" s="279" t="s">
        <v>108</v>
      </c>
      <c r="F55" s="281"/>
      <c r="G55" s="280" t="s">
        <v>26</v>
      </c>
      <c r="H55" s="282"/>
      <c r="I55" s="287" t="s">
        <v>77</v>
      </c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</row>
    <row r="56" spans="3:21" ht="94.5" customHeight="1" thickBot="1" x14ac:dyDescent="0.3">
      <c r="C56" s="642"/>
      <c r="D56" s="629"/>
      <c r="E56" s="279" t="s">
        <v>109</v>
      </c>
      <c r="F56" s="281"/>
      <c r="G56" s="280" t="s">
        <v>26</v>
      </c>
      <c r="H56" s="282"/>
      <c r="I56" s="287" t="s">
        <v>77</v>
      </c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</row>
    <row r="57" spans="3:21" ht="32.25" customHeight="1" thickBot="1" x14ac:dyDescent="0.3">
      <c r="C57" s="642"/>
      <c r="D57" s="288" t="s">
        <v>46</v>
      </c>
      <c r="E57" s="279" t="s">
        <v>98</v>
      </c>
      <c r="F57" s="280" t="s">
        <v>26</v>
      </c>
      <c r="G57" s="280" t="s">
        <v>26</v>
      </c>
      <c r="H57" s="289" t="s">
        <v>26</v>
      </c>
      <c r="I57" s="285" t="s">
        <v>81</v>
      </c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</row>
    <row r="58" spans="3:21" ht="52.5" customHeight="1" thickBot="1" x14ac:dyDescent="0.3">
      <c r="C58" s="638" t="s">
        <v>0</v>
      </c>
      <c r="D58" s="614" t="s">
        <v>3</v>
      </c>
      <c r="E58" s="614" t="s">
        <v>36</v>
      </c>
      <c r="F58" s="290" t="s">
        <v>1</v>
      </c>
      <c r="G58" s="290" t="s">
        <v>64</v>
      </c>
      <c r="H58" s="291" t="s">
        <v>2</v>
      </c>
      <c r="I58" s="618" t="s">
        <v>72</v>
      </c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</row>
    <row r="59" spans="3:21" ht="15.75" thickBot="1" x14ac:dyDescent="0.3">
      <c r="C59" s="639"/>
      <c r="D59" s="615"/>
      <c r="E59" s="615"/>
      <c r="F59" s="293">
        <v>2025</v>
      </c>
      <c r="G59" s="293" t="s">
        <v>66</v>
      </c>
      <c r="H59" s="294" t="s">
        <v>65</v>
      </c>
      <c r="I59" s="619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</row>
    <row r="60" spans="3:21" ht="57.75" thickBot="1" x14ac:dyDescent="0.3">
      <c r="C60" s="638" t="s">
        <v>12</v>
      </c>
      <c r="D60" s="295" t="s">
        <v>56</v>
      </c>
      <c r="E60" s="295" t="s">
        <v>57</v>
      </c>
      <c r="F60" s="290" t="s">
        <v>26</v>
      </c>
      <c r="G60" s="296"/>
      <c r="H60" s="297"/>
      <c r="I60" s="298" t="s">
        <v>74</v>
      </c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</row>
    <row r="61" spans="3:21" ht="72" thickBot="1" x14ac:dyDescent="0.3">
      <c r="C61" s="643"/>
      <c r="D61" s="295" t="s">
        <v>71</v>
      </c>
      <c r="E61" s="295" t="s">
        <v>97</v>
      </c>
      <c r="F61" s="290" t="s">
        <v>26</v>
      </c>
      <c r="G61" s="296"/>
      <c r="H61" s="297"/>
      <c r="I61" s="299" t="s">
        <v>78</v>
      </c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</row>
    <row r="62" spans="3:21" ht="57.75" thickBot="1" x14ac:dyDescent="0.3">
      <c r="C62" s="643"/>
      <c r="D62" s="300" t="s">
        <v>70</v>
      </c>
      <c r="E62" s="300" t="s">
        <v>92</v>
      </c>
      <c r="F62" s="292" t="s">
        <v>26</v>
      </c>
      <c r="G62" s="301"/>
      <c r="H62" s="302"/>
      <c r="I62" s="303" t="s">
        <v>81</v>
      </c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</row>
    <row r="63" spans="3:21" ht="39.75" customHeight="1" thickBot="1" x14ac:dyDescent="0.3">
      <c r="C63" s="643"/>
      <c r="D63" s="304" t="s">
        <v>60</v>
      </c>
      <c r="E63" s="304" t="s">
        <v>101</v>
      </c>
      <c r="F63" s="293" t="s">
        <v>26</v>
      </c>
      <c r="G63" s="305"/>
      <c r="H63" s="306"/>
      <c r="I63" s="307" t="s">
        <v>74</v>
      </c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</row>
    <row r="64" spans="3:21" ht="29.25" thickBot="1" x14ac:dyDescent="0.3">
      <c r="C64" s="643"/>
      <c r="D64" s="295" t="s">
        <v>58</v>
      </c>
      <c r="E64" s="295" t="s">
        <v>102</v>
      </c>
      <c r="F64" s="296"/>
      <c r="G64" s="290" t="s">
        <v>26</v>
      </c>
      <c r="H64" s="291" t="s">
        <v>26</v>
      </c>
      <c r="I64" s="308" t="s">
        <v>81</v>
      </c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</row>
    <row r="65" spans="3:21" ht="25.5" customHeight="1" thickBot="1" x14ac:dyDescent="0.3">
      <c r="C65" s="639"/>
      <c r="D65" s="295" t="s">
        <v>46</v>
      </c>
      <c r="E65" s="295" t="s">
        <v>98</v>
      </c>
      <c r="F65" s="296"/>
      <c r="G65" s="290" t="s">
        <v>26</v>
      </c>
      <c r="H65" s="291" t="s">
        <v>26</v>
      </c>
      <c r="I65" s="303" t="s">
        <v>81</v>
      </c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</row>
    <row r="66" spans="3:21" ht="25.5" customHeight="1" thickBot="1" x14ac:dyDescent="0.3">
      <c r="C66" s="636" t="s">
        <v>0</v>
      </c>
      <c r="D66" s="636" t="s">
        <v>3</v>
      </c>
      <c r="E66" s="636" t="s">
        <v>36</v>
      </c>
      <c r="F66" s="309" t="s">
        <v>1</v>
      </c>
      <c r="G66" s="309" t="s">
        <v>64</v>
      </c>
      <c r="H66" s="310" t="s">
        <v>2</v>
      </c>
      <c r="I66" s="651" t="s">
        <v>72</v>
      </c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</row>
    <row r="67" spans="3:21" ht="15.75" thickBot="1" x14ac:dyDescent="0.3">
      <c r="C67" s="637"/>
      <c r="D67" s="637"/>
      <c r="E67" s="637"/>
      <c r="F67" s="312">
        <v>2025</v>
      </c>
      <c r="G67" s="312" t="s">
        <v>66</v>
      </c>
      <c r="H67" s="313" t="s">
        <v>65</v>
      </c>
      <c r="I67" s="652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</row>
    <row r="68" spans="3:21" ht="115.5" thickBot="1" x14ac:dyDescent="0.3">
      <c r="C68" s="636" t="s">
        <v>68</v>
      </c>
      <c r="D68" s="314" t="s">
        <v>33</v>
      </c>
      <c r="E68" s="314" t="s">
        <v>103</v>
      </c>
      <c r="F68" s="309" t="s">
        <v>26</v>
      </c>
      <c r="G68" s="315"/>
      <c r="H68" s="316"/>
      <c r="I68" s="317" t="s">
        <v>81</v>
      </c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</row>
    <row r="69" spans="3:21" ht="66" customHeight="1" thickBot="1" x14ac:dyDescent="0.3">
      <c r="C69" s="658"/>
      <c r="D69" s="318" t="s">
        <v>38</v>
      </c>
      <c r="E69" s="314" t="s">
        <v>104</v>
      </c>
      <c r="F69" s="315"/>
      <c r="G69" s="309" t="s">
        <v>26</v>
      </c>
      <c r="H69" s="316"/>
      <c r="I69" s="319" t="s">
        <v>80</v>
      </c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</row>
    <row r="70" spans="3:21" ht="63" customHeight="1" thickBot="1" x14ac:dyDescent="0.3">
      <c r="C70" s="659"/>
      <c r="D70" s="633" t="s">
        <v>43</v>
      </c>
      <c r="E70" s="320" t="s">
        <v>34</v>
      </c>
      <c r="F70" s="315"/>
      <c r="G70" s="309" t="s">
        <v>26</v>
      </c>
      <c r="H70" s="316"/>
      <c r="I70" s="319" t="s">
        <v>80</v>
      </c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</row>
    <row r="71" spans="3:21" ht="63.75" customHeight="1" thickBot="1" x14ac:dyDescent="0.3">
      <c r="C71" s="659"/>
      <c r="D71" s="634"/>
      <c r="E71" s="314" t="s">
        <v>40</v>
      </c>
      <c r="F71" s="309"/>
      <c r="G71" s="309" t="s">
        <v>26</v>
      </c>
      <c r="H71" s="310" t="s">
        <v>26</v>
      </c>
      <c r="I71" s="319" t="s">
        <v>80</v>
      </c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</row>
    <row r="72" spans="3:21" ht="60" customHeight="1" thickBot="1" x14ac:dyDescent="0.3">
      <c r="C72" s="659"/>
      <c r="D72" s="634"/>
      <c r="E72" s="314" t="s">
        <v>95</v>
      </c>
      <c r="F72" s="315"/>
      <c r="G72" s="309" t="s">
        <v>26</v>
      </c>
      <c r="H72" s="316"/>
      <c r="I72" s="319" t="s">
        <v>80</v>
      </c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</row>
    <row r="73" spans="3:21" ht="15.75" thickBot="1" x14ac:dyDescent="0.3">
      <c r="C73" s="659"/>
      <c r="D73" s="635"/>
      <c r="E73" s="321"/>
      <c r="F73" s="322"/>
      <c r="G73" s="311"/>
      <c r="H73" s="323"/>
      <c r="I73" s="324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</row>
    <row r="74" spans="3:21" ht="32.25" customHeight="1" thickBot="1" x14ac:dyDescent="0.3">
      <c r="C74" s="637"/>
      <c r="D74" s="325" t="s">
        <v>46</v>
      </c>
      <c r="E74" s="325" t="s">
        <v>98</v>
      </c>
      <c r="F74" s="326" t="s">
        <v>26</v>
      </c>
      <c r="G74" s="326" t="s">
        <v>26</v>
      </c>
      <c r="H74" s="327" t="s">
        <v>26</v>
      </c>
      <c r="I74" s="317" t="s">
        <v>81</v>
      </c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</row>
    <row r="75" spans="3:21" ht="32.25" customHeight="1" thickBot="1" x14ac:dyDescent="0.3">
      <c r="C75" s="653" t="s">
        <v>0</v>
      </c>
      <c r="D75" s="653" t="s">
        <v>3</v>
      </c>
      <c r="E75" s="653" t="s">
        <v>36</v>
      </c>
      <c r="F75" s="352" t="s">
        <v>1</v>
      </c>
      <c r="G75" s="352" t="s">
        <v>64</v>
      </c>
      <c r="H75" s="353" t="s">
        <v>2</v>
      </c>
      <c r="I75" s="655" t="s">
        <v>72</v>
      </c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</row>
    <row r="76" spans="3:21" ht="15.75" thickBot="1" x14ac:dyDescent="0.3">
      <c r="C76" s="654"/>
      <c r="D76" s="654"/>
      <c r="E76" s="654"/>
      <c r="F76" s="354">
        <v>2025</v>
      </c>
      <c r="G76" s="354" t="s">
        <v>66</v>
      </c>
      <c r="H76" s="355" t="s">
        <v>65</v>
      </c>
      <c r="I76" s="656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</row>
    <row r="77" spans="3:21" ht="58.5" customHeight="1" thickBot="1" x14ac:dyDescent="0.3">
      <c r="C77" s="653" t="s">
        <v>69</v>
      </c>
      <c r="D77" s="356" t="s">
        <v>35</v>
      </c>
      <c r="E77" s="357" t="s">
        <v>103</v>
      </c>
      <c r="F77" s="352" t="s">
        <v>26</v>
      </c>
      <c r="G77" s="358"/>
      <c r="H77" s="359"/>
      <c r="I77" s="360" t="s">
        <v>81</v>
      </c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</row>
    <row r="78" spans="3:21" ht="66" customHeight="1" thickBot="1" x14ac:dyDescent="0.3">
      <c r="C78" s="657"/>
      <c r="D78" s="357" t="s">
        <v>38</v>
      </c>
      <c r="E78" s="356" t="s">
        <v>104</v>
      </c>
      <c r="F78" s="358"/>
      <c r="G78" s="352" t="s">
        <v>26</v>
      </c>
      <c r="H78" s="359"/>
      <c r="I78" s="361" t="s">
        <v>80</v>
      </c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</row>
    <row r="79" spans="3:21" ht="66" customHeight="1" thickBot="1" x14ac:dyDescent="0.3">
      <c r="C79" s="657"/>
      <c r="D79" s="644" t="s">
        <v>61</v>
      </c>
      <c r="E79" s="356" t="s">
        <v>105</v>
      </c>
      <c r="F79" s="358"/>
      <c r="G79" s="352" t="s">
        <v>26</v>
      </c>
      <c r="H79" s="353" t="s">
        <v>26</v>
      </c>
      <c r="I79" s="361" t="s">
        <v>80</v>
      </c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</row>
    <row r="80" spans="3:21" ht="61.5" customHeight="1" thickBot="1" x14ac:dyDescent="0.3">
      <c r="C80" s="657"/>
      <c r="D80" s="645"/>
      <c r="E80" s="362" t="s">
        <v>106</v>
      </c>
      <c r="F80" s="363"/>
      <c r="G80" s="354" t="s">
        <v>26</v>
      </c>
      <c r="H80" s="355" t="s">
        <v>26</v>
      </c>
      <c r="I80" s="361" t="s">
        <v>80</v>
      </c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</row>
    <row r="81" spans="3:21" ht="40.5" customHeight="1" thickBot="1" x14ac:dyDescent="0.3">
      <c r="C81" s="657"/>
      <c r="D81" s="356" t="s">
        <v>46</v>
      </c>
      <c r="E81" s="356" t="s">
        <v>98</v>
      </c>
      <c r="F81" s="352" t="s">
        <v>26</v>
      </c>
      <c r="G81" s="352" t="s">
        <v>26</v>
      </c>
      <c r="H81" s="353" t="s">
        <v>26</v>
      </c>
      <c r="I81" s="360" t="s">
        <v>81</v>
      </c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</row>
    <row r="82" spans="3:21" ht="15.75" thickBot="1" x14ac:dyDescent="0.3">
      <c r="C82" s="654"/>
      <c r="D82" s="364"/>
      <c r="E82" s="364"/>
      <c r="F82" s="365"/>
      <c r="G82" s="365"/>
      <c r="H82" s="366"/>
      <c r="I82" s="367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</row>
  </sheetData>
  <mergeCells count="42">
    <mergeCell ref="D79:D80"/>
    <mergeCell ref="I19:I20"/>
    <mergeCell ref="C45:C46"/>
    <mergeCell ref="D45:D46"/>
    <mergeCell ref="E45:E46"/>
    <mergeCell ref="I45:I46"/>
    <mergeCell ref="D66:D67"/>
    <mergeCell ref="E66:E67"/>
    <mergeCell ref="I66:I67"/>
    <mergeCell ref="C75:C76"/>
    <mergeCell ref="D75:D76"/>
    <mergeCell ref="E75:E76"/>
    <mergeCell ref="I75:I76"/>
    <mergeCell ref="C77:C82"/>
    <mergeCell ref="D40:D41"/>
    <mergeCell ref="C68:C74"/>
    <mergeCell ref="D70:D73"/>
    <mergeCell ref="C66:C67"/>
    <mergeCell ref="C58:C59"/>
    <mergeCell ref="C21:C44"/>
    <mergeCell ref="C47:C57"/>
    <mergeCell ref="C60:C65"/>
    <mergeCell ref="D58:D59"/>
    <mergeCell ref="D21:D39"/>
    <mergeCell ref="J3:N3"/>
    <mergeCell ref="O3:Q3"/>
    <mergeCell ref="R3:U3"/>
    <mergeCell ref="D42:D44"/>
    <mergeCell ref="D51:D56"/>
    <mergeCell ref="E3:E4"/>
    <mergeCell ref="D3:D4"/>
    <mergeCell ref="D10:D17"/>
    <mergeCell ref="E19:E20"/>
    <mergeCell ref="C2:H2"/>
    <mergeCell ref="C5:C18"/>
    <mergeCell ref="I3:I4"/>
    <mergeCell ref="I10:I17"/>
    <mergeCell ref="E58:E59"/>
    <mergeCell ref="D19:D20"/>
    <mergeCell ref="C3:C4"/>
    <mergeCell ref="C19:C20"/>
    <mergeCell ref="I58:I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66CB-AC3D-4838-9B73-77850C367EDE}">
  <sheetPr>
    <tabColor theme="9" tint="0.79998168889431442"/>
  </sheetPr>
  <dimension ref="C1:Z20"/>
  <sheetViews>
    <sheetView topLeftCell="J1" zoomScale="80" zoomScaleNormal="80" workbookViewId="0">
      <selection activeCell="K6" sqref="K6"/>
    </sheetView>
  </sheetViews>
  <sheetFormatPr baseColWidth="10" defaultRowHeight="15" x14ac:dyDescent="0.25"/>
  <cols>
    <col min="3" max="3" width="24.140625" customWidth="1"/>
    <col min="4" max="4" width="31" customWidth="1"/>
    <col min="5" max="5" width="20.5703125" customWidth="1"/>
    <col min="9" max="9" width="19.140625" customWidth="1"/>
    <col min="10" max="10" width="21" customWidth="1"/>
    <col min="11" max="11" width="26.42578125" customWidth="1"/>
    <col min="12" max="12" width="22" customWidth="1"/>
    <col min="13" max="13" width="16.5703125" customWidth="1"/>
    <col min="14" max="14" width="35.28515625" customWidth="1"/>
    <col min="15" max="16" width="19" customWidth="1"/>
    <col min="17" max="17" width="18.7109375" customWidth="1"/>
    <col min="18" max="18" width="16.42578125" customWidth="1"/>
    <col min="19" max="19" width="15.28515625" customWidth="1"/>
    <col min="20" max="20" width="19" customWidth="1"/>
    <col min="21" max="21" width="17.42578125" customWidth="1"/>
    <col min="22" max="22" width="25.42578125" customWidth="1"/>
    <col min="23" max="23" width="12.140625" customWidth="1"/>
    <col min="24" max="24" width="18.85546875" customWidth="1"/>
    <col min="25" max="25" width="16.140625" customWidth="1"/>
    <col min="26" max="26" width="38.28515625" customWidth="1"/>
  </cols>
  <sheetData>
    <row r="1" spans="3:26" x14ac:dyDescent="0.25">
      <c r="U1" s="172"/>
      <c r="V1" s="173"/>
      <c r="W1" s="173"/>
      <c r="X1" s="173"/>
      <c r="Y1" s="174"/>
    </row>
    <row r="2" spans="3:26" ht="15.75" thickBot="1" x14ac:dyDescent="0.3">
      <c r="U2" s="175"/>
      <c r="Y2" s="73"/>
    </row>
    <row r="3" spans="3:26" ht="45.75" thickBot="1" x14ac:dyDescent="0.35">
      <c r="C3" s="665" t="s">
        <v>0</v>
      </c>
      <c r="D3" s="665" t="s">
        <v>3</v>
      </c>
      <c r="E3" s="665" t="s">
        <v>36</v>
      </c>
      <c r="F3" s="13" t="s">
        <v>1</v>
      </c>
      <c r="G3" s="13" t="s">
        <v>64</v>
      </c>
      <c r="H3" s="14" t="s">
        <v>2</v>
      </c>
      <c r="I3" s="675" t="s">
        <v>72</v>
      </c>
      <c r="J3" s="616" t="s">
        <v>139</v>
      </c>
      <c r="K3" s="87"/>
      <c r="L3" s="673" t="s">
        <v>131</v>
      </c>
      <c r="M3" s="673"/>
      <c r="N3" s="673"/>
      <c r="O3" s="674"/>
      <c r="P3" s="663" t="s">
        <v>133</v>
      </c>
      <c r="Q3" s="664"/>
      <c r="R3" s="664"/>
      <c r="S3" s="664"/>
      <c r="T3" s="664"/>
      <c r="U3" s="660" t="s">
        <v>134</v>
      </c>
      <c r="V3" s="661"/>
      <c r="W3" s="661"/>
      <c r="X3" s="661"/>
      <c r="Y3" s="662"/>
      <c r="Z3" s="165"/>
    </row>
    <row r="4" spans="3:26" ht="81.75" customHeight="1" thickBot="1" x14ac:dyDescent="0.3">
      <c r="C4" s="667"/>
      <c r="D4" s="667"/>
      <c r="E4" s="667"/>
      <c r="F4" s="16">
        <v>2025</v>
      </c>
      <c r="G4" s="16" t="s">
        <v>66</v>
      </c>
      <c r="H4" s="17" t="s">
        <v>65</v>
      </c>
      <c r="I4" s="676"/>
      <c r="J4" s="617"/>
      <c r="K4" s="219" t="s">
        <v>140</v>
      </c>
      <c r="L4" s="115" t="s">
        <v>143</v>
      </c>
      <c r="M4" s="452" t="s">
        <v>135</v>
      </c>
      <c r="N4" s="468" t="s">
        <v>130</v>
      </c>
      <c r="O4" s="459" t="s">
        <v>127</v>
      </c>
      <c r="P4" s="91" t="s">
        <v>140</v>
      </c>
      <c r="Q4" s="92" t="s">
        <v>145</v>
      </c>
      <c r="R4" s="423" t="s">
        <v>135</v>
      </c>
      <c r="S4" s="81" t="s">
        <v>132</v>
      </c>
      <c r="T4" s="121" t="s">
        <v>127</v>
      </c>
      <c r="U4" s="128" t="s">
        <v>140</v>
      </c>
      <c r="V4" s="126" t="s">
        <v>145</v>
      </c>
      <c r="W4" s="581" t="s">
        <v>135</v>
      </c>
      <c r="X4" s="93" t="s">
        <v>132</v>
      </c>
      <c r="Y4" s="176" t="s">
        <v>127</v>
      </c>
      <c r="Z4" s="166" t="s">
        <v>137</v>
      </c>
    </row>
    <row r="5" spans="3:26" ht="137.25" customHeight="1" thickBot="1" x14ac:dyDescent="0.3">
      <c r="C5" s="665" t="s">
        <v>83</v>
      </c>
      <c r="D5" s="101" t="s">
        <v>96</v>
      </c>
      <c r="E5" s="21" t="s">
        <v>59</v>
      </c>
      <c r="F5" s="12" t="s">
        <v>26</v>
      </c>
      <c r="G5" s="12" t="s">
        <v>26</v>
      </c>
      <c r="H5" s="18" t="s">
        <v>26</v>
      </c>
      <c r="I5" s="62" t="s">
        <v>81</v>
      </c>
      <c r="J5" s="102">
        <v>0.1</v>
      </c>
      <c r="K5" s="441" t="s">
        <v>141</v>
      </c>
      <c r="L5" s="116">
        <v>0.04</v>
      </c>
      <c r="M5" s="453">
        <v>0.02</v>
      </c>
      <c r="N5" s="469" t="s">
        <v>249</v>
      </c>
      <c r="O5" s="432" t="s">
        <v>248</v>
      </c>
      <c r="P5" s="103" t="s">
        <v>144</v>
      </c>
      <c r="Q5" s="104">
        <v>0.03</v>
      </c>
      <c r="R5" s="424"/>
      <c r="S5" s="105"/>
      <c r="T5" s="122"/>
      <c r="U5" s="129" t="s">
        <v>142</v>
      </c>
      <c r="V5" s="146">
        <v>0.03</v>
      </c>
      <c r="W5" s="588"/>
      <c r="X5" s="107"/>
      <c r="Y5" s="177"/>
      <c r="Z5" s="167">
        <f>M5+R5+W5</f>
        <v>0.02</v>
      </c>
    </row>
    <row r="6" spans="3:26" ht="93" customHeight="1" thickBot="1" x14ac:dyDescent="0.3">
      <c r="C6" s="666"/>
      <c r="D6" s="29" t="s">
        <v>41</v>
      </c>
      <c r="E6" s="29" t="s">
        <v>44</v>
      </c>
      <c r="F6" s="13" t="s">
        <v>26</v>
      </c>
      <c r="G6" s="23" t="s">
        <v>26</v>
      </c>
      <c r="H6" s="24" t="s">
        <v>26</v>
      </c>
      <c r="I6" s="63" t="s">
        <v>81</v>
      </c>
      <c r="J6" s="108">
        <v>0.3</v>
      </c>
      <c r="K6" s="442" t="s">
        <v>146</v>
      </c>
      <c r="L6" s="117">
        <v>0.1</v>
      </c>
      <c r="M6" s="454">
        <v>0</v>
      </c>
      <c r="N6" s="470"/>
      <c r="O6" s="460"/>
      <c r="P6" s="95" t="s">
        <v>147</v>
      </c>
      <c r="Q6" s="96">
        <v>0.1</v>
      </c>
      <c r="R6" s="425"/>
      <c r="S6" s="97"/>
      <c r="T6" s="123"/>
      <c r="U6" s="130" t="s">
        <v>149</v>
      </c>
      <c r="V6" s="98">
        <v>0.1</v>
      </c>
      <c r="W6" s="582"/>
      <c r="X6" s="99"/>
      <c r="Y6" s="178"/>
      <c r="Z6" s="167">
        <f>M6+R6+W6</f>
        <v>0</v>
      </c>
    </row>
    <row r="7" spans="3:26" ht="60.75" thickBot="1" x14ac:dyDescent="0.3">
      <c r="C7" s="666"/>
      <c r="D7" s="11" t="s">
        <v>42</v>
      </c>
      <c r="E7" s="11" t="s">
        <v>97</v>
      </c>
      <c r="F7" s="15" t="s">
        <v>26</v>
      </c>
      <c r="G7" s="31" t="s">
        <v>26</v>
      </c>
      <c r="H7" s="32" t="s">
        <v>26</v>
      </c>
      <c r="I7" s="64" t="s">
        <v>84</v>
      </c>
      <c r="J7" s="82">
        <v>0.1</v>
      </c>
      <c r="K7" s="443" t="s">
        <v>148</v>
      </c>
      <c r="L7" s="118">
        <v>0.04</v>
      </c>
      <c r="M7" s="455">
        <v>0</v>
      </c>
      <c r="N7" s="471"/>
      <c r="O7" s="461"/>
      <c r="P7" s="100" t="s">
        <v>150</v>
      </c>
      <c r="Q7" s="113">
        <v>0.03</v>
      </c>
      <c r="R7" s="426"/>
      <c r="S7" s="76"/>
      <c r="T7" s="124"/>
      <c r="U7" s="131" t="s">
        <v>151</v>
      </c>
      <c r="V7" s="147">
        <v>0.03</v>
      </c>
      <c r="W7" s="583"/>
      <c r="X7" s="78"/>
      <c r="Y7" s="179"/>
      <c r="Z7" s="167">
        <f>M7+R7+W7</f>
        <v>0</v>
      </c>
    </row>
    <row r="8" spans="3:26" ht="60.75" thickBot="1" x14ac:dyDescent="0.3">
      <c r="C8" s="666"/>
      <c r="D8" s="101" t="s">
        <v>13</v>
      </c>
      <c r="E8" s="101" t="s">
        <v>92</v>
      </c>
      <c r="F8" s="12" t="s">
        <v>26</v>
      </c>
      <c r="G8" s="132" t="s">
        <v>26</v>
      </c>
      <c r="H8" s="133" t="s">
        <v>26</v>
      </c>
      <c r="I8" s="62" t="s">
        <v>81</v>
      </c>
      <c r="J8" s="85">
        <v>0.1</v>
      </c>
      <c r="K8" s="444" t="s">
        <v>153</v>
      </c>
      <c r="L8" s="142">
        <v>0.04</v>
      </c>
      <c r="M8" s="456">
        <v>0</v>
      </c>
      <c r="N8" s="472"/>
      <c r="O8" s="462"/>
      <c r="P8" s="135" t="s">
        <v>152</v>
      </c>
      <c r="Q8" s="136">
        <v>0.03</v>
      </c>
      <c r="R8" s="427"/>
      <c r="S8" s="137"/>
      <c r="T8" s="138"/>
      <c r="U8" s="139" t="s">
        <v>154</v>
      </c>
      <c r="V8" s="147">
        <v>0.03</v>
      </c>
      <c r="W8" s="585"/>
      <c r="X8" s="80"/>
      <c r="Y8" s="180"/>
      <c r="Z8" s="168">
        <f>M8+R8+W8</f>
        <v>0</v>
      </c>
    </row>
    <row r="9" spans="3:26" ht="80.25" customHeight="1" thickBot="1" x14ac:dyDescent="0.3">
      <c r="C9" s="666"/>
      <c r="D9" s="29" t="s">
        <v>62</v>
      </c>
      <c r="E9" s="29" t="s">
        <v>45</v>
      </c>
      <c r="F9" s="13" t="s">
        <v>26</v>
      </c>
      <c r="G9" s="23" t="s">
        <v>26</v>
      </c>
      <c r="H9" s="24" t="s">
        <v>26</v>
      </c>
      <c r="I9" s="63" t="s">
        <v>81</v>
      </c>
      <c r="J9" s="108">
        <v>0.1</v>
      </c>
      <c r="K9" s="442" t="s">
        <v>155</v>
      </c>
      <c r="L9" s="143">
        <v>0.06</v>
      </c>
      <c r="M9" s="453">
        <v>0.06</v>
      </c>
      <c r="N9" s="470" t="s">
        <v>250</v>
      </c>
      <c r="O9" s="463" t="s">
        <v>246</v>
      </c>
      <c r="P9" s="433" t="s">
        <v>156</v>
      </c>
      <c r="Q9" s="434">
        <v>0.02</v>
      </c>
      <c r="R9" s="424"/>
      <c r="S9" s="105"/>
      <c r="T9" s="122"/>
      <c r="U9" s="435" t="s">
        <v>156</v>
      </c>
      <c r="V9" s="436">
        <v>0.02</v>
      </c>
      <c r="W9" s="588"/>
      <c r="X9" s="106"/>
      <c r="Y9" s="177"/>
      <c r="Z9" s="437">
        <f>M9+R9+W9</f>
        <v>0.06</v>
      </c>
    </row>
    <row r="10" spans="3:26" ht="76.5" customHeight="1" x14ac:dyDescent="0.25">
      <c r="C10" s="666"/>
      <c r="D10" s="668" t="s">
        <v>43</v>
      </c>
      <c r="E10" s="21" t="s">
        <v>17</v>
      </c>
      <c r="F10" s="12"/>
      <c r="G10" s="12" t="s">
        <v>26</v>
      </c>
      <c r="H10" s="18" t="s">
        <v>26</v>
      </c>
      <c r="I10" s="671" t="s">
        <v>85</v>
      </c>
      <c r="J10" s="140" t="s">
        <v>136</v>
      </c>
      <c r="K10" s="445" t="s">
        <v>136</v>
      </c>
      <c r="L10" s="449" t="s">
        <v>136</v>
      </c>
      <c r="M10" s="457" t="s">
        <v>136</v>
      </c>
      <c r="N10" s="141" t="s">
        <v>136</v>
      </c>
      <c r="O10" s="464" t="s">
        <v>136</v>
      </c>
      <c r="P10" s="77" t="s">
        <v>136</v>
      </c>
      <c r="Q10" s="438" t="s">
        <v>136</v>
      </c>
      <c r="R10" s="428" t="s">
        <v>136</v>
      </c>
      <c r="S10" s="77" t="s">
        <v>136</v>
      </c>
      <c r="T10" s="77" t="s">
        <v>136</v>
      </c>
      <c r="U10" s="79" t="s">
        <v>136</v>
      </c>
      <c r="V10" s="439" t="s">
        <v>136</v>
      </c>
      <c r="W10" s="584" t="s">
        <v>136</v>
      </c>
      <c r="X10" s="79" t="s">
        <v>136</v>
      </c>
      <c r="Y10" s="79" t="s">
        <v>136</v>
      </c>
      <c r="Z10" s="440" t="s">
        <v>136</v>
      </c>
    </row>
    <row r="11" spans="3:26" ht="42.75" x14ac:dyDescent="0.25">
      <c r="C11" s="666"/>
      <c r="D11" s="669"/>
      <c r="E11" s="20" t="s">
        <v>18</v>
      </c>
      <c r="F11" s="4"/>
      <c r="G11" s="16" t="s">
        <v>26</v>
      </c>
      <c r="H11" s="17" t="s">
        <v>26</v>
      </c>
      <c r="I11" s="672"/>
      <c r="J11" s="84" t="s">
        <v>136</v>
      </c>
      <c r="K11" s="446" t="s">
        <v>136</v>
      </c>
      <c r="L11" s="450" t="s">
        <v>136</v>
      </c>
      <c r="M11" s="457" t="s">
        <v>136</v>
      </c>
      <c r="N11" s="119" t="s">
        <v>136</v>
      </c>
      <c r="O11" s="465" t="s">
        <v>136</v>
      </c>
      <c r="P11" s="77" t="s">
        <v>136</v>
      </c>
      <c r="Q11" s="438" t="s">
        <v>136</v>
      </c>
      <c r="R11" s="428" t="s">
        <v>136</v>
      </c>
      <c r="S11" s="77" t="s">
        <v>136</v>
      </c>
      <c r="T11" s="77" t="s">
        <v>136</v>
      </c>
      <c r="U11" s="79" t="s">
        <v>136</v>
      </c>
      <c r="V11" s="439" t="s">
        <v>136</v>
      </c>
      <c r="W11" s="584" t="s">
        <v>136</v>
      </c>
      <c r="X11" s="79" t="s">
        <v>136</v>
      </c>
      <c r="Y11" s="79" t="s">
        <v>136</v>
      </c>
      <c r="Z11" s="440" t="s">
        <v>136</v>
      </c>
    </row>
    <row r="12" spans="3:26" ht="57" x14ac:dyDescent="0.25">
      <c r="C12" s="666"/>
      <c r="D12" s="669"/>
      <c r="E12" s="20" t="s">
        <v>19</v>
      </c>
      <c r="F12" s="4"/>
      <c r="G12" s="16" t="s">
        <v>26</v>
      </c>
      <c r="H12" s="17" t="s">
        <v>26</v>
      </c>
      <c r="I12" s="672"/>
      <c r="J12" s="84" t="s">
        <v>136</v>
      </c>
      <c r="K12" s="446" t="s">
        <v>136</v>
      </c>
      <c r="L12" s="450" t="s">
        <v>136</v>
      </c>
      <c r="M12" s="457" t="s">
        <v>136</v>
      </c>
      <c r="N12" s="119" t="s">
        <v>136</v>
      </c>
      <c r="O12" s="465" t="s">
        <v>136</v>
      </c>
      <c r="P12" s="77" t="s">
        <v>136</v>
      </c>
      <c r="Q12" s="438" t="s">
        <v>136</v>
      </c>
      <c r="R12" s="428" t="s">
        <v>136</v>
      </c>
      <c r="S12" s="77" t="s">
        <v>136</v>
      </c>
      <c r="T12" s="77" t="s">
        <v>136</v>
      </c>
      <c r="U12" s="79" t="s">
        <v>136</v>
      </c>
      <c r="V12" s="439" t="s">
        <v>136</v>
      </c>
      <c r="W12" s="584" t="s">
        <v>136</v>
      </c>
      <c r="X12" s="79" t="s">
        <v>136</v>
      </c>
      <c r="Y12" s="79" t="s">
        <v>136</v>
      </c>
      <c r="Z12" s="440" t="s">
        <v>136</v>
      </c>
    </row>
    <row r="13" spans="3:26" ht="42.75" x14ac:dyDescent="0.25">
      <c r="C13" s="666"/>
      <c r="D13" s="669"/>
      <c r="E13" s="20" t="s">
        <v>20</v>
      </c>
      <c r="F13" s="16"/>
      <c r="G13" s="16" t="s">
        <v>26</v>
      </c>
      <c r="H13" s="17" t="s">
        <v>26</v>
      </c>
      <c r="I13" s="672"/>
      <c r="J13" s="84" t="s">
        <v>136</v>
      </c>
      <c r="K13" s="446" t="s">
        <v>136</v>
      </c>
      <c r="L13" s="450" t="s">
        <v>136</v>
      </c>
      <c r="M13" s="457" t="s">
        <v>136</v>
      </c>
      <c r="N13" s="119" t="s">
        <v>136</v>
      </c>
      <c r="O13" s="465" t="s">
        <v>136</v>
      </c>
      <c r="P13" s="77" t="s">
        <v>136</v>
      </c>
      <c r="Q13" s="438" t="s">
        <v>136</v>
      </c>
      <c r="R13" s="428" t="s">
        <v>136</v>
      </c>
      <c r="S13" s="77" t="s">
        <v>136</v>
      </c>
      <c r="T13" s="77" t="s">
        <v>136</v>
      </c>
      <c r="U13" s="79" t="s">
        <v>136</v>
      </c>
      <c r="V13" s="439" t="s">
        <v>136</v>
      </c>
      <c r="W13" s="584" t="s">
        <v>136</v>
      </c>
      <c r="X13" s="79" t="s">
        <v>136</v>
      </c>
      <c r="Y13" s="79" t="s">
        <v>136</v>
      </c>
      <c r="Z13" s="440" t="s">
        <v>136</v>
      </c>
    </row>
    <row r="14" spans="3:26" ht="28.5" x14ac:dyDescent="0.25">
      <c r="C14" s="666"/>
      <c r="D14" s="669"/>
      <c r="E14" s="20" t="s">
        <v>21</v>
      </c>
      <c r="F14" s="4"/>
      <c r="G14" s="16" t="s">
        <v>26</v>
      </c>
      <c r="H14" s="17" t="s">
        <v>26</v>
      </c>
      <c r="I14" s="672"/>
      <c r="J14" s="84" t="s">
        <v>136</v>
      </c>
      <c r="K14" s="446" t="s">
        <v>136</v>
      </c>
      <c r="L14" s="450" t="s">
        <v>136</v>
      </c>
      <c r="M14" s="457" t="s">
        <v>136</v>
      </c>
      <c r="N14" s="119" t="s">
        <v>136</v>
      </c>
      <c r="O14" s="465" t="s">
        <v>136</v>
      </c>
      <c r="P14" s="77" t="s">
        <v>136</v>
      </c>
      <c r="Q14" s="438" t="s">
        <v>136</v>
      </c>
      <c r="R14" s="428" t="s">
        <v>136</v>
      </c>
      <c r="S14" s="77" t="s">
        <v>136</v>
      </c>
      <c r="T14" s="77" t="s">
        <v>136</v>
      </c>
      <c r="U14" s="79" t="s">
        <v>136</v>
      </c>
      <c r="V14" s="439" t="s">
        <v>136</v>
      </c>
      <c r="W14" s="584" t="s">
        <v>136</v>
      </c>
      <c r="X14" s="79" t="s">
        <v>136</v>
      </c>
      <c r="Y14" s="79" t="s">
        <v>136</v>
      </c>
      <c r="Z14" s="440" t="s">
        <v>136</v>
      </c>
    </row>
    <row r="15" spans="3:26" ht="42.75" x14ac:dyDescent="0.25">
      <c r="C15" s="666"/>
      <c r="D15" s="669"/>
      <c r="E15" s="20" t="s">
        <v>22</v>
      </c>
      <c r="F15" s="4"/>
      <c r="G15" s="16" t="s">
        <v>26</v>
      </c>
      <c r="H15" s="17" t="s">
        <v>26</v>
      </c>
      <c r="I15" s="672"/>
      <c r="J15" s="84" t="s">
        <v>136</v>
      </c>
      <c r="K15" s="446" t="s">
        <v>136</v>
      </c>
      <c r="L15" s="450" t="s">
        <v>136</v>
      </c>
      <c r="M15" s="457" t="s">
        <v>136</v>
      </c>
      <c r="N15" s="119" t="s">
        <v>136</v>
      </c>
      <c r="O15" s="465" t="s">
        <v>136</v>
      </c>
      <c r="P15" s="77" t="s">
        <v>136</v>
      </c>
      <c r="Q15" s="438" t="s">
        <v>136</v>
      </c>
      <c r="R15" s="428" t="s">
        <v>136</v>
      </c>
      <c r="S15" s="77" t="s">
        <v>136</v>
      </c>
      <c r="T15" s="77" t="s">
        <v>136</v>
      </c>
      <c r="U15" s="79" t="s">
        <v>136</v>
      </c>
      <c r="V15" s="439" t="s">
        <v>136</v>
      </c>
      <c r="W15" s="584" t="s">
        <v>136</v>
      </c>
      <c r="X15" s="79" t="s">
        <v>136</v>
      </c>
      <c r="Y15" s="79" t="s">
        <v>136</v>
      </c>
      <c r="Z15" s="440" t="s">
        <v>136</v>
      </c>
    </row>
    <row r="16" spans="3:26" ht="61.5" customHeight="1" x14ac:dyDescent="0.25">
      <c r="C16" s="666"/>
      <c r="D16" s="669"/>
      <c r="E16" s="20" t="s">
        <v>23</v>
      </c>
      <c r="F16" s="16" t="s">
        <v>26</v>
      </c>
      <c r="G16" s="16" t="s">
        <v>26</v>
      </c>
      <c r="H16" s="17" t="s">
        <v>26</v>
      </c>
      <c r="I16" s="672"/>
      <c r="J16" s="83">
        <v>0.1</v>
      </c>
      <c r="K16" s="447" t="s">
        <v>146</v>
      </c>
      <c r="L16" s="120">
        <v>0.04</v>
      </c>
      <c r="M16" s="458">
        <v>0</v>
      </c>
      <c r="N16" s="119"/>
      <c r="O16" s="466"/>
      <c r="P16" s="110" t="s">
        <v>157</v>
      </c>
      <c r="Q16" s="114">
        <v>0.03</v>
      </c>
      <c r="R16" s="428"/>
      <c r="S16" s="77"/>
      <c r="T16" s="125"/>
      <c r="U16" s="111" t="s">
        <v>158</v>
      </c>
      <c r="V16" s="127">
        <v>0.03</v>
      </c>
      <c r="W16" s="584"/>
      <c r="X16" s="79"/>
      <c r="Y16" s="181"/>
      <c r="Z16" s="170">
        <f>M16+R16+W16</f>
        <v>0</v>
      </c>
    </row>
    <row r="17" spans="3:26" ht="68.25" customHeight="1" thickBot="1" x14ac:dyDescent="0.3">
      <c r="C17" s="666"/>
      <c r="D17" s="670"/>
      <c r="E17" s="25" t="s">
        <v>24</v>
      </c>
      <c r="F17" s="15" t="s">
        <v>26</v>
      </c>
      <c r="G17" s="15" t="s">
        <v>26</v>
      </c>
      <c r="H17" s="19" t="s">
        <v>26</v>
      </c>
      <c r="I17" s="672"/>
      <c r="J17" s="85">
        <v>0.1</v>
      </c>
      <c r="K17" s="444" t="s">
        <v>146</v>
      </c>
      <c r="L17" s="150">
        <v>0.04</v>
      </c>
      <c r="M17" s="456">
        <v>0</v>
      </c>
      <c r="N17" s="472"/>
      <c r="O17" s="462"/>
      <c r="P17" s="135" t="s">
        <v>157</v>
      </c>
      <c r="Q17" s="136">
        <v>0.03</v>
      </c>
      <c r="R17" s="427"/>
      <c r="S17" s="137"/>
      <c r="T17" s="138"/>
      <c r="U17" s="182" t="s">
        <v>158</v>
      </c>
      <c r="V17" s="112">
        <v>0.03</v>
      </c>
      <c r="W17" s="585"/>
      <c r="X17" s="80"/>
      <c r="Y17" s="180"/>
      <c r="Z17" s="171">
        <f>M17+R17+W17</f>
        <v>0</v>
      </c>
    </row>
    <row r="18" spans="3:26" ht="60.75" thickBot="1" x14ac:dyDescent="0.3">
      <c r="C18" s="667"/>
      <c r="D18" s="11" t="s">
        <v>46</v>
      </c>
      <c r="E18" s="10" t="s">
        <v>98</v>
      </c>
      <c r="F18" s="16" t="s">
        <v>26</v>
      </c>
      <c r="G18" s="15" t="s">
        <v>26</v>
      </c>
      <c r="H18" s="149" t="s">
        <v>26</v>
      </c>
      <c r="I18" s="160" t="s">
        <v>81</v>
      </c>
      <c r="J18" s="161">
        <v>0.1</v>
      </c>
      <c r="K18" s="448" t="s">
        <v>159</v>
      </c>
      <c r="L18" s="451">
        <v>0.04</v>
      </c>
      <c r="M18" s="454">
        <v>0.04</v>
      </c>
      <c r="N18" s="470" t="s">
        <v>251</v>
      </c>
      <c r="O18" s="467" t="s">
        <v>247</v>
      </c>
      <c r="P18" s="162" t="s">
        <v>160</v>
      </c>
      <c r="Q18" s="163">
        <v>0.03</v>
      </c>
      <c r="R18" s="425"/>
      <c r="S18" s="97"/>
      <c r="T18" s="123"/>
      <c r="U18" s="183" t="s">
        <v>161</v>
      </c>
      <c r="V18" s="164">
        <v>0.03</v>
      </c>
      <c r="W18" s="582"/>
      <c r="X18" s="99"/>
      <c r="Y18" s="178"/>
      <c r="Z18" s="169">
        <f>M18+R18+W18</f>
        <v>0.04</v>
      </c>
    </row>
    <row r="19" spans="3:26" ht="32.25" thickBot="1" x14ac:dyDescent="0.3">
      <c r="E19" s="145" t="s">
        <v>162</v>
      </c>
      <c r="F19" s="144">
        <v>8</v>
      </c>
      <c r="I19" s="151" t="s">
        <v>138</v>
      </c>
      <c r="J19" s="152">
        <f>SUM(J5:J18)</f>
        <v>0.99999999999999989</v>
      </c>
      <c r="K19" s="153" t="s">
        <v>163</v>
      </c>
      <c r="L19" s="154">
        <f>SUM(L5:L18)</f>
        <v>0.39999999999999997</v>
      </c>
      <c r="M19" s="154">
        <f>SUM(M5:M18)</f>
        <v>0.12</v>
      </c>
      <c r="P19" s="155" t="s">
        <v>163</v>
      </c>
      <c r="Q19" s="156">
        <f>SUM(Q5:Q18)</f>
        <v>0.30000000000000004</v>
      </c>
      <c r="U19" s="155" t="s">
        <v>163</v>
      </c>
      <c r="V19" s="157">
        <f>SUM(V5:V18)</f>
        <v>0.30000000000000004</v>
      </c>
      <c r="X19" s="148">
        <f>SUM(L19+Q19+V19)</f>
        <v>1</v>
      </c>
      <c r="Y19" s="158"/>
      <c r="Z19" s="159">
        <f>SUM(Z5+Z6+Z7+Z8+Z9+Z16+Z17+Z18)</f>
        <v>0.12</v>
      </c>
    </row>
    <row r="20" spans="3:26" ht="42" x14ac:dyDescent="0.35">
      <c r="L20" s="202" t="s">
        <v>190</v>
      </c>
      <c r="M20" s="203">
        <f>12*100/40</f>
        <v>30</v>
      </c>
    </row>
  </sheetData>
  <mergeCells count="11">
    <mergeCell ref="J3:J4"/>
    <mergeCell ref="U3:Y3"/>
    <mergeCell ref="P3:T3"/>
    <mergeCell ref="C5:C18"/>
    <mergeCell ref="D10:D17"/>
    <mergeCell ref="I10:I17"/>
    <mergeCell ref="L3:O3"/>
    <mergeCell ref="C3:C4"/>
    <mergeCell ref="D3:D4"/>
    <mergeCell ref="E3:E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59CF-488C-44C2-8CB8-5BBEEBF9D004}">
  <sheetPr>
    <tabColor theme="5" tint="0.79998168889431442"/>
  </sheetPr>
  <dimension ref="B3:Y31"/>
  <sheetViews>
    <sheetView topLeftCell="N26" zoomScale="80" zoomScaleNormal="80" workbookViewId="0">
      <selection activeCell="B4" sqref="B4:N29"/>
    </sheetView>
  </sheetViews>
  <sheetFormatPr baseColWidth="10" defaultRowHeight="15" x14ac:dyDescent="0.25"/>
  <cols>
    <col min="2" max="2" width="25.7109375" customWidth="1"/>
    <col min="3" max="3" width="17.5703125" customWidth="1"/>
    <col min="4" max="4" width="30" customWidth="1"/>
    <col min="8" max="8" width="24.5703125" customWidth="1"/>
    <col min="9" max="9" width="15.85546875" customWidth="1"/>
    <col min="10" max="10" width="22.7109375" customWidth="1"/>
    <col min="11" max="11" width="17.42578125" customWidth="1"/>
    <col min="12" max="12" width="12.5703125" customWidth="1"/>
    <col min="13" max="13" width="25.5703125" customWidth="1"/>
    <col min="14" max="14" width="25.7109375" customWidth="1"/>
    <col min="15" max="15" width="28.42578125" customWidth="1"/>
    <col min="16" max="16" width="15.5703125" customWidth="1"/>
    <col min="17" max="17" width="17.5703125" customWidth="1"/>
    <col min="18" max="18" width="18.42578125" customWidth="1"/>
    <col min="19" max="19" width="25.42578125" customWidth="1"/>
    <col min="20" max="20" width="24.42578125" customWidth="1"/>
    <col min="21" max="21" width="25.85546875" customWidth="1"/>
    <col min="22" max="22" width="15.5703125" customWidth="1"/>
    <col min="23" max="23" width="16.140625" customWidth="1"/>
    <col min="24" max="24" width="21.7109375" customWidth="1"/>
    <col min="25" max="25" width="22.85546875" customWidth="1"/>
  </cols>
  <sheetData>
    <row r="3" spans="2:25" ht="15.75" thickBot="1" x14ac:dyDescent="0.3"/>
    <row r="4" spans="2:25" ht="75.75" customHeight="1" thickBot="1" x14ac:dyDescent="0.35">
      <c r="B4" s="665" t="s">
        <v>0</v>
      </c>
      <c r="C4" s="665" t="s">
        <v>3</v>
      </c>
      <c r="D4" s="665" t="s">
        <v>36</v>
      </c>
      <c r="E4" s="13" t="s">
        <v>1</v>
      </c>
      <c r="F4" s="13" t="s">
        <v>64</v>
      </c>
      <c r="G4" s="14" t="s">
        <v>2</v>
      </c>
      <c r="H4" s="675" t="s">
        <v>72</v>
      </c>
      <c r="I4" s="616" t="s">
        <v>139</v>
      </c>
      <c r="J4" s="87"/>
      <c r="K4" s="673" t="s">
        <v>131</v>
      </c>
      <c r="L4" s="673"/>
      <c r="M4" s="673"/>
      <c r="N4" s="674"/>
      <c r="O4" s="677" t="s">
        <v>133</v>
      </c>
      <c r="P4" s="678"/>
      <c r="Q4" s="678"/>
      <c r="R4" s="678"/>
      <c r="S4" s="678"/>
      <c r="T4" s="660" t="s">
        <v>134</v>
      </c>
      <c r="U4" s="661"/>
      <c r="V4" s="661"/>
      <c r="W4" s="661"/>
      <c r="X4" s="662"/>
      <c r="Y4" s="165"/>
    </row>
    <row r="5" spans="2:25" ht="84.75" thickBot="1" x14ac:dyDescent="0.4">
      <c r="B5" s="667"/>
      <c r="C5" s="667"/>
      <c r="D5" s="666"/>
      <c r="E5" s="16">
        <v>2025</v>
      </c>
      <c r="F5" s="16" t="s">
        <v>66</v>
      </c>
      <c r="G5" s="17" t="s">
        <v>65</v>
      </c>
      <c r="H5" s="679"/>
      <c r="I5" s="640"/>
      <c r="J5" s="236" t="s">
        <v>140</v>
      </c>
      <c r="K5" s="400" t="s">
        <v>143</v>
      </c>
      <c r="L5" s="566" t="s">
        <v>135</v>
      </c>
      <c r="M5" s="401" t="s">
        <v>130</v>
      </c>
      <c r="N5" s="402" t="s">
        <v>127</v>
      </c>
      <c r="O5" s="351" t="s">
        <v>140</v>
      </c>
      <c r="P5" s="403" t="s">
        <v>145</v>
      </c>
      <c r="Q5" s="572" t="s">
        <v>135</v>
      </c>
      <c r="R5" s="404" t="s">
        <v>132</v>
      </c>
      <c r="S5" s="405" t="s">
        <v>127</v>
      </c>
      <c r="T5" s="406" t="s">
        <v>140</v>
      </c>
      <c r="U5" s="407" t="s">
        <v>145</v>
      </c>
      <c r="V5" s="586" t="s">
        <v>135</v>
      </c>
      <c r="W5" s="408" t="s">
        <v>132</v>
      </c>
      <c r="X5" s="409" t="s">
        <v>127</v>
      </c>
      <c r="Y5" s="473" t="s">
        <v>137</v>
      </c>
    </row>
    <row r="6" spans="2:25" ht="165" customHeight="1" thickBot="1" x14ac:dyDescent="0.4">
      <c r="B6" s="665" t="s">
        <v>67</v>
      </c>
      <c r="C6" s="668" t="s">
        <v>47</v>
      </c>
      <c r="D6" s="22" t="s">
        <v>63</v>
      </c>
      <c r="E6" s="13" t="s">
        <v>26</v>
      </c>
      <c r="F6" s="206"/>
      <c r="G6" s="207"/>
      <c r="H6" s="63" t="s">
        <v>268</v>
      </c>
      <c r="I6" s="430">
        <v>0.05</v>
      </c>
      <c r="J6" s="704" t="s">
        <v>164</v>
      </c>
      <c r="K6" s="394">
        <v>0.01</v>
      </c>
      <c r="L6" s="567">
        <v>0.01</v>
      </c>
      <c r="M6" s="411" t="s">
        <v>226</v>
      </c>
      <c r="N6" s="410" t="s">
        <v>225</v>
      </c>
      <c r="O6" s="395" t="s">
        <v>189</v>
      </c>
      <c r="P6" s="396">
        <v>0.02</v>
      </c>
      <c r="Q6" s="426"/>
      <c r="R6" s="76"/>
      <c r="S6" s="397"/>
      <c r="T6" s="398" t="s">
        <v>165</v>
      </c>
      <c r="U6" s="399">
        <v>0.02</v>
      </c>
      <c r="V6" s="583"/>
      <c r="W6" s="78"/>
      <c r="X6" s="179"/>
      <c r="Y6" s="474">
        <f>SUM(L6+Q6+V6)</f>
        <v>0.01</v>
      </c>
    </row>
    <row r="7" spans="2:25" ht="77.25" hidden="1" customHeight="1" thickBot="1" x14ac:dyDescent="0.4">
      <c r="B7" s="666"/>
      <c r="C7" s="669"/>
      <c r="D7" s="7" t="s">
        <v>5</v>
      </c>
      <c r="E7" s="47"/>
      <c r="F7" s="45" t="s">
        <v>26</v>
      </c>
      <c r="G7" s="48"/>
      <c r="H7" s="190" t="s">
        <v>87</v>
      </c>
      <c r="I7" s="475" t="s">
        <v>136</v>
      </c>
      <c r="J7" s="705" t="s">
        <v>136</v>
      </c>
      <c r="K7" s="74" t="s">
        <v>136</v>
      </c>
      <c r="L7" s="568" t="s">
        <v>136</v>
      </c>
      <c r="M7" s="74" t="s">
        <v>136</v>
      </c>
      <c r="N7" s="74" t="s">
        <v>136</v>
      </c>
      <c r="O7" s="77" t="s">
        <v>136</v>
      </c>
      <c r="P7" s="77" t="s">
        <v>136</v>
      </c>
      <c r="Q7" s="428" t="s">
        <v>136</v>
      </c>
      <c r="R7" s="77" t="s">
        <v>136</v>
      </c>
      <c r="S7" s="77" t="s">
        <v>136</v>
      </c>
      <c r="T7" s="79" t="s">
        <v>136</v>
      </c>
      <c r="U7" s="79" t="s">
        <v>136</v>
      </c>
      <c r="V7" s="584" t="s">
        <v>136</v>
      </c>
      <c r="W7" s="79" t="s">
        <v>136</v>
      </c>
      <c r="X7" s="79" t="s">
        <v>136</v>
      </c>
      <c r="Y7" s="474" t="e">
        <f>SUM(L7+Q7+V7)</f>
        <v>#VALUE!</v>
      </c>
    </row>
    <row r="8" spans="2:25" ht="91.5" hidden="1" customHeight="1" thickBot="1" x14ac:dyDescent="0.4">
      <c r="B8" s="666"/>
      <c r="C8" s="669"/>
      <c r="D8" s="26" t="s">
        <v>10</v>
      </c>
      <c r="E8" s="36"/>
      <c r="F8" s="35" t="s">
        <v>26</v>
      </c>
      <c r="G8" s="37"/>
      <c r="H8" s="67" t="s">
        <v>78</v>
      </c>
      <c r="I8" s="475" t="s">
        <v>136</v>
      </c>
      <c r="J8" s="705" t="s">
        <v>136</v>
      </c>
      <c r="K8" s="74" t="s">
        <v>136</v>
      </c>
      <c r="L8" s="568" t="s">
        <v>136</v>
      </c>
      <c r="M8" s="74" t="s">
        <v>136</v>
      </c>
      <c r="N8" s="74" t="s">
        <v>136</v>
      </c>
      <c r="O8" s="77" t="s">
        <v>136</v>
      </c>
      <c r="P8" s="77" t="s">
        <v>136</v>
      </c>
      <c r="Q8" s="428" t="s">
        <v>136</v>
      </c>
      <c r="R8" s="77" t="s">
        <v>136</v>
      </c>
      <c r="S8" s="77" t="s">
        <v>136</v>
      </c>
      <c r="T8" s="79" t="s">
        <v>136</v>
      </c>
      <c r="U8" s="79" t="s">
        <v>136</v>
      </c>
      <c r="V8" s="584" t="s">
        <v>136</v>
      </c>
      <c r="W8" s="79" t="s">
        <v>136</v>
      </c>
      <c r="X8" s="79" t="s">
        <v>136</v>
      </c>
      <c r="Y8" s="474" t="e">
        <f t="shared" ref="Y8:Y29" si="0">SUM(L8+Q8+V8)</f>
        <v>#VALUE!</v>
      </c>
    </row>
    <row r="9" spans="2:25" ht="62.25" hidden="1" customHeight="1" thickBot="1" x14ac:dyDescent="0.4">
      <c r="B9" s="666"/>
      <c r="C9" s="669"/>
      <c r="D9" s="6" t="s">
        <v>99</v>
      </c>
      <c r="E9" s="40"/>
      <c r="F9" s="41" t="s">
        <v>26</v>
      </c>
      <c r="G9" s="42"/>
      <c r="H9" s="191" t="s">
        <v>79</v>
      </c>
      <c r="I9" s="475" t="s">
        <v>136</v>
      </c>
      <c r="J9" s="705" t="s">
        <v>136</v>
      </c>
      <c r="K9" s="74" t="s">
        <v>136</v>
      </c>
      <c r="L9" s="568" t="s">
        <v>136</v>
      </c>
      <c r="M9" s="74" t="s">
        <v>136</v>
      </c>
      <c r="N9" s="74" t="s">
        <v>136</v>
      </c>
      <c r="O9" s="77" t="s">
        <v>136</v>
      </c>
      <c r="P9" s="77" t="s">
        <v>136</v>
      </c>
      <c r="Q9" s="428" t="s">
        <v>136</v>
      </c>
      <c r="R9" s="77" t="s">
        <v>136</v>
      </c>
      <c r="S9" s="77" t="s">
        <v>136</v>
      </c>
      <c r="T9" s="79" t="s">
        <v>136</v>
      </c>
      <c r="U9" s="79" t="s">
        <v>136</v>
      </c>
      <c r="V9" s="584" t="s">
        <v>136</v>
      </c>
      <c r="W9" s="79" t="s">
        <v>136</v>
      </c>
      <c r="X9" s="79" t="s">
        <v>136</v>
      </c>
      <c r="Y9" s="474" t="e">
        <f t="shared" si="0"/>
        <v>#VALUE!</v>
      </c>
    </row>
    <row r="10" spans="2:25" ht="60.75" hidden="1" customHeight="1" thickBot="1" x14ac:dyDescent="0.4">
      <c r="B10" s="666"/>
      <c r="C10" s="669"/>
      <c r="D10" s="26" t="s">
        <v>16</v>
      </c>
      <c r="E10" s="36"/>
      <c r="F10" s="35" t="s">
        <v>26</v>
      </c>
      <c r="G10" s="37"/>
      <c r="H10" s="65" t="s">
        <v>79</v>
      </c>
      <c r="I10" s="475" t="s">
        <v>136</v>
      </c>
      <c r="J10" s="705" t="s">
        <v>136</v>
      </c>
      <c r="K10" s="74" t="s">
        <v>136</v>
      </c>
      <c r="L10" s="568" t="s">
        <v>136</v>
      </c>
      <c r="M10" s="74" t="s">
        <v>136</v>
      </c>
      <c r="N10" s="74" t="s">
        <v>136</v>
      </c>
      <c r="O10" s="77" t="s">
        <v>136</v>
      </c>
      <c r="P10" s="77" t="s">
        <v>136</v>
      </c>
      <c r="Q10" s="428" t="s">
        <v>136</v>
      </c>
      <c r="R10" s="77" t="s">
        <v>136</v>
      </c>
      <c r="S10" s="77" t="s">
        <v>136</v>
      </c>
      <c r="T10" s="79" t="s">
        <v>136</v>
      </c>
      <c r="U10" s="79" t="s">
        <v>136</v>
      </c>
      <c r="V10" s="584" t="s">
        <v>136</v>
      </c>
      <c r="W10" s="79" t="s">
        <v>136</v>
      </c>
      <c r="X10" s="79" t="s">
        <v>136</v>
      </c>
      <c r="Y10" s="474" t="e">
        <f t="shared" si="0"/>
        <v>#VALUE!</v>
      </c>
    </row>
    <row r="11" spans="2:25" ht="74.25" hidden="1" customHeight="1" thickBot="1" x14ac:dyDescent="0.4">
      <c r="B11" s="666"/>
      <c r="C11" s="669"/>
      <c r="D11" s="26" t="s">
        <v>27</v>
      </c>
      <c r="E11" s="36"/>
      <c r="F11" s="35" t="s">
        <v>26</v>
      </c>
      <c r="G11" s="37"/>
      <c r="H11" s="65" t="s">
        <v>80</v>
      </c>
      <c r="I11" s="475" t="s">
        <v>136</v>
      </c>
      <c r="J11" s="705" t="s">
        <v>136</v>
      </c>
      <c r="K11" s="74" t="s">
        <v>136</v>
      </c>
      <c r="L11" s="568" t="s">
        <v>136</v>
      </c>
      <c r="M11" s="74" t="s">
        <v>136</v>
      </c>
      <c r="N11" s="74" t="s">
        <v>136</v>
      </c>
      <c r="O11" s="77" t="s">
        <v>136</v>
      </c>
      <c r="P11" s="77" t="s">
        <v>136</v>
      </c>
      <c r="Q11" s="428" t="s">
        <v>136</v>
      </c>
      <c r="R11" s="77" t="s">
        <v>136</v>
      </c>
      <c r="S11" s="77" t="s">
        <v>136</v>
      </c>
      <c r="T11" s="79" t="s">
        <v>136</v>
      </c>
      <c r="U11" s="79" t="s">
        <v>136</v>
      </c>
      <c r="V11" s="584" t="s">
        <v>136</v>
      </c>
      <c r="W11" s="79" t="s">
        <v>136</v>
      </c>
      <c r="X11" s="79" t="s">
        <v>136</v>
      </c>
      <c r="Y11" s="474" t="e">
        <f t="shared" si="0"/>
        <v>#VALUE!</v>
      </c>
    </row>
    <row r="12" spans="2:25" ht="58.5" hidden="1" customHeight="1" thickBot="1" x14ac:dyDescent="0.4">
      <c r="B12" s="666"/>
      <c r="C12" s="669"/>
      <c r="D12" s="26" t="s">
        <v>9</v>
      </c>
      <c r="E12" s="36"/>
      <c r="F12" s="35" t="s">
        <v>26</v>
      </c>
      <c r="G12" s="43"/>
      <c r="H12" s="65" t="s">
        <v>79</v>
      </c>
      <c r="I12" s="475" t="s">
        <v>136</v>
      </c>
      <c r="J12" s="705" t="s">
        <v>136</v>
      </c>
      <c r="K12" s="74" t="s">
        <v>136</v>
      </c>
      <c r="L12" s="568" t="s">
        <v>136</v>
      </c>
      <c r="M12" s="74" t="s">
        <v>136</v>
      </c>
      <c r="N12" s="74" t="s">
        <v>136</v>
      </c>
      <c r="O12" s="77" t="s">
        <v>136</v>
      </c>
      <c r="P12" s="77" t="s">
        <v>136</v>
      </c>
      <c r="Q12" s="428" t="s">
        <v>136</v>
      </c>
      <c r="R12" s="77" t="s">
        <v>136</v>
      </c>
      <c r="S12" s="77" t="s">
        <v>136</v>
      </c>
      <c r="T12" s="79" t="s">
        <v>136</v>
      </c>
      <c r="U12" s="79" t="s">
        <v>136</v>
      </c>
      <c r="V12" s="584" t="s">
        <v>136</v>
      </c>
      <c r="W12" s="79" t="s">
        <v>136</v>
      </c>
      <c r="X12" s="79" t="s">
        <v>136</v>
      </c>
      <c r="Y12" s="474" t="e">
        <f t="shared" si="0"/>
        <v>#VALUE!</v>
      </c>
    </row>
    <row r="13" spans="2:25" ht="88.5" hidden="1" customHeight="1" thickBot="1" x14ac:dyDescent="0.4">
      <c r="B13" s="666"/>
      <c r="C13" s="669"/>
      <c r="D13" s="26" t="s">
        <v>11</v>
      </c>
      <c r="E13" s="36"/>
      <c r="F13" s="35" t="s">
        <v>26</v>
      </c>
      <c r="G13" s="37"/>
      <c r="H13" s="67" t="s">
        <v>78</v>
      </c>
      <c r="I13" s="475" t="s">
        <v>136</v>
      </c>
      <c r="J13" s="705" t="s">
        <v>136</v>
      </c>
      <c r="K13" s="74" t="s">
        <v>136</v>
      </c>
      <c r="L13" s="568" t="s">
        <v>136</v>
      </c>
      <c r="M13" s="74" t="s">
        <v>136</v>
      </c>
      <c r="N13" s="74" t="s">
        <v>136</v>
      </c>
      <c r="O13" s="77" t="s">
        <v>136</v>
      </c>
      <c r="P13" s="77" t="s">
        <v>136</v>
      </c>
      <c r="Q13" s="428" t="s">
        <v>136</v>
      </c>
      <c r="R13" s="77" t="s">
        <v>136</v>
      </c>
      <c r="S13" s="77" t="s">
        <v>136</v>
      </c>
      <c r="T13" s="79" t="s">
        <v>136</v>
      </c>
      <c r="U13" s="79" t="s">
        <v>136</v>
      </c>
      <c r="V13" s="584" t="s">
        <v>136</v>
      </c>
      <c r="W13" s="79" t="s">
        <v>136</v>
      </c>
      <c r="X13" s="79" t="s">
        <v>136</v>
      </c>
      <c r="Y13" s="474" t="e">
        <f t="shared" si="0"/>
        <v>#VALUE!</v>
      </c>
    </row>
    <row r="14" spans="2:25" ht="75.75" hidden="1" customHeight="1" thickBot="1" x14ac:dyDescent="0.4">
      <c r="B14" s="666"/>
      <c r="C14" s="669"/>
      <c r="D14" s="26" t="s">
        <v>28</v>
      </c>
      <c r="E14" s="36"/>
      <c r="F14" s="44" t="s">
        <v>26</v>
      </c>
      <c r="G14" s="43"/>
      <c r="H14" s="65" t="s">
        <v>80</v>
      </c>
      <c r="I14" s="475" t="s">
        <v>136</v>
      </c>
      <c r="J14" s="705" t="s">
        <v>136</v>
      </c>
      <c r="K14" s="74" t="s">
        <v>136</v>
      </c>
      <c r="L14" s="568" t="s">
        <v>136</v>
      </c>
      <c r="M14" s="74" t="s">
        <v>136</v>
      </c>
      <c r="N14" s="74" t="s">
        <v>136</v>
      </c>
      <c r="O14" s="77" t="s">
        <v>136</v>
      </c>
      <c r="P14" s="77" t="s">
        <v>136</v>
      </c>
      <c r="Q14" s="428" t="s">
        <v>136</v>
      </c>
      <c r="R14" s="77" t="s">
        <v>136</v>
      </c>
      <c r="S14" s="77" t="s">
        <v>136</v>
      </c>
      <c r="T14" s="79" t="s">
        <v>136</v>
      </c>
      <c r="U14" s="79" t="s">
        <v>136</v>
      </c>
      <c r="V14" s="584" t="s">
        <v>136</v>
      </c>
      <c r="W14" s="79" t="s">
        <v>136</v>
      </c>
      <c r="X14" s="79" t="s">
        <v>136</v>
      </c>
      <c r="Y14" s="474" t="e">
        <f t="shared" si="0"/>
        <v>#VALUE!</v>
      </c>
    </row>
    <row r="15" spans="2:25" ht="60" hidden="1" customHeight="1" thickBot="1" x14ac:dyDescent="0.4">
      <c r="B15" s="666"/>
      <c r="C15" s="669"/>
      <c r="D15" s="26" t="s">
        <v>15</v>
      </c>
      <c r="E15" s="36"/>
      <c r="F15" s="35" t="s">
        <v>26</v>
      </c>
      <c r="G15" s="37"/>
      <c r="H15" s="65" t="s">
        <v>79</v>
      </c>
      <c r="I15" s="475" t="s">
        <v>136</v>
      </c>
      <c r="J15" s="705" t="s">
        <v>136</v>
      </c>
      <c r="K15" s="74" t="s">
        <v>136</v>
      </c>
      <c r="L15" s="568" t="s">
        <v>136</v>
      </c>
      <c r="M15" s="74" t="s">
        <v>136</v>
      </c>
      <c r="N15" s="74" t="s">
        <v>136</v>
      </c>
      <c r="O15" s="77" t="s">
        <v>136</v>
      </c>
      <c r="P15" s="77" t="s">
        <v>136</v>
      </c>
      <c r="Q15" s="428" t="s">
        <v>136</v>
      </c>
      <c r="R15" s="77" t="s">
        <v>136</v>
      </c>
      <c r="S15" s="77" t="s">
        <v>136</v>
      </c>
      <c r="T15" s="79" t="s">
        <v>136</v>
      </c>
      <c r="U15" s="79" t="s">
        <v>136</v>
      </c>
      <c r="V15" s="584" t="s">
        <v>136</v>
      </c>
      <c r="W15" s="79" t="s">
        <v>136</v>
      </c>
      <c r="X15" s="79" t="s">
        <v>136</v>
      </c>
      <c r="Y15" s="474" t="e">
        <f t="shared" si="0"/>
        <v>#VALUE!</v>
      </c>
    </row>
    <row r="16" spans="2:25" ht="96" hidden="1" customHeight="1" thickBot="1" x14ac:dyDescent="0.4">
      <c r="B16" s="666"/>
      <c r="C16" s="669"/>
      <c r="D16" s="26" t="s">
        <v>29</v>
      </c>
      <c r="E16" s="36"/>
      <c r="F16" s="35" t="s">
        <v>26</v>
      </c>
      <c r="G16" s="37"/>
      <c r="H16" s="67" t="s">
        <v>78</v>
      </c>
      <c r="I16" s="475" t="s">
        <v>136</v>
      </c>
      <c r="J16" s="705" t="s">
        <v>136</v>
      </c>
      <c r="K16" s="74" t="s">
        <v>136</v>
      </c>
      <c r="L16" s="568" t="s">
        <v>136</v>
      </c>
      <c r="M16" s="74" t="s">
        <v>136</v>
      </c>
      <c r="N16" s="74" t="s">
        <v>136</v>
      </c>
      <c r="O16" s="77" t="s">
        <v>136</v>
      </c>
      <c r="P16" s="77" t="s">
        <v>136</v>
      </c>
      <c r="Q16" s="428" t="s">
        <v>136</v>
      </c>
      <c r="R16" s="77" t="s">
        <v>136</v>
      </c>
      <c r="S16" s="77" t="s">
        <v>136</v>
      </c>
      <c r="T16" s="79" t="s">
        <v>136</v>
      </c>
      <c r="U16" s="79" t="s">
        <v>136</v>
      </c>
      <c r="V16" s="584" t="s">
        <v>136</v>
      </c>
      <c r="W16" s="79" t="s">
        <v>136</v>
      </c>
      <c r="X16" s="79" t="s">
        <v>136</v>
      </c>
      <c r="Y16" s="474" t="e">
        <f t="shared" si="0"/>
        <v>#VALUE!</v>
      </c>
    </row>
    <row r="17" spans="2:25" ht="60" hidden="1" customHeight="1" thickBot="1" x14ac:dyDescent="0.4">
      <c r="B17" s="666"/>
      <c r="C17" s="669"/>
      <c r="D17" s="26" t="s">
        <v>30</v>
      </c>
      <c r="E17" s="36"/>
      <c r="F17" s="35" t="s">
        <v>26</v>
      </c>
      <c r="G17" s="37"/>
      <c r="H17" s="65" t="s">
        <v>79</v>
      </c>
      <c r="I17" s="475" t="s">
        <v>136</v>
      </c>
      <c r="J17" s="705" t="s">
        <v>136</v>
      </c>
      <c r="K17" s="74" t="s">
        <v>136</v>
      </c>
      <c r="L17" s="568" t="s">
        <v>136</v>
      </c>
      <c r="M17" s="74" t="s">
        <v>136</v>
      </c>
      <c r="N17" s="74" t="s">
        <v>136</v>
      </c>
      <c r="O17" s="77" t="s">
        <v>136</v>
      </c>
      <c r="P17" s="77" t="s">
        <v>136</v>
      </c>
      <c r="Q17" s="428" t="s">
        <v>136</v>
      </c>
      <c r="R17" s="77" t="s">
        <v>136</v>
      </c>
      <c r="S17" s="77" t="s">
        <v>136</v>
      </c>
      <c r="T17" s="79" t="s">
        <v>136</v>
      </c>
      <c r="U17" s="79" t="s">
        <v>136</v>
      </c>
      <c r="V17" s="584" t="s">
        <v>136</v>
      </c>
      <c r="W17" s="79" t="s">
        <v>136</v>
      </c>
      <c r="X17" s="79" t="s">
        <v>136</v>
      </c>
      <c r="Y17" s="474" t="e">
        <f t="shared" si="0"/>
        <v>#VALUE!</v>
      </c>
    </row>
    <row r="18" spans="2:25" ht="59.25" hidden="1" customHeight="1" thickBot="1" x14ac:dyDescent="0.4">
      <c r="B18" s="666"/>
      <c r="C18" s="669"/>
      <c r="D18" s="26" t="s">
        <v>31</v>
      </c>
      <c r="E18" s="36"/>
      <c r="F18" s="35" t="s">
        <v>26</v>
      </c>
      <c r="G18" s="37"/>
      <c r="H18" s="65" t="s">
        <v>79</v>
      </c>
      <c r="I18" s="475" t="s">
        <v>136</v>
      </c>
      <c r="J18" s="705" t="s">
        <v>136</v>
      </c>
      <c r="K18" s="74" t="s">
        <v>136</v>
      </c>
      <c r="L18" s="568" t="s">
        <v>136</v>
      </c>
      <c r="M18" s="74" t="s">
        <v>136</v>
      </c>
      <c r="N18" s="74" t="s">
        <v>136</v>
      </c>
      <c r="O18" s="77" t="s">
        <v>136</v>
      </c>
      <c r="P18" s="77" t="s">
        <v>136</v>
      </c>
      <c r="Q18" s="428" t="s">
        <v>136</v>
      </c>
      <c r="R18" s="77" t="s">
        <v>136</v>
      </c>
      <c r="S18" s="77" t="s">
        <v>136</v>
      </c>
      <c r="T18" s="79" t="s">
        <v>136</v>
      </c>
      <c r="U18" s="79" t="s">
        <v>136</v>
      </c>
      <c r="V18" s="584" t="s">
        <v>136</v>
      </c>
      <c r="W18" s="79" t="s">
        <v>136</v>
      </c>
      <c r="X18" s="79" t="s">
        <v>136</v>
      </c>
      <c r="Y18" s="474" t="e">
        <f t="shared" si="0"/>
        <v>#VALUE!</v>
      </c>
    </row>
    <row r="19" spans="2:25" ht="51.75" hidden="1" customHeight="1" thickBot="1" x14ac:dyDescent="0.4">
      <c r="B19" s="666"/>
      <c r="C19" s="669"/>
      <c r="D19" s="26" t="s">
        <v>37</v>
      </c>
      <c r="E19" s="36"/>
      <c r="F19" s="35" t="s">
        <v>26</v>
      </c>
      <c r="G19" s="37"/>
      <c r="H19" s="67" t="s">
        <v>82</v>
      </c>
      <c r="I19" s="475" t="s">
        <v>136</v>
      </c>
      <c r="J19" s="705" t="s">
        <v>136</v>
      </c>
      <c r="K19" s="74" t="s">
        <v>136</v>
      </c>
      <c r="L19" s="568" t="s">
        <v>136</v>
      </c>
      <c r="M19" s="74" t="s">
        <v>136</v>
      </c>
      <c r="N19" s="74" t="s">
        <v>136</v>
      </c>
      <c r="O19" s="77" t="s">
        <v>136</v>
      </c>
      <c r="P19" s="77" t="s">
        <v>136</v>
      </c>
      <c r="Q19" s="428" t="s">
        <v>136</v>
      </c>
      <c r="R19" s="77" t="s">
        <v>136</v>
      </c>
      <c r="S19" s="77" t="s">
        <v>136</v>
      </c>
      <c r="T19" s="79" t="s">
        <v>136</v>
      </c>
      <c r="U19" s="79" t="s">
        <v>136</v>
      </c>
      <c r="V19" s="584" t="s">
        <v>136</v>
      </c>
      <c r="W19" s="79" t="s">
        <v>136</v>
      </c>
      <c r="X19" s="79" t="s">
        <v>136</v>
      </c>
      <c r="Y19" s="474" t="e">
        <f t="shared" si="0"/>
        <v>#VALUE!</v>
      </c>
    </row>
    <row r="20" spans="2:25" s="703" customFormat="1" ht="170.25" customHeight="1" thickBot="1" x14ac:dyDescent="0.3">
      <c r="B20" s="666"/>
      <c r="C20" s="669"/>
      <c r="D20" s="22" t="s">
        <v>7</v>
      </c>
      <c r="E20" s="13" t="s">
        <v>26</v>
      </c>
      <c r="F20" s="13" t="s">
        <v>26</v>
      </c>
      <c r="G20" s="14" t="s">
        <v>26</v>
      </c>
      <c r="H20" s="63" t="s">
        <v>75</v>
      </c>
      <c r="I20" s="430">
        <v>0.2</v>
      </c>
      <c r="J20" s="706" t="s">
        <v>169</v>
      </c>
      <c r="K20" s="368">
        <v>7.0000000000000007E-2</v>
      </c>
      <c r="L20" s="569">
        <v>7.0000000000000007E-2</v>
      </c>
      <c r="M20" s="413" t="s">
        <v>228</v>
      </c>
      <c r="N20" s="412" t="s">
        <v>227</v>
      </c>
      <c r="O20" s="375" t="s">
        <v>167</v>
      </c>
      <c r="P20" s="376">
        <v>7.0000000000000007E-2</v>
      </c>
      <c r="Q20" s="573"/>
      <c r="R20" s="377"/>
      <c r="S20" s="378"/>
      <c r="T20" s="386" t="s">
        <v>168</v>
      </c>
      <c r="U20" s="385">
        <v>0.06</v>
      </c>
      <c r="V20" s="699"/>
      <c r="W20" s="700"/>
      <c r="X20" s="701"/>
      <c r="Y20" s="702">
        <f t="shared" si="0"/>
        <v>7.0000000000000007E-2</v>
      </c>
    </row>
    <row r="21" spans="2:25" ht="88.5" customHeight="1" thickBot="1" x14ac:dyDescent="0.4">
      <c r="B21" s="666"/>
      <c r="C21" s="669"/>
      <c r="D21" s="26" t="s">
        <v>88</v>
      </c>
      <c r="E21" s="35" t="s">
        <v>26</v>
      </c>
      <c r="F21" s="35" t="s">
        <v>26</v>
      </c>
      <c r="G21" s="43" t="s">
        <v>26</v>
      </c>
      <c r="H21" s="65" t="s">
        <v>79</v>
      </c>
      <c r="I21" s="430">
        <v>0.2</v>
      </c>
      <c r="J21" s="707" t="s">
        <v>170</v>
      </c>
      <c r="K21" s="368">
        <v>7.0000000000000007E-2</v>
      </c>
      <c r="L21" s="569">
        <v>7.0000000000000007E-2</v>
      </c>
      <c r="M21" s="413" t="s">
        <v>230</v>
      </c>
      <c r="N21" s="414" t="s">
        <v>229</v>
      </c>
      <c r="O21" s="379" t="s">
        <v>171</v>
      </c>
      <c r="P21" s="373">
        <v>7.0000000000000007E-2</v>
      </c>
      <c r="Q21" s="574">
        <v>7.0000000000000007E-2</v>
      </c>
      <c r="R21" s="417" t="s">
        <v>231</v>
      </c>
      <c r="S21" s="415" t="s">
        <v>232</v>
      </c>
      <c r="T21" s="182" t="s">
        <v>172</v>
      </c>
      <c r="U21" s="387">
        <v>0.06</v>
      </c>
      <c r="V21" s="584"/>
      <c r="W21" s="79"/>
      <c r="X21" s="181"/>
      <c r="Y21" s="474">
        <f t="shared" si="0"/>
        <v>0.14000000000000001</v>
      </c>
    </row>
    <row r="22" spans="2:25" ht="61.5" customHeight="1" thickBot="1" x14ac:dyDescent="0.4">
      <c r="B22" s="666"/>
      <c r="C22" s="669"/>
      <c r="D22" s="26" t="s">
        <v>41</v>
      </c>
      <c r="E22" s="35" t="s">
        <v>26</v>
      </c>
      <c r="F22" s="35" t="s">
        <v>26</v>
      </c>
      <c r="G22" s="43" t="s">
        <v>26</v>
      </c>
      <c r="H22" s="65" t="s">
        <v>79</v>
      </c>
      <c r="I22" s="430">
        <v>0.2</v>
      </c>
      <c r="J22" s="707" t="s">
        <v>175</v>
      </c>
      <c r="K22" s="368">
        <v>7.0000000000000007E-2</v>
      </c>
      <c r="L22" s="569">
        <v>0</v>
      </c>
      <c r="M22" s="74"/>
      <c r="N22" s="75"/>
      <c r="O22" s="379" t="s">
        <v>173</v>
      </c>
      <c r="P22" s="373">
        <v>7.0000000000000007E-2</v>
      </c>
      <c r="Q22" s="428"/>
      <c r="R22" s="77"/>
      <c r="S22" s="374"/>
      <c r="T22" s="182" t="s">
        <v>174</v>
      </c>
      <c r="U22" s="387">
        <v>0.06</v>
      </c>
      <c r="V22" s="584"/>
      <c r="W22" s="79"/>
      <c r="X22" s="181"/>
      <c r="Y22" s="474">
        <f t="shared" si="0"/>
        <v>0</v>
      </c>
    </row>
    <row r="23" spans="2:25" ht="74.25" hidden="1" customHeight="1" thickBot="1" x14ac:dyDescent="0.4">
      <c r="B23" s="666"/>
      <c r="C23" s="669"/>
      <c r="D23" s="26" t="s">
        <v>32</v>
      </c>
      <c r="E23" s="36"/>
      <c r="F23" s="35" t="s">
        <v>26</v>
      </c>
      <c r="G23" s="37"/>
      <c r="H23" s="65" t="s">
        <v>80</v>
      </c>
      <c r="I23" s="475" t="s">
        <v>136</v>
      </c>
      <c r="J23" s="705" t="s">
        <v>136</v>
      </c>
      <c r="K23" s="74" t="s">
        <v>136</v>
      </c>
      <c r="L23" s="568" t="s">
        <v>136</v>
      </c>
      <c r="M23" s="74" t="s">
        <v>136</v>
      </c>
      <c r="N23" s="74" t="s">
        <v>136</v>
      </c>
      <c r="O23" s="77" t="s">
        <v>136</v>
      </c>
      <c r="P23" s="77" t="s">
        <v>136</v>
      </c>
      <c r="Q23" s="428" t="s">
        <v>136</v>
      </c>
      <c r="R23" s="77" t="s">
        <v>136</v>
      </c>
      <c r="S23" s="77" t="s">
        <v>136</v>
      </c>
      <c r="T23" s="79" t="s">
        <v>136</v>
      </c>
      <c r="U23" s="79" t="s">
        <v>136</v>
      </c>
      <c r="V23" s="584" t="s">
        <v>136</v>
      </c>
      <c r="W23" s="79" t="s">
        <v>136</v>
      </c>
      <c r="X23" s="79" t="s">
        <v>136</v>
      </c>
      <c r="Y23" s="474" t="e">
        <f t="shared" si="0"/>
        <v>#VALUE!</v>
      </c>
    </row>
    <row r="24" spans="2:25" ht="73.5" hidden="1" customHeight="1" thickBot="1" x14ac:dyDescent="0.4">
      <c r="B24" s="666"/>
      <c r="C24" s="670"/>
      <c r="D24" s="26" t="s">
        <v>25</v>
      </c>
      <c r="E24" s="36"/>
      <c r="F24" s="35" t="s">
        <v>26</v>
      </c>
      <c r="G24" s="37"/>
      <c r="H24" s="65" t="s">
        <v>80</v>
      </c>
      <c r="I24" s="475" t="s">
        <v>136</v>
      </c>
      <c r="J24" s="705" t="s">
        <v>136</v>
      </c>
      <c r="K24" s="74" t="s">
        <v>136</v>
      </c>
      <c r="L24" s="568" t="s">
        <v>136</v>
      </c>
      <c r="M24" s="74" t="s">
        <v>136</v>
      </c>
      <c r="N24" s="74" t="s">
        <v>136</v>
      </c>
      <c r="O24" s="77" t="s">
        <v>136</v>
      </c>
      <c r="P24" s="77" t="s">
        <v>136</v>
      </c>
      <c r="Q24" s="428" t="s">
        <v>136</v>
      </c>
      <c r="R24" s="77" t="s">
        <v>136</v>
      </c>
      <c r="S24" s="77" t="s">
        <v>136</v>
      </c>
      <c r="T24" s="79" t="s">
        <v>136</v>
      </c>
      <c r="U24" s="79" t="s">
        <v>136</v>
      </c>
      <c r="V24" s="584" t="s">
        <v>136</v>
      </c>
      <c r="W24" s="79" t="s">
        <v>136</v>
      </c>
      <c r="X24" s="79" t="s">
        <v>136</v>
      </c>
      <c r="Y24" s="474" t="e">
        <f t="shared" si="0"/>
        <v>#VALUE!</v>
      </c>
    </row>
    <row r="25" spans="2:25" ht="93.75" customHeight="1" thickBot="1" x14ac:dyDescent="0.4">
      <c r="B25" s="666"/>
      <c r="C25" s="668" t="s">
        <v>8</v>
      </c>
      <c r="D25" s="26" t="s">
        <v>6</v>
      </c>
      <c r="E25" s="35" t="s">
        <v>26</v>
      </c>
      <c r="F25" s="35" t="s">
        <v>26</v>
      </c>
      <c r="G25" s="43" t="s">
        <v>26</v>
      </c>
      <c r="H25" s="65" t="s">
        <v>89</v>
      </c>
      <c r="I25" s="430">
        <v>0.05</v>
      </c>
      <c r="J25" s="708" t="s">
        <v>176</v>
      </c>
      <c r="K25" s="394">
        <v>0.02</v>
      </c>
      <c r="L25" s="570">
        <v>5.0000000000000001E-3</v>
      </c>
      <c r="M25" s="418" t="s">
        <v>238</v>
      </c>
      <c r="N25" s="476" t="s">
        <v>237</v>
      </c>
      <c r="O25" s="375" t="s">
        <v>178</v>
      </c>
      <c r="P25" s="376">
        <v>0.02</v>
      </c>
      <c r="Q25" s="573"/>
      <c r="R25" s="377"/>
      <c r="S25" s="378"/>
      <c r="T25" s="388" t="s">
        <v>177</v>
      </c>
      <c r="U25" s="385">
        <v>0.01</v>
      </c>
      <c r="V25" s="584"/>
      <c r="W25" s="79"/>
      <c r="X25" s="181"/>
      <c r="Y25" s="474">
        <f t="shared" si="0"/>
        <v>5.0000000000000001E-3</v>
      </c>
    </row>
    <row r="26" spans="2:25" ht="111" customHeight="1" thickBot="1" x14ac:dyDescent="0.4">
      <c r="B26" s="666"/>
      <c r="C26" s="670"/>
      <c r="D26" s="26" t="s">
        <v>48</v>
      </c>
      <c r="E26" s="35" t="s">
        <v>26</v>
      </c>
      <c r="F26" s="35" t="s">
        <v>26</v>
      </c>
      <c r="G26" s="43" t="s">
        <v>26</v>
      </c>
      <c r="H26" s="65" t="s">
        <v>73</v>
      </c>
      <c r="I26" s="430">
        <v>0.1</v>
      </c>
      <c r="J26" s="706" t="s">
        <v>233</v>
      </c>
      <c r="K26" s="368">
        <v>0.04</v>
      </c>
      <c r="L26" s="569">
        <v>0.04</v>
      </c>
      <c r="M26" s="413" t="s">
        <v>235</v>
      </c>
      <c r="N26" s="412" t="s">
        <v>234</v>
      </c>
      <c r="O26" s="380" t="s">
        <v>179</v>
      </c>
      <c r="P26" s="376">
        <v>0.04</v>
      </c>
      <c r="Q26" s="573"/>
      <c r="R26" s="377"/>
      <c r="S26" s="378"/>
      <c r="T26" s="389" t="s">
        <v>180</v>
      </c>
      <c r="U26" s="385">
        <v>0.02</v>
      </c>
      <c r="V26" s="584"/>
      <c r="W26" s="79"/>
      <c r="X26" s="181"/>
      <c r="Y26" s="474">
        <f t="shared" si="0"/>
        <v>0.04</v>
      </c>
    </row>
    <row r="27" spans="2:25" ht="90" customHeight="1" thickBot="1" x14ac:dyDescent="0.4">
      <c r="B27" s="666"/>
      <c r="C27" s="668" t="s">
        <v>50</v>
      </c>
      <c r="D27" s="26" t="s">
        <v>49</v>
      </c>
      <c r="E27" s="35" t="s">
        <v>26</v>
      </c>
      <c r="F27" s="35" t="s">
        <v>26</v>
      </c>
      <c r="G27" s="43" t="s">
        <v>26</v>
      </c>
      <c r="H27" s="65" t="s">
        <v>73</v>
      </c>
      <c r="I27" s="430">
        <v>0.1</v>
      </c>
      <c r="J27" s="707" t="s">
        <v>181</v>
      </c>
      <c r="K27" s="368">
        <v>0.04</v>
      </c>
      <c r="L27" s="569">
        <v>0.04</v>
      </c>
      <c r="M27" s="74" t="s">
        <v>240</v>
      </c>
      <c r="N27" s="414" t="s">
        <v>239</v>
      </c>
      <c r="O27" s="379" t="s">
        <v>236</v>
      </c>
      <c r="P27" s="373">
        <v>0.04</v>
      </c>
      <c r="Q27" s="574">
        <v>0.04</v>
      </c>
      <c r="R27" s="416" t="s">
        <v>242</v>
      </c>
      <c r="S27" s="415" t="s">
        <v>241</v>
      </c>
      <c r="T27" s="182" t="s">
        <v>182</v>
      </c>
      <c r="U27" s="387">
        <v>0.02</v>
      </c>
      <c r="V27" s="584"/>
      <c r="W27" s="79"/>
      <c r="X27" s="181"/>
      <c r="Y27" s="474">
        <f t="shared" si="0"/>
        <v>0.08</v>
      </c>
    </row>
    <row r="28" spans="2:25" ht="60" customHeight="1" thickBot="1" x14ac:dyDescent="0.4">
      <c r="B28" s="666"/>
      <c r="C28" s="669"/>
      <c r="D28" s="26" t="s">
        <v>100</v>
      </c>
      <c r="E28" s="35" t="s">
        <v>26</v>
      </c>
      <c r="F28" s="35" t="s">
        <v>26</v>
      </c>
      <c r="G28" s="43" t="s">
        <v>26</v>
      </c>
      <c r="H28" s="65" t="s">
        <v>76</v>
      </c>
      <c r="I28" s="430">
        <v>0.05</v>
      </c>
      <c r="J28" s="707" t="s">
        <v>183</v>
      </c>
      <c r="K28" s="368">
        <v>0.02</v>
      </c>
      <c r="L28" s="569">
        <v>0.02</v>
      </c>
      <c r="M28" s="74" t="s">
        <v>243</v>
      </c>
      <c r="N28" s="414" t="s">
        <v>265</v>
      </c>
      <c r="O28" s="379" t="s">
        <v>185</v>
      </c>
      <c r="P28" s="373">
        <v>0.02</v>
      </c>
      <c r="Q28" s="428"/>
      <c r="R28" s="77"/>
      <c r="S28" s="374"/>
      <c r="T28" s="182" t="s">
        <v>184</v>
      </c>
      <c r="U28" s="387">
        <v>0.01</v>
      </c>
      <c r="V28" s="584"/>
      <c r="W28" s="79"/>
      <c r="X28" s="181"/>
      <c r="Y28" s="474">
        <f t="shared" si="0"/>
        <v>0.02</v>
      </c>
    </row>
    <row r="29" spans="2:25" ht="71.25" customHeight="1" thickBot="1" x14ac:dyDescent="0.4">
      <c r="B29" s="667"/>
      <c r="C29" s="670"/>
      <c r="D29" s="26" t="s">
        <v>166</v>
      </c>
      <c r="E29" s="35" t="s">
        <v>26</v>
      </c>
      <c r="F29" s="35" t="s">
        <v>26</v>
      </c>
      <c r="G29" s="43" t="s">
        <v>26</v>
      </c>
      <c r="H29" s="69" t="s">
        <v>90</v>
      </c>
      <c r="I29" s="431">
        <v>0.05</v>
      </c>
      <c r="J29" s="709" t="s">
        <v>186</v>
      </c>
      <c r="K29" s="369">
        <v>0.02</v>
      </c>
      <c r="L29" s="571">
        <v>0.02</v>
      </c>
      <c r="M29" s="420" t="s">
        <v>245</v>
      </c>
      <c r="N29" s="419" t="s">
        <v>244</v>
      </c>
      <c r="O29" s="381" t="s">
        <v>187</v>
      </c>
      <c r="P29" s="382">
        <v>0.02</v>
      </c>
      <c r="Q29" s="575"/>
      <c r="R29" s="383"/>
      <c r="S29" s="384"/>
      <c r="T29" s="390" t="s">
        <v>188</v>
      </c>
      <c r="U29" s="391">
        <v>0.01</v>
      </c>
      <c r="V29" s="587"/>
      <c r="W29" s="392"/>
      <c r="X29" s="393"/>
      <c r="Y29" s="474">
        <f t="shared" si="0"/>
        <v>0.02</v>
      </c>
    </row>
    <row r="30" spans="2:25" ht="46.5" customHeight="1" x14ac:dyDescent="0.25">
      <c r="H30" s="195" t="s">
        <v>138</v>
      </c>
      <c r="I30" s="196">
        <f>SUM(I6:I29)</f>
        <v>1</v>
      </c>
      <c r="J30" s="193" t="s">
        <v>163</v>
      </c>
      <c r="K30" s="200">
        <f>SUM(K6:K29)</f>
        <v>0.36000000000000004</v>
      </c>
      <c r="L30" s="200">
        <f>SUM(L6:L29)</f>
        <v>0.27500000000000008</v>
      </c>
      <c r="O30" s="197" t="s">
        <v>163</v>
      </c>
      <c r="P30" s="198">
        <f>SUM(P6:P29)</f>
        <v>0.37000000000000005</v>
      </c>
      <c r="Q30" s="1"/>
      <c r="R30" s="1"/>
      <c r="S30" s="1"/>
      <c r="T30" s="197" t="s">
        <v>163</v>
      </c>
      <c r="U30" s="1"/>
      <c r="X30" s="477" t="s">
        <v>252</v>
      </c>
      <c r="Y30" s="194">
        <f>SUM(Y6+Y20+Y21+Y22+Y25+Y26+Y27+Y28+Y29)</f>
        <v>0.38500000000000006</v>
      </c>
    </row>
    <row r="31" spans="2:25" ht="42" x14ac:dyDescent="0.35">
      <c r="K31" s="199" t="s">
        <v>190</v>
      </c>
      <c r="L31" s="604">
        <f>27.5*100/36</f>
        <v>76.388888888888886</v>
      </c>
    </row>
  </sheetData>
  <mergeCells count="12">
    <mergeCell ref="B6:B29"/>
    <mergeCell ref="C6:C24"/>
    <mergeCell ref="C25:C26"/>
    <mergeCell ref="C27:C29"/>
    <mergeCell ref="I4:I5"/>
    <mergeCell ref="K4:N4"/>
    <mergeCell ref="O4:S4"/>
    <mergeCell ref="T4:X4"/>
    <mergeCell ref="B4:B5"/>
    <mergeCell ref="C4:C5"/>
    <mergeCell ref="D4:D5"/>
    <mergeCell ref="H4:H5"/>
  </mergeCells>
  <hyperlinks>
    <hyperlink ref="M20" r:id="rId1" xr:uid="{2C6F1F60-C2C2-41FC-9ABD-739F5FDF0FAC}"/>
    <hyperlink ref="M21" r:id="rId2" xr:uid="{59460EDA-FB3F-401F-BE34-96DD51CE084D}"/>
    <hyperlink ref="R21" r:id="rId3" location="gsc.tab=0 " xr:uid="{D32B1D3A-3150-4482-83B0-D50D66841A78}"/>
    <hyperlink ref="M26" r:id="rId4" xr:uid="{B5530C8B-A21F-4233-98D7-84EF545587F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9327-9176-4542-BA11-9943A7DD32F9}">
  <sheetPr>
    <tabColor theme="7" tint="0.79998168889431442"/>
  </sheetPr>
  <dimension ref="D2:AA17"/>
  <sheetViews>
    <sheetView topLeftCell="K8" workbookViewId="0">
      <selection activeCell="D3" sqref="D3:P15"/>
    </sheetView>
  </sheetViews>
  <sheetFormatPr baseColWidth="10" defaultRowHeight="15" x14ac:dyDescent="0.25"/>
  <cols>
    <col min="4" max="4" width="18.7109375" customWidth="1"/>
    <col min="5" max="5" width="20.28515625" customWidth="1"/>
    <col min="6" max="6" width="23.7109375" customWidth="1"/>
    <col min="9" max="9" width="16.85546875" customWidth="1"/>
    <col min="10" max="10" width="27" customWidth="1"/>
    <col min="11" max="11" width="18.28515625" customWidth="1"/>
    <col min="12" max="12" width="28.42578125" customWidth="1"/>
    <col min="13" max="13" width="16" customWidth="1"/>
    <col min="16" max="16" width="17.28515625" customWidth="1"/>
    <col min="17" max="17" width="15.7109375" customWidth="1"/>
    <col min="21" max="21" width="16.85546875" customWidth="1"/>
    <col min="22" max="22" width="18" customWidth="1"/>
    <col min="26" max="26" width="16.5703125" customWidth="1"/>
    <col min="27" max="27" width="22.5703125" customWidth="1"/>
  </cols>
  <sheetData>
    <row r="2" spans="4:27" ht="15.75" thickBot="1" x14ac:dyDescent="0.3"/>
    <row r="3" spans="4:27" ht="45.75" thickBot="1" x14ac:dyDescent="0.35">
      <c r="D3" s="665" t="s">
        <v>0</v>
      </c>
      <c r="E3" s="665" t="s">
        <v>3</v>
      </c>
      <c r="F3" s="665" t="s">
        <v>36</v>
      </c>
      <c r="G3" s="13" t="s">
        <v>1</v>
      </c>
      <c r="H3" s="13" t="s">
        <v>64</v>
      </c>
      <c r="I3" s="14" t="s">
        <v>2</v>
      </c>
      <c r="J3" s="675" t="s">
        <v>72</v>
      </c>
      <c r="K3" s="616" t="s">
        <v>139</v>
      </c>
      <c r="L3" s="87"/>
      <c r="M3" s="673" t="s">
        <v>131</v>
      </c>
      <c r="N3" s="673"/>
      <c r="O3" s="673"/>
      <c r="P3" s="674"/>
      <c r="Q3" s="663" t="s">
        <v>133</v>
      </c>
      <c r="R3" s="664"/>
      <c r="S3" s="664"/>
      <c r="T3" s="664"/>
      <c r="U3" s="664"/>
      <c r="V3" s="660" t="s">
        <v>134</v>
      </c>
      <c r="W3" s="661"/>
      <c r="X3" s="661"/>
      <c r="Y3" s="661"/>
      <c r="Z3" s="662"/>
      <c r="AA3" s="165"/>
    </row>
    <row r="4" spans="4:27" ht="90" customHeight="1" thickBot="1" x14ac:dyDescent="0.3">
      <c r="D4" s="667"/>
      <c r="E4" s="666"/>
      <c r="F4" s="666"/>
      <c r="G4" s="16">
        <v>2025</v>
      </c>
      <c r="H4" s="16" t="s">
        <v>66</v>
      </c>
      <c r="I4" s="17" t="s">
        <v>65</v>
      </c>
      <c r="J4" s="679"/>
      <c r="K4" s="640"/>
      <c r="L4" s="88" t="s">
        <v>140</v>
      </c>
      <c r="M4" s="115" t="s">
        <v>143</v>
      </c>
      <c r="N4" s="422" t="s">
        <v>135</v>
      </c>
      <c r="O4" s="89" t="s">
        <v>130</v>
      </c>
      <c r="P4" s="90" t="s">
        <v>127</v>
      </c>
      <c r="Q4" s="91" t="s">
        <v>140</v>
      </c>
      <c r="R4" s="92" t="s">
        <v>145</v>
      </c>
      <c r="S4" s="423" t="s">
        <v>135</v>
      </c>
      <c r="T4" s="81" t="s">
        <v>132</v>
      </c>
      <c r="U4" s="121" t="s">
        <v>127</v>
      </c>
      <c r="V4" s="128" t="s">
        <v>140</v>
      </c>
      <c r="W4" s="126" t="s">
        <v>145</v>
      </c>
      <c r="X4" s="581" t="s">
        <v>135</v>
      </c>
      <c r="Y4" s="93" t="s">
        <v>132</v>
      </c>
      <c r="Z4" s="176" t="s">
        <v>127</v>
      </c>
      <c r="AA4" s="185" t="s">
        <v>137</v>
      </c>
    </row>
    <row r="5" spans="4:27" ht="100.5" thickBot="1" x14ac:dyDescent="0.3">
      <c r="D5" s="665" t="s">
        <v>4</v>
      </c>
      <c r="E5" s="22" t="s">
        <v>51</v>
      </c>
      <c r="F5" s="22" t="s">
        <v>53</v>
      </c>
      <c r="G5" s="13" t="s">
        <v>26</v>
      </c>
      <c r="H5" s="206"/>
      <c r="I5" s="207"/>
      <c r="J5" s="66" t="s">
        <v>74</v>
      </c>
      <c r="K5" s="483">
        <v>0.2</v>
      </c>
      <c r="L5" s="429" t="s">
        <v>194</v>
      </c>
      <c r="M5" s="201">
        <v>0.1</v>
      </c>
      <c r="N5" s="576">
        <v>0</v>
      </c>
      <c r="O5" s="94"/>
      <c r="P5" s="94"/>
      <c r="Q5" s="162" t="s">
        <v>191</v>
      </c>
      <c r="R5" s="484">
        <v>0.05</v>
      </c>
      <c r="S5" s="579"/>
      <c r="T5" s="97"/>
      <c r="U5" s="97"/>
      <c r="V5" s="485" t="s">
        <v>192</v>
      </c>
      <c r="W5" s="486">
        <v>0.05</v>
      </c>
      <c r="X5" s="582"/>
      <c r="Y5" s="99"/>
      <c r="Z5" s="99"/>
      <c r="AA5" s="487">
        <f>SUM(N5+S5+X5)</f>
        <v>0</v>
      </c>
    </row>
    <row r="6" spans="4:27" ht="90.75" thickBot="1" x14ac:dyDescent="0.3">
      <c r="D6" s="666"/>
      <c r="E6" s="22" t="s">
        <v>52</v>
      </c>
      <c r="F6" s="22" t="s">
        <v>91</v>
      </c>
      <c r="G6" s="13" t="s">
        <v>26</v>
      </c>
      <c r="H6" s="206"/>
      <c r="I6" s="207"/>
      <c r="J6" s="68" t="s">
        <v>78</v>
      </c>
      <c r="K6" s="483">
        <v>0.1</v>
      </c>
      <c r="L6" s="429" t="s">
        <v>193</v>
      </c>
      <c r="M6" s="201">
        <v>0.05</v>
      </c>
      <c r="N6" s="576">
        <v>0</v>
      </c>
      <c r="O6" s="94"/>
      <c r="P6" s="94"/>
      <c r="Q6" s="162" t="s">
        <v>196</v>
      </c>
      <c r="R6" s="484">
        <v>0.03</v>
      </c>
      <c r="S6" s="579"/>
      <c r="T6" s="97"/>
      <c r="U6" s="97"/>
      <c r="V6" s="485" t="s">
        <v>197</v>
      </c>
      <c r="W6" s="486">
        <v>0.02</v>
      </c>
      <c r="X6" s="582"/>
      <c r="Y6" s="99"/>
      <c r="Z6" s="99"/>
      <c r="AA6" s="487">
        <f t="shared" ref="AA6:AA15" si="0">SUM(N6+S6+X6)</f>
        <v>0</v>
      </c>
    </row>
    <row r="7" spans="4:27" ht="90.75" thickBot="1" x14ac:dyDescent="0.3">
      <c r="D7" s="666"/>
      <c r="E7" s="22" t="s">
        <v>14</v>
      </c>
      <c r="F7" s="22" t="s">
        <v>92</v>
      </c>
      <c r="G7" s="13" t="s">
        <v>26</v>
      </c>
      <c r="H7" s="206"/>
      <c r="I7" s="207"/>
      <c r="J7" s="65" t="s">
        <v>81</v>
      </c>
      <c r="K7" s="483">
        <v>0.1</v>
      </c>
      <c r="L7" s="488" t="s">
        <v>195</v>
      </c>
      <c r="M7" s="201">
        <v>0.05</v>
      </c>
      <c r="N7" s="576">
        <v>0</v>
      </c>
      <c r="O7" s="94"/>
      <c r="P7" s="94"/>
      <c r="Q7" s="162" t="s">
        <v>198</v>
      </c>
      <c r="R7" s="484">
        <v>0.03</v>
      </c>
      <c r="S7" s="579"/>
      <c r="T7" s="97"/>
      <c r="U7" s="97"/>
      <c r="V7" s="485" t="s">
        <v>199</v>
      </c>
      <c r="W7" s="486">
        <v>0.02</v>
      </c>
      <c r="X7" s="582"/>
      <c r="Y7" s="99"/>
      <c r="Z7" s="99"/>
      <c r="AA7" s="487">
        <f t="shared" si="0"/>
        <v>0</v>
      </c>
    </row>
    <row r="8" spans="4:27" ht="60.75" thickBot="1" x14ac:dyDescent="0.3">
      <c r="D8" s="666"/>
      <c r="E8" s="22" t="s">
        <v>55</v>
      </c>
      <c r="F8" s="22" t="s">
        <v>45</v>
      </c>
      <c r="G8" s="13" t="s">
        <v>26</v>
      </c>
      <c r="H8" s="206"/>
      <c r="I8" s="207"/>
      <c r="J8" s="65" t="s">
        <v>81</v>
      </c>
      <c r="K8" s="483">
        <v>0.15</v>
      </c>
      <c r="L8" s="429" t="s">
        <v>200</v>
      </c>
      <c r="M8" s="201">
        <v>0.1</v>
      </c>
      <c r="N8" s="576">
        <v>0.1</v>
      </c>
      <c r="O8" s="94" t="s">
        <v>255</v>
      </c>
      <c r="P8" s="429" t="s">
        <v>256</v>
      </c>
      <c r="Q8" s="162" t="s">
        <v>201</v>
      </c>
      <c r="R8" s="489">
        <v>2.5000000000000001E-2</v>
      </c>
      <c r="S8" s="580"/>
      <c r="T8" s="97"/>
      <c r="U8" s="97"/>
      <c r="V8" s="485" t="s">
        <v>201</v>
      </c>
      <c r="W8" s="490">
        <v>2.5000000000000001E-2</v>
      </c>
      <c r="X8" s="582"/>
      <c r="Y8" s="99"/>
      <c r="Z8" s="99"/>
      <c r="AA8" s="487">
        <f t="shared" si="0"/>
        <v>0.1</v>
      </c>
    </row>
    <row r="9" spans="4:27" ht="72" thickBot="1" x14ac:dyDescent="0.3">
      <c r="D9" s="666"/>
      <c r="E9" s="669" t="s">
        <v>43</v>
      </c>
      <c r="F9" s="22" t="s">
        <v>54</v>
      </c>
      <c r="G9" s="13" t="s">
        <v>26</v>
      </c>
      <c r="H9" s="206"/>
      <c r="I9" s="207"/>
      <c r="J9" s="66" t="s">
        <v>76</v>
      </c>
      <c r="K9" s="483">
        <v>0.15</v>
      </c>
      <c r="L9" s="429" t="s">
        <v>202</v>
      </c>
      <c r="M9" s="201">
        <v>0.1</v>
      </c>
      <c r="N9" s="576">
        <v>0</v>
      </c>
      <c r="O9" s="94"/>
      <c r="P9" s="94"/>
      <c r="Q9" s="162" t="s">
        <v>203</v>
      </c>
      <c r="R9" s="489">
        <v>2.5000000000000001E-2</v>
      </c>
      <c r="S9" s="579"/>
      <c r="T9" s="97"/>
      <c r="U9" s="97"/>
      <c r="V9" s="485" t="s">
        <v>203</v>
      </c>
      <c r="W9" s="491">
        <v>2.5000000000000001E-2</v>
      </c>
      <c r="X9" s="582"/>
      <c r="Y9" s="99"/>
      <c r="Z9" s="99"/>
      <c r="AA9" s="487">
        <f t="shared" si="0"/>
        <v>0</v>
      </c>
    </row>
    <row r="10" spans="4:27" ht="75.75" thickBot="1" x14ac:dyDescent="0.3">
      <c r="D10" s="666"/>
      <c r="E10" s="669"/>
      <c r="F10" s="22" t="s">
        <v>93</v>
      </c>
      <c r="G10" s="13" t="s">
        <v>26</v>
      </c>
      <c r="H10" s="206"/>
      <c r="I10" s="207"/>
      <c r="J10" s="65" t="s">
        <v>81</v>
      </c>
      <c r="K10" s="483">
        <v>0.15</v>
      </c>
      <c r="L10" s="429" t="s">
        <v>204</v>
      </c>
      <c r="M10" s="201">
        <v>0.05</v>
      </c>
      <c r="N10" s="576">
        <v>0.05</v>
      </c>
      <c r="O10" s="429" t="s">
        <v>254</v>
      </c>
      <c r="P10" s="429" t="s">
        <v>266</v>
      </c>
      <c r="Q10" s="162" t="s">
        <v>205</v>
      </c>
      <c r="R10" s="484">
        <v>0.05</v>
      </c>
      <c r="S10" s="579"/>
      <c r="T10" s="97"/>
      <c r="U10" s="97"/>
      <c r="V10" s="485" t="s">
        <v>206</v>
      </c>
      <c r="W10" s="486">
        <v>0.05</v>
      </c>
      <c r="X10" s="582"/>
      <c r="Y10" s="99"/>
      <c r="Z10" s="99"/>
      <c r="AA10" s="487">
        <f t="shared" si="0"/>
        <v>0.05</v>
      </c>
    </row>
    <row r="11" spans="4:27" ht="29.25" hidden="1" thickBot="1" x14ac:dyDescent="0.3">
      <c r="D11" s="666"/>
      <c r="E11" s="669"/>
      <c r="F11" s="25" t="s">
        <v>94</v>
      </c>
      <c r="G11" s="480"/>
      <c r="H11" s="15" t="s">
        <v>26</v>
      </c>
      <c r="I11" s="481"/>
      <c r="J11" s="190" t="s">
        <v>81</v>
      </c>
      <c r="K11" s="492"/>
      <c r="L11" s="86"/>
      <c r="M11" s="86"/>
      <c r="N11" s="577"/>
      <c r="O11" s="86"/>
      <c r="P11" s="86"/>
      <c r="Q11" s="76"/>
      <c r="R11" s="76"/>
      <c r="S11" s="426"/>
      <c r="T11" s="76"/>
      <c r="U11" s="76"/>
      <c r="V11" s="78"/>
      <c r="W11" s="78"/>
      <c r="X11" s="583"/>
      <c r="Y11" s="78"/>
      <c r="Z11" s="78"/>
      <c r="AA11" s="482">
        <f t="shared" si="0"/>
        <v>0</v>
      </c>
    </row>
    <row r="12" spans="4:27" ht="29.25" hidden="1" thickBot="1" x14ac:dyDescent="0.3">
      <c r="D12" s="666"/>
      <c r="E12" s="669"/>
      <c r="F12" s="22" t="s">
        <v>107</v>
      </c>
      <c r="G12" s="206"/>
      <c r="H12" s="13" t="s">
        <v>26</v>
      </c>
      <c r="I12" s="208"/>
      <c r="J12" s="69" t="s">
        <v>81</v>
      </c>
      <c r="K12" s="478"/>
      <c r="L12" s="74"/>
      <c r="M12" s="74"/>
      <c r="N12" s="568"/>
      <c r="O12" s="74"/>
      <c r="P12" s="74"/>
      <c r="Q12" s="77"/>
      <c r="R12" s="77"/>
      <c r="S12" s="428"/>
      <c r="T12" s="77"/>
      <c r="U12" s="77"/>
      <c r="V12" s="79"/>
      <c r="W12" s="79"/>
      <c r="X12" s="584"/>
      <c r="Y12" s="79"/>
      <c r="Z12" s="79"/>
      <c r="AA12" s="479">
        <f t="shared" si="0"/>
        <v>0</v>
      </c>
    </row>
    <row r="13" spans="4:27" ht="43.5" hidden="1" thickBot="1" x14ac:dyDescent="0.3">
      <c r="D13" s="666"/>
      <c r="E13" s="669"/>
      <c r="F13" s="22" t="s">
        <v>108</v>
      </c>
      <c r="G13" s="206"/>
      <c r="H13" s="209" t="s">
        <v>26</v>
      </c>
      <c r="I13" s="210"/>
      <c r="J13" s="211" t="s">
        <v>77</v>
      </c>
      <c r="K13" s="478"/>
      <c r="L13" s="74"/>
      <c r="M13" s="74"/>
      <c r="N13" s="568"/>
      <c r="O13" s="74"/>
      <c r="P13" s="74"/>
      <c r="Q13" s="77"/>
      <c r="R13" s="77"/>
      <c r="S13" s="428"/>
      <c r="T13" s="77"/>
      <c r="U13" s="77"/>
      <c r="V13" s="79"/>
      <c r="W13" s="79"/>
      <c r="X13" s="584"/>
      <c r="Y13" s="79"/>
      <c r="Z13" s="79"/>
      <c r="AA13" s="479">
        <f t="shared" si="0"/>
        <v>0</v>
      </c>
    </row>
    <row r="14" spans="4:27" ht="57.75" hidden="1" thickBot="1" x14ac:dyDescent="0.3">
      <c r="D14" s="666"/>
      <c r="E14" s="670"/>
      <c r="F14" s="21" t="s">
        <v>109</v>
      </c>
      <c r="G14" s="493"/>
      <c r="H14" s="61" t="s">
        <v>26</v>
      </c>
      <c r="I14" s="494"/>
      <c r="J14" s="495" t="s">
        <v>77</v>
      </c>
      <c r="K14" s="496"/>
      <c r="L14" s="134"/>
      <c r="M14" s="134"/>
      <c r="N14" s="578"/>
      <c r="O14" s="134"/>
      <c r="P14" s="134"/>
      <c r="Q14" s="137"/>
      <c r="R14" s="137"/>
      <c r="S14" s="427"/>
      <c r="T14" s="137"/>
      <c r="U14" s="137"/>
      <c r="V14" s="80"/>
      <c r="W14" s="80"/>
      <c r="X14" s="585"/>
      <c r="Y14" s="80"/>
      <c r="Z14" s="80"/>
      <c r="AA14" s="497">
        <f t="shared" si="0"/>
        <v>0</v>
      </c>
    </row>
    <row r="15" spans="4:27" ht="45.75" thickBot="1" x14ac:dyDescent="0.3">
      <c r="D15" s="666"/>
      <c r="E15" s="25" t="s">
        <v>46</v>
      </c>
      <c r="F15" s="22" t="s">
        <v>98</v>
      </c>
      <c r="G15" s="13" t="s">
        <v>26</v>
      </c>
      <c r="H15" s="209" t="s">
        <v>26</v>
      </c>
      <c r="I15" s="499" t="s">
        <v>26</v>
      </c>
      <c r="J15" s="500" t="s">
        <v>81</v>
      </c>
      <c r="K15" s="483">
        <v>0.15</v>
      </c>
      <c r="L15" s="501" t="s">
        <v>207</v>
      </c>
      <c r="M15" s="201">
        <v>0.05</v>
      </c>
      <c r="N15" s="576">
        <v>0.05</v>
      </c>
      <c r="O15" s="94" t="s">
        <v>257</v>
      </c>
      <c r="P15" s="429" t="s">
        <v>258</v>
      </c>
      <c r="Q15" s="162" t="s">
        <v>207</v>
      </c>
      <c r="R15" s="484">
        <v>0.05</v>
      </c>
      <c r="S15" s="425"/>
      <c r="T15" s="97"/>
      <c r="U15" s="97"/>
      <c r="V15" s="485" t="s">
        <v>207</v>
      </c>
      <c r="W15" s="486">
        <v>0.05</v>
      </c>
      <c r="X15" s="582"/>
      <c r="Y15" s="99"/>
      <c r="Z15" s="99"/>
      <c r="AA15" s="487">
        <f t="shared" si="0"/>
        <v>0.05</v>
      </c>
    </row>
    <row r="16" spans="4:27" ht="33.75" customHeight="1" x14ac:dyDescent="0.25">
      <c r="J16" s="331" t="s">
        <v>138</v>
      </c>
      <c r="K16" s="498">
        <f>SUM(K5:K15)</f>
        <v>1</v>
      </c>
      <c r="L16" s="213" t="s">
        <v>163</v>
      </c>
      <c r="M16" s="234">
        <f>SUM(M5:M15)</f>
        <v>0.5</v>
      </c>
      <c r="N16" s="234">
        <f>SUM(N5:N15)</f>
        <v>0.2</v>
      </c>
      <c r="O16" s="235"/>
      <c r="P16" s="235"/>
      <c r="Q16" s="213" t="s">
        <v>163</v>
      </c>
      <c r="R16" s="234">
        <f>SUM(R5:R15)</f>
        <v>0.26</v>
      </c>
      <c r="S16" s="235"/>
      <c r="T16" s="235"/>
      <c r="U16" s="235"/>
      <c r="V16" s="213" t="s">
        <v>163</v>
      </c>
      <c r="W16" s="234">
        <f>SUM(W5:W15)</f>
        <v>0.24</v>
      </c>
      <c r="X16" s="235"/>
      <c r="Y16" s="235"/>
      <c r="Z16" s="235" t="s">
        <v>253</v>
      </c>
      <c r="AA16" s="234">
        <f>SUM(AA5:AA15)</f>
        <v>0.2</v>
      </c>
    </row>
    <row r="17" spans="13:14" ht="31.5" x14ac:dyDescent="0.25">
      <c r="M17" s="216" t="s">
        <v>190</v>
      </c>
      <c r="N17">
        <f>20*100/50</f>
        <v>40</v>
      </c>
    </row>
  </sheetData>
  <mergeCells count="10">
    <mergeCell ref="V3:Z3"/>
    <mergeCell ref="D3:D4"/>
    <mergeCell ref="E3:E4"/>
    <mergeCell ref="F3:F4"/>
    <mergeCell ref="J3:J4"/>
    <mergeCell ref="D5:D15"/>
    <mergeCell ref="E9:E14"/>
    <mergeCell ref="K3:K4"/>
    <mergeCell ref="M3:P3"/>
    <mergeCell ref="Q3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CA7B-6418-4D8F-960A-DAD323AEDE2A}">
  <sheetPr>
    <tabColor theme="8" tint="0.79998168889431442"/>
  </sheetPr>
  <dimension ref="D2:AA12"/>
  <sheetViews>
    <sheetView topLeftCell="O6" zoomScale="90" zoomScaleNormal="90" workbookViewId="0">
      <selection activeCell="D3" sqref="D3:P10"/>
    </sheetView>
  </sheetViews>
  <sheetFormatPr baseColWidth="10" defaultRowHeight="15" x14ac:dyDescent="0.25"/>
  <cols>
    <col min="4" max="4" width="20.85546875" customWidth="1"/>
    <col min="5" max="5" width="22" customWidth="1"/>
    <col min="6" max="6" width="22.85546875" customWidth="1"/>
    <col min="7" max="7" width="14.85546875" customWidth="1"/>
    <col min="9" max="9" width="12.5703125" customWidth="1"/>
    <col min="10" max="10" width="20" customWidth="1"/>
    <col min="11" max="11" width="16.85546875" customWidth="1"/>
    <col min="12" max="12" width="27.140625" customWidth="1"/>
    <col min="13" max="13" width="15.7109375" customWidth="1"/>
    <col min="16" max="16" width="17" customWidth="1"/>
    <col min="17" max="17" width="22.5703125" customWidth="1"/>
    <col min="18" max="18" width="17.28515625" customWidth="1"/>
    <col min="21" max="21" width="27.5703125" customWidth="1"/>
    <col min="22" max="22" width="20" customWidth="1"/>
    <col min="23" max="23" width="15.85546875" customWidth="1"/>
    <col min="25" max="25" width="13.42578125" customWidth="1"/>
    <col min="26" max="26" width="19.85546875" customWidth="1"/>
    <col min="27" max="27" width="14.85546875" customWidth="1"/>
  </cols>
  <sheetData>
    <row r="2" spans="4:27" ht="15.75" thickBot="1" x14ac:dyDescent="0.3"/>
    <row r="3" spans="4:27" ht="45.75" thickBot="1" x14ac:dyDescent="0.35">
      <c r="D3" s="665" t="s">
        <v>0</v>
      </c>
      <c r="E3" s="688" t="s">
        <v>3</v>
      </c>
      <c r="F3" s="688" t="s">
        <v>36</v>
      </c>
      <c r="G3" s="35" t="s">
        <v>1</v>
      </c>
      <c r="H3" s="35" t="s">
        <v>64</v>
      </c>
      <c r="I3" s="43" t="s">
        <v>2</v>
      </c>
      <c r="J3" s="690" t="s">
        <v>72</v>
      </c>
      <c r="K3" s="616" t="s">
        <v>139</v>
      </c>
      <c r="L3" s="219"/>
      <c r="M3" s="680" t="s">
        <v>131</v>
      </c>
      <c r="N3" s="680"/>
      <c r="O3" s="680"/>
      <c r="P3" s="681"/>
      <c r="Q3" s="682" t="s">
        <v>133</v>
      </c>
      <c r="R3" s="683"/>
      <c r="S3" s="683"/>
      <c r="T3" s="683"/>
      <c r="U3" s="684"/>
      <c r="V3" s="685" t="s">
        <v>134</v>
      </c>
      <c r="W3" s="686"/>
      <c r="X3" s="686"/>
      <c r="Y3" s="686"/>
      <c r="Z3" s="687"/>
      <c r="AA3" s="220"/>
    </row>
    <row r="4" spans="4:27" ht="60.75" thickBot="1" x14ac:dyDescent="0.3">
      <c r="D4" s="667"/>
      <c r="E4" s="689"/>
      <c r="F4" s="689"/>
      <c r="G4" s="41">
        <v>2025</v>
      </c>
      <c r="H4" s="41" t="s">
        <v>66</v>
      </c>
      <c r="I4" s="46" t="s">
        <v>65</v>
      </c>
      <c r="J4" s="691"/>
      <c r="K4" s="640"/>
      <c r="L4" s="221" t="s">
        <v>140</v>
      </c>
      <c r="M4" s="222" t="s">
        <v>143</v>
      </c>
      <c r="N4" s="589" t="s">
        <v>135</v>
      </c>
      <c r="O4" s="223" t="s">
        <v>130</v>
      </c>
      <c r="P4" s="224" t="s">
        <v>127</v>
      </c>
      <c r="Q4" s="225" t="s">
        <v>140</v>
      </c>
      <c r="R4" s="226" t="s">
        <v>145</v>
      </c>
      <c r="S4" s="590" t="s">
        <v>135</v>
      </c>
      <c r="T4" s="227" t="s">
        <v>132</v>
      </c>
      <c r="U4" s="228" t="s">
        <v>127</v>
      </c>
      <c r="V4" s="229" t="s">
        <v>140</v>
      </c>
      <c r="W4" s="230" t="s">
        <v>145</v>
      </c>
      <c r="X4" s="591" t="s">
        <v>135</v>
      </c>
      <c r="Y4" s="231" t="s">
        <v>132</v>
      </c>
      <c r="Z4" s="232" t="s">
        <v>127</v>
      </c>
      <c r="AA4" s="233" t="s">
        <v>137</v>
      </c>
    </row>
    <row r="5" spans="4:27" ht="75" customHeight="1" thickBot="1" x14ac:dyDescent="0.3">
      <c r="D5" s="665" t="s">
        <v>12</v>
      </c>
      <c r="E5" s="26" t="s">
        <v>56</v>
      </c>
      <c r="F5" s="26" t="s">
        <v>208</v>
      </c>
      <c r="G5" s="35" t="s">
        <v>26</v>
      </c>
      <c r="H5" s="36"/>
      <c r="I5" s="37"/>
      <c r="J5" s="66" t="s">
        <v>74</v>
      </c>
      <c r="K5" s="502">
        <v>0.4</v>
      </c>
      <c r="L5" s="504" t="s">
        <v>209</v>
      </c>
      <c r="M5" s="205">
        <v>0.2</v>
      </c>
      <c r="N5" s="576">
        <v>0</v>
      </c>
      <c r="O5" s="94"/>
      <c r="P5" s="109"/>
      <c r="Q5" s="507" t="s">
        <v>210</v>
      </c>
      <c r="R5" s="484">
        <v>0.1</v>
      </c>
      <c r="S5" s="579">
        <v>0</v>
      </c>
      <c r="T5" s="97"/>
      <c r="U5" s="508"/>
      <c r="V5" s="510" t="s">
        <v>211</v>
      </c>
      <c r="W5" s="486">
        <v>0.1</v>
      </c>
      <c r="X5" s="582"/>
      <c r="Y5" s="99"/>
      <c r="Z5" s="178"/>
      <c r="AA5" s="538">
        <f>SUM(N5+S5+X5)</f>
        <v>0</v>
      </c>
    </row>
    <row r="6" spans="4:27" ht="97.5" customHeight="1" thickBot="1" x14ac:dyDescent="0.3">
      <c r="D6" s="666"/>
      <c r="E6" s="26" t="s">
        <v>71</v>
      </c>
      <c r="F6" s="26" t="s">
        <v>97</v>
      </c>
      <c r="G6" s="35" t="s">
        <v>26</v>
      </c>
      <c r="H6" s="36"/>
      <c r="I6" s="37"/>
      <c r="J6" s="68" t="s">
        <v>78</v>
      </c>
      <c r="K6" s="502">
        <v>0.25</v>
      </c>
      <c r="L6" s="504" t="s">
        <v>212</v>
      </c>
      <c r="M6" s="205">
        <v>0.1</v>
      </c>
      <c r="N6" s="576">
        <v>0</v>
      </c>
      <c r="O6" s="94"/>
      <c r="P6" s="109"/>
      <c r="Q6" s="507" t="s">
        <v>213</v>
      </c>
      <c r="R6" s="484">
        <v>0.1</v>
      </c>
      <c r="S6" s="579">
        <v>0</v>
      </c>
      <c r="T6" s="97"/>
      <c r="U6" s="508"/>
      <c r="V6" s="510" t="s">
        <v>214</v>
      </c>
      <c r="W6" s="486">
        <v>0.05</v>
      </c>
      <c r="X6" s="582"/>
      <c r="Y6" s="99"/>
      <c r="Z6" s="178"/>
      <c r="AA6" s="538">
        <f t="shared" ref="AA6:AA8" si="0">SUM(N6+S6+X6)</f>
        <v>0</v>
      </c>
    </row>
    <row r="7" spans="4:27" ht="75" customHeight="1" thickBot="1" x14ac:dyDescent="0.3">
      <c r="D7" s="666"/>
      <c r="E7" s="26" t="s">
        <v>70</v>
      </c>
      <c r="F7" s="26" t="s">
        <v>92</v>
      </c>
      <c r="G7" s="35" t="s">
        <v>26</v>
      </c>
      <c r="H7" s="36"/>
      <c r="I7" s="37"/>
      <c r="J7" s="65" t="s">
        <v>81</v>
      </c>
      <c r="K7" s="502">
        <v>0.1</v>
      </c>
      <c r="L7" s="504" t="s">
        <v>215</v>
      </c>
      <c r="M7" s="205">
        <v>2.5000000000000001E-2</v>
      </c>
      <c r="N7" s="576">
        <v>0</v>
      </c>
      <c r="O7" s="94"/>
      <c r="P7" s="109"/>
      <c r="Q7" s="507" t="s">
        <v>216</v>
      </c>
      <c r="R7" s="484">
        <v>0.05</v>
      </c>
      <c r="S7" s="579">
        <v>0</v>
      </c>
      <c r="T7" s="97"/>
      <c r="U7" s="508"/>
      <c r="V7" s="510" t="s">
        <v>217</v>
      </c>
      <c r="W7" s="486">
        <v>0.02</v>
      </c>
      <c r="X7" s="582"/>
      <c r="Y7" s="99"/>
      <c r="Z7" s="178"/>
      <c r="AA7" s="538">
        <f t="shared" si="0"/>
        <v>0</v>
      </c>
    </row>
    <row r="8" spans="4:27" ht="72" customHeight="1" thickBot="1" x14ac:dyDescent="0.3">
      <c r="D8" s="666"/>
      <c r="E8" s="26" t="s">
        <v>60</v>
      </c>
      <c r="F8" s="26" t="s">
        <v>101</v>
      </c>
      <c r="G8" s="35" t="s">
        <v>26</v>
      </c>
      <c r="H8" s="35" t="s">
        <v>26</v>
      </c>
      <c r="I8" s="35" t="s">
        <v>26</v>
      </c>
      <c r="J8" s="66" t="s">
        <v>74</v>
      </c>
      <c r="K8" s="502">
        <v>0.25</v>
      </c>
      <c r="L8" s="504" t="s">
        <v>218</v>
      </c>
      <c r="M8" s="205">
        <v>0.1</v>
      </c>
      <c r="N8" s="576">
        <v>0.1</v>
      </c>
      <c r="O8" s="429" t="s">
        <v>259</v>
      </c>
      <c r="P8" s="421" t="s">
        <v>260</v>
      </c>
      <c r="Q8" s="507" t="s">
        <v>218</v>
      </c>
      <c r="R8" s="484">
        <v>0.1</v>
      </c>
      <c r="S8" s="579">
        <v>0.1</v>
      </c>
      <c r="T8" s="97"/>
      <c r="U8" s="509" t="s">
        <v>219</v>
      </c>
      <c r="V8" s="510" t="s">
        <v>218</v>
      </c>
      <c r="W8" s="486">
        <v>0.05</v>
      </c>
      <c r="X8" s="582"/>
      <c r="Y8" s="99"/>
      <c r="Z8" s="178"/>
      <c r="AA8" s="538">
        <f t="shared" si="0"/>
        <v>0.2</v>
      </c>
    </row>
    <row r="9" spans="4:27" ht="46.5" hidden="1" customHeight="1" thickBot="1" x14ac:dyDescent="0.3">
      <c r="D9" s="666"/>
      <c r="E9" s="26" t="s">
        <v>58</v>
      </c>
      <c r="F9" s="26" t="s">
        <v>102</v>
      </c>
      <c r="G9" s="36"/>
      <c r="H9" s="35" t="s">
        <v>26</v>
      </c>
      <c r="I9" s="43" t="s">
        <v>26</v>
      </c>
      <c r="J9" s="65" t="s">
        <v>81</v>
      </c>
      <c r="K9" s="502" t="s">
        <v>136</v>
      </c>
      <c r="L9" s="505" t="s">
        <v>136</v>
      </c>
      <c r="M9" s="519" t="s">
        <v>136</v>
      </c>
      <c r="N9" s="518" t="s">
        <v>136</v>
      </c>
      <c r="O9" s="518" t="s">
        <v>136</v>
      </c>
      <c r="P9" s="539" t="s">
        <v>136</v>
      </c>
      <c r="Q9" s="540" t="s">
        <v>136</v>
      </c>
      <c r="R9" s="541" t="s">
        <v>136</v>
      </c>
      <c r="S9" s="541" t="s">
        <v>136</v>
      </c>
      <c r="T9" s="541" t="s">
        <v>136</v>
      </c>
      <c r="U9" s="542" t="s">
        <v>136</v>
      </c>
      <c r="V9" s="511" t="s">
        <v>136</v>
      </c>
      <c r="W9" s="99" t="s">
        <v>136</v>
      </c>
      <c r="X9" s="99" t="s">
        <v>136</v>
      </c>
      <c r="Y9" s="99" t="s">
        <v>136</v>
      </c>
      <c r="Z9" s="178" t="s">
        <v>136</v>
      </c>
      <c r="AA9" s="516" t="s">
        <v>136</v>
      </c>
    </row>
    <row r="10" spans="4:27" ht="31.5" hidden="1" customHeight="1" thickBot="1" x14ac:dyDescent="0.3">
      <c r="D10" s="667"/>
      <c r="E10" s="7" t="s">
        <v>46</v>
      </c>
      <c r="F10" s="7" t="s">
        <v>98</v>
      </c>
      <c r="G10" s="47"/>
      <c r="H10" s="45" t="s">
        <v>26</v>
      </c>
      <c r="I10" s="217" t="s">
        <v>26</v>
      </c>
      <c r="J10" s="190" t="s">
        <v>81</v>
      </c>
      <c r="K10" s="503" t="s">
        <v>136</v>
      </c>
      <c r="L10" s="506" t="s">
        <v>136</v>
      </c>
      <c r="M10" s="520" t="s">
        <v>136</v>
      </c>
      <c r="N10" s="543" t="s">
        <v>136</v>
      </c>
      <c r="O10" s="543" t="s">
        <v>136</v>
      </c>
      <c r="P10" s="544" t="s">
        <v>136</v>
      </c>
      <c r="Q10" s="545" t="s">
        <v>136</v>
      </c>
      <c r="R10" s="546" t="s">
        <v>136</v>
      </c>
      <c r="S10" s="547" t="s">
        <v>136</v>
      </c>
      <c r="T10" s="547" t="s">
        <v>136</v>
      </c>
      <c r="U10" s="548" t="s">
        <v>136</v>
      </c>
      <c r="V10" s="512" t="s">
        <v>136</v>
      </c>
      <c r="W10" s="513" t="s">
        <v>136</v>
      </c>
      <c r="X10" s="514" t="s">
        <v>136</v>
      </c>
      <c r="Y10" s="514" t="s">
        <v>136</v>
      </c>
      <c r="Z10" s="515" t="s">
        <v>136</v>
      </c>
      <c r="AA10" s="517" t="s">
        <v>136</v>
      </c>
    </row>
    <row r="11" spans="4:27" ht="37.5" x14ac:dyDescent="0.35">
      <c r="J11" s="214" t="s">
        <v>138</v>
      </c>
      <c r="K11" s="218">
        <f>SUM(K5:K8)</f>
        <v>1</v>
      </c>
      <c r="L11" s="215" t="s">
        <v>163</v>
      </c>
      <c r="M11" s="188">
        <f>SUM(M5:M8)</f>
        <v>0.42500000000000004</v>
      </c>
      <c r="N11" s="189">
        <f>SUM(N5:N8)</f>
        <v>0.1</v>
      </c>
      <c r="Q11" s="215" t="s">
        <v>163</v>
      </c>
      <c r="R11" s="188">
        <f>SUM(R5:R8)</f>
        <v>0.35</v>
      </c>
      <c r="S11" s="188">
        <f>SUM(S5:S8)</f>
        <v>0.1</v>
      </c>
      <c r="V11" s="215" t="s">
        <v>163</v>
      </c>
      <c r="W11" s="188">
        <f>SUM(W5:W8)</f>
        <v>0.22000000000000003</v>
      </c>
    </row>
    <row r="12" spans="4:27" ht="47.25" x14ac:dyDescent="0.25">
      <c r="M12" s="216" t="s">
        <v>190</v>
      </c>
      <c r="N12">
        <f>10*100/43</f>
        <v>23.255813953488371</v>
      </c>
      <c r="R12" s="216" t="s">
        <v>190</v>
      </c>
      <c r="S12">
        <f>10*100/35</f>
        <v>28.571428571428573</v>
      </c>
    </row>
  </sheetData>
  <mergeCells count="9">
    <mergeCell ref="D5:D10"/>
    <mergeCell ref="K3:K4"/>
    <mergeCell ref="M3:P3"/>
    <mergeCell ref="Q3:U3"/>
    <mergeCell ref="V3:Z3"/>
    <mergeCell ref="D3:D4"/>
    <mergeCell ref="E3:E4"/>
    <mergeCell ref="F3:F4"/>
    <mergeCell ref="J3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302-2626-4963-B14F-195B1A2B65C8}">
  <sheetPr>
    <tabColor rgb="FFFFFFCC"/>
  </sheetPr>
  <dimension ref="C2:Z12"/>
  <sheetViews>
    <sheetView topLeftCell="L5" workbookViewId="0">
      <selection activeCell="C3" sqref="C3:O10"/>
    </sheetView>
  </sheetViews>
  <sheetFormatPr baseColWidth="10" defaultRowHeight="15" x14ac:dyDescent="0.25"/>
  <cols>
    <col min="3" max="3" width="22.140625" customWidth="1"/>
    <col min="4" max="4" width="31.85546875" customWidth="1"/>
    <col min="5" max="5" width="18.7109375" customWidth="1"/>
    <col min="9" max="9" width="20.85546875" customWidth="1"/>
    <col min="10" max="10" width="20.42578125" customWidth="1"/>
    <col min="11" max="11" width="20.140625" customWidth="1"/>
    <col min="12" max="12" width="16.28515625" style="60" customWidth="1"/>
    <col min="15" max="15" width="18.140625" customWidth="1"/>
    <col min="16" max="16" width="21" customWidth="1"/>
    <col min="17" max="17" width="16.5703125" customWidth="1"/>
    <col min="21" max="21" width="20.140625" customWidth="1"/>
    <col min="25" max="25" width="18.28515625" customWidth="1"/>
  </cols>
  <sheetData>
    <row r="2" spans="3:26" ht="15.75" thickBot="1" x14ac:dyDescent="0.3"/>
    <row r="3" spans="3:26" ht="45.75" thickBot="1" x14ac:dyDescent="0.35">
      <c r="C3" s="665" t="s">
        <v>0</v>
      </c>
      <c r="D3" s="665" t="s">
        <v>3</v>
      </c>
      <c r="E3" s="665" t="s">
        <v>36</v>
      </c>
      <c r="F3" s="13" t="s">
        <v>1</v>
      </c>
      <c r="G3" s="13" t="s">
        <v>64</v>
      </c>
      <c r="H3" s="329" t="s">
        <v>2</v>
      </c>
      <c r="I3" s="665" t="s">
        <v>72</v>
      </c>
      <c r="J3" s="692" t="s">
        <v>139</v>
      </c>
      <c r="K3" s="219"/>
      <c r="L3" s="673" t="s">
        <v>131</v>
      </c>
      <c r="M3" s="673"/>
      <c r="N3" s="673"/>
      <c r="O3" s="674"/>
      <c r="P3" s="677" t="s">
        <v>133</v>
      </c>
      <c r="Q3" s="678"/>
      <c r="R3" s="678"/>
      <c r="S3" s="678"/>
      <c r="T3" s="694"/>
      <c r="U3" s="660" t="s">
        <v>134</v>
      </c>
      <c r="V3" s="661"/>
      <c r="W3" s="661"/>
      <c r="X3" s="661"/>
      <c r="Y3" s="662"/>
      <c r="Z3" s="334"/>
    </row>
    <row r="4" spans="3:26" ht="105.75" thickBot="1" x14ac:dyDescent="0.3">
      <c r="C4" s="667"/>
      <c r="D4" s="667"/>
      <c r="E4" s="667"/>
      <c r="F4" s="16">
        <v>2025</v>
      </c>
      <c r="G4" s="16" t="s">
        <v>66</v>
      </c>
      <c r="H4" s="332" t="s">
        <v>65</v>
      </c>
      <c r="I4" s="666"/>
      <c r="J4" s="693"/>
      <c r="K4" s="88" t="s">
        <v>140</v>
      </c>
      <c r="L4" s="115" t="s">
        <v>143</v>
      </c>
      <c r="M4" s="422" t="s">
        <v>135</v>
      </c>
      <c r="N4" s="89" t="s">
        <v>130</v>
      </c>
      <c r="O4" s="90" t="s">
        <v>127</v>
      </c>
      <c r="P4" s="91" t="s">
        <v>140</v>
      </c>
      <c r="Q4" s="370" t="s">
        <v>145</v>
      </c>
      <c r="R4" s="423" t="s">
        <v>135</v>
      </c>
      <c r="S4" s="371" t="s">
        <v>132</v>
      </c>
      <c r="T4" s="372" t="s">
        <v>127</v>
      </c>
      <c r="U4" s="128" t="s">
        <v>140</v>
      </c>
      <c r="V4" s="126" t="s">
        <v>145</v>
      </c>
      <c r="W4" s="581" t="s">
        <v>135</v>
      </c>
      <c r="X4" s="93" t="s">
        <v>132</v>
      </c>
      <c r="Y4" s="176" t="s">
        <v>127</v>
      </c>
      <c r="Z4" s="335" t="s">
        <v>137</v>
      </c>
    </row>
    <row r="5" spans="3:26" ht="93" customHeight="1" thickBot="1" x14ac:dyDescent="0.3">
      <c r="C5" s="665" t="s">
        <v>68</v>
      </c>
      <c r="D5" s="29" t="s">
        <v>33</v>
      </c>
      <c r="E5" s="29" t="s">
        <v>103</v>
      </c>
      <c r="F5" s="13" t="s">
        <v>26</v>
      </c>
      <c r="G5" s="27"/>
      <c r="H5" s="328"/>
      <c r="I5" s="337" t="s">
        <v>81</v>
      </c>
      <c r="J5" s="521">
        <v>0.5</v>
      </c>
      <c r="K5" s="524" t="s">
        <v>220</v>
      </c>
      <c r="L5" s="550">
        <v>0.1</v>
      </c>
      <c r="M5" s="592">
        <v>0.1</v>
      </c>
      <c r="N5" s="525"/>
      <c r="O5" s="549" t="s">
        <v>261</v>
      </c>
      <c r="P5" s="528" t="s">
        <v>221</v>
      </c>
      <c r="Q5" s="529">
        <v>0.2</v>
      </c>
      <c r="R5" s="595"/>
      <c r="S5" s="530"/>
      <c r="T5" s="531"/>
      <c r="U5" s="533" t="s">
        <v>222</v>
      </c>
      <c r="V5" s="534">
        <v>0.2</v>
      </c>
      <c r="W5" s="597"/>
      <c r="X5" s="535"/>
      <c r="Y5" s="536"/>
      <c r="Z5" s="538">
        <f>SUM(M5+R5+W5)</f>
        <v>0.1</v>
      </c>
    </row>
    <row r="6" spans="3:26" ht="117" hidden="1" customHeight="1" thickBot="1" x14ac:dyDescent="0.3">
      <c r="C6" s="666"/>
      <c r="D6" s="21" t="s">
        <v>38</v>
      </c>
      <c r="E6" s="29" t="s">
        <v>104</v>
      </c>
      <c r="F6" s="27"/>
      <c r="G6" s="13" t="s">
        <v>26</v>
      </c>
      <c r="H6" s="328"/>
      <c r="I6" s="336" t="s">
        <v>80</v>
      </c>
      <c r="J6" s="522" t="s">
        <v>136</v>
      </c>
      <c r="K6" s="526" t="s">
        <v>136</v>
      </c>
      <c r="L6" s="551" t="s">
        <v>136</v>
      </c>
      <c r="M6" s="593" t="s">
        <v>136</v>
      </c>
      <c r="N6" s="526" t="s">
        <v>136</v>
      </c>
      <c r="O6" s="526" t="s">
        <v>136</v>
      </c>
      <c r="P6" s="532" t="s">
        <v>136</v>
      </c>
      <c r="Q6" s="532" t="s">
        <v>136</v>
      </c>
      <c r="R6" s="596" t="s">
        <v>136</v>
      </c>
      <c r="S6" s="532" t="s">
        <v>136</v>
      </c>
      <c r="T6" s="532" t="s">
        <v>136</v>
      </c>
      <c r="U6" s="537" t="s">
        <v>136</v>
      </c>
      <c r="V6" s="537" t="s">
        <v>136</v>
      </c>
      <c r="W6" s="598" t="s">
        <v>136</v>
      </c>
      <c r="X6" s="537" t="s">
        <v>136</v>
      </c>
      <c r="Y6" s="537" t="s">
        <v>136</v>
      </c>
      <c r="Z6" s="538" t="e">
        <f t="shared" ref="Z6:Z10" si="0">SUM(M6+R6+W6)</f>
        <v>#VALUE!</v>
      </c>
    </row>
    <row r="7" spans="3:26" ht="150.75" hidden="1" customHeight="1" thickBot="1" x14ac:dyDescent="0.3">
      <c r="C7" s="679"/>
      <c r="D7" s="668" t="s">
        <v>43</v>
      </c>
      <c r="E7" s="22" t="s">
        <v>34</v>
      </c>
      <c r="F7" s="27"/>
      <c r="G7" s="13" t="s">
        <v>26</v>
      </c>
      <c r="H7" s="328"/>
      <c r="I7" s="333" t="s">
        <v>80</v>
      </c>
      <c r="J7" s="522" t="s">
        <v>136</v>
      </c>
      <c r="K7" s="526" t="s">
        <v>136</v>
      </c>
      <c r="L7" s="551" t="s">
        <v>136</v>
      </c>
      <c r="M7" s="593" t="s">
        <v>136</v>
      </c>
      <c r="N7" s="526" t="s">
        <v>136</v>
      </c>
      <c r="O7" s="526" t="s">
        <v>136</v>
      </c>
      <c r="P7" s="532" t="s">
        <v>136</v>
      </c>
      <c r="Q7" s="532" t="s">
        <v>136</v>
      </c>
      <c r="R7" s="596" t="s">
        <v>136</v>
      </c>
      <c r="S7" s="532" t="s">
        <v>136</v>
      </c>
      <c r="T7" s="532" t="s">
        <v>136</v>
      </c>
      <c r="U7" s="537" t="s">
        <v>136</v>
      </c>
      <c r="V7" s="537" t="s">
        <v>136</v>
      </c>
      <c r="W7" s="598" t="s">
        <v>136</v>
      </c>
      <c r="X7" s="537" t="s">
        <v>136</v>
      </c>
      <c r="Y7" s="537" t="s">
        <v>136</v>
      </c>
      <c r="Z7" s="538" t="e">
        <f t="shared" si="0"/>
        <v>#VALUE!</v>
      </c>
    </row>
    <row r="8" spans="3:26" ht="66.75" hidden="1" customHeight="1" thickBot="1" x14ac:dyDescent="0.3">
      <c r="C8" s="679"/>
      <c r="D8" s="669"/>
      <c r="E8" s="29" t="s">
        <v>40</v>
      </c>
      <c r="F8" s="13"/>
      <c r="G8" s="13" t="s">
        <v>26</v>
      </c>
      <c r="H8" s="329" t="s">
        <v>26</v>
      </c>
      <c r="I8" s="333" t="s">
        <v>80</v>
      </c>
      <c r="J8" s="522" t="s">
        <v>136</v>
      </c>
      <c r="K8" s="526" t="s">
        <v>136</v>
      </c>
      <c r="L8" s="551" t="s">
        <v>136</v>
      </c>
      <c r="M8" s="593" t="s">
        <v>136</v>
      </c>
      <c r="N8" s="526" t="s">
        <v>136</v>
      </c>
      <c r="O8" s="526" t="s">
        <v>136</v>
      </c>
      <c r="P8" s="532" t="s">
        <v>136</v>
      </c>
      <c r="Q8" s="532" t="s">
        <v>136</v>
      </c>
      <c r="R8" s="596" t="s">
        <v>136</v>
      </c>
      <c r="S8" s="532" t="s">
        <v>136</v>
      </c>
      <c r="T8" s="532" t="s">
        <v>136</v>
      </c>
      <c r="U8" s="537" t="s">
        <v>136</v>
      </c>
      <c r="V8" s="537" t="s">
        <v>136</v>
      </c>
      <c r="W8" s="598" t="s">
        <v>136</v>
      </c>
      <c r="X8" s="537" t="s">
        <v>136</v>
      </c>
      <c r="Y8" s="537" t="s">
        <v>136</v>
      </c>
      <c r="Z8" s="538" t="e">
        <f t="shared" si="0"/>
        <v>#VALUE!</v>
      </c>
    </row>
    <row r="9" spans="3:26" ht="72" hidden="1" thickBot="1" x14ac:dyDescent="0.3">
      <c r="C9" s="679"/>
      <c r="D9" s="669"/>
      <c r="E9" s="29" t="s">
        <v>95</v>
      </c>
      <c r="F9" s="27"/>
      <c r="G9" s="13" t="s">
        <v>26</v>
      </c>
      <c r="H9" s="328"/>
      <c r="I9" s="333" t="s">
        <v>80</v>
      </c>
      <c r="J9" s="522" t="s">
        <v>136</v>
      </c>
      <c r="K9" s="526" t="s">
        <v>136</v>
      </c>
      <c r="L9" s="551" t="s">
        <v>136</v>
      </c>
      <c r="M9" s="593" t="s">
        <v>136</v>
      </c>
      <c r="N9" s="526" t="s">
        <v>136</v>
      </c>
      <c r="O9" s="526" t="s">
        <v>136</v>
      </c>
      <c r="P9" s="532" t="s">
        <v>136</v>
      </c>
      <c r="Q9" s="532" t="s">
        <v>136</v>
      </c>
      <c r="R9" s="596" t="s">
        <v>136</v>
      </c>
      <c r="S9" s="532" t="s">
        <v>136</v>
      </c>
      <c r="T9" s="532" t="s">
        <v>136</v>
      </c>
      <c r="U9" s="537" t="s">
        <v>136</v>
      </c>
      <c r="V9" s="537" t="s">
        <v>136</v>
      </c>
      <c r="W9" s="598" t="s">
        <v>136</v>
      </c>
      <c r="X9" s="537" t="s">
        <v>136</v>
      </c>
      <c r="Y9" s="537" t="s">
        <v>136</v>
      </c>
      <c r="Z9" s="538" t="e">
        <f t="shared" si="0"/>
        <v>#VALUE!</v>
      </c>
    </row>
    <row r="10" spans="3:26" ht="86.25" thickBot="1" x14ac:dyDescent="0.3">
      <c r="C10" s="667"/>
      <c r="D10" s="11" t="s">
        <v>46</v>
      </c>
      <c r="E10" s="11" t="s">
        <v>98</v>
      </c>
      <c r="F10" s="31" t="s">
        <v>26</v>
      </c>
      <c r="G10" s="31" t="s">
        <v>26</v>
      </c>
      <c r="H10" s="330" t="s">
        <v>26</v>
      </c>
      <c r="I10" s="338" t="s">
        <v>81</v>
      </c>
      <c r="J10" s="523">
        <v>0.5</v>
      </c>
      <c r="K10" s="527" t="s">
        <v>223</v>
      </c>
      <c r="L10" s="204">
        <v>0.16</v>
      </c>
      <c r="M10" s="594">
        <v>0.16</v>
      </c>
      <c r="N10" s="552" t="s">
        <v>255</v>
      </c>
      <c r="O10" s="553" t="s">
        <v>262</v>
      </c>
      <c r="P10" s="507" t="s">
        <v>224</v>
      </c>
      <c r="Q10" s="484">
        <v>0.16</v>
      </c>
      <c r="R10" s="425"/>
      <c r="S10" s="97"/>
      <c r="T10" s="508"/>
      <c r="U10" s="510" t="s">
        <v>224</v>
      </c>
      <c r="V10" s="486">
        <v>0.18</v>
      </c>
      <c r="W10" s="582"/>
      <c r="X10" s="99"/>
      <c r="Y10" s="178"/>
      <c r="Z10" s="538">
        <f t="shared" si="0"/>
        <v>0.16</v>
      </c>
    </row>
    <row r="11" spans="3:26" ht="58.5" customHeight="1" thickBot="1" x14ac:dyDescent="0.4">
      <c r="I11" s="341" t="s">
        <v>138</v>
      </c>
      <c r="J11" s="340">
        <f>SUM(J5:J10)</f>
        <v>1</v>
      </c>
      <c r="K11" s="212" t="s">
        <v>163</v>
      </c>
      <c r="L11" s="339">
        <f>SUM(L5:L10)</f>
        <v>0.26</v>
      </c>
      <c r="M11" s="189">
        <f>SUM(M5+M10)</f>
        <v>0.26</v>
      </c>
      <c r="P11" s="213" t="s">
        <v>163</v>
      </c>
      <c r="Q11" s="192">
        <f>SUM(Q5:Q10)</f>
        <v>0.36</v>
      </c>
      <c r="U11" s="212" t="s">
        <v>163</v>
      </c>
      <c r="V11" s="192">
        <f>SUM(V5:V10)</f>
        <v>0.38</v>
      </c>
      <c r="Y11" s="554" t="s">
        <v>252</v>
      </c>
      <c r="Z11" s="555">
        <f>SUM(Z5+Z10)</f>
        <v>0.26</v>
      </c>
    </row>
    <row r="12" spans="3:26" ht="31.5" x14ac:dyDescent="0.25">
      <c r="L12" s="216" t="s">
        <v>190</v>
      </c>
      <c r="M12">
        <f>26*100/26</f>
        <v>100</v>
      </c>
    </row>
  </sheetData>
  <mergeCells count="10">
    <mergeCell ref="U3:Y3"/>
    <mergeCell ref="C3:C4"/>
    <mergeCell ref="D3:D4"/>
    <mergeCell ref="E3:E4"/>
    <mergeCell ref="I3:I4"/>
    <mergeCell ref="C5:C10"/>
    <mergeCell ref="D7:D9"/>
    <mergeCell ref="J3:J4"/>
    <mergeCell ref="L3:O3"/>
    <mergeCell ref="P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1D56-73CA-4F2A-82F3-82F3E4181B96}">
  <sheetPr>
    <tabColor theme="6" tint="0.79998168889431442"/>
  </sheetPr>
  <dimension ref="A1:X10"/>
  <sheetViews>
    <sheetView tabSelected="1" topLeftCell="M4" workbookViewId="0">
      <selection activeCell="A2" sqref="A2:M9"/>
    </sheetView>
  </sheetViews>
  <sheetFormatPr baseColWidth="10" defaultRowHeight="15" x14ac:dyDescent="0.25"/>
  <cols>
    <col min="1" max="1" width="23.7109375" customWidth="1"/>
    <col min="2" max="2" width="19.5703125" customWidth="1"/>
    <col min="3" max="3" width="15.85546875" customWidth="1"/>
    <col min="7" max="7" width="19.28515625" customWidth="1"/>
    <col min="8" max="8" width="18.85546875" customWidth="1"/>
    <col min="9" max="9" width="20.42578125" customWidth="1"/>
    <col min="10" max="10" width="16.140625" customWidth="1"/>
    <col min="13" max="13" width="17.7109375" customWidth="1"/>
    <col min="14" max="14" width="19.85546875" customWidth="1"/>
    <col min="15" max="15" width="16.28515625" customWidth="1"/>
    <col min="19" max="19" width="23.5703125" customWidth="1"/>
    <col min="24" max="24" width="22.85546875" customWidth="1"/>
  </cols>
  <sheetData>
    <row r="1" spans="1:24" ht="15.75" thickBot="1" x14ac:dyDescent="0.3"/>
    <row r="2" spans="1:24" ht="45.75" thickBot="1" x14ac:dyDescent="0.35">
      <c r="A2" s="665" t="s">
        <v>0</v>
      </c>
      <c r="B2" s="665" t="s">
        <v>3</v>
      </c>
      <c r="C2" s="665" t="s">
        <v>36</v>
      </c>
      <c r="D2" s="13" t="s">
        <v>1</v>
      </c>
      <c r="E2" s="13" t="s">
        <v>64</v>
      </c>
      <c r="F2" s="14" t="s">
        <v>2</v>
      </c>
      <c r="G2" s="675" t="s">
        <v>72</v>
      </c>
      <c r="H2" s="616" t="s">
        <v>139</v>
      </c>
      <c r="I2" s="219"/>
      <c r="J2" s="673" t="s">
        <v>131</v>
      </c>
      <c r="K2" s="673"/>
      <c r="L2" s="673"/>
      <c r="M2" s="674"/>
      <c r="N2" s="677" t="s">
        <v>133</v>
      </c>
      <c r="O2" s="678"/>
      <c r="P2" s="678"/>
      <c r="Q2" s="678"/>
      <c r="R2" s="694"/>
      <c r="S2" s="660" t="s">
        <v>134</v>
      </c>
      <c r="T2" s="661"/>
      <c r="U2" s="661"/>
      <c r="V2" s="661"/>
      <c r="W2" s="662"/>
      <c r="X2" s="334"/>
    </row>
    <row r="3" spans="1:24" ht="99.75" customHeight="1" thickBot="1" x14ac:dyDescent="0.3">
      <c r="A3" s="667"/>
      <c r="B3" s="666"/>
      <c r="C3" s="666"/>
      <c r="D3" s="16">
        <v>2025</v>
      </c>
      <c r="E3" s="16" t="s">
        <v>66</v>
      </c>
      <c r="F3" s="17" t="s">
        <v>65</v>
      </c>
      <c r="G3" s="679"/>
      <c r="H3" s="640"/>
      <c r="I3" s="88" t="s">
        <v>140</v>
      </c>
      <c r="J3" s="115" t="s">
        <v>143</v>
      </c>
      <c r="K3" s="422" t="s">
        <v>135</v>
      </c>
      <c r="L3" s="89" t="s">
        <v>130</v>
      </c>
      <c r="M3" s="90" t="s">
        <v>127</v>
      </c>
      <c r="N3" s="91" t="s">
        <v>140</v>
      </c>
      <c r="O3" s="370" t="s">
        <v>145</v>
      </c>
      <c r="P3" s="423" t="s">
        <v>135</v>
      </c>
      <c r="Q3" s="371" t="s">
        <v>132</v>
      </c>
      <c r="R3" s="372" t="s">
        <v>127</v>
      </c>
      <c r="S3" s="128" t="s">
        <v>140</v>
      </c>
      <c r="T3" s="126" t="s">
        <v>145</v>
      </c>
      <c r="U3" s="581" t="s">
        <v>135</v>
      </c>
      <c r="V3" s="93" t="s">
        <v>132</v>
      </c>
      <c r="W3" s="176" t="s">
        <v>127</v>
      </c>
      <c r="X3" s="335" t="s">
        <v>137</v>
      </c>
    </row>
    <row r="4" spans="1:24" ht="144" thickBot="1" x14ac:dyDescent="0.3">
      <c r="A4" s="665" t="s">
        <v>69</v>
      </c>
      <c r="B4" s="29" t="s">
        <v>35</v>
      </c>
      <c r="C4" s="22" t="s">
        <v>103</v>
      </c>
      <c r="D4" s="13" t="s">
        <v>26</v>
      </c>
      <c r="E4" s="27"/>
      <c r="F4" s="28"/>
      <c r="G4" s="63" t="s">
        <v>81</v>
      </c>
      <c r="H4" s="565">
        <v>0.5</v>
      </c>
      <c r="I4" s="556" t="s">
        <v>220</v>
      </c>
      <c r="J4" s="205">
        <v>0.1</v>
      </c>
      <c r="K4" s="602">
        <v>0.1</v>
      </c>
      <c r="L4" s="429" t="s">
        <v>263</v>
      </c>
      <c r="M4" s="557" t="s">
        <v>267</v>
      </c>
      <c r="N4" s="558" t="s">
        <v>221</v>
      </c>
      <c r="O4" s="559">
        <v>0.2</v>
      </c>
      <c r="P4" s="425"/>
      <c r="Q4" s="97"/>
      <c r="R4" s="508"/>
      <c r="S4" s="561" t="s">
        <v>222</v>
      </c>
      <c r="T4" s="562">
        <v>0.2</v>
      </c>
      <c r="U4" s="601"/>
      <c r="V4" s="99"/>
      <c r="W4" s="178"/>
      <c r="X4" s="538">
        <f>SUM(K4+P4+U4)</f>
        <v>0.1</v>
      </c>
    </row>
    <row r="5" spans="1:24" ht="86.25" hidden="1" thickBot="1" x14ac:dyDescent="0.3">
      <c r="A5" s="666"/>
      <c r="B5" s="25" t="s">
        <v>38</v>
      </c>
      <c r="C5" s="11" t="s">
        <v>104</v>
      </c>
      <c r="D5" s="8"/>
      <c r="E5" s="15" t="s">
        <v>26</v>
      </c>
      <c r="F5" s="9"/>
      <c r="G5" s="342" t="s">
        <v>80</v>
      </c>
      <c r="H5" s="478" t="s">
        <v>136</v>
      </c>
      <c r="I5" s="564" t="s">
        <v>136</v>
      </c>
      <c r="J5" s="564" t="s">
        <v>136</v>
      </c>
      <c r="K5" s="603" t="s">
        <v>136</v>
      </c>
      <c r="L5" s="564" t="s">
        <v>136</v>
      </c>
      <c r="M5" s="564" t="s">
        <v>136</v>
      </c>
      <c r="N5" s="560" t="s">
        <v>136</v>
      </c>
      <c r="O5" s="560" t="s">
        <v>136</v>
      </c>
      <c r="P5" s="599" t="s">
        <v>136</v>
      </c>
      <c r="Q5" s="560" t="s">
        <v>136</v>
      </c>
      <c r="R5" s="560" t="s">
        <v>136</v>
      </c>
      <c r="S5" s="563" t="s">
        <v>136</v>
      </c>
      <c r="T5" s="563" t="s">
        <v>136</v>
      </c>
      <c r="U5" s="600" t="s">
        <v>136</v>
      </c>
      <c r="V5" s="563" t="s">
        <v>136</v>
      </c>
      <c r="W5" s="563" t="s">
        <v>136</v>
      </c>
      <c r="X5" s="538" t="e">
        <f t="shared" ref="X5:X8" si="0">SUM(K5+P5+U5)</f>
        <v>#VALUE!</v>
      </c>
    </row>
    <row r="6" spans="1:24" ht="86.25" hidden="1" thickBot="1" x14ac:dyDescent="0.3">
      <c r="A6" s="666"/>
      <c r="B6" s="695" t="s">
        <v>61</v>
      </c>
      <c r="C6" s="29" t="s">
        <v>105</v>
      </c>
      <c r="D6" s="27"/>
      <c r="E6" s="13" t="s">
        <v>26</v>
      </c>
      <c r="F6" s="14" t="s">
        <v>26</v>
      </c>
      <c r="G6" s="70" t="s">
        <v>80</v>
      </c>
      <c r="H6" s="478" t="s">
        <v>136</v>
      </c>
      <c r="I6" s="564" t="s">
        <v>136</v>
      </c>
      <c r="J6" s="564" t="s">
        <v>136</v>
      </c>
      <c r="K6" s="603" t="s">
        <v>136</v>
      </c>
      <c r="L6" s="564" t="s">
        <v>136</v>
      </c>
      <c r="M6" s="564" t="s">
        <v>136</v>
      </c>
      <c r="N6" s="560" t="s">
        <v>136</v>
      </c>
      <c r="O6" s="560" t="s">
        <v>136</v>
      </c>
      <c r="P6" s="599" t="s">
        <v>136</v>
      </c>
      <c r="Q6" s="560" t="s">
        <v>136</v>
      </c>
      <c r="R6" s="560" t="s">
        <v>136</v>
      </c>
      <c r="S6" s="563" t="s">
        <v>136</v>
      </c>
      <c r="T6" s="563" t="s">
        <v>136</v>
      </c>
      <c r="U6" s="600" t="s">
        <v>136</v>
      </c>
      <c r="V6" s="563" t="s">
        <v>136</v>
      </c>
      <c r="W6" s="563" t="s">
        <v>136</v>
      </c>
      <c r="X6" s="538" t="e">
        <f t="shared" si="0"/>
        <v>#VALUE!</v>
      </c>
    </row>
    <row r="7" spans="1:24" ht="87" hidden="1" thickBot="1" x14ac:dyDescent="0.3">
      <c r="A7" s="666"/>
      <c r="B7" s="696"/>
      <c r="C7" s="10" t="s">
        <v>106</v>
      </c>
      <c r="D7" s="5"/>
      <c r="E7" s="16" t="s">
        <v>26</v>
      </c>
      <c r="F7" s="17" t="s">
        <v>26</v>
      </c>
      <c r="G7" s="343" t="s">
        <v>80</v>
      </c>
      <c r="H7" s="478" t="s">
        <v>136</v>
      </c>
      <c r="I7" s="564" t="s">
        <v>136</v>
      </c>
      <c r="J7" s="564" t="s">
        <v>136</v>
      </c>
      <c r="K7" s="603" t="s">
        <v>136</v>
      </c>
      <c r="L7" s="564" t="s">
        <v>136</v>
      </c>
      <c r="M7" s="564" t="s">
        <v>136</v>
      </c>
      <c r="N7" s="560" t="s">
        <v>136</v>
      </c>
      <c r="O7" s="560" t="s">
        <v>136</v>
      </c>
      <c r="P7" s="599" t="s">
        <v>136</v>
      </c>
      <c r="Q7" s="560" t="s">
        <v>136</v>
      </c>
      <c r="R7" s="560" t="s">
        <v>136</v>
      </c>
      <c r="S7" s="563" t="s">
        <v>136</v>
      </c>
      <c r="T7" s="563" t="s">
        <v>136</v>
      </c>
      <c r="U7" s="600" t="s">
        <v>136</v>
      </c>
      <c r="V7" s="563" t="s">
        <v>136</v>
      </c>
      <c r="W7" s="563" t="s">
        <v>136</v>
      </c>
      <c r="X7" s="538" t="e">
        <f t="shared" si="0"/>
        <v>#VALUE!</v>
      </c>
    </row>
    <row r="8" spans="1:24" ht="86.25" thickBot="1" x14ac:dyDescent="0.3">
      <c r="A8" s="666"/>
      <c r="B8" s="29" t="s">
        <v>46</v>
      </c>
      <c r="C8" s="29" t="s">
        <v>98</v>
      </c>
      <c r="D8" s="13" t="s">
        <v>26</v>
      </c>
      <c r="E8" s="13" t="s">
        <v>26</v>
      </c>
      <c r="F8" s="14" t="s">
        <v>26</v>
      </c>
      <c r="G8" s="63" t="s">
        <v>81</v>
      </c>
      <c r="H8" s="503">
        <v>0.5</v>
      </c>
      <c r="I8" s="527" t="s">
        <v>223</v>
      </c>
      <c r="J8" s="205">
        <v>0.16</v>
      </c>
      <c r="K8" s="602">
        <v>0</v>
      </c>
      <c r="L8" s="429"/>
      <c r="M8" s="109"/>
      <c r="N8" s="558" t="s">
        <v>224</v>
      </c>
      <c r="O8" s="559">
        <v>0.16</v>
      </c>
      <c r="P8" s="425"/>
      <c r="Q8" s="97"/>
      <c r="R8" s="508"/>
      <c r="S8" s="561" t="s">
        <v>224</v>
      </c>
      <c r="T8" s="562">
        <v>0.18</v>
      </c>
      <c r="U8" s="601"/>
      <c r="V8" s="99"/>
      <c r="W8" s="178"/>
      <c r="X8" s="538">
        <f t="shared" si="0"/>
        <v>0</v>
      </c>
    </row>
    <row r="9" spans="1:24" ht="63.75" thickBot="1" x14ac:dyDescent="0.3">
      <c r="G9" s="337" t="s">
        <v>138</v>
      </c>
      <c r="H9" s="346">
        <f>SUM(H4:H8)</f>
        <v>1</v>
      </c>
      <c r="I9" s="347" t="s">
        <v>163</v>
      </c>
      <c r="J9" s="187">
        <f>SUM(J4:J8)</f>
        <v>0.26</v>
      </c>
      <c r="K9" s="187">
        <f>SUM(K4:K8)</f>
        <v>0.1</v>
      </c>
      <c r="L9" s="344"/>
      <c r="M9" s="345"/>
      <c r="N9" s="348" t="s">
        <v>163</v>
      </c>
      <c r="O9" s="349">
        <f>SUM(O4:O8)</f>
        <v>0.36</v>
      </c>
      <c r="P9" s="344"/>
      <c r="Q9" s="344"/>
      <c r="R9" s="345"/>
      <c r="S9" s="348" t="s">
        <v>163</v>
      </c>
      <c r="T9" s="350">
        <f>SUM(T4:T8)</f>
        <v>0.38</v>
      </c>
      <c r="U9" s="344"/>
      <c r="V9" s="344"/>
      <c r="W9" s="345" t="s">
        <v>264</v>
      </c>
      <c r="X9" s="346">
        <f>SUM(X4+X8)</f>
        <v>0.1</v>
      </c>
    </row>
    <row r="10" spans="1:24" ht="31.5" x14ac:dyDescent="0.25">
      <c r="J10" s="216" t="s">
        <v>190</v>
      </c>
      <c r="K10">
        <f>10*100/26</f>
        <v>38.46153846153846</v>
      </c>
    </row>
  </sheetData>
  <mergeCells count="10">
    <mergeCell ref="S2:W2"/>
    <mergeCell ref="A2:A3"/>
    <mergeCell ref="B2:B3"/>
    <mergeCell ref="C2:C3"/>
    <mergeCell ref="G2:G3"/>
    <mergeCell ref="A4:A8"/>
    <mergeCell ref="B6:B7"/>
    <mergeCell ref="H2:H3"/>
    <mergeCell ref="J2:M2"/>
    <mergeCell ref="N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4C23-2325-4331-B339-54A64C806BB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ED9E-45DC-4BC9-A230-1CDCD92EF187}">
  <dimension ref="H7:L22"/>
  <sheetViews>
    <sheetView topLeftCell="B15" zoomScale="90" zoomScaleNormal="90" workbookViewId="0">
      <selection activeCell="H8" sqref="H8:L22"/>
    </sheetView>
  </sheetViews>
  <sheetFormatPr baseColWidth="10" defaultRowHeight="15" x14ac:dyDescent="0.25"/>
  <cols>
    <col min="8" max="8" width="46" customWidth="1"/>
    <col min="9" max="9" width="42.7109375" style="1" customWidth="1"/>
    <col min="10" max="10" width="16.42578125" customWidth="1"/>
    <col min="11" max="11" width="20.5703125" customWidth="1"/>
    <col min="12" max="12" width="16" customWidth="1"/>
  </cols>
  <sheetData>
    <row r="7" spans="8:12" ht="15.75" thickBot="1" x14ac:dyDescent="0.3">
      <c r="H7" s="605"/>
      <c r="I7" s="605"/>
      <c r="J7" s="605"/>
      <c r="K7" s="605"/>
      <c r="L7" s="605"/>
    </row>
    <row r="8" spans="8:12" ht="39.75" customHeight="1" thickBot="1" x14ac:dyDescent="0.3">
      <c r="H8" s="697" t="s">
        <v>0</v>
      </c>
      <c r="I8" s="697" t="s">
        <v>3</v>
      </c>
      <c r="J8" s="49" t="s">
        <v>1</v>
      </c>
      <c r="K8" s="49" t="s">
        <v>64</v>
      </c>
      <c r="L8" s="50" t="s">
        <v>2</v>
      </c>
    </row>
    <row r="9" spans="8:12" ht="27" customHeight="1" thickBot="1" x14ac:dyDescent="0.3">
      <c r="H9" s="698"/>
      <c r="I9" s="698"/>
      <c r="J9" s="49">
        <v>2025</v>
      </c>
      <c r="K9" s="49" t="s">
        <v>66</v>
      </c>
      <c r="L9" s="50" t="s">
        <v>65</v>
      </c>
    </row>
    <row r="10" spans="8:12" ht="65.25" customHeight="1" thickBot="1" x14ac:dyDescent="0.3">
      <c r="H10" s="665" t="s">
        <v>83</v>
      </c>
      <c r="I10" s="29" t="s">
        <v>96</v>
      </c>
      <c r="J10" s="51" t="s">
        <v>26</v>
      </c>
      <c r="K10" s="16"/>
      <c r="L10" s="17"/>
    </row>
    <row r="11" spans="8:12" ht="70.5" customHeight="1" thickBot="1" x14ac:dyDescent="0.3">
      <c r="H11" s="667"/>
      <c r="I11" s="3" t="s">
        <v>110</v>
      </c>
      <c r="J11" s="49" t="s">
        <v>26</v>
      </c>
      <c r="K11" s="49" t="s">
        <v>26</v>
      </c>
      <c r="L11" s="50" t="s">
        <v>26</v>
      </c>
    </row>
    <row r="12" spans="8:12" ht="70.5" customHeight="1" thickBot="1" x14ac:dyDescent="0.3">
      <c r="H12" s="665" t="s">
        <v>67</v>
      </c>
      <c r="I12" s="21" t="s">
        <v>47</v>
      </c>
      <c r="J12" s="13"/>
      <c r="K12" s="49" t="s">
        <v>26</v>
      </c>
      <c r="L12" s="50" t="s">
        <v>26</v>
      </c>
    </row>
    <row r="13" spans="8:12" ht="70.5" customHeight="1" thickBot="1" x14ac:dyDescent="0.3">
      <c r="H13" s="666"/>
      <c r="I13" s="30" t="s">
        <v>8</v>
      </c>
      <c r="J13" s="49" t="s">
        <v>26</v>
      </c>
      <c r="K13" s="13"/>
      <c r="L13" s="14"/>
    </row>
    <row r="14" spans="8:12" ht="67.5" customHeight="1" thickBot="1" x14ac:dyDescent="0.3">
      <c r="H14" s="667"/>
      <c r="I14" s="30" t="s">
        <v>111</v>
      </c>
      <c r="J14" s="49" t="s">
        <v>26</v>
      </c>
      <c r="K14" s="52" t="s">
        <v>26</v>
      </c>
      <c r="L14" s="24"/>
    </row>
    <row r="15" spans="8:12" ht="63" customHeight="1" thickBot="1" x14ac:dyDescent="0.3">
      <c r="H15" s="665" t="s">
        <v>4</v>
      </c>
      <c r="I15" s="26" t="s">
        <v>51</v>
      </c>
      <c r="J15" s="49" t="s">
        <v>26</v>
      </c>
      <c r="K15" s="23"/>
      <c r="L15" s="24"/>
    </row>
    <row r="16" spans="8:12" ht="37.5" customHeight="1" thickBot="1" x14ac:dyDescent="0.3">
      <c r="H16" s="667"/>
      <c r="I16" s="55" t="s">
        <v>43</v>
      </c>
      <c r="J16" s="56" t="s">
        <v>112</v>
      </c>
      <c r="K16" s="54" t="s">
        <v>112</v>
      </c>
      <c r="L16" s="24"/>
    </row>
    <row r="17" spans="8:12" ht="37.5" customHeight="1" thickBot="1" x14ac:dyDescent="0.3">
      <c r="H17" s="665" t="s">
        <v>12</v>
      </c>
      <c r="I17" s="26" t="s">
        <v>56</v>
      </c>
      <c r="J17" s="49" t="s">
        <v>26</v>
      </c>
      <c r="K17" s="54" t="s">
        <v>112</v>
      </c>
      <c r="L17" s="24"/>
    </row>
    <row r="18" spans="8:12" ht="45.75" customHeight="1" thickBot="1" x14ac:dyDescent="0.3">
      <c r="H18" s="667"/>
      <c r="I18" s="55" t="s">
        <v>43</v>
      </c>
      <c r="J18" s="49" t="s">
        <v>26</v>
      </c>
      <c r="K18" s="52" t="s">
        <v>26</v>
      </c>
      <c r="L18" s="24"/>
    </row>
    <row r="19" spans="8:12" ht="45.75" customHeight="1" thickBot="1" x14ac:dyDescent="0.3">
      <c r="H19" s="665" t="s">
        <v>68</v>
      </c>
      <c r="I19" s="26" t="s">
        <v>33</v>
      </c>
      <c r="J19" s="49" t="s">
        <v>112</v>
      </c>
      <c r="K19" s="23"/>
      <c r="L19" s="24"/>
    </row>
    <row r="20" spans="8:12" ht="89.25" customHeight="1" thickBot="1" x14ac:dyDescent="0.3">
      <c r="H20" s="667"/>
      <c r="I20" s="3" t="s">
        <v>43</v>
      </c>
      <c r="J20" s="23"/>
      <c r="K20" s="54" t="s">
        <v>112</v>
      </c>
      <c r="L20" s="53" t="s">
        <v>26</v>
      </c>
    </row>
    <row r="21" spans="8:12" ht="58.5" customHeight="1" thickBot="1" x14ac:dyDescent="0.3">
      <c r="H21" s="665" t="s">
        <v>69</v>
      </c>
      <c r="I21" s="57" t="s">
        <v>35</v>
      </c>
      <c r="J21" s="52" t="s">
        <v>26</v>
      </c>
      <c r="K21" s="2"/>
      <c r="L21" s="58"/>
    </row>
    <row r="22" spans="8:12" ht="30" thickBot="1" x14ac:dyDescent="0.3">
      <c r="H22" s="667"/>
      <c r="I22" s="34" t="s">
        <v>43</v>
      </c>
      <c r="J22" s="23"/>
      <c r="K22" s="54" t="s">
        <v>112</v>
      </c>
      <c r="L22" s="53" t="s">
        <v>26</v>
      </c>
    </row>
  </sheetData>
  <mergeCells count="9">
    <mergeCell ref="H21:H22"/>
    <mergeCell ref="H7:L7"/>
    <mergeCell ref="H8:H9"/>
    <mergeCell ref="I8:I9"/>
    <mergeCell ref="H12:H14"/>
    <mergeCell ref="H10:H11"/>
    <mergeCell ref="H15:H16"/>
    <mergeCell ref="H17:H18"/>
    <mergeCell ref="H19:H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D547-CE40-46B9-B25D-26D80FDB60D3}">
  <dimension ref="H7:N20"/>
  <sheetViews>
    <sheetView topLeftCell="A17" zoomScale="90" zoomScaleNormal="90" workbookViewId="0">
      <selection activeCell="M25" sqref="M25"/>
    </sheetView>
  </sheetViews>
  <sheetFormatPr baseColWidth="10" defaultRowHeight="15" x14ac:dyDescent="0.25"/>
  <cols>
    <col min="8" max="8" width="48.5703125" customWidth="1"/>
    <col min="9" max="9" width="42.7109375" style="1" customWidth="1"/>
    <col min="10" max="10" width="43.28515625" style="1" customWidth="1"/>
    <col min="11" max="11" width="22.85546875" style="1" customWidth="1"/>
    <col min="12" max="12" width="16.42578125" customWidth="1"/>
    <col min="13" max="13" width="20.5703125" customWidth="1"/>
    <col min="14" max="14" width="16" customWidth="1"/>
  </cols>
  <sheetData>
    <row r="7" spans="8:14" ht="15.75" thickBot="1" x14ac:dyDescent="0.3">
      <c r="H7" s="605"/>
      <c r="I7" s="605"/>
      <c r="J7" s="605"/>
      <c r="K7" s="605"/>
      <c r="L7" s="605"/>
      <c r="M7" s="605"/>
      <c r="N7" s="605"/>
    </row>
    <row r="8" spans="8:14" ht="39.75" customHeight="1" thickBot="1" x14ac:dyDescent="0.3">
      <c r="H8" s="697" t="s">
        <v>0</v>
      </c>
      <c r="I8" s="697" t="s">
        <v>3</v>
      </c>
      <c r="J8" s="697" t="s">
        <v>113</v>
      </c>
      <c r="K8" s="697" t="s">
        <v>114</v>
      </c>
      <c r="L8" s="49" t="s">
        <v>1</v>
      </c>
      <c r="M8" s="49" t="s">
        <v>64</v>
      </c>
      <c r="N8" s="50" t="s">
        <v>2</v>
      </c>
    </row>
    <row r="9" spans="8:14" ht="27" customHeight="1" thickBot="1" x14ac:dyDescent="0.3">
      <c r="H9" s="698"/>
      <c r="I9" s="698"/>
      <c r="J9" s="698"/>
      <c r="K9" s="698"/>
      <c r="L9" s="49">
        <v>2025</v>
      </c>
      <c r="M9" s="49" t="s">
        <v>66</v>
      </c>
      <c r="N9" s="50" t="s">
        <v>65</v>
      </c>
    </row>
    <row r="10" spans="8:14" ht="43.5" hidden="1" customHeight="1" thickBot="1" x14ac:dyDescent="0.3">
      <c r="H10" s="665" t="s">
        <v>83</v>
      </c>
      <c r="I10" s="26" t="s">
        <v>96</v>
      </c>
      <c r="J10" s="26" t="s">
        <v>59</v>
      </c>
      <c r="K10" s="38" t="s">
        <v>81</v>
      </c>
      <c r="L10" s="51" t="s">
        <v>26</v>
      </c>
      <c r="M10" s="16"/>
      <c r="N10" s="17"/>
    </row>
    <row r="11" spans="8:14" ht="48" hidden="1" customHeight="1" thickBot="1" x14ac:dyDescent="0.3">
      <c r="H11" s="667"/>
      <c r="I11" s="55" t="s">
        <v>110</v>
      </c>
      <c r="J11" s="55" t="s">
        <v>116</v>
      </c>
      <c r="K11" s="38" t="s">
        <v>115</v>
      </c>
      <c r="L11" s="49" t="s">
        <v>26</v>
      </c>
      <c r="M11" s="49" t="s">
        <v>26</v>
      </c>
      <c r="N11" s="50" t="s">
        <v>26</v>
      </c>
    </row>
    <row r="12" spans="8:14" ht="50.25" hidden="1" customHeight="1" thickBot="1" x14ac:dyDescent="0.3">
      <c r="H12" s="665" t="s">
        <v>67</v>
      </c>
      <c r="I12" s="33" t="s">
        <v>47</v>
      </c>
      <c r="J12" s="33" t="s">
        <v>116</v>
      </c>
      <c r="K12" s="38" t="s">
        <v>115</v>
      </c>
      <c r="L12" s="13"/>
      <c r="M12" s="49" t="s">
        <v>26</v>
      </c>
      <c r="N12" s="50" t="s">
        <v>26</v>
      </c>
    </row>
    <row r="13" spans="8:14" ht="48" hidden="1" customHeight="1" thickBot="1" x14ac:dyDescent="0.3">
      <c r="H13" s="666"/>
      <c r="I13" s="59" t="s">
        <v>117</v>
      </c>
      <c r="J13" s="59" t="s">
        <v>118</v>
      </c>
      <c r="K13" s="38" t="s">
        <v>81</v>
      </c>
      <c r="L13" s="49" t="s">
        <v>26</v>
      </c>
      <c r="M13" s="13"/>
      <c r="N13" s="14"/>
    </row>
    <row r="14" spans="8:14" ht="47.25" hidden="1" customHeight="1" thickBot="1" x14ac:dyDescent="0.3">
      <c r="H14" s="667"/>
      <c r="I14" s="59" t="s">
        <v>111</v>
      </c>
      <c r="J14" s="59" t="s">
        <v>120</v>
      </c>
      <c r="K14" s="38" t="s">
        <v>119</v>
      </c>
      <c r="L14" s="49" t="s">
        <v>26</v>
      </c>
      <c r="M14" s="52" t="s">
        <v>26</v>
      </c>
      <c r="N14" s="24"/>
    </row>
    <row r="15" spans="8:14" ht="43.5" hidden="1" customHeight="1" thickBot="1" x14ac:dyDescent="0.3">
      <c r="H15" s="665" t="s">
        <v>4</v>
      </c>
      <c r="I15" s="26" t="s">
        <v>51</v>
      </c>
      <c r="J15" s="26" t="s">
        <v>121</v>
      </c>
      <c r="K15" s="38" t="s">
        <v>81</v>
      </c>
      <c r="L15" s="49" t="s">
        <v>26</v>
      </c>
      <c r="M15" s="23"/>
      <c r="N15" s="24"/>
    </row>
    <row r="16" spans="8:14" ht="57" hidden="1" customHeight="1" thickBot="1" x14ac:dyDescent="0.3">
      <c r="H16" s="667"/>
      <c r="I16" s="55" t="s">
        <v>43</v>
      </c>
      <c r="J16" s="55" t="s">
        <v>116</v>
      </c>
      <c r="K16" s="38" t="s">
        <v>115</v>
      </c>
      <c r="L16" s="56" t="s">
        <v>112</v>
      </c>
      <c r="M16" s="54" t="s">
        <v>112</v>
      </c>
      <c r="N16" s="24"/>
    </row>
    <row r="17" spans="8:14" ht="51" customHeight="1" thickBot="1" x14ac:dyDescent="0.3">
      <c r="H17" s="665" t="s">
        <v>12</v>
      </c>
      <c r="I17" s="26" t="s">
        <v>56</v>
      </c>
      <c r="J17" s="26" t="s">
        <v>122</v>
      </c>
      <c r="K17" s="38" t="s">
        <v>81</v>
      </c>
      <c r="L17" s="49" t="s">
        <v>26</v>
      </c>
      <c r="M17" s="54" t="s">
        <v>112</v>
      </c>
      <c r="N17" s="24"/>
    </row>
    <row r="18" spans="8:14" ht="45.75" customHeight="1" thickBot="1" x14ac:dyDescent="0.3">
      <c r="H18" s="667"/>
      <c r="I18" s="55" t="s">
        <v>43</v>
      </c>
      <c r="J18" s="55" t="s">
        <v>116</v>
      </c>
      <c r="K18" s="38" t="s">
        <v>115</v>
      </c>
      <c r="L18" s="49" t="s">
        <v>26</v>
      </c>
      <c r="M18" s="52" t="s">
        <v>26</v>
      </c>
      <c r="N18" s="24"/>
    </row>
    <row r="19" spans="8:14" ht="84.75" customHeight="1" thickBot="1" x14ac:dyDescent="0.3">
      <c r="H19" s="665" t="s">
        <v>124</v>
      </c>
      <c r="I19" s="26" t="s">
        <v>33</v>
      </c>
      <c r="J19" s="26" t="s">
        <v>123</v>
      </c>
      <c r="K19" s="38" t="s">
        <v>81</v>
      </c>
      <c r="L19" s="49" t="s">
        <v>112</v>
      </c>
      <c r="M19" s="23"/>
      <c r="N19" s="24"/>
    </row>
    <row r="20" spans="8:14" ht="45.75" customHeight="1" thickBot="1" x14ac:dyDescent="0.3">
      <c r="H20" s="667"/>
      <c r="I20" s="39" t="s">
        <v>43</v>
      </c>
      <c r="J20" s="39" t="s">
        <v>116</v>
      </c>
      <c r="K20" s="38" t="s">
        <v>115</v>
      </c>
      <c r="L20" s="23"/>
      <c r="M20" s="54" t="s">
        <v>112</v>
      </c>
      <c r="N20" s="53" t="s">
        <v>26</v>
      </c>
    </row>
  </sheetData>
  <mergeCells count="10">
    <mergeCell ref="H17:H18"/>
    <mergeCell ref="H19:H20"/>
    <mergeCell ref="J8:J9"/>
    <mergeCell ref="K8:K9"/>
    <mergeCell ref="H7:N7"/>
    <mergeCell ref="H8:H9"/>
    <mergeCell ref="I8:I9"/>
    <mergeCell ref="H10:H11"/>
    <mergeCell ref="H12:H14"/>
    <mergeCell ref="H15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CRONOGRAMA PINAR DETALLADO</vt:lpstr>
      <vt:lpstr>PGD</vt:lpstr>
      <vt:lpstr>SIST. G.D</vt:lpstr>
      <vt:lpstr>P. CONSERVACIÓN</vt:lpstr>
      <vt:lpstr>P.CONTINGENCIA</vt:lpstr>
      <vt:lpstr>INFRA TECNOLOGICA</vt:lpstr>
      <vt:lpstr>INFRA FISICA</vt:lpstr>
      <vt:lpstr>Hoja1</vt:lpstr>
      <vt:lpstr>CRONOGRAMA PINAR GENERAL </vt:lpstr>
      <vt:lpstr>CRONOGRAMA PINAR GENERAL PREN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concejocmcchia1@outlook.com</dc:creator>
  <cp:lastModifiedBy>YOLANDA</cp:lastModifiedBy>
  <dcterms:created xsi:type="dcterms:W3CDTF">2025-01-21T19:58:34Z</dcterms:created>
  <dcterms:modified xsi:type="dcterms:W3CDTF">2025-05-28T20:13:04Z</dcterms:modified>
</cp:coreProperties>
</file>