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192.168.40.150\compartida\SGC CONCEJO CHIA 2025\12. Seguimiento Planes Institucionales 2025\1. Matrices de seguimiento\1.PLAN DE ACCIÓN\"/>
    </mc:Choice>
  </mc:AlternateContent>
  <xr:revisionPtr revIDLastSave="0" documentId="13_ncr:1_{2E430C71-0C87-45AE-9ADE-9D658E5F413C}" xr6:coauthVersionLast="47" xr6:coauthVersionMax="47" xr10:uidLastSave="{00000000-0000-0000-0000-000000000000}"/>
  <bookViews>
    <workbookView xWindow="-120" yWindow="-120" windowWidth="20730" windowHeight="11310" xr2:uid="{52F5AEC6-40BC-4E78-BB70-377646B341C2}"/>
  </bookViews>
  <sheets>
    <sheet name="Matríz seguimiento PA 2025"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6" i="1" l="1"/>
</calcChain>
</file>

<file path=xl/sharedStrings.xml><?xml version="1.0" encoding="utf-8"?>
<sst xmlns="http://schemas.openxmlformats.org/spreadsheetml/2006/main" count="191" uniqueCount="143">
  <si>
    <t>SISTEMA DE GESTIÓN DE CALIDAD</t>
  </si>
  <si>
    <t>DIRECCIONAMIENTO ESTRATÉGICO</t>
  </si>
  <si>
    <t>MATRIZ DE SEGUIMIENTO INDICADORES SGC</t>
  </si>
  <si>
    <t>VERSIÓN: 02</t>
  </si>
  <si>
    <t>Página 1 de 1</t>
  </si>
  <si>
    <t>PROGRAMA</t>
  </si>
  <si>
    <t>PROYECTO</t>
  </si>
  <si>
    <t>ACTIVIDAD</t>
  </si>
  <si>
    <t>INDICADOR</t>
  </si>
  <si>
    <t>RESPONSABLES</t>
  </si>
  <si>
    <t>PLAZO</t>
  </si>
  <si>
    <t xml:space="preserve">I CUATRIMESTRE </t>
  </si>
  <si>
    <t xml:space="preserve">II CUATRIMESTRE </t>
  </si>
  <si>
    <t xml:space="preserve">III  CUATRIMESTRE </t>
  </si>
  <si>
    <t>AVANCE</t>
  </si>
  <si>
    <t>CUMPLIMIENTO PROCESO I CUATRIM</t>
  </si>
  <si>
    <t>OBSERVACIONES</t>
  </si>
  <si>
    <t>MISIÓN CONCEJO</t>
  </si>
  <si>
    <t>EL CONTROL LO TENEMOS TODOS</t>
  </si>
  <si>
    <t>Realizar control a las decisiones y actuaciones de la administración central y descentralizada de acuerdo con las proposiciones aprobadas y los cuestionarios estructurados de manera efectiva.</t>
  </si>
  <si>
    <t>Honorables Concejales</t>
  </si>
  <si>
    <t>12 meses</t>
  </si>
  <si>
    <t>Presidente</t>
  </si>
  <si>
    <t>Área Jurídica</t>
  </si>
  <si>
    <t>Att al ciudadano</t>
  </si>
  <si>
    <t>Area Juridica</t>
  </si>
  <si>
    <t>APROBAMOS Y EVALUAMOS</t>
  </si>
  <si>
    <t>Seguimiento a Acuerdos Municipales aprobados en la vigencia 2025.</t>
  </si>
  <si>
    <t>Verificar los Acuerdos Municipales aprobados y en las cesiones de control politico realizar el seguimiento al cumplimiento de aquellos que asi lo requieran.</t>
  </si>
  <si>
    <t>Actualizar el reglamento interno del Concejo Municipal de Chia, de acuerdo con la normatividad vigente.</t>
  </si>
  <si>
    <t>Actualización de Reglamento Interno del Concejo Municipal</t>
  </si>
  <si>
    <t>6 meses</t>
  </si>
  <si>
    <t>REGLAS CLARAS</t>
  </si>
  <si>
    <t>Planes institucionales ejecutados en un 85% minimo.</t>
  </si>
  <si>
    <t>Ejecutar y hacer seguimiento constante a los planes institucionales del Concejo Municipal midiendo su eficiencia de acuerdo con las metas establecidas.</t>
  </si>
  <si>
    <t>TRAZANDO EL CAMINO</t>
  </si>
  <si>
    <t>Dirección Administrativa y Financiera</t>
  </si>
  <si>
    <t>Área de Talento Humano</t>
  </si>
  <si>
    <t>Una jornada de Induccion realizada</t>
  </si>
  <si>
    <t>Realizar una jornada de Inducción a los Funcionarios y Familiares, donde se exponga de manera ludica la Misión y Visión del Concejo Municipal.</t>
  </si>
  <si>
    <t>LO QUE NOS UNE ES MAS FUERTE</t>
  </si>
  <si>
    <t xml:space="preserve">Mesa Directiva </t>
  </si>
  <si>
    <t>Control Interno</t>
  </si>
  <si>
    <t>Todos los Funcionarios y Contratistas.</t>
  </si>
  <si>
    <t>5 meses</t>
  </si>
  <si>
    <t>PLANEACION ESTRATEGICA</t>
  </si>
  <si>
    <t>Todos los Funcionarios y Cintratistas</t>
  </si>
  <si>
    <t>Mes de Julio                 Mes de Diciembre</t>
  </si>
  <si>
    <t>2 Audiencias Públicas de Rendición de cuentas al año.</t>
  </si>
  <si>
    <t>7 Recorridos</t>
  </si>
  <si>
    <t>7 Recrridos a veredas del Municipio.</t>
  </si>
  <si>
    <t>Mesa Directiva y todo el Equipo de Funcionarios y Contratistas</t>
  </si>
  <si>
    <t>Mesa Directiva y todo el equipo de Funcionarios y Contratistas.</t>
  </si>
  <si>
    <t>Realizar 8 reuniones con Presidentes de las Juntas de Acción Comunal, para escuchar las necesidades de los lideres y gestionar ante la Administracion Municipal y otras entidades sus posibles soluciones.</t>
  </si>
  <si>
    <t>CAMINANDO Y AVANZANDO</t>
  </si>
  <si>
    <t xml:space="preserve">Realizar 2 Reuniones con Mujeres del municipio de Chía que permitan escuchar las necesidades de las mismas y generar un proyecto de impacto mediante alianzas estrategicas. </t>
  </si>
  <si>
    <t>2 Reuniones con Mujeres del Municipio de Chia.</t>
  </si>
  <si>
    <t>Presidente del Concejo Municipal con el apoyo del equipo de trabajo.</t>
  </si>
  <si>
    <t>7 meses</t>
  </si>
  <si>
    <t>CAMINANDO ENTRE MUJERES</t>
  </si>
  <si>
    <t>AL PROBLEMA LA SOLUCION</t>
  </si>
  <si>
    <t>Medir la satisfaccion de los Usuarios respecto de los servicios y/o atenciones ofrecidas por los procesos del Concejo Municipal de Chia.</t>
  </si>
  <si>
    <t>Sumatoria nivel de satisfaccion encuestas / Total de encuestas realizadas *100%</t>
  </si>
  <si>
    <t>Dirección Administrativa y Financiera y el Area de Atención al Ciudadano.</t>
  </si>
  <si>
    <t>VOCES QUE SON EJEMPLO</t>
  </si>
  <si>
    <t>Identificar Lideres Sociales y generar estrategias que permitan al Concejo generar más acercamiento  con sus comunidades de impacto.</t>
  </si>
  <si>
    <t>4 Reuniones con Líderes Sociales de destacada trayectoria en diferentes áreas del conocimiento</t>
  </si>
  <si>
    <t>Presidente del Concejo y Equipo de trabajo</t>
  </si>
  <si>
    <t>Realizar 2 reuniones con Niños, Niñas, Adolescentes y Jovenes para escuchar y gestionar las propuestas de esta población.</t>
  </si>
  <si>
    <t xml:space="preserve">2 Reuniones ejecutadas con Niños, Niñas, Adolescentes y Jovenes. </t>
  </si>
  <si>
    <t>8 meses</t>
  </si>
  <si>
    <t>TUS IDEAS CUENTAN</t>
  </si>
  <si>
    <t>DEMOCRACIA PARTICIPATIVA</t>
  </si>
  <si>
    <t>LA GESTION ES CLARA</t>
  </si>
  <si>
    <t>1 Estrategia de comunicación implementada.</t>
  </si>
  <si>
    <t>Presidente                                                                                Equipo de trabajo            Profesionales de Prensa y Comunicación</t>
  </si>
  <si>
    <t>LA CORPORACION AL SERVICIO DE LA COMUNIDAD</t>
  </si>
  <si>
    <t>Elaborar una Cartilla Didactica del Concejo Municipal dirigida a niños y niñas de 4 a 10 años que explique la razón de ser del Concejo en el Municipio de Chía.</t>
  </si>
  <si>
    <t>Cartilla elaborada e implementada en 2 instituciones educativas del municipio</t>
  </si>
  <si>
    <t>IMAGEN INSTITUCIONAL</t>
  </si>
  <si>
    <t>Realizar 2 alianzas estrategicas con entidades publicas o privadas para beneficio de la comunidad.</t>
  </si>
  <si>
    <t>ALIANZAS ESTRATEGICAS</t>
  </si>
  <si>
    <t>2 Alianzas ejecutadas.</t>
  </si>
  <si>
    <t>Preidente                     Equipo de trabajo</t>
  </si>
  <si>
    <t>EL CONCEJO ES REGION</t>
  </si>
  <si>
    <t>1 Foro realizado.</t>
  </si>
  <si>
    <t>Mesa Directiva y Equipo de trabajo</t>
  </si>
  <si>
    <t>9 meses</t>
  </si>
  <si>
    <t>CUNDINAMARCA EN LA MIRA</t>
  </si>
  <si>
    <t>Realizar un encuentro con el Gobernador de Cundinamarca para solucionar una problemática especifica en la que el Concejo Municipal tenga competencia e injerencia directa</t>
  </si>
  <si>
    <t>1 Encuentro realizado</t>
  </si>
  <si>
    <t xml:space="preserve">Presidente del Concejo Municipal   </t>
  </si>
  <si>
    <t>10 meses</t>
  </si>
  <si>
    <t>SOMOS MAS QUE UN EQUIPO</t>
  </si>
  <si>
    <t>Inicia a partir del mes de julio</t>
  </si>
  <si>
    <t>Se realizó la jornada de inducción a funcionarios y contratistas el dia viernes 28 de febrero.</t>
  </si>
  <si>
    <t xml:space="preserve">Dar cumplimiento al cronograma de control político.                              (# de control políticos realizados / # de control político programados) x 100%  </t>
  </si>
  <si>
    <t>Realizar seguimiento a las problemáticas que den lugar a los debates de control político, a los compromisos y resultados que de ellos se generen a fin de que tales controles logren el objetivo propuesto, el cual es la resolución de la situación problema y la satisfacción de necesidades de la población</t>
  </si>
  <si>
    <t>80% de las problemáticas planteadas en los controles políticos resueltas o gestionadas ante el competente.                              # DE CUSTIONARIOS ENVIADOS / RESPUESTAS RECIBIDAS</t>
  </si>
  <si>
    <t>Realizar el estudio a los Proyectos de Acuerdo presentados y que la Corporación estructure, al menos 2 proyectos de acuerdo de iniciativa propia</t>
  </si>
  <si>
    <t>Desarrollar la gestión administrativa de la Corporación, bajo los lineamientos del Modelo Integrado de Planeacion y Gestión y el Sistema de Gestión de Calidad.</t>
  </si>
  <si>
    <t>Elaborar una estrategia de comunicación que permita fortalecer el posicionemiento de la Corporación en los medios de información y comunicación al igual que en las redes sociales.</t>
  </si>
  <si>
    <t>Todos los Funcionarios y Contratistas</t>
  </si>
  <si>
    <t>Inicia en el segundo cuatrimestre</t>
  </si>
  <si>
    <t>Se ejecuta en el segundo cuatrimestre</t>
  </si>
  <si>
    <t xml:space="preserve">Mantener la certificación en la norma Iso 9001, 2015                                          Aumentar en 5 puntos la calificacion de FURAG para la Corporación.          Ejecutar el programa anual de Auditorias de Control Interno y del Sistema de Control de Calidad.                </t>
  </si>
  <si>
    <t>Realizar 2 Audiencias de rendicion de cuentas en diferentes espacios para informar a la comunidad la gestión del Concejo Municipal.</t>
  </si>
  <si>
    <t>Se tiene programada la auditoria de renovacion de la certificación ISO 9001;2015 para principios del mes de septiembre. Se presentó y aprobó el programa  anual de auditorias internas del SGC.</t>
  </si>
  <si>
    <t>Esta actividad esta programada para la primera o segunda semana de julio y primeros 15 dias de diciembre</t>
  </si>
  <si>
    <t>Recorrer al menos 7 veredas del municipio para escuchar las necesidades de la comunidad y gestionar ante la Administracón Municipal y otras entidades sus posibles soluciones</t>
  </si>
  <si>
    <t xml:space="preserve">Se elaboró el plan estratégico de comunicaciones PECU para la vigencia 2025, mediante el cúal se contemplan actividades y se establece un canal directo con los medios de comunicación tanto local como regional, con el animo de informar las actividades y gestión del Concejo Municipal donde se hace el envío de la información de acuerdo a la programación.  Se realiza la gestion para la contrataciondel  plan de medios, para ejecutar en el segundo y tercer cuatrimestre </t>
  </si>
  <si>
    <t>Cartilla en proceso de elaboración, se presenta el diseño ante el Comité de Gestión y Desempeño Institucional el dia 30 de abril para aprobacion.</t>
  </si>
  <si>
    <t>Realizar un foro con los Presidentes de los Concejos Municipales de la región que permita el intercambio de saberes.</t>
  </si>
  <si>
    <t xml:space="preserve">El 10 de febrero se realizó visita a la zona histórica del municipio de Chía para conocer la problemática de los vendedores ambulantes y el contrato del espacio público (esta reunión se realizo en el recinto del Concejo Municipal), el 12 de febrero, se realizo visita al Colegio Nacional Diversificado ubicado en el barrio el Campin zona centro para conocer el estado de la infraestructura e instalaciones, el 13 de febrero se realizo visita a la Institución Educativa Diosa Chía en la Vereda Bojacá, para conocer el estado de la infraestructura e instalaciones, el 17 de febrero se visita la Institución Educativa I.EO la Balsa en la Vereda la Balsa, para conocer el estado de la infraestructura e instalaciones, el 17 de febrero se visito la Institución Educativa I.EO Fonqueta en la Vereda Fonqueta  para conocer el estado de la infraestructura e instalaciones, el 19 de febrero se visito la Institución Educativa Fagua en la Vereda Fagua para conocer el estado de la infraestructura e instalaciones de las 3 sedes, el 20 de febrero se visito la Institución Educativa Cerca de piedra, en la vereda Cerca de piedra para conocer el estado de la infraestructura e instalaciones, el 20 de febrero se realizo visita a la Institución Educativa Lauta Vicuña en el Centro para conocer el estado de la infraestructura e instalaciones, el 24 de febrero se realizo visita a la Institución Educativa Santa Maria del Rio en sus diferentes sedes, en la vereda la balsa para conocer el estado de la infraestructura e instalaciones, el 25 de febrero se realizo visita a la Institución Educativa Bojacá en la vereda Bojacá para conocer el estado de la infraestructura e instalaciones,  se realizo el 26 de febrero visita a la Institución Educativa José Joaquín Casas, centro para conocer el estado de la infraestructura e instalaciones, se realizo el 26 de febrero visita a la Institución Educativa San José Maria Escrivá de Balaguer , sector Samaria para conocer el estado de la infraestructura e instalaciones, se realiza el 26 de febrero visita a la Institución Educativa Fusca , vereda Fusca, para conocer el estado de la infraestructura e instalaciones, se realiza el 26 de marzo reunión con comerciantes afectados por el cambio de costado de ciclorutas entre las calles 7a y 2a con carrera 10 centro, se realiza visita el 1 de abril con la JAC la Lorena por la obra adelantada entre la avenida Chilacos y la carrera 12 afectación por demora en la finalización de la misma. </t>
  </si>
  <si>
    <t>Se enviaron 18 cuestionarios y se recibieron 18 respuestas</t>
  </si>
  <si>
    <t>No. de proyectos de acuerdo presentados / No. de proyectos de acuerdo con tramite completo</t>
  </si>
  <si>
    <t>Esta meta no esta programada para este primer cuatrimestre</t>
  </si>
  <si>
    <t>TOTAL ANUAL</t>
  </si>
  <si>
    <t>La presente medición se realiza sobre los cuestionarios resueltos, debe revisarse con el Comité de Gestion y Desempeño Institucional como se va a manejar el tema de las PQRSDF y otras solictudes de la comunidad y grupos de interes.</t>
  </si>
  <si>
    <t>Durante el mes de marzo se realizaron las proposiciones, se aprobaron, se enviaron los cuestionarios y se recibieron las respuestas de los 18 cuestionarios, pertinentes para comenzar el segundo periodo de sesiones ordinarias por citar: 14 controles politicos por citar y dos que estan aplazados (Secretaria de Educacion e IMRD),. teniendo en cuenta la actualización del sistema de gestion de calidad, especificamente respecto al proceso de control politico, la caracterizacion en el mes mayo va a sufrir cambios asi como el incicador por lo que ya no se medira asi sino proposiciones aprobadas vs cuestionarios enviados, por lo que a partir del proximo cuatrimestre la evaluacion se realizara asi.</t>
  </si>
  <si>
    <t>Es necesario verificar el cumplimiento de la meta, ya que teniendo en cuenta la descripción del indicador de los 18 cuestionarios de control politico aprobados y enviados, se ejecutaron 2, quedando 2 aplazados y 14 pendientes</t>
  </si>
  <si>
    <t>Al cuatrimestre van 5 proyectos de acuerdo presentados, 2 fueron negados, 2 fueron aprobados y uno retirado.</t>
  </si>
  <si>
    <t xml:space="preserve">Se realizó seguimiento a los planes institucionales adoptados mediante Resolución No. 016 de 2025 "Por la cual se integran e implementan los planes institucionales en el Concejo Municipal de Chía para la vigencia 2025",. Dicho seguimiento corresponde al primer cuatrimestre de gestión, comprendido entre los meses de enero a abril, se realizaron mesas de trabajo con los responsables de los planes y en la tercera semana de mayo se publicaran los avances en la página web del Concejo Municipal. el seguimiento corresponde a los siguientes planes:                                                                                                                                                       1.Plan de acción vigencia 2025
2.Plan Institucional de Archivos ­de la Corporación - PINAR
3.Plan Anual de Vacantes
4.Plan de Previsión de Recursos Humanos
5.Plan Estratégico de Talento Humano
6.Plan Institucional de Capacitación
7.Plan de Incentivos Institucionales
8.Plan de Trabajo Anual en Seguridad y Salud en el Trabajo
9.Programa de Transparencia y Ética Publica
10.Plan Estratégico de Tecnologías de la Información y las Comunicaciones ­ PETI
11.Plan de Tratamiento de Riesgos de Seguridad y Privacidad de la Información
12.Plan de Seguridad y Privacidad de la Información.
</t>
  </si>
  <si>
    <t>Teniendo en cuenta que se aprobaron 2 Acuerdos Municipales, corresponde en el seguimiento del segundo cuatrimestre verificar las acciones de seguimiento adelantadas por la Corporación respecto a la ejecución de dichos Acuerdos por parte de la Alcaldia Municipal.</t>
  </si>
  <si>
    <t>Se realizo la entrega de las matrices de planes institucionales para la evaluación del primer cuatrimestre,  se realizaron 5 reuniones con las areas responsables desde planeaión estrategica para revisar la información registrada y los avances, el jefe de control interno realizó dentro de su competencia el seguimiento al programa de transparencia y etica pública, los avances por parte de las areas responsables y sus evidencias ya se encuentran en la carpeta compartida del SGC para revisión y publicación en la página web.</t>
  </si>
  <si>
    <t>Queda pendiente realizar la jornada de inducción en puestos de trabajo que la realiza cada jefe de area con su personal a cargo. Este proceso es personal y dependen de las funciones establecidas en el Manual de funciones y Competencias del Concejo Municipal. Queda pendiente realizar la jornada de inducción con los familiares de los funcionarios según la meta establecida.</t>
  </si>
  <si>
    <t>16.5%</t>
  </si>
  <si>
    <t xml:space="preserve">El 28 de marzo se realizó la primera reunión con el delegado del Instituto Colombiano de Normas Técnicas -ICONTEC- con el objetivo de planear el proceso de renovación de la certificación del Concejo Municipal de Chía,  bajo la norma ISO 9001:2015 y así lograr que la Corporación reciba por tres años más el reconocimiento como una entidad que cumple con los estándares internacionales de calidad y que nos permite competir con confianza en el mercado global mediante el reconocimiento general de los Socios IQNET. Se aprobó por parte del Comite de Gestión y Desempeño Institucional el dia 24 de abril el Programa anual de auditorias internas del Sistema de Gestión de Calidad, las cuales inician en el mes de mayo. Se realizo la rendición del informe FURAG en el mes de abril, se esta a la espera de los resultados. Se realizo el envio del formulario a ICONTEC debidamente diligenciado el dia 25 de abril, solicitando se realice la auditoria de renovación la primera semana del mes de septiembre. </t>
  </si>
  <si>
    <t>Esta actividada esta programada para la primera o segunda semana de julio y las dos ultimas semanas de diciembre</t>
  </si>
  <si>
    <t>De todas las visitas se cuenta con actas de reunión , fotografias, videos y se realizarin 2 sesiones de control politico a la Secretaria de Educación</t>
  </si>
  <si>
    <t xml:space="preserve">se realiza visita el 1 de abril con la JAC la Lorena por la obra adelantada entre la avenida Chilacos y la carrera 12 por la afectacion y demora en la finalización de la misma. </t>
  </si>
  <si>
    <t>Quedan pendientes para el segundo y tercer cuatrimestre 7 reuniones con presidentes de las JAC</t>
  </si>
  <si>
    <t>3.3%</t>
  </si>
  <si>
    <t>Esta meta esta programada para ejecutarse en el segundo y tercer cuatrimestre</t>
  </si>
  <si>
    <r>
      <t>Se aprobó  el Proyecto de Acuerdo No. 03 de 2025"</t>
    </r>
    <r>
      <rPr>
        <b/>
        <i/>
        <sz val="11"/>
        <rFont val="Arial"/>
        <family val="2"/>
      </rPr>
      <t>Por medio dle cual se delega al Alcalde de Chía la facultad para la legalizacion urbanisticade asintamientos humanos con condiciones de precariedad y de origen informal, conformados por viviendas de interes social y usos complementarios que la soposrtan y se dictan otras discipisiones,</t>
    </r>
    <r>
      <rPr>
        <sz val="11"/>
        <rFont val="Arial"/>
        <family val="2"/>
      </rPr>
      <t xml:space="preserve">", Quedo como Acuerdo Municipal No. 233 y  el Proyecto de Acuerdo No 04 de 2025 </t>
    </r>
    <r>
      <rPr>
        <b/>
        <i/>
        <sz val="11"/>
        <rFont val="Arial"/>
        <family val="2"/>
      </rPr>
      <t>“Por medio del cual se modifica y adiciona el Acuerdo 107 de 2016, Estatuto de Rentas del Municipio de Chía, se modifica el paragrafo transitorio del Articulo primero del Acuerdo 226 de 2024 y se dictan otras disposiciones"</t>
    </r>
    <r>
      <rPr>
        <sz val="11"/>
        <rFont val="Arial"/>
        <family val="2"/>
      </rPr>
      <t>Quedo como Acuerdo Municipal No. 234. se programa seguimiento para el tercer periodo de sesiones.</t>
    </r>
  </si>
  <si>
    <r>
      <rPr>
        <b/>
        <sz val="11"/>
        <rFont val="Arial"/>
        <family val="2"/>
      </rPr>
      <t xml:space="preserve">Proyectos aprobados: </t>
    </r>
    <r>
      <rPr>
        <sz val="11"/>
        <rFont val="Arial"/>
        <family val="2"/>
      </rPr>
      <t>Se aprobó  el Proyecto de Acuerdo No. 03 de 2025" Por medio del cual se delega al Alcalde de Chía la facultad para la legalizacion urbanistica de asintamientos humanos con condiciones de precariedad y de origen informal, conformados por viviendas de interes social y usos complementarios que la soposrtan y se dictan otras discipisiones,", Quedo como Acuerdo Municipal No. 233 y  el Proyecto de Acuerdo No 04 de 2025 “Por medio del cual se modifica y adiciona el Acuerdo 107 de 2016, Estatuto de Rentas del Municipio de Chía, se modifica el paragrafo transitorio del Articulo primero del Acuerdo 226 de 2024 y se dictan otras disposiciones "Quedo como Acuerdo Municipal No. 234. se programa seguimiento para el tercer periodo de sesiones.                             Proyectos de Acuerdo Aplazados: Proyecto 1: Modificación Presupuesto Municipal,      Proyecto 2: Asentamientos Humanos                                  Retirado: Proyecto 5: Premio Diosa Chia para mujeres. Se deja la observación que todos los proyectos de acuerdo cumplieron el trámite.</t>
    </r>
  </si>
  <si>
    <t>8 Encuentros con organismos asociativos de Acción Comunal para identificar necesidades y problematicas.</t>
  </si>
  <si>
    <t>NP</t>
  </si>
  <si>
    <t>95.7%</t>
  </si>
  <si>
    <t>Actividad programada para el siguiente cautrimestre</t>
  </si>
  <si>
    <t>Esta meta esta programada para el siguiente cuatrimestre</t>
  </si>
  <si>
    <t>FECHA:  23-04-2025</t>
  </si>
  <si>
    <t>Meta programada para el segundo cuatrimestre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</si>
</sst>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b/>
      <sz val="11"/>
      <name val="Arial"/>
      <family val="2"/>
    </font>
    <font>
      <sz val="11"/>
      <name val="Arial"/>
      <family val="2"/>
    </font>
    <font>
      <b/>
      <sz val="11"/>
      <color rgb="FF000000"/>
      <name val="Arial"/>
      <family val="2"/>
    </font>
    <font>
      <sz val="11"/>
      <color theme="1"/>
      <name val="Arial"/>
      <family val="2"/>
    </font>
    <font>
      <b/>
      <sz val="11"/>
      <color theme="1"/>
      <name val="Arial"/>
      <family val="2"/>
    </font>
    <font>
      <b/>
      <i/>
      <sz val="11"/>
      <name val="Arial"/>
      <family val="2"/>
    </font>
    <font>
      <b/>
      <sz val="14"/>
      <color theme="1"/>
      <name val="Arial"/>
      <family val="2"/>
    </font>
    <font>
      <sz val="8"/>
      <name val="Arial"/>
      <family val="2"/>
    </font>
    <font>
      <sz val="8"/>
      <color theme="1"/>
      <name val="Arial"/>
      <family val="2"/>
    </font>
  </fonts>
  <fills count="11">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rgb="FF000000"/>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bottom/>
      <diagonal/>
    </border>
    <border>
      <left style="thin">
        <color rgb="FF000000"/>
      </left>
      <right style="thin">
        <color rgb="FF000000"/>
      </right>
      <top/>
      <bottom/>
      <diagonal/>
    </border>
    <border>
      <left style="medium">
        <color indexed="64"/>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indexed="64"/>
      </top>
      <bottom/>
      <diagonal/>
    </border>
    <border>
      <left style="medium">
        <color indexed="64"/>
      </left>
      <right/>
      <top style="medium">
        <color indexed="64"/>
      </top>
      <bottom/>
      <diagonal/>
    </border>
    <border>
      <left style="thin">
        <color rgb="FF000000"/>
      </left>
      <right style="thin">
        <color rgb="FF000000"/>
      </right>
      <top/>
      <bottom style="thin">
        <color indexed="64"/>
      </bottom>
      <diagonal/>
    </border>
    <border>
      <left style="thin">
        <color rgb="FF000000"/>
      </left>
      <right/>
      <top style="thin">
        <color indexed="64"/>
      </top>
      <bottom/>
      <diagonal/>
    </border>
    <border>
      <left style="thin">
        <color rgb="FF000000"/>
      </left>
      <right/>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rgb="FF000000"/>
      </bottom>
      <diagonal/>
    </border>
  </borders>
  <cellStyleXfs count="2">
    <xf numFmtId="0" fontId="0" fillId="0" borderId="0"/>
    <xf numFmtId="0" fontId="1" fillId="0" borderId="0"/>
  </cellStyleXfs>
  <cellXfs count="178">
    <xf numFmtId="0" fontId="0" fillId="0" borderId="0" xfId="0"/>
    <xf numFmtId="0" fontId="5" fillId="0" borderId="1" xfId="0" applyFont="1" applyBorder="1" applyAlignment="1">
      <alignment vertical="center"/>
    </xf>
    <xf numFmtId="0" fontId="5" fillId="0" borderId="1" xfId="0" applyFont="1" applyBorder="1" applyAlignment="1">
      <alignment horizontal="left" vertical="center" wrapText="1"/>
    </xf>
    <xf numFmtId="0" fontId="5" fillId="0" borderId="1" xfId="0" applyFont="1" applyBorder="1" applyAlignment="1">
      <alignment horizontal="justify" vertical="center" wrapText="1"/>
    </xf>
    <xf numFmtId="0" fontId="3" fillId="2" borderId="6" xfId="0" applyFont="1" applyFill="1" applyBorder="1" applyAlignment="1">
      <alignment vertical="center" wrapText="1"/>
    </xf>
    <xf numFmtId="0" fontId="3" fillId="2" borderId="7" xfId="0" applyFont="1" applyFill="1" applyBorder="1" applyAlignment="1">
      <alignment vertical="center" wrapText="1"/>
    </xf>
    <xf numFmtId="0" fontId="3" fillId="2" borderId="29" xfId="0" applyFont="1" applyFill="1" applyBorder="1" applyAlignment="1">
      <alignment vertical="center" wrapText="1"/>
    </xf>
    <xf numFmtId="0" fontId="5" fillId="0" borderId="1" xfId="0" applyFont="1" applyBorder="1" applyAlignment="1">
      <alignment horizontal="center" vertical="center" wrapText="1"/>
    </xf>
    <xf numFmtId="0" fontId="5" fillId="0" borderId="4" xfId="0" applyFont="1" applyBorder="1" applyAlignment="1">
      <alignment vertical="center" wrapText="1"/>
    </xf>
    <xf numFmtId="0" fontId="5" fillId="0" borderId="1" xfId="0" applyFont="1" applyBorder="1" applyAlignment="1">
      <alignment horizontal="center" vertical="center"/>
    </xf>
    <xf numFmtId="0" fontId="5" fillId="2" borderId="1" xfId="0" applyFont="1" applyFill="1" applyBorder="1" applyAlignment="1">
      <alignment vertical="center"/>
    </xf>
    <xf numFmtId="0" fontId="5" fillId="0" borderId="1" xfId="0" applyFont="1" applyBorder="1" applyAlignment="1">
      <alignment vertical="center" wrapText="1"/>
    </xf>
    <xf numFmtId="10" fontId="3" fillId="2" borderId="17" xfId="0" applyNumberFormat="1" applyFont="1" applyFill="1" applyBorder="1" applyAlignment="1">
      <alignment horizontal="left" vertical="center" wrapText="1"/>
    </xf>
    <xf numFmtId="0" fontId="3" fillId="2" borderId="1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5" xfId="0" applyFont="1" applyFill="1" applyBorder="1" applyAlignment="1">
      <alignment vertical="center" wrapText="1"/>
    </xf>
    <xf numFmtId="0" fontId="3" fillId="2" borderId="13" xfId="0" applyFont="1" applyFill="1" applyBorder="1" applyAlignment="1">
      <alignment vertical="center" wrapText="1"/>
    </xf>
    <xf numFmtId="0" fontId="5" fillId="2" borderId="1" xfId="0" applyFont="1" applyFill="1" applyBorder="1" applyAlignment="1">
      <alignment vertical="center" wrapText="1"/>
    </xf>
    <xf numFmtId="0" fontId="5" fillId="2" borderId="4" xfId="0" applyFont="1" applyFill="1" applyBorder="1" applyAlignment="1">
      <alignment vertical="center" wrapText="1"/>
    </xf>
    <xf numFmtId="0" fontId="3" fillId="2" borderId="11" xfId="0" applyFont="1" applyFill="1" applyBorder="1" applyAlignment="1">
      <alignment horizontal="left" vertical="center" wrapText="1"/>
    </xf>
    <xf numFmtId="0" fontId="3" fillId="2" borderId="37" xfId="0" applyFont="1" applyFill="1" applyBorder="1" applyAlignment="1">
      <alignment horizontal="left" vertical="center" wrapText="1"/>
    </xf>
    <xf numFmtId="10" fontId="3" fillId="0" borderId="17" xfId="0" applyNumberFormat="1" applyFont="1" applyBorder="1" applyAlignment="1">
      <alignment horizontal="left" vertical="center" wrapText="1"/>
    </xf>
    <xf numFmtId="0" fontId="5" fillId="0" borderId="0" xfId="0" applyFont="1" applyAlignment="1">
      <alignment vertical="center"/>
    </xf>
    <xf numFmtId="10" fontId="5" fillId="0" borderId="0" xfId="0" applyNumberFormat="1" applyFont="1" applyAlignment="1">
      <alignment vertical="center"/>
    </xf>
    <xf numFmtId="0" fontId="3" fillId="0" borderId="1" xfId="0" applyFont="1" applyBorder="1" applyAlignment="1">
      <alignment vertical="center"/>
    </xf>
    <xf numFmtId="10" fontId="2" fillId="0" borderId="11" xfId="0" applyNumberFormat="1" applyFont="1" applyBorder="1" applyAlignment="1">
      <alignment horizontal="center" vertical="center" wrapText="1"/>
    </xf>
    <xf numFmtId="0" fontId="8" fillId="4" borderId="1" xfId="0" applyFont="1" applyFill="1" applyBorder="1" applyAlignment="1">
      <alignment horizontal="center" vertical="center"/>
    </xf>
    <xf numFmtId="10" fontId="2" fillId="0" borderId="12" xfId="0" applyNumberFormat="1" applyFont="1" applyBorder="1" applyAlignment="1">
      <alignment horizontal="center" vertical="center" wrapText="1"/>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6" xfId="0" applyFont="1" applyBorder="1" applyAlignment="1">
      <alignment horizontal="center" vertical="center" wrapText="1"/>
    </xf>
    <xf numFmtId="0" fontId="10" fillId="0" borderId="0" xfId="0" applyFont="1" applyAlignment="1">
      <alignment vertical="center"/>
    </xf>
    <xf numFmtId="0" fontId="6" fillId="0" borderId="19" xfId="0" applyFont="1" applyBorder="1" applyAlignment="1">
      <alignment horizontal="center" vertical="center" wrapText="1"/>
    </xf>
    <xf numFmtId="0" fontId="6" fillId="0" borderId="18" xfId="0" applyFont="1" applyBorder="1" applyAlignment="1">
      <alignment horizontal="center" vertical="center" wrapText="1"/>
    </xf>
    <xf numFmtId="0" fontId="5" fillId="0" borderId="0" xfId="0" applyFont="1" applyAlignment="1">
      <alignment vertical="center" wrapText="1"/>
    </xf>
    <xf numFmtId="0" fontId="3" fillId="0" borderId="11" xfId="0" applyFont="1" applyBorder="1" applyAlignment="1">
      <alignment horizontal="left" vertical="center" wrapText="1"/>
    </xf>
    <xf numFmtId="10" fontId="5" fillId="3" borderId="1" xfId="0" applyNumberFormat="1" applyFont="1" applyFill="1" applyBorder="1" applyAlignment="1">
      <alignment vertical="center"/>
    </xf>
    <xf numFmtId="10" fontId="2" fillId="0" borderId="1" xfId="0" applyNumberFormat="1" applyFont="1" applyBorder="1" applyAlignment="1">
      <alignment horizontal="center" vertical="center" wrapText="1"/>
    </xf>
    <xf numFmtId="10" fontId="2" fillId="0" borderId="15" xfId="0" applyNumberFormat="1" applyFont="1" applyBorder="1" applyAlignment="1">
      <alignment horizontal="center" vertical="center" wrapText="1"/>
    </xf>
    <xf numFmtId="10" fontId="2" fillId="0" borderId="13" xfId="0" applyNumberFormat="1" applyFont="1" applyBorder="1" applyAlignment="1">
      <alignment horizontal="center" vertical="center" wrapText="1"/>
    </xf>
    <xf numFmtId="10" fontId="2" fillId="2" borderId="12" xfId="0" applyNumberFormat="1" applyFont="1" applyFill="1" applyBorder="1" applyAlignment="1">
      <alignment horizontal="center" vertical="center" wrapText="1"/>
    </xf>
    <xf numFmtId="10" fontId="2" fillId="2" borderId="15" xfId="0" applyNumberFormat="1" applyFont="1" applyFill="1" applyBorder="1" applyAlignment="1">
      <alignment horizontal="center" vertical="center" wrapText="1"/>
    </xf>
    <xf numFmtId="10" fontId="2" fillId="2" borderId="13" xfId="0" applyNumberFormat="1"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13" xfId="0" applyFont="1" applyFill="1" applyBorder="1" applyAlignment="1">
      <alignment horizontal="center" vertical="center" wrapText="1"/>
    </xf>
    <xf numFmtId="10" fontId="2" fillId="0" borderId="12" xfId="0" applyNumberFormat="1" applyFont="1" applyBorder="1" applyAlignment="1">
      <alignment horizontal="center" vertical="center" wrapText="1"/>
    </xf>
    <xf numFmtId="0" fontId="6" fillId="0" borderId="15" xfId="0" applyFont="1" applyBorder="1" applyAlignment="1">
      <alignment horizontal="center" vertical="center" wrapText="1"/>
    </xf>
    <xf numFmtId="0" fontId="6" fillId="0" borderId="13" xfId="0" applyFont="1" applyBorder="1" applyAlignment="1">
      <alignment horizontal="center" vertical="center" wrapText="1"/>
    </xf>
    <xf numFmtId="0" fontId="3" fillId="2" borderId="12"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4" fillId="0" borderId="33" xfId="0" applyFont="1" applyBorder="1" applyAlignment="1">
      <alignment horizontal="center" vertical="center" wrapText="1"/>
    </xf>
    <xf numFmtId="0" fontId="4" fillId="0" borderId="9" xfId="0" applyFont="1" applyBorder="1" applyAlignment="1">
      <alignment horizontal="center" vertical="center" wrapText="1"/>
    </xf>
    <xf numFmtId="0" fontId="2" fillId="3" borderId="1"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5" fillId="0" borderId="4" xfId="0" applyFont="1" applyBorder="1" applyAlignment="1">
      <alignment vertical="center" wrapText="1"/>
    </xf>
    <xf numFmtId="0" fontId="5" fillId="0" borderId="1" xfId="0" applyFont="1" applyBorder="1" applyAlignment="1">
      <alignment horizontal="center" vertical="center" wrapText="1"/>
    </xf>
    <xf numFmtId="0" fontId="2" fillId="0" borderId="1" xfId="1" applyFont="1" applyBorder="1" applyAlignment="1">
      <alignment horizontal="center" vertical="center"/>
    </xf>
    <xf numFmtId="0" fontId="9" fillId="0" borderId="1" xfId="1" applyFont="1" applyBorder="1" applyAlignment="1">
      <alignment horizontal="center" vertical="center"/>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7" xfId="0" applyFont="1" applyBorder="1" applyAlignment="1">
      <alignment horizontal="left" vertical="center" wrapText="1"/>
    </xf>
    <xf numFmtId="0" fontId="5" fillId="0" borderId="0" xfId="0" applyFont="1" applyAlignment="1">
      <alignment horizontal="left" vertical="center" wrapText="1"/>
    </xf>
    <xf numFmtId="0" fontId="4" fillId="0" borderId="8" xfId="0" applyFont="1" applyBorder="1" applyAlignment="1">
      <alignment horizontal="center" vertical="center" wrapText="1"/>
    </xf>
    <xf numFmtId="10" fontId="3" fillId="2" borderId="28" xfId="0" applyNumberFormat="1" applyFont="1" applyFill="1" applyBorder="1" applyAlignment="1">
      <alignment horizontal="left" vertical="center" wrapText="1"/>
    </xf>
    <xf numFmtId="0" fontId="5" fillId="2" borderId="26"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2" fillId="0" borderId="2" xfId="1" applyFont="1" applyBorder="1" applyAlignment="1">
      <alignment horizontal="center"/>
    </xf>
    <xf numFmtId="0" fontId="2" fillId="0" borderId="3" xfId="1" applyFont="1" applyBorder="1" applyAlignment="1">
      <alignment horizontal="center"/>
    </xf>
    <xf numFmtId="0" fontId="5" fillId="0" borderId="3" xfId="0" applyFont="1" applyBorder="1"/>
    <xf numFmtId="0" fontId="5" fillId="0" borderId="4" xfId="0" applyFont="1" applyBorder="1"/>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1" xfId="0" applyFont="1" applyBorder="1" applyAlignment="1">
      <alignment vertical="center"/>
    </xf>
    <xf numFmtId="0" fontId="9" fillId="0" borderId="2" xfId="1" applyFont="1" applyBorder="1" applyAlignment="1">
      <alignment horizontal="center" vertical="center"/>
    </xf>
    <xf numFmtId="0" fontId="9" fillId="0" borderId="3" xfId="1" applyFont="1" applyBorder="1" applyAlignment="1">
      <alignment horizontal="center" vertical="center"/>
    </xf>
    <xf numFmtId="0" fontId="10" fillId="0" borderId="3" xfId="0" applyFont="1" applyBorder="1" applyAlignment="1">
      <alignment vertical="center"/>
    </xf>
    <xf numFmtId="0" fontId="10" fillId="0" borderId="4" xfId="0" applyFont="1" applyBorder="1" applyAlignment="1">
      <alignment vertical="center"/>
    </xf>
    <xf numFmtId="0" fontId="5" fillId="0" borderId="4" xfId="0" applyFont="1" applyBorder="1" applyAlignment="1">
      <alignment horizontal="left" vertical="center" wrapText="1"/>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4" xfId="0" applyFont="1" applyBorder="1" applyAlignment="1">
      <alignment horizontal="justify" vertical="center" wrapText="1"/>
    </xf>
    <xf numFmtId="0" fontId="5" fillId="0" borderId="1" xfId="0" applyFont="1" applyBorder="1" applyAlignment="1">
      <alignment horizontal="justify"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0" fontId="5" fillId="0" borderId="23" xfId="0" applyFont="1" applyBorder="1" applyAlignment="1">
      <alignment horizontal="left" vertical="center"/>
    </xf>
    <xf numFmtId="0" fontId="5" fillId="0" borderId="5" xfId="0" applyFont="1" applyBorder="1" applyAlignment="1">
      <alignment horizontal="left"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wrapText="1"/>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3" fillId="2" borderId="34"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3" fillId="2" borderId="2" xfId="0" applyFont="1" applyFill="1" applyBorder="1" applyAlignment="1">
      <alignment horizontal="center" vertical="center" wrapText="1"/>
    </xf>
    <xf numFmtId="10" fontId="3" fillId="2" borderId="27"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10" fontId="3" fillId="5" borderId="1" xfId="0" applyNumberFormat="1" applyFont="1" applyFill="1" applyBorder="1" applyAlignment="1">
      <alignment horizontal="left" vertical="center" wrapText="1"/>
    </xf>
    <xf numFmtId="10" fontId="2" fillId="5" borderId="1" xfId="0" applyNumberFormat="1" applyFont="1" applyFill="1" applyBorder="1" applyAlignment="1">
      <alignment horizontal="center" vertical="center" wrapText="1"/>
    </xf>
    <xf numFmtId="0" fontId="3" fillId="5" borderId="28"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3" fillId="5" borderId="26" xfId="0" applyFont="1" applyFill="1" applyBorder="1" applyAlignment="1">
      <alignment horizontal="left" vertical="center" wrapText="1"/>
    </xf>
    <xf numFmtId="0" fontId="3" fillId="5" borderId="27" xfId="0" applyFont="1" applyFill="1" applyBorder="1" applyAlignment="1">
      <alignment horizontal="left" vertical="center" wrapText="1"/>
    </xf>
    <xf numFmtId="10" fontId="3" fillId="5" borderId="25" xfId="0" applyNumberFormat="1" applyFont="1" applyFill="1" applyBorder="1" applyAlignment="1">
      <alignment horizontal="left" vertical="center" wrapText="1"/>
    </xf>
    <xf numFmtId="10" fontId="2" fillId="5" borderId="12" xfId="0" applyNumberFormat="1" applyFont="1" applyFill="1" applyBorder="1" applyAlignment="1">
      <alignment horizontal="center" vertical="center" wrapText="1"/>
    </xf>
    <xf numFmtId="0" fontId="5" fillId="5" borderId="12" xfId="0" applyFont="1" applyFill="1" applyBorder="1" applyAlignment="1">
      <alignment vertical="center" wrapText="1"/>
    </xf>
    <xf numFmtId="0" fontId="5" fillId="5" borderId="26" xfId="0" applyFont="1" applyFill="1" applyBorder="1" applyAlignment="1">
      <alignment horizontal="left" vertical="center" wrapText="1"/>
    </xf>
    <xf numFmtId="0" fontId="6" fillId="5" borderId="15" xfId="0" applyFont="1" applyFill="1" applyBorder="1" applyAlignment="1">
      <alignment horizontal="center" vertical="center" wrapText="1"/>
    </xf>
    <xf numFmtId="0" fontId="5" fillId="5" borderId="15" xfId="0" applyFont="1" applyFill="1" applyBorder="1" applyAlignment="1">
      <alignment vertical="center" wrapText="1"/>
    </xf>
    <xf numFmtId="0" fontId="5" fillId="5" borderId="27" xfId="0" applyFont="1" applyFill="1" applyBorder="1" applyAlignment="1">
      <alignment horizontal="left" vertical="center" wrapText="1"/>
    </xf>
    <xf numFmtId="0" fontId="6" fillId="5" borderId="13" xfId="0" applyFont="1" applyFill="1" applyBorder="1" applyAlignment="1">
      <alignment horizontal="center" vertical="center" wrapText="1"/>
    </xf>
    <xf numFmtId="0" fontId="5" fillId="5" borderId="13" xfId="0" applyFont="1" applyFill="1" applyBorder="1" applyAlignment="1">
      <alignment vertical="center" wrapText="1"/>
    </xf>
    <xf numFmtId="10" fontId="3" fillId="5" borderId="28" xfId="0" applyNumberFormat="1" applyFont="1" applyFill="1" applyBorder="1" applyAlignment="1">
      <alignment horizontal="left" vertical="center" wrapText="1"/>
    </xf>
    <xf numFmtId="0" fontId="3" fillId="5" borderId="12" xfId="0" applyFont="1" applyFill="1" applyBorder="1" applyAlignment="1">
      <alignment horizontal="left" vertical="center" wrapText="1"/>
    </xf>
    <xf numFmtId="10" fontId="2" fillId="5" borderId="15" xfId="0" applyNumberFormat="1" applyFont="1" applyFill="1" applyBorder="1" applyAlignment="1">
      <alignment horizontal="center" vertical="center" wrapText="1"/>
    </xf>
    <xf numFmtId="0" fontId="3" fillId="5" borderId="15" xfId="0" applyFont="1" applyFill="1" applyBorder="1" applyAlignment="1">
      <alignment horizontal="left" vertical="center" wrapText="1"/>
    </xf>
    <xf numFmtId="10" fontId="2" fillId="5" borderId="13" xfId="0" applyNumberFormat="1" applyFont="1" applyFill="1" applyBorder="1" applyAlignment="1">
      <alignment horizontal="center" vertical="center" wrapText="1"/>
    </xf>
    <xf numFmtId="0" fontId="3" fillId="5" borderId="13" xfId="0" applyFont="1" applyFill="1" applyBorder="1" applyAlignment="1">
      <alignment horizontal="left" vertical="center" wrapText="1"/>
    </xf>
    <xf numFmtId="10" fontId="3" fillId="5" borderId="28" xfId="0" applyNumberFormat="1" applyFont="1" applyFill="1" applyBorder="1" applyAlignment="1">
      <alignment vertical="center" wrapText="1"/>
    </xf>
    <xf numFmtId="0" fontId="5" fillId="5" borderId="26" xfId="0" applyFont="1" applyFill="1" applyBorder="1" applyAlignment="1">
      <alignment vertical="center" wrapText="1"/>
    </xf>
    <xf numFmtId="0" fontId="5" fillId="5" borderId="27" xfId="0" applyFont="1" applyFill="1" applyBorder="1" applyAlignment="1">
      <alignment vertical="center" wrapText="1"/>
    </xf>
    <xf numFmtId="10" fontId="3" fillId="5" borderId="17" xfId="0" applyNumberFormat="1" applyFont="1" applyFill="1" applyBorder="1" applyAlignment="1">
      <alignment horizontal="left" vertical="center" wrapText="1"/>
    </xf>
    <xf numFmtId="10" fontId="2" fillId="5" borderId="11" xfId="0" applyNumberFormat="1" applyFont="1" applyFill="1" applyBorder="1" applyAlignment="1">
      <alignment horizontal="center" vertical="center" wrapText="1"/>
    </xf>
    <xf numFmtId="0" fontId="3" fillId="5" borderId="14" xfId="0" applyFont="1" applyFill="1" applyBorder="1" applyAlignment="1">
      <alignment horizontal="left" vertical="center" wrapText="1"/>
    </xf>
    <xf numFmtId="0" fontId="2" fillId="0" borderId="15" xfId="0" applyFont="1" applyBorder="1" applyAlignment="1">
      <alignment horizontal="center" vertical="center" wrapText="1"/>
    </xf>
    <xf numFmtId="0" fontId="2" fillId="0" borderId="13" xfId="0" applyFont="1" applyBorder="1" applyAlignment="1">
      <alignment horizontal="center" vertical="center" wrapText="1"/>
    </xf>
    <xf numFmtId="10" fontId="2" fillId="6" borderId="12" xfId="0" applyNumberFormat="1" applyFont="1" applyFill="1" applyBorder="1" applyAlignment="1">
      <alignment horizontal="center" vertical="center" wrapText="1"/>
    </xf>
    <xf numFmtId="0" fontId="6" fillId="6" borderId="15" xfId="0" applyFont="1" applyFill="1" applyBorder="1" applyAlignment="1">
      <alignment horizontal="center" vertical="center" wrapText="1"/>
    </xf>
    <xf numFmtId="0" fontId="6" fillId="6" borderId="13" xfId="0" applyFont="1" applyFill="1" applyBorder="1" applyAlignment="1">
      <alignment horizontal="center" vertical="center" wrapText="1"/>
    </xf>
    <xf numFmtId="10" fontId="2" fillId="6" borderId="15" xfId="0" applyNumberFormat="1" applyFont="1" applyFill="1" applyBorder="1" applyAlignment="1">
      <alignment horizontal="center" vertical="center" wrapText="1"/>
    </xf>
    <xf numFmtId="10" fontId="2" fillId="6" borderId="13" xfId="0" applyNumberFormat="1" applyFont="1" applyFill="1" applyBorder="1" applyAlignment="1">
      <alignment horizontal="center" vertical="center" wrapText="1"/>
    </xf>
    <xf numFmtId="10" fontId="2" fillId="6" borderId="11" xfId="0" applyNumberFormat="1" applyFont="1" applyFill="1" applyBorder="1" applyAlignment="1">
      <alignment horizontal="center" vertical="center" wrapText="1"/>
    </xf>
    <xf numFmtId="0" fontId="2" fillId="6" borderId="15" xfId="0" applyFont="1" applyFill="1" applyBorder="1" applyAlignment="1">
      <alignment horizontal="center" vertical="center" wrapText="1"/>
    </xf>
    <xf numFmtId="0" fontId="2" fillId="6" borderId="13" xfId="0" applyFont="1" applyFill="1" applyBorder="1" applyAlignment="1">
      <alignment horizontal="center" vertical="center" wrapText="1"/>
    </xf>
    <xf numFmtId="10" fontId="2" fillId="6" borderId="6" xfId="0" applyNumberFormat="1" applyFont="1" applyFill="1" applyBorder="1" applyAlignment="1">
      <alignment horizontal="center" vertical="center" wrapText="1"/>
    </xf>
    <xf numFmtId="10" fontId="2" fillId="6" borderId="29" xfId="0" applyNumberFormat="1" applyFont="1" applyFill="1" applyBorder="1" applyAlignment="1">
      <alignment horizontal="center" vertical="center" wrapText="1"/>
    </xf>
    <xf numFmtId="0" fontId="5" fillId="5" borderId="13" xfId="0" applyFont="1" applyFill="1" applyBorder="1" applyAlignment="1">
      <alignment horizontal="left" vertical="center" wrapText="1"/>
    </xf>
    <xf numFmtId="0" fontId="3" fillId="5" borderId="32" xfId="0" applyFont="1" applyFill="1" applyBorder="1" applyAlignment="1">
      <alignment horizontal="center" vertical="center" wrapText="1"/>
    </xf>
    <xf numFmtId="10" fontId="3" fillId="5" borderId="27" xfId="0" applyNumberFormat="1" applyFont="1" applyFill="1" applyBorder="1" applyAlignment="1">
      <alignment horizontal="left" vertical="center" wrapText="1"/>
    </xf>
    <xf numFmtId="0" fontId="3" fillId="5" borderId="13" xfId="0" applyFont="1" applyFill="1" applyBorder="1" applyAlignment="1">
      <alignment horizontal="center" vertical="center" wrapText="1"/>
    </xf>
    <xf numFmtId="0" fontId="3" fillId="5" borderId="11" xfId="0" applyFont="1" applyFill="1" applyBorder="1" applyAlignment="1">
      <alignment horizontal="left" vertical="center" wrapText="1"/>
    </xf>
    <xf numFmtId="10" fontId="2" fillId="7" borderId="11" xfId="0" applyNumberFormat="1" applyFont="1" applyFill="1" applyBorder="1" applyAlignment="1">
      <alignment horizontal="center" vertical="center" wrapText="1"/>
    </xf>
    <xf numFmtId="10" fontId="2" fillId="7" borderId="12" xfId="0" applyNumberFormat="1" applyFont="1" applyFill="1" applyBorder="1" applyAlignment="1">
      <alignment horizontal="center" vertical="center" wrapText="1"/>
    </xf>
    <xf numFmtId="10" fontId="2" fillId="7" borderId="13" xfId="0" applyNumberFormat="1" applyFont="1" applyFill="1" applyBorder="1" applyAlignment="1">
      <alignment horizontal="center" vertical="center" wrapText="1"/>
    </xf>
    <xf numFmtId="10" fontId="2" fillId="7" borderId="30" xfId="0" applyNumberFormat="1" applyFont="1" applyFill="1" applyBorder="1" applyAlignment="1">
      <alignment horizontal="center" vertical="center" wrapText="1"/>
    </xf>
    <xf numFmtId="10" fontId="2" fillId="7" borderId="31" xfId="0" applyNumberFormat="1" applyFont="1" applyFill="1" applyBorder="1" applyAlignment="1">
      <alignment horizontal="center" vertical="center" wrapText="1"/>
    </xf>
    <xf numFmtId="10" fontId="2" fillId="7" borderId="15" xfId="0" applyNumberFormat="1" applyFont="1" applyFill="1" applyBorder="1" applyAlignment="1">
      <alignment horizontal="center" vertical="center" wrapText="1"/>
    </xf>
    <xf numFmtId="0" fontId="6" fillId="7" borderId="15" xfId="0" applyFont="1" applyFill="1" applyBorder="1" applyAlignment="1">
      <alignment horizontal="center" vertical="center" wrapText="1"/>
    </xf>
    <xf numFmtId="0" fontId="6" fillId="7" borderId="13" xfId="0" applyFont="1" applyFill="1" applyBorder="1" applyAlignment="1">
      <alignment horizontal="center" vertical="center" wrapText="1"/>
    </xf>
    <xf numFmtId="10" fontId="2" fillId="7"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0" fontId="6" fillId="3" borderId="38" xfId="0" applyFont="1" applyFill="1" applyBorder="1" applyAlignment="1">
      <alignment horizontal="center" vertical="center"/>
    </xf>
    <xf numFmtId="0" fontId="6" fillId="3" borderId="39" xfId="0" applyFont="1" applyFill="1" applyBorder="1" applyAlignment="1">
      <alignment horizontal="center" vertical="center"/>
    </xf>
    <xf numFmtId="10" fontId="2" fillId="8" borderId="13" xfId="0" applyNumberFormat="1" applyFont="1" applyFill="1" applyBorder="1" applyAlignment="1">
      <alignment horizontal="center" vertical="center" wrapText="1"/>
    </xf>
    <xf numFmtId="10" fontId="2" fillId="8" borderId="15" xfId="0" applyNumberFormat="1" applyFont="1" applyFill="1" applyBorder="1" applyAlignment="1">
      <alignment horizontal="center" vertical="center" wrapText="1"/>
    </xf>
    <xf numFmtId="0" fontId="2" fillId="8" borderId="13" xfId="0" applyFont="1" applyFill="1" applyBorder="1" applyAlignment="1">
      <alignment horizontal="center" vertical="center" wrapText="1"/>
    </xf>
    <xf numFmtId="10" fontId="2" fillId="9" borderId="13" xfId="0" applyNumberFormat="1" applyFont="1" applyFill="1" applyBorder="1" applyAlignment="1">
      <alignment horizontal="center" vertical="center" wrapText="1"/>
    </xf>
    <xf numFmtId="0" fontId="2" fillId="9" borderId="13" xfId="0" applyFont="1" applyFill="1" applyBorder="1" applyAlignment="1">
      <alignment horizontal="center" vertical="center" wrapText="1"/>
    </xf>
    <xf numFmtId="10" fontId="2" fillId="10" borderId="13" xfId="0" applyNumberFormat="1" applyFont="1" applyFill="1" applyBorder="1" applyAlignment="1">
      <alignment horizontal="center" vertical="center" wrapText="1"/>
    </xf>
    <xf numFmtId="0" fontId="2" fillId="10" borderId="13" xfId="0" applyFont="1" applyFill="1" applyBorder="1" applyAlignment="1">
      <alignment horizontal="center" vertical="center" wrapText="1"/>
    </xf>
  </cellXfs>
  <cellStyles count="2">
    <cellStyle name="Normal" xfId="0" builtinId="0"/>
    <cellStyle name="Normal 2" xfId="1" xr:uid="{89B20D33-0E0A-41AA-9985-15AFBF5136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82455</xdr:rowOff>
    </xdr:from>
    <xdr:to>
      <xdr:col>0</xdr:col>
      <xdr:colOff>1802946</xdr:colOff>
      <xdr:row>3</xdr:row>
      <xdr:rowOff>142875</xdr:rowOff>
    </xdr:to>
    <xdr:pic>
      <xdr:nvPicPr>
        <xdr:cNvPr id="2" name="Imagen 1">
          <a:extLst>
            <a:ext uri="{FF2B5EF4-FFF2-40B4-BE49-F238E27FC236}">
              <a16:creationId xmlns:a16="http://schemas.microsoft.com/office/drawing/2014/main" id="{1C93B295-4E0F-473B-ACD2-1E228645010D}"/>
            </a:ext>
          </a:extLst>
        </xdr:cNvPr>
        <xdr:cNvPicPr>
          <a:picLocks noChangeAspect="1"/>
        </xdr:cNvPicPr>
      </xdr:nvPicPr>
      <xdr:blipFill>
        <a:blip xmlns:r="http://schemas.openxmlformats.org/officeDocument/2006/relationships" r:embed="rId1"/>
        <a:stretch>
          <a:fillRect/>
        </a:stretch>
      </xdr:blipFill>
      <xdr:spPr>
        <a:xfrm>
          <a:off x="28575" y="82455"/>
          <a:ext cx="1774371" cy="77479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37E8-84CF-47AB-9F75-EC100EEBC604}">
  <dimension ref="A1:P46"/>
  <sheetViews>
    <sheetView tabSelected="1" topLeftCell="C1" zoomScale="53" zoomScaleNormal="53" workbookViewId="0">
      <selection activeCell="N11" sqref="N11:N14"/>
    </sheetView>
  </sheetViews>
  <sheetFormatPr baseColWidth="10" defaultColWidth="23.140625" defaultRowHeight="48.95" customHeight="1" x14ac:dyDescent="0.25"/>
  <cols>
    <col min="1" max="1" width="27.42578125" style="22" customWidth="1"/>
    <col min="2" max="2" width="16" style="34" customWidth="1"/>
    <col min="3" max="3" width="23.140625" style="22"/>
    <col min="4" max="4" width="26.5703125" style="22" customWidth="1"/>
    <col min="5" max="5" width="20.28515625" style="22" customWidth="1"/>
    <col min="6" max="6" width="14.85546875" style="22" customWidth="1"/>
    <col min="7" max="7" width="61.85546875" style="23" customWidth="1"/>
    <col min="8" max="8" width="20" style="23" customWidth="1"/>
    <col min="9" max="9" width="31.140625" style="22" customWidth="1"/>
    <col min="10" max="10" width="15.28515625" style="22" customWidth="1"/>
    <col min="11" max="16384" width="23.140625" style="22"/>
  </cols>
  <sheetData>
    <row r="1" spans="1:16" ht="18.75" customHeight="1" x14ac:dyDescent="0.25">
      <c r="A1" s="65"/>
      <c r="B1" s="80" t="s">
        <v>0</v>
      </c>
      <c r="C1" s="81"/>
      <c r="D1" s="81"/>
      <c r="E1" s="81"/>
      <c r="F1" s="81"/>
      <c r="G1" s="81"/>
      <c r="H1" s="81"/>
      <c r="I1" s="81"/>
      <c r="J1" s="81"/>
      <c r="K1" s="81"/>
      <c r="L1" s="81"/>
      <c r="M1" s="81"/>
      <c r="N1" s="82"/>
      <c r="O1" s="83"/>
    </row>
    <row r="2" spans="1:16" ht="18.75" customHeight="1" x14ac:dyDescent="0.25">
      <c r="A2" s="65"/>
      <c r="B2" s="76" t="s">
        <v>1</v>
      </c>
      <c r="C2" s="77"/>
      <c r="D2" s="77"/>
      <c r="E2" s="77"/>
      <c r="F2" s="77"/>
      <c r="G2" s="77"/>
      <c r="H2" s="77"/>
      <c r="I2" s="77"/>
      <c r="J2" s="77"/>
      <c r="K2" s="77"/>
      <c r="L2" s="77"/>
      <c r="M2" s="77"/>
      <c r="N2" s="78"/>
      <c r="O2" s="79"/>
    </row>
    <row r="3" spans="1:16" ht="18.75" customHeight="1" x14ac:dyDescent="0.25">
      <c r="A3" s="65"/>
      <c r="B3" s="65" t="s">
        <v>2</v>
      </c>
      <c r="C3" s="65"/>
      <c r="D3" s="65"/>
      <c r="E3" s="65"/>
      <c r="F3" s="65"/>
      <c r="G3" s="65"/>
      <c r="H3" s="65"/>
      <c r="I3" s="65"/>
      <c r="J3" s="65"/>
      <c r="K3" s="65"/>
      <c r="L3" s="65"/>
      <c r="M3" s="65"/>
      <c r="N3" s="84"/>
      <c r="O3" s="84"/>
    </row>
    <row r="4" spans="1:16" s="31" customFormat="1" ht="21.75" customHeight="1" x14ac:dyDescent="0.25">
      <c r="A4" s="65"/>
      <c r="B4" s="66" t="s">
        <v>3</v>
      </c>
      <c r="C4" s="66"/>
      <c r="D4" s="66"/>
      <c r="E4" s="66"/>
      <c r="F4" s="66" t="s">
        <v>141</v>
      </c>
      <c r="G4" s="66"/>
      <c r="H4" s="66"/>
      <c r="I4" s="85" t="s">
        <v>4</v>
      </c>
      <c r="J4" s="86"/>
      <c r="K4" s="86"/>
      <c r="L4" s="86"/>
      <c r="M4" s="86"/>
      <c r="N4" s="87"/>
      <c r="O4" s="88"/>
    </row>
    <row r="5" spans="1:16" ht="19.5" customHeight="1" thickBot="1" x14ac:dyDescent="0.3">
      <c r="A5" s="70"/>
      <c r="B5" s="71"/>
      <c r="C5" s="71"/>
      <c r="D5" s="71"/>
      <c r="E5" s="71"/>
      <c r="F5" s="71"/>
      <c r="G5" s="71"/>
      <c r="H5" s="71"/>
      <c r="I5" s="71"/>
    </row>
    <row r="6" spans="1:16" ht="18.75" customHeight="1" x14ac:dyDescent="0.25">
      <c r="A6" s="72" t="s">
        <v>5</v>
      </c>
      <c r="B6" s="72" t="s">
        <v>6</v>
      </c>
      <c r="C6" s="72" t="s">
        <v>7</v>
      </c>
      <c r="D6" s="72" t="s">
        <v>8</v>
      </c>
      <c r="E6" s="72" t="s">
        <v>9</v>
      </c>
      <c r="F6" s="57" t="s">
        <v>10</v>
      </c>
      <c r="G6" s="36"/>
      <c r="H6" s="59" t="s">
        <v>11</v>
      </c>
      <c r="I6" s="59"/>
      <c r="J6" s="24"/>
      <c r="K6" s="59" t="s">
        <v>12</v>
      </c>
      <c r="L6" s="59"/>
      <c r="M6" s="24"/>
      <c r="N6" s="59" t="s">
        <v>13</v>
      </c>
      <c r="O6" s="59"/>
      <c r="P6" s="169" t="s">
        <v>117</v>
      </c>
    </row>
    <row r="7" spans="1:16" ht="48.95" customHeight="1" thickBot="1" x14ac:dyDescent="0.3">
      <c r="A7" s="58"/>
      <c r="B7" s="58"/>
      <c r="C7" s="58"/>
      <c r="D7" s="58"/>
      <c r="E7" s="58"/>
      <c r="F7" s="58"/>
      <c r="G7" s="171" t="s">
        <v>14</v>
      </c>
      <c r="H7" s="172" t="s">
        <v>15</v>
      </c>
      <c r="I7" s="173" t="s">
        <v>16</v>
      </c>
      <c r="J7" s="174" t="s">
        <v>14</v>
      </c>
      <c r="K7" s="174" t="s">
        <v>15</v>
      </c>
      <c r="L7" s="175" t="s">
        <v>16</v>
      </c>
      <c r="M7" s="176" t="s">
        <v>14</v>
      </c>
      <c r="N7" s="176" t="s">
        <v>15</v>
      </c>
      <c r="O7" s="177" t="s">
        <v>16</v>
      </c>
      <c r="P7" s="170"/>
    </row>
    <row r="8" spans="1:16" ht="48.95" customHeight="1" x14ac:dyDescent="0.25">
      <c r="A8" s="67" t="s">
        <v>17</v>
      </c>
      <c r="B8" s="93" t="s">
        <v>18</v>
      </c>
      <c r="C8" s="89" t="s">
        <v>19</v>
      </c>
      <c r="D8" s="98" t="s">
        <v>96</v>
      </c>
      <c r="E8" s="3" t="s">
        <v>20</v>
      </c>
      <c r="F8" s="90" t="s">
        <v>21</v>
      </c>
      <c r="G8" s="114" t="s">
        <v>119</v>
      </c>
      <c r="H8" s="115">
        <v>0.33</v>
      </c>
      <c r="I8" s="116" t="s">
        <v>120</v>
      </c>
      <c r="J8" s="167">
        <v>0.33</v>
      </c>
      <c r="K8" s="45"/>
      <c r="L8" s="54"/>
      <c r="M8" s="144">
        <v>0.33</v>
      </c>
      <c r="N8" s="45"/>
      <c r="O8" s="4"/>
      <c r="P8" s="40">
        <v>0.33</v>
      </c>
    </row>
    <row r="9" spans="1:16" ht="48.95" customHeight="1" x14ac:dyDescent="0.25">
      <c r="A9" s="68"/>
      <c r="B9" s="94"/>
      <c r="C9" s="89"/>
      <c r="D9" s="98"/>
      <c r="E9" s="3" t="s">
        <v>22</v>
      </c>
      <c r="F9" s="91"/>
      <c r="G9" s="117"/>
      <c r="H9" s="118"/>
      <c r="I9" s="119"/>
      <c r="J9" s="168"/>
      <c r="K9" s="46"/>
      <c r="L9" s="55"/>
      <c r="M9" s="150"/>
      <c r="N9" s="142"/>
      <c r="O9" s="5"/>
      <c r="P9" s="41"/>
    </row>
    <row r="10" spans="1:16" ht="78" customHeight="1" x14ac:dyDescent="0.25">
      <c r="A10" s="68"/>
      <c r="B10" s="94"/>
      <c r="C10" s="89"/>
      <c r="D10" s="98"/>
      <c r="E10" s="3" t="s">
        <v>23</v>
      </c>
      <c r="F10" s="92"/>
      <c r="G10" s="117"/>
      <c r="H10" s="118"/>
      <c r="I10" s="120"/>
      <c r="J10" s="168"/>
      <c r="K10" s="47"/>
      <c r="L10" s="56"/>
      <c r="M10" s="151"/>
      <c r="N10" s="143"/>
      <c r="O10" s="6"/>
      <c r="P10" s="42"/>
    </row>
    <row r="11" spans="1:16" ht="48.95" customHeight="1" x14ac:dyDescent="0.25">
      <c r="A11" s="68"/>
      <c r="B11" s="94"/>
      <c r="C11" s="96" t="s">
        <v>97</v>
      </c>
      <c r="D11" s="97" t="s">
        <v>98</v>
      </c>
      <c r="E11" s="3" t="s">
        <v>20</v>
      </c>
      <c r="F11" s="64" t="s">
        <v>21</v>
      </c>
      <c r="G11" s="121" t="s">
        <v>114</v>
      </c>
      <c r="H11" s="122">
        <v>0.33</v>
      </c>
      <c r="I11" s="123" t="s">
        <v>118</v>
      </c>
      <c r="J11" s="160">
        <v>0.33</v>
      </c>
      <c r="K11" s="45"/>
      <c r="L11" s="48"/>
      <c r="M11" s="144">
        <v>0.33</v>
      </c>
      <c r="N11" s="45"/>
      <c r="O11" s="51"/>
      <c r="P11" s="40">
        <v>0.33</v>
      </c>
    </row>
    <row r="12" spans="1:16" ht="48.95" customHeight="1" x14ac:dyDescent="0.25">
      <c r="A12" s="68"/>
      <c r="B12" s="94"/>
      <c r="C12" s="96"/>
      <c r="D12" s="97"/>
      <c r="E12" s="3" t="s">
        <v>22</v>
      </c>
      <c r="F12" s="64"/>
      <c r="G12" s="124"/>
      <c r="H12" s="125"/>
      <c r="I12" s="126"/>
      <c r="J12" s="165"/>
      <c r="K12" s="46"/>
      <c r="L12" s="49"/>
      <c r="M12" s="145"/>
      <c r="N12" s="46"/>
      <c r="O12" s="52"/>
      <c r="P12" s="43"/>
    </row>
    <row r="13" spans="1:16" ht="48.95" customHeight="1" x14ac:dyDescent="0.25">
      <c r="A13" s="68"/>
      <c r="B13" s="94"/>
      <c r="C13" s="96"/>
      <c r="D13" s="97"/>
      <c r="E13" s="3" t="s">
        <v>23</v>
      </c>
      <c r="F13" s="64"/>
      <c r="G13" s="124"/>
      <c r="H13" s="125"/>
      <c r="I13" s="126"/>
      <c r="J13" s="165"/>
      <c r="K13" s="46"/>
      <c r="L13" s="49"/>
      <c r="M13" s="145"/>
      <c r="N13" s="46"/>
      <c r="O13" s="52"/>
      <c r="P13" s="43"/>
    </row>
    <row r="14" spans="1:16" ht="64.5" customHeight="1" thickBot="1" x14ac:dyDescent="0.3">
      <c r="A14" s="68"/>
      <c r="B14" s="95"/>
      <c r="C14" s="96"/>
      <c r="D14" s="97"/>
      <c r="E14" s="3" t="s">
        <v>24</v>
      </c>
      <c r="F14" s="64"/>
      <c r="G14" s="127"/>
      <c r="H14" s="128"/>
      <c r="I14" s="129"/>
      <c r="J14" s="166"/>
      <c r="K14" s="47"/>
      <c r="L14" s="50"/>
      <c r="M14" s="146"/>
      <c r="N14" s="47"/>
      <c r="O14" s="53"/>
      <c r="P14" s="44"/>
    </row>
    <row r="15" spans="1:16" ht="48.95" customHeight="1" x14ac:dyDescent="0.25">
      <c r="A15" s="68"/>
      <c r="B15" s="60" t="s">
        <v>26</v>
      </c>
      <c r="C15" s="63" t="s">
        <v>99</v>
      </c>
      <c r="D15" s="64" t="s">
        <v>115</v>
      </c>
      <c r="E15" s="100" t="s">
        <v>20</v>
      </c>
      <c r="F15" s="99" t="s">
        <v>21</v>
      </c>
      <c r="G15" s="130" t="s">
        <v>121</v>
      </c>
      <c r="H15" s="122">
        <v>0.33</v>
      </c>
      <c r="I15" s="131" t="s">
        <v>135</v>
      </c>
      <c r="J15" s="160">
        <v>0.33</v>
      </c>
      <c r="K15" s="45"/>
      <c r="L15" s="48"/>
      <c r="M15" s="144">
        <v>0.33</v>
      </c>
      <c r="N15" s="45"/>
      <c r="O15" s="51"/>
      <c r="P15" s="40">
        <v>0.33</v>
      </c>
    </row>
    <row r="16" spans="1:16" ht="48.95" customHeight="1" x14ac:dyDescent="0.25">
      <c r="A16" s="68"/>
      <c r="B16" s="61"/>
      <c r="C16" s="63"/>
      <c r="D16" s="64"/>
      <c r="E16" s="101"/>
      <c r="F16" s="99"/>
      <c r="G16" s="124"/>
      <c r="H16" s="132"/>
      <c r="I16" s="133"/>
      <c r="J16" s="165"/>
      <c r="K16" s="46"/>
      <c r="L16" s="49"/>
      <c r="M16" s="145"/>
      <c r="N16" s="46"/>
      <c r="O16" s="52"/>
      <c r="P16" s="43"/>
    </row>
    <row r="17" spans="1:16" ht="48.95" customHeight="1" x14ac:dyDescent="0.25">
      <c r="A17" s="68"/>
      <c r="B17" s="61"/>
      <c r="C17" s="63"/>
      <c r="D17" s="64"/>
      <c r="E17" s="1" t="s">
        <v>22</v>
      </c>
      <c r="F17" s="99"/>
      <c r="G17" s="124"/>
      <c r="H17" s="132"/>
      <c r="I17" s="133"/>
      <c r="J17" s="165"/>
      <c r="K17" s="46"/>
      <c r="L17" s="49"/>
      <c r="M17" s="145"/>
      <c r="N17" s="46"/>
      <c r="O17" s="52"/>
      <c r="P17" s="43"/>
    </row>
    <row r="18" spans="1:16" ht="409.6" customHeight="1" x14ac:dyDescent="0.25">
      <c r="A18" s="68"/>
      <c r="B18" s="61"/>
      <c r="C18" s="63"/>
      <c r="D18" s="64"/>
      <c r="E18" s="1" t="s">
        <v>25</v>
      </c>
      <c r="F18" s="99"/>
      <c r="G18" s="127"/>
      <c r="H18" s="134"/>
      <c r="I18" s="135"/>
      <c r="J18" s="166"/>
      <c r="K18" s="47"/>
      <c r="L18" s="50"/>
      <c r="M18" s="146"/>
      <c r="N18" s="47"/>
      <c r="O18" s="53"/>
      <c r="P18" s="44"/>
    </row>
    <row r="19" spans="1:16" ht="48.95" customHeight="1" x14ac:dyDescent="0.25">
      <c r="A19" s="68"/>
      <c r="B19" s="61"/>
      <c r="C19" s="89" t="s">
        <v>28</v>
      </c>
      <c r="D19" s="102" t="s">
        <v>27</v>
      </c>
      <c r="E19" s="10" t="s">
        <v>20</v>
      </c>
      <c r="F19" s="103" t="s">
        <v>21</v>
      </c>
      <c r="G19" s="136" t="s">
        <v>134</v>
      </c>
      <c r="H19" s="122">
        <v>0.33</v>
      </c>
      <c r="I19" s="131" t="s">
        <v>123</v>
      </c>
      <c r="J19" s="160">
        <v>0.33</v>
      </c>
      <c r="K19" s="45"/>
      <c r="L19" s="48"/>
      <c r="M19" s="144">
        <v>0.33</v>
      </c>
      <c r="N19" s="45"/>
      <c r="O19" s="51"/>
      <c r="P19" s="45">
        <v>0.33</v>
      </c>
    </row>
    <row r="20" spans="1:16" ht="48.95" customHeight="1" x14ac:dyDescent="0.25">
      <c r="A20" s="68"/>
      <c r="B20" s="61"/>
      <c r="C20" s="89"/>
      <c r="D20" s="102"/>
      <c r="E20" s="10" t="s">
        <v>22</v>
      </c>
      <c r="F20" s="103"/>
      <c r="G20" s="137"/>
      <c r="H20" s="125"/>
      <c r="I20" s="133"/>
      <c r="J20" s="164"/>
      <c r="K20" s="38"/>
      <c r="L20" s="49"/>
      <c r="M20" s="147"/>
      <c r="N20" s="38"/>
      <c r="O20" s="52"/>
      <c r="P20" s="38"/>
    </row>
    <row r="21" spans="1:16" ht="161.1" customHeight="1" thickBot="1" x14ac:dyDescent="0.3">
      <c r="A21" s="68"/>
      <c r="B21" s="62"/>
      <c r="C21" s="89"/>
      <c r="D21" s="102"/>
      <c r="E21" s="10" t="s">
        <v>25</v>
      </c>
      <c r="F21" s="103"/>
      <c r="G21" s="138"/>
      <c r="H21" s="128"/>
      <c r="I21" s="135"/>
      <c r="J21" s="161"/>
      <c r="K21" s="39"/>
      <c r="L21" s="50"/>
      <c r="M21" s="148"/>
      <c r="N21" s="39"/>
      <c r="O21" s="53"/>
      <c r="P21" s="39"/>
    </row>
    <row r="22" spans="1:16" ht="48.95" customHeight="1" x14ac:dyDescent="0.25">
      <c r="A22" s="68"/>
      <c r="B22" s="60" t="s">
        <v>32</v>
      </c>
      <c r="C22" s="63" t="s">
        <v>29</v>
      </c>
      <c r="D22" s="64" t="s">
        <v>30</v>
      </c>
      <c r="E22" s="1" t="s">
        <v>20</v>
      </c>
      <c r="F22" s="99" t="s">
        <v>31</v>
      </c>
      <c r="G22" s="73" t="s">
        <v>94</v>
      </c>
      <c r="H22" s="45">
        <v>0</v>
      </c>
      <c r="I22" s="73" t="s">
        <v>94</v>
      </c>
      <c r="J22" s="160">
        <v>0</v>
      </c>
      <c r="K22" s="45"/>
      <c r="L22" s="48"/>
      <c r="M22" s="144">
        <v>0.5</v>
      </c>
      <c r="N22" s="45"/>
      <c r="O22" s="51"/>
      <c r="P22" s="45" t="s">
        <v>137</v>
      </c>
    </row>
    <row r="23" spans="1:16" ht="48.95" customHeight="1" x14ac:dyDescent="0.25">
      <c r="A23" s="68"/>
      <c r="B23" s="61"/>
      <c r="C23" s="63"/>
      <c r="D23" s="64"/>
      <c r="E23" s="1" t="s">
        <v>22</v>
      </c>
      <c r="F23" s="99"/>
      <c r="G23" s="74"/>
      <c r="H23" s="46"/>
      <c r="I23" s="74"/>
      <c r="J23" s="165"/>
      <c r="K23" s="38"/>
      <c r="L23" s="49"/>
      <c r="M23" s="147"/>
      <c r="N23" s="38"/>
      <c r="O23" s="52"/>
      <c r="P23" s="46"/>
    </row>
    <row r="24" spans="1:16" ht="48.95" customHeight="1" thickBot="1" x14ac:dyDescent="0.3">
      <c r="A24" s="69"/>
      <c r="B24" s="62"/>
      <c r="C24" s="63"/>
      <c r="D24" s="64"/>
      <c r="E24" s="1" t="s">
        <v>25</v>
      </c>
      <c r="F24" s="99"/>
      <c r="G24" s="75"/>
      <c r="H24" s="47"/>
      <c r="I24" s="75"/>
      <c r="J24" s="166"/>
      <c r="K24" s="39"/>
      <c r="L24" s="50"/>
      <c r="M24" s="148"/>
      <c r="N24" s="39"/>
      <c r="O24" s="52"/>
      <c r="P24" s="47"/>
    </row>
    <row r="25" spans="1:16" ht="351" customHeight="1" thickBot="1" x14ac:dyDescent="0.3">
      <c r="A25" s="60" t="s">
        <v>45</v>
      </c>
      <c r="B25" s="32" t="s">
        <v>35</v>
      </c>
      <c r="C25" s="11" t="s">
        <v>34</v>
      </c>
      <c r="D25" s="11" t="s">
        <v>33</v>
      </c>
      <c r="E25" s="11" t="s">
        <v>51</v>
      </c>
      <c r="F25" s="9" t="s">
        <v>21</v>
      </c>
      <c r="G25" s="139" t="s">
        <v>122</v>
      </c>
      <c r="H25" s="140">
        <v>0.33</v>
      </c>
      <c r="I25" s="141" t="s">
        <v>124</v>
      </c>
      <c r="J25" s="159">
        <v>0.33</v>
      </c>
      <c r="K25" s="25"/>
      <c r="L25" s="13"/>
      <c r="M25" s="149">
        <v>0.33</v>
      </c>
      <c r="N25" s="25"/>
      <c r="O25" s="14"/>
      <c r="P25" s="25">
        <v>0.33</v>
      </c>
    </row>
    <row r="26" spans="1:16" ht="48.95" customHeight="1" x14ac:dyDescent="0.25">
      <c r="A26" s="61"/>
      <c r="B26" s="60" t="s">
        <v>40</v>
      </c>
      <c r="C26" s="89" t="s">
        <v>39</v>
      </c>
      <c r="D26" s="98" t="s">
        <v>38</v>
      </c>
      <c r="E26" s="11" t="s">
        <v>36</v>
      </c>
      <c r="F26" s="99" t="s">
        <v>44</v>
      </c>
      <c r="G26" s="130" t="s">
        <v>95</v>
      </c>
      <c r="H26" s="122">
        <v>0.5</v>
      </c>
      <c r="I26" s="131" t="s">
        <v>125</v>
      </c>
      <c r="J26" s="160" t="s">
        <v>126</v>
      </c>
      <c r="K26" s="45"/>
      <c r="L26" s="48"/>
      <c r="M26" s="144">
        <v>0</v>
      </c>
      <c r="N26" s="45"/>
      <c r="O26" s="108"/>
      <c r="P26" s="45" t="s">
        <v>126</v>
      </c>
    </row>
    <row r="27" spans="1:16" ht="170.1" customHeight="1" thickBot="1" x14ac:dyDescent="0.3">
      <c r="A27" s="61"/>
      <c r="B27" s="62"/>
      <c r="C27" s="89"/>
      <c r="D27" s="98"/>
      <c r="E27" s="1" t="s">
        <v>37</v>
      </c>
      <c r="F27" s="99"/>
      <c r="G27" s="127"/>
      <c r="H27" s="134"/>
      <c r="I27" s="154"/>
      <c r="J27" s="161"/>
      <c r="K27" s="39"/>
      <c r="L27" s="107"/>
      <c r="M27" s="148"/>
      <c r="N27" s="39"/>
      <c r="O27" s="109"/>
      <c r="P27" s="39"/>
    </row>
    <row r="28" spans="1:16" ht="48.95" customHeight="1" x14ac:dyDescent="0.25">
      <c r="A28" s="61"/>
      <c r="B28" s="67"/>
      <c r="C28" s="89" t="s">
        <v>100</v>
      </c>
      <c r="D28" s="98" t="s">
        <v>105</v>
      </c>
      <c r="E28" s="1" t="s">
        <v>41</v>
      </c>
      <c r="F28" s="99" t="s">
        <v>21</v>
      </c>
      <c r="G28" s="130" t="s">
        <v>127</v>
      </c>
      <c r="H28" s="122">
        <v>0.33</v>
      </c>
      <c r="I28" s="131" t="s">
        <v>107</v>
      </c>
      <c r="J28" s="160">
        <v>0.33</v>
      </c>
      <c r="K28" s="45"/>
      <c r="L28" s="113"/>
      <c r="M28" s="144">
        <v>0.33</v>
      </c>
      <c r="N28" s="45"/>
      <c r="O28" s="110"/>
      <c r="P28" s="45">
        <v>0.33</v>
      </c>
    </row>
    <row r="29" spans="1:16" ht="48.95" customHeight="1" x14ac:dyDescent="0.25">
      <c r="A29" s="61"/>
      <c r="B29" s="68"/>
      <c r="C29" s="89"/>
      <c r="D29" s="98"/>
      <c r="E29" s="11" t="s">
        <v>36</v>
      </c>
      <c r="F29" s="99"/>
      <c r="G29" s="124"/>
      <c r="H29" s="125"/>
      <c r="I29" s="133"/>
      <c r="J29" s="164"/>
      <c r="K29" s="46"/>
      <c r="L29" s="113"/>
      <c r="M29" s="145"/>
      <c r="N29" s="46"/>
      <c r="O29" s="110"/>
      <c r="P29" s="38"/>
    </row>
    <row r="30" spans="1:16" ht="48.95" customHeight="1" x14ac:dyDescent="0.25">
      <c r="A30" s="61"/>
      <c r="B30" s="68"/>
      <c r="C30" s="89"/>
      <c r="D30" s="98"/>
      <c r="E30" s="1" t="s">
        <v>42</v>
      </c>
      <c r="F30" s="99"/>
      <c r="G30" s="124"/>
      <c r="H30" s="125"/>
      <c r="I30" s="133"/>
      <c r="J30" s="164"/>
      <c r="K30" s="46"/>
      <c r="L30" s="113"/>
      <c r="M30" s="145"/>
      <c r="N30" s="46"/>
      <c r="O30" s="110"/>
      <c r="P30" s="38"/>
    </row>
    <row r="31" spans="1:16" ht="111" customHeight="1" thickBot="1" x14ac:dyDescent="0.3">
      <c r="A31" s="62"/>
      <c r="B31" s="69"/>
      <c r="C31" s="89"/>
      <c r="D31" s="98"/>
      <c r="E31" s="11" t="s">
        <v>43</v>
      </c>
      <c r="F31" s="99"/>
      <c r="G31" s="127"/>
      <c r="H31" s="128"/>
      <c r="I31" s="133"/>
      <c r="J31" s="161"/>
      <c r="K31" s="47"/>
      <c r="L31" s="113"/>
      <c r="M31" s="146"/>
      <c r="N31" s="47"/>
      <c r="O31" s="110"/>
      <c r="P31" s="38"/>
    </row>
    <row r="32" spans="1:16" ht="48.95" customHeight="1" x14ac:dyDescent="0.25">
      <c r="A32" s="60" t="s">
        <v>72</v>
      </c>
      <c r="B32" s="60" t="s">
        <v>54</v>
      </c>
      <c r="C32" s="89" t="s">
        <v>106</v>
      </c>
      <c r="D32" s="98" t="s">
        <v>48</v>
      </c>
      <c r="E32" s="1" t="s">
        <v>41</v>
      </c>
      <c r="F32" s="64" t="s">
        <v>47</v>
      </c>
      <c r="G32" s="73" t="s">
        <v>108</v>
      </c>
      <c r="H32" s="152">
        <v>0</v>
      </c>
      <c r="I32" s="112" t="s">
        <v>128</v>
      </c>
      <c r="J32" s="162">
        <v>0.5</v>
      </c>
      <c r="K32" s="45"/>
      <c r="L32" s="15"/>
      <c r="M32" s="144">
        <v>0.5</v>
      </c>
      <c r="N32" s="45"/>
      <c r="O32" s="52"/>
      <c r="P32" s="37" t="s">
        <v>137</v>
      </c>
    </row>
    <row r="33" spans="1:16" ht="48.95" customHeight="1" x14ac:dyDescent="0.25">
      <c r="A33" s="61"/>
      <c r="B33" s="61"/>
      <c r="C33" s="89"/>
      <c r="D33" s="98"/>
      <c r="E33" s="11" t="s">
        <v>46</v>
      </c>
      <c r="F33" s="64"/>
      <c r="G33" s="111"/>
      <c r="H33" s="153"/>
      <c r="I33" s="112"/>
      <c r="J33" s="163"/>
      <c r="K33" s="39"/>
      <c r="L33" s="16"/>
      <c r="M33" s="148"/>
      <c r="N33" s="39"/>
      <c r="O33" s="53"/>
      <c r="P33" s="37"/>
    </row>
    <row r="34" spans="1:16" ht="48.95" customHeight="1" x14ac:dyDescent="0.25">
      <c r="A34" s="61"/>
      <c r="B34" s="61"/>
      <c r="C34" s="89" t="s">
        <v>109</v>
      </c>
      <c r="D34" s="104" t="s">
        <v>50</v>
      </c>
      <c r="E34" s="10" t="s">
        <v>22</v>
      </c>
      <c r="F34" s="103" t="s">
        <v>49</v>
      </c>
      <c r="G34" s="130" t="s">
        <v>113</v>
      </c>
      <c r="H34" s="122">
        <v>0.33</v>
      </c>
      <c r="I34" s="155" t="s">
        <v>129</v>
      </c>
      <c r="J34" s="160">
        <v>0.33</v>
      </c>
      <c r="K34" s="45"/>
      <c r="L34" s="48"/>
      <c r="M34" s="144">
        <v>0.33</v>
      </c>
      <c r="N34" s="45"/>
      <c r="O34" s="51"/>
      <c r="P34" s="38">
        <v>0.33</v>
      </c>
    </row>
    <row r="35" spans="1:16" ht="409.5" customHeight="1" x14ac:dyDescent="0.25">
      <c r="A35" s="61"/>
      <c r="B35" s="61"/>
      <c r="C35" s="89"/>
      <c r="D35" s="104"/>
      <c r="E35" s="17" t="s">
        <v>102</v>
      </c>
      <c r="F35" s="103"/>
      <c r="G35" s="156"/>
      <c r="H35" s="134"/>
      <c r="I35" s="157"/>
      <c r="J35" s="161"/>
      <c r="K35" s="39"/>
      <c r="L35" s="50"/>
      <c r="M35" s="148"/>
      <c r="N35" s="39"/>
      <c r="O35" s="53"/>
      <c r="P35" s="39"/>
    </row>
    <row r="36" spans="1:16" ht="153" customHeight="1" thickBot="1" x14ac:dyDescent="0.3">
      <c r="A36" s="61"/>
      <c r="B36" s="62"/>
      <c r="C36" s="18" t="s">
        <v>53</v>
      </c>
      <c r="D36" s="17" t="s">
        <v>136</v>
      </c>
      <c r="E36" s="11" t="s">
        <v>52</v>
      </c>
      <c r="F36" s="7" t="s">
        <v>21</v>
      </c>
      <c r="G36" s="139" t="s">
        <v>130</v>
      </c>
      <c r="H36" s="140">
        <v>0.33</v>
      </c>
      <c r="I36" s="158" t="s">
        <v>131</v>
      </c>
      <c r="J36" s="159">
        <v>0.33</v>
      </c>
      <c r="K36" s="25"/>
      <c r="L36" s="19"/>
      <c r="M36" s="149">
        <v>0.45</v>
      </c>
      <c r="N36" s="25"/>
      <c r="O36" s="20"/>
      <c r="P36" s="25" t="s">
        <v>132</v>
      </c>
    </row>
    <row r="37" spans="1:16" ht="145.5" customHeight="1" thickBot="1" x14ac:dyDescent="0.3">
      <c r="A37" s="61"/>
      <c r="B37" s="30" t="s">
        <v>59</v>
      </c>
      <c r="C37" s="8" t="s">
        <v>55</v>
      </c>
      <c r="D37" s="11" t="s">
        <v>56</v>
      </c>
      <c r="E37" s="11" t="s">
        <v>57</v>
      </c>
      <c r="F37" s="9" t="s">
        <v>58</v>
      </c>
      <c r="G37" s="21" t="s">
        <v>116</v>
      </c>
      <c r="H37" s="149">
        <v>0</v>
      </c>
      <c r="I37" s="35" t="s">
        <v>133</v>
      </c>
      <c r="J37" s="159">
        <v>0.5</v>
      </c>
      <c r="K37" s="25"/>
      <c r="L37" s="19"/>
      <c r="M37" s="149">
        <v>0.5</v>
      </c>
      <c r="N37" s="25"/>
      <c r="O37" s="20"/>
      <c r="P37" s="25" t="s">
        <v>137</v>
      </c>
    </row>
    <row r="38" spans="1:16" ht="116.25" customHeight="1" thickBot="1" x14ac:dyDescent="0.3">
      <c r="A38" s="61"/>
      <c r="B38" s="30" t="s">
        <v>60</v>
      </c>
      <c r="C38" s="8" t="s">
        <v>61</v>
      </c>
      <c r="D38" s="11" t="s">
        <v>62</v>
      </c>
      <c r="E38" s="2" t="s">
        <v>63</v>
      </c>
      <c r="F38" s="9" t="s">
        <v>21</v>
      </c>
      <c r="G38" s="139" t="s">
        <v>139</v>
      </c>
      <c r="H38" s="140">
        <v>0.33</v>
      </c>
      <c r="I38" s="158" t="s">
        <v>133</v>
      </c>
      <c r="J38" s="159">
        <v>0.33</v>
      </c>
      <c r="K38" s="25"/>
      <c r="L38" s="19"/>
      <c r="M38" s="149">
        <v>0.33</v>
      </c>
      <c r="N38" s="25"/>
      <c r="O38" s="20"/>
      <c r="P38" s="25">
        <v>0.33</v>
      </c>
    </row>
    <row r="39" spans="1:16" ht="116.45" customHeight="1" thickBot="1" x14ac:dyDescent="0.3">
      <c r="A39" s="61"/>
      <c r="B39" s="33" t="s">
        <v>64</v>
      </c>
      <c r="C39" s="11" t="s">
        <v>65</v>
      </c>
      <c r="D39" s="11" t="s">
        <v>66</v>
      </c>
      <c r="E39" s="11" t="s">
        <v>67</v>
      </c>
      <c r="F39" s="9" t="s">
        <v>21</v>
      </c>
      <c r="G39" s="21" t="s">
        <v>116</v>
      </c>
      <c r="H39" s="149">
        <v>0</v>
      </c>
      <c r="I39" s="35" t="s">
        <v>133</v>
      </c>
      <c r="J39" s="159">
        <v>0.5</v>
      </c>
      <c r="K39" s="25"/>
      <c r="L39" s="19"/>
      <c r="M39" s="149">
        <v>0.5</v>
      </c>
      <c r="N39" s="25"/>
      <c r="O39" s="20"/>
      <c r="P39" s="25" t="s">
        <v>137</v>
      </c>
    </row>
    <row r="40" spans="1:16" ht="126.6" customHeight="1" thickBot="1" x14ac:dyDescent="0.3">
      <c r="A40" s="62"/>
      <c r="B40" s="30" t="s">
        <v>71</v>
      </c>
      <c r="C40" s="8" t="s">
        <v>68</v>
      </c>
      <c r="D40" s="11" t="s">
        <v>69</v>
      </c>
      <c r="E40" s="11" t="s">
        <v>67</v>
      </c>
      <c r="F40" s="9" t="s">
        <v>70</v>
      </c>
      <c r="G40" s="139" t="s">
        <v>140</v>
      </c>
      <c r="H40" s="140">
        <v>0.33</v>
      </c>
      <c r="I40" s="158" t="s">
        <v>133</v>
      </c>
      <c r="J40" s="159">
        <v>0.33</v>
      </c>
      <c r="K40" s="25"/>
      <c r="L40" s="19"/>
      <c r="M40" s="149">
        <v>0.33</v>
      </c>
      <c r="N40" s="25"/>
      <c r="O40" s="20"/>
      <c r="P40" s="25" t="s">
        <v>137</v>
      </c>
    </row>
    <row r="41" spans="1:16" ht="159.94999999999999" customHeight="1" thickBot="1" x14ac:dyDescent="0.3">
      <c r="A41" s="105" t="s">
        <v>79</v>
      </c>
      <c r="B41" s="28" t="s">
        <v>73</v>
      </c>
      <c r="C41" s="8" t="s">
        <v>101</v>
      </c>
      <c r="D41" s="2" t="s">
        <v>74</v>
      </c>
      <c r="E41" s="11" t="s">
        <v>75</v>
      </c>
      <c r="F41" s="9" t="s">
        <v>21</v>
      </c>
      <c r="G41" s="139" t="s">
        <v>110</v>
      </c>
      <c r="H41" s="140">
        <v>0.33</v>
      </c>
      <c r="I41" s="158"/>
      <c r="J41" s="159">
        <v>0.33</v>
      </c>
      <c r="K41" s="25"/>
      <c r="L41" s="19"/>
      <c r="M41" s="149">
        <v>0.33</v>
      </c>
      <c r="N41" s="25"/>
      <c r="O41" s="20"/>
      <c r="P41" s="25">
        <v>0.33</v>
      </c>
    </row>
    <row r="42" spans="1:16" ht="130.5" customHeight="1" thickBot="1" x14ac:dyDescent="0.3">
      <c r="A42" s="106"/>
      <c r="B42" s="30" t="s">
        <v>76</v>
      </c>
      <c r="C42" s="8" t="s">
        <v>77</v>
      </c>
      <c r="D42" s="11" t="s">
        <v>78</v>
      </c>
      <c r="E42" s="11" t="s">
        <v>75</v>
      </c>
      <c r="F42" s="9" t="s">
        <v>70</v>
      </c>
      <c r="G42" s="12" t="s">
        <v>111</v>
      </c>
      <c r="H42" s="149">
        <v>0</v>
      </c>
      <c r="I42" s="35" t="s">
        <v>142</v>
      </c>
      <c r="J42" s="149">
        <v>0</v>
      </c>
      <c r="K42" s="25"/>
      <c r="L42" s="19"/>
      <c r="M42" s="149">
        <v>0</v>
      </c>
      <c r="N42" s="25"/>
      <c r="O42" s="20"/>
      <c r="P42" s="25" t="s">
        <v>137</v>
      </c>
    </row>
    <row r="43" spans="1:16" ht="83.1" customHeight="1" thickBot="1" x14ac:dyDescent="0.3">
      <c r="A43" s="60" t="s">
        <v>93</v>
      </c>
      <c r="B43" s="28" t="s">
        <v>81</v>
      </c>
      <c r="C43" s="8" t="s">
        <v>80</v>
      </c>
      <c r="D43" s="1" t="s">
        <v>82</v>
      </c>
      <c r="E43" s="11" t="s">
        <v>83</v>
      </c>
      <c r="F43" s="9" t="s">
        <v>21</v>
      </c>
      <c r="G43" s="21" t="s">
        <v>103</v>
      </c>
      <c r="H43" s="149">
        <v>0</v>
      </c>
      <c r="I43" s="35"/>
      <c r="J43" s="149">
        <v>0</v>
      </c>
      <c r="K43" s="25"/>
      <c r="L43" s="19"/>
      <c r="M43" s="149">
        <v>0.5</v>
      </c>
      <c r="N43" s="25"/>
      <c r="O43" s="20"/>
      <c r="P43" s="25" t="s">
        <v>137</v>
      </c>
    </row>
    <row r="44" spans="1:16" ht="99" customHeight="1" thickBot="1" x14ac:dyDescent="0.3">
      <c r="A44" s="61"/>
      <c r="B44" s="30" t="s">
        <v>84</v>
      </c>
      <c r="C44" s="8" t="s">
        <v>112</v>
      </c>
      <c r="D44" s="1" t="s">
        <v>85</v>
      </c>
      <c r="E44" s="11" t="s">
        <v>86</v>
      </c>
      <c r="F44" s="9" t="s">
        <v>87</v>
      </c>
      <c r="G44" s="21" t="s">
        <v>104</v>
      </c>
      <c r="H44" s="149">
        <v>0</v>
      </c>
      <c r="I44" s="35"/>
      <c r="J44" s="149">
        <v>0</v>
      </c>
      <c r="K44" s="25"/>
      <c r="L44" s="19"/>
      <c r="M44" s="149">
        <v>1</v>
      </c>
      <c r="N44" s="25"/>
      <c r="O44" s="20"/>
      <c r="P44" s="25" t="s">
        <v>137</v>
      </c>
    </row>
    <row r="45" spans="1:16" ht="133.5" customHeight="1" thickBot="1" x14ac:dyDescent="0.3">
      <c r="A45" s="62"/>
      <c r="B45" s="29" t="s">
        <v>88</v>
      </c>
      <c r="C45" s="8" t="s">
        <v>89</v>
      </c>
      <c r="D45" s="1" t="s">
        <v>90</v>
      </c>
      <c r="E45" s="11" t="s">
        <v>91</v>
      </c>
      <c r="F45" s="9" t="s">
        <v>92</v>
      </c>
      <c r="G45" s="21" t="s">
        <v>104</v>
      </c>
      <c r="H45" s="149">
        <v>0</v>
      </c>
      <c r="I45" s="35"/>
      <c r="J45" s="149">
        <v>0</v>
      </c>
      <c r="K45" s="25"/>
      <c r="L45" s="19"/>
      <c r="M45" s="149">
        <v>1</v>
      </c>
      <c r="N45" s="25"/>
      <c r="O45" s="20"/>
      <c r="P45" s="27" t="s">
        <v>137</v>
      </c>
    </row>
    <row r="46" spans="1:16" ht="48.95" customHeight="1" x14ac:dyDescent="0.25">
      <c r="H46" s="23">
        <f>SUM(H8:H45)</f>
        <v>4.1300000000000008</v>
      </c>
      <c r="P46" s="26" t="s">
        <v>138</v>
      </c>
    </row>
  </sheetData>
  <mergeCells count="145">
    <mergeCell ref="P6:P7"/>
    <mergeCell ref="L34:L35"/>
    <mergeCell ref="M34:M35"/>
    <mergeCell ref="N34:N35"/>
    <mergeCell ref="O34:O35"/>
    <mergeCell ref="G34:G35"/>
    <mergeCell ref="H34:H35"/>
    <mergeCell ref="I34:I35"/>
    <mergeCell ref="J34:J35"/>
    <mergeCell ref="K34:K35"/>
    <mergeCell ref="M28:M31"/>
    <mergeCell ref="N28:N31"/>
    <mergeCell ref="O28:O31"/>
    <mergeCell ref="G32:G33"/>
    <mergeCell ref="H32:H33"/>
    <mergeCell ref="I32:I33"/>
    <mergeCell ref="J32:J33"/>
    <mergeCell ref="K32:K33"/>
    <mergeCell ref="M32:M33"/>
    <mergeCell ref="N32:N33"/>
    <mergeCell ref="O32:O33"/>
    <mergeCell ref="I28:I31"/>
    <mergeCell ref="J28:J31"/>
    <mergeCell ref="K28:K31"/>
    <mergeCell ref="L28:L31"/>
    <mergeCell ref="G28:G31"/>
    <mergeCell ref="H28:H31"/>
    <mergeCell ref="N19:N21"/>
    <mergeCell ref="O19:O21"/>
    <mergeCell ref="J15:J18"/>
    <mergeCell ref="K15:K18"/>
    <mergeCell ref="L15:L18"/>
    <mergeCell ref="M15:M18"/>
    <mergeCell ref="N15:N18"/>
    <mergeCell ref="O22:O24"/>
    <mergeCell ref="J26:J27"/>
    <mergeCell ref="K26:K27"/>
    <mergeCell ref="L26:L27"/>
    <mergeCell ref="M26:M27"/>
    <mergeCell ref="N26:N27"/>
    <mergeCell ref="O26:O27"/>
    <mergeCell ref="J22:J24"/>
    <mergeCell ref="K22:K24"/>
    <mergeCell ref="L22:L24"/>
    <mergeCell ref="M22:M24"/>
    <mergeCell ref="N22:N24"/>
    <mergeCell ref="F28:F31"/>
    <mergeCell ref="C22:C24"/>
    <mergeCell ref="D22:D24"/>
    <mergeCell ref="F22:F24"/>
    <mergeCell ref="A41:A42"/>
    <mergeCell ref="A43:A45"/>
    <mergeCell ref="C34:C35"/>
    <mergeCell ref="F34:F35"/>
    <mergeCell ref="D34:D35"/>
    <mergeCell ref="B32:B36"/>
    <mergeCell ref="A32:A40"/>
    <mergeCell ref="A25:A31"/>
    <mergeCell ref="D32:D33"/>
    <mergeCell ref="F32:F33"/>
    <mergeCell ref="C32:C33"/>
    <mergeCell ref="D26:D27"/>
    <mergeCell ref="C26:C27"/>
    <mergeCell ref="B26:B27"/>
    <mergeCell ref="B28:B31"/>
    <mergeCell ref="C28:C31"/>
    <mergeCell ref="D28:D31"/>
    <mergeCell ref="G26:G27"/>
    <mergeCell ref="H26:H27"/>
    <mergeCell ref="G15:G18"/>
    <mergeCell ref="H15:H18"/>
    <mergeCell ref="G19:G21"/>
    <mergeCell ref="H19:H21"/>
    <mergeCell ref="B8:B14"/>
    <mergeCell ref="C11:C14"/>
    <mergeCell ref="D11:D14"/>
    <mergeCell ref="F11:F14"/>
    <mergeCell ref="D8:D10"/>
    <mergeCell ref="F15:F18"/>
    <mergeCell ref="E15:E16"/>
    <mergeCell ref="C19:C21"/>
    <mergeCell ref="D19:D21"/>
    <mergeCell ref="F19:F21"/>
    <mergeCell ref="F26:F27"/>
    <mergeCell ref="G8:G10"/>
    <mergeCell ref="H8:H10"/>
    <mergeCell ref="H11:H14"/>
    <mergeCell ref="G11:G14"/>
    <mergeCell ref="A1:A4"/>
    <mergeCell ref="B4:E4"/>
    <mergeCell ref="F4:H4"/>
    <mergeCell ref="A8:A24"/>
    <mergeCell ref="A5:I5"/>
    <mergeCell ref="A6:A7"/>
    <mergeCell ref="B6:B7"/>
    <mergeCell ref="C6:C7"/>
    <mergeCell ref="D6:D7"/>
    <mergeCell ref="E6:E7"/>
    <mergeCell ref="G22:G24"/>
    <mergeCell ref="H22:H24"/>
    <mergeCell ref="I19:I21"/>
    <mergeCell ref="B2:O2"/>
    <mergeCell ref="B1:O1"/>
    <mergeCell ref="B3:O3"/>
    <mergeCell ref="I4:O4"/>
    <mergeCell ref="K8:K10"/>
    <mergeCell ref="B22:B24"/>
    <mergeCell ref="C8:C10"/>
    <mergeCell ref="I22:I24"/>
    <mergeCell ref="K6:L6"/>
    <mergeCell ref="N6:O6"/>
    <mergeCell ref="F8:F10"/>
    <mergeCell ref="I8:I10"/>
    <mergeCell ref="I15:I18"/>
    <mergeCell ref="F6:F7"/>
    <mergeCell ref="H6:I6"/>
    <mergeCell ref="B15:B21"/>
    <mergeCell ref="C15:C18"/>
    <mergeCell ref="D15:D18"/>
    <mergeCell ref="L19:L21"/>
    <mergeCell ref="M19:M21"/>
    <mergeCell ref="P32:P33"/>
    <mergeCell ref="P34:P35"/>
    <mergeCell ref="I11:I14"/>
    <mergeCell ref="P8:P10"/>
    <mergeCell ref="P11:P14"/>
    <mergeCell ref="P15:P18"/>
    <mergeCell ref="P19:P21"/>
    <mergeCell ref="P22:P24"/>
    <mergeCell ref="P26:P27"/>
    <mergeCell ref="P28:P31"/>
    <mergeCell ref="I26:I27"/>
    <mergeCell ref="J11:J14"/>
    <mergeCell ref="K11:K14"/>
    <mergeCell ref="L11:L14"/>
    <mergeCell ref="M11:M14"/>
    <mergeCell ref="N11:N14"/>
    <mergeCell ref="O11:O14"/>
    <mergeCell ref="J8:J10"/>
    <mergeCell ref="L8:L10"/>
    <mergeCell ref="M8:M10"/>
    <mergeCell ref="N8:N10"/>
    <mergeCell ref="O15:O18"/>
    <mergeCell ref="J19:J21"/>
    <mergeCell ref="K19:K2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Matríz seguimiento PA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Adriana Diaz Ossa</dc:creator>
  <cp:lastModifiedBy>YOLANDA</cp:lastModifiedBy>
  <dcterms:created xsi:type="dcterms:W3CDTF">2025-03-03T15:11:04Z</dcterms:created>
  <dcterms:modified xsi:type="dcterms:W3CDTF">2025-07-14T16:50:24Z</dcterms:modified>
</cp:coreProperties>
</file>